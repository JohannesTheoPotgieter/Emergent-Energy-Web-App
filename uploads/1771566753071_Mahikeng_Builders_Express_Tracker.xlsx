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113" documentId="13_ncr:1_{88662233-A3CA-4DB1-B156-E0D8D78B7588}" xr6:coauthVersionLast="47" xr6:coauthVersionMax="47" xr10:uidLastSave="{F2F8DA5E-B8AF-4FDB-A694-A644E712DDC6}"/>
  <bookViews>
    <workbookView xWindow="-98" yWindow="-98" windowWidth="21795" windowHeight="12975" tabRatio="655" firstSheet="3" activeTab="4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Compliance" sheetId="22" r:id="rId4"/>
    <sheet name="Project Plan" sheetId="2" r:id="rId5"/>
    <sheet name="BOQ" sheetId="20" r:id="rId6"/>
    <sheet name="Revenue Tracking" sheetId="5" r:id="rId7"/>
    <sheet name="Expenditure Tracking" sheetId="3" r:id="rId8"/>
    <sheet name="Expenditure Breakdown" sheetId="18" r:id="rId9"/>
    <sheet name="Sheet1" sheetId="25" state="hidden" r:id="rId10"/>
    <sheet name="Cashflow" sheetId="6" r:id="rId11"/>
    <sheet name="Chart2" sheetId="11" r:id="rId12"/>
    <sheet name="Finance - Revenue" sheetId="13" r:id="rId13"/>
    <sheet name="Finance - COS" sheetId="14" r:id="rId14"/>
    <sheet name="Data" sheetId="8" state="hidden" r:id="rId15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4">'Project Plan'!$B$56:$G$61</definedName>
    <definedName name="Project_Size" localSheetId="12">'Finance - Revenue'!Projectsize</definedName>
    <definedName name="Project_Size">Projectsize</definedName>
    <definedName name="Projectsize" localSheetId="12">#REF!</definedName>
    <definedName name="Projectsize">#REF!</definedName>
    <definedName name="Security_Serv" localSheetId="12">#REF!</definedName>
    <definedName name="Security_Serv">#REF!</definedName>
    <definedName name="SSS" localSheetId="12">#REF!</definedName>
    <definedName name="SSS">#REF!</definedName>
    <definedName name="USD_ZAR">#REF!</definedName>
  </definedNames>
  <calcPr calcId="191028"/>
  <pivotCaches>
    <pivotCache cacheId="0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" i="2" l="1"/>
  <c r="W106" i="18" l="1"/>
  <c r="K48" i="2"/>
  <c r="N48" i="2" s="1"/>
  <c r="P23" i="5"/>
  <c r="Q30" i="18"/>
  <c r="P25" i="5"/>
  <c r="Q29" i="18"/>
  <c r="Q106" i="18"/>
  <c r="Q105" i="18"/>
  <c r="S37" i="18"/>
  <c r="S64" i="18"/>
  <c r="S136" i="18"/>
  <c r="W122" i="18"/>
  <c r="W39" i="18" s="1"/>
  <c r="U178" i="18"/>
  <c r="F22" i="5"/>
  <c r="B13" i="25"/>
  <c r="B6" i="25"/>
  <c r="B15" i="25"/>
  <c r="B16" i="25" s="1"/>
  <c r="B17" i="25" s="1"/>
  <c r="Q103" i="18"/>
  <c r="Q102" i="18"/>
  <c r="F24" i="5"/>
  <c r="Q147" i="18"/>
  <c r="Q176" i="18"/>
  <c r="Q175" i="18"/>
  <c r="S59" i="18"/>
  <c r="S32" i="18" s="1"/>
  <c r="S131" i="18"/>
  <c r="W13" i="18"/>
  <c r="W44" i="18" s="1"/>
  <c r="P7" i="18"/>
  <c r="T22" i="18"/>
  <c r="I23" i="2"/>
  <c r="I37" i="2"/>
  <c r="I31" i="2"/>
  <c r="O131" i="18"/>
  <c r="Q133" i="18" s="1"/>
  <c r="O59" i="18"/>
  <c r="Q63" i="18" s="1"/>
  <c r="O115" i="18"/>
  <c r="AF28" i="18"/>
  <c r="O32" i="18" s="1"/>
  <c r="Q35" i="18" s="1"/>
  <c r="AB30" i="18"/>
  <c r="AB29" i="18"/>
  <c r="AA29" i="18"/>
  <c r="AA30" i="18"/>
  <c r="T44" i="18"/>
  <c r="C4" i="24"/>
  <c r="Q21" i="18"/>
  <c r="X21" i="18" s="1"/>
  <c r="H11" i="3" s="1"/>
  <c r="K25" i="2"/>
  <c r="I26" i="2" s="1"/>
  <c r="I15" i="2"/>
  <c r="K15" i="2" s="1"/>
  <c r="K14" i="2"/>
  <c r="K12" i="2"/>
  <c r="I13" i="2"/>
  <c r="T112" i="18"/>
  <c r="T109" i="18"/>
  <c r="T107" i="18"/>
  <c r="T102" i="18"/>
  <c r="T101" i="18"/>
  <c r="T100" i="18"/>
  <c r="T98" i="18"/>
  <c r="T97" i="18"/>
  <c r="T95" i="18"/>
  <c r="Z35" i="18"/>
  <c r="Z38" i="18" s="1"/>
  <c r="Z39" i="18" s="1"/>
  <c r="J80" i="18"/>
  <c r="G80" i="18"/>
  <c r="E15" i="2"/>
  <c r="G15" i="2"/>
  <c r="H13" i="5"/>
  <c r="I17" i="2"/>
  <c r="N17" i="2" s="1"/>
  <c r="K17" i="2"/>
  <c r="K16" i="2"/>
  <c r="N16" i="2" s="1"/>
  <c r="K13" i="2"/>
  <c r="N12" i="2"/>
  <c r="K20" i="2"/>
  <c r="K19" i="2" s="1"/>
  <c r="I19" i="2"/>
  <c r="T14" i="2" s="1"/>
  <c r="C4" i="23"/>
  <c r="T51" i="18"/>
  <c r="T50" i="18"/>
  <c r="T49" i="18"/>
  <c r="Q151" i="18"/>
  <c r="X151" i="18"/>
  <c r="H20" i="3" s="1"/>
  <c r="G12" i="2"/>
  <c r="E13" i="2" s="1"/>
  <c r="G13" i="2" s="1"/>
  <c r="K31" i="2"/>
  <c r="I33" i="2"/>
  <c r="K33" i="2"/>
  <c r="I32" i="2"/>
  <c r="G14" i="2"/>
  <c r="E17" i="2"/>
  <c r="G17" i="2" s="1"/>
  <c r="G25" i="2"/>
  <c r="G16" i="2"/>
  <c r="K24" i="2"/>
  <c r="N24" i="2" s="1"/>
  <c r="M50" i="2"/>
  <c r="M45" i="2"/>
  <c r="M40" i="2"/>
  <c r="M29" i="2"/>
  <c r="M36" i="2"/>
  <c r="M22" i="2"/>
  <c r="H18" i="5"/>
  <c r="G37" i="2"/>
  <c r="E38" i="2" s="1"/>
  <c r="E34" i="2" s="1"/>
  <c r="G34" i="2" s="1"/>
  <c r="H6" i="18"/>
  <c r="W22" i="18"/>
  <c r="G1" i="6"/>
  <c r="H1" i="6" s="1"/>
  <c r="I1" i="6" s="1"/>
  <c r="J1" i="6" s="1"/>
  <c r="K1" i="6" s="1"/>
  <c r="L1" i="6" s="1"/>
  <c r="M1" i="6" s="1"/>
  <c r="N1" i="6" s="1"/>
  <c r="T139" i="18"/>
  <c r="T140" i="18"/>
  <c r="T141" i="18"/>
  <c r="T142" i="18"/>
  <c r="T150" i="18"/>
  <c r="T152" i="18"/>
  <c r="T153" i="18"/>
  <c r="T160" i="18"/>
  <c r="T166" i="18"/>
  <c r="T167" i="18"/>
  <c r="T168" i="18"/>
  <c r="T169" i="18"/>
  <c r="T170" i="18"/>
  <c r="T171" i="18"/>
  <c r="T172" i="18"/>
  <c r="T173" i="18"/>
  <c r="T27" i="18"/>
  <c r="T26" i="18"/>
  <c r="T25" i="18"/>
  <c r="T24" i="18"/>
  <c r="T23" i="18"/>
  <c r="T20" i="18"/>
  <c r="T19" i="18"/>
  <c r="T18" i="18"/>
  <c r="T17" i="18"/>
  <c r="T16" i="18"/>
  <c r="T15" i="18"/>
  <c r="T14" i="18"/>
  <c r="T12" i="18"/>
  <c r="T11" i="18"/>
  <c r="T10" i="18"/>
  <c r="T9" i="18"/>
  <c r="T8" i="18"/>
  <c r="T7" i="18"/>
  <c r="Q28" i="18"/>
  <c r="Q13" i="18"/>
  <c r="X13" i="18" s="1"/>
  <c r="H10" i="3" s="1"/>
  <c r="G154" i="18"/>
  <c r="T9" i="2"/>
  <c r="S9" i="2"/>
  <c r="S21" i="2"/>
  <c r="S20" i="2"/>
  <c r="S19" i="2"/>
  <c r="S18" i="2"/>
  <c r="S17" i="2"/>
  <c r="S16" i="2"/>
  <c r="S14" i="2"/>
  <c r="S13" i="2"/>
  <c r="X44" i="18"/>
  <c r="H13" i="3" s="1"/>
  <c r="AO13" i="5"/>
  <c r="G130" i="18"/>
  <c r="Z18" i="18" s="1"/>
  <c r="J127" i="18"/>
  <c r="T185" i="18"/>
  <c r="T184" i="18"/>
  <c r="T183" i="18"/>
  <c r="T182" i="18"/>
  <c r="T130" i="18"/>
  <c r="T129" i="18"/>
  <c r="T128" i="18"/>
  <c r="T126" i="18"/>
  <c r="T125" i="18"/>
  <c r="T123" i="18"/>
  <c r="T114" i="18"/>
  <c r="T113" i="18"/>
  <c r="T70" i="18"/>
  <c r="T69" i="18"/>
  <c r="T68" i="18"/>
  <c r="T67" i="18"/>
  <c r="T58" i="18"/>
  <c r="T57" i="18"/>
  <c r="T56" i="18"/>
  <c r="T55" i="18"/>
  <c r="T53" i="18"/>
  <c r="T52" i="18"/>
  <c r="T43" i="18"/>
  <c r="T42" i="18"/>
  <c r="T41" i="18"/>
  <c r="T40" i="18"/>
  <c r="T31" i="18"/>
  <c r="J71" i="18"/>
  <c r="V71" i="18" s="1"/>
  <c r="E28" i="18"/>
  <c r="I151" i="18"/>
  <c r="F20" i="3" s="1"/>
  <c r="J174" i="18"/>
  <c r="G161" i="18"/>
  <c r="I161" i="18" s="1"/>
  <c r="F22" i="3" s="1"/>
  <c r="G129" i="18"/>
  <c r="G128" i="18"/>
  <c r="Z17" i="18" s="1"/>
  <c r="G127" i="18"/>
  <c r="Z16" i="18" s="1"/>
  <c r="G115" i="18"/>
  <c r="Z15" i="18" s="1"/>
  <c r="AA15" i="18" s="1"/>
  <c r="G114" i="18"/>
  <c r="Z14" i="18" s="1"/>
  <c r="AA14" i="18" s="1"/>
  <c r="G53" i="18"/>
  <c r="Z12" i="18" s="1"/>
  <c r="G44" i="18"/>
  <c r="I44" i="18" s="1"/>
  <c r="F13" i="3" s="1"/>
  <c r="G29" i="18"/>
  <c r="Z13" i="18" s="1"/>
  <c r="G21" i="18"/>
  <c r="I21" i="18" s="1"/>
  <c r="F11" i="3" s="1"/>
  <c r="G13" i="18"/>
  <c r="I13" i="18" s="1"/>
  <c r="F10" i="3" s="1"/>
  <c r="G6" i="18"/>
  <c r="I6" i="18" s="1"/>
  <c r="F9" i="3" s="1"/>
  <c r="Q154" i="18"/>
  <c r="X154" i="18" s="1"/>
  <c r="Y30" i="18"/>
  <c r="Y29" i="18"/>
  <c r="Y28" i="18"/>
  <c r="Y27" i="18"/>
  <c r="J161" i="18"/>
  <c r="J154" i="18"/>
  <c r="J143" i="18"/>
  <c r="J114" i="18"/>
  <c r="J53" i="18"/>
  <c r="J44" i="18"/>
  <c r="J28" i="18"/>
  <c r="J21" i="18"/>
  <c r="V21" i="18" s="1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74" i="18"/>
  <c r="H23" i="3" s="1"/>
  <c r="I174" i="18"/>
  <c r="F23" i="3" s="1"/>
  <c r="X71" i="18"/>
  <c r="H15" i="3" s="1"/>
  <c r="I71" i="18"/>
  <c r="F15" i="3" s="1"/>
  <c r="I80" i="18"/>
  <c r="F16" i="3" s="1"/>
  <c r="O1" i="2"/>
  <c r="N1" i="2"/>
  <c r="G25" i="3"/>
  <c r="D4" i="5"/>
  <c r="F17" i="5" s="1"/>
  <c r="E54" i="5"/>
  <c r="E55" i="5"/>
  <c r="E29" i="5"/>
  <c r="I143" i="18"/>
  <c r="F19" i="3" s="1"/>
  <c r="I154" i="18"/>
  <c r="F21" i="3" s="1"/>
  <c r="W28" i="18"/>
  <c r="N14" i="2"/>
  <c r="Q6" i="18"/>
  <c r="X6" i="18" s="1"/>
  <c r="H9" i="3" s="1"/>
  <c r="X161" i="18"/>
  <c r="U170" i="18" s="1"/>
  <c r="V6" i="18"/>
  <c r="G20" i="2"/>
  <c r="E23" i="2" s="1"/>
  <c r="E19" i="2"/>
  <c r="E31" i="2"/>
  <c r="G31" i="2" s="1"/>
  <c r="E32" i="2" s="1"/>
  <c r="H17" i="5"/>
  <c r="H21" i="18"/>
  <c r="G23" i="2"/>
  <c r="E24" i="2" s="1"/>
  <c r="G24" i="2"/>
  <c r="H13" i="18"/>
  <c r="H44" i="18" s="1"/>
  <c r="H45" i="18" s="1"/>
  <c r="W59" i="18"/>
  <c r="W32" i="18"/>
  <c r="W131" i="18"/>
  <c r="W132" i="18"/>
  <c r="W33" i="18"/>
  <c r="W60" i="18"/>
  <c r="N33" i="2"/>
  <c r="N31" i="2"/>
  <c r="T132" i="18"/>
  <c r="T59" i="18"/>
  <c r="T131" i="18"/>
  <c r="T32" i="18"/>
  <c r="W134" i="18"/>
  <c r="Q39" i="18"/>
  <c r="Q36" i="18"/>
  <c r="Q32" i="18"/>
  <c r="T62" i="18"/>
  <c r="T134" i="18"/>
  <c r="T35" i="18"/>
  <c r="W35" i="18"/>
  <c r="W62" i="18"/>
  <c r="Q60" i="18"/>
  <c r="Q118" i="18"/>
  <c r="Q119" i="18"/>
  <c r="Q115" i="18"/>
  <c r="Q120" i="18"/>
  <c r="Q117" i="18"/>
  <c r="Q121" i="18"/>
  <c r="Q116" i="18"/>
  <c r="Q62" i="18"/>
  <c r="Q122" i="18"/>
  <c r="W34" i="18"/>
  <c r="T117" i="18"/>
  <c r="T61" i="18" s="1"/>
  <c r="W133" i="18"/>
  <c r="W61" i="18"/>
  <c r="P27" i="5"/>
  <c r="P26" i="5" s="1"/>
  <c r="W108" i="18"/>
  <c r="W36" i="18"/>
  <c r="W135" i="18"/>
  <c r="W63" i="18"/>
  <c r="T119" i="18"/>
  <c r="T135" i="18" s="1"/>
  <c r="T122" i="18"/>
  <c r="T66" i="18" s="1"/>
  <c r="W138" i="18"/>
  <c r="T137" i="18"/>
  <c r="W137" i="18"/>
  <c r="T37" i="18"/>
  <c r="W136" i="18"/>
  <c r="W64" i="18"/>
  <c r="W37" i="18"/>
  <c r="T64" i="18"/>
  <c r="K9" i="6"/>
  <c r="M9" i="6"/>
  <c r="F9" i="6"/>
  <c r="F10" i="6" s="1"/>
  <c r="T63" i="18" l="1"/>
  <c r="Q61" i="18"/>
  <c r="X143" i="18"/>
  <c r="H19" i="3" s="1"/>
  <c r="Q64" i="18"/>
  <c r="Q132" i="18"/>
  <c r="Q66" i="18"/>
  <c r="Q59" i="18"/>
  <c r="X53" i="18" s="1"/>
  <c r="Q65" i="18"/>
  <c r="I28" i="18"/>
  <c r="F12" i="3" s="1"/>
  <c r="J13" i="3"/>
  <c r="X114" i="18"/>
  <c r="U123" i="18" s="1"/>
  <c r="U49" i="18"/>
  <c r="Q136" i="18"/>
  <c r="Q134" i="18"/>
  <c r="J20" i="3"/>
  <c r="I53" i="18"/>
  <c r="F14" i="3" s="1"/>
  <c r="AB38" i="18"/>
  <c r="AB39" i="18" s="1"/>
  <c r="T36" i="18"/>
  <c r="J15" i="3"/>
  <c r="Q131" i="18"/>
  <c r="I127" i="18"/>
  <c r="F18" i="3" s="1"/>
  <c r="Q135" i="18"/>
  <c r="J23" i="3"/>
  <c r="U171" i="18"/>
  <c r="J9" i="3"/>
  <c r="Z22" i="18"/>
  <c r="Z23" i="18" s="1"/>
  <c r="Z24" i="18" s="1"/>
  <c r="U169" i="18"/>
  <c r="X80" i="18"/>
  <c r="U90" i="18" s="1"/>
  <c r="U158" i="18"/>
  <c r="AA41" i="18"/>
  <c r="J2" i="18"/>
  <c r="J4" i="18" s="1"/>
  <c r="I114" i="18"/>
  <c r="F17" i="3" s="1"/>
  <c r="V13" i="18"/>
  <c r="J10" i="3"/>
  <c r="J11" i="3"/>
  <c r="U172" i="18"/>
  <c r="J19" i="2"/>
  <c r="V14" i="2"/>
  <c r="G11" i="2"/>
  <c r="C3" i="6"/>
  <c r="N20" i="2"/>
  <c r="N19" i="2" s="1"/>
  <c r="F13" i="5"/>
  <c r="F14" i="5"/>
  <c r="F18" i="5"/>
  <c r="F21" i="5"/>
  <c r="I11" i="2"/>
  <c r="T13" i="2" s="1"/>
  <c r="F20" i="5"/>
  <c r="E11" i="2"/>
  <c r="F11" i="2" s="1"/>
  <c r="K11" i="2"/>
  <c r="J11" i="2" s="1"/>
  <c r="U13" i="2" s="1"/>
  <c r="G19" i="2"/>
  <c r="F19" i="2" s="1"/>
  <c r="N25" i="2"/>
  <c r="E33" i="2"/>
  <c r="T39" i="18"/>
  <c r="W66" i="18"/>
  <c r="M11" i="6" s="1"/>
  <c r="T138" i="18"/>
  <c r="U85" i="18"/>
  <c r="J19" i="3"/>
  <c r="U146" i="18"/>
  <c r="U100" i="18"/>
  <c r="U98" i="18"/>
  <c r="L9" i="6"/>
  <c r="I9" i="6"/>
  <c r="J9" i="6"/>
  <c r="G9" i="6"/>
  <c r="H9" i="6"/>
  <c r="H17" i="3"/>
  <c r="T34" i="18"/>
  <c r="T133" i="18"/>
  <c r="K26" i="2"/>
  <c r="N26" i="2" s="1"/>
  <c r="I27" i="2"/>
  <c r="I22" i="2" s="1"/>
  <c r="T16" i="2" s="1"/>
  <c r="U165" i="18"/>
  <c r="U168" i="18"/>
  <c r="U166" i="18"/>
  <c r="H22" i="3"/>
  <c r="J22" i="3" s="1"/>
  <c r="U167" i="18"/>
  <c r="G32" i="2"/>
  <c r="E29" i="2"/>
  <c r="U156" i="18"/>
  <c r="H21" i="3"/>
  <c r="J21" i="3" s="1"/>
  <c r="U157" i="18"/>
  <c r="U159" i="18"/>
  <c r="U155" i="18"/>
  <c r="U154" i="18"/>
  <c r="Q37" i="18"/>
  <c r="O120" i="18" s="1"/>
  <c r="Q34" i="18"/>
  <c r="Q38" i="18"/>
  <c r="H14" i="5"/>
  <c r="H20" i="5"/>
  <c r="E26" i="2"/>
  <c r="H53" i="18"/>
  <c r="Q33" i="18"/>
  <c r="U51" i="18"/>
  <c r="U50" i="18"/>
  <c r="F16" i="5"/>
  <c r="F15" i="5"/>
  <c r="K32" i="2"/>
  <c r="O1" i="6"/>
  <c r="K37" i="2"/>
  <c r="E36" i="2"/>
  <c r="K23" i="2"/>
  <c r="G38" i="2"/>
  <c r="G36" i="2" s="1"/>
  <c r="F36" i="2" s="1"/>
  <c r="H19" i="5"/>
  <c r="H25" i="5" s="1"/>
  <c r="N13" i="2"/>
  <c r="AF38" i="18"/>
  <c r="AF39" i="18" s="1"/>
  <c r="N15" i="2"/>
  <c r="T38" i="18"/>
  <c r="T65" i="18"/>
  <c r="I11" i="6"/>
  <c r="L11" i="6"/>
  <c r="N11" i="6"/>
  <c r="G11" i="6"/>
  <c r="T136" i="18"/>
  <c r="U66" i="18" l="1"/>
  <c r="AC38" i="18"/>
  <c r="U114" i="18"/>
  <c r="F5" i="3"/>
  <c r="D5" i="5" s="1"/>
  <c r="X127" i="18"/>
  <c r="U130" i="18" s="1"/>
  <c r="U125" i="18"/>
  <c r="H16" i="3"/>
  <c r="J16" i="3" s="1"/>
  <c r="U101" i="18"/>
  <c r="U124" i="18"/>
  <c r="U84" i="18"/>
  <c r="H11" i="6"/>
  <c r="U122" i="18"/>
  <c r="V114" i="18" s="1"/>
  <c r="U107" i="18"/>
  <c r="J11" i="6"/>
  <c r="U87" i="18"/>
  <c r="U92" i="18"/>
  <c r="U91" i="18"/>
  <c r="U97" i="18"/>
  <c r="C5" i="6"/>
  <c r="D6" i="5"/>
  <c r="D7" i="5" s="1"/>
  <c r="K11" i="6"/>
  <c r="V44" i="18"/>
  <c r="U89" i="18"/>
  <c r="F11" i="6"/>
  <c r="F12" i="6" s="1"/>
  <c r="J17" i="3"/>
  <c r="U99" i="18"/>
  <c r="U86" i="18"/>
  <c r="I2" i="18"/>
  <c r="F25" i="3" s="1"/>
  <c r="U112" i="18"/>
  <c r="U96" i="18"/>
  <c r="U83" i="18"/>
  <c r="U95" i="18"/>
  <c r="H15" i="5"/>
  <c r="V13" i="2"/>
  <c r="F29" i="5"/>
  <c r="F4" i="5" s="1"/>
  <c r="H28" i="18"/>
  <c r="G33" i="2"/>
  <c r="G29" i="2" s="1"/>
  <c r="U14" i="2"/>
  <c r="M19" i="2"/>
  <c r="M9" i="2" s="1"/>
  <c r="U139" i="18"/>
  <c r="U138" i="18"/>
  <c r="U128" i="18"/>
  <c r="H18" i="3"/>
  <c r="J18" i="3" s="1"/>
  <c r="U129" i="18"/>
  <c r="U58" i="18"/>
  <c r="U54" i="18"/>
  <c r="U67" i="18"/>
  <c r="U57" i="18"/>
  <c r="U53" i="18"/>
  <c r="U69" i="18"/>
  <c r="U55" i="18"/>
  <c r="U68" i="18"/>
  <c r="U56" i="18"/>
  <c r="H14" i="3"/>
  <c r="J14" i="3" s="1"/>
  <c r="V154" i="18"/>
  <c r="I38" i="2"/>
  <c r="N32" i="2"/>
  <c r="N23" i="2"/>
  <c r="H16" i="5"/>
  <c r="K27" i="2"/>
  <c r="K22" i="2" s="1"/>
  <c r="N27" i="2"/>
  <c r="X28" i="18"/>
  <c r="U39" i="18" s="1"/>
  <c r="E27" i="2"/>
  <c r="G26" i="2"/>
  <c r="N37" i="2"/>
  <c r="V143" i="18"/>
  <c r="P1" i="6"/>
  <c r="N9" i="6"/>
  <c r="H27" i="5"/>
  <c r="H24" i="5"/>
  <c r="H26" i="5"/>
  <c r="V161" i="18"/>
  <c r="G10" i="6"/>
  <c r="H10" i="6" s="1"/>
  <c r="I10" i="6" s="1"/>
  <c r="J10" i="6" s="1"/>
  <c r="K10" i="6" s="1"/>
  <c r="L10" i="6" s="1"/>
  <c r="M10" i="6" s="1"/>
  <c r="Y4" i="5"/>
  <c r="K17" i="6"/>
  <c r="T4" i="5"/>
  <c r="F17" i="6"/>
  <c r="J17" i="6"/>
  <c r="W4" i="5"/>
  <c r="I17" i="6"/>
  <c r="G17" i="6"/>
  <c r="L17" i="6"/>
  <c r="H17" i="6"/>
  <c r="M17" i="6"/>
  <c r="N17" i="6"/>
  <c r="U4" i="5"/>
  <c r="O17" i="6"/>
  <c r="U140" i="18" l="1"/>
  <c r="V80" i="18"/>
  <c r="F55" i="5"/>
  <c r="F53" i="5" s="1"/>
  <c r="J22" i="2"/>
  <c r="U16" i="2" s="1"/>
  <c r="V16" i="2"/>
  <c r="P17" i="6"/>
  <c r="X4" i="5"/>
  <c r="N22" i="2"/>
  <c r="N10" i="6"/>
  <c r="V127" i="18"/>
  <c r="K38" i="2"/>
  <c r="K36" i="2" s="1"/>
  <c r="I34" i="2"/>
  <c r="I36" i="2"/>
  <c r="T18" i="2" s="1"/>
  <c r="V53" i="18"/>
  <c r="H115" i="18"/>
  <c r="H29" i="18"/>
  <c r="F29" i="2"/>
  <c r="Q1" i="6"/>
  <c r="O11" i="6"/>
  <c r="P11" i="6"/>
  <c r="F51" i="5"/>
  <c r="F49" i="5"/>
  <c r="F52" i="5"/>
  <c r="F50" i="5"/>
  <c r="G27" i="2"/>
  <c r="G22" i="2" s="1"/>
  <c r="E22" i="2"/>
  <c r="C9" i="6"/>
  <c r="O9" i="6"/>
  <c r="U41" i="18"/>
  <c r="H12" i="3"/>
  <c r="U40" i="18"/>
  <c r="U42" i="18"/>
  <c r="U31" i="18"/>
  <c r="X2" i="18"/>
  <c r="V4" i="5"/>
  <c r="F18" i="6"/>
  <c r="F14" i="6"/>
  <c r="G12" i="6"/>
  <c r="V28" i="18" l="1"/>
  <c r="O10" i="6"/>
  <c r="H5" i="3"/>
  <c r="F5" i="5" s="1"/>
  <c r="J12" i="3"/>
  <c r="J5" i="3" s="1"/>
  <c r="F54" i="5"/>
  <c r="F22" i="2"/>
  <c r="H114" i="18"/>
  <c r="J36" i="2"/>
  <c r="U18" i="2" s="1"/>
  <c r="V18" i="2"/>
  <c r="N38" i="2"/>
  <c r="N36" i="2" s="1"/>
  <c r="K34" i="2"/>
  <c r="N34" i="2" s="1"/>
  <c r="I29" i="2"/>
  <c r="T17" i="2" s="1"/>
  <c r="R1" i="6"/>
  <c r="Q9" i="6"/>
  <c r="P9" i="6"/>
  <c r="H12" i="6"/>
  <c r="G14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P10" i="6" l="1"/>
  <c r="Q10" i="6" s="1"/>
  <c r="S1" i="6"/>
  <c r="C11" i="6"/>
  <c r="F6" i="5"/>
  <c r="F7" i="5" s="1"/>
  <c r="H25" i="3"/>
  <c r="Q17" i="6"/>
  <c r="Q11" i="6"/>
  <c r="G41" i="2"/>
  <c r="E42" i="2"/>
  <c r="H130" i="18"/>
  <c r="H127" i="18"/>
  <c r="H128" i="18"/>
  <c r="H80" i="18"/>
  <c r="H129" i="18"/>
  <c r="K29" i="2"/>
  <c r="N29" i="2"/>
  <c r="I12" i="6"/>
  <c r="H14" i="6"/>
  <c r="J29" i="2" l="1"/>
  <c r="U17" i="2" s="1"/>
  <c r="V17" i="2"/>
  <c r="I41" i="2"/>
  <c r="H81" i="18"/>
  <c r="R11" i="6"/>
  <c r="Q18" i="6"/>
  <c r="R17" i="6"/>
  <c r="G42" i="2"/>
  <c r="E43" i="2"/>
  <c r="H22" i="5"/>
  <c r="T1" i="6"/>
  <c r="S9" i="6"/>
  <c r="S11" i="6"/>
  <c r="S17" i="6"/>
  <c r="R9" i="6"/>
  <c r="R10" i="6" s="1"/>
  <c r="J12" i="6"/>
  <c r="I14" i="6"/>
  <c r="S10" i="6" l="1"/>
  <c r="G43" i="2"/>
  <c r="G40" i="2" s="1"/>
  <c r="E46" i="2"/>
  <c r="E40" i="2"/>
  <c r="H82" i="18"/>
  <c r="U1" i="6"/>
  <c r="K41" i="2"/>
  <c r="N41" i="2" s="1"/>
  <c r="I42" i="2"/>
  <c r="R18" i="6"/>
  <c r="S18" i="6" s="1"/>
  <c r="K12" i="6"/>
  <c r="J14" i="6"/>
  <c r="H21" i="5" l="1"/>
  <c r="F40" i="2"/>
  <c r="H143" i="18"/>
  <c r="H144" i="18" s="1"/>
  <c r="V1" i="6"/>
  <c r="U9" i="6"/>
  <c r="U11" i="6"/>
  <c r="U17" i="6"/>
  <c r="K42" i="2"/>
  <c r="I43" i="2"/>
  <c r="T11" i="6"/>
  <c r="H93" i="18"/>
  <c r="G46" i="2"/>
  <c r="T17" i="6"/>
  <c r="T18" i="6" s="1"/>
  <c r="T9" i="6"/>
  <c r="T10" i="6" s="1"/>
  <c r="L12" i="6"/>
  <c r="K14" i="6"/>
  <c r="U10" i="6" l="1"/>
  <c r="U18" i="6"/>
  <c r="E47" i="2"/>
  <c r="N42" i="2"/>
  <c r="N40" i="2" s="1"/>
  <c r="W1" i="6"/>
  <c r="V9" i="6"/>
  <c r="H94" i="18"/>
  <c r="I46" i="2"/>
  <c r="K43" i="2"/>
  <c r="K40" i="2" s="1"/>
  <c r="I40" i="2"/>
  <c r="T19" i="2" s="1"/>
  <c r="M12" i="6"/>
  <c r="L14" i="6"/>
  <c r="N43" i="2" l="1"/>
  <c r="V10" i="6"/>
  <c r="J9" i="2"/>
  <c r="V19" i="2"/>
  <c r="K2" i="2"/>
  <c r="K3" i="2" s="1"/>
  <c r="J40" i="2"/>
  <c r="U19" i="2" s="1"/>
  <c r="K46" i="2"/>
  <c r="X1" i="6"/>
  <c r="W17" i="6" s="1"/>
  <c r="W9" i="6"/>
  <c r="W10" i="6" s="1"/>
  <c r="E51" i="2"/>
  <c r="G47" i="2"/>
  <c r="E45" i="2"/>
  <c r="H95" i="18"/>
  <c r="V17" i="6"/>
  <c r="V18" i="6" s="1"/>
  <c r="V11" i="6"/>
  <c r="M14" i="6"/>
  <c r="N12" i="6"/>
  <c r="W18" i="6" l="1"/>
  <c r="E53" i="2"/>
  <c r="G53" i="2" s="1"/>
  <c r="G45" i="2"/>
  <c r="F45" i="2" s="1"/>
  <c r="G51" i="2"/>
  <c r="Z42" i="18"/>
  <c r="K4" i="2"/>
  <c r="Z41" i="18"/>
  <c r="I47" i="2"/>
  <c r="Y1" i="6"/>
  <c r="N46" i="2"/>
  <c r="N45" i="2" s="1"/>
  <c r="W11" i="6"/>
  <c r="N14" i="6"/>
  <c r="O12" i="6"/>
  <c r="E52" i="2" l="1"/>
  <c r="K47" i="2"/>
  <c r="I51" i="2"/>
  <c r="I45" i="2"/>
  <c r="T20" i="2" s="1"/>
  <c r="X17" i="6"/>
  <c r="X18" i="6" s="1"/>
  <c r="X11" i="6"/>
  <c r="X9" i="6"/>
  <c r="X10" i="6" s="1"/>
  <c r="Z1" i="6"/>
  <c r="Y9" i="6"/>
  <c r="Y11" i="6"/>
  <c r="P12" i="6"/>
  <c r="O14" i="6"/>
  <c r="AA1" i="6" l="1"/>
  <c r="Y10" i="6"/>
  <c r="G52" i="2"/>
  <c r="G50" i="2" s="1"/>
  <c r="E50" i="2"/>
  <c r="K51" i="2"/>
  <c r="K45" i="2"/>
  <c r="Y17" i="6"/>
  <c r="Y18" i="6" s="1"/>
  <c r="N47" i="2"/>
  <c r="Q12" i="6"/>
  <c r="P14" i="6"/>
  <c r="Z3" i="6" l="1"/>
  <c r="V20" i="2"/>
  <c r="J45" i="2"/>
  <c r="U20" i="2" s="1"/>
  <c r="AB1" i="6"/>
  <c r="AA9" i="6"/>
  <c r="AA11" i="6"/>
  <c r="AA17" i="6"/>
  <c r="N51" i="2"/>
  <c r="H161" i="18"/>
  <c r="F50" i="2"/>
  <c r="H154" i="18"/>
  <c r="H23" i="5"/>
  <c r="AA3" i="6" s="1"/>
  <c r="Z17" i="6"/>
  <c r="Z18" i="6" s="1"/>
  <c r="Z11" i="6"/>
  <c r="Z9" i="6"/>
  <c r="Z10" i="6" s="1"/>
  <c r="R12" i="6"/>
  <c r="Q14" i="6"/>
  <c r="AA10" i="6" l="1"/>
  <c r="AA18" i="6"/>
  <c r="AC1" i="6"/>
  <c r="AB5" i="6"/>
  <c r="AB9" i="6"/>
  <c r="AB10" i="6" s="1"/>
  <c r="AB3" i="6"/>
  <c r="AB11" i="6"/>
  <c r="AB17" i="6"/>
  <c r="U3" i="6"/>
  <c r="H3" i="6"/>
  <c r="N3" i="6"/>
  <c r="S3" i="6"/>
  <c r="F3" i="6"/>
  <c r="I3" i="6"/>
  <c r="Q3" i="6"/>
  <c r="R3" i="6"/>
  <c r="G3" i="6"/>
  <c r="J3" i="6"/>
  <c r="V3" i="6"/>
  <c r="P3" i="6"/>
  <c r="M3" i="6"/>
  <c r="T3" i="6"/>
  <c r="L3" i="6"/>
  <c r="K3" i="6"/>
  <c r="O3" i="6"/>
  <c r="W3" i="6"/>
  <c r="X3" i="6"/>
  <c r="Y3" i="6"/>
  <c r="AA5" i="6"/>
  <c r="W5" i="6"/>
  <c r="U5" i="6"/>
  <c r="V5" i="6"/>
  <c r="S5" i="6"/>
  <c r="X5" i="6"/>
  <c r="Y5" i="6"/>
  <c r="Z5" i="6"/>
  <c r="K52" i="2"/>
  <c r="G5" i="6"/>
  <c r="O5" i="6"/>
  <c r="H5" i="6"/>
  <c r="N5" i="6"/>
  <c r="K5" i="6"/>
  <c r="M5" i="6"/>
  <c r="P5" i="6"/>
  <c r="I5" i="6"/>
  <c r="F5" i="6"/>
  <c r="R5" i="6"/>
  <c r="L5" i="6"/>
  <c r="T5" i="6"/>
  <c r="J5" i="6"/>
  <c r="Q5" i="6"/>
  <c r="S12" i="6"/>
  <c r="R14" i="6"/>
  <c r="N52" i="2" l="1"/>
  <c r="I53" i="2"/>
  <c r="AB18" i="6"/>
  <c r="F4" i="6"/>
  <c r="AD1" i="6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T12" i="6"/>
  <c r="S14" i="6"/>
  <c r="K53" i="2" l="1"/>
  <c r="I50" i="2"/>
  <c r="T21" i="2" s="1"/>
  <c r="AE1" i="6"/>
  <c r="AD11" i="6" s="1"/>
  <c r="AD3" i="6"/>
  <c r="AC5" i="6"/>
  <c r="AC6" i="6" s="1"/>
  <c r="G4" i="6"/>
  <c r="F7" i="6"/>
  <c r="AC17" i="6"/>
  <c r="AC18" i="6" s="1"/>
  <c r="AC11" i="6"/>
  <c r="AC9" i="6"/>
  <c r="AC10" i="6" s="1"/>
  <c r="AC3" i="6"/>
  <c r="U12" i="6"/>
  <c r="T14" i="6"/>
  <c r="N53" i="2" l="1"/>
  <c r="K50" i="2"/>
  <c r="AD17" i="6"/>
  <c r="AD18" i="6" s="1"/>
  <c r="AF1" i="6"/>
  <c r="AE3" i="6" s="1"/>
  <c r="H4" i="6"/>
  <c r="G7" i="6"/>
  <c r="AD9" i="6"/>
  <c r="AD10" i="6" s="1"/>
  <c r="AD5" i="6"/>
  <c r="AD6" i="6" s="1"/>
  <c r="V12" i="6"/>
  <c r="U14" i="6"/>
  <c r="N50" i="2" l="1"/>
  <c r="N9" i="2" s="1"/>
  <c r="V21" i="2"/>
  <c r="J50" i="2"/>
  <c r="U21" i="2" s="1"/>
  <c r="I4" i="6"/>
  <c r="H7" i="6"/>
  <c r="AE17" i="6"/>
  <c r="AE18" i="6" s="1"/>
  <c r="AE11" i="6"/>
  <c r="AE9" i="6"/>
  <c r="AE10" i="6" s="1"/>
  <c r="AE5" i="6"/>
  <c r="AG1" i="6"/>
  <c r="AF9" i="6"/>
  <c r="W12" i="6"/>
  <c r="V14" i="6"/>
  <c r="AF10" i="6" l="1"/>
  <c r="AE6" i="6"/>
  <c r="AH1" i="6"/>
  <c r="AG3" i="6" s="1"/>
  <c r="AF3" i="6"/>
  <c r="J4" i="6"/>
  <c r="I7" i="6"/>
  <c r="AF17" i="6"/>
  <c r="AF18" i="6" s="1"/>
  <c r="AF11" i="6"/>
  <c r="AF5" i="6"/>
  <c r="X12" i="6"/>
  <c r="W14" i="6"/>
  <c r="AG17" i="6" l="1"/>
  <c r="AG18" i="6" s="1"/>
  <c r="AG11" i="6"/>
  <c r="AG9" i="6"/>
  <c r="AG10" i="6" s="1"/>
  <c r="AG5" i="6"/>
  <c r="AF6" i="6"/>
  <c r="K4" i="6"/>
  <c r="J7" i="6"/>
  <c r="AI1" i="6"/>
  <c r="AH9" i="6"/>
  <c r="AH3" i="6"/>
  <c r="AH5" i="6"/>
  <c r="Y12" i="6"/>
  <c r="X14" i="6"/>
  <c r="AJ1" i="6" l="1"/>
  <c r="AI5" i="6"/>
  <c r="AI3" i="6"/>
  <c r="AI9" i="6"/>
  <c r="AI11" i="6"/>
  <c r="AI17" i="6"/>
  <c r="K7" i="6"/>
  <c r="L4" i="6"/>
  <c r="AG6" i="6"/>
  <c r="AH6" i="6" s="1"/>
  <c r="AH10" i="6"/>
  <c r="AH17" i="6"/>
  <c r="AH18" i="6" s="1"/>
  <c r="AH11" i="6"/>
  <c r="Z12" i="6"/>
  <c r="Y14" i="6"/>
  <c r="AI6" i="6" l="1"/>
  <c r="AI10" i="6"/>
  <c r="AI18" i="6"/>
  <c r="L7" i="6"/>
  <c r="M4" i="6"/>
  <c r="AK1" i="6"/>
  <c r="AJ3" i="6"/>
  <c r="AJ9" i="6"/>
  <c r="AJ11" i="6"/>
  <c r="AJ17" i="6"/>
  <c r="AJ18" i="6" s="1"/>
  <c r="AA12" i="6"/>
  <c r="Z14" i="6"/>
  <c r="AJ10" i="6" l="1"/>
  <c r="M7" i="6"/>
  <c r="N4" i="6"/>
  <c r="AL1" i="6"/>
  <c r="AK11" i="6" s="1"/>
  <c r="AK5" i="6"/>
  <c r="AK9" i="6"/>
  <c r="AJ5" i="6"/>
  <c r="AJ6" i="6" s="1"/>
  <c r="AB12" i="6"/>
  <c r="AA14" i="6"/>
  <c r="AK10" i="6" l="1"/>
  <c r="AK6" i="6"/>
  <c r="AK3" i="6"/>
  <c r="N7" i="6"/>
  <c r="O4" i="6"/>
  <c r="AK17" i="6"/>
  <c r="AK18" i="6" s="1"/>
  <c r="AM1" i="6"/>
  <c r="AL5" i="6"/>
  <c r="AL3" i="6"/>
  <c r="AL9" i="6"/>
  <c r="AL10" i="6" s="1"/>
  <c r="AL11" i="6"/>
  <c r="AL17" i="6"/>
  <c r="AC12" i="6"/>
  <c r="AB14" i="6"/>
  <c r="AL18" i="6" l="1"/>
  <c r="AL6" i="6"/>
  <c r="AN1" i="6"/>
  <c r="AM5" i="6"/>
  <c r="AM9" i="6"/>
  <c r="AM10" i="6" s="1"/>
  <c r="AM11" i="6"/>
  <c r="AM17" i="6"/>
  <c r="P4" i="6"/>
  <c r="O7" i="6"/>
  <c r="AD12" i="6"/>
  <c r="AC14" i="6"/>
  <c r="P7" i="6" l="1"/>
  <c r="Q4" i="6"/>
  <c r="AO1" i="6"/>
  <c r="AN5" i="6"/>
  <c r="AN3" i="6"/>
  <c r="AN9" i="6"/>
  <c r="AN10" i="6" s="1"/>
  <c r="AN11" i="6"/>
  <c r="AN17" i="6"/>
  <c r="AM3" i="6"/>
  <c r="AM6" i="6"/>
  <c r="AM18" i="6"/>
  <c r="AE12" i="6"/>
  <c r="AD14" i="6"/>
  <c r="AN6" i="6" l="1"/>
  <c r="AN18" i="6"/>
  <c r="AP1" i="6"/>
  <c r="AO17" i="6" s="1"/>
  <c r="AO5" i="6"/>
  <c r="AO6" i="6" s="1"/>
  <c r="AO3" i="6"/>
  <c r="AO11" i="6"/>
  <c r="R4" i="6"/>
  <c r="Q7" i="6"/>
  <c r="AF12" i="6"/>
  <c r="AE14" i="6"/>
  <c r="AO18" i="6" l="1"/>
  <c r="AO9" i="6"/>
  <c r="AO10" i="6" s="1"/>
  <c r="R7" i="6"/>
  <c r="S4" i="6"/>
  <c r="AQ1" i="6"/>
  <c r="AP5" i="6"/>
  <c r="AP6" i="6" s="1"/>
  <c r="AP9" i="6"/>
  <c r="AP11" i="6"/>
  <c r="AP17" i="6"/>
  <c r="AP18" i="6" s="1"/>
  <c r="AF14" i="6"/>
  <c r="AG12" i="6"/>
  <c r="AP10" i="6" l="1"/>
  <c r="AR1" i="6"/>
  <c r="AQ5" i="6"/>
  <c r="AQ6" i="6" s="1"/>
  <c r="AQ3" i="6"/>
  <c r="AQ9" i="6"/>
  <c r="AQ10" i="6" s="1"/>
  <c r="AQ11" i="6"/>
  <c r="AQ17" i="6"/>
  <c r="AQ18" i="6" s="1"/>
  <c r="AP3" i="6"/>
  <c r="T4" i="6"/>
  <c r="S7" i="6"/>
  <c r="AG14" i="6"/>
  <c r="AH12" i="6"/>
  <c r="U4" i="6" l="1"/>
  <c r="T7" i="6"/>
  <c r="AS1" i="6"/>
  <c r="AR5" i="6"/>
  <c r="AR6" i="6" s="1"/>
  <c r="AR3" i="6"/>
  <c r="AR9" i="6"/>
  <c r="AR10" i="6" s="1"/>
  <c r="AR11" i="6"/>
  <c r="AR17" i="6"/>
  <c r="AR18" i="6" s="1"/>
  <c r="AH14" i="6"/>
  <c r="AI12" i="6"/>
  <c r="AT1" i="6" l="1"/>
  <c r="AS5" i="6"/>
  <c r="AS6" i="6" s="1"/>
  <c r="AS3" i="6"/>
  <c r="AS9" i="6"/>
  <c r="AS10" i="6" s="1"/>
  <c r="AS11" i="6"/>
  <c r="AS17" i="6"/>
  <c r="AS18" i="6" s="1"/>
  <c r="U7" i="6"/>
  <c r="V4" i="6"/>
  <c r="AJ12" i="6"/>
  <c r="AI14" i="6"/>
  <c r="W4" i="6" l="1"/>
  <c r="V7" i="6"/>
  <c r="AU1" i="6"/>
  <c r="AT9" i="6"/>
  <c r="AT10" i="6" s="1"/>
  <c r="AT5" i="6"/>
  <c r="AT6" i="6" s="1"/>
  <c r="AT3" i="6"/>
  <c r="AT11" i="6"/>
  <c r="AT17" i="6"/>
  <c r="AT18" i="6" s="1"/>
  <c r="AK12" i="6"/>
  <c r="AJ14" i="6"/>
  <c r="AV1" i="6" l="1"/>
  <c r="AU5" i="6"/>
  <c r="AU6" i="6" s="1"/>
  <c r="AU3" i="6"/>
  <c r="AU9" i="6"/>
  <c r="AU10" i="6" s="1"/>
  <c r="AU11" i="6"/>
  <c r="AU17" i="6"/>
  <c r="AU18" i="6" s="1"/>
  <c r="W7" i="6"/>
  <c r="X4" i="6"/>
  <c r="AL12" i="6"/>
  <c r="AK14" i="6"/>
  <c r="X7" i="6" l="1"/>
  <c r="Y4" i="6"/>
  <c r="AW1" i="6"/>
  <c r="AV3" i="6"/>
  <c r="AV9" i="6"/>
  <c r="AV10" i="6" s="1"/>
  <c r="AV5" i="6"/>
  <c r="AV6" i="6" s="1"/>
  <c r="AV11" i="6"/>
  <c r="AV17" i="6"/>
  <c r="AV18" i="6" s="1"/>
  <c r="AM12" i="6"/>
  <c r="AL14" i="6"/>
  <c r="AX1" i="6" l="1"/>
  <c r="AW9" i="6"/>
  <c r="AW10" i="6" s="1"/>
  <c r="AW3" i="6"/>
  <c r="AW5" i="6"/>
  <c r="AW6" i="6" s="1"/>
  <c r="AW11" i="6"/>
  <c r="AW17" i="6"/>
  <c r="AW18" i="6" s="1"/>
  <c r="Z4" i="6"/>
  <c r="Y7" i="6"/>
  <c r="AN12" i="6"/>
  <c r="AM14" i="6"/>
  <c r="AA4" i="6" l="1"/>
  <c r="Z7" i="6"/>
  <c r="AY1" i="6"/>
  <c r="AX17" i="6"/>
  <c r="AX18" i="6" s="1"/>
  <c r="AO12" i="6"/>
  <c r="AN14" i="6"/>
  <c r="AZ1" i="6" l="1"/>
  <c r="AY5" i="6"/>
  <c r="AY9" i="6"/>
  <c r="AY11" i="6"/>
  <c r="AY17" i="6"/>
  <c r="AY18" i="6" s="1"/>
  <c r="AX11" i="6"/>
  <c r="AX9" i="6"/>
  <c r="AX10" i="6" s="1"/>
  <c r="AY10" i="6" s="1"/>
  <c r="AX5" i="6"/>
  <c r="AX6" i="6" s="1"/>
  <c r="AY6" i="6" s="1"/>
  <c r="AX3" i="6"/>
  <c r="AB4" i="6"/>
  <c r="AA7" i="6"/>
  <c r="AP12" i="6"/>
  <c r="AO14" i="6"/>
  <c r="AC4" i="6" l="1"/>
  <c r="AB7" i="6"/>
  <c r="BA1" i="6"/>
  <c r="AZ5" i="6"/>
  <c r="AZ6" i="6" s="1"/>
  <c r="AZ3" i="6"/>
  <c r="AZ9" i="6"/>
  <c r="AZ10" i="6" s="1"/>
  <c r="AZ11" i="6"/>
  <c r="AZ17" i="6"/>
  <c r="AZ18" i="6" s="1"/>
  <c r="AY3" i="6"/>
  <c r="AQ12" i="6"/>
  <c r="AP14" i="6"/>
  <c r="BB1" i="6" l="1"/>
  <c r="BA5" i="6"/>
  <c r="BA6" i="6" s="1"/>
  <c r="BA9" i="6"/>
  <c r="BA10" i="6" s="1"/>
  <c r="BA3" i="6"/>
  <c r="BA11" i="6"/>
  <c r="BA17" i="6"/>
  <c r="BA18" i="6" s="1"/>
  <c r="AD4" i="6"/>
  <c r="AC7" i="6"/>
  <c r="AR12" i="6"/>
  <c r="AQ14" i="6"/>
  <c r="AD7" i="6" l="1"/>
  <c r="AE4" i="6"/>
  <c r="BC1" i="6"/>
  <c r="BB3" i="6" s="1"/>
  <c r="BB5" i="6"/>
  <c r="BB6" i="6" s="1"/>
  <c r="BB9" i="6"/>
  <c r="BB10" i="6" s="1"/>
  <c r="BB11" i="6"/>
  <c r="BB17" i="6"/>
  <c r="BB18" i="6" s="1"/>
  <c r="AS12" i="6"/>
  <c r="AR14" i="6"/>
  <c r="AE7" i="6" l="1"/>
  <c r="AF4" i="6"/>
  <c r="BD1" i="6"/>
  <c r="BC5" i="6"/>
  <c r="BC6" i="6" s="1"/>
  <c r="BC9" i="6"/>
  <c r="BC10" i="6" s="1"/>
  <c r="BC3" i="6"/>
  <c r="BC11" i="6"/>
  <c r="BC17" i="6"/>
  <c r="BC18" i="6" s="1"/>
  <c r="AS14" i="6"/>
  <c r="AT12" i="6"/>
  <c r="BE1" i="6" l="1"/>
  <c r="BD3" i="6"/>
  <c r="BD5" i="6"/>
  <c r="BD6" i="6" s="1"/>
  <c r="BD9" i="6"/>
  <c r="BD10" i="6" s="1"/>
  <c r="BD17" i="6"/>
  <c r="BD18" i="6" s="1"/>
  <c r="BD11" i="6"/>
  <c r="AG4" i="6"/>
  <c r="AF7" i="6"/>
  <c r="AU12" i="6"/>
  <c r="AT14" i="6"/>
  <c r="AH4" i="6" l="1"/>
  <c r="AG7" i="6"/>
  <c r="BF1" i="6"/>
  <c r="BE5" i="6"/>
  <c r="BE6" i="6" s="1"/>
  <c r="BE9" i="6"/>
  <c r="BE10" i="6" s="1"/>
  <c r="BE3" i="6"/>
  <c r="BE11" i="6"/>
  <c r="BE17" i="6"/>
  <c r="BE18" i="6" s="1"/>
  <c r="AU14" i="6"/>
  <c r="AV12" i="6"/>
  <c r="BG1" i="6" l="1"/>
  <c r="BF11" i="6"/>
  <c r="BF17" i="6"/>
  <c r="BF18" i="6" s="1"/>
  <c r="AI4" i="6"/>
  <c r="AH7" i="6"/>
  <c r="AV14" i="6"/>
  <c r="AW12" i="6"/>
  <c r="AJ4" i="6" l="1"/>
  <c r="AI7" i="6"/>
  <c r="BH1" i="6"/>
  <c r="BG5" i="6"/>
  <c r="BG3" i="6"/>
  <c r="BG9" i="6"/>
  <c r="BG11" i="6"/>
  <c r="BG17" i="6"/>
  <c r="BG18" i="6" s="1"/>
  <c r="BF9" i="6"/>
  <c r="BF10" i="6" s="1"/>
  <c r="BF3" i="6"/>
  <c r="BF5" i="6"/>
  <c r="BF6" i="6" s="1"/>
  <c r="BG6" i="6" s="1"/>
  <c r="AX12" i="6"/>
  <c r="AW14" i="6"/>
  <c r="BG10" i="6" l="1"/>
  <c r="BI1" i="6"/>
  <c r="BH3" i="6"/>
  <c r="BH11" i="6"/>
  <c r="BH17" i="6"/>
  <c r="BH18" i="6" s="1"/>
  <c r="AK4" i="6"/>
  <c r="AJ7" i="6"/>
  <c r="AY12" i="6"/>
  <c r="AX14" i="6"/>
  <c r="BJ1" i="6" l="1"/>
  <c r="BI5" i="6"/>
  <c r="BI3" i="6"/>
  <c r="BI9" i="6"/>
  <c r="BI11" i="6"/>
  <c r="BI17" i="6"/>
  <c r="BI18" i="6" s="1"/>
  <c r="BH9" i="6"/>
  <c r="BH10" i="6" s="1"/>
  <c r="BH5" i="6"/>
  <c r="BH6" i="6" s="1"/>
  <c r="BI6" i="6" s="1"/>
  <c r="AL4" i="6"/>
  <c r="AK7" i="6"/>
  <c r="AZ12" i="6"/>
  <c r="AY14" i="6"/>
  <c r="BI10" i="6" l="1"/>
  <c r="AM4" i="6"/>
  <c r="AL7" i="6"/>
  <c r="BK1" i="6"/>
  <c r="BJ3" i="6"/>
  <c r="BJ9" i="6"/>
  <c r="BJ5" i="6"/>
  <c r="BJ6" i="6" s="1"/>
  <c r="BJ11" i="6"/>
  <c r="BJ17" i="6"/>
  <c r="BJ18" i="6" s="1"/>
  <c r="BA12" i="6"/>
  <c r="AZ14" i="6"/>
  <c r="BJ10" i="6" l="1"/>
  <c r="BL1" i="6"/>
  <c r="BK3" i="6"/>
  <c r="BK9" i="6"/>
  <c r="BK10" i="6" s="1"/>
  <c r="BK11" i="6"/>
  <c r="BK17" i="6"/>
  <c r="BK18" i="6" s="1"/>
  <c r="AM7" i="6"/>
  <c r="AN4" i="6"/>
  <c r="BB12" i="6"/>
  <c r="BA14" i="6"/>
  <c r="AN7" i="6" l="1"/>
  <c r="AO4" i="6"/>
  <c r="BM1" i="6"/>
  <c r="BL5" i="6"/>
  <c r="BL3" i="6"/>
  <c r="BL9" i="6"/>
  <c r="BL10" i="6" s="1"/>
  <c r="BL11" i="6"/>
  <c r="BL17" i="6"/>
  <c r="BL18" i="6" s="1"/>
  <c r="BK5" i="6"/>
  <c r="BK6" i="6" s="1"/>
  <c r="BL6" i="6" s="1"/>
  <c r="BC12" i="6"/>
  <c r="BB14" i="6"/>
  <c r="BN1" i="6" l="1"/>
  <c r="BM5" i="6"/>
  <c r="BM6" i="6" s="1"/>
  <c r="BM3" i="6"/>
  <c r="BM9" i="6"/>
  <c r="BM10" i="6" s="1"/>
  <c r="BM11" i="6"/>
  <c r="BM17" i="6"/>
  <c r="BM18" i="6" s="1"/>
  <c r="AP4" i="6"/>
  <c r="AO7" i="6"/>
  <c r="BD12" i="6"/>
  <c r="BC14" i="6"/>
  <c r="AP7" i="6" l="1"/>
  <c r="AQ4" i="6"/>
  <c r="BN5" i="6"/>
  <c r="BN6" i="6" s="1"/>
  <c r="BO1" i="6"/>
  <c r="BN3" i="6"/>
  <c r="BN9" i="6"/>
  <c r="BN10" i="6" s="1"/>
  <c r="BN11" i="6"/>
  <c r="BN17" i="6"/>
  <c r="BN18" i="6" s="1"/>
  <c r="BE12" i="6"/>
  <c r="BD14" i="6"/>
  <c r="BP1" i="6" l="1"/>
  <c r="BO3" i="6"/>
  <c r="BO5" i="6"/>
  <c r="BO6" i="6" s="1"/>
  <c r="BO9" i="6"/>
  <c r="BO10" i="6" s="1"/>
  <c r="BO11" i="6"/>
  <c r="BO17" i="6"/>
  <c r="BO18" i="6" s="1"/>
  <c r="AQ7" i="6"/>
  <c r="AR4" i="6"/>
  <c r="BF12" i="6"/>
  <c r="BE14" i="6"/>
  <c r="BQ1" i="6" l="1"/>
  <c r="BP5" i="6"/>
  <c r="BP6" i="6" s="1"/>
  <c r="BP3" i="6"/>
  <c r="BP9" i="6"/>
  <c r="BP10" i="6" s="1"/>
  <c r="BP11" i="6"/>
  <c r="BP17" i="6"/>
  <c r="BP18" i="6" s="1"/>
  <c r="AS4" i="6"/>
  <c r="AR7" i="6"/>
  <c r="BG12" i="6"/>
  <c r="BF14" i="6"/>
  <c r="AS7" i="6" l="1"/>
  <c r="AT4" i="6"/>
  <c r="BR1" i="6"/>
  <c r="BQ3" i="6"/>
  <c r="BQ5" i="6"/>
  <c r="BQ6" i="6" s="1"/>
  <c r="BQ9" i="6"/>
  <c r="BQ10" i="6" s="1"/>
  <c r="BQ11" i="6"/>
  <c r="BQ17" i="6"/>
  <c r="BQ18" i="6" s="1"/>
  <c r="BH12" i="6"/>
  <c r="BG14" i="6"/>
  <c r="BS1" i="6" l="1"/>
  <c r="BR3" i="6"/>
  <c r="BR9" i="6"/>
  <c r="BR10" i="6" s="1"/>
  <c r="BR5" i="6"/>
  <c r="BR6" i="6" s="1"/>
  <c r="AU4" i="6"/>
  <c r="AT7" i="6"/>
  <c r="BI12" i="6"/>
  <c r="BH14" i="6"/>
  <c r="BT1" i="6" l="1"/>
  <c r="BS5" i="6"/>
  <c r="BS6" i="6" s="1"/>
  <c r="BS9" i="6"/>
  <c r="BS10" i="6" s="1"/>
  <c r="BS11" i="6"/>
  <c r="BS17" i="6"/>
  <c r="AV4" i="6"/>
  <c r="AU7" i="6"/>
  <c r="BR17" i="6"/>
  <c r="BR18" i="6" s="1"/>
  <c r="BR11" i="6"/>
  <c r="BJ12" i="6"/>
  <c r="BI14" i="6"/>
  <c r="BS18" i="6" l="1"/>
  <c r="AW4" i="6"/>
  <c r="AV7" i="6"/>
  <c r="BU1" i="6"/>
  <c r="BT9" i="6"/>
  <c r="BT10" i="6" s="1"/>
  <c r="BT3" i="6"/>
  <c r="BT5" i="6"/>
  <c r="BT6" i="6" s="1"/>
  <c r="BT11" i="6"/>
  <c r="BT17" i="6"/>
  <c r="BS3" i="6"/>
  <c r="BK12" i="6"/>
  <c r="BJ14" i="6"/>
  <c r="BV1" i="6" l="1"/>
  <c r="BU3" i="6"/>
  <c r="BU5" i="6"/>
  <c r="BU6" i="6" s="1"/>
  <c r="BU9" i="6"/>
  <c r="BU10" i="6" s="1"/>
  <c r="BU11" i="6"/>
  <c r="BU17" i="6"/>
  <c r="AX4" i="6"/>
  <c r="AW7" i="6"/>
  <c r="BT18" i="6"/>
  <c r="BL12" i="6"/>
  <c r="BK14" i="6"/>
  <c r="BU18" i="6" l="1"/>
  <c r="AY4" i="6"/>
  <c r="AX7" i="6"/>
  <c r="BW1" i="6"/>
  <c r="BV3" i="6"/>
  <c r="BV9" i="6"/>
  <c r="BV10" i="6" s="1"/>
  <c r="BV5" i="6"/>
  <c r="BV6" i="6" s="1"/>
  <c r="BV11" i="6"/>
  <c r="BV17" i="6"/>
  <c r="BM12" i="6"/>
  <c r="BL14" i="6"/>
  <c r="BX1" i="6" l="1"/>
  <c r="BW9" i="6"/>
  <c r="BW10" i="6" s="1"/>
  <c r="BW5" i="6"/>
  <c r="BW6" i="6" s="1"/>
  <c r="BW3" i="6"/>
  <c r="BW11" i="6"/>
  <c r="BW17" i="6"/>
  <c r="AZ4" i="6"/>
  <c r="AY7" i="6"/>
  <c r="BV18" i="6"/>
  <c r="BM14" i="6"/>
  <c r="BN12" i="6"/>
  <c r="BW18" i="6" l="1"/>
  <c r="BA4" i="6"/>
  <c r="AZ7" i="6"/>
  <c r="BY1" i="6"/>
  <c r="BX3" i="6"/>
  <c r="BX5" i="6"/>
  <c r="BX6" i="6" s="1"/>
  <c r="BX9" i="6"/>
  <c r="BX10" i="6" s="1"/>
  <c r="BX11" i="6"/>
  <c r="BX17" i="6"/>
  <c r="BO12" i="6"/>
  <c r="BN14" i="6"/>
  <c r="BZ1" i="6" l="1"/>
  <c r="BY9" i="6"/>
  <c r="BY10" i="6" s="1"/>
  <c r="BY5" i="6"/>
  <c r="BY6" i="6" s="1"/>
  <c r="BY3" i="6"/>
  <c r="BY11" i="6"/>
  <c r="BY17" i="6"/>
  <c r="BB4" i="6"/>
  <c r="BA7" i="6"/>
  <c r="BX18" i="6"/>
  <c r="BP12" i="6"/>
  <c r="BO14" i="6"/>
  <c r="BY18" i="6" l="1"/>
  <c r="BC4" i="6"/>
  <c r="BB7" i="6"/>
  <c r="CA1" i="6"/>
  <c r="BZ5" i="6" s="1"/>
  <c r="BZ6" i="6" s="1"/>
  <c r="BZ17" i="6"/>
  <c r="BZ18" i="6" s="1"/>
  <c r="BQ12" i="6"/>
  <c r="BP14" i="6"/>
  <c r="CB1" i="6" l="1"/>
  <c r="CA5" i="6"/>
  <c r="CA6" i="6" s="1"/>
  <c r="CA9" i="6"/>
  <c r="CA3" i="6"/>
  <c r="CA11" i="6"/>
  <c r="CA17" i="6"/>
  <c r="CA18" i="6" s="1"/>
  <c r="BZ11" i="6"/>
  <c r="BZ3" i="6"/>
  <c r="BZ9" i="6"/>
  <c r="BZ10" i="6" s="1"/>
  <c r="BD4" i="6"/>
  <c r="BC7" i="6"/>
  <c r="BQ14" i="6"/>
  <c r="BR12" i="6"/>
  <c r="CA10" i="6" l="1"/>
  <c r="BD7" i="6"/>
  <c r="BE4" i="6"/>
  <c r="CC1" i="6"/>
  <c r="CB5" i="6"/>
  <c r="CB6" i="6" s="1"/>
  <c r="CB3" i="6"/>
  <c r="CB9" i="6"/>
  <c r="CB10" i="6" s="1"/>
  <c r="CB11" i="6"/>
  <c r="CB17" i="6"/>
  <c r="CB18" i="6" s="1"/>
  <c r="BS12" i="6"/>
  <c r="BR14" i="6"/>
  <c r="CD1" i="6" l="1"/>
  <c r="CC3" i="6"/>
  <c r="CC9" i="6"/>
  <c r="CC10" i="6" s="1"/>
  <c r="CC11" i="6"/>
  <c r="CC17" i="6"/>
  <c r="CC18" i="6" s="1"/>
  <c r="BF4" i="6"/>
  <c r="BE7" i="6"/>
  <c r="BT12" i="6"/>
  <c r="BS14" i="6"/>
  <c r="BF7" i="6" l="1"/>
  <c r="BG4" i="6"/>
  <c r="CE1" i="6"/>
  <c r="CD5" i="6" s="1"/>
  <c r="CD3" i="6"/>
  <c r="CD9" i="6"/>
  <c r="CD10" i="6" s="1"/>
  <c r="CD11" i="6"/>
  <c r="CD17" i="6"/>
  <c r="CD18" i="6" s="1"/>
  <c r="CC5" i="6"/>
  <c r="CC6" i="6" s="1"/>
  <c r="BU12" i="6"/>
  <c r="BT14" i="6"/>
  <c r="CD6" i="6" l="1"/>
  <c r="BH4" i="6"/>
  <c r="BG7" i="6"/>
  <c r="CF1" i="6"/>
  <c r="CE5" i="6"/>
  <c r="CE3" i="6"/>
  <c r="CE9" i="6"/>
  <c r="CE10" i="6" s="1"/>
  <c r="CE11" i="6"/>
  <c r="CE17" i="6"/>
  <c r="CE18" i="6" s="1"/>
  <c r="BV12" i="6"/>
  <c r="BU14" i="6"/>
  <c r="CG1" i="6" l="1"/>
  <c r="CF5" i="6"/>
  <c r="CF9" i="6"/>
  <c r="CF10" i="6" s="1"/>
  <c r="CF3" i="6"/>
  <c r="CF11" i="6"/>
  <c r="CF17" i="6"/>
  <c r="CF18" i="6" s="1"/>
  <c r="BH7" i="6"/>
  <c r="BI4" i="6"/>
  <c r="CE6" i="6"/>
  <c r="BW12" i="6"/>
  <c r="BV14" i="6"/>
  <c r="CF6" i="6" l="1"/>
  <c r="BJ4" i="6"/>
  <c r="BI7" i="6"/>
  <c r="CH1" i="6"/>
  <c r="CG3" i="6"/>
  <c r="CG9" i="6"/>
  <c r="CG10" i="6" s="1"/>
  <c r="CG11" i="6"/>
  <c r="CG17" i="6"/>
  <c r="CG18" i="6" s="1"/>
  <c r="BX12" i="6"/>
  <c r="BW14" i="6"/>
  <c r="CI1" i="6" l="1"/>
  <c r="CH3" i="6"/>
  <c r="CH5" i="6"/>
  <c r="CH9" i="6"/>
  <c r="CH10" i="6" s="1"/>
  <c r="CH11" i="6"/>
  <c r="CH17" i="6"/>
  <c r="CH18" i="6" s="1"/>
  <c r="CG5" i="6"/>
  <c r="CG6" i="6" s="1"/>
  <c r="BJ7" i="6"/>
  <c r="BK4" i="6"/>
  <c r="BY12" i="6"/>
  <c r="BX14" i="6"/>
  <c r="CH6" i="6" l="1"/>
  <c r="BL4" i="6"/>
  <c r="BK7" i="6"/>
  <c r="CJ1" i="6"/>
  <c r="CI5" i="6"/>
  <c r="CI6" i="6" s="1"/>
  <c r="CI9" i="6"/>
  <c r="CI10" i="6" s="1"/>
  <c r="CI11" i="6"/>
  <c r="CI17" i="6"/>
  <c r="CI18" i="6" s="1"/>
  <c r="BZ12" i="6"/>
  <c r="BY14" i="6"/>
  <c r="CK1" i="6" l="1"/>
  <c r="CJ3" i="6"/>
  <c r="CJ9" i="6"/>
  <c r="CJ10" i="6" s="1"/>
  <c r="CJ5" i="6"/>
  <c r="CJ6" i="6" s="1"/>
  <c r="CJ11" i="6"/>
  <c r="CJ17" i="6"/>
  <c r="CJ18" i="6" s="1"/>
  <c r="CI3" i="6"/>
  <c r="BM4" i="6"/>
  <c r="BL7" i="6"/>
  <c r="CA12" i="6"/>
  <c r="BZ14" i="6"/>
  <c r="BN4" i="6" l="1"/>
  <c r="BM7" i="6"/>
  <c r="CL1" i="6"/>
  <c r="CK9" i="6"/>
  <c r="CK10" i="6" s="1"/>
  <c r="CK3" i="6"/>
  <c r="CK11" i="6"/>
  <c r="CK17" i="6"/>
  <c r="CK18" i="6" s="1"/>
  <c r="CB12" i="6"/>
  <c r="CA14" i="6"/>
  <c r="CL5" i="6" l="1"/>
  <c r="CM1" i="6"/>
  <c r="CL3" i="6"/>
  <c r="CL9" i="6"/>
  <c r="CL10" i="6" s="1"/>
  <c r="CL11" i="6"/>
  <c r="CL17" i="6"/>
  <c r="CL18" i="6" s="1"/>
  <c r="CK5" i="6"/>
  <c r="CK6" i="6" s="1"/>
  <c r="BN7" i="6"/>
  <c r="BO4" i="6"/>
  <c r="CC12" i="6"/>
  <c r="CB14" i="6"/>
  <c r="BO7" i="6" l="1"/>
  <c r="BP4" i="6"/>
  <c r="CL6" i="6"/>
  <c r="CN1" i="6"/>
  <c r="CM3" i="6"/>
  <c r="CM9" i="6"/>
  <c r="CM10" i="6" s="1"/>
  <c r="CM5" i="6"/>
  <c r="CM11" i="6"/>
  <c r="CM17" i="6"/>
  <c r="CM18" i="6" s="1"/>
  <c r="CC14" i="6"/>
  <c r="CD12" i="6"/>
  <c r="CO1" i="6" l="1"/>
  <c r="CN3" i="6"/>
  <c r="CN9" i="6"/>
  <c r="CN10" i="6" s="1"/>
  <c r="CN5" i="6"/>
  <c r="CN11" i="6"/>
  <c r="CN17" i="6"/>
  <c r="CN18" i="6" s="1"/>
  <c r="CM6" i="6"/>
  <c r="BP7" i="6"/>
  <c r="BQ4" i="6"/>
  <c r="CE12" i="6"/>
  <c r="CD14" i="6"/>
  <c r="CN6" i="6" l="1"/>
  <c r="BQ7" i="6"/>
  <c r="BR4" i="6"/>
  <c r="CP1" i="6"/>
  <c r="CO9" i="6"/>
  <c r="CO10" i="6" s="1"/>
  <c r="CO3" i="6"/>
  <c r="CO5" i="6"/>
  <c r="CO11" i="6"/>
  <c r="CO17" i="6"/>
  <c r="CO18" i="6" s="1"/>
  <c r="CF12" i="6"/>
  <c r="CE14" i="6"/>
  <c r="BS4" i="6" l="1"/>
  <c r="BR7" i="6"/>
  <c r="CO6" i="6"/>
  <c r="CQ1" i="6"/>
  <c r="CP5" i="6"/>
  <c r="CP3" i="6"/>
  <c r="CP9" i="6"/>
  <c r="CP10" i="6" s="1"/>
  <c r="CP11" i="6"/>
  <c r="CP17" i="6"/>
  <c r="CP18" i="6" s="1"/>
  <c r="CG12" i="6"/>
  <c r="CF14" i="6"/>
  <c r="CR1" i="6" l="1"/>
  <c r="CQ5" i="6"/>
  <c r="CQ9" i="6"/>
  <c r="CQ10" i="6" s="1"/>
  <c r="CQ3" i="6"/>
  <c r="CQ11" i="6"/>
  <c r="CQ17" i="6"/>
  <c r="CQ18" i="6" s="1"/>
  <c r="CP6" i="6"/>
  <c r="BS7" i="6"/>
  <c r="BT4" i="6"/>
  <c r="CH12" i="6"/>
  <c r="CG14" i="6"/>
  <c r="CQ6" i="6" l="1"/>
  <c r="BU4" i="6"/>
  <c r="BT7" i="6"/>
  <c r="CS1" i="6"/>
  <c r="CR5" i="6"/>
  <c r="CR6" i="6" s="1"/>
  <c r="CR9" i="6"/>
  <c r="CR10" i="6" s="1"/>
  <c r="CR3" i="6"/>
  <c r="CR11" i="6"/>
  <c r="CR17" i="6"/>
  <c r="CR18" i="6" s="1"/>
  <c r="CH14" i="6"/>
  <c r="CI12" i="6"/>
  <c r="CT1" i="6" l="1"/>
  <c r="CS5" i="6"/>
  <c r="CS6" i="6" s="1"/>
  <c r="CS3" i="6"/>
  <c r="CS9" i="6"/>
  <c r="CS10" i="6" s="1"/>
  <c r="CS11" i="6"/>
  <c r="CS17" i="6"/>
  <c r="CS18" i="6" s="1"/>
  <c r="BV4" i="6"/>
  <c r="BU7" i="6"/>
  <c r="CJ12" i="6"/>
  <c r="CI14" i="6"/>
  <c r="BV7" i="6" l="1"/>
  <c r="BW4" i="6"/>
  <c r="CU1" i="6"/>
  <c r="CT3" i="6" s="1"/>
  <c r="CT5" i="6"/>
  <c r="CT6" i="6" s="1"/>
  <c r="CK12" i="6"/>
  <c r="CJ14" i="6"/>
  <c r="CT17" i="6" l="1"/>
  <c r="CT18" i="6" s="1"/>
  <c r="CT11" i="6"/>
  <c r="CT9" i="6"/>
  <c r="CT10" i="6" s="1"/>
  <c r="BX4" i="6"/>
  <c r="BW7" i="6"/>
  <c r="CV1" i="6"/>
  <c r="CU11" i="6"/>
  <c r="CU17" i="6"/>
  <c r="CL12" i="6"/>
  <c r="CK14" i="6"/>
  <c r="BX7" i="6" l="1"/>
  <c r="BY4" i="6"/>
  <c r="CW1" i="6"/>
  <c r="CV3" i="6"/>
  <c r="CV5" i="6"/>
  <c r="CV9" i="6"/>
  <c r="CV11" i="6"/>
  <c r="CV17" i="6"/>
  <c r="CU9" i="6"/>
  <c r="CU10" i="6" s="1"/>
  <c r="CV10" i="6" s="1"/>
  <c r="CU3" i="6"/>
  <c r="CU5" i="6"/>
  <c r="CU6" i="6" s="1"/>
  <c r="CU18" i="6"/>
  <c r="CM12" i="6"/>
  <c r="CL14" i="6"/>
  <c r="CV6" i="6" l="1"/>
  <c r="CX1" i="6"/>
  <c r="CW3" i="6" s="1"/>
  <c r="CW5" i="6"/>
  <c r="CW9" i="6"/>
  <c r="CW10" i="6" s="1"/>
  <c r="CW11" i="6"/>
  <c r="CW17" i="6"/>
  <c r="BZ4" i="6"/>
  <c r="BY7" i="6"/>
  <c r="CV18" i="6"/>
  <c r="CN12" i="6"/>
  <c r="CM14" i="6"/>
  <c r="CW18" i="6" l="1"/>
  <c r="CA4" i="6"/>
  <c r="BZ7" i="6"/>
  <c r="CW6" i="6"/>
  <c r="CY1" i="6"/>
  <c r="CX9" i="6"/>
  <c r="CX10" i="6" s="1"/>
  <c r="CX5" i="6"/>
  <c r="CX3" i="6"/>
  <c r="CX11" i="6"/>
  <c r="CX17" i="6"/>
  <c r="CO12" i="6"/>
  <c r="CN14" i="6"/>
  <c r="CX6" i="6" l="1"/>
  <c r="CZ1" i="6"/>
  <c r="CY3" i="6"/>
  <c r="CY5" i="6"/>
  <c r="CY9" i="6"/>
  <c r="CY10" i="6" s="1"/>
  <c r="CY11" i="6"/>
  <c r="CY17" i="6"/>
  <c r="CB4" i="6"/>
  <c r="CA7" i="6"/>
  <c r="CX18" i="6"/>
  <c r="CP12" i="6"/>
  <c r="CO14" i="6"/>
  <c r="CY18" i="6" l="1"/>
  <c r="CC4" i="6"/>
  <c r="CB7" i="6"/>
  <c r="DA1" i="6"/>
  <c r="CZ3" i="6"/>
  <c r="CZ5" i="6"/>
  <c r="CZ9" i="6"/>
  <c r="CZ10" i="6" s="1"/>
  <c r="CZ11" i="6"/>
  <c r="CZ17" i="6"/>
  <c r="CY6" i="6"/>
  <c r="CQ12" i="6"/>
  <c r="CP14" i="6"/>
  <c r="CZ6" i="6" l="1"/>
  <c r="DB1" i="6"/>
  <c r="DA9" i="6"/>
  <c r="DA10" i="6" s="1"/>
  <c r="DA3" i="6"/>
  <c r="DA5" i="6"/>
  <c r="DA6" i="6" s="1"/>
  <c r="DA11" i="6"/>
  <c r="DA17" i="6"/>
  <c r="CC7" i="6"/>
  <c r="CD4" i="6"/>
  <c r="CZ18" i="6"/>
  <c r="CR12" i="6"/>
  <c r="CQ14" i="6"/>
  <c r="DA18" i="6" l="1"/>
  <c r="CD7" i="6"/>
  <c r="CE4" i="6"/>
  <c r="DC1" i="6"/>
  <c r="DB3" i="6"/>
  <c r="DB9" i="6"/>
  <c r="DB10" i="6" s="1"/>
  <c r="DB11" i="6"/>
  <c r="DB17" i="6"/>
  <c r="CS12" i="6"/>
  <c r="CR14" i="6"/>
  <c r="DD1" i="6" l="1"/>
  <c r="DC9" i="6"/>
  <c r="DC10" i="6" s="1"/>
  <c r="DC5" i="6"/>
  <c r="DC3" i="6"/>
  <c r="DC11" i="6"/>
  <c r="DC17" i="6"/>
  <c r="DB5" i="6"/>
  <c r="DB6" i="6" s="1"/>
  <c r="CE7" i="6"/>
  <c r="CF4" i="6"/>
  <c r="DB18" i="6"/>
  <c r="CT12" i="6"/>
  <c r="CS14" i="6"/>
  <c r="DC18" i="6" l="1"/>
  <c r="CF7" i="6"/>
  <c r="CG4" i="6"/>
  <c r="DC6" i="6"/>
  <c r="DE1" i="6"/>
  <c r="DD5" i="6"/>
  <c r="DD3" i="6"/>
  <c r="DD9" i="6"/>
  <c r="DD10" i="6" s="1"/>
  <c r="DD11" i="6"/>
  <c r="DD17" i="6"/>
  <c r="CU12" i="6"/>
  <c r="CT14" i="6"/>
  <c r="DD6" i="6" l="1"/>
  <c r="DF1" i="6"/>
  <c r="DE5" i="6"/>
  <c r="DE3" i="6"/>
  <c r="DE9" i="6"/>
  <c r="DE10" i="6" s="1"/>
  <c r="DE11" i="6"/>
  <c r="DE17" i="6"/>
  <c r="CH4" i="6"/>
  <c r="CG7" i="6"/>
  <c r="DD18" i="6"/>
  <c r="CV12" i="6"/>
  <c r="CU14" i="6"/>
  <c r="DE6" i="6" l="1"/>
  <c r="DE18" i="6"/>
  <c r="CI4" i="6"/>
  <c r="CH7" i="6"/>
  <c r="DG1" i="6"/>
  <c r="DF5" i="6"/>
  <c r="DF9" i="6"/>
  <c r="DF10" i="6" s="1"/>
  <c r="DF3" i="6"/>
  <c r="DF11" i="6"/>
  <c r="DF17" i="6"/>
  <c r="CW12" i="6"/>
  <c r="CV14" i="6"/>
  <c r="DF6" i="6" l="1"/>
  <c r="DH1" i="6"/>
  <c r="DG3" i="6"/>
  <c r="DG5" i="6"/>
  <c r="DG9" i="6"/>
  <c r="DG10" i="6" s="1"/>
  <c r="DG11" i="6"/>
  <c r="DG17" i="6"/>
  <c r="CJ4" i="6"/>
  <c r="CI7" i="6"/>
  <c r="DF18" i="6"/>
  <c r="CW14" i="6"/>
  <c r="CX12" i="6"/>
  <c r="DG6" i="6" l="1"/>
  <c r="DG18" i="6"/>
  <c r="CK4" i="6"/>
  <c r="CJ7" i="6"/>
  <c r="DI1" i="6"/>
  <c r="DH3" i="6"/>
  <c r="DH5" i="6"/>
  <c r="DH6" i="6" s="1"/>
  <c r="DH9" i="6"/>
  <c r="DH10" i="6" s="1"/>
  <c r="DH11" i="6"/>
  <c r="DH17" i="6"/>
  <c r="CY12" i="6"/>
  <c r="CX14" i="6"/>
  <c r="DJ1" i="6" l="1"/>
  <c r="DI9" i="6"/>
  <c r="DI10" i="6" s="1"/>
  <c r="DI3" i="6"/>
  <c r="DI5" i="6"/>
  <c r="DI6" i="6" s="1"/>
  <c r="DI11" i="6"/>
  <c r="DI17" i="6"/>
  <c r="CK7" i="6"/>
  <c r="CL4" i="6"/>
  <c r="DH18" i="6"/>
  <c r="CZ12" i="6"/>
  <c r="CY14" i="6"/>
  <c r="DI18" i="6" l="1"/>
  <c r="CM4" i="6"/>
  <c r="CL7" i="6"/>
  <c r="DK1" i="6"/>
  <c r="DJ5" i="6"/>
  <c r="DJ6" i="6" s="1"/>
  <c r="DJ9" i="6"/>
  <c r="DJ10" i="6" s="1"/>
  <c r="DJ3" i="6"/>
  <c r="DJ11" i="6"/>
  <c r="DJ17" i="6"/>
  <c r="DJ18" i="6" s="1"/>
  <c r="CZ14" i="6"/>
  <c r="DA12" i="6"/>
  <c r="DL1" i="6" l="1"/>
  <c r="DK3" i="6"/>
  <c r="DK5" i="6"/>
  <c r="DK6" i="6" s="1"/>
  <c r="DK9" i="6"/>
  <c r="DK10" i="6" s="1"/>
  <c r="DK17" i="6"/>
  <c r="DK18" i="6" s="1"/>
  <c r="DK11" i="6"/>
  <c r="CN4" i="6"/>
  <c r="CM7" i="6"/>
  <c r="DA14" i="6"/>
  <c r="DB12" i="6"/>
  <c r="DM1" i="6" l="1"/>
  <c r="DL5" i="6"/>
  <c r="DL6" i="6" s="1"/>
  <c r="DL3" i="6"/>
  <c r="DL9" i="6"/>
  <c r="DL10" i="6" s="1"/>
  <c r="DL11" i="6"/>
  <c r="DL17" i="6"/>
  <c r="DL18" i="6" s="1"/>
  <c r="CO4" i="6"/>
  <c r="CN7" i="6"/>
  <c r="DC12" i="6"/>
  <c r="DB14" i="6"/>
  <c r="CP4" i="6" l="1"/>
  <c r="CO7" i="6"/>
  <c r="DN1" i="6"/>
  <c r="DM3" i="6"/>
  <c r="DM5" i="6"/>
  <c r="DM6" i="6" s="1"/>
  <c r="DM9" i="6"/>
  <c r="DM10" i="6" s="1"/>
  <c r="DM11" i="6"/>
  <c r="DM17" i="6"/>
  <c r="DM18" i="6" s="1"/>
  <c r="DD12" i="6"/>
  <c r="DC14" i="6"/>
  <c r="DO1" i="6" l="1"/>
  <c r="DN5" i="6"/>
  <c r="DN6" i="6" s="1"/>
  <c r="DN3" i="6"/>
  <c r="DN9" i="6"/>
  <c r="DN10" i="6" s="1"/>
  <c r="DN11" i="6"/>
  <c r="DN17" i="6"/>
  <c r="DN18" i="6" s="1"/>
  <c r="CP7" i="6"/>
  <c r="CQ4" i="6"/>
  <c r="DE12" i="6"/>
  <c r="DD14" i="6"/>
  <c r="CR4" i="6" l="1"/>
  <c r="CQ7" i="6"/>
  <c r="DP1" i="6"/>
  <c r="DO9" i="6"/>
  <c r="DO10" i="6" s="1"/>
  <c r="DF12" i="6"/>
  <c r="DE14" i="6"/>
  <c r="DQ1" i="6" l="1"/>
  <c r="DP5" i="6"/>
  <c r="DP3" i="6"/>
  <c r="DP9" i="6"/>
  <c r="DP10" i="6" s="1"/>
  <c r="DP11" i="6"/>
  <c r="DP17" i="6"/>
  <c r="DO17" i="6"/>
  <c r="DO18" i="6" s="1"/>
  <c r="DO11" i="6"/>
  <c r="DO5" i="6"/>
  <c r="DO6" i="6" s="1"/>
  <c r="DP6" i="6" s="1"/>
  <c r="DO3" i="6"/>
  <c r="CR7" i="6"/>
  <c r="CS4" i="6"/>
  <c r="DG12" i="6"/>
  <c r="DF14" i="6"/>
  <c r="DP18" i="6" l="1"/>
  <c r="DR1" i="6"/>
  <c r="DQ9" i="6"/>
  <c r="DQ10" i="6" s="1"/>
  <c r="DQ3" i="6"/>
  <c r="DQ5" i="6"/>
  <c r="DQ6" i="6" s="1"/>
  <c r="DQ11" i="6"/>
  <c r="DQ17" i="6"/>
  <c r="DQ18" i="6" s="1"/>
  <c r="CT4" i="6"/>
  <c r="CS7" i="6"/>
  <c r="DH12" i="6"/>
  <c r="DG14" i="6"/>
  <c r="CU4" i="6" l="1"/>
  <c r="CT7" i="6"/>
  <c r="DS1" i="6"/>
  <c r="DR9" i="6"/>
  <c r="DR10" i="6" s="1"/>
  <c r="DR5" i="6"/>
  <c r="DR6" i="6" s="1"/>
  <c r="DR3" i="6"/>
  <c r="DR11" i="6"/>
  <c r="DR17" i="6"/>
  <c r="DR18" i="6" s="1"/>
  <c r="DI12" i="6"/>
  <c r="DH14" i="6"/>
  <c r="DT1" i="6" l="1"/>
  <c r="DS9" i="6"/>
  <c r="DS10" i="6" s="1"/>
  <c r="DS3" i="6"/>
  <c r="DS11" i="6"/>
  <c r="DS17" i="6"/>
  <c r="DS18" i="6" s="1"/>
  <c r="CV4" i="6"/>
  <c r="CU7" i="6"/>
  <c r="DJ12" i="6"/>
  <c r="DI14" i="6"/>
  <c r="CV7" i="6" l="1"/>
  <c r="CW4" i="6"/>
  <c r="DU1" i="6"/>
  <c r="DT3" i="6"/>
  <c r="DT11" i="6"/>
  <c r="DT17" i="6"/>
  <c r="DT18" i="6" s="1"/>
  <c r="DS5" i="6"/>
  <c r="DS6" i="6" s="1"/>
  <c r="DK12" i="6"/>
  <c r="DJ14" i="6"/>
  <c r="DV1" i="6" l="1"/>
  <c r="DU9" i="6"/>
  <c r="DU11" i="6"/>
  <c r="DU17" i="6"/>
  <c r="DU18" i="6" s="1"/>
  <c r="DT9" i="6"/>
  <c r="DT10" i="6" s="1"/>
  <c r="DU10" i="6" s="1"/>
  <c r="DT5" i="6"/>
  <c r="DT6" i="6" s="1"/>
  <c r="CW7" i="6"/>
  <c r="CX4" i="6"/>
  <c r="DL12" i="6"/>
  <c r="DK14" i="6"/>
  <c r="CX7" i="6" l="1"/>
  <c r="CY4" i="6"/>
  <c r="DW1" i="6"/>
  <c r="DV3" i="6"/>
  <c r="DV11" i="6"/>
  <c r="DV17" i="6"/>
  <c r="DV18" i="6" s="1"/>
  <c r="DU3" i="6"/>
  <c r="DU5" i="6"/>
  <c r="DU6" i="6" s="1"/>
  <c r="DM12" i="6"/>
  <c r="DL14" i="6"/>
  <c r="DX1" i="6" l="1"/>
  <c r="DW5" i="6"/>
  <c r="DW3" i="6"/>
  <c r="DW9" i="6"/>
  <c r="DW11" i="6"/>
  <c r="DW17" i="6"/>
  <c r="DW18" i="6" s="1"/>
  <c r="DV9" i="6"/>
  <c r="DV10" i="6" s="1"/>
  <c r="DV5" i="6"/>
  <c r="DV6" i="6" s="1"/>
  <c r="CZ4" i="6"/>
  <c r="CY7" i="6"/>
  <c r="DM14" i="6"/>
  <c r="DN12" i="6"/>
  <c r="DW6" i="6" l="1"/>
  <c r="DW10" i="6"/>
  <c r="DA4" i="6"/>
  <c r="CZ7" i="6"/>
  <c r="DY1" i="6"/>
  <c r="DX9" i="6"/>
  <c r="DX3" i="6"/>
  <c r="DX5" i="6"/>
  <c r="DX6" i="6" s="1"/>
  <c r="DX11" i="6"/>
  <c r="DX17" i="6"/>
  <c r="DX18" i="6" s="1"/>
  <c r="DO12" i="6"/>
  <c r="DN14" i="6"/>
  <c r="DX10" i="6" l="1"/>
  <c r="DZ1" i="6"/>
  <c r="DY5" i="6"/>
  <c r="DY6" i="6" s="1"/>
  <c r="DY3" i="6"/>
  <c r="DY9" i="6"/>
  <c r="DY10" i="6" s="1"/>
  <c r="DY11" i="6"/>
  <c r="DY17" i="6"/>
  <c r="DY18" i="6" s="1"/>
  <c r="DB4" i="6"/>
  <c r="DA7" i="6"/>
  <c r="DP12" i="6"/>
  <c r="DO14" i="6"/>
  <c r="DC4" i="6" l="1"/>
  <c r="DB7" i="6"/>
  <c r="EA1" i="6"/>
  <c r="DZ5" i="6"/>
  <c r="DZ6" i="6" s="1"/>
  <c r="DZ9" i="6"/>
  <c r="DZ10" i="6" s="1"/>
  <c r="DZ3" i="6"/>
  <c r="DZ11" i="6"/>
  <c r="DZ17" i="6"/>
  <c r="DZ18" i="6" s="1"/>
  <c r="DP14" i="6"/>
  <c r="DQ12" i="6"/>
  <c r="EB1" i="6" l="1"/>
  <c r="EA5" i="6"/>
  <c r="EA6" i="6" s="1"/>
  <c r="EA9" i="6"/>
  <c r="EA10" i="6" s="1"/>
  <c r="EA3" i="6"/>
  <c r="EA11" i="6"/>
  <c r="EA17" i="6"/>
  <c r="EA18" i="6" s="1"/>
  <c r="DD4" i="6"/>
  <c r="DC7" i="6"/>
  <c r="DR12" i="6"/>
  <c r="DQ14" i="6"/>
  <c r="DD7" i="6" l="1"/>
  <c r="DE4" i="6"/>
  <c r="EC1" i="6"/>
  <c r="EB3" i="6"/>
  <c r="EB5" i="6"/>
  <c r="EB6" i="6" s="1"/>
  <c r="EB9" i="6"/>
  <c r="EB10" i="6" s="1"/>
  <c r="EB11" i="6"/>
  <c r="EB17" i="6"/>
  <c r="EB18" i="6" s="1"/>
  <c r="DS12" i="6"/>
  <c r="DR14" i="6"/>
  <c r="ED1" i="6" l="1"/>
  <c r="EC5" i="6"/>
  <c r="EC6" i="6" s="1"/>
  <c r="EC3" i="6"/>
  <c r="EC11" i="6"/>
  <c r="EC17" i="6"/>
  <c r="EC18" i="6" s="1"/>
  <c r="DF4" i="6"/>
  <c r="DE7" i="6"/>
  <c r="DT12" i="6"/>
  <c r="DS14" i="6"/>
  <c r="DF7" i="6" l="1"/>
  <c r="DG4" i="6"/>
  <c r="EE1" i="6"/>
  <c r="ED3" i="6"/>
  <c r="ED9" i="6"/>
  <c r="ED5" i="6"/>
  <c r="ED6" i="6" s="1"/>
  <c r="ED11" i="6"/>
  <c r="ED17" i="6"/>
  <c r="ED18" i="6" s="1"/>
  <c r="EC9" i="6"/>
  <c r="EC10" i="6" s="1"/>
  <c r="DU12" i="6"/>
  <c r="DT14" i="6"/>
  <c r="ED10" i="6" l="1"/>
  <c r="EF1" i="6"/>
  <c r="EE3" i="6"/>
  <c r="EE5" i="6"/>
  <c r="EE6" i="6" s="1"/>
  <c r="EE9" i="6"/>
  <c r="EE10" i="6" s="1"/>
  <c r="EE11" i="6"/>
  <c r="EE17" i="6"/>
  <c r="EE18" i="6" s="1"/>
  <c r="DG7" i="6"/>
  <c r="DH4" i="6"/>
  <c r="DV12" i="6"/>
  <c r="DU14" i="6"/>
  <c r="DI4" i="6" l="1"/>
  <c r="DH7" i="6"/>
  <c r="EG1" i="6"/>
  <c r="EF3" i="6"/>
  <c r="EF5" i="6"/>
  <c r="EF6" i="6" s="1"/>
  <c r="EF9" i="6"/>
  <c r="EF10" i="6" s="1"/>
  <c r="EF11" i="6"/>
  <c r="EF17" i="6"/>
  <c r="EF18" i="6" s="1"/>
  <c r="DW12" i="6"/>
  <c r="DV14" i="6"/>
  <c r="DJ4" i="6" l="1"/>
  <c r="DI7" i="6"/>
  <c r="EH1" i="6"/>
  <c r="EG5" i="6"/>
  <c r="EG6" i="6" s="1"/>
  <c r="EG9" i="6"/>
  <c r="EG10" i="6" s="1"/>
  <c r="EG3" i="6"/>
  <c r="EG11" i="6"/>
  <c r="EG17" i="6"/>
  <c r="EG18" i="6" s="1"/>
  <c r="DX12" i="6"/>
  <c r="DW14" i="6"/>
  <c r="EI1" i="6" l="1"/>
  <c r="EH9" i="6"/>
  <c r="EH10" i="6" s="1"/>
  <c r="EH5" i="6"/>
  <c r="EH6" i="6" s="1"/>
  <c r="EH3" i="6"/>
  <c r="EH11" i="6"/>
  <c r="EH17" i="6"/>
  <c r="EH18" i="6" s="1"/>
  <c r="DK4" i="6"/>
  <c r="DJ7" i="6"/>
  <c r="DY12" i="6"/>
  <c r="DX14" i="6"/>
  <c r="DK7" i="6" l="1"/>
  <c r="DL4" i="6"/>
  <c r="EJ1" i="6"/>
  <c r="EI3" i="6"/>
  <c r="EI5" i="6"/>
  <c r="EI6" i="6" s="1"/>
  <c r="EI9" i="6"/>
  <c r="EI10" i="6" s="1"/>
  <c r="EI11" i="6"/>
  <c r="EI17" i="6"/>
  <c r="EI18" i="6" s="1"/>
  <c r="DZ12" i="6"/>
  <c r="DY14" i="6"/>
  <c r="EK1" i="6" l="1"/>
  <c r="EJ5" i="6"/>
  <c r="EJ6" i="6" s="1"/>
  <c r="EJ9" i="6"/>
  <c r="EJ10" i="6" s="1"/>
  <c r="EJ3" i="6"/>
  <c r="EJ11" i="6"/>
  <c r="EJ17" i="6"/>
  <c r="EJ18" i="6" s="1"/>
  <c r="DL7" i="6"/>
  <c r="DM4" i="6"/>
  <c r="EA12" i="6"/>
  <c r="DZ14" i="6"/>
  <c r="DM7" i="6" l="1"/>
  <c r="DN4" i="6"/>
  <c r="EL1" i="6"/>
  <c r="EK3" i="6"/>
  <c r="EK9" i="6"/>
  <c r="EK10" i="6" s="1"/>
  <c r="EK5" i="6"/>
  <c r="EK6" i="6" s="1"/>
  <c r="EK11" i="6"/>
  <c r="EK17" i="6"/>
  <c r="EK18" i="6" s="1"/>
  <c r="EB12" i="6"/>
  <c r="EA14" i="6"/>
  <c r="EM1" i="6" l="1"/>
  <c r="EL5" i="6" s="1"/>
  <c r="EL6" i="6" s="1"/>
  <c r="EL3" i="6"/>
  <c r="EL11" i="6"/>
  <c r="EL17" i="6"/>
  <c r="EL18" i="6" s="1"/>
  <c r="DO4" i="6"/>
  <c r="DN7" i="6"/>
  <c r="EC12" i="6"/>
  <c r="EB14" i="6"/>
  <c r="EL9" i="6" l="1"/>
  <c r="EL10" i="6" s="1"/>
  <c r="DP4" i="6"/>
  <c r="DO7" i="6"/>
  <c r="EN1" i="6"/>
  <c r="EM5" i="6"/>
  <c r="EM6" i="6" s="1"/>
  <c r="EM3" i="6"/>
  <c r="EM11" i="6"/>
  <c r="EM17" i="6"/>
  <c r="EM18" i="6" s="1"/>
  <c r="ED12" i="6"/>
  <c r="EC14" i="6"/>
  <c r="EO1" i="6" l="1"/>
  <c r="EN3" i="6"/>
  <c r="EN5" i="6"/>
  <c r="EN6" i="6" s="1"/>
  <c r="EN9" i="6"/>
  <c r="EN11" i="6"/>
  <c r="EN17" i="6"/>
  <c r="EN18" i="6" s="1"/>
  <c r="EM9" i="6"/>
  <c r="EM10" i="6" s="1"/>
  <c r="DQ4" i="6"/>
  <c r="DP7" i="6"/>
  <c r="EE12" i="6"/>
  <c r="ED14" i="6"/>
  <c r="EN10" i="6" l="1"/>
  <c r="DR4" i="6"/>
  <c r="DQ7" i="6"/>
  <c r="EP1" i="6"/>
  <c r="EO3" i="6"/>
  <c r="EO9" i="6"/>
  <c r="EO10" i="6" s="1"/>
  <c r="EO11" i="6"/>
  <c r="EO17" i="6"/>
  <c r="EO18" i="6" s="1"/>
  <c r="EF12" i="6"/>
  <c r="EE14" i="6"/>
  <c r="EQ1" i="6" l="1"/>
  <c r="EP5" i="6"/>
  <c r="EP9" i="6"/>
  <c r="EP10" i="6" s="1"/>
  <c r="EP3" i="6"/>
  <c r="EP11" i="6"/>
  <c r="EP17" i="6"/>
  <c r="EP18" i="6" s="1"/>
  <c r="EO5" i="6"/>
  <c r="EO6" i="6" s="1"/>
  <c r="EP6" i="6" s="1"/>
  <c r="DR7" i="6"/>
  <c r="DS4" i="6"/>
  <c r="EG12" i="6"/>
  <c r="EF14" i="6"/>
  <c r="DS7" i="6" l="1"/>
  <c r="DT4" i="6"/>
  <c r="ER1" i="6"/>
  <c r="EQ3" i="6"/>
  <c r="EQ5" i="6"/>
  <c r="EQ6" i="6" s="1"/>
  <c r="EQ9" i="6"/>
  <c r="EQ10" i="6" s="1"/>
  <c r="EQ11" i="6"/>
  <c r="EQ17" i="6"/>
  <c r="EQ18" i="6" s="1"/>
  <c r="EG14" i="6"/>
  <c r="EH12" i="6"/>
  <c r="ES1" i="6" l="1"/>
  <c r="ER3" i="6"/>
  <c r="ER9" i="6"/>
  <c r="ER10" i="6" s="1"/>
  <c r="ER5" i="6"/>
  <c r="ER6" i="6" s="1"/>
  <c r="ER11" i="6"/>
  <c r="ER17" i="6"/>
  <c r="ER18" i="6" s="1"/>
  <c r="DT7" i="6"/>
  <c r="DU4" i="6"/>
  <c r="EI12" i="6"/>
  <c r="EH14" i="6"/>
  <c r="DV4" i="6" l="1"/>
  <c r="DU7" i="6"/>
  <c r="ET1" i="6"/>
  <c r="ES9" i="6"/>
  <c r="ES10" i="6" s="1"/>
  <c r="ES3" i="6"/>
  <c r="ES11" i="6"/>
  <c r="ES17" i="6"/>
  <c r="ES18" i="6" s="1"/>
  <c r="EJ12" i="6"/>
  <c r="EI14" i="6"/>
  <c r="EU1" i="6" l="1"/>
  <c r="ET9" i="6"/>
  <c r="ET10" i="6" s="1"/>
  <c r="ET5" i="6"/>
  <c r="ET3" i="6"/>
  <c r="ET11" i="6"/>
  <c r="ET17" i="6"/>
  <c r="ET18" i="6" s="1"/>
  <c r="ES5" i="6"/>
  <c r="ES6" i="6" s="1"/>
  <c r="ET6" i="6" s="1"/>
  <c r="DW4" i="6"/>
  <c r="DV7" i="6"/>
  <c r="EK12" i="6"/>
  <c r="EJ14" i="6"/>
  <c r="DX4" i="6" l="1"/>
  <c r="DW7" i="6"/>
  <c r="EV1" i="6"/>
  <c r="EU3" i="6"/>
  <c r="EU5" i="6"/>
  <c r="EU6" i="6" s="1"/>
  <c r="EU9" i="6"/>
  <c r="EU10" i="6" s="1"/>
  <c r="EU11" i="6"/>
  <c r="EU17" i="6"/>
  <c r="EU18" i="6" s="1"/>
  <c r="EK14" i="6"/>
  <c r="EL12" i="6"/>
  <c r="EW1" i="6" l="1"/>
  <c r="EV5" i="6"/>
  <c r="EV6" i="6" s="1"/>
  <c r="EV3" i="6"/>
  <c r="EV9" i="6"/>
  <c r="EV10" i="6" s="1"/>
  <c r="EV11" i="6"/>
  <c r="EV17" i="6"/>
  <c r="EV18" i="6" s="1"/>
  <c r="DX7" i="6"/>
  <c r="DY4" i="6"/>
  <c r="EM12" i="6"/>
  <c r="EL14" i="6"/>
  <c r="DY7" i="6" l="1"/>
  <c r="DZ4" i="6"/>
  <c r="EX1" i="6"/>
  <c r="EW5" i="6"/>
  <c r="EW6" i="6" s="1"/>
  <c r="EW9" i="6"/>
  <c r="EW10" i="6" s="1"/>
  <c r="EW3" i="6"/>
  <c r="EW11" i="6"/>
  <c r="EW17" i="6"/>
  <c r="EW18" i="6" s="1"/>
  <c r="EN12" i="6"/>
  <c r="EM14" i="6"/>
  <c r="EY1" i="6" l="1"/>
  <c r="EX9" i="6"/>
  <c r="EX10" i="6" s="1"/>
  <c r="EX3" i="6"/>
  <c r="EX11" i="6"/>
  <c r="EX17" i="6"/>
  <c r="EX18" i="6" s="1"/>
  <c r="DZ7" i="6"/>
  <c r="EA4" i="6"/>
  <c r="EO12" i="6"/>
  <c r="EN14" i="6"/>
  <c r="EB4" i="6" l="1"/>
  <c r="EA7" i="6"/>
  <c r="EZ1" i="6"/>
  <c r="EY5" i="6"/>
  <c r="EY3" i="6"/>
  <c r="EY9" i="6"/>
  <c r="EY10" i="6" s="1"/>
  <c r="EY11" i="6"/>
  <c r="EY17" i="6"/>
  <c r="EY18" i="6" s="1"/>
  <c r="EX5" i="6"/>
  <c r="EX6" i="6" s="1"/>
  <c r="EY6" i="6" s="1"/>
  <c r="EP12" i="6"/>
  <c r="EO14" i="6"/>
  <c r="FA1" i="6" l="1"/>
  <c r="EC4" i="6"/>
  <c r="EB7" i="6"/>
  <c r="EQ12" i="6"/>
  <c r="EP14" i="6"/>
  <c r="FA5" i="6" l="1"/>
  <c r="FB1" i="6"/>
  <c r="FA3" i="6"/>
  <c r="FA9" i="6"/>
  <c r="FA11" i="6"/>
  <c r="FA17" i="6"/>
  <c r="ED4" i="6"/>
  <c r="EC7" i="6"/>
  <c r="EZ17" i="6"/>
  <c r="EZ18" i="6" s="1"/>
  <c r="EZ11" i="6"/>
  <c r="EZ5" i="6"/>
  <c r="EZ6" i="6" s="1"/>
  <c r="EZ9" i="6"/>
  <c r="EZ10" i="6" s="1"/>
  <c r="FA10" i="6" s="1"/>
  <c r="EZ3" i="6"/>
  <c r="ER12" i="6"/>
  <c r="EQ14" i="6"/>
  <c r="FA18" i="6" l="1"/>
  <c r="FA6" i="6"/>
  <c r="EE4" i="6"/>
  <c r="ED7" i="6"/>
  <c r="FC1" i="6"/>
  <c r="FB9" i="6"/>
  <c r="FB10" i="6" s="1"/>
  <c r="FB5" i="6"/>
  <c r="FB3" i="6"/>
  <c r="FB11" i="6"/>
  <c r="FB17" i="6"/>
  <c r="ES12" i="6"/>
  <c r="ER14" i="6"/>
  <c r="FB18" i="6" l="1"/>
  <c r="FD1" i="6"/>
  <c r="FC3" i="6"/>
  <c r="EF4" i="6"/>
  <c r="EE7" i="6"/>
  <c r="FB6" i="6"/>
  <c r="ET12" i="6"/>
  <c r="ES14" i="6"/>
  <c r="FE1" i="6" l="1"/>
  <c r="FD11" i="6" s="1"/>
  <c r="FD5" i="6"/>
  <c r="FD9" i="6"/>
  <c r="FC5" i="6"/>
  <c r="FC6" i="6" s="1"/>
  <c r="EG4" i="6"/>
  <c r="EF7" i="6"/>
  <c r="FC17" i="6"/>
  <c r="FC18" i="6" s="1"/>
  <c r="FC11" i="6"/>
  <c r="FC9" i="6"/>
  <c r="FC10" i="6" s="1"/>
  <c r="EU12" i="6"/>
  <c r="ET14" i="6"/>
  <c r="FD6" i="6" l="1"/>
  <c r="EG7" i="6"/>
  <c r="EH4" i="6"/>
  <c r="FD17" i="6"/>
  <c r="FD18" i="6" s="1"/>
  <c r="FF1" i="6"/>
  <c r="FE9" i="6"/>
  <c r="FE3" i="6"/>
  <c r="FE5" i="6"/>
  <c r="FE6" i="6" s="1"/>
  <c r="FE11" i="6"/>
  <c r="FE17" i="6"/>
  <c r="FD10" i="6"/>
  <c r="FD3" i="6"/>
  <c r="EV12" i="6"/>
  <c r="EU14" i="6"/>
  <c r="FE10" i="6" l="1"/>
  <c r="FE18" i="6"/>
  <c r="FG1" i="6"/>
  <c r="FF5" i="6"/>
  <c r="FF6" i="6" s="1"/>
  <c r="FF9" i="6"/>
  <c r="FF11" i="6"/>
  <c r="FF17" i="6"/>
  <c r="FF18" i="6" s="1"/>
  <c r="EI4" i="6"/>
  <c r="EH7" i="6"/>
  <c r="EW12" i="6"/>
  <c r="EV14" i="6"/>
  <c r="FF10" i="6" l="1"/>
  <c r="FH1" i="6"/>
  <c r="FG5" i="6"/>
  <c r="FG6" i="6" s="1"/>
  <c r="FG3" i="6"/>
  <c r="FG9" i="6"/>
  <c r="FG10" i="6" s="1"/>
  <c r="FG11" i="6"/>
  <c r="FG17" i="6"/>
  <c r="FG18" i="6" s="1"/>
  <c r="FF3" i="6"/>
  <c r="EI7" i="6"/>
  <c r="EJ4" i="6"/>
  <c r="EW14" i="6"/>
  <c r="EX12" i="6"/>
  <c r="EK4" i="6" l="1"/>
  <c r="EJ7" i="6"/>
  <c r="FI1" i="6"/>
  <c r="FH3" i="6"/>
  <c r="FH5" i="6"/>
  <c r="FH6" i="6" s="1"/>
  <c r="FH9" i="6"/>
  <c r="FH10" i="6" s="1"/>
  <c r="FH11" i="6"/>
  <c r="FH17" i="6"/>
  <c r="FH18" i="6" s="1"/>
  <c r="EY12" i="6"/>
  <c r="EX14" i="6"/>
  <c r="FJ1" i="6" l="1"/>
  <c r="FI5" i="6"/>
  <c r="FI6" i="6" s="1"/>
  <c r="FI3" i="6"/>
  <c r="FI9" i="6"/>
  <c r="FI10" i="6" s="1"/>
  <c r="FI11" i="6"/>
  <c r="FI17" i="6"/>
  <c r="FI18" i="6" s="1"/>
  <c r="EK7" i="6"/>
  <c r="EL4" i="6"/>
  <c r="EZ12" i="6"/>
  <c r="EY14" i="6"/>
  <c r="EM4" i="6" l="1"/>
  <c r="EL7" i="6"/>
  <c r="FK1" i="6"/>
  <c r="FJ5" i="6"/>
  <c r="FJ6" i="6" s="1"/>
  <c r="FJ9" i="6"/>
  <c r="FJ10" i="6" s="1"/>
  <c r="FJ11" i="6"/>
  <c r="FJ17" i="6"/>
  <c r="FJ18" i="6" s="1"/>
  <c r="EZ14" i="6"/>
  <c r="FA12" i="6"/>
  <c r="FL1" i="6" l="1"/>
  <c r="FK5" i="6"/>
  <c r="FK6" i="6" s="1"/>
  <c r="FK3" i="6"/>
  <c r="FK9" i="6"/>
  <c r="FK10" i="6" s="1"/>
  <c r="FK11" i="6"/>
  <c r="FK17" i="6"/>
  <c r="FK18" i="6" s="1"/>
  <c r="FJ3" i="6"/>
  <c r="EM7" i="6"/>
  <c r="EN4" i="6"/>
  <c r="FB12" i="6"/>
  <c r="FA14" i="6"/>
  <c r="EO4" i="6" l="1"/>
  <c r="EN7" i="6"/>
  <c r="FM1" i="6"/>
  <c r="FL5" i="6" s="1"/>
  <c r="FL6" i="6" s="1"/>
  <c r="FL17" i="6"/>
  <c r="FL18" i="6" s="1"/>
  <c r="FC12" i="6"/>
  <c r="FB14" i="6"/>
  <c r="FL11" i="6" l="1"/>
  <c r="FL9" i="6"/>
  <c r="FL10" i="6" s="1"/>
  <c r="FL3" i="6"/>
  <c r="EP4" i="6"/>
  <c r="EO7" i="6"/>
  <c r="FN1" i="6"/>
  <c r="FM3" i="6"/>
  <c r="FM5" i="6"/>
  <c r="FM6" i="6" s="1"/>
  <c r="FM9" i="6"/>
  <c r="FM11" i="6"/>
  <c r="FD12" i="6"/>
  <c r="FC14" i="6"/>
  <c r="FO1" i="6" l="1"/>
  <c r="FN11" i="6" s="1"/>
  <c r="FN3" i="6"/>
  <c r="FN9" i="6"/>
  <c r="EQ4" i="6"/>
  <c r="EP7" i="6"/>
  <c r="FM10" i="6"/>
  <c r="FM17" i="6"/>
  <c r="FM18" i="6" s="1"/>
  <c r="FE12" i="6"/>
  <c r="FD14" i="6"/>
  <c r="FN10" i="6" l="1"/>
  <c r="ER4" i="6"/>
  <c r="EQ7" i="6"/>
  <c r="FN17" i="6"/>
  <c r="FN18" i="6" s="1"/>
  <c r="FP1" i="6"/>
  <c r="FO5" i="6"/>
  <c r="FO9" i="6"/>
  <c r="FO3" i="6"/>
  <c r="FO11" i="6"/>
  <c r="FO17" i="6"/>
  <c r="FN5" i="6"/>
  <c r="FN6" i="6" s="1"/>
  <c r="FO6" i="6" s="1"/>
  <c r="FF12" i="6"/>
  <c r="FE14" i="6"/>
  <c r="FO18" i="6" l="1"/>
  <c r="FQ1" i="6"/>
  <c r="FP5" i="6"/>
  <c r="FP6" i="6" s="1"/>
  <c r="FP9" i="6"/>
  <c r="FP3" i="6"/>
  <c r="ES4" i="6"/>
  <c r="ER7" i="6"/>
  <c r="FO10" i="6"/>
  <c r="FG12" i="6"/>
  <c r="FF14" i="6"/>
  <c r="FR1" i="6" l="1"/>
  <c r="FQ5" i="6" s="1"/>
  <c r="FQ6" i="6" s="1"/>
  <c r="FQ3" i="6"/>
  <c r="FQ11" i="6"/>
  <c r="FP10" i="6"/>
  <c r="ET4" i="6"/>
  <c r="ES7" i="6"/>
  <c r="FP17" i="6"/>
  <c r="FP18" i="6" s="1"/>
  <c r="FP11" i="6"/>
  <c r="FH12" i="6"/>
  <c r="FG14" i="6"/>
  <c r="EU4" i="6" l="1"/>
  <c r="ET7" i="6"/>
  <c r="FQ17" i="6"/>
  <c r="FQ18" i="6" s="1"/>
  <c r="FQ9" i="6"/>
  <c r="FQ10" i="6" s="1"/>
  <c r="FS1" i="6"/>
  <c r="FR9" i="6"/>
  <c r="FR3" i="6"/>
  <c r="FR11" i="6"/>
  <c r="FR17" i="6"/>
  <c r="FI12" i="6"/>
  <c r="FH14" i="6"/>
  <c r="FR18" i="6" l="1"/>
  <c r="FR10" i="6"/>
  <c r="FT1" i="6"/>
  <c r="FS5" i="6"/>
  <c r="FS3" i="6"/>
  <c r="FS9" i="6"/>
  <c r="FS10" i="6" s="1"/>
  <c r="FS11" i="6"/>
  <c r="FS17" i="6"/>
  <c r="FS18" i="6" s="1"/>
  <c r="FR5" i="6"/>
  <c r="FR6" i="6" s="1"/>
  <c r="EV4" i="6"/>
  <c r="EU7" i="6"/>
  <c r="FJ12" i="6"/>
  <c r="FI14" i="6"/>
  <c r="FS6" i="6" l="1"/>
  <c r="EV7" i="6"/>
  <c r="EW4" i="6"/>
  <c r="FU1" i="6"/>
  <c r="FT5" i="6"/>
  <c r="FT3" i="6"/>
  <c r="FT9" i="6"/>
  <c r="FT10" i="6" s="1"/>
  <c r="FT11" i="6"/>
  <c r="FT17" i="6"/>
  <c r="FT18" i="6" s="1"/>
  <c r="FK12" i="6"/>
  <c r="FJ14" i="6"/>
  <c r="FV1" i="6" l="1"/>
  <c r="FU3" i="6"/>
  <c r="FU9" i="6"/>
  <c r="FU10" i="6" s="1"/>
  <c r="FU5" i="6"/>
  <c r="FU11" i="6"/>
  <c r="FU17" i="6"/>
  <c r="FU18" i="6" s="1"/>
  <c r="EX4" i="6"/>
  <c r="EW7" i="6"/>
  <c r="FT6" i="6"/>
  <c r="FL12" i="6"/>
  <c r="FK14" i="6"/>
  <c r="FU6" i="6" l="1"/>
  <c r="EX7" i="6"/>
  <c r="EY4" i="6"/>
  <c r="FW1" i="6"/>
  <c r="FV9" i="6"/>
  <c r="FV10" i="6" s="1"/>
  <c r="FV5" i="6"/>
  <c r="FV6" i="6" s="1"/>
  <c r="FV3" i="6"/>
  <c r="FV11" i="6"/>
  <c r="FV17" i="6"/>
  <c r="FV18" i="6" s="1"/>
  <c r="FM12" i="6"/>
  <c r="FL14" i="6"/>
  <c r="FX1" i="6" l="1"/>
  <c r="FW5" i="6"/>
  <c r="FW6" i="6" s="1"/>
  <c r="FW3" i="6"/>
  <c r="FW9" i="6"/>
  <c r="FW10" i="6" s="1"/>
  <c r="FW11" i="6"/>
  <c r="FW17" i="6"/>
  <c r="FW18" i="6" s="1"/>
  <c r="EY7" i="6"/>
  <c r="EZ4" i="6"/>
  <c r="FN12" i="6"/>
  <c r="FM14" i="6"/>
  <c r="FA4" i="6" l="1"/>
  <c r="EZ7" i="6"/>
  <c r="FY1" i="6"/>
  <c r="FX9" i="6"/>
  <c r="FX10" i="6" s="1"/>
  <c r="FX3" i="6"/>
  <c r="FX5" i="6"/>
  <c r="FX6" i="6" s="1"/>
  <c r="FX11" i="6"/>
  <c r="FX17" i="6"/>
  <c r="FX18" i="6" s="1"/>
  <c r="FO12" i="6"/>
  <c r="FN14" i="6"/>
  <c r="FZ1" i="6" l="1"/>
  <c r="FY5" i="6"/>
  <c r="FY6" i="6" s="1"/>
  <c r="FY3" i="6"/>
  <c r="FY9" i="6"/>
  <c r="FY10" i="6" s="1"/>
  <c r="FY11" i="6"/>
  <c r="FY17" i="6"/>
  <c r="FY18" i="6" s="1"/>
  <c r="FB4" i="6"/>
  <c r="FA7" i="6"/>
  <c r="FP12" i="6"/>
  <c r="FO14" i="6"/>
  <c r="FC4" i="6" l="1"/>
  <c r="FB7" i="6"/>
  <c r="GA1" i="6"/>
  <c r="FZ5" i="6"/>
  <c r="FZ6" i="6" s="1"/>
  <c r="FZ3" i="6"/>
  <c r="FZ9" i="6"/>
  <c r="FZ10" i="6" s="1"/>
  <c r="FZ11" i="6"/>
  <c r="FZ17" i="6"/>
  <c r="FZ18" i="6" s="1"/>
  <c r="FQ12" i="6"/>
  <c r="FP14" i="6"/>
  <c r="GB1" i="6" l="1"/>
  <c r="GA9" i="6"/>
  <c r="GA10" i="6" s="1"/>
  <c r="GA5" i="6"/>
  <c r="GA6" i="6" s="1"/>
  <c r="GA3" i="6"/>
  <c r="GA11" i="6"/>
  <c r="GA17" i="6"/>
  <c r="GA18" i="6" s="1"/>
  <c r="FC7" i="6"/>
  <c r="FD4" i="6"/>
  <c r="FR12" i="6"/>
  <c r="FQ14" i="6"/>
  <c r="FD7" i="6" l="1"/>
  <c r="FE4" i="6"/>
  <c r="GC1" i="6"/>
  <c r="GB9" i="6" s="1"/>
  <c r="GB10" i="6" s="1"/>
  <c r="GB5" i="6"/>
  <c r="GB6" i="6" s="1"/>
  <c r="GB3" i="6"/>
  <c r="GB11" i="6"/>
  <c r="GB17" i="6"/>
  <c r="GB18" i="6" s="1"/>
  <c r="FS12" i="6"/>
  <c r="FR14" i="6"/>
  <c r="FE7" i="6" l="1"/>
  <c r="FF4" i="6"/>
  <c r="GD1" i="6"/>
  <c r="GC9" i="6"/>
  <c r="GC10" i="6" s="1"/>
  <c r="GC3" i="6"/>
  <c r="GC11" i="6"/>
  <c r="GC17" i="6"/>
  <c r="GC18" i="6" s="1"/>
  <c r="FT12" i="6"/>
  <c r="FS14" i="6"/>
  <c r="FG4" i="6" l="1"/>
  <c r="FF7" i="6"/>
  <c r="GE1" i="6"/>
  <c r="GD9" i="6"/>
  <c r="GD10" i="6" s="1"/>
  <c r="GD11" i="6"/>
  <c r="GD17" i="6"/>
  <c r="GD18" i="6" s="1"/>
  <c r="GC5" i="6"/>
  <c r="GC6" i="6" s="1"/>
  <c r="FT14" i="6"/>
  <c r="FU12" i="6"/>
  <c r="GF1" i="6" l="1"/>
  <c r="GE9" i="6"/>
  <c r="GE10" i="6" s="1"/>
  <c r="GE5" i="6"/>
  <c r="GE3" i="6"/>
  <c r="GE11" i="6"/>
  <c r="GE17" i="6"/>
  <c r="GE18" i="6" s="1"/>
  <c r="GD3" i="6"/>
  <c r="GD5" i="6"/>
  <c r="GD6" i="6" s="1"/>
  <c r="GE6" i="6" s="1"/>
  <c r="FH4" i="6"/>
  <c r="FG7" i="6"/>
  <c r="FU14" i="6"/>
  <c r="FV12" i="6"/>
  <c r="FI4" i="6" l="1"/>
  <c r="FH7" i="6"/>
  <c r="GG1" i="6"/>
  <c r="GF9" i="6"/>
  <c r="GF10" i="6" s="1"/>
  <c r="GF3" i="6"/>
  <c r="GF5" i="6"/>
  <c r="GF6" i="6" s="1"/>
  <c r="GF11" i="6"/>
  <c r="GF17" i="6"/>
  <c r="GF18" i="6" s="1"/>
  <c r="FV14" i="6"/>
  <c r="FW12" i="6"/>
  <c r="GH1" i="6" l="1"/>
  <c r="GG9" i="6"/>
  <c r="GG10" i="6" s="1"/>
  <c r="GG3" i="6"/>
  <c r="GG5" i="6"/>
  <c r="GG6" i="6" s="1"/>
  <c r="GG11" i="6"/>
  <c r="GG17" i="6"/>
  <c r="GG18" i="6" s="1"/>
  <c r="FJ4" i="6"/>
  <c r="FI7" i="6"/>
  <c r="FX12" i="6"/>
  <c r="FW14" i="6"/>
  <c r="FJ7" i="6" l="1"/>
  <c r="FK4" i="6"/>
  <c r="GI1" i="6"/>
  <c r="GH9" i="6"/>
  <c r="GH10" i="6" s="1"/>
  <c r="GH11" i="6"/>
  <c r="GH17" i="6"/>
  <c r="GH18" i="6" s="1"/>
  <c r="FY12" i="6"/>
  <c r="FX14" i="6"/>
  <c r="GJ1" i="6" l="1"/>
  <c r="GI3" i="6"/>
  <c r="GI9" i="6"/>
  <c r="GI10" i="6" s="1"/>
  <c r="GI5" i="6"/>
  <c r="GI11" i="6"/>
  <c r="GI17" i="6"/>
  <c r="GI18" i="6" s="1"/>
  <c r="GH5" i="6"/>
  <c r="GH6" i="6" s="1"/>
  <c r="GI6" i="6" s="1"/>
  <c r="FL4" i="6"/>
  <c r="FK7" i="6"/>
  <c r="GH3" i="6"/>
  <c r="FZ12" i="6"/>
  <c r="FY14" i="6"/>
  <c r="FL7" i="6" l="1"/>
  <c r="FM4" i="6"/>
  <c r="GK1" i="6"/>
  <c r="GJ11" i="6"/>
  <c r="GJ17" i="6"/>
  <c r="GJ18" i="6" s="1"/>
  <c r="GA12" i="6"/>
  <c r="FZ14" i="6"/>
  <c r="GL1" i="6" l="1"/>
  <c r="GK3" i="6" s="1"/>
  <c r="GJ5" i="6"/>
  <c r="GJ6" i="6" s="1"/>
  <c r="GJ9" i="6"/>
  <c r="GJ10" i="6" s="1"/>
  <c r="GJ3" i="6"/>
  <c r="FN4" i="6"/>
  <c r="FM7" i="6"/>
  <c r="GB12" i="6"/>
  <c r="GA14" i="6"/>
  <c r="GK17" i="6" l="1"/>
  <c r="GK18" i="6" s="1"/>
  <c r="GK11" i="6"/>
  <c r="GK9" i="6"/>
  <c r="GK10" i="6" s="1"/>
  <c r="GK5" i="6"/>
  <c r="GK6" i="6" s="1"/>
  <c r="GM1" i="6"/>
  <c r="GL3" i="6"/>
  <c r="GL9" i="6"/>
  <c r="GL11" i="6"/>
  <c r="GL17" i="6"/>
  <c r="FO4" i="6"/>
  <c r="FN7" i="6"/>
  <c r="GC12" i="6"/>
  <c r="GB14" i="6"/>
  <c r="GL10" i="6" l="1"/>
  <c r="GN1" i="6"/>
  <c r="GM3" i="6"/>
  <c r="GM9" i="6"/>
  <c r="GM5" i="6"/>
  <c r="GM11" i="6"/>
  <c r="GM17" i="6"/>
  <c r="GL5" i="6"/>
  <c r="GL6" i="6" s="1"/>
  <c r="GM6" i="6" s="1"/>
  <c r="GL18" i="6"/>
  <c r="FO7" i="6"/>
  <c r="FP4" i="6"/>
  <c r="GD12" i="6"/>
  <c r="GC14" i="6"/>
  <c r="GM10" i="6" l="1"/>
  <c r="FQ4" i="6"/>
  <c r="FP7" i="6"/>
  <c r="GM18" i="6"/>
  <c r="GO1" i="6"/>
  <c r="GN9" i="6"/>
  <c r="GN3" i="6"/>
  <c r="GN11" i="6"/>
  <c r="GN17" i="6"/>
  <c r="GE12" i="6"/>
  <c r="GD14" i="6"/>
  <c r="GN10" i="6" l="1"/>
  <c r="GP1" i="6"/>
  <c r="GO5" i="6"/>
  <c r="GO9" i="6"/>
  <c r="GO11" i="6"/>
  <c r="GO17" i="6"/>
  <c r="GN5" i="6"/>
  <c r="GN6" i="6" s="1"/>
  <c r="GO6" i="6" s="1"/>
  <c r="GN18" i="6"/>
  <c r="FR4" i="6"/>
  <c r="FQ7" i="6"/>
  <c r="GF12" i="6"/>
  <c r="GE14" i="6"/>
  <c r="GO10" i="6" l="1"/>
  <c r="GO18" i="6"/>
  <c r="FR7" i="6"/>
  <c r="FS4" i="6"/>
  <c r="GQ1" i="6"/>
  <c r="GP11" i="6"/>
  <c r="GP17" i="6"/>
  <c r="GO3" i="6"/>
  <c r="GG12" i="6"/>
  <c r="GF14" i="6"/>
  <c r="GR1" i="6" l="1"/>
  <c r="GQ5" i="6"/>
  <c r="GQ3" i="6"/>
  <c r="GQ9" i="6"/>
  <c r="GQ11" i="6"/>
  <c r="GQ17" i="6"/>
  <c r="GP5" i="6"/>
  <c r="GP6" i="6" s="1"/>
  <c r="GQ6" i="6" s="1"/>
  <c r="GP9" i="6"/>
  <c r="GP10" i="6" s="1"/>
  <c r="GP3" i="6"/>
  <c r="FS7" i="6"/>
  <c r="FT4" i="6"/>
  <c r="GP18" i="6"/>
  <c r="GG14" i="6"/>
  <c r="GH12" i="6"/>
  <c r="GQ18" i="6" l="1"/>
  <c r="FU4" i="6"/>
  <c r="FT7" i="6"/>
  <c r="GQ10" i="6"/>
  <c r="GS1" i="6"/>
  <c r="GR5" i="6"/>
  <c r="GR6" i="6" s="1"/>
  <c r="GR9" i="6"/>
  <c r="GR3" i="6"/>
  <c r="GR11" i="6"/>
  <c r="GR17" i="6"/>
  <c r="GI12" i="6"/>
  <c r="GH14" i="6"/>
  <c r="GT1" i="6" l="1"/>
  <c r="GS3" i="6" s="1"/>
  <c r="GS5" i="6"/>
  <c r="GS6" i="6" s="1"/>
  <c r="GR10" i="6"/>
  <c r="FV4" i="6"/>
  <c r="FU7" i="6"/>
  <c r="GR18" i="6"/>
  <c r="GI14" i="6"/>
  <c r="GJ12" i="6"/>
  <c r="FW4" i="6" l="1"/>
  <c r="FV7" i="6"/>
  <c r="GS17" i="6"/>
  <c r="GS18" i="6" s="1"/>
  <c r="GS11" i="6"/>
  <c r="GS9" i="6"/>
  <c r="GS10" i="6" s="1"/>
  <c r="GU1" i="6"/>
  <c r="GT5" i="6"/>
  <c r="GT6" i="6" s="1"/>
  <c r="GT9" i="6"/>
  <c r="GT3" i="6"/>
  <c r="GJ14" i="6"/>
  <c r="GK12" i="6"/>
  <c r="GT10" i="6" l="1"/>
  <c r="GV1" i="6"/>
  <c r="GU3" i="6"/>
  <c r="GU5" i="6"/>
  <c r="GU6" i="6" s="1"/>
  <c r="GU9" i="6"/>
  <c r="GU10" i="6" s="1"/>
  <c r="GU11" i="6"/>
  <c r="GU17" i="6"/>
  <c r="FW7" i="6"/>
  <c r="FX4" i="6"/>
  <c r="GT17" i="6"/>
  <c r="GT18" i="6" s="1"/>
  <c r="GT11" i="6"/>
  <c r="GL12" i="6"/>
  <c r="GK14" i="6"/>
  <c r="GU18" i="6" l="1"/>
  <c r="FX7" i="6"/>
  <c r="FY4" i="6"/>
  <c r="GW1" i="6"/>
  <c r="GV9" i="6"/>
  <c r="GV10" i="6" s="1"/>
  <c r="GV11" i="6"/>
  <c r="GV17" i="6"/>
  <c r="GV18" i="6" s="1"/>
  <c r="GL14" i="6"/>
  <c r="GM12" i="6"/>
  <c r="GX1" i="6" l="1"/>
  <c r="GW5" i="6"/>
  <c r="GW9" i="6"/>
  <c r="GW10" i="6" s="1"/>
  <c r="GW11" i="6"/>
  <c r="GW17" i="6"/>
  <c r="GW18" i="6" s="1"/>
  <c r="GV5" i="6"/>
  <c r="GV6" i="6" s="1"/>
  <c r="GV3" i="6"/>
  <c r="FZ4" i="6"/>
  <c r="FY7" i="6"/>
  <c r="GN12" i="6"/>
  <c r="GM14" i="6"/>
  <c r="GW6" i="6" l="1"/>
  <c r="GA4" i="6"/>
  <c r="FZ7" i="6"/>
  <c r="GY1" i="6"/>
  <c r="GX3" i="6"/>
  <c r="GX5" i="6"/>
  <c r="GX6" i="6" s="1"/>
  <c r="GX9" i="6"/>
  <c r="GX10" i="6" s="1"/>
  <c r="GX11" i="6"/>
  <c r="GX17" i="6"/>
  <c r="GX18" i="6" s="1"/>
  <c r="GW3" i="6"/>
  <c r="GO12" i="6"/>
  <c r="GN14" i="6"/>
  <c r="GZ1" i="6" l="1"/>
  <c r="GY3" i="6"/>
  <c r="GY5" i="6"/>
  <c r="GY6" i="6" s="1"/>
  <c r="GY9" i="6"/>
  <c r="GY10" i="6" s="1"/>
  <c r="GY11" i="6"/>
  <c r="GY17" i="6"/>
  <c r="GY18" i="6" s="1"/>
  <c r="GB4" i="6"/>
  <c r="GA7" i="6"/>
  <c r="GP12" i="6"/>
  <c r="GO14" i="6"/>
  <c r="GC4" i="6" l="1"/>
  <c r="GB7" i="6"/>
  <c r="HA1" i="6"/>
  <c r="GZ5" i="6"/>
  <c r="GZ6" i="6" s="1"/>
  <c r="GZ9" i="6"/>
  <c r="GZ10" i="6" s="1"/>
  <c r="GZ3" i="6"/>
  <c r="GZ11" i="6"/>
  <c r="GZ17" i="6"/>
  <c r="GZ18" i="6" s="1"/>
  <c r="GQ12" i="6"/>
  <c r="GP14" i="6"/>
  <c r="HB1" i="6" l="1"/>
  <c r="HA5" i="6"/>
  <c r="HA6" i="6" s="1"/>
  <c r="HA9" i="6"/>
  <c r="HA10" i="6" s="1"/>
  <c r="HA11" i="6"/>
  <c r="HA17" i="6"/>
  <c r="HA18" i="6" s="1"/>
  <c r="GD4" i="6"/>
  <c r="GC7" i="6"/>
  <c r="GR12" i="6"/>
  <c r="GQ14" i="6"/>
  <c r="GE4" i="6" l="1"/>
  <c r="GD7" i="6"/>
  <c r="HC1" i="6"/>
  <c r="HB9" i="6" s="1"/>
  <c r="HB10" i="6" s="1"/>
  <c r="HA3" i="6"/>
  <c r="GS12" i="6"/>
  <c r="GR14" i="6"/>
  <c r="HB17" i="6" l="1"/>
  <c r="HB18" i="6" s="1"/>
  <c r="HB11" i="6"/>
  <c r="HB3" i="6"/>
  <c r="HD1" i="6"/>
  <c r="HC3" i="6" s="1"/>
  <c r="HC5" i="6"/>
  <c r="HB5" i="6"/>
  <c r="HB6" i="6" s="1"/>
  <c r="GE7" i="6"/>
  <c r="GF4" i="6"/>
  <c r="GT12" i="6"/>
  <c r="GS14" i="6"/>
  <c r="GG4" i="6" l="1"/>
  <c r="GF7" i="6"/>
  <c r="HC6" i="6"/>
  <c r="HC17" i="6"/>
  <c r="HC18" i="6" s="1"/>
  <c r="HC11" i="6"/>
  <c r="HC9" i="6"/>
  <c r="HC10" i="6" s="1"/>
  <c r="HE1" i="6"/>
  <c r="HD5" i="6" s="1"/>
  <c r="GU12" i="6"/>
  <c r="GT14" i="6"/>
  <c r="HD6" i="6" l="1"/>
  <c r="HD17" i="6"/>
  <c r="HD18" i="6" s="1"/>
  <c r="HD11" i="6"/>
  <c r="HD3" i="6"/>
  <c r="HD9" i="6"/>
  <c r="HD10" i="6" s="1"/>
  <c r="HF1" i="6"/>
  <c r="GH4" i="6"/>
  <c r="GG7" i="6"/>
  <c r="GV12" i="6"/>
  <c r="GU14" i="6"/>
  <c r="HG1" i="6" l="1"/>
  <c r="HF5" i="6"/>
  <c r="HF9" i="6"/>
  <c r="HF3" i="6"/>
  <c r="HF11" i="6"/>
  <c r="HF17" i="6"/>
  <c r="HE17" i="6"/>
  <c r="HE18" i="6" s="1"/>
  <c r="HE11" i="6"/>
  <c r="HE9" i="6"/>
  <c r="HE10" i="6" s="1"/>
  <c r="HF10" i="6" s="1"/>
  <c r="HE3" i="6"/>
  <c r="HE5" i="6"/>
  <c r="HE6" i="6" s="1"/>
  <c r="GI4" i="6"/>
  <c r="GH7" i="6"/>
  <c r="GW12" i="6"/>
  <c r="GV14" i="6"/>
  <c r="HF18" i="6" l="1"/>
  <c r="HF6" i="6"/>
  <c r="HH1" i="6"/>
  <c r="HG3" i="6"/>
  <c r="HG11" i="6"/>
  <c r="HG17" i="6"/>
  <c r="HG18" i="6" s="1"/>
  <c r="GJ4" i="6"/>
  <c r="GI7" i="6"/>
  <c r="GX12" i="6"/>
  <c r="GW14" i="6"/>
  <c r="GK4" i="6" l="1"/>
  <c r="GJ7" i="6"/>
  <c r="HI1" i="6"/>
  <c r="HH17" i="6" s="1"/>
  <c r="HH18" i="6" s="1"/>
  <c r="HH3" i="6"/>
  <c r="HH9" i="6"/>
  <c r="HH5" i="6"/>
  <c r="HH11" i="6"/>
  <c r="HG9" i="6"/>
  <c r="HG10" i="6" s="1"/>
  <c r="HG5" i="6"/>
  <c r="HG6" i="6" s="1"/>
  <c r="GY12" i="6"/>
  <c r="GX14" i="6"/>
  <c r="HH6" i="6" l="1"/>
  <c r="HH10" i="6"/>
  <c r="GL4" i="6"/>
  <c r="GK7" i="6"/>
  <c r="HJ1" i="6"/>
  <c r="HI3" i="6"/>
  <c r="HI5" i="6"/>
  <c r="HI6" i="6" s="1"/>
  <c r="HI9" i="6"/>
  <c r="HI11" i="6"/>
  <c r="HI17" i="6"/>
  <c r="HI18" i="6" s="1"/>
  <c r="GZ12" i="6"/>
  <c r="GY14" i="6"/>
  <c r="HK1" i="6" l="1"/>
  <c r="HJ5" i="6"/>
  <c r="HJ6" i="6" s="1"/>
  <c r="HJ3" i="6"/>
  <c r="HJ9" i="6"/>
  <c r="HJ11" i="6"/>
  <c r="HJ17" i="6"/>
  <c r="HJ18" i="6" s="1"/>
  <c r="GL7" i="6"/>
  <c r="GM4" i="6"/>
  <c r="HI10" i="6"/>
  <c r="HA12" i="6"/>
  <c r="GZ14" i="6"/>
  <c r="HJ10" i="6" l="1"/>
  <c r="GN4" i="6"/>
  <c r="GM7" i="6"/>
  <c r="HL1" i="6"/>
  <c r="HK3" i="6"/>
  <c r="HK9" i="6"/>
  <c r="HK11" i="6"/>
  <c r="HK17" i="6"/>
  <c r="HK18" i="6" s="1"/>
  <c r="HA14" i="6"/>
  <c r="HB12" i="6"/>
  <c r="HM1" i="6" l="1"/>
  <c r="HL3" i="6"/>
  <c r="HL5" i="6"/>
  <c r="HL9" i="6"/>
  <c r="HL11" i="6"/>
  <c r="HL17" i="6"/>
  <c r="HL18" i="6" s="1"/>
  <c r="HK5" i="6"/>
  <c r="HK6" i="6" s="1"/>
  <c r="HL6" i="6" s="1"/>
  <c r="GO4" i="6"/>
  <c r="GN7" i="6"/>
  <c r="HK10" i="6"/>
  <c r="HC12" i="6"/>
  <c r="HB14" i="6"/>
  <c r="HL10" i="6" l="1"/>
  <c r="GO7" i="6"/>
  <c r="GP4" i="6"/>
  <c r="HN1" i="6"/>
  <c r="HM5" i="6"/>
  <c r="HM6" i="6" s="1"/>
  <c r="HM3" i="6"/>
  <c r="HM11" i="6"/>
  <c r="HM17" i="6"/>
  <c r="HM18" i="6" s="1"/>
  <c r="HD12" i="6"/>
  <c r="HC14" i="6"/>
  <c r="HO1" i="6" l="1"/>
  <c r="HN5" i="6"/>
  <c r="HN6" i="6" s="1"/>
  <c r="HN9" i="6"/>
  <c r="HN11" i="6"/>
  <c r="HN17" i="6"/>
  <c r="HN18" i="6" s="1"/>
  <c r="HM9" i="6"/>
  <c r="HM10" i="6" s="1"/>
  <c r="GQ4" i="6"/>
  <c r="GP7" i="6"/>
  <c r="HD14" i="6"/>
  <c r="HE12" i="6"/>
  <c r="HN10" i="6" l="1"/>
  <c r="GQ7" i="6"/>
  <c r="GR4" i="6"/>
  <c r="HP1" i="6"/>
  <c r="HO3" i="6" s="1"/>
  <c r="HO9" i="6"/>
  <c r="HO5" i="6"/>
  <c r="HO6" i="6" s="1"/>
  <c r="HO11" i="6"/>
  <c r="HO17" i="6"/>
  <c r="HO18" i="6" s="1"/>
  <c r="HN3" i="6"/>
  <c r="HE14" i="6"/>
  <c r="HF12" i="6"/>
  <c r="HO10" i="6" l="1"/>
  <c r="HQ1" i="6"/>
  <c r="HP3" i="6" s="1"/>
  <c r="HP9" i="6"/>
  <c r="HP5" i="6"/>
  <c r="HP6" i="6" s="1"/>
  <c r="HP11" i="6"/>
  <c r="HP17" i="6"/>
  <c r="HP18" i="6" s="1"/>
  <c r="GR7" i="6"/>
  <c r="GS4" i="6"/>
  <c r="HG12" i="6"/>
  <c r="HF14" i="6"/>
  <c r="HP10" i="6" l="1"/>
  <c r="HR1" i="6"/>
  <c r="HQ5" i="6"/>
  <c r="HQ6" i="6" s="1"/>
  <c r="HQ3" i="6"/>
  <c r="HQ9" i="6"/>
  <c r="HQ10" i="6" s="1"/>
  <c r="HQ11" i="6"/>
  <c r="HQ17" i="6"/>
  <c r="HQ18" i="6" s="1"/>
  <c r="GS7" i="6"/>
  <c r="GT4" i="6"/>
  <c r="HH12" i="6"/>
  <c r="HG14" i="6"/>
  <c r="GT7" i="6" l="1"/>
  <c r="GU4" i="6"/>
  <c r="HS1" i="6"/>
  <c r="HR5" i="6"/>
  <c r="HR6" i="6" s="1"/>
  <c r="HR9" i="6"/>
  <c r="HR10" i="6" s="1"/>
  <c r="HR3" i="6"/>
  <c r="HR11" i="6"/>
  <c r="HR17" i="6"/>
  <c r="HR18" i="6" s="1"/>
  <c r="HI12" i="6"/>
  <c r="HH14" i="6"/>
  <c r="HT1" i="6" l="1"/>
  <c r="HS11" i="6" s="1"/>
  <c r="GV4" i="6"/>
  <c r="GU7" i="6"/>
  <c r="HJ12" i="6"/>
  <c r="HI14" i="6"/>
  <c r="HS9" i="6" l="1"/>
  <c r="HS10" i="6" s="1"/>
  <c r="HS3" i="6"/>
  <c r="HS5" i="6"/>
  <c r="HS6" i="6" s="1"/>
  <c r="GW4" i="6"/>
  <c r="GV7" i="6"/>
  <c r="HS17" i="6"/>
  <c r="HS18" i="6" s="1"/>
  <c r="HU1" i="6"/>
  <c r="HT9" i="6"/>
  <c r="HT5" i="6"/>
  <c r="HT3" i="6"/>
  <c r="HT11" i="6"/>
  <c r="HT17" i="6"/>
  <c r="HK12" i="6"/>
  <c r="HJ14" i="6"/>
  <c r="HT10" i="6" l="1"/>
  <c r="HV1" i="6"/>
  <c r="HU5" i="6"/>
  <c r="HU9" i="6"/>
  <c r="HU10" i="6" s="1"/>
  <c r="HU3" i="6"/>
  <c r="HU11" i="6"/>
  <c r="HU17" i="6"/>
  <c r="HT18" i="6"/>
  <c r="HT6" i="6"/>
  <c r="GX4" i="6"/>
  <c r="GW7" i="6"/>
  <c r="HL12" i="6"/>
  <c r="HK14" i="6"/>
  <c r="HW1" i="6" l="1"/>
  <c r="HV5" i="6"/>
  <c r="HV3" i="6"/>
  <c r="HV9" i="6"/>
  <c r="HV10" i="6" s="1"/>
  <c r="HV11" i="6"/>
  <c r="HV17" i="6"/>
  <c r="GY4" i="6"/>
  <c r="GX7" i="6"/>
  <c r="HU6" i="6"/>
  <c r="HU18" i="6"/>
  <c r="HM12" i="6"/>
  <c r="HL14" i="6"/>
  <c r="HV6" i="6" l="1"/>
  <c r="HV18" i="6"/>
  <c r="GZ4" i="6"/>
  <c r="GY7" i="6"/>
  <c r="HX1" i="6"/>
  <c r="HW3" i="6"/>
  <c r="HW9" i="6"/>
  <c r="HW10" i="6" s="1"/>
  <c r="HW5" i="6"/>
  <c r="HW6" i="6" s="1"/>
  <c r="HW11" i="6"/>
  <c r="HW17" i="6"/>
  <c r="HN12" i="6"/>
  <c r="HM14" i="6"/>
  <c r="HY1" i="6" l="1"/>
  <c r="HX5" i="6"/>
  <c r="HX6" i="6" s="1"/>
  <c r="HX3" i="6"/>
  <c r="HX9" i="6"/>
  <c r="HX10" i="6" s="1"/>
  <c r="HX11" i="6"/>
  <c r="HX17" i="6"/>
  <c r="HA4" i="6"/>
  <c r="GZ7" i="6"/>
  <c r="HW18" i="6"/>
  <c r="HO12" i="6"/>
  <c r="HN14" i="6"/>
  <c r="HX18" i="6" l="1"/>
  <c r="HA7" i="6"/>
  <c r="HB4" i="6"/>
  <c r="HZ1" i="6"/>
  <c r="HY5" i="6"/>
  <c r="HY6" i="6" s="1"/>
  <c r="HY3" i="6"/>
  <c r="HY9" i="6"/>
  <c r="HY10" i="6" s="1"/>
  <c r="HY11" i="6"/>
  <c r="HY17" i="6"/>
  <c r="HP12" i="6"/>
  <c r="HO14" i="6"/>
  <c r="HC4" i="6" l="1"/>
  <c r="HB7" i="6"/>
  <c r="HZ5" i="6"/>
  <c r="HZ6" i="6" s="1"/>
  <c r="IA1" i="6"/>
  <c r="HZ9" i="6"/>
  <c r="HZ10" i="6" s="1"/>
  <c r="HZ3" i="6"/>
  <c r="HZ11" i="6"/>
  <c r="HZ17" i="6"/>
  <c r="HY18" i="6"/>
  <c r="HQ12" i="6"/>
  <c r="HP14" i="6"/>
  <c r="HZ18" i="6" l="1"/>
  <c r="IB1" i="6"/>
  <c r="IA11" i="6" s="1"/>
  <c r="HC7" i="6"/>
  <c r="HD4" i="6"/>
  <c r="HQ14" i="6"/>
  <c r="HR12" i="6"/>
  <c r="IA3" i="6" l="1"/>
  <c r="IA5" i="6"/>
  <c r="IA6" i="6" s="1"/>
  <c r="IA9" i="6"/>
  <c r="IA10" i="6" s="1"/>
  <c r="HE4" i="6"/>
  <c r="HD7" i="6"/>
  <c r="IA17" i="6"/>
  <c r="IA18" i="6" s="1"/>
  <c r="IC1" i="6"/>
  <c r="IB11" i="6"/>
  <c r="HS12" i="6"/>
  <c r="HR14" i="6"/>
  <c r="ID1" i="6" l="1"/>
  <c r="IC3" i="6"/>
  <c r="IC5" i="6"/>
  <c r="IC9" i="6"/>
  <c r="IC11" i="6"/>
  <c r="IC17" i="6"/>
  <c r="IB9" i="6"/>
  <c r="IB10" i="6" s="1"/>
  <c r="IC10" i="6" s="1"/>
  <c r="IB3" i="6"/>
  <c r="IB5" i="6"/>
  <c r="IB6" i="6" s="1"/>
  <c r="IC6" i="6" s="1"/>
  <c r="HF4" i="6"/>
  <c r="HE7" i="6"/>
  <c r="IB17" i="6"/>
  <c r="IB18" i="6" s="1"/>
  <c r="HT12" i="6"/>
  <c r="HS14" i="6"/>
  <c r="IC18" i="6" l="1"/>
  <c r="IE1" i="6"/>
  <c r="ID3" i="6" s="1"/>
  <c r="HG4" i="6"/>
  <c r="HF7" i="6"/>
  <c r="HT14" i="6"/>
  <c r="HU12" i="6"/>
  <c r="HG7" i="6" l="1"/>
  <c r="HH4" i="6"/>
  <c r="ID17" i="6"/>
  <c r="ID18" i="6" s="1"/>
  <c r="ID11" i="6"/>
  <c r="ID5" i="6"/>
  <c r="ID6" i="6" s="1"/>
  <c r="ID9" i="6"/>
  <c r="ID10" i="6" s="1"/>
  <c r="IF1" i="6"/>
  <c r="IE3" i="6"/>
  <c r="IE9" i="6"/>
  <c r="IE11" i="6"/>
  <c r="IE17" i="6"/>
  <c r="HU14" i="6"/>
  <c r="HV12" i="6"/>
  <c r="IG1" i="6" l="1"/>
  <c r="IF3" i="6"/>
  <c r="IF5" i="6"/>
  <c r="IF9" i="6"/>
  <c r="IF11" i="6"/>
  <c r="IF17" i="6"/>
  <c r="IE5" i="6"/>
  <c r="IE6" i="6" s="1"/>
  <c r="IE10" i="6"/>
  <c r="IE18" i="6"/>
  <c r="HI4" i="6"/>
  <c r="HH7" i="6"/>
  <c r="HV14" i="6"/>
  <c r="HW12" i="6"/>
  <c r="IF6" i="6" l="1"/>
  <c r="IF10" i="6"/>
  <c r="IF18" i="6"/>
  <c r="HJ4" i="6"/>
  <c r="HI7" i="6"/>
  <c r="IH1" i="6"/>
  <c r="IG5" i="6"/>
  <c r="IG3" i="6"/>
  <c r="IG9" i="6"/>
  <c r="IG10" i="6" s="1"/>
  <c r="IG11" i="6"/>
  <c r="IG17" i="6"/>
  <c r="IG18" i="6" s="1"/>
  <c r="HX12" i="6"/>
  <c r="HW14" i="6"/>
  <c r="IG6" i="6" l="1"/>
  <c r="II1" i="6"/>
  <c r="IH3" i="6"/>
  <c r="IH9" i="6"/>
  <c r="IH10" i="6" s="1"/>
  <c r="IH11" i="6"/>
  <c r="IH17" i="6"/>
  <c r="IH18" i="6" s="1"/>
  <c r="HK4" i="6"/>
  <c r="HJ7" i="6"/>
  <c r="HY12" i="6"/>
  <c r="HX14" i="6"/>
  <c r="IJ1" i="6" l="1"/>
  <c r="II3" i="6"/>
  <c r="II5" i="6"/>
  <c r="II9" i="6"/>
  <c r="II10" i="6" s="1"/>
  <c r="II11" i="6"/>
  <c r="II17" i="6"/>
  <c r="II18" i="6" s="1"/>
  <c r="IH5" i="6"/>
  <c r="IH6" i="6" s="1"/>
  <c r="HL4" i="6"/>
  <c r="HK7" i="6"/>
  <c r="HZ12" i="6"/>
  <c r="HY14" i="6"/>
  <c r="II6" i="6" l="1"/>
  <c r="HM4" i="6"/>
  <c r="HL7" i="6"/>
  <c r="IK1" i="6"/>
  <c r="IJ3" i="6"/>
  <c r="IJ5" i="6"/>
  <c r="IJ6" i="6" s="1"/>
  <c r="IJ9" i="6"/>
  <c r="IJ10" i="6" s="1"/>
  <c r="IJ11" i="6"/>
  <c r="IJ17" i="6"/>
  <c r="IJ18" i="6" s="1"/>
  <c r="IA12" i="6"/>
  <c r="HZ14" i="6"/>
  <c r="IL1" i="6" l="1"/>
  <c r="IK3" i="6"/>
  <c r="IK9" i="6"/>
  <c r="IK10" i="6" s="1"/>
  <c r="IK11" i="6"/>
  <c r="IK17" i="6"/>
  <c r="IK18" i="6" s="1"/>
  <c r="HN4" i="6"/>
  <c r="HM7" i="6"/>
  <c r="IB12" i="6"/>
  <c r="IA14" i="6"/>
  <c r="HN7" i="6" l="1"/>
  <c r="HO4" i="6"/>
  <c r="IM1" i="6"/>
  <c r="IL5" i="6"/>
  <c r="IL3" i="6"/>
  <c r="IL9" i="6"/>
  <c r="IL10" i="6" s="1"/>
  <c r="IL11" i="6"/>
  <c r="IL17" i="6"/>
  <c r="IL18" i="6" s="1"/>
  <c r="IK5" i="6"/>
  <c r="IK6" i="6" s="1"/>
  <c r="IC12" i="6"/>
  <c r="IB14" i="6"/>
  <c r="IL6" i="6" l="1"/>
  <c r="IN1" i="6"/>
  <c r="IM11" i="6"/>
  <c r="IM17" i="6"/>
  <c r="IM18" i="6" s="1"/>
  <c r="HP4" i="6"/>
  <c r="HO7" i="6"/>
  <c r="ID12" i="6"/>
  <c r="IC14" i="6"/>
  <c r="HP7" i="6" l="1"/>
  <c r="HQ4" i="6"/>
  <c r="IO1" i="6"/>
  <c r="IN3" i="6"/>
  <c r="IN5" i="6"/>
  <c r="IN9" i="6"/>
  <c r="IN11" i="6"/>
  <c r="IN17" i="6"/>
  <c r="IN18" i="6" s="1"/>
  <c r="IM3" i="6"/>
  <c r="IM5" i="6"/>
  <c r="IM6" i="6" s="1"/>
  <c r="IN6" i="6" s="1"/>
  <c r="IM9" i="6"/>
  <c r="IM10" i="6" s="1"/>
  <c r="IE12" i="6"/>
  <c r="ID14" i="6"/>
  <c r="IN10" i="6" l="1"/>
  <c r="IP1" i="6"/>
  <c r="IO3" i="6"/>
  <c r="IO5" i="6"/>
  <c r="IO6" i="6" s="1"/>
  <c r="IO9" i="6"/>
  <c r="HR4" i="6"/>
  <c r="HQ7" i="6"/>
  <c r="IF12" i="6"/>
  <c r="IE14" i="6"/>
  <c r="IQ1" i="6" l="1"/>
  <c r="IP17" i="6" s="1"/>
  <c r="IP5" i="6"/>
  <c r="IP6" i="6" s="1"/>
  <c r="IO10" i="6"/>
  <c r="HS4" i="6"/>
  <c r="HR7" i="6"/>
  <c r="IO17" i="6"/>
  <c r="IO18" i="6" s="1"/>
  <c r="IO11" i="6"/>
  <c r="IG12" i="6"/>
  <c r="IF14" i="6"/>
  <c r="IP18" i="6" l="1"/>
  <c r="HS7" i="6"/>
  <c r="HT4" i="6"/>
  <c r="IR1" i="6"/>
  <c r="IQ5" i="6" s="1"/>
  <c r="IQ6" i="6" s="1"/>
  <c r="IQ9" i="6"/>
  <c r="IQ11" i="6"/>
  <c r="IQ17" i="6"/>
  <c r="IP3" i="6"/>
  <c r="IP11" i="6"/>
  <c r="IP9" i="6"/>
  <c r="IP10" i="6" s="1"/>
  <c r="IH12" i="6"/>
  <c r="IG14" i="6"/>
  <c r="IQ3" i="6" l="1"/>
  <c r="IS1" i="6"/>
  <c r="IR5" i="6"/>
  <c r="IR6" i="6" s="1"/>
  <c r="IQ10" i="6"/>
  <c r="HU4" i="6"/>
  <c r="HT7" i="6"/>
  <c r="IQ18" i="6"/>
  <c r="II12" i="6"/>
  <c r="IH14" i="6"/>
  <c r="IT1" i="6" l="1"/>
  <c r="IS9" i="6" s="1"/>
  <c r="HV4" i="6"/>
  <c r="HU7" i="6"/>
  <c r="IR17" i="6"/>
  <c r="IR18" i="6" s="1"/>
  <c r="IR11" i="6"/>
  <c r="IR3" i="6"/>
  <c r="IR9" i="6"/>
  <c r="IR10" i="6" s="1"/>
  <c r="IJ12" i="6"/>
  <c r="II14" i="6"/>
  <c r="IS10" i="6" l="1"/>
  <c r="HW4" i="6"/>
  <c r="HV7" i="6"/>
  <c r="IS11" i="6"/>
  <c r="IS3" i="6"/>
  <c r="IS17" i="6"/>
  <c r="IS18" i="6" s="1"/>
  <c r="IS5" i="6"/>
  <c r="IS6" i="6" s="1"/>
  <c r="IU1" i="6"/>
  <c r="IT5" i="6" s="1"/>
  <c r="IK12" i="6"/>
  <c r="IJ14" i="6"/>
  <c r="IT9" i="6" l="1"/>
  <c r="IT10" i="6" s="1"/>
  <c r="IT3" i="6"/>
  <c r="IU3" i="6"/>
  <c r="IV1" i="6"/>
  <c r="IU11" i="6" s="1"/>
  <c r="IT6" i="6"/>
  <c r="HW7" i="6"/>
  <c r="HX4" i="6"/>
  <c r="IT17" i="6"/>
  <c r="IT18" i="6" s="1"/>
  <c r="IT11" i="6"/>
  <c r="IL12" i="6"/>
  <c r="IK14" i="6"/>
  <c r="HY4" i="6" l="1"/>
  <c r="HX7" i="6"/>
  <c r="IU17" i="6"/>
  <c r="IU18" i="6" s="1"/>
  <c r="IW1" i="6"/>
  <c r="IV3" i="6" s="1"/>
  <c r="IV5" i="6"/>
  <c r="IV9" i="6"/>
  <c r="IV11" i="6"/>
  <c r="IV17" i="6"/>
  <c r="IU5" i="6"/>
  <c r="IU6" i="6" s="1"/>
  <c r="IU9" i="6"/>
  <c r="IU10" i="6" s="1"/>
  <c r="IV10" i="6" s="1"/>
  <c r="IM12" i="6"/>
  <c r="IL14" i="6"/>
  <c r="IV18" i="6" l="1"/>
  <c r="HY7" i="6"/>
  <c r="HZ4" i="6"/>
  <c r="IX1" i="6"/>
  <c r="IW9" i="6" s="1"/>
  <c r="IW10" i="6" s="1"/>
  <c r="IW17" i="6"/>
  <c r="IW18" i="6" s="1"/>
  <c r="IV6" i="6"/>
  <c r="IN12" i="6"/>
  <c r="IM14" i="6"/>
  <c r="IW11" i="6" l="1"/>
  <c r="IW5" i="6"/>
  <c r="IW6" i="6" s="1"/>
  <c r="IW3" i="6"/>
  <c r="IY1" i="6"/>
  <c r="IX5" i="6"/>
  <c r="IX9" i="6"/>
  <c r="IX10" i="6" s="1"/>
  <c r="IX3" i="6"/>
  <c r="IX11" i="6"/>
  <c r="IX17" i="6"/>
  <c r="IX18" i="6" s="1"/>
  <c r="IA4" i="6"/>
  <c r="HZ7" i="6"/>
  <c r="IN14" i="6"/>
  <c r="IO12" i="6"/>
  <c r="IX6" i="6" l="1"/>
  <c r="IZ1" i="6"/>
  <c r="IY3" i="6"/>
  <c r="IY5" i="6"/>
  <c r="IY6" i="6" s="1"/>
  <c r="IY9" i="6"/>
  <c r="IY10" i="6" s="1"/>
  <c r="IY11" i="6"/>
  <c r="IY17" i="6"/>
  <c r="IY18" i="6" s="1"/>
  <c r="IB4" i="6"/>
  <c r="IA7" i="6"/>
  <c r="IP12" i="6"/>
  <c r="IO14" i="6"/>
  <c r="IC4" i="6" l="1"/>
  <c r="IB7" i="6"/>
  <c r="JA1" i="6"/>
  <c r="IZ9" i="6" s="1"/>
  <c r="IZ10" i="6" s="1"/>
  <c r="IZ17" i="6"/>
  <c r="IZ18" i="6" s="1"/>
  <c r="IP14" i="6"/>
  <c r="IQ12" i="6"/>
  <c r="JB1" i="6" l="1"/>
  <c r="JA3" i="6"/>
  <c r="JA5" i="6"/>
  <c r="JA9" i="6"/>
  <c r="JA10" i="6" s="1"/>
  <c r="JA11" i="6"/>
  <c r="JA17" i="6"/>
  <c r="JA18" i="6" s="1"/>
  <c r="IZ11" i="6"/>
  <c r="IZ3" i="6"/>
  <c r="IZ5" i="6"/>
  <c r="IZ6" i="6" s="1"/>
  <c r="JA6" i="6" s="1"/>
  <c r="ID4" i="6"/>
  <c r="IC7" i="6"/>
  <c r="IR12" i="6"/>
  <c r="IQ14" i="6"/>
  <c r="IE4" i="6" l="1"/>
  <c r="ID7" i="6"/>
  <c r="JC1" i="6"/>
  <c r="JB3" i="6" s="1"/>
  <c r="JB5" i="6"/>
  <c r="JB6" i="6" s="1"/>
  <c r="JB9" i="6"/>
  <c r="JB10" i="6" s="1"/>
  <c r="JB11" i="6"/>
  <c r="JB17" i="6"/>
  <c r="JB18" i="6" s="1"/>
  <c r="IS12" i="6"/>
  <c r="IR14" i="6"/>
  <c r="JD1" i="6" l="1"/>
  <c r="JC5" i="6"/>
  <c r="JC6" i="6" s="1"/>
  <c r="JC3" i="6"/>
  <c r="JC9" i="6"/>
  <c r="JC10" i="6" s="1"/>
  <c r="JC11" i="6"/>
  <c r="JC17" i="6"/>
  <c r="JC18" i="6" s="1"/>
  <c r="IE7" i="6"/>
  <c r="IF4" i="6"/>
  <c r="IT12" i="6"/>
  <c r="IS14" i="6"/>
  <c r="IF7" i="6" l="1"/>
  <c r="IG4" i="6"/>
  <c r="JE1" i="6"/>
  <c r="JD3" i="6"/>
  <c r="JD5" i="6"/>
  <c r="JD6" i="6" s="1"/>
  <c r="JD9" i="6"/>
  <c r="JD10" i="6" s="1"/>
  <c r="JD11" i="6"/>
  <c r="JD17" i="6"/>
  <c r="JD18" i="6" s="1"/>
  <c r="IU12" i="6"/>
  <c r="IT14" i="6"/>
  <c r="JF1" i="6" l="1"/>
  <c r="JE3" i="6"/>
  <c r="JE9" i="6"/>
  <c r="JE10" i="6" s="1"/>
  <c r="JE5" i="6"/>
  <c r="JE6" i="6" s="1"/>
  <c r="JE11" i="6"/>
  <c r="JE17" i="6"/>
  <c r="JE18" i="6" s="1"/>
  <c r="IH4" i="6"/>
  <c r="IG7" i="6"/>
  <c r="IV12" i="6"/>
  <c r="IU14" i="6"/>
  <c r="II4" i="6" l="1"/>
  <c r="IH7" i="6"/>
  <c r="JG1" i="6"/>
  <c r="JF5" i="6"/>
  <c r="JF6" i="6" s="1"/>
  <c r="JF3" i="6"/>
  <c r="JF9" i="6"/>
  <c r="JF10" i="6" s="1"/>
  <c r="JF11" i="6"/>
  <c r="JF17" i="6"/>
  <c r="JF18" i="6" s="1"/>
  <c r="IW12" i="6"/>
  <c r="IV14" i="6"/>
  <c r="JH1" i="6" l="1"/>
  <c r="JG5" i="6"/>
  <c r="JG6" i="6" s="1"/>
  <c r="JG9" i="6"/>
  <c r="JG10" i="6" s="1"/>
  <c r="JG11" i="6"/>
  <c r="JG17" i="6"/>
  <c r="JG18" i="6" s="1"/>
  <c r="IJ4" i="6"/>
  <c r="II7" i="6"/>
  <c r="IX12" i="6"/>
  <c r="IW14" i="6"/>
  <c r="IK4" i="6" l="1"/>
  <c r="IJ7" i="6"/>
  <c r="JI1" i="6"/>
  <c r="JH9" i="6"/>
  <c r="JH10" i="6" s="1"/>
  <c r="JH3" i="6"/>
  <c r="JH5" i="6"/>
  <c r="JH6" i="6" s="1"/>
  <c r="JH11" i="6"/>
  <c r="JH17" i="6"/>
  <c r="JH18" i="6" s="1"/>
  <c r="JG3" i="6"/>
  <c r="IY12" i="6"/>
  <c r="IX14" i="6"/>
  <c r="JJ1" i="6" l="1"/>
  <c r="JI3" i="6"/>
  <c r="JI9" i="6"/>
  <c r="JI10" i="6" s="1"/>
  <c r="JI5" i="6"/>
  <c r="JI6" i="6" s="1"/>
  <c r="JI11" i="6"/>
  <c r="JI17" i="6"/>
  <c r="JI18" i="6" s="1"/>
  <c r="IL4" i="6"/>
  <c r="IK7" i="6"/>
  <c r="IZ12" i="6"/>
  <c r="IY14" i="6"/>
  <c r="JK1" i="6" l="1"/>
  <c r="JJ5" i="6"/>
  <c r="JJ6" i="6" s="1"/>
  <c r="JJ9" i="6"/>
  <c r="JJ10" i="6" s="1"/>
  <c r="JJ3" i="6"/>
  <c r="JJ11" i="6"/>
  <c r="JJ17" i="6"/>
  <c r="JJ18" i="6" s="1"/>
  <c r="IL7" i="6"/>
  <c r="IM4" i="6"/>
  <c r="JA12" i="6"/>
  <c r="IZ14" i="6"/>
  <c r="IM7" i="6" l="1"/>
  <c r="IN4" i="6"/>
  <c r="JL1" i="6"/>
  <c r="JK9" i="6"/>
  <c r="JK10" i="6" s="1"/>
  <c r="JK5" i="6"/>
  <c r="JK6" i="6" s="1"/>
  <c r="JK3" i="6"/>
  <c r="JK11" i="6"/>
  <c r="JK17" i="6"/>
  <c r="JK18" i="6" s="1"/>
  <c r="JB12" i="6"/>
  <c r="JA14" i="6"/>
  <c r="JM1" i="6" l="1"/>
  <c r="JL5" i="6"/>
  <c r="JL6" i="6" s="1"/>
  <c r="JL9" i="6"/>
  <c r="JL10" i="6" s="1"/>
  <c r="JL3" i="6"/>
  <c r="JL11" i="6"/>
  <c r="JL17" i="6"/>
  <c r="JL18" i="6" s="1"/>
  <c r="IO4" i="6"/>
  <c r="IN7" i="6"/>
  <c r="JC12" i="6"/>
  <c r="JB14" i="6"/>
  <c r="IP4" i="6" l="1"/>
  <c r="IO7" i="6"/>
  <c r="JN1" i="6"/>
  <c r="JM5" i="6"/>
  <c r="JM6" i="6" s="1"/>
  <c r="JM3" i="6"/>
  <c r="JM9" i="6"/>
  <c r="JM10" i="6" s="1"/>
  <c r="JM11" i="6"/>
  <c r="JM17" i="6"/>
  <c r="JM18" i="6" s="1"/>
  <c r="JD12" i="6"/>
  <c r="JC14" i="6"/>
  <c r="JO1" i="6" l="1"/>
  <c r="JN5" i="6"/>
  <c r="JN6" i="6" s="1"/>
  <c r="JN3" i="6"/>
  <c r="JN9" i="6"/>
  <c r="JN10" i="6" s="1"/>
  <c r="JN11" i="6"/>
  <c r="JN17" i="6"/>
  <c r="JN18" i="6" s="1"/>
  <c r="IQ4" i="6"/>
  <c r="IP7" i="6"/>
  <c r="JD14" i="6"/>
  <c r="JE12" i="6"/>
  <c r="IR4" i="6" l="1"/>
  <c r="IQ7" i="6"/>
  <c r="JP1" i="6"/>
  <c r="JO9" i="6"/>
  <c r="JO10" i="6" s="1"/>
  <c r="JO5" i="6"/>
  <c r="JO6" i="6" s="1"/>
  <c r="JO3" i="6"/>
  <c r="JO11" i="6"/>
  <c r="JO17" i="6"/>
  <c r="JO18" i="6" s="1"/>
  <c r="JF12" i="6"/>
  <c r="JE14" i="6"/>
  <c r="JQ1" i="6" l="1"/>
  <c r="JP3" i="6"/>
  <c r="JP5" i="6"/>
  <c r="JP6" i="6" s="1"/>
  <c r="JP9" i="6"/>
  <c r="JP10" i="6" s="1"/>
  <c r="JP11" i="6"/>
  <c r="JP17" i="6"/>
  <c r="JP18" i="6" s="1"/>
  <c r="IS4" i="6"/>
  <c r="IR7" i="6"/>
  <c r="JG12" i="6"/>
  <c r="JF14" i="6"/>
  <c r="JR1" i="6" l="1"/>
  <c r="JQ5" i="6"/>
  <c r="JQ6" i="6" s="1"/>
  <c r="JQ9" i="6"/>
  <c r="JQ10" i="6" s="1"/>
  <c r="JQ3" i="6"/>
  <c r="JQ11" i="6"/>
  <c r="JQ17" i="6"/>
  <c r="JQ18" i="6" s="1"/>
  <c r="IT4" i="6"/>
  <c r="IS7" i="6"/>
  <c r="JH12" i="6"/>
  <c r="JG14" i="6"/>
  <c r="IU4" i="6" l="1"/>
  <c r="IT7" i="6"/>
  <c r="JS1" i="6"/>
  <c r="JR9" i="6"/>
  <c r="JR10" i="6" s="1"/>
  <c r="JR3" i="6"/>
  <c r="JR11" i="6"/>
  <c r="JR17" i="6"/>
  <c r="JR18" i="6" s="1"/>
  <c r="JI12" i="6"/>
  <c r="JH14" i="6"/>
  <c r="JT1" i="6" l="1"/>
  <c r="JS9" i="6"/>
  <c r="JS10" i="6" s="1"/>
  <c r="JS5" i="6"/>
  <c r="JS3" i="6"/>
  <c r="JS11" i="6"/>
  <c r="JS17" i="6"/>
  <c r="JS18" i="6" s="1"/>
  <c r="JR5" i="6"/>
  <c r="JR6" i="6" s="1"/>
  <c r="JS6" i="6" s="1"/>
  <c r="IV4" i="6"/>
  <c r="IU7" i="6"/>
  <c r="JJ12" i="6"/>
  <c r="JI14" i="6"/>
  <c r="IW4" i="6" l="1"/>
  <c r="IV7" i="6"/>
  <c r="JU1" i="6"/>
  <c r="JT17" i="6"/>
  <c r="JT18" i="6" s="1"/>
  <c r="JK12" i="6"/>
  <c r="JJ14" i="6"/>
  <c r="JV1" i="6" l="1"/>
  <c r="JU9" i="6"/>
  <c r="JU11" i="6"/>
  <c r="JU17" i="6"/>
  <c r="JU18" i="6" s="1"/>
  <c r="JT11" i="6"/>
  <c r="JT5" i="6"/>
  <c r="JT6" i="6" s="1"/>
  <c r="JT9" i="6"/>
  <c r="JT10" i="6" s="1"/>
  <c r="JT3" i="6"/>
  <c r="IX4" i="6"/>
  <c r="IW7" i="6"/>
  <c r="JL12" i="6"/>
  <c r="JK14" i="6"/>
  <c r="JU10" i="6" l="1"/>
  <c r="IY4" i="6"/>
  <c r="IX7" i="6"/>
  <c r="JV9" i="6"/>
  <c r="JV10" i="6" s="1"/>
  <c r="JW1" i="6"/>
  <c r="JV11" i="6"/>
  <c r="JV17" i="6"/>
  <c r="JV18" i="6" s="1"/>
  <c r="JU3" i="6"/>
  <c r="JU5" i="6"/>
  <c r="JU6" i="6" s="1"/>
  <c r="JM12" i="6"/>
  <c r="JL14" i="6"/>
  <c r="JX1" i="6" l="1"/>
  <c r="JW11" i="6" s="1"/>
  <c r="JW5" i="6"/>
  <c r="JW9" i="6"/>
  <c r="JW10" i="6" s="1"/>
  <c r="JW3" i="6"/>
  <c r="JV3" i="6"/>
  <c r="JV5" i="6"/>
  <c r="JV6" i="6" s="1"/>
  <c r="JW6" i="6" s="1"/>
  <c r="IZ4" i="6"/>
  <c r="IY7" i="6"/>
  <c r="JN12" i="6"/>
  <c r="JM14" i="6"/>
  <c r="JA4" i="6" l="1"/>
  <c r="IZ7" i="6"/>
  <c r="JW17" i="6"/>
  <c r="JW18" i="6" s="1"/>
  <c r="JY1" i="6"/>
  <c r="JX3" i="6" s="1"/>
  <c r="JX5" i="6"/>
  <c r="JX6" i="6" s="1"/>
  <c r="JO12" i="6"/>
  <c r="JN14" i="6"/>
  <c r="JB4" i="6" l="1"/>
  <c r="JA7" i="6"/>
  <c r="JX17" i="6"/>
  <c r="JX18" i="6" s="1"/>
  <c r="JX11" i="6"/>
  <c r="JX9" i="6"/>
  <c r="JX10" i="6" s="1"/>
  <c r="JZ1" i="6"/>
  <c r="JY9" i="6"/>
  <c r="JY5" i="6"/>
  <c r="JY6" i="6" s="1"/>
  <c r="JY3" i="6"/>
  <c r="JY11" i="6"/>
  <c r="JP12" i="6"/>
  <c r="JO14" i="6"/>
  <c r="JY10" i="6" l="1"/>
  <c r="KA1" i="6"/>
  <c r="JZ3" i="6"/>
  <c r="JZ9" i="6"/>
  <c r="JZ5" i="6"/>
  <c r="JZ6" i="6" s="1"/>
  <c r="JZ11" i="6"/>
  <c r="JZ17" i="6"/>
  <c r="JC4" i="6"/>
  <c r="JB7" i="6"/>
  <c r="JY17" i="6"/>
  <c r="JY18" i="6" s="1"/>
  <c r="JQ12" i="6"/>
  <c r="JP14" i="6"/>
  <c r="JZ18" i="6" l="1"/>
  <c r="JD4" i="6"/>
  <c r="JC7" i="6"/>
  <c r="JZ10" i="6"/>
  <c r="KB1" i="6"/>
  <c r="KA5" i="6"/>
  <c r="KA6" i="6" s="1"/>
  <c r="KA9" i="6"/>
  <c r="KA3" i="6"/>
  <c r="KA11" i="6"/>
  <c r="KA17" i="6"/>
  <c r="KA18" i="6" s="1"/>
  <c r="JR12" i="6"/>
  <c r="JQ14" i="6"/>
  <c r="KC1" i="6" l="1"/>
  <c r="KB5" i="6"/>
  <c r="KB6" i="6" s="1"/>
  <c r="KB3" i="6"/>
  <c r="KB9" i="6"/>
  <c r="KB11" i="6"/>
  <c r="KB17" i="6"/>
  <c r="KB18" i="6" s="1"/>
  <c r="KA10" i="6"/>
  <c r="JD7" i="6"/>
  <c r="JE4" i="6"/>
  <c r="JR14" i="6"/>
  <c r="JS12" i="6"/>
  <c r="KB10" i="6" l="1"/>
  <c r="JF4" i="6"/>
  <c r="JE7" i="6"/>
  <c r="KD1" i="6"/>
  <c r="KC9" i="6"/>
  <c r="KC10" i="6" s="1"/>
  <c r="KC5" i="6"/>
  <c r="KC6" i="6" s="1"/>
  <c r="KC3" i="6"/>
  <c r="KC11" i="6"/>
  <c r="KC17" i="6"/>
  <c r="KC18" i="6" s="1"/>
  <c r="JT12" i="6"/>
  <c r="JS14" i="6"/>
  <c r="KE1" i="6" l="1"/>
  <c r="KD3" i="6"/>
  <c r="KD5" i="6"/>
  <c r="KD6" i="6" s="1"/>
  <c r="KD9" i="6"/>
  <c r="KD10" i="6" s="1"/>
  <c r="JF7" i="6"/>
  <c r="JG4" i="6"/>
  <c r="JU12" i="6"/>
  <c r="JT14" i="6"/>
  <c r="KF1" i="6" l="1"/>
  <c r="KE9" i="6" s="1"/>
  <c r="KE10" i="6" s="1"/>
  <c r="KE5" i="6"/>
  <c r="KE6" i="6" s="1"/>
  <c r="KE3" i="6"/>
  <c r="JH4" i="6"/>
  <c r="JG7" i="6"/>
  <c r="KD17" i="6"/>
  <c r="KD18" i="6" s="1"/>
  <c r="KD11" i="6"/>
  <c r="JV12" i="6"/>
  <c r="JU14" i="6"/>
  <c r="JI4" i="6" l="1"/>
  <c r="JH7" i="6"/>
  <c r="KE17" i="6"/>
  <c r="KE18" i="6" s="1"/>
  <c r="KE11" i="6"/>
  <c r="KF3" i="6"/>
  <c r="D3" i="6" s="1"/>
  <c r="KF5" i="6"/>
  <c r="D5" i="6" s="1"/>
  <c r="KF9" i="6"/>
  <c r="D9" i="6" s="1"/>
  <c r="KF11" i="6"/>
  <c r="KF17" i="6"/>
  <c r="D17" i="6" s="1"/>
  <c r="C17" i="6" s="1"/>
  <c r="JW12" i="6"/>
  <c r="JV14" i="6"/>
  <c r="D11" i="6" l="1"/>
  <c r="KF18" i="6"/>
  <c r="D18" i="6" s="1"/>
  <c r="C18" i="6" s="1"/>
  <c r="JJ4" i="6"/>
  <c r="JI7" i="6"/>
  <c r="KF6" i="6"/>
  <c r="KF10" i="6"/>
  <c r="JX12" i="6"/>
  <c r="JW14" i="6"/>
  <c r="JK4" i="6" l="1"/>
  <c r="JJ7" i="6"/>
  <c r="JX14" i="6"/>
  <c r="JY12" i="6"/>
  <c r="JK7" i="6" l="1"/>
  <c r="JL4" i="6"/>
  <c r="JZ12" i="6"/>
  <c r="JY14" i="6"/>
  <c r="JL7" i="6" l="1"/>
  <c r="JM4" i="6"/>
  <c r="KA12" i="6"/>
  <c r="JZ14" i="6"/>
  <c r="JM7" i="6" l="1"/>
  <c r="JN4" i="6"/>
  <c r="KB12" i="6"/>
  <c r="KA14" i="6"/>
  <c r="JO4" i="6" l="1"/>
  <c r="JN7" i="6"/>
  <c r="KC12" i="6"/>
  <c r="KB14" i="6"/>
  <c r="JP4" i="6" l="1"/>
  <c r="JO7" i="6"/>
  <c r="KD12" i="6"/>
  <c r="KC14" i="6"/>
  <c r="JQ4" i="6" l="1"/>
  <c r="JP7" i="6"/>
  <c r="KE12" i="6"/>
  <c r="KD14" i="6"/>
  <c r="JR4" i="6" l="1"/>
  <c r="JQ7" i="6"/>
  <c r="KF12" i="6"/>
  <c r="KF14" i="6" s="1"/>
  <c r="KE14" i="6"/>
  <c r="JS4" i="6" l="1"/>
  <c r="JR7" i="6"/>
  <c r="JS7" i="6" l="1"/>
  <c r="JT4" i="6"/>
  <c r="JU4" i="6" l="1"/>
  <c r="JT7" i="6"/>
  <c r="JV4" i="6" l="1"/>
  <c r="JU7" i="6"/>
  <c r="JW4" i="6" l="1"/>
  <c r="JV7" i="6"/>
  <c r="JX4" i="6" l="1"/>
  <c r="JW7" i="6"/>
  <c r="JY4" i="6" l="1"/>
  <c r="JX7" i="6"/>
  <c r="JZ4" i="6" l="1"/>
  <c r="JY7" i="6"/>
  <c r="KA4" i="6" l="1"/>
  <c r="JZ7" i="6"/>
  <c r="KB4" i="6" l="1"/>
  <c r="KA7" i="6"/>
  <c r="KC4" i="6" l="1"/>
  <c r="KB7" i="6"/>
  <c r="KD4" i="6" l="1"/>
  <c r="KC7" i="6"/>
  <c r="KE4" i="6" l="1"/>
  <c r="KD7" i="6"/>
  <c r="KF4" i="6" l="1"/>
  <c r="KF7" i="6" s="1"/>
  <c r="KE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<sst xmlns="http://schemas.openxmlformats.org/spreadsheetml/2006/main" count="962" uniqueCount="562">
  <si>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</si>
  <si>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</si>
  <si>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</si>
  <si>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</si>
  <si>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</si>
  <si>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</si>
  <si>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</si>
  <si>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</si>
  <si>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</si>
  <si>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</si>
  <si>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</si>
  <si>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</si>
  <si>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Y</t>
  </si>
  <si>
    <t>EPC Agreement</t>
  </si>
  <si>
    <t>O&amp;M Agreeement</t>
  </si>
  <si>
    <t>NA</t>
  </si>
  <si>
    <t>Cost Proposal</t>
  </si>
  <si>
    <t>Deposit Received</t>
  </si>
  <si>
    <t>N</t>
  </si>
  <si>
    <t>Risks / Notes</t>
  </si>
  <si>
    <t>Acknowledgement and Acceptance:</t>
  </si>
  <si>
    <t>Role</t>
  </si>
  <si>
    <t>Name</t>
  </si>
  <si>
    <t>Signature</t>
  </si>
  <si>
    <t>Date</t>
  </si>
  <si>
    <t>COO</t>
  </si>
  <si>
    <t xml:space="preserve">Johannes </t>
  </si>
  <si>
    <t>JTP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</si>
  <si>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</si>
  <si>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</si>
  <si>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</si>
  <si>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</si>
  <si>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>Eon Van Rensberg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</si>
  <si>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</si>
  <si>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</si>
  <si>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</si>
  <si>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</si>
  <si>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</si>
  <si>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</si>
  <si>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</si>
  <si>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</si>
  <si>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</si>
  <si>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</si>
  <si>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</si>
  <si>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</si>
  <si>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</si>
  <si>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</si>
  <si>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</si>
  <si>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</si>
  <si>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</si>
  <si>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</si>
  <si>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</si>
  <si>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</si>
  <si>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</si>
  <si>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</si>
  <si>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</si>
  <si>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</si>
  <si>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</si>
  <si>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</si>
  <si>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</si>
  <si>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</si>
  <si>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</si>
  <si>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</si>
  <si>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</si>
  <si>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</si>
  <si>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</si>
  <si>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</si>
  <si>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</si>
  <si>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</si>
  <si>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</si>
  <si>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</si>
  <si>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</si>
  <si>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</si>
  <si>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</si>
  <si>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</si>
  <si>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</si>
  <si>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</si>
  <si>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</si>
  <si>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</si>
  <si>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</si>
  <si>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</si>
  <si>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</si>
  <si>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</si>
  <si>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</si>
  <si>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</si>
  <si>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HSE</t>
  </si>
  <si>
    <t xml:space="preserve"> Description</t>
  </si>
  <si>
    <t>NOC</t>
  </si>
  <si>
    <t>Approved</t>
  </si>
  <si>
    <t>24/10/2025</t>
  </si>
  <si>
    <t>7.1 Agreement</t>
  </si>
  <si>
    <t>13.2 Agreement</t>
  </si>
  <si>
    <t xml:space="preserve">EE File </t>
  </si>
  <si>
    <t>27/10/2025</t>
  </si>
  <si>
    <t>Subbie File</t>
  </si>
  <si>
    <t>SSEG</t>
  </si>
  <si>
    <t>Pending</t>
  </si>
  <si>
    <t>Awaiting SSEG-SLD from Engineering</t>
  </si>
  <si>
    <t>PTI</t>
  </si>
  <si>
    <t>Commissioning Approval</t>
  </si>
  <si>
    <t>NERSA Registration</t>
  </si>
  <si>
    <t>PROJECT PLAN</t>
  </si>
  <si>
    <t>Mahikeng Builders Express</t>
  </si>
  <si>
    <t>Net Work Days</t>
  </si>
  <si>
    <t>PROJECT SIZE (kWp)</t>
  </si>
  <si>
    <t>Total Weeks</t>
  </si>
  <si>
    <t>PROJECT DEVELOPER</t>
  </si>
  <si>
    <t>Kirsten Marwick</t>
  </si>
  <si>
    <t>kW/Week Installation Rate</t>
  </si>
  <si>
    <t>PROJECT MANAGERS</t>
  </si>
  <si>
    <t>Eon Van Rensburg</t>
  </si>
  <si>
    <t>CONTRACT VALUE</t>
  </si>
  <si>
    <t>Phase:</t>
  </si>
  <si>
    <t>Handover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</si>
  <si>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</si>
  <si>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</si>
  <si>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</si>
  <si>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</si>
  <si>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</si>
  <si>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</si>
  <si>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</si>
  <si>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</si>
  <si>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</si>
  <si>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</si>
  <si>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</si>
  <si>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</si>
  <si>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</si>
  <si>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</si>
  <si>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</si>
  <si>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</si>
  <si>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</si>
  <si>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Greenway to only send file tomorrow</t>
  </si>
  <si>
    <t>1.3</t>
  </si>
  <si>
    <t>Project Introduction</t>
  </si>
  <si>
    <t>1.4</t>
  </si>
  <si>
    <t>Contract &amp; Design Sign off</t>
  </si>
  <si>
    <t>1.5</t>
  </si>
  <si>
    <t>Installer Kick Off</t>
  </si>
  <si>
    <t>1.6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</si>
  <si>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</si>
  <si>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</si>
  <si>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</si>
  <si>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</si>
  <si>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</si>
  <si>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</si>
  <si>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</si>
  <si>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</si>
  <si>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</si>
  <si>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</si>
  <si>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</si>
  <si>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</si>
  <si>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</si>
  <si>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</si>
  <si>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</si>
  <si>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</si>
  <si>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</si>
  <si>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</si>
  <si>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</si>
  <si>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</si>
  <si>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</si>
  <si>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</si>
  <si>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</si>
  <si>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</si>
  <si>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</si>
  <si>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</si>
  <si>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</si>
  <si>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</si>
  <si>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</si>
  <si>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 (Practical Completion - JBCC)</t>
  </si>
  <si>
    <t>6.1</t>
  </si>
  <si>
    <t>Commissioning (Energy Flowing)</t>
  </si>
  <si>
    <t>6.2</t>
  </si>
  <si>
    <t>Practical Completion Achieved</t>
  </si>
  <si>
    <t>6.3</t>
  </si>
  <si>
    <t>System Performance Monitoring</t>
  </si>
  <si>
    <t>QA Inspections (Works Completion - JBCC)</t>
  </si>
  <si>
    <t>7.1</t>
  </si>
  <si>
    <t>Red-Team Inspection</t>
  </si>
  <si>
    <t>7.2</t>
  </si>
  <si>
    <t>Snags completion</t>
  </si>
  <si>
    <t>7.3</t>
  </si>
  <si>
    <t>Blue-Log Commissioning</t>
  </si>
  <si>
    <t>Project Closure (Final Completion - JBCC)</t>
  </si>
  <si>
    <t>8.1</t>
  </si>
  <si>
    <t>Handover documentation</t>
  </si>
  <si>
    <t>8.2</t>
  </si>
  <si>
    <t>Handover to Client</t>
  </si>
  <si>
    <t>8.3</t>
  </si>
  <si>
    <t>Handover to Matriarch</t>
  </si>
  <si>
    <t>Item</t>
  </si>
  <si>
    <t>Supplier</t>
  </si>
  <si>
    <t>Quantity</t>
  </si>
  <si>
    <t>PO Generated Y/N</t>
  </si>
  <si>
    <t>Comments</t>
  </si>
  <si>
    <t>PV Module</t>
  </si>
  <si>
    <t>Menlo</t>
  </si>
  <si>
    <t>Jinko 590W - JKM590N-72HL4-BDV</t>
  </si>
  <si>
    <t>DC Cable Red &amp; Black</t>
  </si>
  <si>
    <t>Enco 6mm PV Cable</t>
  </si>
  <si>
    <t>Inverters</t>
  </si>
  <si>
    <t>Huawei String inverter 50kW 3PH</t>
  </si>
  <si>
    <t>Mounting Structure</t>
  </si>
  <si>
    <t>Schletter</t>
  </si>
  <si>
    <t>Kliplock Mounting structures</t>
  </si>
  <si>
    <t>Yes</t>
  </si>
  <si>
    <t>PO4401-MBE-20251023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</si>
  <si>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</si>
  <si>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</si>
  <si>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</si>
  <si>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</si>
  <si>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</si>
  <si>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</si>
  <si>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</si>
  <si>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</si>
  <si>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</si>
  <si>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</si>
  <si>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</si>
  <si>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Red Pole</t>
  </si>
  <si>
    <t>Switchboard</t>
  </si>
  <si>
    <t>Techsitter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</si>
  <si>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</si>
  <si>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</si>
  <si>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</si>
  <si>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</si>
  <si>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</si>
  <si>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</si>
  <si>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</si>
  <si>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</si>
  <si>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</si>
  <si>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</si>
  <si>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</si>
  <si>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</si>
  <si>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</si>
  <si>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</si>
  <si>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</si>
  <si>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</si>
  <si>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</si>
  <si>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</si>
  <si>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</si>
  <si>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</si>
  <si>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</si>
  <si>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</si>
  <si>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</si>
  <si>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</si>
  <si>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</si>
  <si>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Signature of Contract</t>
  </si>
  <si>
    <t>004874</t>
  </si>
  <si>
    <t>Design Sign Off</t>
  </si>
  <si>
    <t>Site Establishment Completion</t>
  </si>
  <si>
    <t>Start of Rooftop Structure Installation</t>
  </si>
  <si>
    <t>Mounting Structure Delivery to Site</t>
  </si>
  <si>
    <t>004876</t>
  </si>
  <si>
    <t>Module Delivery to Site</t>
  </si>
  <si>
    <t>Inverter Delivery to Site</t>
  </si>
  <si>
    <t>Practical Completion</t>
  </si>
  <si>
    <t>004896</t>
  </si>
  <si>
    <t>Works Completion &amp; PV Output</t>
  </si>
  <si>
    <t>Retention Claimable</t>
  </si>
  <si>
    <t>Retention</t>
  </si>
  <si>
    <t>Check contract regarding Retention Requirements - also check with PD</t>
  </si>
  <si>
    <t>VO - Roof Remedial Work</t>
  </si>
  <si>
    <t>VO - Walkways</t>
  </si>
  <si>
    <t>VO - Catladder Design, manufacture, supply &amp; install</t>
  </si>
  <si>
    <t>VO - Waterpoint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</si>
  <si>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</si>
  <si>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</si>
  <si>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</si>
  <si>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</si>
  <si>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</si>
  <si>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</si>
  <si>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</si>
  <si>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</si>
  <si>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</si>
  <si>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</si>
  <si>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</si>
  <si>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</si>
  <si>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</si>
  <si>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</si>
  <si>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</si>
  <si>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</si>
  <si>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</si>
  <si>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</si>
  <si>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</si>
  <si>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</si>
  <si>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</si>
  <si>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>Request line item breakdown of Q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</si>
  <si>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</si>
  <si>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</si>
  <si>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</si>
  <si>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</si>
  <si>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</si>
  <si>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</si>
  <si>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</si>
  <si>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</si>
  <si>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</si>
  <si>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</si>
  <si>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</si>
  <si>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</si>
  <si>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</si>
  <si>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</si>
  <si>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</si>
  <si>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</si>
  <si>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</si>
  <si>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</si>
  <si>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</si>
  <si>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</si>
  <si>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</si>
  <si>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590W - Menlo</t>
  </si>
  <si>
    <t>Menlo INV0003366</t>
  </si>
  <si>
    <t>Delivery Budget</t>
  </si>
  <si>
    <t>BUDGET</t>
  </si>
  <si>
    <t>Installer Allocation</t>
  </si>
  <si>
    <t>AC Equipment</t>
  </si>
  <si>
    <t>Inverter Budget</t>
  </si>
  <si>
    <t>2. Inverters</t>
  </si>
  <si>
    <t>Huawei 50KTL (Menlo)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</si>
  <si>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</si>
  <si>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</si>
  <si>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</si>
  <si>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</si>
  <si>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</si>
  <si>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</si>
  <si>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</si>
  <si>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</si>
  <si>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</si>
  <si>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</si>
  <si>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- Mounting Structure</t>
  </si>
  <si>
    <t>PO4401-MBE-20251023 - RV Approved</t>
  </si>
  <si>
    <t>Schletter INV 2353</t>
  </si>
  <si>
    <t>Other</t>
  </si>
  <si>
    <t>Delivery</t>
  </si>
  <si>
    <t>Less 15%</t>
  </si>
  <si>
    <t>R/Wp</t>
  </si>
  <si>
    <t>ACTUAL - Greenway Solar</t>
  </si>
  <si>
    <t>Installer Price</t>
  </si>
  <si>
    <t>Revised Cost</t>
  </si>
  <si>
    <t>200m AC cable</t>
  </si>
  <si>
    <t>DC Cable Budget</t>
  </si>
  <si>
    <t>4. DC Equipment</t>
  </si>
  <si>
    <t>DC Cable - Menlo</t>
  </si>
  <si>
    <t>DC Equipment Budget</t>
  </si>
  <si>
    <t>DC Cable -Red  Move to stock JHB)</t>
  </si>
  <si>
    <t>Allocated to Joburg Storeroom</t>
  </si>
  <si>
    <t>"@0,30c/W</t>
  </si>
  <si>
    <t xml:space="preserve">36k of Walkway installation </t>
  </si>
  <si>
    <t>0,5/W</t>
  </si>
  <si>
    <t xml:space="preserve">0,31/W for installation </t>
  </si>
  <si>
    <t>0,19/W for living out</t>
  </si>
  <si>
    <t>DC Cable - BlackMove to stock JHB)</t>
  </si>
  <si>
    <t>"@1/W</t>
  </si>
  <si>
    <t>1,15/W</t>
  </si>
  <si>
    <t xml:space="preserve">0,72/W for installation </t>
  </si>
  <si>
    <t>0,43/W for living out</t>
  </si>
  <si>
    <t>Roof Access</t>
  </si>
  <si>
    <t>Project Kick Off</t>
  </si>
  <si>
    <t>PO4415-MBE-20251028 - RV Approved</t>
  </si>
  <si>
    <t>Deliveries and Collections</t>
  </si>
  <si>
    <t>&lt;-----</t>
  </si>
  <si>
    <t>Doesn't include the forklift. Container delivery. AC &amp; Equipment delivery</t>
  </si>
  <si>
    <t>Total saving of R64 000</t>
  </si>
  <si>
    <t>The Greenway INV0001529</t>
  </si>
  <si>
    <t>Offloading and Rigging</t>
  </si>
  <si>
    <t>Forklift hire and Operator</t>
  </si>
  <si>
    <t>AC Installation Complete</t>
  </si>
  <si>
    <t>The Greenway INV0001555</t>
  </si>
  <si>
    <t>P&amp;G</t>
  </si>
  <si>
    <t>Greenway's time</t>
  </si>
  <si>
    <t>DC Installation Complete</t>
  </si>
  <si>
    <t>The Greenway INV0001556</t>
  </si>
  <si>
    <t>Commissioning Complete</t>
  </si>
  <si>
    <t>The Greenway INV0001557</t>
  </si>
  <si>
    <t>Site De-establisment</t>
  </si>
  <si>
    <t>Handover Document Complete</t>
  </si>
  <si>
    <t>The Greenway - INV0001565</t>
  </si>
  <si>
    <t>End of Defects Period</t>
  </si>
  <si>
    <t>Monitoring</t>
  </si>
  <si>
    <t>Monitoring Budget</t>
  </si>
  <si>
    <t>5. Monitoring</t>
  </si>
  <si>
    <t>Smartlogger</t>
  </si>
  <si>
    <t>Revenue Metering</t>
  </si>
  <si>
    <t>CTs &amp; Meters</t>
  </si>
  <si>
    <t>PO4458-MBE-2025111 - RV Approved</t>
  </si>
  <si>
    <t>Accuenergy Inv:ASAI-006830</t>
  </si>
  <si>
    <t>Matriarch Inv: 6200</t>
  </si>
  <si>
    <t>Delivery of Techsitter</t>
  </si>
  <si>
    <t>DSV Inv: 180156930</t>
  </si>
  <si>
    <t>Meteocontrol Data manager + Station</t>
  </si>
  <si>
    <t>PO4451-MBE-20251107 - RV Approved</t>
  </si>
  <si>
    <t>IBC Solar - ZA12502620</t>
  </si>
  <si>
    <t>AC Equipment Budget</t>
  </si>
  <si>
    <t>6. AC Equipment</t>
  </si>
  <si>
    <t>BESS</t>
  </si>
  <si>
    <t>7.BESS</t>
  </si>
  <si>
    <t xml:space="preserve">Product Add On </t>
  </si>
  <si>
    <t>Walkways</t>
  </si>
  <si>
    <t xml:space="preserve">8. Product Add On </t>
  </si>
  <si>
    <t>Walkways - 300m</t>
  </si>
  <si>
    <t>Onvlee - Inv01051750</t>
  </si>
  <si>
    <t>Lightning Protection</t>
  </si>
  <si>
    <t xml:space="preserve">Walkways - 20m </t>
  </si>
  <si>
    <t>PO4505-MBE-20251128 - RV Approved</t>
  </si>
  <si>
    <t>Onvlee - PO-4505-MBE-20251128</t>
  </si>
  <si>
    <t>Tie-in Panel</t>
  </si>
  <si>
    <t>Installation of additional 170m Walkway</t>
  </si>
  <si>
    <t>PO4529-MBE-20251209 - RV Approved</t>
  </si>
  <si>
    <t>The Greenway - INV0001563</t>
  </si>
  <si>
    <t xml:space="preserve">Catladder </t>
  </si>
  <si>
    <t>PO4499-MBE-20251126 - RV Approved</t>
  </si>
  <si>
    <t>Boukon -25/11/2025</t>
  </si>
  <si>
    <t>Temporary Fencing for storage Container</t>
  </si>
  <si>
    <t>PO4482-MBE-20251124 - RV Approved</t>
  </si>
  <si>
    <t>LPS - IN307595</t>
  </si>
  <si>
    <t>Inverter Cage</t>
  </si>
  <si>
    <t>Lightning Risk Assessment</t>
  </si>
  <si>
    <t>PO4406-MBE-20251024 - RV Approved</t>
  </si>
  <si>
    <t>LPS - IN307444</t>
  </si>
  <si>
    <t>1//2026</t>
  </si>
  <si>
    <t>Safety Life Lines (Temporary)</t>
  </si>
  <si>
    <t>JJL Steel &amp; Construction INV251112</t>
  </si>
  <si>
    <t>Enclosure Modification</t>
  </si>
  <si>
    <t>PO4583-MBE-20260127 - RV Approved</t>
  </si>
  <si>
    <t>Safety Life Lines - 140m - Deposit</t>
  </si>
  <si>
    <t>PO4552-MBE-20260116 - RV Approved</t>
  </si>
  <si>
    <t>ATS Africa - INV-0468</t>
  </si>
  <si>
    <t>Safety Life Lines - 140m - Balance</t>
  </si>
  <si>
    <t xml:space="preserve">DC Gantry - Greenway </t>
  </si>
  <si>
    <t>PO4508-MBE-20251201 - RV Approved</t>
  </si>
  <si>
    <t>The Greenway - INV0001558</t>
  </si>
  <si>
    <t>Mains Comms Equipment &amp; Installation</t>
  </si>
  <si>
    <t>PO4509-MBE-20251201 - RV Approved</t>
  </si>
  <si>
    <t>The Greenway - INV0001559</t>
  </si>
  <si>
    <t>Cable Trays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</si>
  <si>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</si>
  <si>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</si>
  <si>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</si>
  <si>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</si>
  <si>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</si>
  <si>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The Greenway INV0001528</t>
  </si>
  <si>
    <t>The Greenway INV0001564</t>
  </si>
  <si>
    <t>Site Logistics</t>
  </si>
  <si>
    <t>10. Site Logistics</t>
  </si>
  <si>
    <t>Security</t>
  </si>
  <si>
    <t>PO4409-MBE-20251027 - RV Approved</t>
  </si>
  <si>
    <t>Setso Security - SET001551</t>
  </si>
  <si>
    <t>Due Dilligence</t>
  </si>
  <si>
    <t>Electrical PrEng sign off</t>
  </si>
  <si>
    <t>11. Due Dilligence</t>
  </si>
  <si>
    <t>SunSpot - E035</t>
  </si>
  <si>
    <t>Structural sign off</t>
  </si>
  <si>
    <t>Structural Sign Off - LnB Consulting</t>
  </si>
  <si>
    <t>PO4385-MBE-20251021 - RV Approved</t>
  </si>
  <si>
    <t>L&amp;B Consulting IN-2113</t>
  </si>
  <si>
    <t>Roof Report - Cosmic Sun</t>
  </si>
  <si>
    <t>PO4386-MBE-20251021 - RV Approved</t>
  </si>
  <si>
    <t>Cosmic Sun - CS_MHK_001</t>
  </si>
  <si>
    <t>Red Team Inspection</t>
  </si>
  <si>
    <t>Safety Officer</t>
  </si>
  <si>
    <t>PO4422-MBE-20251029 - RV Approved</t>
  </si>
  <si>
    <t>WAGMA - INV-000001</t>
  </si>
  <si>
    <t>WAGMA - INV-000010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</si>
  <si>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</si>
  <si>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</si>
  <si>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</si>
  <si>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</si>
  <si>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</si>
  <si>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</si>
  <si>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</si>
  <si>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</si>
  <si>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</si>
  <si>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</si>
  <si>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</si>
  <si>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</si>
  <si>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</si>
  <si>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</si>
  <si>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Roof Remedial Work Deposit - Client Cost</t>
  </si>
  <si>
    <t>PO4436-MBE-20251102 - RV Approved</t>
  </si>
  <si>
    <t>Evolution Coatings - INV0000122</t>
  </si>
  <si>
    <t>Roof Remedial Work Balance - Client Cost</t>
  </si>
  <si>
    <t xml:space="preserve">Waterpoints </t>
  </si>
  <si>
    <t>Evolution Coatings - INV0000138</t>
  </si>
  <si>
    <t>Waterproofing - Client Cost</t>
  </si>
  <si>
    <t>PO4519-MBE-20251203 - RV Approved</t>
  </si>
  <si>
    <t>Cable support signoff</t>
  </si>
  <si>
    <t>PO4543-MBE-20251217 - RV Approved</t>
  </si>
  <si>
    <t>L&amp;B Consulting IN-2175</t>
  </si>
  <si>
    <t>Delivery of Sonel Meter</t>
  </si>
  <si>
    <t>DSV Inv: 180158820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</si>
  <si>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</si>
  <si>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</si>
  <si>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</si>
  <si>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</si>
  <si>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</si>
  <si>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</si>
  <si>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</si>
  <si>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</si>
  <si>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</si>
  <si>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</si>
  <si>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</si>
  <si>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</si>
  <si>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</si>
  <si>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</si>
  <si>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</si>
  <si>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</si>
  <si>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</si>
  <si>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</si>
  <si>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</si>
  <si>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</si>
  <si>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</si>
  <si>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Scope</t>
  </si>
  <si>
    <t>Cost</t>
  </si>
  <si>
    <t>Walkways - 190m - Additional</t>
  </si>
  <si>
    <t>Walkways - 190m - Additional Labour</t>
  </si>
  <si>
    <t>Gravity Lifelines Equipment - Additional</t>
  </si>
  <si>
    <t>Gravity Lifelines Labour - Additional</t>
  </si>
  <si>
    <t>Sub-Total of Additional Scope</t>
  </si>
  <si>
    <t>Emergent Energy Contribution</t>
  </si>
  <si>
    <t>Walkways - 130m - Costed</t>
  </si>
  <si>
    <t>Walkways - 130m - Labour Costed</t>
  </si>
  <si>
    <t>Lifelines Equipment - Costed</t>
  </si>
  <si>
    <t>Lifelines Labour - Costed</t>
  </si>
  <si>
    <t>Sub-Total of EE contribution</t>
  </si>
  <si>
    <t>Sub-Total (Netting off EE Contribution)</t>
  </si>
  <si>
    <t>Vat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</si>
  <si>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</si>
  <si>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</si>
  <si>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</si>
  <si>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</si>
  <si>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</si>
  <si>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</si>
  <si>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</si>
  <si>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</si>
  <si>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</si>
  <si>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</si>
  <si>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</si>
  <si>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</si>
  <si>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</si>
  <si>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</si>
  <si>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</si>
  <si>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</si>
  <si>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</si>
  <si>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</si>
  <si>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</si>
  <si>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</si>
  <si>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</si>
  <si>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Human Rights day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</si>
  <si>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</si>
  <si>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</si>
  <si>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</si>
  <si>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</si>
  <si>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</si>
  <si>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</si>
  <si>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</si>
  <si>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</si>
  <si>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</si>
  <si>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</si>
  <si>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</si>
  <si>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</si>
  <si>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</si>
  <si>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</si>
  <si>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</si>
  <si>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</si>
  <si>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WAGMA - INV-000023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</si>
</sst>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R&quot;#,##0.00;[Red]\-&quot;R&quot;#,##0.00"/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  <numFmt numFmtId="171" formatCode="0.0%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1"/>
      <color rgb="FF000000"/>
      <name val="Proxima Nova Lt"/>
    </font>
    <font>
      <sz val="10"/>
      <color rgb="FF000000"/>
      <name val="Proxima Nova Lt"/>
    </font>
    <font>
      <sz val="11"/>
      <color theme="9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803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4" fontId="5" fillId="11" borderId="57" xfId="0" applyNumberFormat="1" applyFont="1" applyFill="1" applyBorder="1" applyAlignment="1" applyProtection="1">
      <alignment horizontal="center"/>
      <protection locked="0"/>
    </xf>
    <xf numFmtId="167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171" fontId="23" fillId="0" borderId="2" xfId="0" applyNumberFormat="1" applyFont="1" applyBorder="1" applyAlignment="1" applyProtection="1">
      <alignment horizontal="center" vertical="center"/>
      <protection locked="0"/>
    </xf>
    <xf numFmtId="166" fontId="5" fillId="0" borderId="0" xfId="0" applyNumberFormat="1" applyFont="1" applyProtection="1">
      <protection locked="0"/>
    </xf>
    <xf numFmtId="166" fontId="5" fillId="5" borderId="0" xfId="0" applyNumberFormat="1" applyFont="1" applyFill="1" applyProtection="1">
      <protection locked="0"/>
    </xf>
    <xf numFmtId="165" fontId="8" fillId="5" borderId="0" xfId="0" applyNumberFormat="1" applyFont="1" applyFill="1" applyProtection="1">
      <protection locked="0"/>
    </xf>
    <xf numFmtId="167" fontId="21" fillId="5" borderId="0" xfId="0" applyNumberFormat="1" applyFont="1" applyFill="1" applyProtection="1">
      <protection locked="0"/>
    </xf>
    <xf numFmtId="14" fontId="0" fillId="0" borderId="2" xfId="0" applyNumberFormat="1" applyBorder="1" applyAlignment="1">
      <alignment horizontal="center" vertical="center" wrapText="1"/>
    </xf>
    <xf numFmtId="0" fontId="33" fillId="7" borderId="22" xfId="0" applyFont="1" applyFill="1" applyBorder="1" applyProtection="1">
      <protection locked="0"/>
    </xf>
    <xf numFmtId="14" fontId="47" fillId="9" borderId="49" xfId="0" applyNumberFormat="1" applyFont="1" applyFill="1" applyBorder="1" applyAlignment="1" applyProtection="1">
      <alignment horizontal="center"/>
      <protection locked="0"/>
    </xf>
    <xf numFmtId="14" fontId="47" fillId="9" borderId="51" xfId="0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center" vertical="center"/>
      <protection locked="0"/>
    </xf>
    <xf numFmtId="0" fontId="19" fillId="5" borderId="2" xfId="0" applyFont="1" applyFill="1" applyBorder="1" applyProtection="1">
      <protection locked="0"/>
    </xf>
    <xf numFmtId="167" fontId="19" fillId="5" borderId="2" xfId="3" applyFont="1" applyFill="1" applyBorder="1" applyProtection="1">
      <protection locked="0"/>
    </xf>
    <xf numFmtId="167" fontId="5" fillId="5" borderId="0" xfId="3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4" borderId="0" xfId="0" applyNumberFormat="1" applyFont="1" applyFill="1" applyProtection="1">
      <protection locked="0"/>
    </xf>
    <xf numFmtId="167" fontId="5" fillId="4" borderId="0" xfId="3" applyFont="1" applyFill="1" applyProtection="1">
      <protection locked="0"/>
    </xf>
    <xf numFmtId="0" fontId="5" fillId="4" borderId="0" xfId="0" applyFont="1" applyFill="1" applyProtection="1">
      <protection locked="0"/>
    </xf>
    <xf numFmtId="0" fontId="5" fillId="5" borderId="22" xfId="0" applyFont="1" applyFill="1" applyBorder="1" applyProtection="1">
      <protection locked="0"/>
    </xf>
    <xf numFmtId="44" fontId="5" fillId="5" borderId="22" xfId="0" applyNumberFormat="1" applyFont="1" applyFill="1" applyBorder="1" applyProtection="1"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0" fontId="5" fillId="6" borderId="0" xfId="0" applyFont="1" applyFill="1" applyProtection="1">
      <protection locked="0"/>
    </xf>
    <xf numFmtId="15" fontId="44" fillId="0" borderId="2" xfId="0" applyNumberFormat="1" applyFont="1" applyBorder="1" applyAlignment="1">
      <alignment vertical="center" wrapText="1"/>
    </xf>
    <xf numFmtId="44" fontId="15" fillId="5" borderId="2" xfId="0" applyNumberFormat="1" applyFont="1" applyFill="1" applyBorder="1" applyProtection="1">
      <protection locked="0"/>
    </xf>
    <xf numFmtId="14" fontId="5" fillId="9" borderId="53" xfId="0" applyNumberFormat="1" applyFont="1" applyFill="1" applyBorder="1" applyAlignment="1" applyProtection="1">
      <alignment horizontal="center"/>
      <protection locked="0"/>
    </xf>
    <xf numFmtId="14" fontId="5" fillId="8" borderId="53" xfId="0" applyNumberFormat="1" applyFont="1" applyFill="1" applyBorder="1" applyAlignment="1" applyProtection="1">
      <alignment horizontal="center"/>
      <protection locked="0"/>
    </xf>
    <xf numFmtId="14" fontId="5" fillId="11" borderId="49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47" fillId="9" borderId="57" xfId="0" applyNumberFormat="1" applyFont="1" applyFill="1" applyBorder="1" applyAlignment="1" applyProtection="1">
      <alignment horizontal="center"/>
      <protection locked="0"/>
    </xf>
    <xf numFmtId="14" fontId="47" fillId="11" borderId="57" xfId="0" applyNumberFormat="1" applyFont="1" applyFill="1" applyBorder="1" applyAlignment="1" applyProtection="1">
      <alignment horizontal="center"/>
      <protection locked="0"/>
    </xf>
    <xf numFmtId="14" fontId="47" fillId="8" borderId="67" xfId="0" applyNumberFormat="1" applyFont="1" applyFill="1" applyBorder="1" applyAlignment="1" applyProtection="1">
      <alignment horizontal="center"/>
      <protection locked="0"/>
    </xf>
    <xf numFmtId="9" fontId="5" fillId="9" borderId="32" xfId="2" applyFont="1" applyFill="1" applyBorder="1" applyAlignment="1" applyProtection="1">
      <alignment horizontal="center"/>
      <protection locked="0"/>
    </xf>
    <xf numFmtId="167" fontId="4" fillId="9" borderId="1" xfId="3" applyFont="1" applyFill="1" applyBorder="1" applyAlignment="1" applyProtection="1">
      <alignment horizontal="center" vertical="center"/>
      <protection locked="0"/>
    </xf>
    <xf numFmtId="14" fontId="47" fillId="11" borderId="53" xfId="0" applyNumberFormat="1" applyFont="1" applyFill="1" applyBorder="1" applyAlignment="1" applyProtection="1">
      <alignment horizontal="center"/>
      <protection locked="0"/>
    </xf>
    <xf numFmtId="14" fontId="47" fillId="9" borderId="53" xfId="0" applyNumberFormat="1" applyFont="1" applyFill="1" applyBorder="1" applyAlignment="1" applyProtection="1">
      <alignment horizontal="center"/>
      <protection locked="0"/>
    </xf>
    <xf numFmtId="14" fontId="47" fillId="8" borderId="53" xfId="0" applyNumberFormat="1" applyFont="1" applyFill="1" applyBorder="1" applyAlignment="1" applyProtection="1">
      <alignment horizontal="center"/>
      <protection locked="0"/>
    </xf>
    <xf numFmtId="14" fontId="5" fillId="9" borderId="51" xfId="0" applyNumberFormat="1" applyFont="1" applyFill="1" applyBorder="1" applyAlignment="1" applyProtection="1">
      <alignment horizontal="center"/>
      <protection locked="0"/>
    </xf>
    <xf numFmtId="14" fontId="5" fillId="9" borderId="49" xfId="0" applyNumberFormat="1" applyFont="1" applyFill="1" applyBorder="1" applyAlignment="1" applyProtection="1">
      <alignment horizontal="center"/>
      <protection locked="0"/>
    </xf>
    <xf numFmtId="14" fontId="47" fillId="8" borderId="51" xfId="0" applyNumberFormat="1" applyFont="1" applyFill="1" applyBorder="1" applyAlignment="1" applyProtection="1">
      <alignment horizontal="center"/>
      <protection locked="0"/>
    </xf>
    <xf numFmtId="168" fontId="47" fillId="9" borderId="53" xfId="0" applyNumberFormat="1" applyFont="1" applyFill="1" applyBorder="1" applyAlignment="1" applyProtection="1">
      <alignment horizontal="center"/>
      <protection locked="0"/>
    </xf>
    <xf numFmtId="168" fontId="47" fillId="11" borderId="49" xfId="0" applyNumberFormat="1" applyFont="1" applyFill="1" applyBorder="1" applyAlignment="1" applyProtection="1">
      <alignment horizontal="center"/>
      <protection locked="0"/>
    </xf>
    <xf numFmtId="168" fontId="47" fillId="11" borderId="50" xfId="0" applyNumberFormat="1" applyFont="1" applyFill="1" applyBorder="1" applyAlignment="1" applyProtection="1">
      <alignment horizontal="center"/>
      <protection locked="0"/>
    </xf>
    <xf numFmtId="168" fontId="47" fillId="9" borderId="50" xfId="0" applyNumberFormat="1" applyFont="1" applyFill="1" applyBorder="1" applyAlignment="1" applyProtection="1">
      <alignment horizontal="center"/>
      <protection locked="0"/>
    </xf>
    <xf numFmtId="168" fontId="47" fillId="9" borderId="49" xfId="0" applyNumberFormat="1" applyFont="1" applyFill="1" applyBorder="1" applyAlignment="1" applyProtection="1">
      <alignment horizontal="center"/>
      <protection locked="0"/>
    </xf>
    <xf numFmtId="168" fontId="47" fillId="8" borderId="53" xfId="0" applyNumberFormat="1" applyFont="1" applyFill="1" applyBorder="1" applyAlignment="1" applyProtection="1">
      <alignment horizontal="center"/>
      <protection locked="0"/>
    </xf>
    <xf numFmtId="168" fontId="47" fillId="8" borderId="51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 vertical="center"/>
      <protection locked="0"/>
    </xf>
    <xf numFmtId="0" fontId="4" fillId="9" borderId="60" xfId="0" applyFont="1" applyFill="1" applyBorder="1" applyAlignment="1" applyProtection="1">
      <alignment horizontal="center" vertical="center"/>
      <protection locked="0"/>
    </xf>
    <xf numFmtId="0" fontId="4" fillId="0" borderId="62" xfId="0" applyFont="1" applyBorder="1" applyAlignment="1" applyProtection="1">
      <alignment horizontal="center" vertical="center"/>
      <protection locked="0"/>
    </xf>
    <xf numFmtId="0" fontId="4" fillId="11" borderId="63" xfId="0" applyFont="1" applyFill="1" applyBorder="1" applyAlignment="1" applyProtection="1">
      <alignment horizontal="center" vertical="center"/>
      <protection locked="0"/>
    </xf>
    <xf numFmtId="0" fontId="4" fillId="11" borderId="55" xfId="0" applyFont="1" applyFill="1" applyBorder="1" applyAlignment="1" applyProtection="1">
      <alignment horizontal="center" vertical="center"/>
      <protection locked="0"/>
    </xf>
    <xf numFmtId="0" fontId="4" fillId="11" borderId="60" xfId="0" applyFont="1" applyFill="1" applyBorder="1" applyAlignment="1" applyProtection="1">
      <alignment horizontal="center" vertical="center"/>
      <protection locked="0"/>
    </xf>
    <xf numFmtId="0" fontId="5" fillId="0" borderId="62" xfId="0" applyFont="1" applyBorder="1" applyAlignment="1" applyProtection="1">
      <alignment horizontal="center" vertical="center"/>
      <protection locked="0"/>
    </xf>
    <xf numFmtId="0" fontId="4" fillId="11" borderId="66" xfId="0" applyFont="1" applyFill="1" applyBorder="1" applyAlignment="1" applyProtection="1">
      <alignment horizontal="center" vertical="center"/>
      <protection locked="0"/>
    </xf>
    <xf numFmtId="0" fontId="4" fillId="0" borderId="56" xfId="0" applyFont="1" applyBorder="1" applyAlignment="1" applyProtection="1">
      <alignment horizontal="center" vertical="center"/>
      <protection locked="0"/>
    </xf>
    <xf numFmtId="0" fontId="4" fillId="9" borderId="54" xfId="0" applyFont="1" applyFill="1" applyBorder="1" applyAlignment="1" applyProtection="1">
      <alignment horizontal="center" vertical="center"/>
      <protection locked="0"/>
    </xf>
    <xf numFmtId="0" fontId="35" fillId="0" borderId="62" xfId="0" applyFont="1" applyBorder="1" applyAlignment="1" applyProtection="1">
      <alignment horizontal="center" vertical="center"/>
      <protection locked="0"/>
    </xf>
    <xf numFmtId="0" fontId="4" fillId="8" borderId="63" xfId="0" applyFont="1" applyFill="1" applyBorder="1" applyAlignment="1" applyProtection="1">
      <alignment horizontal="center" vertical="center"/>
      <protection locked="0"/>
    </xf>
    <xf numFmtId="0" fontId="4" fillId="8" borderId="55" xfId="0" applyFont="1" applyFill="1" applyBorder="1" applyAlignment="1" applyProtection="1">
      <alignment horizontal="center" vertical="center"/>
      <protection locked="0"/>
    </xf>
    <xf numFmtId="0" fontId="4" fillId="8" borderId="66" xfId="0" applyFont="1" applyFill="1" applyBorder="1" applyAlignment="1" applyProtection="1">
      <alignment horizontal="center" vertical="center"/>
      <protection locked="0"/>
    </xf>
    <xf numFmtId="0" fontId="4" fillId="8" borderId="60" xfId="0" applyFont="1" applyFill="1" applyBorder="1" applyAlignment="1" applyProtection="1">
      <alignment horizontal="center" vertical="center"/>
      <protection locked="0"/>
    </xf>
    <xf numFmtId="0" fontId="4" fillId="8" borderId="24" xfId="0" applyFont="1" applyFill="1" applyBorder="1" applyAlignment="1" applyProtection="1">
      <alignment horizontal="center" vertical="center"/>
      <protection locked="0"/>
    </xf>
    <xf numFmtId="0" fontId="4" fillId="8" borderId="19" xfId="0" applyFont="1" applyFill="1" applyBorder="1" applyAlignment="1" applyProtection="1">
      <alignment horizontal="center" vertical="center"/>
      <protection locked="0"/>
    </xf>
    <xf numFmtId="8" fontId="18" fillId="5" borderId="0" xfId="0" applyNumberFormat="1" applyFont="1" applyFill="1" applyProtection="1">
      <protection locked="0"/>
    </xf>
    <xf numFmtId="167" fontId="48" fillId="0" borderId="2" xfId="0" applyNumberFormat="1" applyFont="1" applyBorder="1" applyAlignment="1" applyProtection="1">
      <alignment horizontal="center" vertical="center"/>
      <protection locked="0"/>
    </xf>
    <xf numFmtId="14" fontId="47" fillId="11" borderId="49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Alignment="1" applyProtection="1">
      <alignment horizontal="center" vertical="center"/>
      <protection locked="0"/>
    </xf>
    <xf numFmtId="9" fontId="4" fillId="11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center"/>
    </xf>
    <xf numFmtId="167" fontId="0" fillId="0" borderId="15" xfId="0" applyNumberFormat="1" applyBorder="1"/>
    <xf numFmtId="44" fontId="0" fillId="0" borderId="0" xfId="0" applyNumberFormat="1"/>
    <xf numFmtId="44" fontId="0" fillId="0" borderId="15" xfId="0" applyNumberFormat="1" applyBorder="1"/>
    <xf numFmtId="167" fontId="0" fillId="0" borderId="2" xfId="3" applyFont="1" applyFill="1" applyBorder="1"/>
    <xf numFmtId="167" fontId="0" fillId="0" borderId="32" xfId="3" applyFont="1" applyFill="1" applyBorder="1"/>
    <xf numFmtId="0" fontId="49" fillId="0" borderId="2" xfId="0" applyFont="1" applyBorder="1"/>
    <xf numFmtId="167" fontId="49" fillId="0" borderId="2" xfId="3" applyFont="1" applyBorder="1"/>
    <xf numFmtId="167" fontId="49" fillId="0" borderId="32" xfId="3" applyFont="1" applyBorder="1"/>
    <xf numFmtId="8" fontId="0" fillId="0" borderId="0" xfId="0" applyNumberFormat="1"/>
    <xf numFmtId="0" fontId="49" fillId="0" borderId="0" xfId="0" applyFont="1"/>
    <xf numFmtId="0" fontId="0" fillId="0" borderId="26" xfId="0" applyBorder="1"/>
    <xf numFmtId="167" fontId="0" fillId="0" borderId="26" xfId="3" applyFont="1" applyFill="1" applyBorder="1"/>
    <xf numFmtId="0" fontId="0" fillId="0" borderId="32" xfId="0" applyBorder="1"/>
    <xf numFmtId="0" fontId="49" fillId="0" borderId="32" xfId="0" applyFont="1" applyBorder="1"/>
    <xf numFmtId="167" fontId="49" fillId="0" borderId="0" xfId="0" applyNumberFormat="1" applyFont="1"/>
    <xf numFmtId="14" fontId="4" fillId="9" borderId="64" xfId="0" applyNumberFormat="1" applyFont="1" applyFill="1" applyBorder="1" applyAlignment="1" applyProtection="1">
      <alignment horizontal="center" vertical="center"/>
      <protection locked="0"/>
    </xf>
    <xf numFmtId="14" fontId="4" fillId="11" borderId="64" xfId="0" applyNumberFormat="1" applyFont="1" applyFill="1" applyBorder="1" applyAlignment="1" applyProtection="1">
      <alignment horizontal="center"/>
      <protection locked="0"/>
    </xf>
    <xf numFmtId="14" fontId="4" fillId="9" borderId="64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7" fontId="18" fillId="5" borderId="0" xfId="3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center" vertical="center"/>
      <protection locked="0"/>
    </xf>
    <xf numFmtId="14" fontId="5" fillId="9" borderId="57" xfId="0" applyNumberFormat="1" applyFont="1" applyFill="1" applyBorder="1" applyAlignment="1" applyProtection="1">
      <alignment horizontal="center"/>
      <protection locked="0"/>
    </xf>
    <xf numFmtId="168" fontId="47" fillId="11" borderId="51" xfId="0" applyNumberFormat="1" applyFont="1" applyFill="1" applyBorder="1" applyAlignment="1" applyProtection="1">
      <alignment horizontal="center"/>
      <protection locked="0"/>
    </xf>
    <xf numFmtId="14" fontId="4" fillId="8" borderId="64" xfId="0" applyNumberFormat="1" applyFont="1" applyFill="1" applyBorder="1" applyAlignment="1" applyProtection="1">
      <alignment horizontal="center"/>
      <protection locked="0"/>
    </xf>
    <xf numFmtId="168" fontId="4" fillId="9" borderId="1" xfId="0" applyNumberFormat="1" applyFont="1" applyFill="1" applyBorder="1" applyAlignment="1" applyProtection="1">
      <alignment horizontal="center" vertic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6" fillId="4" borderId="0" xfId="0" applyFont="1" applyFill="1" applyProtection="1">
      <protection locked="0"/>
    </xf>
    <xf numFmtId="167" fontId="5" fillId="4" borderId="0" xfId="0" applyNumberFormat="1" applyFont="1" applyFill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center"/>
      <protection locked="0"/>
    </xf>
    <xf numFmtId="167" fontId="4" fillId="11" borderId="1" xfId="3" applyFont="1" applyFill="1" applyBorder="1" applyAlignment="1" applyProtection="1">
      <alignment horizontal="center" vertical="center"/>
      <protection locked="0"/>
    </xf>
    <xf numFmtId="168" fontId="47" fillId="8" borderId="26" xfId="0" applyNumberFormat="1" applyFont="1" applyFill="1" applyBorder="1" applyAlignment="1" applyProtection="1">
      <alignment horizontal="center"/>
      <protection locked="0"/>
    </xf>
    <xf numFmtId="168" fontId="47" fillId="11" borderId="53" xfId="0" applyNumberFormat="1" applyFont="1" applyFill="1" applyBorder="1" applyAlignment="1" applyProtection="1">
      <alignment horizontal="center"/>
      <protection locked="0"/>
    </xf>
    <xf numFmtId="167" fontId="23" fillId="0" borderId="2" xfId="0" quotePrefix="1" applyNumberFormat="1" applyFont="1" applyBorder="1" applyAlignment="1" applyProtection="1">
      <alignment horizontal="center" vertical="center"/>
      <protection locked="0"/>
    </xf>
    <xf numFmtId="9" fontId="19" fillId="5" borderId="0" xfId="2" applyFont="1" applyFill="1" applyBorder="1" applyAlignment="1" applyProtection="1">
      <alignment horizontal="center" vertical="center"/>
      <protection locked="0"/>
    </xf>
    <xf numFmtId="0" fontId="4" fillId="9" borderId="85" xfId="0" applyFont="1" applyFill="1" applyBorder="1" applyAlignment="1" applyProtection="1">
      <alignment vertical="center"/>
      <protection locked="0"/>
    </xf>
    <xf numFmtId="14" fontId="4" fillId="9" borderId="86" xfId="0" applyNumberFormat="1" applyFont="1" applyFill="1" applyBorder="1" applyAlignment="1" applyProtection="1">
      <alignment horizontal="center"/>
      <protection locked="0"/>
    </xf>
    <xf numFmtId="0" fontId="4" fillId="9" borderId="83" xfId="0" applyFont="1" applyFill="1" applyBorder="1" applyAlignment="1" applyProtection="1">
      <alignment horizontal="center"/>
      <protection locked="0"/>
    </xf>
    <xf numFmtId="0" fontId="4" fillId="9" borderId="87" xfId="0" applyFont="1" applyFill="1" applyBorder="1" applyAlignment="1" applyProtection="1">
      <alignment horizontal="center"/>
      <protection locked="0"/>
    </xf>
    <xf numFmtId="14" fontId="4" fillId="9" borderId="61" xfId="0" applyNumberFormat="1" applyFont="1" applyFill="1" applyBorder="1" applyAlignment="1" applyProtection="1">
      <alignment horizontal="center"/>
      <protection locked="0"/>
    </xf>
    <xf numFmtId="0" fontId="5" fillId="4" borderId="2" xfId="0" applyFont="1" applyFill="1" applyBorder="1"/>
    <xf numFmtId="0" fontId="5" fillId="5" borderId="1" xfId="0" applyFont="1" applyFill="1" applyBorder="1" applyAlignment="1" applyProtection="1">
      <alignment horizontal="center" vertical="center"/>
      <protection locked="0"/>
    </xf>
    <xf numFmtId="0" fontId="5" fillId="5" borderId="26" xfId="0" applyFont="1" applyFill="1" applyBorder="1" applyAlignment="1" applyProtection="1">
      <alignment horizontal="center" vertical="center"/>
      <protection locked="0"/>
    </xf>
    <xf numFmtId="0" fontId="4" fillId="9" borderId="8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56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6" fillId="7" borderId="26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chartsheet" Target="chartsheets/sheet1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Mahikeng</a:t>
            </a:r>
            <a:r>
              <a:rPr lang="en-US" sz="2000" baseline="0"/>
              <a:t> Builders Express 250</a:t>
            </a:r>
            <a:r>
              <a:rPr lang="en-US" sz="2000"/>
              <a:t>kWp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Plan'!$U$13:$U$21</c:f>
                <c:numCache>
                  <c:formatCode>General</c:formatCode>
                  <c:ptCount val="9"/>
                  <c:pt idx="0">
                    <c:v>27</c:v>
                  </c:pt>
                  <c:pt idx="1">
                    <c:v>1</c:v>
                  </c:pt>
                  <c:pt idx="3">
                    <c:v>34</c:v>
                  </c:pt>
                  <c:pt idx="4">
                    <c:v>12</c:v>
                  </c:pt>
                  <c:pt idx="5">
                    <c:v>19</c:v>
                  </c:pt>
                  <c:pt idx="6">
                    <c:v>7</c:v>
                  </c:pt>
                  <c:pt idx="7">
                    <c:v>78</c:v>
                  </c:pt>
                  <c:pt idx="8">
                    <c:v>95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Plan'!$S$13:$S$21</c:f>
              <c:strCache>
                <c:ptCount val="9"/>
                <c:pt idx="0">
                  <c:v>Project Initiation</c:v>
                </c:pt>
                <c:pt idx="1">
                  <c:v>Site Establishment</c:v>
                </c:pt>
                <c:pt idx="3">
                  <c:v>AC Installation</c:v>
                </c:pt>
                <c:pt idx="4">
                  <c:v>DC Works</c:v>
                </c:pt>
                <c:pt idx="5">
                  <c:v>Module installation</c:v>
                </c:pt>
                <c:pt idx="6">
                  <c:v>Commissioning (Practical Completion - JBCC)</c:v>
                </c:pt>
                <c:pt idx="7">
                  <c:v>QA Inspections (Works Completion - JBCC)</c:v>
                </c:pt>
                <c:pt idx="8">
                  <c:v>Project Closure (Final Completion - JBCC)</c:v>
                </c:pt>
              </c:strCache>
            </c:strRef>
          </c:cat>
          <c:val>
            <c:numRef>
              <c:f>'Project Plan'!$T$13:$T$21</c:f>
              <c:numCache>
                <c:formatCode>d\-mmm\-yy</c:formatCode>
                <c:ptCount val="9"/>
                <c:pt idx="0">
                  <c:v>45939</c:v>
                </c:pt>
                <c:pt idx="1">
                  <c:v>45959</c:v>
                </c:pt>
                <c:pt idx="3">
                  <c:v>45954</c:v>
                </c:pt>
                <c:pt idx="4">
                  <c:v>45960</c:v>
                </c:pt>
                <c:pt idx="5">
                  <c:v>45960</c:v>
                </c:pt>
                <c:pt idx="6">
                  <c:v>45988</c:v>
                </c:pt>
                <c:pt idx="7">
                  <c:v>45988</c:v>
                </c:pt>
                <c:pt idx="8">
                  <c:v>45989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46072</c:v>
                </c:pt>
                <c:pt idx="1">
                  <c:v>46072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58084.447500000002</c:v>
                </c:pt>
                <c:pt idx="9">
                  <c:v>1135808.8655000001</c:v>
                </c:pt>
                <c:pt idx="10">
                  <c:v>1321679.0975000001</c:v>
                </c:pt>
                <c:pt idx="11">
                  <c:v>1725485.7825000002</c:v>
                </c:pt>
                <c:pt idx="12">
                  <c:v>2480583.6000000006</c:v>
                </c:pt>
                <c:pt idx="13">
                  <c:v>2628284.5094958344</c:v>
                </c:pt>
                <c:pt idx="14">
                  <c:v>2757361.0594958342</c:v>
                </c:pt>
                <c:pt idx="15">
                  <c:v>2757361.0594958342</c:v>
                </c:pt>
                <c:pt idx="16">
                  <c:v>2757361.0594958342</c:v>
                </c:pt>
                <c:pt idx="17">
                  <c:v>2757361.0594958342</c:v>
                </c:pt>
                <c:pt idx="18">
                  <c:v>2757361.0594958342</c:v>
                </c:pt>
                <c:pt idx="19">
                  <c:v>2757361.0594958342</c:v>
                </c:pt>
                <c:pt idx="20">
                  <c:v>2757361.0594958342</c:v>
                </c:pt>
                <c:pt idx="21">
                  <c:v>2757361.0594958342</c:v>
                </c:pt>
                <c:pt idx="22">
                  <c:v>2757361.0594958342</c:v>
                </c:pt>
                <c:pt idx="23">
                  <c:v>2757361.0594958342</c:v>
                </c:pt>
                <c:pt idx="24">
                  <c:v>2757361.0594958342</c:v>
                </c:pt>
                <c:pt idx="25">
                  <c:v>2757361.0594958342</c:v>
                </c:pt>
                <c:pt idx="26">
                  <c:v>2757361.0594958342</c:v>
                </c:pt>
                <c:pt idx="27">
                  <c:v>2820054.919495834</c:v>
                </c:pt>
                <c:pt idx="28">
                  <c:v>2820054.919495834</c:v>
                </c:pt>
                <c:pt idx="29">
                  <c:v>2820054.919495834</c:v>
                </c:pt>
                <c:pt idx="30">
                  <c:v>2820054.919495834</c:v>
                </c:pt>
                <c:pt idx="31">
                  <c:v>2820054.919495834</c:v>
                </c:pt>
                <c:pt idx="32">
                  <c:v>2820054.919495834</c:v>
                </c:pt>
                <c:pt idx="33">
                  <c:v>2820054.919495834</c:v>
                </c:pt>
                <c:pt idx="34">
                  <c:v>2820054.919495834</c:v>
                </c:pt>
                <c:pt idx="35">
                  <c:v>2820054.919495834</c:v>
                </c:pt>
                <c:pt idx="36">
                  <c:v>2820054.919495834</c:v>
                </c:pt>
                <c:pt idx="37">
                  <c:v>2820054.919495834</c:v>
                </c:pt>
                <c:pt idx="38">
                  <c:v>2820054.919495834</c:v>
                </c:pt>
                <c:pt idx="39">
                  <c:v>2820054.919495834</c:v>
                </c:pt>
                <c:pt idx="40">
                  <c:v>2820054.919495834</c:v>
                </c:pt>
                <c:pt idx="41">
                  <c:v>2820054.919495834</c:v>
                </c:pt>
                <c:pt idx="42">
                  <c:v>2820054.919495834</c:v>
                </c:pt>
                <c:pt idx="43">
                  <c:v>2820054.919495834</c:v>
                </c:pt>
                <c:pt idx="44">
                  <c:v>2820054.919495834</c:v>
                </c:pt>
                <c:pt idx="45">
                  <c:v>2820054.919495834</c:v>
                </c:pt>
                <c:pt idx="46">
                  <c:v>2820054.919495834</c:v>
                </c:pt>
                <c:pt idx="47">
                  <c:v>2820054.919495834</c:v>
                </c:pt>
                <c:pt idx="48">
                  <c:v>2820054.919495834</c:v>
                </c:pt>
                <c:pt idx="49">
                  <c:v>2820054.919495834</c:v>
                </c:pt>
                <c:pt idx="50">
                  <c:v>2820054.919495834</c:v>
                </c:pt>
                <c:pt idx="51">
                  <c:v>2820054.919495834</c:v>
                </c:pt>
                <c:pt idx="52">
                  <c:v>2820054.919495834</c:v>
                </c:pt>
                <c:pt idx="53">
                  <c:v>2820054.919495834</c:v>
                </c:pt>
                <c:pt idx="54">
                  <c:v>2820054.919495834</c:v>
                </c:pt>
                <c:pt idx="55">
                  <c:v>2820054.919495834</c:v>
                </c:pt>
                <c:pt idx="56">
                  <c:v>2820054.919495834</c:v>
                </c:pt>
                <c:pt idx="57">
                  <c:v>2820054.919495834</c:v>
                </c:pt>
                <c:pt idx="58">
                  <c:v>2820054.919495834</c:v>
                </c:pt>
                <c:pt idx="59">
                  <c:v>2820054.919495834</c:v>
                </c:pt>
                <c:pt idx="60">
                  <c:v>2820054.919495834</c:v>
                </c:pt>
                <c:pt idx="61">
                  <c:v>2820054.919495834</c:v>
                </c:pt>
                <c:pt idx="62">
                  <c:v>2820054.919495834</c:v>
                </c:pt>
                <c:pt idx="63">
                  <c:v>2820054.919495834</c:v>
                </c:pt>
                <c:pt idx="64">
                  <c:v>2820054.919495834</c:v>
                </c:pt>
                <c:pt idx="65">
                  <c:v>2820054.919495834</c:v>
                </c:pt>
                <c:pt idx="66">
                  <c:v>2820054.919495834</c:v>
                </c:pt>
                <c:pt idx="67">
                  <c:v>2820054.919495834</c:v>
                </c:pt>
                <c:pt idx="68">
                  <c:v>2820054.919495834</c:v>
                </c:pt>
                <c:pt idx="69">
                  <c:v>2820054.919495834</c:v>
                </c:pt>
                <c:pt idx="70">
                  <c:v>2820054.919495834</c:v>
                </c:pt>
                <c:pt idx="71">
                  <c:v>2820054.919495834</c:v>
                </c:pt>
                <c:pt idx="72">
                  <c:v>2820054.919495834</c:v>
                </c:pt>
                <c:pt idx="73">
                  <c:v>2820054.919495834</c:v>
                </c:pt>
                <c:pt idx="74">
                  <c:v>2820054.919495834</c:v>
                </c:pt>
                <c:pt idx="75">
                  <c:v>2820054.919495834</c:v>
                </c:pt>
                <c:pt idx="76">
                  <c:v>2820054.919495834</c:v>
                </c:pt>
                <c:pt idx="77">
                  <c:v>2820054.919495834</c:v>
                </c:pt>
                <c:pt idx="78">
                  <c:v>2820054.919495834</c:v>
                </c:pt>
                <c:pt idx="79">
                  <c:v>2820054.919495834</c:v>
                </c:pt>
                <c:pt idx="80">
                  <c:v>2820054.919495834</c:v>
                </c:pt>
                <c:pt idx="81">
                  <c:v>2820054.919495834</c:v>
                </c:pt>
                <c:pt idx="82">
                  <c:v>2820054.919495834</c:v>
                </c:pt>
                <c:pt idx="83">
                  <c:v>2820054.919495834</c:v>
                </c:pt>
                <c:pt idx="84">
                  <c:v>2820054.919495834</c:v>
                </c:pt>
                <c:pt idx="85">
                  <c:v>2820054.919495834</c:v>
                </c:pt>
                <c:pt idx="86">
                  <c:v>2820054.919495834</c:v>
                </c:pt>
                <c:pt idx="87">
                  <c:v>2820054.919495834</c:v>
                </c:pt>
                <c:pt idx="88">
                  <c:v>2820054.919495834</c:v>
                </c:pt>
                <c:pt idx="89">
                  <c:v>2820054.919495834</c:v>
                </c:pt>
                <c:pt idx="90">
                  <c:v>2820054.919495834</c:v>
                </c:pt>
                <c:pt idx="91">
                  <c:v>2820054.919495834</c:v>
                </c:pt>
                <c:pt idx="92">
                  <c:v>2820054.919495834</c:v>
                </c:pt>
                <c:pt idx="93">
                  <c:v>2820054.919495834</c:v>
                </c:pt>
                <c:pt idx="94">
                  <c:v>2820054.919495834</c:v>
                </c:pt>
                <c:pt idx="95">
                  <c:v>2820054.919495834</c:v>
                </c:pt>
                <c:pt idx="96">
                  <c:v>2820054.919495834</c:v>
                </c:pt>
                <c:pt idx="97">
                  <c:v>2820054.919495834</c:v>
                </c:pt>
                <c:pt idx="98">
                  <c:v>2820054.919495834</c:v>
                </c:pt>
                <c:pt idx="99">
                  <c:v>2820054.919495834</c:v>
                </c:pt>
                <c:pt idx="100">
                  <c:v>2820054.919495834</c:v>
                </c:pt>
                <c:pt idx="101">
                  <c:v>2820054.919495834</c:v>
                </c:pt>
                <c:pt idx="102">
                  <c:v>2820054.919495834</c:v>
                </c:pt>
                <c:pt idx="103">
                  <c:v>2820054.919495834</c:v>
                </c:pt>
                <c:pt idx="104">
                  <c:v>2820054.919495834</c:v>
                </c:pt>
                <c:pt idx="105">
                  <c:v>2820054.919495834</c:v>
                </c:pt>
                <c:pt idx="106">
                  <c:v>2820054.919495834</c:v>
                </c:pt>
                <c:pt idx="107">
                  <c:v>2820054.919495834</c:v>
                </c:pt>
                <c:pt idx="108">
                  <c:v>2820054.919495834</c:v>
                </c:pt>
                <c:pt idx="109">
                  <c:v>2820054.919495834</c:v>
                </c:pt>
                <c:pt idx="110">
                  <c:v>2820054.919495834</c:v>
                </c:pt>
                <c:pt idx="111">
                  <c:v>2820054.919495834</c:v>
                </c:pt>
                <c:pt idx="112">
                  <c:v>2820054.919495834</c:v>
                </c:pt>
                <c:pt idx="113">
                  <c:v>2820054.919495834</c:v>
                </c:pt>
                <c:pt idx="114">
                  <c:v>2820054.919495834</c:v>
                </c:pt>
                <c:pt idx="115">
                  <c:v>2820054.919495834</c:v>
                </c:pt>
                <c:pt idx="116">
                  <c:v>2820054.919495834</c:v>
                </c:pt>
                <c:pt idx="117">
                  <c:v>2820054.919495834</c:v>
                </c:pt>
                <c:pt idx="118">
                  <c:v>2820054.919495834</c:v>
                </c:pt>
                <c:pt idx="119">
                  <c:v>2820054.919495834</c:v>
                </c:pt>
                <c:pt idx="120">
                  <c:v>2820054.919495834</c:v>
                </c:pt>
                <c:pt idx="121">
                  <c:v>2820054.919495834</c:v>
                </c:pt>
                <c:pt idx="122">
                  <c:v>2820054.919495834</c:v>
                </c:pt>
                <c:pt idx="123">
                  <c:v>2820054.919495834</c:v>
                </c:pt>
                <c:pt idx="124">
                  <c:v>2820054.919495834</c:v>
                </c:pt>
                <c:pt idx="125">
                  <c:v>2820054.919495834</c:v>
                </c:pt>
                <c:pt idx="126">
                  <c:v>2820054.919495834</c:v>
                </c:pt>
                <c:pt idx="127">
                  <c:v>2820054.919495834</c:v>
                </c:pt>
                <c:pt idx="128">
                  <c:v>2820054.919495834</c:v>
                </c:pt>
                <c:pt idx="129">
                  <c:v>2820054.919495834</c:v>
                </c:pt>
                <c:pt idx="130">
                  <c:v>2820054.919495834</c:v>
                </c:pt>
                <c:pt idx="131">
                  <c:v>2820054.919495834</c:v>
                </c:pt>
                <c:pt idx="132">
                  <c:v>2820054.919495834</c:v>
                </c:pt>
                <c:pt idx="133">
                  <c:v>2820054.919495834</c:v>
                </c:pt>
                <c:pt idx="134">
                  <c:v>2820054.919495834</c:v>
                </c:pt>
                <c:pt idx="135">
                  <c:v>2820054.919495834</c:v>
                </c:pt>
                <c:pt idx="136">
                  <c:v>2820054.919495834</c:v>
                </c:pt>
                <c:pt idx="137">
                  <c:v>2820054.919495834</c:v>
                </c:pt>
                <c:pt idx="138">
                  <c:v>2820054.919495834</c:v>
                </c:pt>
                <c:pt idx="139">
                  <c:v>2820054.919495834</c:v>
                </c:pt>
                <c:pt idx="140">
                  <c:v>2820054.919495834</c:v>
                </c:pt>
                <c:pt idx="141">
                  <c:v>2820054.919495834</c:v>
                </c:pt>
                <c:pt idx="142">
                  <c:v>2820054.919495834</c:v>
                </c:pt>
                <c:pt idx="143">
                  <c:v>2820054.919495834</c:v>
                </c:pt>
                <c:pt idx="144">
                  <c:v>2820054.919495834</c:v>
                </c:pt>
                <c:pt idx="145">
                  <c:v>2820054.919495834</c:v>
                </c:pt>
                <c:pt idx="146">
                  <c:v>2820054.919495834</c:v>
                </c:pt>
                <c:pt idx="147">
                  <c:v>2820054.919495834</c:v>
                </c:pt>
                <c:pt idx="148">
                  <c:v>2820054.919495834</c:v>
                </c:pt>
                <c:pt idx="149">
                  <c:v>2820054.919495834</c:v>
                </c:pt>
                <c:pt idx="150">
                  <c:v>2820054.919495834</c:v>
                </c:pt>
                <c:pt idx="151">
                  <c:v>2820054.919495834</c:v>
                </c:pt>
                <c:pt idx="152">
                  <c:v>2820054.919495834</c:v>
                </c:pt>
                <c:pt idx="153">
                  <c:v>2820054.919495834</c:v>
                </c:pt>
                <c:pt idx="154">
                  <c:v>2820054.919495834</c:v>
                </c:pt>
                <c:pt idx="155">
                  <c:v>2820054.919495834</c:v>
                </c:pt>
                <c:pt idx="156">
                  <c:v>2820054.919495834</c:v>
                </c:pt>
                <c:pt idx="157">
                  <c:v>2820054.919495834</c:v>
                </c:pt>
                <c:pt idx="158">
                  <c:v>2820054.919495834</c:v>
                </c:pt>
                <c:pt idx="159">
                  <c:v>2820054.919495834</c:v>
                </c:pt>
                <c:pt idx="160">
                  <c:v>2820054.919495834</c:v>
                </c:pt>
                <c:pt idx="161">
                  <c:v>2820054.919495834</c:v>
                </c:pt>
                <c:pt idx="162">
                  <c:v>2820054.919495834</c:v>
                </c:pt>
                <c:pt idx="163">
                  <c:v>2820054.919495834</c:v>
                </c:pt>
                <c:pt idx="164">
                  <c:v>2820054.919495834</c:v>
                </c:pt>
                <c:pt idx="165">
                  <c:v>2820054.919495834</c:v>
                </c:pt>
                <c:pt idx="166">
                  <c:v>2820054.919495834</c:v>
                </c:pt>
                <c:pt idx="167">
                  <c:v>2820054.919495834</c:v>
                </c:pt>
                <c:pt idx="168">
                  <c:v>2820054.919495834</c:v>
                </c:pt>
                <c:pt idx="169">
                  <c:v>2820054.919495834</c:v>
                </c:pt>
                <c:pt idx="170">
                  <c:v>2820054.919495834</c:v>
                </c:pt>
                <c:pt idx="171">
                  <c:v>2820054.919495834</c:v>
                </c:pt>
                <c:pt idx="172">
                  <c:v>2820054.919495834</c:v>
                </c:pt>
                <c:pt idx="173">
                  <c:v>2820054.919495834</c:v>
                </c:pt>
                <c:pt idx="174">
                  <c:v>2820054.919495834</c:v>
                </c:pt>
                <c:pt idx="175">
                  <c:v>2820054.919495834</c:v>
                </c:pt>
                <c:pt idx="176">
                  <c:v>2820054.919495834</c:v>
                </c:pt>
                <c:pt idx="177">
                  <c:v>2820054.919495834</c:v>
                </c:pt>
                <c:pt idx="178">
                  <c:v>2820054.919495834</c:v>
                </c:pt>
                <c:pt idx="179">
                  <c:v>2820054.919495834</c:v>
                </c:pt>
                <c:pt idx="180">
                  <c:v>2820054.919495834</c:v>
                </c:pt>
                <c:pt idx="181">
                  <c:v>2820054.919495834</c:v>
                </c:pt>
                <c:pt idx="182">
                  <c:v>2820054.919495834</c:v>
                </c:pt>
                <c:pt idx="183">
                  <c:v>2820054.919495834</c:v>
                </c:pt>
                <c:pt idx="184">
                  <c:v>2820054.919495834</c:v>
                </c:pt>
                <c:pt idx="185">
                  <c:v>2820054.919495834</c:v>
                </c:pt>
                <c:pt idx="186">
                  <c:v>2820054.919495834</c:v>
                </c:pt>
                <c:pt idx="187">
                  <c:v>2820054.919495834</c:v>
                </c:pt>
                <c:pt idx="188">
                  <c:v>2820054.919495834</c:v>
                </c:pt>
                <c:pt idx="189">
                  <c:v>2820054.919495834</c:v>
                </c:pt>
                <c:pt idx="190">
                  <c:v>2820054.919495834</c:v>
                </c:pt>
                <c:pt idx="191">
                  <c:v>2820054.919495834</c:v>
                </c:pt>
                <c:pt idx="192">
                  <c:v>2820054.919495834</c:v>
                </c:pt>
                <c:pt idx="193">
                  <c:v>2820054.919495834</c:v>
                </c:pt>
                <c:pt idx="194">
                  <c:v>2820054.919495834</c:v>
                </c:pt>
                <c:pt idx="195">
                  <c:v>2820054.919495834</c:v>
                </c:pt>
                <c:pt idx="196">
                  <c:v>2820054.919495834</c:v>
                </c:pt>
                <c:pt idx="197">
                  <c:v>2820054.919495834</c:v>
                </c:pt>
                <c:pt idx="198">
                  <c:v>2820054.919495834</c:v>
                </c:pt>
                <c:pt idx="199">
                  <c:v>2820054.919495834</c:v>
                </c:pt>
                <c:pt idx="200">
                  <c:v>2820054.919495834</c:v>
                </c:pt>
                <c:pt idx="201">
                  <c:v>2820054.919495834</c:v>
                </c:pt>
                <c:pt idx="202">
                  <c:v>2820054.919495834</c:v>
                </c:pt>
                <c:pt idx="203">
                  <c:v>2820054.919495834</c:v>
                </c:pt>
                <c:pt idx="204">
                  <c:v>2820054.919495834</c:v>
                </c:pt>
                <c:pt idx="205">
                  <c:v>2820054.919495834</c:v>
                </c:pt>
                <c:pt idx="206">
                  <c:v>2820054.919495834</c:v>
                </c:pt>
                <c:pt idx="207">
                  <c:v>2820054.919495834</c:v>
                </c:pt>
                <c:pt idx="208">
                  <c:v>2820054.919495834</c:v>
                </c:pt>
                <c:pt idx="209">
                  <c:v>2820054.919495834</c:v>
                </c:pt>
                <c:pt idx="210">
                  <c:v>2820054.919495834</c:v>
                </c:pt>
                <c:pt idx="211">
                  <c:v>2820054.919495834</c:v>
                </c:pt>
                <c:pt idx="212">
                  <c:v>2820054.919495834</c:v>
                </c:pt>
                <c:pt idx="213">
                  <c:v>2820054.919495834</c:v>
                </c:pt>
                <c:pt idx="214">
                  <c:v>2820054.919495834</c:v>
                </c:pt>
                <c:pt idx="215">
                  <c:v>2820054.919495834</c:v>
                </c:pt>
                <c:pt idx="216">
                  <c:v>2820054.919495834</c:v>
                </c:pt>
                <c:pt idx="217">
                  <c:v>2820054.919495834</c:v>
                </c:pt>
                <c:pt idx="218">
                  <c:v>2820054.919495834</c:v>
                </c:pt>
                <c:pt idx="219">
                  <c:v>2820054.919495834</c:v>
                </c:pt>
                <c:pt idx="220">
                  <c:v>2820054.919495834</c:v>
                </c:pt>
                <c:pt idx="221">
                  <c:v>2820054.919495834</c:v>
                </c:pt>
                <c:pt idx="222">
                  <c:v>2820054.919495834</c:v>
                </c:pt>
                <c:pt idx="223">
                  <c:v>2820054.919495834</c:v>
                </c:pt>
                <c:pt idx="224">
                  <c:v>2820054.919495834</c:v>
                </c:pt>
                <c:pt idx="225">
                  <c:v>2820054.919495834</c:v>
                </c:pt>
                <c:pt idx="226">
                  <c:v>2820054.919495834</c:v>
                </c:pt>
                <c:pt idx="227">
                  <c:v>2820054.919495834</c:v>
                </c:pt>
                <c:pt idx="228">
                  <c:v>2820054.919495834</c:v>
                </c:pt>
                <c:pt idx="229">
                  <c:v>2820054.919495834</c:v>
                </c:pt>
                <c:pt idx="230">
                  <c:v>2820054.919495834</c:v>
                </c:pt>
                <c:pt idx="231">
                  <c:v>2820054.919495834</c:v>
                </c:pt>
                <c:pt idx="232">
                  <c:v>2820054.919495834</c:v>
                </c:pt>
                <c:pt idx="233">
                  <c:v>2820054.919495834</c:v>
                </c:pt>
                <c:pt idx="234">
                  <c:v>2820054.919495834</c:v>
                </c:pt>
                <c:pt idx="235">
                  <c:v>2820054.919495834</c:v>
                </c:pt>
                <c:pt idx="236">
                  <c:v>2820054.919495834</c:v>
                </c:pt>
                <c:pt idx="237">
                  <c:v>2820054.919495834</c:v>
                </c:pt>
                <c:pt idx="238">
                  <c:v>2820054.919495834</c:v>
                </c:pt>
                <c:pt idx="239">
                  <c:v>2820054.919495834</c:v>
                </c:pt>
                <c:pt idx="240">
                  <c:v>2820054.919495834</c:v>
                </c:pt>
                <c:pt idx="241">
                  <c:v>2820054.919495834</c:v>
                </c:pt>
                <c:pt idx="242">
                  <c:v>2820054.919495834</c:v>
                </c:pt>
                <c:pt idx="243">
                  <c:v>2820054.919495834</c:v>
                </c:pt>
                <c:pt idx="244">
                  <c:v>2820054.919495834</c:v>
                </c:pt>
                <c:pt idx="245">
                  <c:v>2820054.919495834</c:v>
                </c:pt>
                <c:pt idx="246">
                  <c:v>2820054.919495834</c:v>
                </c:pt>
                <c:pt idx="247">
                  <c:v>2820054.919495834</c:v>
                </c:pt>
                <c:pt idx="248">
                  <c:v>2820054.919495834</c:v>
                </c:pt>
                <c:pt idx="249">
                  <c:v>2820054.919495834</c:v>
                </c:pt>
                <c:pt idx="250">
                  <c:v>2820054.919495834</c:v>
                </c:pt>
                <c:pt idx="251">
                  <c:v>2820054.919495834</c:v>
                </c:pt>
                <c:pt idx="252">
                  <c:v>2820054.919495834</c:v>
                </c:pt>
                <c:pt idx="253">
                  <c:v>2820054.919495834</c:v>
                </c:pt>
                <c:pt idx="254">
                  <c:v>2820054.919495834</c:v>
                </c:pt>
                <c:pt idx="255">
                  <c:v>2820054.919495834</c:v>
                </c:pt>
                <c:pt idx="256">
                  <c:v>2820054.919495834</c:v>
                </c:pt>
                <c:pt idx="257">
                  <c:v>2820054.919495834</c:v>
                </c:pt>
                <c:pt idx="258">
                  <c:v>2820054.919495834</c:v>
                </c:pt>
                <c:pt idx="259">
                  <c:v>2820054.919495834</c:v>
                </c:pt>
                <c:pt idx="260">
                  <c:v>2820054.919495834</c:v>
                </c:pt>
                <c:pt idx="261">
                  <c:v>2820054.919495834</c:v>
                </c:pt>
                <c:pt idx="262">
                  <c:v>2820054.919495834</c:v>
                </c:pt>
                <c:pt idx="263">
                  <c:v>2820054.919495834</c:v>
                </c:pt>
                <c:pt idx="264">
                  <c:v>2820054.919495834</c:v>
                </c:pt>
                <c:pt idx="265">
                  <c:v>2820054.919495834</c:v>
                </c:pt>
                <c:pt idx="266">
                  <c:v>2820054.919495834</c:v>
                </c:pt>
                <c:pt idx="267">
                  <c:v>2820054.919495834</c:v>
                </c:pt>
                <c:pt idx="268">
                  <c:v>2820054.919495834</c:v>
                </c:pt>
                <c:pt idx="269">
                  <c:v>2820054.919495834</c:v>
                </c:pt>
                <c:pt idx="270">
                  <c:v>2820054.919495834</c:v>
                </c:pt>
                <c:pt idx="271">
                  <c:v>2820054.919495834</c:v>
                </c:pt>
                <c:pt idx="272">
                  <c:v>2820054.919495834</c:v>
                </c:pt>
                <c:pt idx="273">
                  <c:v>2820054.919495834</c:v>
                </c:pt>
                <c:pt idx="274">
                  <c:v>2820054.919495834</c:v>
                </c:pt>
                <c:pt idx="275">
                  <c:v>2820054.919495834</c:v>
                </c:pt>
                <c:pt idx="276">
                  <c:v>2820054.919495834</c:v>
                </c:pt>
                <c:pt idx="277">
                  <c:v>2820054.919495834</c:v>
                </c:pt>
                <c:pt idx="278">
                  <c:v>2820054.919495834</c:v>
                </c:pt>
                <c:pt idx="279">
                  <c:v>2820054.919495834</c:v>
                </c:pt>
                <c:pt idx="280">
                  <c:v>2820054.919495834</c:v>
                </c:pt>
                <c:pt idx="281">
                  <c:v>2820054.919495834</c:v>
                </c:pt>
                <c:pt idx="282">
                  <c:v>2820054.919495834</c:v>
                </c:pt>
                <c:pt idx="283">
                  <c:v>2820054.919495834</c:v>
                </c:pt>
                <c:pt idx="284">
                  <c:v>2820054.919495834</c:v>
                </c:pt>
                <c:pt idx="285">
                  <c:v>2820054.919495834</c:v>
                </c:pt>
                <c:pt idx="286">
                  <c:v>2820054.919495834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792658.9</c:v>
                </c:pt>
                <c:pt idx="13">
                  <c:v>957983.9</c:v>
                </c:pt>
                <c:pt idx="14">
                  <c:v>1263290.6400000001</c:v>
                </c:pt>
                <c:pt idx="15">
                  <c:v>1263290.6400000001</c:v>
                </c:pt>
                <c:pt idx="16">
                  <c:v>1716810.6400000001</c:v>
                </c:pt>
                <c:pt idx="17">
                  <c:v>1716810.6400000001</c:v>
                </c:pt>
                <c:pt idx="18">
                  <c:v>1716810.6400000001</c:v>
                </c:pt>
                <c:pt idx="19">
                  <c:v>2278170.85</c:v>
                </c:pt>
                <c:pt idx="20">
                  <c:v>2278170.85</c:v>
                </c:pt>
                <c:pt idx="21">
                  <c:v>2278170.85</c:v>
                </c:pt>
                <c:pt idx="22">
                  <c:v>2278170.85</c:v>
                </c:pt>
                <c:pt idx="23">
                  <c:v>2278170.85</c:v>
                </c:pt>
                <c:pt idx="24">
                  <c:v>2278170.85</c:v>
                </c:pt>
                <c:pt idx="25">
                  <c:v>2278170.85</c:v>
                </c:pt>
                <c:pt idx="26">
                  <c:v>2278170.85</c:v>
                </c:pt>
                <c:pt idx="27">
                  <c:v>2278170.85</c:v>
                </c:pt>
                <c:pt idx="28">
                  <c:v>2278170.85</c:v>
                </c:pt>
                <c:pt idx="29">
                  <c:v>2278170.85</c:v>
                </c:pt>
                <c:pt idx="30">
                  <c:v>2278170.85</c:v>
                </c:pt>
                <c:pt idx="31">
                  <c:v>2278170.85</c:v>
                </c:pt>
                <c:pt idx="32">
                  <c:v>2278170.85</c:v>
                </c:pt>
                <c:pt idx="33">
                  <c:v>2278170.85</c:v>
                </c:pt>
                <c:pt idx="34">
                  <c:v>2278170.85</c:v>
                </c:pt>
                <c:pt idx="35">
                  <c:v>2278170.85</c:v>
                </c:pt>
                <c:pt idx="36">
                  <c:v>2278170.85</c:v>
                </c:pt>
                <c:pt idx="37">
                  <c:v>2278170.85</c:v>
                </c:pt>
                <c:pt idx="38">
                  <c:v>2278170.85</c:v>
                </c:pt>
                <c:pt idx="39">
                  <c:v>2278170.85</c:v>
                </c:pt>
                <c:pt idx="40">
                  <c:v>2278170.85</c:v>
                </c:pt>
                <c:pt idx="41">
                  <c:v>2278170.85</c:v>
                </c:pt>
                <c:pt idx="42">
                  <c:v>2278170.85</c:v>
                </c:pt>
                <c:pt idx="43">
                  <c:v>2278170.85</c:v>
                </c:pt>
                <c:pt idx="44">
                  <c:v>2278170.85</c:v>
                </c:pt>
                <c:pt idx="45">
                  <c:v>2278170.85</c:v>
                </c:pt>
                <c:pt idx="46">
                  <c:v>2278170.85</c:v>
                </c:pt>
                <c:pt idx="47">
                  <c:v>2278170.85</c:v>
                </c:pt>
                <c:pt idx="48">
                  <c:v>2278170.85</c:v>
                </c:pt>
                <c:pt idx="49">
                  <c:v>2278170.85</c:v>
                </c:pt>
                <c:pt idx="50">
                  <c:v>2278170.85</c:v>
                </c:pt>
                <c:pt idx="51">
                  <c:v>2278170.85</c:v>
                </c:pt>
                <c:pt idx="52">
                  <c:v>2278170.85</c:v>
                </c:pt>
                <c:pt idx="53">
                  <c:v>2278170.85</c:v>
                </c:pt>
                <c:pt idx="54">
                  <c:v>2278170.85</c:v>
                </c:pt>
                <c:pt idx="55">
                  <c:v>2278170.85</c:v>
                </c:pt>
                <c:pt idx="56">
                  <c:v>2278170.85</c:v>
                </c:pt>
                <c:pt idx="57">
                  <c:v>2278170.85</c:v>
                </c:pt>
                <c:pt idx="58">
                  <c:v>2278170.85</c:v>
                </c:pt>
                <c:pt idx="59">
                  <c:v>2278170.85</c:v>
                </c:pt>
                <c:pt idx="60">
                  <c:v>2278170.85</c:v>
                </c:pt>
                <c:pt idx="61">
                  <c:v>2278170.85</c:v>
                </c:pt>
                <c:pt idx="62">
                  <c:v>2278170.85</c:v>
                </c:pt>
                <c:pt idx="63">
                  <c:v>2278170.85</c:v>
                </c:pt>
                <c:pt idx="64">
                  <c:v>2278170.85</c:v>
                </c:pt>
                <c:pt idx="65">
                  <c:v>2278170.85</c:v>
                </c:pt>
                <c:pt idx="66">
                  <c:v>2278170.85</c:v>
                </c:pt>
                <c:pt idx="67">
                  <c:v>2278170.85</c:v>
                </c:pt>
                <c:pt idx="68">
                  <c:v>2278170.85</c:v>
                </c:pt>
                <c:pt idx="69">
                  <c:v>2278170.85</c:v>
                </c:pt>
                <c:pt idx="70">
                  <c:v>2278170.85</c:v>
                </c:pt>
                <c:pt idx="71">
                  <c:v>2278170.85</c:v>
                </c:pt>
                <c:pt idx="72">
                  <c:v>2278170.85</c:v>
                </c:pt>
                <c:pt idx="73">
                  <c:v>2278170.85</c:v>
                </c:pt>
                <c:pt idx="74">
                  <c:v>2278170.85</c:v>
                </c:pt>
                <c:pt idx="75">
                  <c:v>2278170.85</c:v>
                </c:pt>
                <c:pt idx="76">
                  <c:v>2278170.85</c:v>
                </c:pt>
                <c:pt idx="77">
                  <c:v>2278170.85</c:v>
                </c:pt>
                <c:pt idx="78">
                  <c:v>2278170.85</c:v>
                </c:pt>
                <c:pt idx="79">
                  <c:v>2278170.85</c:v>
                </c:pt>
                <c:pt idx="80">
                  <c:v>2278170.85</c:v>
                </c:pt>
                <c:pt idx="81">
                  <c:v>2278170.85</c:v>
                </c:pt>
                <c:pt idx="82">
                  <c:v>2278170.85</c:v>
                </c:pt>
                <c:pt idx="83">
                  <c:v>2278170.85</c:v>
                </c:pt>
                <c:pt idx="84">
                  <c:v>2278170.85</c:v>
                </c:pt>
                <c:pt idx="85">
                  <c:v>2278170.85</c:v>
                </c:pt>
                <c:pt idx="86">
                  <c:v>2278170.85</c:v>
                </c:pt>
                <c:pt idx="87">
                  <c:v>2278170.85</c:v>
                </c:pt>
                <c:pt idx="88">
                  <c:v>2278170.85</c:v>
                </c:pt>
                <c:pt idx="89">
                  <c:v>2278170.85</c:v>
                </c:pt>
                <c:pt idx="90">
                  <c:v>2278170.85</c:v>
                </c:pt>
                <c:pt idx="91">
                  <c:v>2278170.85</c:v>
                </c:pt>
                <c:pt idx="92">
                  <c:v>2278170.85</c:v>
                </c:pt>
                <c:pt idx="93">
                  <c:v>2278170.85</c:v>
                </c:pt>
                <c:pt idx="94">
                  <c:v>2278170.85</c:v>
                </c:pt>
                <c:pt idx="95">
                  <c:v>2278170.85</c:v>
                </c:pt>
                <c:pt idx="96">
                  <c:v>2278170.85</c:v>
                </c:pt>
                <c:pt idx="97">
                  <c:v>2278170.85</c:v>
                </c:pt>
                <c:pt idx="98">
                  <c:v>2278170.85</c:v>
                </c:pt>
                <c:pt idx="99">
                  <c:v>2278170.85</c:v>
                </c:pt>
                <c:pt idx="100">
                  <c:v>2278170.85</c:v>
                </c:pt>
                <c:pt idx="101">
                  <c:v>2278170.85</c:v>
                </c:pt>
                <c:pt idx="102">
                  <c:v>2278170.85</c:v>
                </c:pt>
                <c:pt idx="103">
                  <c:v>2278170.85</c:v>
                </c:pt>
                <c:pt idx="104">
                  <c:v>2278170.85</c:v>
                </c:pt>
                <c:pt idx="105">
                  <c:v>2278170.85</c:v>
                </c:pt>
                <c:pt idx="106">
                  <c:v>2278170.85</c:v>
                </c:pt>
                <c:pt idx="107">
                  <c:v>2278170.85</c:v>
                </c:pt>
                <c:pt idx="108">
                  <c:v>2278170.85</c:v>
                </c:pt>
                <c:pt idx="109">
                  <c:v>2278170.85</c:v>
                </c:pt>
                <c:pt idx="110">
                  <c:v>2278170.85</c:v>
                </c:pt>
                <c:pt idx="111">
                  <c:v>2278170.85</c:v>
                </c:pt>
                <c:pt idx="112">
                  <c:v>2278170.85</c:v>
                </c:pt>
                <c:pt idx="113">
                  <c:v>2278170.85</c:v>
                </c:pt>
                <c:pt idx="114">
                  <c:v>2278170.85</c:v>
                </c:pt>
                <c:pt idx="115">
                  <c:v>2278170.85</c:v>
                </c:pt>
                <c:pt idx="116">
                  <c:v>2278170.85</c:v>
                </c:pt>
                <c:pt idx="117">
                  <c:v>2278170.85</c:v>
                </c:pt>
                <c:pt idx="118">
                  <c:v>2278170.85</c:v>
                </c:pt>
                <c:pt idx="119">
                  <c:v>2278170.85</c:v>
                </c:pt>
                <c:pt idx="120">
                  <c:v>2278170.85</c:v>
                </c:pt>
                <c:pt idx="121">
                  <c:v>2278170.85</c:v>
                </c:pt>
                <c:pt idx="122">
                  <c:v>2278170.85</c:v>
                </c:pt>
                <c:pt idx="123">
                  <c:v>2278170.85</c:v>
                </c:pt>
                <c:pt idx="124">
                  <c:v>2278170.85</c:v>
                </c:pt>
                <c:pt idx="125">
                  <c:v>2278170.85</c:v>
                </c:pt>
                <c:pt idx="126">
                  <c:v>2278170.85</c:v>
                </c:pt>
                <c:pt idx="127">
                  <c:v>2278170.85</c:v>
                </c:pt>
                <c:pt idx="128">
                  <c:v>2278170.85</c:v>
                </c:pt>
                <c:pt idx="129">
                  <c:v>2278170.85</c:v>
                </c:pt>
                <c:pt idx="130">
                  <c:v>2278170.85</c:v>
                </c:pt>
                <c:pt idx="131">
                  <c:v>2278170.85</c:v>
                </c:pt>
                <c:pt idx="132">
                  <c:v>2278170.85</c:v>
                </c:pt>
                <c:pt idx="133">
                  <c:v>2278170.85</c:v>
                </c:pt>
                <c:pt idx="134">
                  <c:v>2278170.85</c:v>
                </c:pt>
                <c:pt idx="135">
                  <c:v>2278170.85</c:v>
                </c:pt>
                <c:pt idx="136">
                  <c:v>2278170.85</c:v>
                </c:pt>
                <c:pt idx="137">
                  <c:v>2278170.85</c:v>
                </c:pt>
                <c:pt idx="138">
                  <c:v>2278170.85</c:v>
                </c:pt>
                <c:pt idx="139">
                  <c:v>2278170.85</c:v>
                </c:pt>
                <c:pt idx="140">
                  <c:v>2278170.85</c:v>
                </c:pt>
                <c:pt idx="141">
                  <c:v>2278170.85</c:v>
                </c:pt>
                <c:pt idx="142">
                  <c:v>2278170.85</c:v>
                </c:pt>
                <c:pt idx="143">
                  <c:v>2278170.85</c:v>
                </c:pt>
                <c:pt idx="144">
                  <c:v>2278170.85</c:v>
                </c:pt>
                <c:pt idx="145">
                  <c:v>2278170.85</c:v>
                </c:pt>
                <c:pt idx="146">
                  <c:v>2278170.85</c:v>
                </c:pt>
                <c:pt idx="147">
                  <c:v>2278170.85</c:v>
                </c:pt>
                <c:pt idx="148">
                  <c:v>2278170.85</c:v>
                </c:pt>
                <c:pt idx="149">
                  <c:v>2278170.85</c:v>
                </c:pt>
                <c:pt idx="150">
                  <c:v>2278170.85</c:v>
                </c:pt>
                <c:pt idx="151">
                  <c:v>2278170.85</c:v>
                </c:pt>
                <c:pt idx="152">
                  <c:v>2278170.85</c:v>
                </c:pt>
                <c:pt idx="153">
                  <c:v>2278170.85</c:v>
                </c:pt>
                <c:pt idx="154">
                  <c:v>2278170.85</c:v>
                </c:pt>
                <c:pt idx="155">
                  <c:v>2278170.85</c:v>
                </c:pt>
                <c:pt idx="156">
                  <c:v>2278170.85</c:v>
                </c:pt>
                <c:pt idx="157">
                  <c:v>2278170.85</c:v>
                </c:pt>
                <c:pt idx="158">
                  <c:v>2278170.85</c:v>
                </c:pt>
                <c:pt idx="159">
                  <c:v>2278170.85</c:v>
                </c:pt>
                <c:pt idx="160">
                  <c:v>2278170.85</c:v>
                </c:pt>
                <c:pt idx="161">
                  <c:v>2278170.85</c:v>
                </c:pt>
                <c:pt idx="162">
                  <c:v>2278170.85</c:v>
                </c:pt>
                <c:pt idx="163">
                  <c:v>2278170.85</c:v>
                </c:pt>
                <c:pt idx="164">
                  <c:v>2278170.85</c:v>
                </c:pt>
                <c:pt idx="165">
                  <c:v>2278170.85</c:v>
                </c:pt>
                <c:pt idx="166">
                  <c:v>2278170.85</c:v>
                </c:pt>
                <c:pt idx="167">
                  <c:v>2278170.85</c:v>
                </c:pt>
                <c:pt idx="168">
                  <c:v>2278170.85</c:v>
                </c:pt>
                <c:pt idx="169">
                  <c:v>2278170.85</c:v>
                </c:pt>
                <c:pt idx="170">
                  <c:v>2278170.85</c:v>
                </c:pt>
                <c:pt idx="171">
                  <c:v>2278170.85</c:v>
                </c:pt>
                <c:pt idx="172">
                  <c:v>2278170.85</c:v>
                </c:pt>
                <c:pt idx="173">
                  <c:v>2278170.85</c:v>
                </c:pt>
                <c:pt idx="174">
                  <c:v>2278170.85</c:v>
                </c:pt>
                <c:pt idx="175">
                  <c:v>2278170.85</c:v>
                </c:pt>
                <c:pt idx="176">
                  <c:v>2278170.85</c:v>
                </c:pt>
                <c:pt idx="177">
                  <c:v>2278170.85</c:v>
                </c:pt>
                <c:pt idx="178">
                  <c:v>2278170.85</c:v>
                </c:pt>
                <c:pt idx="179">
                  <c:v>2278170.85</c:v>
                </c:pt>
                <c:pt idx="180">
                  <c:v>2278170.85</c:v>
                </c:pt>
                <c:pt idx="181">
                  <c:v>2278170.85</c:v>
                </c:pt>
                <c:pt idx="182">
                  <c:v>2278170.85</c:v>
                </c:pt>
                <c:pt idx="183">
                  <c:v>2278170.85</c:v>
                </c:pt>
                <c:pt idx="184">
                  <c:v>2278170.85</c:v>
                </c:pt>
                <c:pt idx="185">
                  <c:v>2278170.85</c:v>
                </c:pt>
                <c:pt idx="186">
                  <c:v>2278170.85</c:v>
                </c:pt>
                <c:pt idx="187">
                  <c:v>2278170.85</c:v>
                </c:pt>
                <c:pt idx="188">
                  <c:v>2278170.85</c:v>
                </c:pt>
                <c:pt idx="189">
                  <c:v>2278170.85</c:v>
                </c:pt>
                <c:pt idx="190">
                  <c:v>2278170.85</c:v>
                </c:pt>
                <c:pt idx="191">
                  <c:v>2278170.85</c:v>
                </c:pt>
                <c:pt idx="192">
                  <c:v>2278170.85</c:v>
                </c:pt>
                <c:pt idx="193">
                  <c:v>2278170.85</c:v>
                </c:pt>
                <c:pt idx="194">
                  <c:v>2278170.85</c:v>
                </c:pt>
                <c:pt idx="195">
                  <c:v>2278170.85</c:v>
                </c:pt>
                <c:pt idx="196">
                  <c:v>2278170.85</c:v>
                </c:pt>
                <c:pt idx="197">
                  <c:v>2278170.85</c:v>
                </c:pt>
                <c:pt idx="198">
                  <c:v>2278170.85</c:v>
                </c:pt>
                <c:pt idx="199">
                  <c:v>2278170.85</c:v>
                </c:pt>
                <c:pt idx="200">
                  <c:v>2278170.85</c:v>
                </c:pt>
                <c:pt idx="201">
                  <c:v>2278170.85</c:v>
                </c:pt>
                <c:pt idx="202">
                  <c:v>2278170.85</c:v>
                </c:pt>
                <c:pt idx="203">
                  <c:v>2278170.85</c:v>
                </c:pt>
                <c:pt idx="204">
                  <c:v>2278170.85</c:v>
                </c:pt>
                <c:pt idx="205">
                  <c:v>2278170.85</c:v>
                </c:pt>
                <c:pt idx="206">
                  <c:v>2278170.85</c:v>
                </c:pt>
                <c:pt idx="207">
                  <c:v>2278170.85</c:v>
                </c:pt>
                <c:pt idx="208">
                  <c:v>2278170.85</c:v>
                </c:pt>
                <c:pt idx="209">
                  <c:v>2278170.85</c:v>
                </c:pt>
                <c:pt idx="210">
                  <c:v>2278170.85</c:v>
                </c:pt>
                <c:pt idx="211">
                  <c:v>2278170.85</c:v>
                </c:pt>
                <c:pt idx="212">
                  <c:v>2278170.85</c:v>
                </c:pt>
                <c:pt idx="213">
                  <c:v>2278170.85</c:v>
                </c:pt>
                <c:pt idx="214">
                  <c:v>2278170.85</c:v>
                </c:pt>
                <c:pt idx="215">
                  <c:v>2278170.85</c:v>
                </c:pt>
                <c:pt idx="216">
                  <c:v>2278170.85</c:v>
                </c:pt>
                <c:pt idx="217">
                  <c:v>2278170.85</c:v>
                </c:pt>
                <c:pt idx="218">
                  <c:v>2278170.85</c:v>
                </c:pt>
                <c:pt idx="219">
                  <c:v>2278170.85</c:v>
                </c:pt>
                <c:pt idx="220">
                  <c:v>2278170.85</c:v>
                </c:pt>
                <c:pt idx="221">
                  <c:v>2278170.85</c:v>
                </c:pt>
                <c:pt idx="222">
                  <c:v>2278170.85</c:v>
                </c:pt>
                <c:pt idx="223">
                  <c:v>2278170.85</c:v>
                </c:pt>
                <c:pt idx="224">
                  <c:v>2278170.85</c:v>
                </c:pt>
                <c:pt idx="225">
                  <c:v>2278170.85</c:v>
                </c:pt>
                <c:pt idx="226">
                  <c:v>2278170.85</c:v>
                </c:pt>
                <c:pt idx="227">
                  <c:v>2278170.85</c:v>
                </c:pt>
                <c:pt idx="228">
                  <c:v>2278170.85</c:v>
                </c:pt>
                <c:pt idx="229">
                  <c:v>2278170.85</c:v>
                </c:pt>
                <c:pt idx="230">
                  <c:v>2278170.85</c:v>
                </c:pt>
                <c:pt idx="231">
                  <c:v>2278170.85</c:v>
                </c:pt>
                <c:pt idx="232">
                  <c:v>2278170.85</c:v>
                </c:pt>
                <c:pt idx="233">
                  <c:v>2278170.85</c:v>
                </c:pt>
                <c:pt idx="234">
                  <c:v>2278170.85</c:v>
                </c:pt>
                <c:pt idx="235">
                  <c:v>2278170.85</c:v>
                </c:pt>
                <c:pt idx="236">
                  <c:v>2278170.85</c:v>
                </c:pt>
                <c:pt idx="237">
                  <c:v>2278170.85</c:v>
                </c:pt>
                <c:pt idx="238">
                  <c:v>2278170.85</c:v>
                </c:pt>
                <c:pt idx="239">
                  <c:v>2278170.85</c:v>
                </c:pt>
                <c:pt idx="240">
                  <c:v>2278170.85</c:v>
                </c:pt>
                <c:pt idx="241">
                  <c:v>2278170.85</c:v>
                </c:pt>
                <c:pt idx="242">
                  <c:v>2278170.85</c:v>
                </c:pt>
                <c:pt idx="243">
                  <c:v>2278170.85</c:v>
                </c:pt>
                <c:pt idx="244">
                  <c:v>2278170.85</c:v>
                </c:pt>
                <c:pt idx="245">
                  <c:v>2278170.85</c:v>
                </c:pt>
                <c:pt idx="246">
                  <c:v>2278170.85</c:v>
                </c:pt>
                <c:pt idx="247">
                  <c:v>2278170.85</c:v>
                </c:pt>
                <c:pt idx="248">
                  <c:v>2278170.85</c:v>
                </c:pt>
                <c:pt idx="249">
                  <c:v>2278170.85</c:v>
                </c:pt>
                <c:pt idx="250">
                  <c:v>2278170.85</c:v>
                </c:pt>
                <c:pt idx="251">
                  <c:v>2278170.85</c:v>
                </c:pt>
                <c:pt idx="252">
                  <c:v>2278170.85</c:v>
                </c:pt>
                <c:pt idx="253">
                  <c:v>2278170.85</c:v>
                </c:pt>
                <c:pt idx="254">
                  <c:v>2278170.85</c:v>
                </c:pt>
                <c:pt idx="255">
                  <c:v>2278170.85</c:v>
                </c:pt>
                <c:pt idx="256">
                  <c:v>2278170.85</c:v>
                </c:pt>
                <c:pt idx="257">
                  <c:v>2278170.85</c:v>
                </c:pt>
                <c:pt idx="258">
                  <c:v>2278170.85</c:v>
                </c:pt>
                <c:pt idx="259">
                  <c:v>2278170.85</c:v>
                </c:pt>
                <c:pt idx="260">
                  <c:v>2278170.85</c:v>
                </c:pt>
                <c:pt idx="261">
                  <c:v>2278170.85</c:v>
                </c:pt>
                <c:pt idx="262">
                  <c:v>2278170.85</c:v>
                </c:pt>
                <c:pt idx="263">
                  <c:v>2278170.85</c:v>
                </c:pt>
                <c:pt idx="264">
                  <c:v>2278170.85</c:v>
                </c:pt>
                <c:pt idx="265">
                  <c:v>2278170.85</c:v>
                </c:pt>
                <c:pt idx="266">
                  <c:v>2278170.85</c:v>
                </c:pt>
                <c:pt idx="267">
                  <c:v>2278170.85</c:v>
                </c:pt>
                <c:pt idx="268">
                  <c:v>2278170.85</c:v>
                </c:pt>
                <c:pt idx="269">
                  <c:v>2278170.85</c:v>
                </c:pt>
                <c:pt idx="270">
                  <c:v>2278170.85</c:v>
                </c:pt>
                <c:pt idx="271">
                  <c:v>2278170.85</c:v>
                </c:pt>
                <c:pt idx="272">
                  <c:v>2278170.85</c:v>
                </c:pt>
                <c:pt idx="273">
                  <c:v>2278170.85</c:v>
                </c:pt>
                <c:pt idx="274">
                  <c:v>2278170.85</c:v>
                </c:pt>
                <c:pt idx="275">
                  <c:v>2278170.85</c:v>
                </c:pt>
                <c:pt idx="276">
                  <c:v>2278170.85</c:v>
                </c:pt>
                <c:pt idx="277">
                  <c:v>2278170.85</c:v>
                </c:pt>
                <c:pt idx="278">
                  <c:v>2278170.85</c:v>
                </c:pt>
                <c:pt idx="279">
                  <c:v>2278170.85</c:v>
                </c:pt>
                <c:pt idx="280">
                  <c:v>2278170.85</c:v>
                </c:pt>
                <c:pt idx="281">
                  <c:v>2278170.85</c:v>
                </c:pt>
                <c:pt idx="282">
                  <c:v>2278170.85</c:v>
                </c:pt>
                <c:pt idx="283">
                  <c:v>2278170.85</c:v>
                </c:pt>
                <c:pt idx="284">
                  <c:v>2278170.85</c:v>
                </c:pt>
                <c:pt idx="285">
                  <c:v>2278170.85</c:v>
                </c:pt>
                <c:pt idx="286">
                  <c:v>2278170.85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58084.447500000002</c:v>
                </c:pt>
                <c:pt idx="9">
                  <c:v>1135808.8655000001</c:v>
                </c:pt>
                <c:pt idx="10">
                  <c:v>1321679.0975000001</c:v>
                </c:pt>
                <c:pt idx="11">
                  <c:v>1725485.7825000002</c:v>
                </c:pt>
                <c:pt idx="12">
                  <c:v>1687924.7000000007</c:v>
                </c:pt>
                <c:pt idx="13">
                  <c:v>1670300.6094958344</c:v>
                </c:pt>
                <c:pt idx="14">
                  <c:v>1494070.419495834</c:v>
                </c:pt>
                <c:pt idx="15">
                  <c:v>1494070.419495834</c:v>
                </c:pt>
                <c:pt idx="16">
                  <c:v>1040550.419495834</c:v>
                </c:pt>
                <c:pt idx="17">
                  <c:v>1040550.419495834</c:v>
                </c:pt>
                <c:pt idx="18">
                  <c:v>1040550.419495834</c:v>
                </c:pt>
                <c:pt idx="19">
                  <c:v>479190.20949583407</c:v>
                </c:pt>
                <c:pt idx="20">
                  <c:v>479190.20949583407</c:v>
                </c:pt>
                <c:pt idx="21">
                  <c:v>479190.20949583407</c:v>
                </c:pt>
                <c:pt idx="22">
                  <c:v>479190.20949583407</c:v>
                </c:pt>
                <c:pt idx="23">
                  <c:v>479190.20949583407</c:v>
                </c:pt>
                <c:pt idx="24">
                  <c:v>479190.20949583407</c:v>
                </c:pt>
                <c:pt idx="25">
                  <c:v>479190.20949583407</c:v>
                </c:pt>
                <c:pt idx="26">
                  <c:v>479190.20949583407</c:v>
                </c:pt>
                <c:pt idx="27">
                  <c:v>541884.06949583394</c:v>
                </c:pt>
                <c:pt idx="28">
                  <c:v>541884.06949583394</c:v>
                </c:pt>
                <c:pt idx="29">
                  <c:v>541884.06949583394</c:v>
                </c:pt>
                <c:pt idx="30">
                  <c:v>541884.06949583394</c:v>
                </c:pt>
                <c:pt idx="31">
                  <c:v>541884.06949583394</c:v>
                </c:pt>
                <c:pt idx="32">
                  <c:v>541884.06949583394</c:v>
                </c:pt>
                <c:pt idx="33">
                  <c:v>541884.06949583394</c:v>
                </c:pt>
                <c:pt idx="34">
                  <c:v>541884.06949583394</c:v>
                </c:pt>
                <c:pt idx="35">
                  <c:v>541884.06949583394</c:v>
                </c:pt>
                <c:pt idx="36">
                  <c:v>541884.06949583394</c:v>
                </c:pt>
                <c:pt idx="37">
                  <c:v>541884.06949583394</c:v>
                </c:pt>
                <c:pt idx="38">
                  <c:v>541884.06949583394</c:v>
                </c:pt>
                <c:pt idx="39">
                  <c:v>541884.06949583394</c:v>
                </c:pt>
                <c:pt idx="40">
                  <c:v>541884.06949583394</c:v>
                </c:pt>
                <c:pt idx="41">
                  <c:v>541884.06949583394</c:v>
                </c:pt>
                <c:pt idx="42">
                  <c:v>541884.06949583394</c:v>
                </c:pt>
                <c:pt idx="43">
                  <c:v>541884.06949583394</c:v>
                </c:pt>
                <c:pt idx="44">
                  <c:v>541884.06949583394</c:v>
                </c:pt>
                <c:pt idx="45">
                  <c:v>541884.06949583394</c:v>
                </c:pt>
                <c:pt idx="46">
                  <c:v>541884.06949583394</c:v>
                </c:pt>
                <c:pt idx="47">
                  <c:v>541884.06949583394</c:v>
                </c:pt>
                <c:pt idx="48">
                  <c:v>541884.06949583394</c:v>
                </c:pt>
                <c:pt idx="49">
                  <c:v>541884.06949583394</c:v>
                </c:pt>
                <c:pt idx="50">
                  <c:v>541884.06949583394</c:v>
                </c:pt>
                <c:pt idx="51">
                  <c:v>541884.06949583394</c:v>
                </c:pt>
                <c:pt idx="52">
                  <c:v>541884.06949583394</c:v>
                </c:pt>
                <c:pt idx="53">
                  <c:v>541884.06949583394</c:v>
                </c:pt>
                <c:pt idx="54">
                  <c:v>541884.06949583394</c:v>
                </c:pt>
                <c:pt idx="55">
                  <c:v>541884.06949583394</c:v>
                </c:pt>
                <c:pt idx="56">
                  <c:v>541884.06949583394</c:v>
                </c:pt>
                <c:pt idx="57">
                  <c:v>541884.06949583394</c:v>
                </c:pt>
                <c:pt idx="58">
                  <c:v>541884.06949583394</c:v>
                </c:pt>
                <c:pt idx="59">
                  <c:v>541884.06949583394</c:v>
                </c:pt>
                <c:pt idx="60">
                  <c:v>541884.06949583394</c:v>
                </c:pt>
                <c:pt idx="61">
                  <c:v>541884.06949583394</c:v>
                </c:pt>
                <c:pt idx="62">
                  <c:v>541884.06949583394</c:v>
                </c:pt>
                <c:pt idx="63">
                  <c:v>541884.06949583394</c:v>
                </c:pt>
                <c:pt idx="64">
                  <c:v>541884.06949583394</c:v>
                </c:pt>
                <c:pt idx="65">
                  <c:v>541884.06949583394</c:v>
                </c:pt>
                <c:pt idx="66">
                  <c:v>541884.06949583394</c:v>
                </c:pt>
                <c:pt idx="67">
                  <c:v>541884.06949583394</c:v>
                </c:pt>
                <c:pt idx="68">
                  <c:v>541884.06949583394</c:v>
                </c:pt>
                <c:pt idx="69">
                  <c:v>541884.06949583394</c:v>
                </c:pt>
                <c:pt idx="70">
                  <c:v>541884.06949583394</c:v>
                </c:pt>
                <c:pt idx="71">
                  <c:v>541884.06949583394</c:v>
                </c:pt>
                <c:pt idx="72">
                  <c:v>541884.06949583394</c:v>
                </c:pt>
                <c:pt idx="73">
                  <c:v>541884.06949583394</c:v>
                </c:pt>
                <c:pt idx="74">
                  <c:v>541884.06949583394</c:v>
                </c:pt>
                <c:pt idx="75">
                  <c:v>541884.06949583394</c:v>
                </c:pt>
                <c:pt idx="76">
                  <c:v>541884.06949583394</c:v>
                </c:pt>
                <c:pt idx="77">
                  <c:v>541884.06949583394</c:v>
                </c:pt>
                <c:pt idx="78">
                  <c:v>541884.06949583394</c:v>
                </c:pt>
                <c:pt idx="79">
                  <c:v>541884.06949583394</c:v>
                </c:pt>
                <c:pt idx="80">
                  <c:v>541884.06949583394</c:v>
                </c:pt>
                <c:pt idx="81">
                  <c:v>541884.06949583394</c:v>
                </c:pt>
                <c:pt idx="82">
                  <c:v>541884.06949583394</c:v>
                </c:pt>
                <c:pt idx="83">
                  <c:v>541884.06949583394</c:v>
                </c:pt>
                <c:pt idx="84">
                  <c:v>541884.06949583394</c:v>
                </c:pt>
                <c:pt idx="85">
                  <c:v>541884.06949583394</c:v>
                </c:pt>
                <c:pt idx="86">
                  <c:v>541884.06949583394</c:v>
                </c:pt>
                <c:pt idx="87">
                  <c:v>541884.06949583394</c:v>
                </c:pt>
                <c:pt idx="88">
                  <c:v>541884.06949583394</c:v>
                </c:pt>
                <c:pt idx="89">
                  <c:v>541884.06949583394</c:v>
                </c:pt>
                <c:pt idx="90">
                  <c:v>541884.06949583394</c:v>
                </c:pt>
                <c:pt idx="91">
                  <c:v>541884.06949583394</c:v>
                </c:pt>
                <c:pt idx="92">
                  <c:v>541884.06949583394</c:v>
                </c:pt>
                <c:pt idx="93">
                  <c:v>541884.06949583394</c:v>
                </c:pt>
                <c:pt idx="94">
                  <c:v>541884.06949583394</c:v>
                </c:pt>
                <c:pt idx="95">
                  <c:v>541884.06949583394</c:v>
                </c:pt>
                <c:pt idx="96">
                  <c:v>541884.06949583394</c:v>
                </c:pt>
                <c:pt idx="97">
                  <c:v>541884.06949583394</c:v>
                </c:pt>
                <c:pt idx="98">
                  <c:v>541884.06949583394</c:v>
                </c:pt>
                <c:pt idx="99">
                  <c:v>541884.06949583394</c:v>
                </c:pt>
                <c:pt idx="100">
                  <c:v>541884.06949583394</c:v>
                </c:pt>
                <c:pt idx="101">
                  <c:v>541884.06949583394</c:v>
                </c:pt>
                <c:pt idx="102">
                  <c:v>541884.06949583394</c:v>
                </c:pt>
                <c:pt idx="103">
                  <c:v>541884.06949583394</c:v>
                </c:pt>
                <c:pt idx="104">
                  <c:v>541884.06949583394</c:v>
                </c:pt>
                <c:pt idx="105">
                  <c:v>541884.06949583394</c:v>
                </c:pt>
                <c:pt idx="106">
                  <c:v>541884.06949583394</c:v>
                </c:pt>
                <c:pt idx="107">
                  <c:v>541884.06949583394</c:v>
                </c:pt>
                <c:pt idx="108">
                  <c:v>541884.06949583394</c:v>
                </c:pt>
                <c:pt idx="109">
                  <c:v>541884.06949583394</c:v>
                </c:pt>
                <c:pt idx="110">
                  <c:v>541884.06949583394</c:v>
                </c:pt>
                <c:pt idx="111">
                  <c:v>541884.06949583394</c:v>
                </c:pt>
                <c:pt idx="112">
                  <c:v>541884.06949583394</c:v>
                </c:pt>
                <c:pt idx="113">
                  <c:v>541884.06949583394</c:v>
                </c:pt>
                <c:pt idx="114">
                  <c:v>541884.06949583394</c:v>
                </c:pt>
                <c:pt idx="115">
                  <c:v>541884.06949583394</c:v>
                </c:pt>
                <c:pt idx="116">
                  <c:v>541884.06949583394</c:v>
                </c:pt>
                <c:pt idx="117">
                  <c:v>541884.06949583394</c:v>
                </c:pt>
                <c:pt idx="118">
                  <c:v>541884.06949583394</c:v>
                </c:pt>
                <c:pt idx="119">
                  <c:v>541884.06949583394</c:v>
                </c:pt>
                <c:pt idx="120">
                  <c:v>541884.06949583394</c:v>
                </c:pt>
                <c:pt idx="121">
                  <c:v>541884.06949583394</c:v>
                </c:pt>
                <c:pt idx="122">
                  <c:v>541884.06949583394</c:v>
                </c:pt>
                <c:pt idx="123">
                  <c:v>541884.06949583394</c:v>
                </c:pt>
                <c:pt idx="124">
                  <c:v>541884.06949583394</c:v>
                </c:pt>
                <c:pt idx="125">
                  <c:v>541884.06949583394</c:v>
                </c:pt>
                <c:pt idx="126">
                  <c:v>541884.06949583394</c:v>
                </c:pt>
                <c:pt idx="127">
                  <c:v>541884.06949583394</c:v>
                </c:pt>
                <c:pt idx="128">
                  <c:v>541884.06949583394</c:v>
                </c:pt>
                <c:pt idx="129">
                  <c:v>541884.06949583394</c:v>
                </c:pt>
                <c:pt idx="130">
                  <c:v>541884.06949583394</c:v>
                </c:pt>
                <c:pt idx="131">
                  <c:v>541884.06949583394</c:v>
                </c:pt>
                <c:pt idx="132">
                  <c:v>541884.06949583394</c:v>
                </c:pt>
                <c:pt idx="133">
                  <c:v>541884.06949583394</c:v>
                </c:pt>
                <c:pt idx="134">
                  <c:v>541884.06949583394</c:v>
                </c:pt>
                <c:pt idx="135">
                  <c:v>541884.06949583394</c:v>
                </c:pt>
                <c:pt idx="136">
                  <c:v>541884.06949583394</c:v>
                </c:pt>
                <c:pt idx="137">
                  <c:v>541884.06949583394</c:v>
                </c:pt>
                <c:pt idx="138">
                  <c:v>541884.06949583394</c:v>
                </c:pt>
                <c:pt idx="139">
                  <c:v>541884.06949583394</c:v>
                </c:pt>
                <c:pt idx="140">
                  <c:v>541884.06949583394</c:v>
                </c:pt>
                <c:pt idx="141">
                  <c:v>541884.06949583394</c:v>
                </c:pt>
                <c:pt idx="142">
                  <c:v>541884.06949583394</c:v>
                </c:pt>
                <c:pt idx="143">
                  <c:v>541884.06949583394</c:v>
                </c:pt>
                <c:pt idx="144">
                  <c:v>541884.06949583394</c:v>
                </c:pt>
                <c:pt idx="145">
                  <c:v>541884.06949583394</c:v>
                </c:pt>
                <c:pt idx="146">
                  <c:v>541884.06949583394</c:v>
                </c:pt>
                <c:pt idx="147">
                  <c:v>541884.06949583394</c:v>
                </c:pt>
                <c:pt idx="148">
                  <c:v>541884.06949583394</c:v>
                </c:pt>
                <c:pt idx="149">
                  <c:v>541884.06949583394</c:v>
                </c:pt>
                <c:pt idx="150">
                  <c:v>541884.06949583394</c:v>
                </c:pt>
                <c:pt idx="151">
                  <c:v>541884.06949583394</c:v>
                </c:pt>
                <c:pt idx="152">
                  <c:v>541884.06949583394</c:v>
                </c:pt>
                <c:pt idx="153">
                  <c:v>541884.06949583394</c:v>
                </c:pt>
                <c:pt idx="154">
                  <c:v>541884.06949583394</c:v>
                </c:pt>
                <c:pt idx="155">
                  <c:v>541884.06949583394</c:v>
                </c:pt>
                <c:pt idx="156">
                  <c:v>541884.06949583394</c:v>
                </c:pt>
                <c:pt idx="157">
                  <c:v>541884.06949583394</c:v>
                </c:pt>
                <c:pt idx="158">
                  <c:v>541884.06949583394</c:v>
                </c:pt>
                <c:pt idx="159">
                  <c:v>541884.06949583394</c:v>
                </c:pt>
                <c:pt idx="160">
                  <c:v>541884.06949583394</c:v>
                </c:pt>
                <c:pt idx="161">
                  <c:v>541884.06949583394</c:v>
                </c:pt>
                <c:pt idx="162">
                  <c:v>541884.06949583394</c:v>
                </c:pt>
                <c:pt idx="163">
                  <c:v>541884.06949583394</c:v>
                </c:pt>
                <c:pt idx="164">
                  <c:v>541884.06949583394</c:v>
                </c:pt>
                <c:pt idx="165">
                  <c:v>541884.06949583394</c:v>
                </c:pt>
                <c:pt idx="166">
                  <c:v>541884.06949583394</c:v>
                </c:pt>
                <c:pt idx="167">
                  <c:v>541884.06949583394</c:v>
                </c:pt>
                <c:pt idx="168">
                  <c:v>541884.06949583394</c:v>
                </c:pt>
                <c:pt idx="169">
                  <c:v>541884.06949583394</c:v>
                </c:pt>
                <c:pt idx="170">
                  <c:v>541884.06949583394</c:v>
                </c:pt>
                <c:pt idx="171">
                  <c:v>541884.06949583394</c:v>
                </c:pt>
                <c:pt idx="172">
                  <c:v>541884.06949583394</c:v>
                </c:pt>
                <c:pt idx="173">
                  <c:v>541884.06949583394</c:v>
                </c:pt>
                <c:pt idx="174">
                  <c:v>541884.06949583394</c:v>
                </c:pt>
                <c:pt idx="175">
                  <c:v>541884.06949583394</c:v>
                </c:pt>
                <c:pt idx="176">
                  <c:v>541884.06949583394</c:v>
                </c:pt>
                <c:pt idx="177">
                  <c:v>541884.06949583394</c:v>
                </c:pt>
                <c:pt idx="178">
                  <c:v>541884.06949583394</c:v>
                </c:pt>
                <c:pt idx="179">
                  <c:v>541884.06949583394</c:v>
                </c:pt>
                <c:pt idx="180">
                  <c:v>541884.06949583394</c:v>
                </c:pt>
                <c:pt idx="181">
                  <c:v>541884.06949583394</c:v>
                </c:pt>
                <c:pt idx="182">
                  <c:v>541884.06949583394</c:v>
                </c:pt>
                <c:pt idx="183">
                  <c:v>541884.06949583394</c:v>
                </c:pt>
                <c:pt idx="184">
                  <c:v>541884.06949583394</c:v>
                </c:pt>
                <c:pt idx="185">
                  <c:v>541884.06949583394</c:v>
                </c:pt>
                <c:pt idx="186">
                  <c:v>541884.06949583394</c:v>
                </c:pt>
                <c:pt idx="187">
                  <c:v>541884.06949583394</c:v>
                </c:pt>
                <c:pt idx="188">
                  <c:v>541884.06949583394</c:v>
                </c:pt>
                <c:pt idx="189">
                  <c:v>541884.06949583394</c:v>
                </c:pt>
                <c:pt idx="190">
                  <c:v>541884.06949583394</c:v>
                </c:pt>
                <c:pt idx="191">
                  <c:v>541884.06949583394</c:v>
                </c:pt>
                <c:pt idx="192">
                  <c:v>541884.06949583394</c:v>
                </c:pt>
                <c:pt idx="193">
                  <c:v>541884.06949583394</c:v>
                </c:pt>
                <c:pt idx="194">
                  <c:v>541884.06949583394</c:v>
                </c:pt>
                <c:pt idx="195">
                  <c:v>541884.06949583394</c:v>
                </c:pt>
                <c:pt idx="196">
                  <c:v>541884.06949583394</c:v>
                </c:pt>
                <c:pt idx="197">
                  <c:v>541884.06949583394</c:v>
                </c:pt>
                <c:pt idx="198">
                  <c:v>541884.06949583394</c:v>
                </c:pt>
                <c:pt idx="199">
                  <c:v>541884.06949583394</c:v>
                </c:pt>
                <c:pt idx="200">
                  <c:v>541884.06949583394</c:v>
                </c:pt>
                <c:pt idx="201">
                  <c:v>541884.06949583394</c:v>
                </c:pt>
                <c:pt idx="202">
                  <c:v>541884.06949583394</c:v>
                </c:pt>
                <c:pt idx="203">
                  <c:v>541884.06949583394</c:v>
                </c:pt>
                <c:pt idx="204">
                  <c:v>541884.06949583394</c:v>
                </c:pt>
                <c:pt idx="205">
                  <c:v>541884.06949583394</c:v>
                </c:pt>
                <c:pt idx="206">
                  <c:v>541884.06949583394</c:v>
                </c:pt>
                <c:pt idx="207">
                  <c:v>541884.06949583394</c:v>
                </c:pt>
                <c:pt idx="208">
                  <c:v>541884.06949583394</c:v>
                </c:pt>
                <c:pt idx="209">
                  <c:v>541884.06949583394</c:v>
                </c:pt>
                <c:pt idx="210">
                  <c:v>541884.06949583394</c:v>
                </c:pt>
                <c:pt idx="211">
                  <c:v>541884.06949583394</c:v>
                </c:pt>
                <c:pt idx="212">
                  <c:v>541884.06949583394</c:v>
                </c:pt>
                <c:pt idx="213">
                  <c:v>541884.06949583394</c:v>
                </c:pt>
                <c:pt idx="214">
                  <c:v>541884.06949583394</c:v>
                </c:pt>
                <c:pt idx="215">
                  <c:v>541884.06949583394</c:v>
                </c:pt>
                <c:pt idx="216">
                  <c:v>541884.06949583394</c:v>
                </c:pt>
                <c:pt idx="217">
                  <c:v>541884.06949583394</c:v>
                </c:pt>
                <c:pt idx="218">
                  <c:v>541884.06949583394</c:v>
                </c:pt>
                <c:pt idx="219">
                  <c:v>541884.06949583394</c:v>
                </c:pt>
                <c:pt idx="220">
                  <c:v>541884.06949583394</c:v>
                </c:pt>
                <c:pt idx="221">
                  <c:v>541884.06949583394</c:v>
                </c:pt>
                <c:pt idx="222">
                  <c:v>541884.06949583394</c:v>
                </c:pt>
                <c:pt idx="223">
                  <c:v>541884.06949583394</c:v>
                </c:pt>
                <c:pt idx="224">
                  <c:v>541884.06949583394</c:v>
                </c:pt>
                <c:pt idx="225">
                  <c:v>541884.06949583394</c:v>
                </c:pt>
                <c:pt idx="226">
                  <c:v>541884.06949583394</c:v>
                </c:pt>
                <c:pt idx="227">
                  <c:v>541884.06949583394</c:v>
                </c:pt>
                <c:pt idx="228">
                  <c:v>541884.06949583394</c:v>
                </c:pt>
                <c:pt idx="229">
                  <c:v>541884.06949583394</c:v>
                </c:pt>
                <c:pt idx="230">
                  <c:v>541884.06949583394</c:v>
                </c:pt>
                <c:pt idx="231">
                  <c:v>541884.06949583394</c:v>
                </c:pt>
                <c:pt idx="232">
                  <c:v>541884.06949583394</c:v>
                </c:pt>
                <c:pt idx="233">
                  <c:v>541884.06949583394</c:v>
                </c:pt>
                <c:pt idx="234">
                  <c:v>541884.06949583394</c:v>
                </c:pt>
                <c:pt idx="235">
                  <c:v>541884.06949583394</c:v>
                </c:pt>
                <c:pt idx="236">
                  <c:v>541884.06949583394</c:v>
                </c:pt>
                <c:pt idx="237">
                  <c:v>541884.06949583394</c:v>
                </c:pt>
                <c:pt idx="238">
                  <c:v>541884.06949583394</c:v>
                </c:pt>
                <c:pt idx="239">
                  <c:v>541884.06949583394</c:v>
                </c:pt>
                <c:pt idx="240">
                  <c:v>541884.06949583394</c:v>
                </c:pt>
                <c:pt idx="241">
                  <c:v>541884.06949583394</c:v>
                </c:pt>
                <c:pt idx="242">
                  <c:v>541884.06949583394</c:v>
                </c:pt>
                <c:pt idx="243">
                  <c:v>541884.06949583394</c:v>
                </c:pt>
                <c:pt idx="244">
                  <c:v>541884.06949583394</c:v>
                </c:pt>
                <c:pt idx="245">
                  <c:v>541884.06949583394</c:v>
                </c:pt>
                <c:pt idx="246">
                  <c:v>541884.06949583394</c:v>
                </c:pt>
                <c:pt idx="247">
                  <c:v>541884.06949583394</c:v>
                </c:pt>
                <c:pt idx="248">
                  <c:v>541884.06949583394</c:v>
                </c:pt>
                <c:pt idx="249">
                  <c:v>541884.06949583394</c:v>
                </c:pt>
                <c:pt idx="250">
                  <c:v>541884.06949583394</c:v>
                </c:pt>
                <c:pt idx="251">
                  <c:v>541884.06949583394</c:v>
                </c:pt>
                <c:pt idx="252">
                  <c:v>541884.06949583394</c:v>
                </c:pt>
                <c:pt idx="253">
                  <c:v>541884.06949583394</c:v>
                </c:pt>
                <c:pt idx="254">
                  <c:v>541884.06949583394</c:v>
                </c:pt>
                <c:pt idx="255">
                  <c:v>541884.06949583394</c:v>
                </c:pt>
                <c:pt idx="256">
                  <c:v>541884.06949583394</c:v>
                </c:pt>
                <c:pt idx="257">
                  <c:v>541884.06949583394</c:v>
                </c:pt>
                <c:pt idx="258">
                  <c:v>541884.06949583394</c:v>
                </c:pt>
                <c:pt idx="259">
                  <c:v>541884.06949583394</c:v>
                </c:pt>
                <c:pt idx="260">
                  <c:v>541884.06949583394</c:v>
                </c:pt>
                <c:pt idx="261">
                  <c:v>541884.06949583394</c:v>
                </c:pt>
                <c:pt idx="262">
                  <c:v>541884.06949583394</c:v>
                </c:pt>
                <c:pt idx="263">
                  <c:v>541884.06949583394</c:v>
                </c:pt>
                <c:pt idx="264">
                  <c:v>541884.06949583394</c:v>
                </c:pt>
                <c:pt idx="265">
                  <c:v>541884.06949583394</c:v>
                </c:pt>
                <c:pt idx="266">
                  <c:v>541884.06949583394</c:v>
                </c:pt>
                <c:pt idx="267">
                  <c:v>541884.06949583394</c:v>
                </c:pt>
                <c:pt idx="268">
                  <c:v>541884.06949583394</c:v>
                </c:pt>
                <c:pt idx="269">
                  <c:v>541884.06949583394</c:v>
                </c:pt>
                <c:pt idx="270">
                  <c:v>541884.06949583394</c:v>
                </c:pt>
                <c:pt idx="271">
                  <c:v>541884.06949583394</c:v>
                </c:pt>
                <c:pt idx="272">
                  <c:v>541884.06949583394</c:v>
                </c:pt>
                <c:pt idx="273">
                  <c:v>541884.06949583394</c:v>
                </c:pt>
                <c:pt idx="274">
                  <c:v>541884.06949583394</c:v>
                </c:pt>
                <c:pt idx="275">
                  <c:v>541884.06949583394</c:v>
                </c:pt>
                <c:pt idx="276">
                  <c:v>541884.06949583394</c:v>
                </c:pt>
                <c:pt idx="277">
                  <c:v>541884.06949583394</c:v>
                </c:pt>
                <c:pt idx="278">
                  <c:v>541884.06949583394</c:v>
                </c:pt>
                <c:pt idx="279">
                  <c:v>541884.06949583394</c:v>
                </c:pt>
                <c:pt idx="280">
                  <c:v>541884.06949583394</c:v>
                </c:pt>
                <c:pt idx="281">
                  <c:v>541884.06949583394</c:v>
                </c:pt>
                <c:pt idx="282">
                  <c:v>541884.06949583394</c:v>
                </c:pt>
                <c:pt idx="283">
                  <c:v>541884.06949583394</c:v>
                </c:pt>
                <c:pt idx="284">
                  <c:v>541884.06949583394</c:v>
                </c:pt>
                <c:pt idx="285">
                  <c:v>541884.06949583394</c:v>
                </c:pt>
                <c:pt idx="286">
                  <c:v>541884.06949583394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290422.23750000005</c:v>
                </c:pt>
                <c:pt idx="10">
                  <c:v>1893552.9550000003</c:v>
                </c:pt>
                <c:pt idx="11">
                  <c:v>1893552.9550000003</c:v>
                </c:pt>
                <c:pt idx="12">
                  <c:v>1893552.9550000003</c:v>
                </c:pt>
                <c:pt idx="13">
                  <c:v>1893552.9550000003</c:v>
                </c:pt>
                <c:pt idx="14">
                  <c:v>2445060.5494958339</c:v>
                </c:pt>
                <c:pt idx="15">
                  <c:v>2445060.5494958339</c:v>
                </c:pt>
                <c:pt idx="16">
                  <c:v>2445060.5494958339</c:v>
                </c:pt>
                <c:pt idx="17">
                  <c:v>2445060.5494958339</c:v>
                </c:pt>
                <c:pt idx="18">
                  <c:v>2445060.5494958339</c:v>
                </c:pt>
                <c:pt idx="19">
                  <c:v>2445060.5494958339</c:v>
                </c:pt>
                <c:pt idx="20">
                  <c:v>2445060.5494958339</c:v>
                </c:pt>
                <c:pt idx="21">
                  <c:v>2445060.5494958339</c:v>
                </c:pt>
                <c:pt idx="22">
                  <c:v>2445060.5494958339</c:v>
                </c:pt>
                <c:pt idx="23">
                  <c:v>2445060.5494958339</c:v>
                </c:pt>
                <c:pt idx="24">
                  <c:v>2445060.5494958339</c:v>
                </c:pt>
                <c:pt idx="25">
                  <c:v>2445060.5494958339</c:v>
                </c:pt>
                <c:pt idx="26">
                  <c:v>2757361.0594958337</c:v>
                </c:pt>
                <c:pt idx="27">
                  <c:v>2757361.0594958337</c:v>
                </c:pt>
                <c:pt idx="28">
                  <c:v>2757361.0594958337</c:v>
                </c:pt>
                <c:pt idx="29">
                  <c:v>2757361.0594958337</c:v>
                </c:pt>
                <c:pt idx="30">
                  <c:v>2757361.0594958337</c:v>
                </c:pt>
                <c:pt idx="31">
                  <c:v>2757361.0594958337</c:v>
                </c:pt>
                <c:pt idx="32">
                  <c:v>2757361.0594958337</c:v>
                </c:pt>
                <c:pt idx="33">
                  <c:v>2757361.0594958337</c:v>
                </c:pt>
                <c:pt idx="34">
                  <c:v>2757361.0594958337</c:v>
                </c:pt>
                <c:pt idx="35">
                  <c:v>2757361.0594958337</c:v>
                </c:pt>
                <c:pt idx="36">
                  <c:v>2757361.0594958337</c:v>
                </c:pt>
                <c:pt idx="37">
                  <c:v>2757361.0594958337</c:v>
                </c:pt>
                <c:pt idx="38">
                  <c:v>2757361.0594958337</c:v>
                </c:pt>
                <c:pt idx="39">
                  <c:v>2820054.9194958336</c:v>
                </c:pt>
                <c:pt idx="40">
                  <c:v>2820054.9194958336</c:v>
                </c:pt>
                <c:pt idx="41">
                  <c:v>2820054.9194958336</c:v>
                </c:pt>
                <c:pt idx="42">
                  <c:v>2820054.9194958336</c:v>
                </c:pt>
                <c:pt idx="43">
                  <c:v>2820054.9194958336</c:v>
                </c:pt>
                <c:pt idx="44">
                  <c:v>2820054.9194958336</c:v>
                </c:pt>
                <c:pt idx="45">
                  <c:v>2820054.9194958336</c:v>
                </c:pt>
                <c:pt idx="46">
                  <c:v>2820054.9194958336</c:v>
                </c:pt>
                <c:pt idx="47">
                  <c:v>2820054.9194958336</c:v>
                </c:pt>
                <c:pt idx="48">
                  <c:v>2820054.9194958336</c:v>
                </c:pt>
                <c:pt idx="49">
                  <c:v>2820054.9194958336</c:v>
                </c:pt>
                <c:pt idx="50">
                  <c:v>2820054.9194958336</c:v>
                </c:pt>
                <c:pt idx="51">
                  <c:v>2820054.9194958336</c:v>
                </c:pt>
                <c:pt idx="52">
                  <c:v>2820054.9194958336</c:v>
                </c:pt>
                <c:pt idx="53">
                  <c:v>2820054.9194958336</c:v>
                </c:pt>
                <c:pt idx="54">
                  <c:v>2820054.9194958336</c:v>
                </c:pt>
                <c:pt idx="55">
                  <c:v>2820054.9194958336</c:v>
                </c:pt>
                <c:pt idx="56">
                  <c:v>2820054.9194958336</c:v>
                </c:pt>
                <c:pt idx="57">
                  <c:v>2820054.9194958336</c:v>
                </c:pt>
                <c:pt idx="58">
                  <c:v>2820054.9194958336</c:v>
                </c:pt>
                <c:pt idx="59">
                  <c:v>2820054.9194958336</c:v>
                </c:pt>
                <c:pt idx="60">
                  <c:v>2820054.9194958336</c:v>
                </c:pt>
                <c:pt idx="61">
                  <c:v>2820054.9194958336</c:v>
                </c:pt>
                <c:pt idx="62">
                  <c:v>2820054.9194958336</c:v>
                </c:pt>
                <c:pt idx="63">
                  <c:v>2820054.9194958336</c:v>
                </c:pt>
                <c:pt idx="64">
                  <c:v>2820054.9194958336</c:v>
                </c:pt>
                <c:pt idx="65">
                  <c:v>2820054.9194958336</c:v>
                </c:pt>
                <c:pt idx="66">
                  <c:v>2820054.9194958336</c:v>
                </c:pt>
                <c:pt idx="67">
                  <c:v>2820054.9194958336</c:v>
                </c:pt>
                <c:pt idx="68">
                  <c:v>2820054.9194958336</c:v>
                </c:pt>
                <c:pt idx="69">
                  <c:v>2820054.9194958336</c:v>
                </c:pt>
                <c:pt idx="70">
                  <c:v>2820054.9194958336</c:v>
                </c:pt>
                <c:pt idx="71">
                  <c:v>2820054.9194958336</c:v>
                </c:pt>
                <c:pt idx="72">
                  <c:v>2820054.9194958336</c:v>
                </c:pt>
                <c:pt idx="73">
                  <c:v>2820054.9194958336</c:v>
                </c:pt>
                <c:pt idx="74">
                  <c:v>2820054.9194958336</c:v>
                </c:pt>
                <c:pt idx="75">
                  <c:v>2820054.9194958336</c:v>
                </c:pt>
                <c:pt idx="76">
                  <c:v>2820054.9194958336</c:v>
                </c:pt>
                <c:pt idx="77">
                  <c:v>2820054.9194958336</c:v>
                </c:pt>
                <c:pt idx="78">
                  <c:v>2820054.9194958336</c:v>
                </c:pt>
                <c:pt idx="79">
                  <c:v>2820054.9194958336</c:v>
                </c:pt>
                <c:pt idx="80">
                  <c:v>2820054.9194958336</c:v>
                </c:pt>
                <c:pt idx="81">
                  <c:v>2820054.9194958336</c:v>
                </c:pt>
                <c:pt idx="82">
                  <c:v>2820054.9194958336</c:v>
                </c:pt>
                <c:pt idx="83">
                  <c:v>2820054.9194958336</c:v>
                </c:pt>
                <c:pt idx="84">
                  <c:v>2820054.9194958336</c:v>
                </c:pt>
                <c:pt idx="85">
                  <c:v>2820054.9194958336</c:v>
                </c:pt>
                <c:pt idx="86">
                  <c:v>2820054.9194958336</c:v>
                </c:pt>
                <c:pt idx="87">
                  <c:v>2820054.9194958336</c:v>
                </c:pt>
                <c:pt idx="88">
                  <c:v>2820054.9194958336</c:v>
                </c:pt>
                <c:pt idx="89">
                  <c:v>2820054.9194958336</c:v>
                </c:pt>
                <c:pt idx="90">
                  <c:v>2820054.9194958336</c:v>
                </c:pt>
                <c:pt idx="91">
                  <c:v>2820054.9194958336</c:v>
                </c:pt>
                <c:pt idx="92">
                  <c:v>2820054.9194958336</c:v>
                </c:pt>
                <c:pt idx="93">
                  <c:v>2820054.9194958336</c:v>
                </c:pt>
                <c:pt idx="94">
                  <c:v>2820054.9194958336</c:v>
                </c:pt>
                <c:pt idx="95">
                  <c:v>2820054.9194958336</c:v>
                </c:pt>
                <c:pt idx="96">
                  <c:v>2820054.9194958336</c:v>
                </c:pt>
                <c:pt idx="97">
                  <c:v>2820054.9194958336</c:v>
                </c:pt>
                <c:pt idx="98">
                  <c:v>2820054.9194958336</c:v>
                </c:pt>
                <c:pt idx="99">
                  <c:v>2820054.9194958336</c:v>
                </c:pt>
                <c:pt idx="100">
                  <c:v>2820054.9194958336</c:v>
                </c:pt>
                <c:pt idx="101">
                  <c:v>2820054.9194958336</c:v>
                </c:pt>
                <c:pt idx="102">
                  <c:v>2820054.9194958336</c:v>
                </c:pt>
                <c:pt idx="103">
                  <c:v>2820054.9194958336</c:v>
                </c:pt>
                <c:pt idx="104">
                  <c:v>2820054.9194958336</c:v>
                </c:pt>
                <c:pt idx="105">
                  <c:v>2820054.9194958336</c:v>
                </c:pt>
                <c:pt idx="106">
                  <c:v>2820054.9194958336</c:v>
                </c:pt>
                <c:pt idx="107">
                  <c:v>2820054.9194958336</c:v>
                </c:pt>
                <c:pt idx="108">
                  <c:v>2820054.9194958336</c:v>
                </c:pt>
                <c:pt idx="109">
                  <c:v>2820054.9194958336</c:v>
                </c:pt>
                <c:pt idx="110">
                  <c:v>2820054.9194958336</c:v>
                </c:pt>
                <c:pt idx="111">
                  <c:v>2820054.9194958336</c:v>
                </c:pt>
                <c:pt idx="112">
                  <c:v>2820054.9194958336</c:v>
                </c:pt>
                <c:pt idx="113">
                  <c:v>2820054.9194958336</c:v>
                </c:pt>
                <c:pt idx="114">
                  <c:v>2820054.9194958336</c:v>
                </c:pt>
                <c:pt idx="115">
                  <c:v>2820054.9194958336</c:v>
                </c:pt>
                <c:pt idx="116">
                  <c:v>2820054.9194958336</c:v>
                </c:pt>
                <c:pt idx="117">
                  <c:v>2820054.9194958336</c:v>
                </c:pt>
                <c:pt idx="118">
                  <c:v>2820054.9194958336</c:v>
                </c:pt>
                <c:pt idx="119">
                  <c:v>2820054.9194958336</c:v>
                </c:pt>
                <c:pt idx="120">
                  <c:v>2820054.9194958336</c:v>
                </c:pt>
                <c:pt idx="121">
                  <c:v>2820054.9194958336</c:v>
                </c:pt>
                <c:pt idx="122">
                  <c:v>2820054.9194958336</c:v>
                </c:pt>
                <c:pt idx="123">
                  <c:v>2820054.9194958336</c:v>
                </c:pt>
                <c:pt idx="124">
                  <c:v>2820054.9194958336</c:v>
                </c:pt>
                <c:pt idx="125">
                  <c:v>2820054.9194958336</c:v>
                </c:pt>
                <c:pt idx="126">
                  <c:v>2820054.9194958336</c:v>
                </c:pt>
                <c:pt idx="127">
                  <c:v>2820054.9194958336</c:v>
                </c:pt>
                <c:pt idx="128">
                  <c:v>2820054.9194958336</c:v>
                </c:pt>
                <c:pt idx="129">
                  <c:v>2820054.9194958336</c:v>
                </c:pt>
                <c:pt idx="130">
                  <c:v>2820054.9194958336</c:v>
                </c:pt>
                <c:pt idx="131">
                  <c:v>2820054.9194958336</c:v>
                </c:pt>
                <c:pt idx="132">
                  <c:v>2820054.9194958336</c:v>
                </c:pt>
                <c:pt idx="133">
                  <c:v>2820054.9194958336</c:v>
                </c:pt>
                <c:pt idx="134">
                  <c:v>2820054.9194958336</c:v>
                </c:pt>
                <c:pt idx="135">
                  <c:v>2820054.9194958336</c:v>
                </c:pt>
                <c:pt idx="136">
                  <c:v>2820054.9194958336</c:v>
                </c:pt>
                <c:pt idx="137">
                  <c:v>2820054.9194958336</c:v>
                </c:pt>
                <c:pt idx="138">
                  <c:v>2820054.9194958336</c:v>
                </c:pt>
                <c:pt idx="139">
                  <c:v>2820054.9194958336</c:v>
                </c:pt>
                <c:pt idx="140">
                  <c:v>2820054.9194958336</c:v>
                </c:pt>
                <c:pt idx="141">
                  <c:v>2820054.9194958336</c:v>
                </c:pt>
                <c:pt idx="142">
                  <c:v>2820054.9194958336</c:v>
                </c:pt>
                <c:pt idx="143">
                  <c:v>2820054.9194958336</c:v>
                </c:pt>
                <c:pt idx="144">
                  <c:v>2820054.9194958336</c:v>
                </c:pt>
                <c:pt idx="145">
                  <c:v>2820054.9194958336</c:v>
                </c:pt>
                <c:pt idx="146">
                  <c:v>2820054.9194958336</c:v>
                </c:pt>
                <c:pt idx="147">
                  <c:v>2820054.9194958336</c:v>
                </c:pt>
                <c:pt idx="148">
                  <c:v>2820054.9194958336</c:v>
                </c:pt>
                <c:pt idx="149">
                  <c:v>2820054.9194958336</c:v>
                </c:pt>
                <c:pt idx="150">
                  <c:v>2820054.9194958336</c:v>
                </c:pt>
                <c:pt idx="151">
                  <c:v>2820054.9194958336</c:v>
                </c:pt>
                <c:pt idx="152">
                  <c:v>2820054.9194958336</c:v>
                </c:pt>
                <c:pt idx="153">
                  <c:v>2820054.9194958336</c:v>
                </c:pt>
                <c:pt idx="154">
                  <c:v>2820054.9194958336</c:v>
                </c:pt>
                <c:pt idx="155">
                  <c:v>2820054.9194958336</c:v>
                </c:pt>
                <c:pt idx="156">
                  <c:v>2820054.9194958336</c:v>
                </c:pt>
                <c:pt idx="157">
                  <c:v>2820054.9194958336</c:v>
                </c:pt>
                <c:pt idx="158">
                  <c:v>2820054.9194958336</c:v>
                </c:pt>
                <c:pt idx="159">
                  <c:v>2820054.9194958336</c:v>
                </c:pt>
                <c:pt idx="160">
                  <c:v>2820054.9194958336</c:v>
                </c:pt>
                <c:pt idx="161">
                  <c:v>2820054.9194958336</c:v>
                </c:pt>
                <c:pt idx="162">
                  <c:v>2820054.9194958336</c:v>
                </c:pt>
                <c:pt idx="163">
                  <c:v>2820054.9194958336</c:v>
                </c:pt>
                <c:pt idx="164">
                  <c:v>2820054.9194958336</c:v>
                </c:pt>
                <c:pt idx="165">
                  <c:v>2820054.9194958336</c:v>
                </c:pt>
                <c:pt idx="166">
                  <c:v>2820054.9194958336</c:v>
                </c:pt>
                <c:pt idx="167">
                  <c:v>2820054.9194958336</c:v>
                </c:pt>
                <c:pt idx="168">
                  <c:v>2820054.9194958336</c:v>
                </c:pt>
                <c:pt idx="169">
                  <c:v>2820054.9194958336</c:v>
                </c:pt>
                <c:pt idx="170">
                  <c:v>2820054.9194958336</c:v>
                </c:pt>
                <c:pt idx="171">
                  <c:v>2820054.9194958336</c:v>
                </c:pt>
                <c:pt idx="172">
                  <c:v>2820054.9194958336</c:v>
                </c:pt>
                <c:pt idx="173">
                  <c:v>2820054.9194958336</c:v>
                </c:pt>
                <c:pt idx="174">
                  <c:v>2820054.9194958336</c:v>
                </c:pt>
                <c:pt idx="175">
                  <c:v>2820054.9194958336</c:v>
                </c:pt>
                <c:pt idx="176">
                  <c:v>2820054.9194958336</c:v>
                </c:pt>
                <c:pt idx="177">
                  <c:v>2820054.9194958336</c:v>
                </c:pt>
                <c:pt idx="178">
                  <c:v>2820054.9194958336</c:v>
                </c:pt>
                <c:pt idx="179">
                  <c:v>2820054.9194958336</c:v>
                </c:pt>
                <c:pt idx="180">
                  <c:v>2820054.9194958336</c:v>
                </c:pt>
                <c:pt idx="181">
                  <c:v>2820054.9194958336</c:v>
                </c:pt>
                <c:pt idx="182">
                  <c:v>2820054.9194958336</c:v>
                </c:pt>
                <c:pt idx="183">
                  <c:v>2820054.9194958336</c:v>
                </c:pt>
                <c:pt idx="184">
                  <c:v>2820054.9194958336</c:v>
                </c:pt>
                <c:pt idx="185">
                  <c:v>2820054.9194958336</c:v>
                </c:pt>
                <c:pt idx="186">
                  <c:v>2820054.9194958336</c:v>
                </c:pt>
                <c:pt idx="187">
                  <c:v>2820054.9194958336</c:v>
                </c:pt>
                <c:pt idx="188">
                  <c:v>2820054.9194958336</c:v>
                </c:pt>
                <c:pt idx="189">
                  <c:v>2820054.9194958336</c:v>
                </c:pt>
                <c:pt idx="190">
                  <c:v>2820054.9194958336</c:v>
                </c:pt>
                <c:pt idx="191">
                  <c:v>2820054.9194958336</c:v>
                </c:pt>
                <c:pt idx="192">
                  <c:v>2820054.9194958336</c:v>
                </c:pt>
                <c:pt idx="193">
                  <c:v>2820054.9194958336</c:v>
                </c:pt>
                <c:pt idx="194">
                  <c:v>2820054.9194958336</c:v>
                </c:pt>
                <c:pt idx="195">
                  <c:v>2820054.9194958336</c:v>
                </c:pt>
                <c:pt idx="196">
                  <c:v>2820054.9194958336</c:v>
                </c:pt>
                <c:pt idx="197">
                  <c:v>2820054.9194958336</c:v>
                </c:pt>
                <c:pt idx="198">
                  <c:v>2820054.9194958336</c:v>
                </c:pt>
                <c:pt idx="199">
                  <c:v>2820054.9194958336</c:v>
                </c:pt>
                <c:pt idx="200">
                  <c:v>2820054.9194958336</c:v>
                </c:pt>
                <c:pt idx="201">
                  <c:v>2820054.9194958336</c:v>
                </c:pt>
                <c:pt idx="202">
                  <c:v>2820054.9194958336</c:v>
                </c:pt>
                <c:pt idx="203">
                  <c:v>2820054.9194958336</c:v>
                </c:pt>
                <c:pt idx="204">
                  <c:v>2820054.9194958336</c:v>
                </c:pt>
                <c:pt idx="205">
                  <c:v>2820054.9194958336</c:v>
                </c:pt>
                <c:pt idx="206">
                  <c:v>2820054.9194958336</c:v>
                </c:pt>
                <c:pt idx="207">
                  <c:v>2820054.9194958336</c:v>
                </c:pt>
                <c:pt idx="208">
                  <c:v>2820054.9194958336</c:v>
                </c:pt>
                <c:pt idx="209">
                  <c:v>2820054.9194958336</c:v>
                </c:pt>
                <c:pt idx="210">
                  <c:v>2820054.9194958336</c:v>
                </c:pt>
                <c:pt idx="211">
                  <c:v>2820054.9194958336</c:v>
                </c:pt>
                <c:pt idx="212">
                  <c:v>2820054.9194958336</c:v>
                </c:pt>
                <c:pt idx="213">
                  <c:v>2820054.9194958336</c:v>
                </c:pt>
                <c:pt idx="214">
                  <c:v>2820054.9194958336</c:v>
                </c:pt>
                <c:pt idx="215">
                  <c:v>2820054.9194958336</c:v>
                </c:pt>
                <c:pt idx="216">
                  <c:v>2820054.9194958336</c:v>
                </c:pt>
                <c:pt idx="217">
                  <c:v>2820054.9194958336</c:v>
                </c:pt>
                <c:pt idx="218">
                  <c:v>2820054.9194958336</c:v>
                </c:pt>
                <c:pt idx="219">
                  <c:v>2820054.9194958336</c:v>
                </c:pt>
                <c:pt idx="220">
                  <c:v>2820054.9194958336</c:v>
                </c:pt>
                <c:pt idx="221">
                  <c:v>2820054.9194958336</c:v>
                </c:pt>
                <c:pt idx="222">
                  <c:v>2820054.9194958336</c:v>
                </c:pt>
                <c:pt idx="223">
                  <c:v>2820054.9194958336</c:v>
                </c:pt>
                <c:pt idx="224">
                  <c:v>2820054.9194958336</c:v>
                </c:pt>
                <c:pt idx="225">
                  <c:v>2820054.9194958336</c:v>
                </c:pt>
                <c:pt idx="226">
                  <c:v>2820054.9194958336</c:v>
                </c:pt>
                <c:pt idx="227">
                  <c:v>2820054.9194958336</c:v>
                </c:pt>
                <c:pt idx="228">
                  <c:v>2820054.9194958336</c:v>
                </c:pt>
                <c:pt idx="229">
                  <c:v>2820054.9194958336</c:v>
                </c:pt>
                <c:pt idx="230">
                  <c:v>2820054.9194958336</c:v>
                </c:pt>
                <c:pt idx="231">
                  <c:v>2820054.9194958336</c:v>
                </c:pt>
                <c:pt idx="232">
                  <c:v>2820054.9194958336</c:v>
                </c:pt>
                <c:pt idx="233">
                  <c:v>2820054.9194958336</c:v>
                </c:pt>
                <c:pt idx="234">
                  <c:v>2820054.9194958336</c:v>
                </c:pt>
                <c:pt idx="235">
                  <c:v>2820054.9194958336</c:v>
                </c:pt>
                <c:pt idx="236">
                  <c:v>2820054.9194958336</c:v>
                </c:pt>
                <c:pt idx="237">
                  <c:v>2820054.9194958336</c:v>
                </c:pt>
                <c:pt idx="238">
                  <c:v>2820054.9194958336</c:v>
                </c:pt>
                <c:pt idx="239">
                  <c:v>2820054.9194958336</c:v>
                </c:pt>
                <c:pt idx="240">
                  <c:v>2820054.9194958336</c:v>
                </c:pt>
                <c:pt idx="241">
                  <c:v>2820054.9194958336</c:v>
                </c:pt>
                <c:pt idx="242">
                  <c:v>2820054.9194958336</c:v>
                </c:pt>
                <c:pt idx="243">
                  <c:v>2820054.9194958336</c:v>
                </c:pt>
                <c:pt idx="244">
                  <c:v>2820054.9194958336</c:v>
                </c:pt>
                <c:pt idx="245">
                  <c:v>2820054.9194958336</c:v>
                </c:pt>
                <c:pt idx="246">
                  <c:v>2820054.9194958336</c:v>
                </c:pt>
                <c:pt idx="247">
                  <c:v>2820054.9194958336</c:v>
                </c:pt>
                <c:pt idx="248">
                  <c:v>2820054.9194958336</c:v>
                </c:pt>
                <c:pt idx="249">
                  <c:v>2820054.9194958336</c:v>
                </c:pt>
                <c:pt idx="250">
                  <c:v>2820054.9194958336</c:v>
                </c:pt>
                <c:pt idx="251">
                  <c:v>2820054.9194958336</c:v>
                </c:pt>
                <c:pt idx="252">
                  <c:v>2820054.9194958336</c:v>
                </c:pt>
                <c:pt idx="253">
                  <c:v>2820054.9194958336</c:v>
                </c:pt>
                <c:pt idx="254">
                  <c:v>2820054.9194958336</c:v>
                </c:pt>
                <c:pt idx="255">
                  <c:v>2820054.9194958336</c:v>
                </c:pt>
                <c:pt idx="256">
                  <c:v>2820054.9194958336</c:v>
                </c:pt>
                <c:pt idx="257">
                  <c:v>2820054.9194958336</c:v>
                </c:pt>
                <c:pt idx="258">
                  <c:v>2820054.9194958336</c:v>
                </c:pt>
                <c:pt idx="259">
                  <c:v>2820054.9194958336</c:v>
                </c:pt>
                <c:pt idx="260">
                  <c:v>2820054.9194958336</c:v>
                </c:pt>
                <c:pt idx="261">
                  <c:v>2820054.9194958336</c:v>
                </c:pt>
                <c:pt idx="262">
                  <c:v>2820054.9194958336</c:v>
                </c:pt>
                <c:pt idx="263">
                  <c:v>2820054.9194958336</c:v>
                </c:pt>
                <c:pt idx="264">
                  <c:v>2820054.9194958336</c:v>
                </c:pt>
                <c:pt idx="265">
                  <c:v>2820054.9194958336</c:v>
                </c:pt>
                <c:pt idx="266">
                  <c:v>2820054.9194958336</c:v>
                </c:pt>
                <c:pt idx="267">
                  <c:v>2820054.9194958336</c:v>
                </c:pt>
                <c:pt idx="268">
                  <c:v>2820054.9194958336</c:v>
                </c:pt>
                <c:pt idx="269">
                  <c:v>2820054.9194958336</c:v>
                </c:pt>
                <c:pt idx="270">
                  <c:v>2820054.9194958336</c:v>
                </c:pt>
                <c:pt idx="271">
                  <c:v>2820054.9194958336</c:v>
                </c:pt>
                <c:pt idx="272">
                  <c:v>2820054.9194958336</c:v>
                </c:pt>
                <c:pt idx="273">
                  <c:v>2820054.9194958336</c:v>
                </c:pt>
                <c:pt idx="274">
                  <c:v>2820054.9194958336</c:v>
                </c:pt>
                <c:pt idx="275">
                  <c:v>2820054.9194958336</c:v>
                </c:pt>
                <c:pt idx="276">
                  <c:v>2820054.9194958336</c:v>
                </c:pt>
                <c:pt idx="277">
                  <c:v>2820054.9194958336</c:v>
                </c:pt>
                <c:pt idx="278">
                  <c:v>2820054.9194958336</c:v>
                </c:pt>
                <c:pt idx="279">
                  <c:v>2820054.9194958336</c:v>
                </c:pt>
                <c:pt idx="280">
                  <c:v>2820054.9194958336</c:v>
                </c:pt>
                <c:pt idx="281">
                  <c:v>2820054.9194958336</c:v>
                </c:pt>
                <c:pt idx="282">
                  <c:v>2820054.9194958336</c:v>
                </c:pt>
                <c:pt idx="283">
                  <c:v>2820054.9194958336</c:v>
                </c:pt>
                <c:pt idx="284">
                  <c:v>2820054.9194958336</c:v>
                </c:pt>
                <c:pt idx="285">
                  <c:v>2820054.9194958336</c:v>
                </c:pt>
                <c:pt idx="286">
                  <c:v>2820054.9194958336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6000</c:v>
                </c:pt>
                <c:pt idx="8">
                  <c:v>118885.63800000002</c:v>
                </c:pt>
                <c:pt idx="9">
                  <c:v>323050.30500000005</c:v>
                </c:pt>
                <c:pt idx="10">
                  <c:v>352917.4</c:v>
                </c:pt>
                <c:pt idx="11">
                  <c:v>423906.57</c:v>
                </c:pt>
                <c:pt idx="12">
                  <c:v>503107.57</c:v>
                </c:pt>
                <c:pt idx="13">
                  <c:v>776359.04500000004</c:v>
                </c:pt>
                <c:pt idx="14">
                  <c:v>1398564.7040000001</c:v>
                </c:pt>
                <c:pt idx="15">
                  <c:v>1417089.4340000001</c:v>
                </c:pt>
                <c:pt idx="16">
                  <c:v>2294846.2320000003</c:v>
                </c:pt>
                <c:pt idx="17">
                  <c:v>2295154.1720000003</c:v>
                </c:pt>
                <c:pt idx="18">
                  <c:v>2317927.7120000003</c:v>
                </c:pt>
                <c:pt idx="19">
                  <c:v>2393527.7120000003</c:v>
                </c:pt>
                <c:pt idx="20">
                  <c:v>2466815.2120000003</c:v>
                </c:pt>
                <c:pt idx="21">
                  <c:v>2474414.2160000005</c:v>
                </c:pt>
                <c:pt idx="22">
                  <c:v>2554298.4660000005</c:v>
                </c:pt>
                <c:pt idx="23">
                  <c:v>2573498.4660000005</c:v>
                </c:pt>
                <c:pt idx="24">
                  <c:v>2585071.4660000005</c:v>
                </c:pt>
                <c:pt idx="25">
                  <c:v>2674096.6775000007</c:v>
                </c:pt>
                <c:pt idx="26">
                  <c:v>2677596.6775000007</c:v>
                </c:pt>
                <c:pt idx="27">
                  <c:v>2677596.6775000007</c:v>
                </c:pt>
                <c:pt idx="28">
                  <c:v>2677596.6775000007</c:v>
                </c:pt>
                <c:pt idx="29">
                  <c:v>2677596.6775000007</c:v>
                </c:pt>
                <c:pt idx="30">
                  <c:v>2677596.6775000007</c:v>
                </c:pt>
                <c:pt idx="31">
                  <c:v>2677596.6775000007</c:v>
                </c:pt>
                <c:pt idx="32">
                  <c:v>2677596.6775000007</c:v>
                </c:pt>
                <c:pt idx="33">
                  <c:v>2677596.6775000007</c:v>
                </c:pt>
                <c:pt idx="34">
                  <c:v>2677596.6775000007</c:v>
                </c:pt>
                <c:pt idx="35">
                  <c:v>2677596.6775000007</c:v>
                </c:pt>
                <c:pt idx="36">
                  <c:v>2677596.6775000007</c:v>
                </c:pt>
                <c:pt idx="37">
                  <c:v>2677596.6775000007</c:v>
                </c:pt>
                <c:pt idx="38">
                  <c:v>2677596.6775000007</c:v>
                </c:pt>
                <c:pt idx="39">
                  <c:v>2677596.6775000007</c:v>
                </c:pt>
                <c:pt idx="40">
                  <c:v>2677596.6775000007</c:v>
                </c:pt>
                <c:pt idx="41">
                  <c:v>2677596.6775000007</c:v>
                </c:pt>
                <c:pt idx="42">
                  <c:v>2677596.6775000007</c:v>
                </c:pt>
                <c:pt idx="43">
                  <c:v>2677596.6775000007</c:v>
                </c:pt>
                <c:pt idx="44">
                  <c:v>2677596.6775000007</c:v>
                </c:pt>
                <c:pt idx="45">
                  <c:v>2677596.6775000007</c:v>
                </c:pt>
                <c:pt idx="46">
                  <c:v>2677596.6775000007</c:v>
                </c:pt>
                <c:pt idx="47">
                  <c:v>2677596.6775000007</c:v>
                </c:pt>
                <c:pt idx="48">
                  <c:v>2677596.6775000007</c:v>
                </c:pt>
                <c:pt idx="49">
                  <c:v>2677596.6775000007</c:v>
                </c:pt>
                <c:pt idx="50">
                  <c:v>2677596.6775000007</c:v>
                </c:pt>
                <c:pt idx="51">
                  <c:v>2677596.6775000007</c:v>
                </c:pt>
                <c:pt idx="52">
                  <c:v>2677596.6775000007</c:v>
                </c:pt>
                <c:pt idx="53">
                  <c:v>2677596.6775000007</c:v>
                </c:pt>
                <c:pt idx="54">
                  <c:v>2677596.6775000007</c:v>
                </c:pt>
                <c:pt idx="55">
                  <c:v>2677596.6775000007</c:v>
                </c:pt>
                <c:pt idx="56">
                  <c:v>2677596.6775000007</c:v>
                </c:pt>
                <c:pt idx="57">
                  <c:v>2677596.6775000007</c:v>
                </c:pt>
                <c:pt idx="58">
                  <c:v>2677596.6775000007</c:v>
                </c:pt>
                <c:pt idx="59">
                  <c:v>2677596.6775000007</c:v>
                </c:pt>
                <c:pt idx="60">
                  <c:v>2677596.6775000007</c:v>
                </c:pt>
                <c:pt idx="61">
                  <c:v>2677596.6775000007</c:v>
                </c:pt>
                <c:pt idx="62">
                  <c:v>2677596.6775000007</c:v>
                </c:pt>
                <c:pt idx="63">
                  <c:v>2677596.6775000007</c:v>
                </c:pt>
                <c:pt idx="64">
                  <c:v>2677596.6775000007</c:v>
                </c:pt>
                <c:pt idx="65">
                  <c:v>2677596.6775000007</c:v>
                </c:pt>
                <c:pt idx="66">
                  <c:v>2677596.6775000007</c:v>
                </c:pt>
                <c:pt idx="67">
                  <c:v>2677596.6775000007</c:v>
                </c:pt>
                <c:pt idx="68">
                  <c:v>2677596.6775000007</c:v>
                </c:pt>
                <c:pt idx="69">
                  <c:v>2677596.6775000007</c:v>
                </c:pt>
                <c:pt idx="70">
                  <c:v>2677596.6775000007</c:v>
                </c:pt>
                <c:pt idx="71">
                  <c:v>2677596.6775000007</c:v>
                </c:pt>
                <c:pt idx="72">
                  <c:v>2677596.6775000007</c:v>
                </c:pt>
                <c:pt idx="73">
                  <c:v>2677596.6775000007</c:v>
                </c:pt>
                <c:pt idx="74">
                  <c:v>2677596.6775000007</c:v>
                </c:pt>
                <c:pt idx="75">
                  <c:v>2677596.6775000007</c:v>
                </c:pt>
                <c:pt idx="76">
                  <c:v>2677596.6775000007</c:v>
                </c:pt>
                <c:pt idx="77">
                  <c:v>2677596.6775000007</c:v>
                </c:pt>
                <c:pt idx="78">
                  <c:v>2677596.6775000007</c:v>
                </c:pt>
                <c:pt idx="79">
                  <c:v>2677596.6775000007</c:v>
                </c:pt>
                <c:pt idx="80">
                  <c:v>2677596.6775000007</c:v>
                </c:pt>
                <c:pt idx="81">
                  <c:v>2677596.6775000007</c:v>
                </c:pt>
                <c:pt idx="82">
                  <c:v>2677596.6775000007</c:v>
                </c:pt>
                <c:pt idx="83">
                  <c:v>2677596.6775000007</c:v>
                </c:pt>
                <c:pt idx="84">
                  <c:v>2677596.6775000007</c:v>
                </c:pt>
                <c:pt idx="85">
                  <c:v>2677596.6775000007</c:v>
                </c:pt>
                <c:pt idx="86">
                  <c:v>2677596.6775000007</c:v>
                </c:pt>
                <c:pt idx="87">
                  <c:v>2677596.6775000007</c:v>
                </c:pt>
                <c:pt idx="88">
                  <c:v>2677596.6775000007</c:v>
                </c:pt>
                <c:pt idx="89">
                  <c:v>2677596.6775000007</c:v>
                </c:pt>
                <c:pt idx="90">
                  <c:v>2677596.6775000007</c:v>
                </c:pt>
                <c:pt idx="91">
                  <c:v>2677596.6775000007</c:v>
                </c:pt>
                <c:pt idx="92">
                  <c:v>2677596.6775000007</c:v>
                </c:pt>
                <c:pt idx="93">
                  <c:v>2677596.6775000007</c:v>
                </c:pt>
                <c:pt idx="94">
                  <c:v>2677596.6775000007</c:v>
                </c:pt>
                <c:pt idx="95">
                  <c:v>2677596.6775000007</c:v>
                </c:pt>
                <c:pt idx="96">
                  <c:v>2677596.6775000007</c:v>
                </c:pt>
                <c:pt idx="97">
                  <c:v>2677596.6775000007</c:v>
                </c:pt>
                <c:pt idx="98">
                  <c:v>2677596.6775000007</c:v>
                </c:pt>
                <c:pt idx="99">
                  <c:v>2677596.6775000007</c:v>
                </c:pt>
                <c:pt idx="100">
                  <c:v>2677596.6775000007</c:v>
                </c:pt>
                <c:pt idx="101">
                  <c:v>2677596.6775000007</c:v>
                </c:pt>
                <c:pt idx="102">
                  <c:v>2677596.6775000007</c:v>
                </c:pt>
                <c:pt idx="103">
                  <c:v>2677596.6775000007</c:v>
                </c:pt>
                <c:pt idx="104">
                  <c:v>2677596.6775000007</c:v>
                </c:pt>
                <c:pt idx="105">
                  <c:v>2677596.6775000007</c:v>
                </c:pt>
                <c:pt idx="106">
                  <c:v>2677596.6775000007</c:v>
                </c:pt>
                <c:pt idx="107">
                  <c:v>2677596.6775000007</c:v>
                </c:pt>
                <c:pt idx="108">
                  <c:v>2677596.6775000007</c:v>
                </c:pt>
                <c:pt idx="109">
                  <c:v>2677596.6775000007</c:v>
                </c:pt>
                <c:pt idx="110">
                  <c:v>2677596.6775000007</c:v>
                </c:pt>
                <c:pt idx="111">
                  <c:v>2677596.6775000007</c:v>
                </c:pt>
                <c:pt idx="112">
                  <c:v>2677596.6775000007</c:v>
                </c:pt>
                <c:pt idx="113">
                  <c:v>2677596.6775000007</c:v>
                </c:pt>
                <c:pt idx="114">
                  <c:v>2677596.6775000007</c:v>
                </c:pt>
                <c:pt idx="115">
                  <c:v>2677596.6775000007</c:v>
                </c:pt>
                <c:pt idx="116">
                  <c:v>2677596.6775000007</c:v>
                </c:pt>
                <c:pt idx="117">
                  <c:v>2677596.6775000007</c:v>
                </c:pt>
                <c:pt idx="118">
                  <c:v>2677596.6775000007</c:v>
                </c:pt>
                <c:pt idx="119">
                  <c:v>2677596.6775000007</c:v>
                </c:pt>
                <c:pt idx="120">
                  <c:v>2677596.6775000007</c:v>
                </c:pt>
                <c:pt idx="121">
                  <c:v>2677596.6775000007</c:v>
                </c:pt>
                <c:pt idx="122">
                  <c:v>2677596.6775000007</c:v>
                </c:pt>
                <c:pt idx="123">
                  <c:v>2677596.6775000007</c:v>
                </c:pt>
                <c:pt idx="124">
                  <c:v>2677596.6775000007</c:v>
                </c:pt>
                <c:pt idx="125">
                  <c:v>2677596.6775000007</c:v>
                </c:pt>
                <c:pt idx="126">
                  <c:v>2677596.6775000007</c:v>
                </c:pt>
                <c:pt idx="127">
                  <c:v>2677596.6775000007</c:v>
                </c:pt>
                <c:pt idx="128">
                  <c:v>2677596.6775000007</c:v>
                </c:pt>
                <c:pt idx="129">
                  <c:v>2677596.6775000007</c:v>
                </c:pt>
                <c:pt idx="130">
                  <c:v>2677596.6775000007</c:v>
                </c:pt>
                <c:pt idx="131">
                  <c:v>2677596.6775000007</c:v>
                </c:pt>
                <c:pt idx="132">
                  <c:v>2677596.6775000007</c:v>
                </c:pt>
                <c:pt idx="133">
                  <c:v>2677596.6775000007</c:v>
                </c:pt>
                <c:pt idx="134">
                  <c:v>2677596.6775000007</c:v>
                </c:pt>
                <c:pt idx="135">
                  <c:v>2677596.6775000007</c:v>
                </c:pt>
                <c:pt idx="136">
                  <c:v>2677596.6775000007</c:v>
                </c:pt>
                <c:pt idx="137">
                  <c:v>2677596.6775000007</c:v>
                </c:pt>
                <c:pt idx="138">
                  <c:v>2677596.6775000007</c:v>
                </c:pt>
                <c:pt idx="139">
                  <c:v>2677596.6775000007</c:v>
                </c:pt>
                <c:pt idx="140">
                  <c:v>2677596.6775000007</c:v>
                </c:pt>
                <c:pt idx="141">
                  <c:v>2677596.6775000007</c:v>
                </c:pt>
                <c:pt idx="142">
                  <c:v>2677596.6775000007</c:v>
                </c:pt>
                <c:pt idx="143">
                  <c:v>2677596.6775000007</c:v>
                </c:pt>
                <c:pt idx="144">
                  <c:v>2677596.6775000007</c:v>
                </c:pt>
                <c:pt idx="145">
                  <c:v>2677596.6775000007</c:v>
                </c:pt>
                <c:pt idx="146">
                  <c:v>2677596.6775000007</c:v>
                </c:pt>
                <c:pt idx="147">
                  <c:v>2677596.6775000007</c:v>
                </c:pt>
                <c:pt idx="148">
                  <c:v>2677596.6775000007</c:v>
                </c:pt>
                <c:pt idx="149">
                  <c:v>2677596.6775000007</c:v>
                </c:pt>
                <c:pt idx="150">
                  <c:v>2677596.6775000007</c:v>
                </c:pt>
                <c:pt idx="151">
                  <c:v>2677596.6775000007</c:v>
                </c:pt>
                <c:pt idx="152">
                  <c:v>2677596.6775000007</c:v>
                </c:pt>
                <c:pt idx="153">
                  <c:v>2677596.6775000007</c:v>
                </c:pt>
                <c:pt idx="154">
                  <c:v>2677596.6775000007</c:v>
                </c:pt>
                <c:pt idx="155">
                  <c:v>2677596.6775000007</c:v>
                </c:pt>
                <c:pt idx="156">
                  <c:v>2677596.6775000007</c:v>
                </c:pt>
                <c:pt idx="157">
                  <c:v>2677596.6775000007</c:v>
                </c:pt>
                <c:pt idx="158">
                  <c:v>2677596.6775000007</c:v>
                </c:pt>
                <c:pt idx="159">
                  <c:v>2677596.6775000007</c:v>
                </c:pt>
                <c:pt idx="160">
                  <c:v>2677596.6775000007</c:v>
                </c:pt>
                <c:pt idx="161">
                  <c:v>2677596.6775000007</c:v>
                </c:pt>
                <c:pt idx="162">
                  <c:v>2677596.6775000007</c:v>
                </c:pt>
                <c:pt idx="163">
                  <c:v>2677596.6775000007</c:v>
                </c:pt>
                <c:pt idx="164">
                  <c:v>2677596.6775000007</c:v>
                </c:pt>
                <c:pt idx="165">
                  <c:v>2677596.6775000007</c:v>
                </c:pt>
                <c:pt idx="166">
                  <c:v>2677596.6775000007</c:v>
                </c:pt>
                <c:pt idx="167">
                  <c:v>2677596.6775000007</c:v>
                </c:pt>
                <c:pt idx="168">
                  <c:v>2677596.6775000007</c:v>
                </c:pt>
                <c:pt idx="169">
                  <c:v>2677596.6775000007</c:v>
                </c:pt>
                <c:pt idx="170">
                  <c:v>2677596.6775000007</c:v>
                </c:pt>
                <c:pt idx="171">
                  <c:v>2677596.6775000007</c:v>
                </c:pt>
                <c:pt idx="172">
                  <c:v>2677596.6775000007</c:v>
                </c:pt>
                <c:pt idx="173">
                  <c:v>2677596.6775000007</c:v>
                </c:pt>
                <c:pt idx="174">
                  <c:v>2677596.6775000007</c:v>
                </c:pt>
                <c:pt idx="175">
                  <c:v>2677596.6775000007</c:v>
                </c:pt>
                <c:pt idx="176">
                  <c:v>2677596.6775000007</c:v>
                </c:pt>
                <c:pt idx="177">
                  <c:v>2677596.6775000007</c:v>
                </c:pt>
                <c:pt idx="178">
                  <c:v>2677596.6775000007</c:v>
                </c:pt>
                <c:pt idx="179">
                  <c:v>2677596.6775000007</c:v>
                </c:pt>
                <c:pt idx="180">
                  <c:v>2677596.6775000007</c:v>
                </c:pt>
                <c:pt idx="181">
                  <c:v>2677596.6775000007</c:v>
                </c:pt>
                <c:pt idx="182">
                  <c:v>2677596.6775000007</c:v>
                </c:pt>
                <c:pt idx="183">
                  <c:v>2677596.6775000007</c:v>
                </c:pt>
                <c:pt idx="184">
                  <c:v>2677596.6775000007</c:v>
                </c:pt>
                <c:pt idx="185">
                  <c:v>2677596.6775000007</c:v>
                </c:pt>
                <c:pt idx="186">
                  <c:v>2677596.6775000007</c:v>
                </c:pt>
                <c:pt idx="187">
                  <c:v>2677596.6775000007</c:v>
                </c:pt>
                <c:pt idx="188">
                  <c:v>2677596.6775000007</c:v>
                </c:pt>
                <c:pt idx="189">
                  <c:v>2677596.6775000007</c:v>
                </c:pt>
                <c:pt idx="190">
                  <c:v>2677596.6775000007</c:v>
                </c:pt>
                <c:pt idx="191">
                  <c:v>2677596.6775000007</c:v>
                </c:pt>
                <c:pt idx="192">
                  <c:v>2677596.6775000007</c:v>
                </c:pt>
                <c:pt idx="193">
                  <c:v>2677596.6775000007</c:v>
                </c:pt>
                <c:pt idx="194">
                  <c:v>2677596.6775000007</c:v>
                </c:pt>
                <c:pt idx="195">
                  <c:v>2677596.6775000007</c:v>
                </c:pt>
                <c:pt idx="196">
                  <c:v>2677596.6775000007</c:v>
                </c:pt>
                <c:pt idx="197">
                  <c:v>2677596.6775000007</c:v>
                </c:pt>
                <c:pt idx="198">
                  <c:v>2677596.6775000007</c:v>
                </c:pt>
                <c:pt idx="199">
                  <c:v>2677596.6775000007</c:v>
                </c:pt>
                <c:pt idx="200">
                  <c:v>2677596.6775000007</c:v>
                </c:pt>
                <c:pt idx="201">
                  <c:v>2677596.6775000007</c:v>
                </c:pt>
                <c:pt idx="202">
                  <c:v>2677596.6775000007</c:v>
                </c:pt>
                <c:pt idx="203">
                  <c:v>2677596.6775000007</c:v>
                </c:pt>
                <c:pt idx="204">
                  <c:v>2677596.6775000007</c:v>
                </c:pt>
                <c:pt idx="205">
                  <c:v>2677596.6775000007</c:v>
                </c:pt>
                <c:pt idx="206">
                  <c:v>2677596.6775000007</c:v>
                </c:pt>
                <c:pt idx="207">
                  <c:v>2677596.6775000007</c:v>
                </c:pt>
                <c:pt idx="208">
                  <c:v>2677596.6775000007</c:v>
                </c:pt>
                <c:pt idx="209">
                  <c:v>2677596.6775000007</c:v>
                </c:pt>
                <c:pt idx="210">
                  <c:v>2677596.6775000007</c:v>
                </c:pt>
                <c:pt idx="211">
                  <c:v>2677596.6775000007</c:v>
                </c:pt>
                <c:pt idx="212">
                  <c:v>2677596.6775000007</c:v>
                </c:pt>
                <c:pt idx="213">
                  <c:v>2677596.6775000007</c:v>
                </c:pt>
                <c:pt idx="214">
                  <c:v>2677596.6775000007</c:v>
                </c:pt>
                <c:pt idx="215">
                  <c:v>2677596.6775000007</c:v>
                </c:pt>
                <c:pt idx="216">
                  <c:v>2677596.6775000007</c:v>
                </c:pt>
                <c:pt idx="217">
                  <c:v>2677596.6775000007</c:v>
                </c:pt>
                <c:pt idx="218">
                  <c:v>2677596.6775000007</c:v>
                </c:pt>
                <c:pt idx="219">
                  <c:v>2677596.6775000007</c:v>
                </c:pt>
                <c:pt idx="220">
                  <c:v>2677596.6775000007</c:v>
                </c:pt>
                <c:pt idx="221">
                  <c:v>2677596.6775000007</c:v>
                </c:pt>
                <c:pt idx="222">
                  <c:v>2677596.6775000007</c:v>
                </c:pt>
                <c:pt idx="223">
                  <c:v>2677596.6775000007</c:v>
                </c:pt>
                <c:pt idx="224">
                  <c:v>2677596.6775000007</c:v>
                </c:pt>
                <c:pt idx="225">
                  <c:v>2677596.6775000007</c:v>
                </c:pt>
                <c:pt idx="226">
                  <c:v>2677596.6775000007</c:v>
                </c:pt>
                <c:pt idx="227">
                  <c:v>2677596.6775000007</c:v>
                </c:pt>
                <c:pt idx="228">
                  <c:v>2677596.6775000007</c:v>
                </c:pt>
                <c:pt idx="229">
                  <c:v>2677596.6775000007</c:v>
                </c:pt>
                <c:pt idx="230">
                  <c:v>2677596.6775000007</c:v>
                </c:pt>
                <c:pt idx="231">
                  <c:v>2677596.6775000007</c:v>
                </c:pt>
                <c:pt idx="232">
                  <c:v>2677596.6775000007</c:v>
                </c:pt>
                <c:pt idx="233">
                  <c:v>2677596.6775000007</c:v>
                </c:pt>
                <c:pt idx="234">
                  <c:v>2677596.6775000007</c:v>
                </c:pt>
                <c:pt idx="235">
                  <c:v>2677596.6775000007</c:v>
                </c:pt>
                <c:pt idx="236">
                  <c:v>2677596.6775000007</c:v>
                </c:pt>
                <c:pt idx="237">
                  <c:v>2677596.6775000007</c:v>
                </c:pt>
                <c:pt idx="238">
                  <c:v>2677596.6775000007</c:v>
                </c:pt>
                <c:pt idx="239">
                  <c:v>2677596.6775000007</c:v>
                </c:pt>
                <c:pt idx="240">
                  <c:v>2677596.6775000007</c:v>
                </c:pt>
                <c:pt idx="241">
                  <c:v>2677596.6775000007</c:v>
                </c:pt>
                <c:pt idx="242">
                  <c:v>2677596.6775000007</c:v>
                </c:pt>
                <c:pt idx="243">
                  <c:v>2677596.6775000007</c:v>
                </c:pt>
                <c:pt idx="244">
                  <c:v>2677596.6775000007</c:v>
                </c:pt>
                <c:pt idx="245">
                  <c:v>2677596.6775000007</c:v>
                </c:pt>
                <c:pt idx="246">
                  <c:v>2677596.6775000007</c:v>
                </c:pt>
                <c:pt idx="247">
                  <c:v>2677596.6775000007</c:v>
                </c:pt>
                <c:pt idx="248">
                  <c:v>2677596.6775000007</c:v>
                </c:pt>
                <c:pt idx="249">
                  <c:v>2677596.6775000007</c:v>
                </c:pt>
                <c:pt idx="250">
                  <c:v>2677596.6775000007</c:v>
                </c:pt>
                <c:pt idx="251">
                  <c:v>2677596.6775000007</c:v>
                </c:pt>
                <c:pt idx="252">
                  <c:v>2677596.6775000007</c:v>
                </c:pt>
                <c:pt idx="253">
                  <c:v>2677596.6775000007</c:v>
                </c:pt>
                <c:pt idx="254">
                  <c:v>2677596.6775000007</c:v>
                </c:pt>
                <c:pt idx="255">
                  <c:v>2677596.6775000007</c:v>
                </c:pt>
                <c:pt idx="256">
                  <c:v>2677596.6775000007</c:v>
                </c:pt>
                <c:pt idx="257">
                  <c:v>2677596.6775000007</c:v>
                </c:pt>
                <c:pt idx="258">
                  <c:v>2677596.6775000007</c:v>
                </c:pt>
                <c:pt idx="259">
                  <c:v>2677596.6775000007</c:v>
                </c:pt>
                <c:pt idx="260">
                  <c:v>2677596.6775000007</c:v>
                </c:pt>
                <c:pt idx="261">
                  <c:v>2677596.6775000007</c:v>
                </c:pt>
                <c:pt idx="262">
                  <c:v>2677596.6775000007</c:v>
                </c:pt>
                <c:pt idx="263">
                  <c:v>2677596.6775000007</c:v>
                </c:pt>
                <c:pt idx="264">
                  <c:v>2677596.6775000007</c:v>
                </c:pt>
                <c:pt idx="265">
                  <c:v>2677596.6775000007</c:v>
                </c:pt>
                <c:pt idx="266">
                  <c:v>2677596.6775000007</c:v>
                </c:pt>
                <c:pt idx="267">
                  <c:v>2677596.6775000007</c:v>
                </c:pt>
                <c:pt idx="268">
                  <c:v>2677596.6775000007</c:v>
                </c:pt>
                <c:pt idx="269">
                  <c:v>2677596.6775000007</c:v>
                </c:pt>
                <c:pt idx="270">
                  <c:v>2677596.6775000007</c:v>
                </c:pt>
                <c:pt idx="271">
                  <c:v>2677596.6775000007</c:v>
                </c:pt>
                <c:pt idx="272">
                  <c:v>2677596.6775000007</c:v>
                </c:pt>
                <c:pt idx="273">
                  <c:v>2677596.6775000007</c:v>
                </c:pt>
                <c:pt idx="274">
                  <c:v>2677596.6775000007</c:v>
                </c:pt>
                <c:pt idx="275">
                  <c:v>2677596.6775000007</c:v>
                </c:pt>
                <c:pt idx="276">
                  <c:v>2677596.6775000007</c:v>
                </c:pt>
                <c:pt idx="277">
                  <c:v>2677596.6775000007</c:v>
                </c:pt>
                <c:pt idx="278">
                  <c:v>2677596.6775000007</c:v>
                </c:pt>
                <c:pt idx="279">
                  <c:v>2677596.6775000007</c:v>
                </c:pt>
                <c:pt idx="280">
                  <c:v>2677596.6775000007</c:v>
                </c:pt>
                <c:pt idx="281">
                  <c:v>2677596.6775000007</c:v>
                </c:pt>
                <c:pt idx="282">
                  <c:v>2677596.6775000007</c:v>
                </c:pt>
                <c:pt idx="283">
                  <c:v>2677596.6775000007</c:v>
                </c:pt>
                <c:pt idx="284">
                  <c:v>2677596.6775000007</c:v>
                </c:pt>
                <c:pt idx="285">
                  <c:v>2677596.6775000007</c:v>
                </c:pt>
                <c:pt idx="286">
                  <c:v>2677596.6775000007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-6000</c:v>
                </c:pt>
                <c:pt idx="8">
                  <c:v>-118885.63800000002</c:v>
                </c:pt>
                <c:pt idx="9">
                  <c:v>-32628.067500000005</c:v>
                </c:pt>
                <c:pt idx="10">
                  <c:v>1540635.5550000002</c:v>
                </c:pt>
                <c:pt idx="11">
                  <c:v>1469646.3850000002</c:v>
                </c:pt>
                <c:pt idx="12">
                  <c:v>1390445.3850000002</c:v>
                </c:pt>
                <c:pt idx="13">
                  <c:v>1117193.9100000001</c:v>
                </c:pt>
                <c:pt idx="14">
                  <c:v>1046495.8454958338</c:v>
                </c:pt>
                <c:pt idx="15">
                  <c:v>1027971.1154958338</c:v>
                </c:pt>
                <c:pt idx="16">
                  <c:v>150214.31749583362</c:v>
                </c:pt>
                <c:pt idx="17">
                  <c:v>149906.37749583367</c:v>
                </c:pt>
                <c:pt idx="18">
                  <c:v>127132.83749583364</c:v>
                </c:pt>
                <c:pt idx="19">
                  <c:v>51532.837495833635</c:v>
                </c:pt>
                <c:pt idx="20">
                  <c:v>-21754.662504166365</c:v>
                </c:pt>
                <c:pt idx="21">
                  <c:v>-29353.666504166555</c:v>
                </c:pt>
                <c:pt idx="22">
                  <c:v>-109237.91650416655</c:v>
                </c:pt>
                <c:pt idx="23">
                  <c:v>-128437.91650416655</c:v>
                </c:pt>
                <c:pt idx="24">
                  <c:v>-140010.91650416655</c:v>
                </c:pt>
                <c:pt idx="25">
                  <c:v>-229036.12800416676</c:v>
                </c:pt>
                <c:pt idx="26">
                  <c:v>79764.381995833013</c:v>
                </c:pt>
                <c:pt idx="27">
                  <c:v>79764.381995833013</c:v>
                </c:pt>
                <c:pt idx="28">
                  <c:v>79764.381995833013</c:v>
                </c:pt>
                <c:pt idx="29">
                  <c:v>79764.381995833013</c:v>
                </c:pt>
                <c:pt idx="30">
                  <c:v>79764.381995833013</c:v>
                </c:pt>
                <c:pt idx="31">
                  <c:v>79764.381995833013</c:v>
                </c:pt>
                <c:pt idx="32">
                  <c:v>79764.381995833013</c:v>
                </c:pt>
                <c:pt idx="33">
                  <c:v>79764.381995833013</c:v>
                </c:pt>
                <c:pt idx="34">
                  <c:v>79764.381995833013</c:v>
                </c:pt>
                <c:pt idx="35">
                  <c:v>79764.381995833013</c:v>
                </c:pt>
                <c:pt idx="36">
                  <c:v>79764.381995833013</c:v>
                </c:pt>
                <c:pt idx="37">
                  <c:v>79764.381995833013</c:v>
                </c:pt>
                <c:pt idx="38">
                  <c:v>79764.381995833013</c:v>
                </c:pt>
                <c:pt idx="39">
                  <c:v>142458.24199583288</c:v>
                </c:pt>
                <c:pt idx="40">
                  <c:v>142458.24199583288</c:v>
                </c:pt>
                <c:pt idx="41">
                  <c:v>142458.24199583288</c:v>
                </c:pt>
                <c:pt idx="42">
                  <c:v>142458.24199583288</c:v>
                </c:pt>
                <c:pt idx="43">
                  <c:v>142458.24199583288</c:v>
                </c:pt>
                <c:pt idx="44">
                  <c:v>142458.24199583288</c:v>
                </c:pt>
                <c:pt idx="45">
                  <c:v>142458.24199583288</c:v>
                </c:pt>
                <c:pt idx="46">
                  <c:v>142458.24199583288</c:v>
                </c:pt>
                <c:pt idx="47">
                  <c:v>142458.24199583288</c:v>
                </c:pt>
                <c:pt idx="48">
                  <c:v>142458.24199583288</c:v>
                </c:pt>
                <c:pt idx="49">
                  <c:v>142458.24199583288</c:v>
                </c:pt>
                <c:pt idx="50">
                  <c:v>142458.24199583288</c:v>
                </c:pt>
                <c:pt idx="51">
                  <c:v>142458.24199583288</c:v>
                </c:pt>
                <c:pt idx="52">
                  <c:v>142458.24199583288</c:v>
                </c:pt>
                <c:pt idx="53">
                  <c:v>142458.24199583288</c:v>
                </c:pt>
                <c:pt idx="54">
                  <c:v>142458.24199583288</c:v>
                </c:pt>
                <c:pt idx="55">
                  <c:v>142458.24199583288</c:v>
                </c:pt>
                <c:pt idx="56">
                  <c:v>142458.24199583288</c:v>
                </c:pt>
                <c:pt idx="57">
                  <c:v>142458.24199583288</c:v>
                </c:pt>
                <c:pt idx="58">
                  <c:v>142458.24199583288</c:v>
                </c:pt>
                <c:pt idx="59">
                  <c:v>142458.24199583288</c:v>
                </c:pt>
                <c:pt idx="60">
                  <c:v>142458.24199583288</c:v>
                </c:pt>
                <c:pt idx="61">
                  <c:v>142458.24199583288</c:v>
                </c:pt>
                <c:pt idx="62">
                  <c:v>142458.24199583288</c:v>
                </c:pt>
                <c:pt idx="63">
                  <c:v>142458.24199583288</c:v>
                </c:pt>
                <c:pt idx="64">
                  <c:v>142458.24199583288</c:v>
                </c:pt>
                <c:pt idx="65">
                  <c:v>142458.24199583288</c:v>
                </c:pt>
                <c:pt idx="66">
                  <c:v>142458.24199583288</c:v>
                </c:pt>
                <c:pt idx="67">
                  <c:v>142458.24199583288</c:v>
                </c:pt>
                <c:pt idx="68">
                  <c:v>142458.24199583288</c:v>
                </c:pt>
                <c:pt idx="69">
                  <c:v>142458.24199583288</c:v>
                </c:pt>
                <c:pt idx="70">
                  <c:v>142458.24199583288</c:v>
                </c:pt>
                <c:pt idx="71">
                  <c:v>142458.24199583288</c:v>
                </c:pt>
                <c:pt idx="72">
                  <c:v>142458.24199583288</c:v>
                </c:pt>
                <c:pt idx="73">
                  <c:v>142458.24199583288</c:v>
                </c:pt>
                <c:pt idx="74">
                  <c:v>142458.24199583288</c:v>
                </c:pt>
                <c:pt idx="75">
                  <c:v>142458.24199583288</c:v>
                </c:pt>
                <c:pt idx="76">
                  <c:v>142458.24199583288</c:v>
                </c:pt>
                <c:pt idx="77">
                  <c:v>142458.24199583288</c:v>
                </c:pt>
                <c:pt idx="78">
                  <c:v>142458.24199583288</c:v>
                </c:pt>
                <c:pt idx="79">
                  <c:v>142458.24199583288</c:v>
                </c:pt>
                <c:pt idx="80">
                  <c:v>142458.24199583288</c:v>
                </c:pt>
                <c:pt idx="81">
                  <c:v>142458.24199583288</c:v>
                </c:pt>
                <c:pt idx="82">
                  <c:v>142458.24199583288</c:v>
                </c:pt>
                <c:pt idx="83">
                  <c:v>142458.24199583288</c:v>
                </c:pt>
                <c:pt idx="84">
                  <c:v>142458.24199583288</c:v>
                </c:pt>
                <c:pt idx="85">
                  <c:v>142458.24199583288</c:v>
                </c:pt>
                <c:pt idx="86">
                  <c:v>142458.24199583288</c:v>
                </c:pt>
                <c:pt idx="87">
                  <c:v>142458.24199583288</c:v>
                </c:pt>
                <c:pt idx="88">
                  <c:v>142458.24199583288</c:v>
                </c:pt>
                <c:pt idx="89">
                  <c:v>142458.24199583288</c:v>
                </c:pt>
                <c:pt idx="90">
                  <c:v>142458.24199583288</c:v>
                </c:pt>
                <c:pt idx="91">
                  <c:v>142458.24199583288</c:v>
                </c:pt>
                <c:pt idx="92">
                  <c:v>142458.24199583288</c:v>
                </c:pt>
                <c:pt idx="93">
                  <c:v>142458.24199583288</c:v>
                </c:pt>
                <c:pt idx="94">
                  <c:v>142458.24199583288</c:v>
                </c:pt>
                <c:pt idx="95">
                  <c:v>142458.24199583288</c:v>
                </c:pt>
                <c:pt idx="96">
                  <c:v>142458.24199583288</c:v>
                </c:pt>
                <c:pt idx="97">
                  <c:v>142458.24199583288</c:v>
                </c:pt>
                <c:pt idx="98">
                  <c:v>142458.24199583288</c:v>
                </c:pt>
                <c:pt idx="99">
                  <c:v>142458.24199583288</c:v>
                </c:pt>
                <c:pt idx="100">
                  <c:v>142458.24199583288</c:v>
                </c:pt>
                <c:pt idx="101">
                  <c:v>142458.24199583288</c:v>
                </c:pt>
                <c:pt idx="102">
                  <c:v>142458.24199583288</c:v>
                </c:pt>
                <c:pt idx="103">
                  <c:v>142458.24199583288</c:v>
                </c:pt>
                <c:pt idx="104">
                  <c:v>142458.24199583288</c:v>
                </c:pt>
                <c:pt idx="105">
                  <c:v>142458.24199583288</c:v>
                </c:pt>
                <c:pt idx="106">
                  <c:v>142458.24199583288</c:v>
                </c:pt>
                <c:pt idx="107">
                  <c:v>142458.24199583288</c:v>
                </c:pt>
                <c:pt idx="108">
                  <c:v>142458.24199583288</c:v>
                </c:pt>
                <c:pt idx="109">
                  <c:v>142458.24199583288</c:v>
                </c:pt>
                <c:pt idx="110">
                  <c:v>142458.24199583288</c:v>
                </c:pt>
                <c:pt idx="111">
                  <c:v>142458.24199583288</c:v>
                </c:pt>
                <c:pt idx="112">
                  <c:v>142458.24199583288</c:v>
                </c:pt>
                <c:pt idx="113">
                  <c:v>142458.24199583288</c:v>
                </c:pt>
                <c:pt idx="114">
                  <c:v>142458.24199583288</c:v>
                </c:pt>
                <c:pt idx="115">
                  <c:v>142458.24199583288</c:v>
                </c:pt>
                <c:pt idx="116">
                  <c:v>142458.24199583288</c:v>
                </c:pt>
                <c:pt idx="117">
                  <c:v>142458.24199583288</c:v>
                </c:pt>
                <c:pt idx="118">
                  <c:v>142458.24199583288</c:v>
                </c:pt>
                <c:pt idx="119">
                  <c:v>142458.24199583288</c:v>
                </c:pt>
                <c:pt idx="120">
                  <c:v>142458.24199583288</c:v>
                </c:pt>
                <c:pt idx="121">
                  <c:v>142458.24199583288</c:v>
                </c:pt>
                <c:pt idx="122">
                  <c:v>142458.24199583288</c:v>
                </c:pt>
                <c:pt idx="123">
                  <c:v>142458.24199583288</c:v>
                </c:pt>
                <c:pt idx="124">
                  <c:v>142458.24199583288</c:v>
                </c:pt>
                <c:pt idx="125">
                  <c:v>142458.24199583288</c:v>
                </c:pt>
                <c:pt idx="126">
                  <c:v>142458.24199583288</c:v>
                </c:pt>
                <c:pt idx="127">
                  <c:v>142458.24199583288</c:v>
                </c:pt>
                <c:pt idx="128">
                  <c:v>142458.24199583288</c:v>
                </c:pt>
                <c:pt idx="129">
                  <c:v>142458.24199583288</c:v>
                </c:pt>
                <c:pt idx="130">
                  <c:v>142458.24199583288</c:v>
                </c:pt>
                <c:pt idx="131">
                  <c:v>142458.24199583288</c:v>
                </c:pt>
                <c:pt idx="132">
                  <c:v>142458.24199583288</c:v>
                </c:pt>
                <c:pt idx="133">
                  <c:v>142458.24199583288</c:v>
                </c:pt>
                <c:pt idx="134">
                  <c:v>142458.24199583288</c:v>
                </c:pt>
                <c:pt idx="135">
                  <c:v>142458.24199583288</c:v>
                </c:pt>
                <c:pt idx="136">
                  <c:v>142458.24199583288</c:v>
                </c:pt>
                <c:pt idx="137">
                  <c:v>142458.24199583288</c:v>
                </c:pt>
                <c:pt idx="138">
                  <c:v>142458.24199583288</c:v>
                </c:pt>
                <c:pt idx="139">
                  <c:v>142458.24199583288</c:v>
                </c:pt>
                <c:pt idx="140">
                  <c:v>142458.24199583288</c:v>
                </c:pt>
                <c:pt idx="141">
                  <c:v>142458.24199583288</c:v>
                </c:pt>
                <c:pt idx="142">
                  <c:v>142458.24199583288</c:v>
                </c:pt>
                <c:pt idx="143">
                  <c:v>142458.24199583288</c:v>
                </c:pt>
                <c:pt idx="144">
                  <c:v>142458.24199583288</c:v>
                </c:pt>
                <c:pt idx="145">
                  <c:v>142458.24199583288</c:v>
                </c:pt>
                <c:pt idx="146">
                  <c:v>142458.24199583288</c:v>
                </c:pt>
                <c:pt idx="147">
                  <c:v>142458.24199583288</c:v>
                </c:pt>
                <c:pt idx="148">
                  <c:v>142458.24199583288</c:v>
                </c:pt>
                <c:pt idx="149">
                  <c:v>142458.24199583288</c:v>
                </c:pt>
                <c:pt idx="150">
                  <c:v>142458.24199583288</c:v>
                </c:pt>
                <c:pt idx="151">
                  <c:v>142458.24199583288</c:v>
                </c:pt>
                <c:pt idx="152">
                  <c:v>142458.24199583288</c:v>
                </c:pt>
                <c:pt idx="153">
                  <c:v>142458.24199583288</c:v>
                </c:pt>
                <c:pt idx="154">
                  <c:v>142458.24199583288</c:v>
                </c:pt>
                <c:pt idx="155">
                  <c:v>142458.24199583288</c:v>
                </c:pt>
                <c:pt idx="156">
                  <c:v>142458.24199583288</c:v>
                </c:pt>
                <c:pt idx="157">
                  <c:v>142458.24199583288</c:v>
                </c:pt>
                <c:pt idx="158">
                  <c:v>142458.24199583288</c:v>
                </c:pt>
                <c:pt idx="159">
                  <c:v>142458.24199583288</c:v>
                </c:pt>
                <c:pt idx="160">
                  <c:v>142458.24199583288</c:v>
                </c:pt>
                <c:pt idx="161">
                  <c:v>142458.24199583288</c:v>
                </c:pt>
                <c:pt idx="162">
                  <c:v>142458.24199583288</c:v>
                </c:pt>
                <c:pt idx="163">
                  <c:v>142458.24199583288</c:v>
                </c:pt>
                <c:pt idx="164">
                  <c:v>142458.24199583288</c:v>
                </c:pt>
                <c:pt idx="165">
                  <c:v>142458.24199583288</c:v>
                </c:pt>
                <c:pt idx="166">
                  <c:v>142458.24199583288</c:v>
                </c:pt>
                <c:pt idx="167">
                  <c:v>142458.24199583288</c:v>
                </c:pt>
                <c:pt idx="168">
                  <c:v>142458.24199583288</c:v>
                </c:pt>
                <c:pt idx="169">
                  <c:v>142458.24199583288</c:v>
                </c:pt>
                <c:pt idx="170">
                  <c:v>142458.24199583288</c:v>
                </c:pt>
                <c:pt idx="171">
                  <c:v>142458.24199583288</c:v>
                </c:pt>
                <c:pt idx="172">
                  <c:v>142458.24199583288</c:v>
                </c:pt>
                <c:pt idx="173">
                  <c:v>142458.24199583288</c:v>
                </c:pt>
                <c:pt idx="174">
                  <c:v>142458.24199583288</c:v>
                </c:pt>
                <c:pt idx="175">
                  <c:v>142458.24199583288</c:v>
                </c:pt>
                <c:pt idx="176">
                  <c:v>142458.24199583288</c:v>
                </c:pt>
                <c:pt idx="177">
                  <c:v>142458.24199583288</c:v>
                </c:pt>
                <c:pt idx="178">
                  <c:v>142458.24199583288</c:v>
                </c:pt>
                <c:pt idx="179">
                  <c:v>142458.24199583288</c:v>
                </c:pt>
                <c:pt idx="180">
                  <c:v>142458.24199583288</c:v>
                </c:pt>
                <c:pt idx="181">
                  <c:v>142458.24199583288</c:v>
                </c:pt>
                <c:pt idx="182">
                  <c:v>142458.24199583288</c:v>
                </c:pt>
                <c:pt idx="183">
                  <c:v>142458.24199583288</c:v>
                </c:pt>
                <c:pt idx="184">
                  <c:v>142458.24199583288</c:v>
                </c:pt>
                <c:pt idx="185">
                  <c:v>142458.24199583288</c:v>
                </c:pt>
                <c:pt idx="186">
                  <c:v>142458.24199583288</c:v>
                </c:pt>
                <c:pt idx="187">
                  <c:v>142458.24199583288</c:v>
                </c:pt>
                <c:pt idx="188">
                  <c:v>142458.24199583288</c:v>
                </c:pt>
                <c:pt idx="189">
                  <c:v>142458.24199583288</c:v>
                </c:pt>
                <c:pt idx="190">
                  <c:v>142458.24199583288</c:v>
                </c:pt>
                <c:pt idx="191">
                  <c:v>142458.24199583288</c:v>
                </c:pt>
                <c:pt idx="192">
                  <c:v>142458.24199583288</c:v>
                </c:pt>
                <c:pt idx="193">
                  <c:v>142458.24199583288</c:v>
                </c:pt>
                <c:pt idx="194">
                  <c:v>142458.24199583288</c:v>
                </c:pt>
                <c:pt idx="195">
                  <c:v>142458.24199583288</c:v>
                </c:pt>
                <c:pt idx="196">
                  <c:v>142458.24199583288</c:v>
                </c:pt>
                <c:pt idx="197">
                  <c:v>142458.24199583288</c:v>
                </c:pt>
                <c:pt idx="198">
                  <c:v>142458.24199583288</c:v>
                </c:pt>
                <c:pt idx="199">
                  <c:v>142458.24199583288</c:v>
                </c:pt>
                <c:pt idx="200">
                  <c:v>142458.24199583288</c:v>
                </c:pt>
                <c:pt idx="201">
                  <c:v>142458.24199583288</c:v>
                </c:pt>
                <c:pt idx="202">
                  <c:v>142458.24199583288</c:v>
                </c:pt>
                <c:pt idx="203">
                  <c:v>142458.24199583288</c:v>
                </c:pt>
                <c:pt idx="204">
                  <c:v>142458.24199583288</c:v>
                </c:pt>
                <c:pt idx="205">
                  <c:v>142458.24199583288</c:v>
                </c:pt>
                <c:pt idx="206">
                  <c:v>142458.24199583288</c:v>
                </c:pt>
                <c:pt idx="207">
                  <c:v>142458.24199583288</c:v>
                </c:pt>
                <c:pt idx="208">
                  <c:v>142458.24199583288</c:v>
                </c:pt>
                <c:pt idx="209">
                  <c:v>142458.24199583288</c:v>
                </c:pt>
                <c:pt idx="210">
                  <c:v>142458.24199583288</c:v>
                </c:pt>
                <c:pt idx="211">
                  <c:v>142458.24199583288</c:v>
                </c:pt>
                <c:pt idx="212">
                  <c:v>142458.24199583288</c:v>
                </c:pt>
                <c:pt idx="213">
                  <c:v>142458.24199583288</c:v>
                </c:pt>
                <c:pt idx="214">
                  <c:v>142458.24199583288</c:v>
                </c:pt>
                <c:pt idx="215">
                  <c:v>142458.24199583288</c:v>
                </c:pt>
                <c:pt idx="216">
                  <c:v>142458.24199583288</c:v>
                </c:pt>
                <c:pt idx="217">
                  <c:v>142458.24199583288</c:v>
                </c:pt>
                <c:pt idx="218">
                  <c:v>142458.24199583288</c:v>
                </c:pt>
                <c:pt idx="219">
                  <c:v>142458.24199583288</c:v>
                </c:pt>
                <c:pt idx="220">
                  <c:v>142458.24199583288</c:v>
                </c:pt>
                <c:pt idx="221">
                  <c:v>142458.24199583288</c:v>
                </c:pt>
                <c:pt idx="222">
                  <c:v>142458.24199583288</c:v>
                </c:pt>
                <c:pt idx="223">
                  <c:v>142458.24199583288</c:v>
                </c:pt>
                <c:pt idx="224">
                  <c:v>142458.24199583288</c:v>
                </c:pt>
                <c:pt idx="225">
                  <c:v>142458.24199583288</c:v>
                </c:pt>
                <c:pt idx="226">
                  <c:v>142458.24199583288</c:v>
                </c:pt>
                <c:pt idx="227">
                  <c:v>142458.24199583288</c:v>
                </c:pt>
                <c:pt idx="228">
                  <c:v>142458.24199583288</c:v>
                </c:pt>
                <c:pt idx="229">
                  <c:v>142458.24199583288</c:v>
                </c:pt>
                <c:pt idx="230">
                  <c:v>142458.24199583288</c:v>
                </c:pt>
                <c:pt idx="231">
                  <c:v>142458.24199583288</c:v>
                </c:pt>
                <c:pt idx="232">
                  <c:v>142458.24199583288</c:v>
                </c:pt>
                <c:pt idx="233">
                  <c:v>142458.24199583288</c:v>
                </c:pt>
                <c:pt idx="234">
                  <c:v>142458.24199583288</c:v>
                </c:pt>
                <c:pt idx="235">
                  <c:v>142458.24199583288</c:v>
                </c:pt>
                <c:pt idx="236">
                  <c:v>142458.24199583288</c:v>
                </c:pt>
                <c:pt idx="237">
                  <c:v>142458.24199583288</c:v>
                </c:pt>
                <c:pt idx="238">
                  <c:v>142458.24199583288</c:v>
                </c:pt>
                <c:pt idx="239">
                  <c:v>142458.24199583288</c:v>
                </c:pt>
                <c:pt idx="240">
                  <c:v>142458.24199583288</c:v>
                </c:pt>
                <c:pt idx="241">
                  <c:v>142458.24199583288</c:v>
                </c:pt>
                <c:pt idx="242">
                  <c:v>142458.24199583288</c:v>
                </c:pt>
                <c:pt idx="243">
                  <c:v>142458.24199583288</c:v>
                </c:pt>
                <c:pt idx="244">
                  <c:v>142458.24199583288</c:v>
                </c:pt>
                <c:pt idx="245">
                  <c:v>142458.24199583288</c:v>
                </c:pt>
                <c:pt idx="246">
                  <c:v>142458.24199583288</c:v>
                </c:pt>
                <c:pt idx="247">
                  <c:v>142458.24199583288</c:v>
                </c:pt>
                <c:pt idx="248">
                  <c:v>142458.24199583288</c:v>
                </c:pt>
                <c:pt idx="249">
                  <c:v>142458.24199583288</c:v>
                </c:pt>
                <c:pt idx="250">
                  <c:v>142458.24199583288</c:v>
                </c:pt>
                <c:pt idx="251">
                  <c:v>142458.24199583288</c:v>
                </c:pt>
                <c:pt idx="252">
                  <c:v>142458.24199583288</c:v>
                </c:pt>
                <c:pt idx="253">
                  <c:v>142458.24199583288</c:v>
                </c:pt>
                <c:pt idx="254">
                  <c:v>142458.24199583288</c:v>
                </c:pt>
                <c:pt idx="255">
                  <c:v>142458.24199583288</c:v>
                </c:pt>
                <c:pt idx="256">
                  <c:v>142458.24199583288</c:v>
                </c:pt>
                <c:pt idx="257">
                  <c:v>142458.24199583288</c:v>
                </c:pt>
                <c:pt idx="258">
                  <c:v>142458.24199583288</c:v>
                </c:pt>
                <c:pt idx="259">
                  <c:v>142458.24199583288</c:v>
                </c:pt>
                <c:pt idx="260">
                  <c:v>142458.24199583288</c:v>
                </c:pt>
                <c:pt idx="261">
                  <c:v>142458.24199583288</c:v>
                </c:pt>
                <c:pt idx="262">
                  <c:v>142458.24199583288</c:v>
                </c:pt>
                <c:pt idx="263">
                  <c:v>142458.24199583288</c:v>
                </c:pt>
                <c:pt idx="264">
                  <c:v>142458.24199583288</c:v>
                </c:pt>
                <c:pt idx="265">
                  <c:v>142458.24199583288</c:v>
                </c:pt>
                <c:pt idx="266">
                  <c:v>142458.24199583288</c:v>
                </c:pt>
                <c:pt idx="267">
                  <c:v>142458.24199583288</c:v>
                </c:pt>
                <c:pt idx="268">
                  <c:v>142458.24199583288</c:v>
                </c:pt>
                <c:pt idx="269">
                  <c:v>142458.24199583288</c:v>
                </c:pt>
                <c:pt idx="270">
                  <c:v>142458.24199583288</c:v>
                </c:pt>
                <c:pt idx="271">
                  <c:v>142458.24199583288</c:v>
                </c:pt>
                <c:pt idx="272">
                  <c:v>142458.24199583288</c:v>
                </c:pt>
                <c:pt idx="273">
                  <c:v>142458.24199583288</c:v>
                </c:pt>
                <c:pt idx="274">
                  <c:v>142458.24199583288</c:v>
                </c:pt>
                <c:pt idx="275">
                  <c:v>142458.24199583288</c:v>
                </c:pt>
                <c:pt idx="276">
                  <c:v>142458.24199583288</c:v>
                </c:pt>
                <c:pt idx="277">
                  <c:v>142458.24199583288</c:v>
                </c:pt>
                <c:pt idx="278">
                  <c:v>142458.24199583288</c:v>
                </c:pt>
                <c:pt idx="279">
                  <c:v>142458.24199583288</c:v>
                </c:pt>
                <c:pt idx="280">
                  <c:v>142458.24199583288</c:v>
                </c:pt>
                <c:pt idx="281">
                  <c:v>142458.24199583288</c:v>
                </c:pt>
                <c:pt idx="282">
                  <c:v>142458.24199583288</c:v>
                </c:pt>
                <c:pt idx="283">
                  <c:v>142458.24199583288</c:v>
                </c:pt>
                <c:pt idx="284">
                  <c:v>142458.24199583288</c:v>
                </c:pt>
                <c:pt idx="285">
                  <c:v>142458.24199583288</c:v>
                </c:pt>
                <c:pt idx="286">
                  <c:v>142458.24199583288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1304579.4081294227</c:v>
                </c:pt>
                <c:pt idx="9">
                  <c:v>1304579.4081294227</c:v>
                </c:pt>
                <c:pt idx="10">
                  <c:v>1304579.4081294227</c:v>
                </c:pt>
                <c:pt idx="11">
                  <c:v>1304579.4081294227</c:v>
                </c:pt>
                <c:pt idx="12">
                  <c:v>1977397.3621035733</c:v>
                </c:pt>
                <c:pt idx="13">
                  <c:v>1977397.3621035733</c:v>
                </c:pt>
                <c:pt idx="14">
                  <c:v>1977397.3621035733</c:v>
                </c:pt>
                <c:pt idx="15">
                  <c:v>1977397.3621035733</c:v>
                </c:pt>
                <c:pt idx="16">
                  <c:v>1977397.3621035733</c:v>
                </c:pt>
                <c:pt idx="17">
                  <c:v>2592065.1345573827</c:v>
                </c:pt>
                <c:pt idx="18">
                  <c:v>2592065.1345573827</c:v>
                </c:pt>
                <c:pt idx="19">
                  <c:v>2592065.1345573827</c:v>
                </c:pt>
                <c:pt idx="20">
                  <c:v>2592065.1345573827</c:v>
                </c:pt>
                <c:pt idx="21">
                  <c:v>2727994.4233701387</c:v>
                </c:pt>
                <c:pt idx="22">
                  <c:v>2727994.4233701387</c:v>
                </c:pt>
                <c:pt idx="23">
                  <c:v>2727994.4233701387</c:v>
                </c:pt>
                <c:pt idx="24">
                  <c:v>2727994.4233701387</c:v>
                </c:pt>
                <c:pt idx="25">
                  <c:v>2792653.9759772802</c:v>
                </c:pt>
                <c:pt idx="26">
                  <c:v>2792653.9759772802</c:v>
                </c:pt>
                <c:pt idx="27">
                  <c:v>2792653.9759772802</c:v>
                </c:pt>
                <c:pt idx="28">
                  <c:v>2792653.9759772802</c:v>
                </c:pt>
                <c:pt idx="29">
                  <c:v>2792653.9759772802</c:v>
                </c:pt>
                <c:pt idx="30">
                  <c:v>2792653.9759772802</c:v>
                </c:pt>
                <c:pt idx="31">
                  <c:v>2792653.9759772802</c:v>
                </c:pt>
                <c:pt idx="32">
                  <c:v>2792653.9759772802</c:v>
                </c:pt>
                <c:pt idx="33">
                  <c:v>2792653.9759772802</c:v>
                </c:pt>
                <c:pt idx="34">
                  <c:v>2792653.9759772802</c:v>
                </c:pt>
                <c:pt idx="35">
                  <c:v>2792653.9759772802</c:v>
                </c:pt>
                <c:pt idx="36">
                  <c:v>2792653.9759772802</c:v>
                </c:pt>
                <c:pt idx="37">
                  <c:v>2792653.9759772802</c:v>
                </c:pt>
                <c:pt idx="38">
                  <c:v>2792653.9759772802</c:v>
                </c:pt>
                <c:pt idx="39">
                  <c:v>2792653.9759772802</c:v>
                </c:pt>
                <c:pt idx="40">
                  <c:v>2792653.9759772802</c:v>
                </c:pt>
                <c:pt idx="41">
                  <c:v>2792653.9759772802</c:v>
                </c:pt>
                <c:pt idx="42">
                  <c:v>2792653.9759772802</c:v>
                </c:pt>
                <c:pt idx="43">
                  <c:v>2792653.9759772802</c:v>
                </c:pt>
                <c:pt idx="44">
                  <c:v>2792653.9759772802</c:v>
                </c:pt>
                <c:pt idx="45">
                  <c:v>2792653.9759772802</c:v>
                </c:pt>
                <c:pt idx="46">
                  <c:v>2792653.9759772802</c:v>
                </c:pt>
                <c:pt idx="47">
                  <c:v>2792653.9759772802</c:v>
                </c:pt>
                <c:pt idx="48">
                  <c:v>2792653.9759772802</c:v>
                </c:pt>
                <c:pt idx="49">
                  <c:v>2792653.9759772802</c:v>
                </c:pt>
                <c:pt idx="50">
                  <c:v>2792653.9759772802</c:v>
                </c:pt>
                <c:pt idx="51">
                  <c:v>2792653.9759772802</c:v>
                </c:pt>
                <c:pt idx="52">
                  <c:v>2792653.9759772802</c:v>
                </c:pt>
                <c:pt idx="53">
                  <c:v>2792653.9759772802</c:v>
                </c:pt>
                <c:pt idx="54">
                  <c:v>2792653.9759772802</c:v>
                </c:pt>
                <c:pt idx="55">
                  <c:v>2792653.9759772802</c:v>
                </c:pt>
                <c:pt idx="56">
                  <c:v>2792653.9759772802</c:v>
                </c:pt>
                <c:pt idx="57">
                  <c:v>2792653.9759772802</c:v>
                </c:pt>
                <c:pt idx="58">
                  <c:v>2792653.9759772802</c:v>
                </c:pt>
                <c:pt idx="59">
                  <c:v>2792653.9759772802</c:v>
                </c:pt>
                <c:pt idx="60">
                  <c:v>2792653.9759772802</c:v>
                </c:pt>
                <c:pt idx="61">
                  <c:v>2792653.9759772802</c:v>
                </c:pt>
                <c:pt idx="62">
                  <c:v>2792653.9759772802</c:v>
                </c:pt>
                <c:pt idx="63">
                  <c:v>2792653.9759772802</c:v>
                </c:pt>
                <c:pt idx="64">
                  <c:v>2792653.9759772802</c:v>
                </c:pt>
                <c:pt idx="65">
                  <c:v>2792653.9759772802</c:v>
                </c:pt>
                <c:pt idx="66">
                  <c:v>2792653.9759772802</c:v>
                </c:pt>
                <c:pt idx="67">
                  <c:v>2792653.9759772802</c:v>
                </c:pt>
                <c:pt idx="68">
                  <c:v>2792653.9759772802</c:v>
                </c:pt>
                <c:pt idx="69">
                  <c:v>2792653.9759772802</c:v>
                </c:pt>
                <c:pt idx="70">
                  <c:v>2792653.9759772802</c:v>
                </c:pt>
                <c:pt idx="71">
                  <c:v>2792653.9759772802</c:v>
                </c:pt>
                <c:pt idx="72">
                  <c:v>2792653.9759772802</c:v>
                </c:pt>
                <c:pt idx="73">
                  <c:v>2792653.9759772802</c:v>
                </c:pt>
                <c:pt idx="74">
                  <c:v>2792653.9759772802</c:v>
                </c:pt>
                <c:pt idx="75">
                  <c:v>2792653.9759772802</c:v>
                </c:pt>
                <c:pt idx="76">
                  <c:v>2792653.9759772802</c:v>
                </c:pt>
                <c:pt idx="77">
                  <c:v>2792653.9759772802</c:v>
                </c:pt>
                <c:pt idx="78">
                  <c:v>2792653.9759772802</c:v>
                </c:pt>
                <c:pt idx="79">
                  <c:v>2792653.9759772802</c:v>
                </c:pt>
                <c:pt idx="80">
                  <c:v>2792653.9759772802</c:v>
                </c:pt>
                <c:pt idx="81">
                  <c:v>2792653.9759772802</c:v>
                </c:pt>
                <c:pt idx="82">
                  <c:v>2792653.9759772802</c:v>
                </c:pt>
                <c:pt idx="83">
                  <c:v>2792653.9759772802</c:v>
                </c:pt>
                <c:pt idx="84">
                  <c:v>2792653.9759772802</c:v>
                </c:pt>
                <c:pt idx="85">
                  <c:v>2792653.9759772802</c:v>
                </c:pt>
                <c:pt idx="86">
                  <c:v>2792653.9759772802</c:v>
                </c:pt>
                <c:pt idx="87">
                  <c:v>2792653.9759772802</c:v>
                </c:pt>
                <c:pt idx="88">
                  <c:v>2792653.9759772802</c:v>
                </c:pt>
                <c:pt idx="89">
                  <c:v>2792653.9759772802</c:v>
                </c:pt>
                <c:pt idx="90">
                  <c:v>2792653.9759772802</c:v>
                </c:pt>
                <c:pt idx="91">
                  <c:v>2792653.9759772802</c:v>
                </c:pt>
                <c:pt idx="92">
                  <c:v>2792653.9759772802</c:v>
                </c:pt>
                <c:pt idx="93">
                  <c:v>2792653.9759772802</c:v>
                </c:pt>
                <c:pt idx="94">
                  <c:v>2792653.9759772802</c:v>
                </c:pt>
                <c:pt idx="95">
                  <c:v>2792653.9759772802</c:v>
                </c:pt>
                <c:pt idx="96">
                  <c:v>2792653.9759772802</c:v>
                </c:pt>
                <c:pt idx="97">
                  <c:v>2792653.9759772802</c:v>
                </c:pt>
                <c:pt idx="98">
                  <c:v>2792653.9759772802</c:v>
                </c:pt>
                <c:pt idx="99">
                  <c:v>2792653.9759772802</c:v>
                </c:pt>
                <c:pt idx="100">
                  <c:v>2792653.9759772802</c:v>
                </c:pt>
                <c:pt idx="101">
                  <c:v>2792653.9759772802</c:v>
                </c:pt>
                <c:pt idx="102">
                  <c:v>2792653.9759772802</c:v>
                </c:pt>
                <c:pt idx="103">
                  <c:v>2792653.9759772802</c:v>
                </c:pt>
                <c:pt idx="104">
                  <c:v>2792653.9759772802</c:v>
                </c:pt>
                <c:pt idx="105">
                  <c:v>2792653.9759772802</c:v>
                </c:pt>
                <c:pt idx="106">
                  <c:v>2792653.9759772802</c:v>
                </c:pt>
                <c:pt idx="107">
                  <c:v>2792653.9759772802</c:v>
                </c:pt>
                <c:pt idx="108">
                  <c:v>2792653.9759772802</c:v>
                </c:pt>
                <c:pt idx="109">
                  <c:v>2792653.9759772802</c:v>
                </c:pt>
                <c:pt idx="110">
                  <c:v>2792653.9759772802</c:v>
                </c:pt>
                <c:pt idx="111">
                  <c:v>2792653.9759772802</c:v>
                </c:pt>
                <c:pt idx="112">
                  <c:v>2792653.9759772802</c:v>
                </c:pt>
                <c:pt idx="113">
                  <c:v>2792653.9759772802</c:v>
                </c:pt>
                <c:pt idx="114">
                  <c:v>2792653.9759772802</c:v>
                </c:pt>
                <c:pt idx="115">
                  <c:v>2792653.9759772802</c:v>
                </c:pt>
                <c:pt idx="116">
                  <c:v>2792653.9759772802</c:v>
                </c:pt>
                <c:pt idx="117">
                  <c:v>2792653.9759772802</c:v>
                </c:pt>
                <c:pt idx="118">
                  <c:v>2792653.9759772802</c:v>
                </c:pt>
                <c:pt idx="119">
                  <c:v>2792653.9759772802</c:v>
                </c:pt>
                <c:pt idx="120">
                  <c:v>2792653.9759772802</c:v>
                </c:pt>
                <c:pt idx="121">
                  <c:v>2792653.9759772802</c:v>
                </c:pt>
                <c:pt idx="122">
                  <c:v>2792653.9759772802</c:v>
                </c:pt>
                <c:pt idx="123">
                  <c:v>2792653.9759772802</c:v>
                </c:pt>
                <c:pt idx="124">
                  <c:v>2792653.9759772802</c:v>
                </c:pt>
                <c:pt idx="125">
                  <c:v>2792653.9759772802</c:v>
                </c:pt>
                <c:pt idx="126">
                  <c:v>2792653.9759772802</c:v>
                </c:pt>
                <c:pt idx="127">
                  <c:v>2792653.9759772802</c:v>
                </c:pt>
                <c:pt idx="128">
                  <c:v>2792653.9759772802</c:v>
                </c:pt>
                <c:pt idx="129">
                  <c:v>2792653.9759772802</c:v>
                </c:pt>
                <c:pt idx="130">
                  <c:v>2792653.9759772802</c:v>
                </c:pt>
                <c:pt idx="131">
                  <c:v>2792653.9759772802</c:v>
                </c:pt>
                <c:pt idx="132">
                  <c:v>2792653.9759772802</c:v>
                </c:pt>
                <c:pt idx="133">
                  <c:v>2792653.9759772802</c:v>
                </c:pt>
                <c:pt idx="134">
                  <c:v>2792653.9759772802</c:v>
                </c:pt>
                <c:pt idx="135">
                  <c:v>2792653.9759772802</c:v>
                </c:pt>
                <c:pt idx="136">
                  <c:v>2792653.9759772802</c:v>
                </c:pt>
                <c:pt idx="137">
                  <c:v>2792653.9759772802</c:v>
                </c:pt>
                <c:pt idx="138">
                  <c:v>2792653.9759772802</c:v>
                </c:pt>
                <c:pt idx="139">
                  <c:v>2792653.9759772802</c:v>
                </c:pt>
                <c:pt idx="140">
                  <c:v>2792653.9759772802</c:v>
                </c:pt>
                <c:pt idx="141">
                  <c:v>2792653.9759772802</c:v>
                </c:pt>
                <c:pt idx="142">
                  <c:v>2792653.9759772802</c:v>
                </c:pt>
                <c:pt idx="143">
                  <c:v>2792653.9759772802</c:v>
                </c:pt>
                <c:pt idx="144">
                  <c:v>2792653.9759772802</c:v>
                </c:pt>
                <c:pt idx="145">
                  <c:v>2792653.9759772802</c:v>
                </c:pt>
                <c:pt idx="146">
                  <c:v>2792653.9759772802</c:v>
                </c:pt>
                <c:pt idx="147">
                  <c:v>2792653.9759772802</c:v>
                </c:pt>
                <c:pt idx="148">
                  <c:v>2792653.9759772802</c:v>
                </c:pt>
                <c:pt idx="149">
                  <c:v>2792653.9759772802</c:v>
                </c:pt>
                <c:pt idx="150">
                  <c:v>2792653.9759772802</c:v>
                </c:pt>
                <c:pt idx="151">
                  <c:v>2792653.9759772802</c:v>
                </c:pt>
                <c:pt idx="152">
                  <c:v>2792653.9759772802</c:v>
                </c:pt>
                <c:pt idx="153">
                  <c:v>2792653.9759772802</c:v>
                </c:pt>
                <c:pt idx="154">
                  <c:v>2792653.9759772802</c:v>
                </c:pt>
                <c:pt idx="155">
                  <c:v>2792653.9759772802</c:v>
                </c:pt>
                <c:pt idx="156">
                  <c:v>2792653.9759772802</c:v>
                </c:pt>
                <c:pt idx="157">
                  <c:v>2792653.9759772802</c:v>
                </c:pt>
                <c:pt idx="158">
                  <c:v>2792653.9759772802</c:v>
                </c:pt>
                <c:pt idx="159">
                  <c:v>2792653.9759772802</c:v>
                </c:pt>
                <c:pt idx="160">
                  <c:v>2792653.9759772802</c:v>
                </c:pt>
                <c:pt idx="161">
                  <c:v>2792653.9759772802</c:v>
                </c:pt>
                <c:pt idx="162">
                  <c:v>2792653.9759772802</c:v>
                </c:pt>
                <c:pt idx="163">
                  <c:v>2792653.9759772802</c:v>
                </c:pt>
                <c:pt idx="164">
                  <c:v>2792653.9759772802</c:v>
                </c:pt>
                <c:pt idx="165">
                  <c:v>2792653.9759772802</c:v>
                </c:pt>
                <c:pt idx="166">
                  <c:v>2792653.9759772802</c:v>
                </c:pt>
                <c:pt idx="167">
                  <c:v>2792653.9759772802</c:v>
                </c:pt>
                <c:pt idx="168">
                  <c:v>2792653.9759772802</c:v>
                </c:pt>
                <c:pt idx="169">
                  <c:v>2792653.9759772802</c:v>
                </c:pt>
                <c:pt idx="170">
                  <c:v>2792653.9759772802</c:v>
                </c:pt>
                <c:pt idx="171">
                  <c:v>2792653.9759772802</c:v>
                </c:pt>
                <c:pt idx="172">
                  <c:v>2792653.9759772802</c:v>
                </c:pt>
                <c:pt idx="173">
                  <c:v>2792653.9759772802</c:v>
                </c:pt>
                <c:pt idx="174">
                  <c:v>2792653.9759772802</c:v>
                </c:pt>
                <c:pt idx="175">
                  <c:v>2792653.9759772802</c:v>
                </c:pt>
                <c:pt idx="176">
                  <c:v>2792653.9759772802</c:v>
                </c:pt>
                <c:pt idx="177">
                  <c:v>2792653.9759772802</c:v>
                </c:pt>
                <c:pt idx="178">
                  <c:v>2792653.9759772802</c:v>
                </c:pt>
                <c:pt idx="179">
                  <c:v>2792653.9759772802</c:v>
                </c:pt>
                <c:pt idx="180">
                  <c:v>2792653.9759772802</c:v>
                </c:pt>
                <c:pt idx="181">
                  <c:v>2792653.9759772802</c:v>
                </c:pt>
                <c:pt idx="182">
                  <c:v>2792653.9759772802</c:v>
                </c:pt>
                <c:pt idx="183">
                  <c:v>2792653.9759772802</c:v>
                </c:pt>
                <c:pt idx="184">
                  <c:v>2792653.9759772802</c:v>
                </c:pt>
                <c:pt idx="185">
                  <c:v>2792653.9759772802</c:v>
                </c:pt>
                <c:pt idx="186">
                  <c:v>2792653.9759772802</c:v>
                </c:pt>
                <c:pt idx="187">
                  <c:v>2792653.9759772802</c:v>
                </c:pt>
                <c:pt idx="188">
                  <c:v>2792653.9759772802</c:v>
                </c:pt>
                <c:pt idx="189">
                  <c:v>2792653.9759772802</c:v>
                </c:pt>
                <c:pt idx="190">
                  <c:v>2792653.9759772802</c:v>
                </c:pt>
                <c:pt idx="191">
                  <c:v>2792653.9759772802</c:v>
                </c:pt>
                <c:pt idx="192">
                  <c:v>2792653.9759772802</c:v>
                </c:pt>
                <c:pt idx="193">
                  <c:v>2792653.9759772802</c:v>
                </c:pt>
                <c:pt idx="194">
                  <c:v>2792653.9759772802</c:v>
                </c:pt>
                <c:pt idx="195">
                  <c:v>2792653.9759772802</c:v>
                </c:pt>
                <c:pt idx="196">
                  <c:v>2792653.9759772802</c:v>
                </c:pt>
                <c:pt idx="197">
                  <c:v>2792653.9759772802</c:v>
                </c:pt>
                <c:pt idx="198">
                  <c:v>2792653.9759772802</c:v>
                </c:pt>
                <c:pt idx="199">
                  <c:v>2792653.9759772802</c:v>
                </c:pt>
                <c:pt idx="200">
                  <c:v>2792653.9759772802</c:v>
                </c:pt>
                <c:pt idx="201">
                  <c:v>2792653.9759772802</c:v>
                </c:pt>
                <c:pt idx="202">
                  <c:v>2792653.9759772802</c:v>
                </c:pt>
                <c:pt idx="203">
                  <c:v>2792653.9759772802</c:v>
                </c:pt>
                <c:pt idx="204">
                  <c:v>2792653.9759772802</c:v>
                </c:pt>
                <c:pt idx="205">
                  <c:v>2792653.9759772802</c:v>
                </c:pt>
                <c:pt idx="206">
                  <c:v>2792653.9759772802</c:v>
                </c:pt>
                <c:pt idx="207">
                  <c:v>2792653.9759772802</c:v>
                </c:pt>
                <c:pt idx="208">
                  <c:v>2792653.9759772802</c:v>
                </c:pt>
                <c:pt idx="209">
                  <c:v>2792653.9759772802</c:v>
                </c:pt>
                <c:pt idx="210">
                  <c:v>2792653.9759772802</c:v>
                </c:pt>
                <c:pt idx="211">
                  <c:v>2792653.9759772802</c:v>
                </c:pt>
                <c:pt idx="212">
                  <c:v>2792653.9759772802</c:v>
                </c:pt>
                <c:pt idx="213">
                  <c:v>2792653.9759772802</c:v>
                </c:pt>
                <c:pt idx="214">
                  <c:v>2792653.9759772802</c:v>
                </c:pt>
                <c:pt idx="215">
                  <c:v>2792653.9759772802</c:v>
                </c:pt>
                <c:pt idx="216">
                  <c:v>2792653.9759772802</c:v>
                </c:pt>
                <c:pt idx="217">
                  <c:v>2792653.9759772802</c:v>
                </c:pt>
                <c:pt idx="218">
                  <c:v>2792653.9759772802</c:v>
                </c:pt>
                <c:pt idx="219">
                  <c:v>2792653.9759772802</c:v>
                </c:pt>
                <c:pt idx="220">
                  <c:v>2792653.9759772802</c:v>
                </c:pt>
                <c:pt idx="221">
                  <c:v>2792653.9759772802</c:v>
                </c:pt>
                <c:pt idx="222">
                  <c:v>2792653.9759772802</c:v>
                </c:pt>
                <c:pt idx="223">
                  <c:v>2792653.9759772802</c:v>
                </c:pt>
                <c:pt idx="224">
                  <c:v>2792653.9759772802</c:v>
                </c:pt>
                <c:pt idx="225">
                  <c:v>2792653.9759772802</c:v>
                </c:pt>
                <c:pt idx="226">
                  <c:v>2792653.9759772802</c:v>
                </c:pt>
                <c:pt idx="227">
                  <c:v>2792653.9759772802</c:v>
                </c:pt>
                <c:pt idx="228">
                  <c:v>2792653.9759772802</c:v>
                </c:pt>
                <c:pt idx="229">
                  <c:v>2792653.9759772802</c:v>
                </c:pt>
                <c:pt idx="230">
                  <c:v>2792653.9759772802</c:v>
                </c:pt>
                <c:pt idx="231">
                  <c:v>2792653.9759772802</c:v>
                </c:pt>
                <c:pt idx="232">
                  <c:v>2792653.9759772802</c:v>
                </c:pt>
                <c:pt idx="233">
                  <c:v>2792653.9759772802</c:v>
                </c:pt>
                <c:pt idx="234">
                  <c:v>2792653.9759772802</c:v>
                </c:pt>
                <c:pt idx="235">
                  <c:v>2792653.9759772802</c:v>
                </c:pt>
                <c:pt idx="236">
                  <c:v>2792653.9759772802</c:v>
                </c:pt>
                <c:pt idx="237">
                  <c:v>2792653.9759772802</c:v>
                </c:pt>
                <c:pt idx="238">
                  <c:v>2792653.9759772802</c:v>
                </c:pt>
                <c:pt idx="239">
                  <c:v>2792653.9759772802</c:v>
                </c:pt>
                <c:pt idx="240">
                  <c:v>2792653.9759772802</c:v>
                </c:pt>
                <c:pt idx="241">
                  <c:v>2792653.9759772802</c:v>
                </c:pt>
                <c:pt idx="242">
                  <c:v>2792653.9759772802</c:v>
                </c:pt>
                <c:pt idx="243">
                  <c:v>2792653.9759772802</c:v>
                </c:pt>
                <c:pt idx="244">
                  <c:v>2792653.9759772802</c:v>
                </c:pt>
                <c:pt idx="245">
                  <c:v>2792653.9759772802</c:v>
                </c:pt>
                <c:pt idx="246">
                  <c:v>2792653.9759772802</c:v>
                </c:pt>
                <c:pt idx="247">
                  <c:v>2792653.9759772802</c:v>
                </c:pt>
                <c:pt idx="248">
                  <c:v>2792653.9759772802</c:v>
                </c:pt>
                <c:pt idx="249">
                  <c:v>2792653.9759772802</c:v>
                </c:pt>
                <c:pt idx="250">
                  <c:v>2792653.9759772802</c:v>
                </c:pt>
                <c:pt idx="251">
                  <c:v>2792653.9759772802</c:v>
                </c:pt>
                <c:pt idx="252">
                  <c:v>2792653.9759772802</c:v>
                </c:pt>
                <c:pt idx="253">
                  <c:v>2792653.9759772802</c:v>
                </c:pt>
                <c:pt idx="254">
                  <c:v>2792653.9759772802</c:v>
                </c:pt>
                <c:pt idx="255">
                  <c:v>2792653.9759772802</c:v>
                </c:pt>
                <c:pt idx="256">
                  <c:v>2792653.9759772802</c:v>
                </c:pt>
                <c:pt idx="257">
                  <c:v>2792653.9759772802</c:v>
                </c:pt>
                <c:pt idx="258">
                  <c:v>2792653.9759772802</c:v>
                </c:pt>
                <c:pt idx="259">
                  <c:v>2792653.9759772802</c:v>
                </c:pt>
                <c:pt idx="260">
                  <c:v>2792653.9759772802</c:v>
                </c:pt>
                <c:pt idx="261">
                  <c:v>2792653.9759772802</c:v>
                </c:pt>
                <c:pt idx="262">
                  <c:v>2792653.9759772802</c:v>
                </c:pt>
                <c:pt idx="263">
                  <c:v>2792653.9759772802</c:v>
                </c:pt>
                <c:pt idx="264">
                  <c:v>2792653.9759772802</c:v>
                </c:pt>
                <c:pt idx="265">
                  <c:v>2792653.9759772802</c:v>
                </c:pt>
                <c:pt idx="266">
                  <c:v>2792653.9759772802</c:v>
                </c:pt>
                <c:pt idx="267">
                  <c:v>2792653.9759772802</c:v>
                </c:pt>
                <c:pt idx="268">
                  <c:v>2792653.9759772802</c:v>
                </c:pt>
                <c:pt idx="269">
                  <c:v>2792653.9759772802</c:v>
                </c:pt>
                <c:pt idx="270">
                  <c:v>2792653.9759772802</c:v>
                </c:pt>
                <c:pt idx="271">
                  <c:v>2792653.9759772802</c:v>
                </c:pt>
                <c:pt idx="272">
                  <c:v>2792653.9759772802</c:v>
                </c:pt>
                <c:pt idx="273">
                  <c:v>2792653.9759772802</c:v>
                </c:pt>
                <c:pt idx="274">
                  <c:v>2792653.9759772802</c:v>
                </c:pt>
                <c:pt idx="275">
                  <c:v>2792653.9759772802</c:v>
                </c:pt>
                <c:pt idx="276">
                  <c:v>2792653.9759772802</c:v>
                </c:pt>
                <c:pt idx="277">
                  <c:v>2792653.9759772802</c:v>
                </c:pt>
                <c:pt idx="278">
                  <c:v>2792653.9759772802</c:v>
                </c:pt>
                <c:pt idx="279">
                  <c:v>2792653.9759772802</c:v>
                </c:pt>
                <c:pt idx="280">
                  <c:v>2792653.9759772802</c:v>
                </c:pt>
                <c:pt idx="281">
                  <c:v>2792653.9759772802</c:v>
                </c:pt>
                <c:pt idx="282">
                  <c:v>2792653.9759772802</c:v>
                </c:pt>
                <c:pt idx="283">
                  <c:v>2792653.9759772802</c:v>
                </c:pt>
                <c:pt idx="284">
                  <c:v>2792653.9759772802</c:v>
                </c:pt>
                <c:pt idx="285">
                  <c:v>2792653.9759772802</c:v>
                </c:pt>
                <c:pt idx="286">
                  <c:v>2792653.9759772802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51</xdr:row>
      <xdr:rowOff>57726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15272800923" createdVersion="8" refreshedVersion="8" minRefreshableVersion="3" recordCount="180" xr:uid="{D37A5069-1A2D-4864-A726-735BFBE61275}">
  <cacheSource type="worksheet">
    <worksheetSource ref="L4:X185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2000" maxValue="389809.96"/>
    </cacheField>
    <cacheField name="Rate / Unit" numFmtId="0">
      <sharedItems containsString="0" containsBlank="1" containsNumber="1" minValue="0.05" maxValue="59734.19"/>
    </cacheField>
    <cacheField name="Actual Total " numFmtId="0">
      <sharedItems containsString="0" containsBlank="1" containsNumber="1" minValue="-27300" maxValue="487812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3-01T00:00:00" count="16">
        <m/>
        <d v="2025-10-31T00:00:00"/>
        <s v=""/>
        <d v="2026-01-31T00:00:00"/>
        <d v="2025-12-31T00:00:00"/>
        <d v="2026-02-28T00:00:00"/>
        <d v="2025-11-30T00:00:00"/>
        <d v="2025-12-30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637909"/>
    </cacheField>
    <cacheField name="CHECK" numFmtId="0">
      <sharedItems containsString="0" containsBlank="1" containsNumber="1" minValue="-182487.30674497806" maxValue="4.7425135498997406E-3"/>
    </cacheField>
    <cacheField name="FINANCE PAYMENT DATE" numFmtId="0">
      <sharedItems containsDate="1" containsBlank="1" containsMixedTypes="1" minDate="2025-10-24T00:00:00" maxDate="2026-03-06T00:00:00"/>
    </cacheField>
    <cacheField name="Total COS" numFmtId="0">
      <sharedItems containsString="0" containsBlank="1" containsNumber="1" minValue="0" maxValue="527441.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m/>
    <x v="0"/>
    <m/>
    <m/>
    <m/>
    <m/>
    <m/>
    <m/>
    <x v="0"/>
    <m/>
    <m/>
    <m/>
    <m/>
  </r>
  <r>
    <n v="1"/>
    <x v="1"/>
    <s v="Jinko 590W - Menlo"/>
    <n v="424"/>
    <n v="1150.5"/>
    <n v="487812"/>
    <m/>
    <s v="Menlo INV0003366"/>
    <x v="1"/>
    <n v="637909"/>
    <n v="0"/>
    <d v="2025-12-28T00:00:00"/>
    <n v="487812"/>
  </r>
  <r>
    <n v="1"/>
    <x v="1"/>
    <m/>
    <m/>
    <n v="1.95"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50KTL (Menlo)"/>
    <n v="4"/>
    <n v="43606.080000000002"/>
    <n v="174424.32000000001"/>
    <m/>
    <s v="Menlo INV0003366"/>
    <x v="1"/>
    <n v="280682"/>
    <n v="0"/>
    <d v="2025-12-28T00:00:00"/>
    <n v="174424.32000000001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- Mounting Structure"/>
    <m/>
    <m/>
    <n v="45051"/>
    <s v="PO4401-MBE-20251023 - RV Approved"/>
    <s v="Schletter INV 2353"/>
    <x v="1"/>
    <n v="106628.79769315651"/>
    <n v="0"/>
    <d v="2025-11-28T00:00:00"/>
    <n v="48031"/>
  </r>
  <r>
    <n v="3"/>
    <x v="3"/>
    <s v="Delivery"/>
    <m/>
    <m/>
    <n v="2980"/>
    <m/>
    <s v="Schletter INV 2353"/>
    <x v="1"/>
    <n v="7053.2023068434974"/>
    <m/>
    <d v="2025-11-28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6000"/>
    <n v="13.65"/>
    <n v="81900"/>
    <m/>
    <s v="Menlo INV0003366"/>
    <x v="1"/>
    <n v="76217.10437809884"/>
    <n v="-2.3061083629727364E-3"/>
    <d v="2025-12-28T00:00:00"/>
    <n v="143126.91999999998"/>
  </r>
  <r>
    <n v="4"/>
    <x v="4"/>
    <s v="DC Cable -Red  Move to stock JHB)"/>
    <n v="-2000"/>
    <n v="13.65"/>
    <n v="-27300"/>
    <m/>
    <s v="Allocated to Joburg Storeroom"/>
    <x v="3"/>
    <n v="0"/>
    <m/>
    <d v="2026-01-31T00:00:00"/>
    <m/>
  </r>
  <r>
    <n v="4"/>
    <x v="4"/>
    <s v="DC Cable - BlackMove to stock JHB)"/>
    <n v="-2000"/>
    <n v="13.65"/>
    <n v="-27300"/>
    <m/>
    <s v="Allocated to Joburg Storeroom"/>
    <x v="3"/>
    <n v="0"/>
    <m/>
    <d v="2026-01-31T00:00:00"/>
    <m/>
  </r>
  <r>
    <n v="4"/>
    <x v="4"/>
    <m/>
    <m/>
    <m/>
    <m/>
    <m/>
    <m/>
    <x v="2"/>
    <n v="0"/>
    <m/>
    <m/>
    <m/>
  </r>
  <r>
    <n v="4"/>
    <x v="4"/>
    <s v="Project Kick Off"/>
    <n v="115826.92"/>
    <n v="0.1"/>
    <n v="11582.692000000001"/>
    <s v="PO4415-MBE-20251028 - RV Approved"/>
    <s v="The Greenway INV0001528"/>
    <x v="1"/>
    <n v="10778.989562190116"/>
    <m/>
    <d v="2025-10-30T00:00:00"/>
    <m/>
  </r>
  <r>
    <n v="4"/>
    <x v="4"/>
    <s v="Site Establishment"/>
    <m/>
    <n v="0.15"/>
    <n v="17374.038"/>
    <m/>
    <s v="The Greenway INV0001529"/>
    <x v="1"/>
    <n v="16168.484343285172"/>
    <m/>
    <d v="2025-11-06T00:00:00"/>
    <m/>
  </r>
  <r>
    <n v="4"/>
    <x v="4"/>
    <s v="AC Installation Complete"/>
    <m/>
    <n v="0.2"/>
    <n v="23165.384000000002"/>
    <m/>
    <s v="The Greenway INV0001555"/>
    <x v="4"/>
    <n v="21557.979124380232"/>
    <m/>
    <d v="2025-12-12T00:00:00"/>
    <m/>
  </r>
  <r>
    <n v="4"/>
    <x v="4"/>
    <s v="DC Installation Complete"/>
    <m/>
    <n v="0.25"/>
    <n v="28956.73"/>
    <m/>
    <s v="The Greenway INV0001556"/>
    <x v="4"/>
    <n v="26947.473905475286"/>
    <m/>
    <d v="2025-12-12T00:00:00"/>
    <m/>
  </r>
  <r>
    <n v="4"/>
    <x v="4"/>
    <s v="Commissioning Complete"/>
    <m/>
    <n v="0.1"/>
    <n v="11582.692000000001"/>
    <m/>
    <s v="The Greenway INV0001557"/>
    <x v="4"/>
    <n v="10778.989562190116"/>
    <m/>
    <d v="2025-12-12T00:00:00"/>
    <m/>
  </r>
  <r>
    <n v="4"/>
    <x v="4"/>
    <s v="Site De-establisment"/>
    <m/>
    <n v="0.1"/>
    <n v="11582.692000000001"/>
    <m/>
    <s v="The Greenway INV0001564"/>
    <x v="4"/>
    <n v="10778.989562190116"/>
    <m/>
    <d v="2025-12-24T00:00:00"/>
    <m/>
  </r>
  <r>
    <n v="4"/>
    <x v="4"/>
    <s v="Handover Document Complete"/>
    <m/>
    <n v="0.05"/>
    <n v="5791.3460000000005"/>
    <m/>
    <s v="The Greenway - INV0001565"/>
    <x v="4"/>
    <n v="5389.494781095058"/>
    <m/>
    <d v="2026-01-29T00:00:00"/>
    <m/>
  </r>
  <r>
    <n v="4"/>
    <x v="4"/>
    <s v="End of Defects Period"/>
    <m/>
    <n v="0.05"/>
    <n v="5791.3460000000005"/>
    <m/>
    <m/>
    <x v="5"/>
    <n v="5389.4970872034428"/>
    <m/>
    <d v="2026-02-2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enlo INV0003366"/>
    <x v="1"/>
    <n v="9890.2129776497222"/>
    <n v="2.8336118557490408E-3"/>
    <d v="2025-12-28T00:00:00"/>
    <n v="105182.45"/>
  </r>
  <r>
    <n v="5"/>
    <x v="5"/>
    <s v="CTs &amp; Meters"/>
    <m/>
    <m/>
    <n v="14118"/>
    <s v="PO4458-MBE-2025111 - RV Approved"/>
    <s v="Accuenergy Inv:ASAI-006830"/>
    <x v="6"/>
    <n v="25155.72876205184"/>
    <m/>
    <d v="2026-01-07T00:00:00"/>
    <m/>
  </r>
  <r>
    <n v="5"/>
    <x v="5"/>
    <s v="Techsitter"/>
    <m/>
    <m/>
    <n v="11169"/>
    <m/>
    <s v="Matriarch Inv: 6200"/>
    <x v="3"/>
    <n v="23141.457934175331"/>
    <m/>
    <d v="2026-01-29T00:00:00"/>
    <m/>
  </r>
  <r>
    <n v="5"/>
    <x v="5"/>
    <s v="Delivery of Techsitter"/>
    <m/>
    <m/>
    <n v="307.94"/>
    <m/>
    <s v="DSV Inv: 180156930"/>
    <x v="6"/>
    <n v="475.07867221888677"/>
    <m/>
    <d v="2025-12-30T00:00:00"/>
    <m/>
  </r>
  <r>
    <n v="5"/>
    <x v="5"/>
    <s v="Meteocontrol Data manager + Station"/>
    <m/>
    <m/>
    <n v="70989.17"/>
    <s v="PO4451-MBE-20251107 - RV Approved"/>
    <s v="IBC Solar - ZA12502620"/>
    <x v="6"/>
    <n v="109519.51882029236"/>
    <m/>
    <d v="2025-11-18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389809.96"/>
  </r>
  <r>
    <n v="6"/>
    <x v="6"/>
    <s v="PVDB"/>
    <m/>
    <m/>
    <n v="0"/>
    <m/>
    <m/>
    <x v="0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389809.96"/>
    <n v="0.1"/>
    <n v="38980.996000000006"/>
    <s v="PO4415-MBE-20251028 - RV Approved"/>
    <s v="The Greenway INV0001528"/>
    <x v="1"/>
    <n v="31666"/>
    <m/>
    <d v="2025-10-30T00:00:00"/>
    <m/>
  </r>
  <r>
    <n v="6"/>
    <x v="6"/>
    <s v="Site Establishment"/>
    <m/>
    <n v="0.15"/>
    <n v="58471.493999999999"/>
    <m/>
    <s v="The Greenway INV0001529"/>
    <x v="1"/>
    <n v="47499"/>
    <m/>
    <d v="2025-11-06T00:00:00"/>
    <m/>
  </r>
  <r>
    <n v="6"/>
    <x v="6"/>
    <s v="AC Installation Complete"/>
    <m/>
    <n v="0.2"/>
    <n v="77961.992000000013"/>
    <m/>
    <s v="The Greenway INV0001555"/>
    <x v="4"/>
    <n v="63332"/>
    <m/>
    <d v="2025-12-12T00:00:00"/>
    <m/>
  </r>
  <r>
    <n v="6"/>
    <x v="6"/>
    <s v="DC Installation Complete"/>
    <m/>
    <n v="0.25"/>
    <n v="97452.49"/>
    <m/>
    <s v="The Greenway INV0001556"/>
    <x v="4"/>
    <n v="79165"/>
    <m/>
    <d v="2025-12-12T00:00:00"/>
    <m/>
  </r>
  <r>
    <n v="6"/>
    <x v="6"/>
    <s v="Commissioning Complete"/>
    <m/>
    <n v="0.1"/>
    <n v="38980.996000000006"/>
    <m/>
    <s v="The Greenway INV0001557"/>
    <x v="4"/>
    <n v="31666"/>
    <m/>
    <d v="2025-12-12T00:00:00"/>
    <m/>
  </r>
  <r>
    <n v="6"/>
    <x v="6"/>
    <s v="Site De-establisment"/>
    <m/>
    <n v="0.1"/>
    <n v="38980.996000000006"/>
    <m/>
    <s v="The Greenway INV0001564"/>
    <x v="4"/>
    <n v="31666"/>
    <m/>
    <d v="2025-12-24T00:00:00"/>
    <m/>
  </r>
  <r>
    <n v="6"/>
    <x v="6"/>
    <s v="Handover Document Complete"/>
    <m/>
    <n v="0.05"/>
    <n v="19490.498000000003"/>
    <m/>
    <s v="The Greenway - INV0001565"/>
    <x v="4"/>
    <n v="15833"/>
    <m/>
    <d v="2026-01-29T00:00:00"/>
    <m/>
  </r>
  <r>
    <n v="6"/>
    <x v="6"/>
    <s v="End of Defects Period"/>
    <m/>
    <n v="0.05"/>
    <n v="19490.498000000003"/>
    <m/>
    <m/>
    <x v="5"/>
    <n v="15833"/>
    <m/>
    <d v="2026-02-28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s v="Walkways - 300m"/>
    <m/>
    <m/>
    <n v="213097.85"/>
    <s v="PO4451-MBE-20251107 - RV Approved"/>
    <s v="Onvlee - Inv01051750"/>
    <x v="6"/>
    <n v="197924.52260640005"/>
    <n v="-182487.30674497806"/>
    <d v="2025-12-01T00:00:00"/>
    <n v="527441.02"/>
  </r>
  <r>
    <n v="8"/>
    <x v="8"/>
    <s v="Walkways - 20m "/>
    <m/>
    <m/>
    <n v="19795.599999999999"/>
    <s v="PO4505-MBE-20251128 - RV Approved"/>
    <s v="Onvlee - PO-4505-MBE-20251128"/>
    <x v="6"/>
    <n v="201610.0426362502"/>
    <m/>
    <d v="2025-12-01T00:00:00"/>
    <m/>
  </r>
  <r>
    <n v="8"/>
    <x v="8"/>
    <s v="Installation of additional 170m Walkway"/>
    <m/>
    <m/>
    <n v="23510"/>
    <s v="PO4529-MBE-20251209 - RV Approved"/>
    <s v="The Greenway - INV0001563"/>
    <x v="4"/>
    <n v="23797.945237554712"/>
    <m/>
    <d v="2025-12-24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s v="Catladder "/>
    <m/>
    <m/>
    <n v="26500"/>
    <s v="PO4499-MBE-20251126 - RV Approved"/>
    <s v="Boukon -25/11/2025"/>
    <x v="6"/>
    <n v="51113.105430531599"/>
    <m/>
    <d v="2025-11-27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s v="Lightning Protection"/>
    <m/>
    <m/>
    <n v="21014.75"/>
    <s v="PO4482-MBE-20251124 - RV Approved"/>
    <s v="LPS - IN307595"/>
    <x v="4"/>
    <n v="21272.133971965242"/>
    <m/>
    <d v="2026-02-05T00:00:00"/>
    <m/>
  </r>
  <r>
    <n v="8"/>
    <x v="8"/>
    <s v="Lightning Risk Assessment"/>
    <m/>
    <m/>
    <n v="7250"/>
    <s v="PO4406-MBE-20251024 - RV Approved"/>
    <s v="LPS - IN307444"/>
    <x v="6"/>
    <n v="6733.7741272209005"/>
    <m/>
    <s v="1//2026"/>
    <m/>
  </r>
  <r>
    <n v="8"/>
    <x v="8"/>
    <m/>
    <m/>
    <m/>
    <m/>
    <m/>
    <m/>
    <x v="2"/>
    <n v="0"/>
    <m/>
    <m/>
    <m/>
  </r>
  <r>
    <n v="8"/>
    <x v="8"/>
    <s v="Tie-in Panel"/>
    <m/>
    <m/>
    <n v="0"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s v="Temporary Fencing for storage Container"/>
    <m/>
    <m/>
    <n v="0"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s v="Inverter Cage"/>
    <n v="0.5"/>
    <n v="59734.19"/>
    <n v="29867.095000000001"/>
    <m/>
    <s v="JJL Steel &amp; Construction INV251112"/>
    <x v="6"/>
    <n v="27740.451250517064"/>
    <m/>
    <d v="2025-11-13T00:00:00"/>
    <m/>
  </r>
  <r>
    <n v="8"/>
    <x v="8"/>
    <m/>
    <n v="0.5"/>
    <m/>
    <n v="29867.095000000001"/>
    <m/>
    <s v="JJL Steel &amp; Construction INV251112"/>
    <x v="6"/>
    <n v="27740.451250517064"/>
    <m/>
    <d v="2025-12-04T00:00:00"/>
    <m/>
  </r>
  <r>
    <n v="8"/>
    <x v="8"/>
    <m/>
    <m/>
    <m/>
    <m/>
    <m/>
    <m/>
    <x v="2"/>
    <n v="0"/>
    <m/>
    <m/>
    <m/>
  </r>
  <r>
    <n v="8"/>
    <x v="8"/>
    <s v="Safety Life Lines - 140m - Deposit"/>
    <n v="111075"/>
    <n v="0.5"/>
    <n v="55537.5"/>
    <s v="PO4552-MBE-20260116 - RV Approved"/>
    <s v="ATS Africa - INV-0468"/>
    <x v="3"/>
    <n v="56217.710915810079"/>
    <m/>
    <d v="2026-01-23T00:00:00"/>
    <m/>
  </r>
  <r>
    <n v="8"/>
    <x v="8"/>
    <s v="Safety Life Lines - 140m - Balance"/>
    <m/>
    <n v="0.5"/>
    <n v="55537.5"/>
    <m/>
    <s v="ATS Africa - INV-0468"/>
    <x v="3"/>
    <n v="56217.710915810079"/>
    <m/>
    <d v="2026-02-05T00:00:00"/>
    <m/>
  </r>
  <r>
    <n v="8"/>
    <x v="8"/>
    <m/>
    <m/>
    <m/>
    <m/>
    <m/>
    <m/>
    <x v="2"/>
    <n v="0"/>
    <m/>
    <m/>
    <m/>
  </r>
  <r>
    <n v="8"/>
    <x v="8"/>
    <s v="DC Gantry - Greenway "/>
    <m/>
    <m/>
    <n v="19063"/>
    <s v="PO4508-MBE-20251201 - RV Approved"/>
    <s v="The Greenway - INV0001558"/>
    <x v="4"/>
    <n v="19296.479373181857"/>
    <m/>
    <d v="2025-12-12T00:00:00"/>
    <m/>
  </r>
  <r>
    <n v="8"/>
    <x v="8"/>
    <m/>
    <m/>
    <m/>
    <m/>
    <m/>
    <m/>
    <x v="2"/>
    <n v="0"/>
    <m/>
    <m/>
    <m/>
  </r>
  <r>
    <n v="8"/>
    <x v="8"/>
    <s v="Mains Comms Equipment &amp; Installation"/>
    <m/>
    <m/>
    <n v="9574.73"/>
    <s v="PO4509-MBE-20251201 - RV Approved"/>
    <s v="The Greenway - INV0001559"/>
    <x v="4"/>
    <n v="9691.9991579911621"/>
    <m/>
    <d v="2025-12-18T00:00:00"/>
    <m/>
  </r>
  <r>
    <n v="8"/>
    <x v="8"/>
    <s v="Cable Trays"/>
    <m/>
    <m/>
    <n v="16825.900000000001"/>
    <m/>
    <s v="The Greenway - INV0001559"/>
    <x v="4"/>
    <n v="17031.979871228064"/>
    <m/>
    <d v="2025-12-12T00:00:00"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361334.00000000006"/>
  </r>
  <r>
    <n v="9"/>
    <x v="9"/>
    <s v="Project Kick Off"/>
    <n v="361334"/>
    <n v="0.1"/>
    <n v="36133.4"/>
    <s v="PO4415-MBE-20251028 - RV Approved"/>
    <s v="The Greenway INV0001528"/>
    <x v="1"/>
    <n v="22094.399999999998"/>
    <m/>
    <d v="2025-10-30T00:00:00"/>
    <m/>
  </r>
  <r>
    <n v="9"/>
    <x v="9"/>
    <s v="Site Establishment"/>
    <m/>
    <n v="0.15"/>
    <n v="54200.1"/>
    <m/>
    <s v="The Greenway INV0001529"/>
    <x v="1"/>
    <n v="33141.599999999991"/>
    <m/>
    <d v="2025-11-06T00:00:00"/>
    <m/>
  </r>
  <r>
    <n v="9"/>
    <x v="9"/>
    <s v="AC Installation Complete"/>
    <m/>
    <n v="0.2"/>
    <n v="72266.8"/>
    <m/>
    <s v="The Greenway INV0001555"/>
    <x v="4"/>
    <n v="44188.799999999996"/>
    <m/>
    <d v="2025-12-12T00:00:00"/>
    <m/>
  </r>
  <r>
    <n v="9"/>
    <x v="9"/>
    <s v="DC Installation Complete"/>
    <m/>
    <n v="0.25"/>
    <n v="90333.5"/>
    <m/>
    <s v="The Greenway INV0001556"/>
    <x v="4"/>
    <n v="55235.999999999993"/>
    <m/>
    <d v="2025-12-12T00:00:00"/>
    <m/>
  </r>
  <r>
    <n v="9"/>
    <x v="9"/>
    <s v="Commissioning Complete"/>
    <m/>
    <n v="0.1"/>
    <n v="36133.4"/>
    <m/>
    <s v="The Greenway INV0001557"/>
    <x v="4"/>
    <n v="22094.399999999998"/>
    <m/>
    <d v="2025-12-12T00:00:00"/>
    <m/>
  </r>
  <r>
    <n v="9"/>
    <x v="9"/>
    <s v="Site De-establisment"/>
    <n v="101512.13800000001"/>
    <n v="0.1"/>
    <n v="36133.4"/>
    <m/>
    <s v="The Greenway INV0001564"/>
    <x v="4"/>
    <n v="22094.399999999998"/>
    <m/>
    <d v="2025-12-24T00:00:00"/>
    <m/>
  </r>
  <r>
    <n v="9"/>
    <x v="9"/>
    <s v="Handover Document Complete"/>
    <m/>
    <n v="0.05"/>
    <n v="18066.7"/>
    <m/>
    <s v="The Greenway - INV0001565"/>
    <x v="4"/>
    <n v="11047.199999999999"/>
    <m/>
    <d v="2026-01-29T00:00:00"/>
    <m/>
  </r>
  <r>
    <n v="9"/>
    <x v="9"/>
    <s v="End of Defects Period"/>
    <m/>
    <n v="0.05"/>
    <n v="18066.7"/>
    <m/>
    <m/>
    <x v="5"/>
    <n v="11047.199999999999"/>
    <m/>
    <d v="2026-02-28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28000"/>
    <s v="PO4409-MBE-20251027 - RV Approved"/>
    <s v="Setso Security - SET001551"/>
    <x v="4"/>
    <n v="10041.34475682188"/>
    <n v="-7.5403777009341866E-4"/>
    <d v="2025-12-12T00:00:00"/>
    <n v="176150.50999999998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48150.5"/>
    <n v="0.1"/>
    <n v="14815.050000000001"/>
    <s v="PO4415-MBE-20251028 - RV Approved"/>
    <s v="The Greenway INV0001528"/>
    <x v="1"/>
    <n v="5312.9654673134628"/>
    <m/>
    <d v="2025-10-30T00:00:00"/>
    <m/>
  </r>
  <r>
    <n v="10"/>
    <x v="10"/>
    <s v="Site Establishment"/>
    <m/>
    <n v="0.15"/>
    <n v="22222.575000000001"/>
    <m/>
    <s v="The Greenway INV0001529"/>
    <x v="1"/>
    <n v="7969.4482009701942"/>
    <m/>
    <d v="2025-11-06T00:00:00"/>
    <m/>
  </r>
  <r>
    <n v="10"/>
    <x v="10"/>
    <s v="AC Installation Complete"/>
    <m/>
    <n v="0.2"/>
    <n v="29630.100000000002"/>
    <m/>
    <s v="The Greenway INV0001555"/>
    <x v="4"/>
    <n v="10625.930331396716"/>
    <m/>
    <d v="2025-12-12T00:00:00"/>
    <m/>
  </r>
  <r>
    <n v="10"/>
    <x v="10"/>
    <s v="DC Installation Complete"/>
    <m/>
    <n v="0.25"/>
    <n v="37037.625"/>
    <m/>
    <s v="The Greenway INV0001556"/>
    <x v="4"/>
    <n v="13282.412914245893"/>
    <m/>
    <d v="2025-12-12T00:00:00"/>
    <m/>
  </r>
  <r>
    <n v="10"/>
    <x v="10"/>
    <s v="Commissioning Complete"/>
    <m/>
    <n v="0.1"/>
    <n v="14815.050000000001"/>
    <m/>
    <s v="The Greenway INV0001557"/>
    <x v="4"/>
    <n v="5312.9651656983579"/>
    <m/>
    <d v="2025-12-12T00:00:00"/>
    <m/>
  </r>
  <r>
    <n v="10"/>
    <x v="10"/>
    <s v="Site De-establisment"/>
    <m/>
    <n v="0.1"/>
    <n v="14815.050000000001"/>
    <m/>
    <s v="The Greenway INV0001564"/>
    <x v="4"/>
    <n v="5312.9651656983579"/>
    <m/>
    <d v="2025-12-24T00:00:00"/>
    <m/>
  </r>
  <r>
    <n v="10"/>
    <x v="10"/>
    <s v="Handover Document Complete"/>
    <m/>
    <n v="0.05"/>
    <n v="7407.53"/>
    <m/>
    <s v="The Greenway - INV0001565"/>
    <x v="4"/>
    <n v="2656.4843759464566"/>
    <m/>
    <d v="2026-01-29T00:00:00"/>
    <m/>
  </r>
  <r>
    <n v="10"/>
    <x v="10"/>
    <s v="End of Defects Period"/>
    <m/>
    <n v="0.05"/>
    <n v="7407.53"/>
    <m/>
    <m/>
    <x v="5"/>
    <n v="2656.4843759464566"/>
    <m/>
    <d v="2026-02-28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7750"/>
    <m/>
    <s v="SunSpot - E035"/>
    <x v="4"/>
    <n v="3664.3210490158435"/>
    <n v="-1.1257444166403729E-3"/>
    <d v="2026-01-23T00:00:00"/>
    <n v="141923.5"/>
  </r>
  <r>
    <n v="11"/>
    <x v="11"/>
    <s v="Structural Sign Off - LnB Consulting"/>
    <m/>
    <m/>
    <n v="11373.5"/>
    <s v="PO4385-MBE-20251021 - RV Approved"/>
    <s v="L&amp;B Consulting IN-2113"/>
    <x v="1"/>
    <n v="2679.8847321043354"/>
    <m/>
    <d v="2025-10-30T00:00:00"/>
    <m/>
  </r>
  <r>
    <n v="11"/>
    <x v="11"/>
    <s v="Roof Report - Cosmic Sun"/>
    <m/>
    <m/>
    <n v="6000"/>
    <s v="PO4386-MBE-20251021 - RV Approved"/>
    <s v="Cosmic Sun - CS_MHK_001"/>
    <x v="1"/>
    <n v="1413.7520018135151"/>
    <m/>
    <d v="2025-10-24T00:00:00"/>
    <m/>
  </r>
  <r>
    <n v="11"/>
    <x v="11"/>
    <s v="Red Team Inspection"/>
    <m/>
    <m/>
    <n v="6000"/>
    <m/>
    <m/>
    <x v="5"/>
    <n v="1362.2268334701441"/>
    <m/>
    <d v="2026-02-27T00:00:00"/>
    <m/>
  </r>
  <r>
    <n v="11"/>
    <x v="11"/>
    <s v="Safety Officer"/>
    <n v="100800"/>
    <n v="0.25"/>
    <n v="25200"/>
    <s v="PO4422-MBE-20251029 - RV Approved"/>
    <s v="WAGMA - INV-000001"/>
    <x v="1"/>
    <n v="5937.7584076167632"/>
    <m/>
    <d v="2025-11-06T00:00:00"/>
    <m/>
  </r>
  <r>
    <n v="11"/>
    <x v="11"/>
    <s v="Safety Officer"/>
    <m/>
    <n v="0.75"/>
    <n v="75600"/>
    <m/>
    <s v="WAGMA - INV-000010"/>
    <x v="4"/>
    <n v="17164.058101723815"/>
    <m/>
    <d v="2026-01-15T00:00:00"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0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32269.137500000001"/>
    <m/>
    <m/>
    <x v="5"/>
    <n v="25308"/>
    <n v="0"/>
    <d v="2026-02-26T00:00:00"/>
    <n v="32269.137500000001"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8016.46"/>
    <m/>
    <s v="Expense Claim"/>
    <x v="1"/>
    <n v="1536.8080583803892"/>
    <n v="4.7425135498997406E-3"/>
    <d v="2025-11-06T00:00:00"/>
    <n v="33994.93"/>
  </r>
  <r>
    <n v="14"/>
    <x v="14"/>
    <s v="Travel"/>
    <m/>
    <m/>
    <n v="10490.93"/>
    <m/>
    <s v="Expense Claim"/>
    <x v="6"/>
    <n v="1455.2804181506942"/>
    <m/>
    <d v="2025-12-05T00:00:00"/>
    <m/>
  </r>
  <r>
    <n v="14"/>
    <x v="14"/>
    <s v="Travel"/>
    <m/>
    <m/>
    <n v="8655.5400000000009"/>
    <m/>
    <s v="Expense Claim"/>
    <x v="4"/>
    <n v="1016.0260460104794"/>
    <m/>
    <d v="2026-01-08T00:00:00"/>
    <m/>
  </r>
  <r>
    <n v="14"/>
    <x v="14"/>
    <s v="Travel"/>
    <m/>
    <m/>
    <n v="3332"/>
    <m/>
    <s v="Expense Claim"/>
    <x v="3"/>
    <n v="352.40904696082617"/>
    <m/>
    <d v="2026-02-05T00:00:00"/>
    <m/>
  </r>
  <r>
    <n v="14"/>
    <x v="14"/>
    <s v="Travel"/>
    <m/>
    <m/>
    <n v="3500"/>
    <m/>
    <m/>
    <x v="5"/>
    <n v="500.47168798406113"/>
    <m/>
    <d v="2026-03-05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0"/>
    <m/>
    <n v="0"/>
    <m/>
    <n v="44146.93"/>
  </r>
  <r>
    <n v="15"/>
    <x v="15"/>
    <s v="Roof Remedial Work Deposit - Client Cost"/>
    <n v="23350"/>
    <n v="0.8"/>
    <n v="18680"/>
    <s v="PO4436-MBE-20251102 - RV Approved"/>
    <s v="Evolution Coatings - INV0000122"/>
    <x v="6"/>
    <n v="23350"/>
    <m/>
    <d v="2025-11-04T00:00:00"/>
    <m/>
  </r>
  <r>
    <n v="15"/>
    <x v="15"/>
    <s v="Roof Remedial Work Balance - Client Cost"/>
    <m/>
    <n v="0.2"/>
    <n v="4670"/>
    <m/>
    <s v="Evolution Coatings - INV0000122"/>
    <x v="6"/>
    <n v="0"/>
    <m/>
    <d v="2025-11-27T00:00:00"/>
    <m/>
  </r>
  <r>
    <n v="15"/>
    <x v="15"/>
    <s v="Waterpoints "/>
    <m/>
    <m/>
    <n v="5450"/>
    <m/>
    <s v="Evolution Coatings - INV0000138"/>
    <x v="4"/>
    <n v="2725"/>
    <m/>
    <d v="2025-12-18T00:00:00"/>
    <m/>
  </r>
  <r>
    <n v="15"/>
    <x v="15"/>
    <s v="Waterproofing - Client Cost"/>
    <m/>
    <m/>
    <n v="5450"/>
    <s v="PO4519-MBE-20251203 - RV Approved"/>
    <m/>
    <x v="5"/>
    <n v="2725"/>
    <m/>
    <d v="2026-02-12T00:00:00"/>
    <m/>
  </r>
  <r>
    <n v="15"/>
    <x v="15"/>
    <s v="Cable support signoff"/>
    <m/>
    <m/>
    <n v="3500"/>
    <s v="PO4543-MBE-20251217 - RV Approved"/>
    <s v="L&amp;B Consulting IN-2175"/>
    <x v="4"/>
    <n v="0"/>
    <m/>
    <d v="2025-12-18T00:00:00"/>
    <m/>
  </r>
  <r>
    <n v="15"/>
    <x v="15"/>
    <s v="Delivery of Sonel Meter"/>
    <m/>
    <m/>
    <n v="273.93"/>
    <m/>
    <s v="DSV Inv: 180158820"/>
    <x v="4"/>
    <n v="0"/>
    <m/>
    <d v="2026-01-29T00:00:00"/>
    <m/>
  </r>
  <r>
    <n v="15"/>
    <x v="15"/>
    <s v="Enclosure Modification"/>
    <m/>
    <m/>
    <n v="6123"/>
    <s v="PO4583-MBE-20260127 - RV Approved"/>
    <m/>
    <x v="5"/>
    <m/>
    <m/>
    <d v="2026-02-14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m="1" x="14"/>
        <item m="1" x="13"/>
        <item m="1" x="11"/>
        <item m="1" x="10"/>
        <item m="1" x="9"/>
        <item m="1" x="8"/>
        <item x="1"/>
        <item x="6"/>
        <item x="4"/>
        <item x="2"/>
        <item m="1" x="15"/>
        <item m="1" x="12"/>
        <item x="3"/>
        <item m="1" x="7"/>
        <item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3"/>
    </i>
    <i>
      <x v="15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m="1" x="14"/>
        <item m="1" x="13"/>
        <item m="1" x="11"/>
        <item m="1" x="10"/>
        <item m="1" x="9"/>
        <item m="1" x="8"/>
        <item x="2"/>
        <item x="1"/>
        <item x="6"/>
        <item x="4"/>
        <item m="1" x="15"/>
        <item m="1" x="12"/>
        <item m="1" x="7"/>
        <item x="3"/>
        <item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4"/>
    </i>
    <i>
      <x v="15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 codeName="Sheet1">
    <pageSetUpPr fitToPage="1"/>
  </sheetPr>
  <dimension ref="B1:O26"/>
  <sheetViews>
    <sheetView view="pageBreakPreview" zoomScaleNormal="115" zoomScaleSheetLayoutView="100" workbookViewId="0">
      <selection activeCell="C8" sqref="C8"/>
    </sheetView>
  </sheetViews>
  <sheetFormatPr defaultRowHeight="14.25"/>
  <cols>
    <col min="1" max="1" width="6" customWidth="1"/>
    <col min="2" max="2" width="21.46484375" customWidth="1"/>
    <col min="3" max="3" width="28.53125" customWidth="1"/>
    <col min="4" max="4" width="15.46484375" customWidth="1"/>
    <col min="5" max="5" width="16.53125" customWidth="1"/>
    <col min="6" max="6" width="5.53125" customWidth="1"/>
  </cols>
  <sheetData>
    <row r="1" spans="2:15" ht="14.65" thickBot="1"/>
    <row r="2" spans="2:15" ht="18">
      <c r="B2" s="768" t="s">
        <v>0</v>
      </c>
      <c r="C2" s="768"/>
      <c r="D2" s="768"/>
      <c r="E2" s="768"/>
      <c r="H2" s="769" t="s">
        <v>1</v>
      </c>
      <c r="I2" s="770"/>
      <c r="J2" s="770"/>
      <c r="K2" s="770"/>
      <c r="L2" s="770"/>
      <c r="M2" s="770"/>
      <c r="N2" s="770"/>
      <c r="O2" s="771"/>
    </row>
    <row r="3" spans="2:15">
      <c r="B3" s="589"/>
      <c r="H3" s="772"/>
      <c r="I3" s="773"/>
      <c r="J3" s="773"/>
      <c r="K3" s="773"/>
      <c r="L3" s="773"/>
      <c r="M3" s="773"/>
      <c r="N3" s="773"/>
      <c r="O3" s="774"/>
    </row>
    <row r="4" spans="2:15">
      <c r="B4" s="590" t="s">
        <v>2</v>
      </c>
      <c r="C4" s="591" t="str">
        <f>'Project Plan'!E2</f>
        <v>Mahikeng Builders Express</v>
      </c>
      <c r="H4" s="772"/>
      <c r="I4" s="773"/>
      <c r="J4" s="773"/>
      <c r="K4" s="773"/>
      <c r="L4" s="773"/>
      <c r="M4" s="773"/>
      <c r="N4" s="773"/>
      <c r="O4" s="774"/>
    </row>
    <row r="5" spans="2:15">
      <c r="B5" s="590" t="s">
        <v>3</v>
      </c>
      <c r="C5" s="591" t="s">
        <v>4</v>
      </c>
      <c r="H5" s="772"/>
      <c r="I5" s="773"/>
      <c r="J5" s="773"/>
      <c r="K5" s="773"/>
      <c r="L5" s="773"/>
      <c r="M5" s="773"/>
      <c r="N5" s="773"/>
      <c r="O5" s="774"/>
    </row>
    <row r="6" spans="2:15">
      <c r="B6" s="590" t="s">
        <v>5</v>
      </c>
      <c r="C6" s="591" t="s">
        <v>6</v>
      </c>
      <c r="H6" s="772"/>
      <c r="I6" s="773"/>
      <c r="J6" s="773"/>
      <c r="K6" s="773"/>
      <c r="L6" s="773"/>
      <c r="M6" s="773"/>
      <c r="N6" s="773"/>
      <c r="O6" s="774"/>
    </row>
    <row r="7" spans="2:15">
      <c r="B7" s="590" t="s">
        <v>7</v>
      </c>
      <c r="C7" s="591" t="s">
        <v>8</v>
      </c>
      <c r="H7" s="772"/>
      <c r="I7" s="773"/>
      <c r="J7" s="773"/>
      <c r="K7" s="773"/>
      <c r="L7" s="773"/>
      <c r="M7" s="773"/>
      <c r="N7" s="773"/>
      <c r="O7" s="774"/>
    </row>
    <row r="8" spans="2:15">
      <c r="B8" s="589"/>
      <c r="H8" s="772"/>
      <c r="I8" s="773"/>
      <c r="J8" s="773"/>
      <c r="K8" s="773"/>
      <c r="L8" s="773"/>
      <c r="M8" s="773"/>
      <c r="N8" s="773"/>
      <c r="O8" s="774"/>
    </row>
    <row r="9" spans="2:15">
      <c r="B9" s="778" t="s">
        <v>9</v>
      </c>
      <c r="C9" s="778"/>
      <c r="D9" s="778"/>
      <c r="E9" s="778"/>
      <c r="H9" s="772"/>
      <c r="I9" s="773"/>
      <c r="J9" s="773"/>
      <c r="K9" s="773"/>
      <c r="L9" s="773"/>
      <c r="M9" s="773"/>
      <c r="N9" s="773"/>
      <c r="O9" s="774"/>
    </row>
    <row r="10" spans="2:15" ht="14.65" thickBot="1">
      <c r="B10" s="778" t="s">
        <v>10</v>
      </c>
      <c r="C10" s="778"/>
      <c r="D10" s="778"/>
      <c r="E10" s="778"/>
      <c r="H10" s="775"/>
      <c r="I10" s="776"/>
      <c r="J10" s="776"/>
      <c r="K10" s="776"/>
      <c r="L10" s="776"/>
      <c r="M10" s="776"/>
      <c r="N10" s="776"/>
      <c r="O10" s="777"/>
    </row>
    <row r="11" spans="2:15">
      <c r="B11" s="592" t="s">
        <v>11</v>
      </c>
      <c r="C11" s="766" t="s">
        <v>12</v>
      </c>
      <c r="D11" s="766"/>
      <c r="E11" s="766"/>
    </row>
    <row r="12" spans="2:15">
      <c r="B12" s="592" t="s">
        <v>13</v>
      </c>
      <c r="C12" s="766" t="s">
        <v>12</v>
      </c>
      <c r="D12" s="766"/>
      <c r="E12" s="766"/>
    </row>
    <row r="13" spans="2:15">
      <c r="B13" s="592" t="s">
        <v>14</v>
      </c>
      <c r="C13" s="766" t="s">
        <v>15</v>
      </c>
      <c r="D13" s="766"/>
      <c r="E13" s="766"/>
    </row>
    <row r="14" spans="2:15">
      <c r="B14" s="592" t="s">
        <v>16</v>
      </c>
      <c r="C14" s="766" t="s">
        <v>15</v>
      </c>
      <c r="D14" s="766"/>
      <c r="E14" s="766"/>
    </row>
    <row r="15" spans="2:15">
      <c r="B15" s="592" t="s">
        <v>17</v>
      </c>
      <c r="C15" s="766" t="s">
        <v>18</v>
      </c>
      <c r="D15" s="766"/>
      <c r="E15" s="766"/>
    </row>
    <row r="16" spans="2:15" ht="15" customHeight="1">
      <c r="B16" s="592" t="s">
        <v>19</v>
      </c>
      <c r="C16" s="766"/>
      <c r="D16" s="766"/>
      <c r="E16" s="766"/>
    </row>
    <row r="17" spans="2:5">
      <c r="B17" s="589"/>
    </row>
    <row r="18" spans="2:5">
      <c r="B18" s="767" t="s">
        <v>20</v>
      </c>
      <c r="C18" s="767"/>
      <c r="D18" s="767"/>
      <c r="E18" s="767"/>
    </row>
    <row r="19" spans="2:5">
      <c r="B19" s="592" t="s">
        <v>21</v>
      </c>
      <c r="C19" s="592" t="s">
        <v>22</v>
      </c>
      <c r="D19" s="592" t="s">
        <v>23</v>
      </c>
      <c r="E19" s="592" t="s">
        <v>24</v>
      </c>
    </row>
    <row r="20" spans="2:5" ht="15" customHeight="1">
      <c r="B20" s="592" t="s">
        <v>25</v>
      </c>
      <c r="C20" s="592" t="s">
        <v>26</v>
      </c>
      <c r="D20" s="593" t="s">
        <v>27</v>
      </c>
      <c r="E20" s="618">
        <v>45957</v>
      </c>
    </row>
    <row r="21" spans="2:5">
      <c r="B21" s="592"/>
      <c r="C21" s="592"/>
      <c r="D21" s="592"/>
      <c r="E21" s="592"/>
    </row>
    <row r="22" spans="2:5">
      <c r="B22" s="592"/>
      <c r="C22" s="592"/>
      <c r="D22" s="592"/>
      <c r="E22" s="592"/>
    </row>
    <row r="23" spans="2:5">
      <c r="B23" s="592"/>
      <c r="C23" s="592"/>
      <c r="D23" s="592"/>
      <c r="E23" s="592"/>
    </row>
    <row r="24" spans="2:5">
      <c r="B24" s="592"/>
      <c r="C24" s="592"/>
      <c r="D24" s="592"/>
      <c r="E24" s="592"/>
    </row>
    <row r="25" spans="2:5">
      <c r="B25" s="592"/>
      <c r="C25" s="592"/>
      <c r="D25" s="592"/>
      <c r="E25" s="592"/>
    </row>
    <row r="26" spans="2:5">
      <c r="B26" s="589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 codeName="Sheet8">
    <pageSetUpPr fitToPage="1"/>
  </sheetPr>
  <dimension ref="B1:O32"/>
  <sheetViews>
    <sheetView view="pageBreakPreview" zoomScaleNormal="115" zoomScaleSheetLayoutView="100" workbookViewId="0">
      <selection activeCell="D25" sqref="D25"/>
    </sheetView>
  </sheetViews>
  <sheetFormatPr defaultRowHeight="14.25"/>
  <cols>
    <col min="1" max="1" width="6" customWidth="1"/>
    <col min="2" max="2" width="21.46484375" customWidth="1"/>
    <col min="3" max="3" width="28.53125" customWidth="1"/>
    <col min="4" max="4" width="15.46484375" customWidth="1"/>
    <col min="5" max="5" width="16.53125" customWidth="1"/>
    <col min="6" max="6" width="5.53125" customWidth="1"/>
  </cols>
  <sheetData>
    <row r="1" spans="2:15" ht="14.65" thickBot="1"/>
    <row r="2" spans="2:15" ht="18">
      <c r="B2" s="768" t="s">
        <v>28</v>
      </c>
      <c r="C2" s="768"/>
      <c r="D2" s="768"/>
      <c r="E2" s="768"/>
      <c r="H2" s="769" t="s">
        <v>29</v>
      </c>
      <c r="I2" s="770"/>
      <c r="J2" s="770"/>
      <c r="K2" s="770"/>
      <c r="L2" s="770"/>
      <c r="M2" s="770"/>
      <c r="N2" s="770"/>
      <c r="O2" s="771"/>
    </row>
    <row r="3" spans="2:15">
      <c r="B3" s="589"/>
      <c r="H3" s="772"/>
      <c r="I3" s="773"/>
      <c r="J3" s="773"/>
      <c r="K3" s="773"/>
      <c r="L3" s="773"/>
      <c r="M3" s="773"/>
      <c r="N3" s="773"/>
      <c r="O3" s="774"/>
    </row>
    <row r="4" spans="2:15">
      <c r="B4" s="590" t="s">
        <v>2</v>
      </c>
      <c r="C4" s="591" t="str">
        <f>'Project Plan'!E2</f>
        <v>Mahikeng Builders Express</v>
      </c>
      <c r="H4" s="772"/>
      <c r="I4" s="773"/>
      <c r="J4" s="773"/>
      <c r="K4" s="773"/>
      <c r="L4" s="773"/>
      <c r="M4" s="773"/>
      <c r="N4" s="773"/>
      <c r="O4" s="774"/>
    </row>
    <row r="5" spans="2:15">
      <c r="B5" s="590" t="s">
        <v>30</v>
      </c>
      <c r="C5" s="591"/>
      <c r="H5" s="772"/>
      <c r="I5" s="773"/>
      <c r="J5" s="773"/>
      <c r="K5" s="773"/>
      <c r="L5" s="773"/>
      <c r="M5" s="773"/>
      <c r="N5" s="773"/>
      <c r="O5" s="774"/>
    </row>
    <row r="6" spans="2:15">
      <c r="B6" s="590" t="s">
        <v>5</v>
      </c>
      <c r="C6" s="591" t="s">
        <v>6</v>
      </c>
      <c r="H6" s="772"/>
      <c r="I6" s="773"/>
      <c r="J6" s="773"/>
      <c r="K6" s="773"/>
      <c r="L6" s="773"/>
      <c r="M6" s="773"/>
      <c r="N6" s="773"/>
      <c r="O6" s="774"/>
    </row>
    <row r="7" spans="2:15">
      <c r="B7" s="590" t="s">
        <v>31</v>
      </c>
      <c r="C7" s="591" t="s">
        <v>32</v>
      </c>
      <c r="H7" s="772"/>
      <c r="I7" s="773"/>
      <c r="J7" s="773"/>
      <c r="K7" s="773"/>
      <c r="L7" s="773"/>
      <c r="M7" s="773"/>
      <c r="N7" s="773"/>
      <c r="O7" s="774"/>
    </row>
    <row r="8" spans="2:15">
      <c r="B8" s="590" t="s">
        <v>33</v>
      </c>
      <c r="C8" s="591"/>
      <c r="H8" s="772"/>
      <c r="I8" s="773"/>
      <c r="J8" s="773"/>
      <c r="K8" s="773"/>
      <c r="L8" s="773"/>
      <c r="M8" s="773"/>
      <c r="N8" s="773"/>
      <c r="O8" s="774"/>
    </row>
    <row r="9" spans="2:15">
      <c r="B9" s="589"/>
      <c r="H9" s="772"/>
      <c r="I9" s="773"/>
      <c r="J9" s="773"/>
      <c r="K9" s="773"/>
      <c r="L9" s="773"/>
      <c r="M9" s="773"/>
      <c r="N9" s="773"/>
      <c r="O9" s="774"/>
    </row>
    <row r="10" spans="2:15">
      <c r="B10" s="778" t="s">
        <v>9</v>
      </c>
      <c r="C10" s="778"/>
      <c r="D10" s="778"/>
      <c r="E10" s="778"/>
      <c r="H10" s="772"/>
      <c r="I10" s="773"/>
      <c r="J10" s="773"/>
      <c r="K10" s="773"/>
      <c r="L10" s="773"/>
      <c r="M10" s="773"/>
      <c r="N10" s="773"/>
      <c r="O10" s="774"/>
    </row>
    <row r="11" spans="2:15" ht="14.65" thickBot="1">
      <c r="B11" s="778" t="s">
        <v>10</v>
      </c>
      <c r="C11" s="778"/>
      <c r="D11" s="778"/>
      <c r="E11" s="778"/>
      <c r="H11" s="775"/>
      <c r="I11" s="776"/>
      <c r="J11" s="776"/>
      <c r="K11" s="776"/>
      <c r="L11" s="776"/>
      <c r="M11" s="776"/>
      <c r="N11" s="776"/>
      <c r="O11" s="777"/>
    </row>
    <row r="12" spans="2:15" ht="25.5">
      <c r="B12" s="592" t="s">
        <v>34</v>
      </c>
      <c r="C12" s="766"/>
      <c r="D12" s="766"/>
      <c r="E12" s="766"/>
    </row>
    <row r="13" spans="2:15">
      <c r="B13" s="592" t="s">
        <v>35</v>
      </c>
      <c r="C13" s="766"/>
      <c r="D13" s="766"/>
      <c r="E13" s="766"/>
    </row>
    <row r="14" spans="2:15">
      <c r="B14" s="592" t="s">
        <v>36</v>
      </c>
      <c r="C14" s="766"/>
      <c r="D14" s="766"/>
      <c r="E14" s="766"/>
    </row>
    <row r="15" spans="2:15">
      <c r="B15" s="592" t="s">
        <v>37</v>
      </c>
      <c r="C15" s="766"/>
      <c r="D15" s="766"/>
      <c r="E15" s="766"/>
    </row>
    <row r="16" spans="2:15" ht="25.5">
      <c r="B16" s="592" t="s">
        <v>38</v>
      </c>
      <c r="C16" s="766"/>
      <c r="D16" s="766"/>
      <c r="E16" s="766"/>
    </row>
    <row r="17" spans="2:5">
      <c r="B17" s="592" t="s">
        <v>39</v>
      </c>
      <c r="C17" s="766"/>
      <c r="D17" s="766"/>
      <c r="E17" s="766"/>
    </row>
    <row r="18" spans="2:5">
      <c r="B18" s="592" t="s">
        <v>40</v>
      </c>
      <c r="C18" s="766"/>
      <c r="D18" s="766"/>
      <c r="E18" s="766"/>
    </row>
    <row r="19" spans="2:5">
      <c r="B19" s="592" t="s">
        <v>41</v>
      </c>
      <c r="C19" s="766"/>
      <c r="D19" s="766"/>
      <c r="E19" s="766"/>
    </row>
    <row r="20" spans="2:5">
      <c r="B20" s="592" t="s">
        <v>42</v>
      </c>
      <c r="C20" s="766"/>
      <c r="D20" s="766"/>
      <c r="E20" s="766"/>
    </row>
    <row r="21" spans="2:5">
      <c r="B21" s="592" t="s">
        <v>43</v>
      </c>
      <c r="C21" s="766"/>
      <c r="D21" s="766"/>
      <c r="E21" s="766"/>
    </row>
    <row r="22" spans="2:5" ht="15" customHeight="1">
      <c r="B22" s="592" t="s">
        <v>19</v>
      </c>
      <c r="C22" s="766"/>
      <c r="D22" s="766"/>
      <c r="E22" s="766"/>
    </row>
    <row r="23" spans="2:5">
      <c r="B23" s="589"/>
    </row>
    <row r="24" spans="2:5">
      <c r="B24" s="767" t="s">
        <v>20</v>
      </c>
      <c r="C24" s="767"/>
      <c r="D24" s="767"/>
      <c r="E24" s="767"/>
    </row>
    <row r="25" spans="2:5">
      <c r="B25" s="592" t="s">
        <v>21</v>
      </c>
      <c r="C25" s="592" t="s">
        <v>22</v>
      </c>
      <c r="D25" s="592" t="s">
        <v>23</v>
      </c>
      <c r="E25" s="592" t="s">
        <v>24</v>
      </c>
    </row>
    <row r="26" spans="2:5" ht="15" customHeight="1">
      <c r="B26" s="592"/>
      <c r="C26" s="592"/>
      <c r="D26" s="593"/>
      <c r="E26" s="592"/>
    </row>
    <row r="27" spans="2:5">
      <c r="B27" s="592"/>
      <c r="C27" s="592"/>
      <c r="D27" s="592"/>
      <c r="E27" s="592"/>
    </row>
    <row r="28" spans="2:5">
      <c r="B28" s="592"/>
      <c r="C28" s="592"/>
      <c r="D28" s="592"/>
      <c r="E28" s="592"/>
    </row>
    <row r="29" spans="2:5">
      <c r="B29" s="592"/>
      <c r="C29" s="592"/>
      <c r="D29" s="592"/>
      <c r="E29" s="592"/>
    </row>
    <row r="30" spans="2:5">
      <c r="B30" s="592"/>
      <c r="C30" s="592"/>
      <c r="D30" s="592"/>
      <c r="E30" s="592"/>
    </row>
    <row r="31" spans="2:5">
      <c r="B31" s="592"/>
      <c r="C31" s="592"/>
      <c r="D31" s="592"/>
      <c r="E31" s="592"/>
    </row>
    <row r="32" spans="2:5">
      <c r="B32" s="589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7" sqref="D7"/>
    </sheetView>
  </sheetViews>
  <sheetFormatPr defaultColWidth="9.46484375" defaultRowHeight="14.25"/>
  <cols>
    <col min="1" max="1" width="0.53125" customWidth="1"/>
    <col min="2" max="2" width="8.46484375" bestFit="1" customWidth="1"/>
    <col min="3" max="3" width="45.46484375" customWidth="1"/>
    <col min="4" max="4" width="17.46484375" customWidth="1"/>
    <col min="5" max="5" width="34.46484375" customWidth="1"/>
    <col min="6" max="6" width="15.46484375" customWidth="1"/>
    <col min="7" max="7" width="12" bestFit="1" customWidth="1"/>
    <col min="8" max="8" width="9.46484375" bestFit="1" customWidth="1"/>
    <col min="9" max="9" width="12.53125" bestFit="1" customWidth="1"/>
    <col min="10" max="10" width="14.46484375" customWidth="1"/>
    <col min="11" max="11" width="77.46484375" customWidth="1"/>
  </cols>
  <sheetData>
    <row r="1" spans="2:15">
      <c r="B1" s="781"/>
      <c r="C1" s="782"/>
      <c r="D1" s="782"/>
      <c r="E1" s="782"/>
      <c r="F1" s="779" t="s">
        <v>44</v>
      </c>
      <c r="G1" s="779"/>
      <c r="H1" s="779"/>
      <c r="I1" s="779"/>
      <c r="J1" s="779"/>
      <c r="K1" s="780"/>
      <c r="L1" s="13"/>
      <c r="M1" s="13"/>
      <c r="N1" s="13"/>
      <c r="O1" s="13"/>
    </row>
    <row r="2" spans="2:15" ht="6.75" customHeight="1"/>
    <row r="3" spans="2:15" s="596" customFormat="1" ht="28.5">
      <c r="B3" s="14" t="s">
        <v>45</v>
      </c>
      <c r="C3" s="14" t="s">
        <v>46</v>
      </c>
      <c r="D3" s="14" t="s">
        <v>47</v>
      </c>
      <c r="E3" s="14" t="s">
        <v>48</v>
      </c>
      <c r="F3" s="14" t="s">
        <v>49</v>
      </c>
      <c r="G3" s="14" t="s">
        <v>50</v>
      </c>
      <c r="H3" s="14" t="s">
        <v>51</v>
      </c>
      <c r="I3" s="14" t="s">
        <v>52</v>
      </c>
      <c r="J3" s="14" t="s">
        <v>53</v>
      </c>
      <c r="K3" s="14" t="s">
        <v>54</v>
      </c>
    </row>
    <row r="4" spans="2:15">
      <c r="B4" s="12" t="s">
        <v>55</v>
      </c>
      <c r="C4" s="10"/>
      <c r="D4" s="10"/>
      <c r="E4" s="10"/>
      <c r="F4" s="594"/>
      <c r="G4" s="10"/>
      <c r="H4" s="12"/>
      <c r="I4" s="12"/>
      <c r="J4" s="595"/>
      <c r="K4" s="7"/>
    </row>
    <row r="5" spans="2:15">
      <c r="B5" s="12" t="s">
        <v>56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57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58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59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60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61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62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63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64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65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66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67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68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69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70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71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72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73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74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75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76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77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78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79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80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81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82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83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84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sheetPr codeName="Sheet12"/>
  <dimension ref="B1:J28"/>
  <sheetViews>
    <sheetView showGridLines="0" zoomScale="85" zoomScaleNormal="85" workbookViewId="0">
      <selection activeCell="F21" sqref="F21"/>
    </sheetView>
  </sheetViews>
  <sheetFormatPr defaultColWidth="9.46484375" defaultRowHeight="14.25"/>
  <cols>
    <col min="1" max="1" width="7.46484375" customWidth="1"/>
    <col min="2" max="2" width="37.53125" customWidth="1"/>
    <col min="3" max="3" width="9.46484375" bestFit="1" customWidth="1"/>
    <col min="4" max="4" width="12.53125" bestFit="1" customWidth="1"/>
    <col min="5" max="5" width="11" bestFit="1" customWidth="1"/>
    <col min="6" max="6" width="33.46484375" customWidth="1"/>
  </cols>
  <sheetData>
    <row r="1" spans="2:10" ht="14.65" thickBot="1"/>
    <row r="2" spans="2:10" ht="15" thickTop="1" thickBot="1">
      <c r="B2" s="783" t="s">
        <v>85</v>
      </c>
      <c r="C2" s="784"/>
      <c r="D2" s="784"/>
      <c r="E2" s="784"/>
      <c r="F2" s="785"/>
      <c r="G2" s="13"/>
      <c r="H2" s="13"/>
      <c r="I2" s="13"/>
      <c r="J2" s="13"/>
    </row>
    <row r="3" spans="2:10" ht="6.75" customHeight="1" thickTop="1"/>
    <row r="4" spans="2:10">
      <c r="B4" s="8" t="s">
        <v>86</v>
      </c>
      <c r="C4" s="14" t="s">
        <v>51</v>
      </c>
      <c r="D4" s="14" t="s">
        <v>52</v>
      </c>
      <c r="E4" s="14" t="s">
        <v>24</v>
      </c>
      <c r="F4" s="14" t="s">
        <v>54</v>
      </c>
    </row>
    <row r="5" spans="2:10">
      <c r="B5" s="10" t="s">
        <v>87</v>
      </c>
      <c r="C5" s="12" t="s">
        <v>88</v>
      </c>
      <c r="D5" s="12"/>
      <c r="E5" s="12" t="s">
        <v>89</v>
      </c>
      <c r="F5" s="7"/>
    </row>
    <row r="6" spans="2:10">
      <c r="B6" s="10" t="s">
        <v>90</v>
      </c>
      <c r="C6" s="12" t="s">
        <v>88</v>
      </c>
      <c r="D6" s="12"/>
      <c r="E6" s="12"/>
      <c r="F6" s="7"/>
    </row>
    <row r="7" spans="2:10">
      <c r="B7" s="10" t="s">
        <v>91</v>
      </c>
      <c r="C7" s="12" t="s">
        <v>88</v>
      </c>
      <c r="D7" s="12"/>
      <c r="E7" s="12"/>
      <c r="F7" s="7"/>
    </row>
    <row r="8" spans="2:10">
      <c r="B8" s="10" t="s">
        <v>92</v>
      </c>
      <c r="C8" s="12" t="s">
        <v>88</v>
      </c>
      <c r="D8" s="12"/>
      <c r="E8" s="12" t="s">
        <v>93</v>
      </c>
      <c r="F8" s="7"/>
    </row>
    <row r="9" spans="2:10">
      <c r="B9" s="11" t="s">
        <v>94</v>
      </c>
      <c r="C9" s="11" t="s">
        <v>88</v>
      </c>
      <c r="D9" s="11"/>
      <c r="E9" s="11"/>
      <c r="F9" s="7"/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4.65" thickBot="1"/>
    <row r="16" spans="2:10" ht="15" thickTop="1" thickBot="1">
      <c r="B16" s="783" t="s">
        <v>95</v>
      </c>
      <c r="C16" s="784"/>
      <c r="D16" s="784"/>
      <c r="E16" s="784"/>
      <c r="F16" s="785"/>
    </row>
    <row r="17" spans="2:6" ht="14.65" thickTop="1"/>
    <row r="18" spans="2:6">
      <c r="B18" s="8" t="s">
        <v>86</v>
      </c>
      <c r="C18" s="14" t="s">
        <v>51</v>
      </c>
      <c r="D18" s="14" t="s">
        <v>52</v>
      </c>
      <c r="E18" s="14" t="s">
        <v>24</v>
      </c>
      <c r="F18" s="14" t="s">
        <v>54</v>
      </c>
    </row>
    <row r="19" spans="2:6">
      <c r="B19" s="10" t="s">
        <v>43</v>
      </c>
      <c r="C19" s="12" t="s">
        <v>96</v>
      </c>
      <c r="D19" s="12"/>
      <c r="E19" s="602">
        <v>45946</v>
      </c>
      <c r="F19" s="7" t="s">
        <v>97</v>
      </c>
    </row>
    <row r="20" spans="2:6">
      <c r="B20" s="10" t="s">
        <v>98</v>
      </c>
      <c r="C20" s="12"/>
      <c r="D20" s="12"/>
      <c r="E20" s="602"/>
      <c r="F20" s="7"/>
    </row>
    <row r="21" spans="2:6">
      <c r="B21" s="10" t="s">
        <v>99</v>
      </c>
      <c r="C21" s="12"/>
      <c r="D21" s="12"/>
      <c r="E21" s="602"/>
      <c r="F21" s="7"/>
    </row>
    <row r="22" spans="2:6">
      <c r="B22" s="10" t="s">
        <v>100</v>
      </c>
      <c r="C22" s="12"/>
      <c r="D22" s="12"/>
      <c r="E22" s="60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abSelected="1" topLeftCell="A18" zoomScale="85" zoomScaleNormal="85" workbookViewId="0">
      <selection activeCell="N51" sqref="N51"/>
    </sheetView>
  </sheetViews>
  <sheetFormatPr defaultColWidth="8.46484375" defaultRowHeight="13.5"/>
  <cols>
    <col min="1" max="1" width="1.46484375" style="26" customWidth="1"/>
    <col min="2" max="2" width="6.46484375" style="82" bestFit="1" customWidth="1"/>
    <col min="3" max="3" width="46.53125" style="4" bestFit="1" customWidth="1"/>
    <col min="4" max="4" width="3.46484375" style="26" customWidth="1"/>
    <col min="5" max="5" width="25.53125" style="4" customWidth="1"/>
    <col min="6" max="6" width="9.46484375" style="79" customWidth="1"/>
    <col min="7" max="7" width="11.53125" style="5" customWidth="1"/>
    <col min="8" max="8" width="8.46484375" style="26" customWidth="1"/>
    <col min="9" max="9" width="13.46484375" style="26" customWidth="1"/>
    <col min="10" max="10" width="11.46484375" style="27" customWidth="1"/>
    <col min="11" max="11" width="14.53125" style="26" customWidth="1"/>
    <col min="12" max="12" width="2.46484375" style="26" customWidth="1"/>
    <col min="13" max="13" width="12.53125" style="26" customWidth="1"/>
    <col min="14" max="14" width="11.46484375" style="26" bestFit="1" customWidth="1"/>
    <col min="15" max="15" width="39.46484375" style="26" bestFit="1" customWidth="1"/>
    <col min="16" max="16" width="1.46484375" style="26" customWidth="1"/>
    <col min="17" max="17" width="5.53125" style="1" customWidth="1"/>
    <col min="18" max="18" width="8.46484375" style="26" bestFit="1"/>
    <col min="19" max="19" width="42.53125" style="26" bestFit="1" customWidth="1"/>
    <col min="20" max="20" width="10.46484375" style="26" bestFit="1" customWidth="1"/>
    <col min="21" max="21" width="9.46484375" style="26" bestFit="1" customWidth="1"/>
    <col min="22" max="22" width="10.46484375" style="26" bestFit="1" customWidth="1"/>
    <col min="23" max="23" width="8.46484375" style="26" bestFit="1"/>
    <col min="24" max="25" width="10.46484375" style="26" bestFit="1" customWidth="1"/>
    <col min="26" max="26" width="8.46484375" style="4" bestFit="1"/>
    <col min="27" max="16384" width="8.46484375" style="4"/>
  </cols>
  <sheetData>
    <row r="1" spans="2:28" s="26" customFormat="1" ht="4.5" customHeight="1" thickBot="1">
      <c r="B1" s="78"/>
      <c r="F1" s="79"/>
      <c r="G1" s="27"/>
      <c r="J1" s="27"/>
      <c r="N1" s="303">
        <f ca="1">TODAY()</f>
        <v>46072</v>
      </c>
      <c r="O1" s="303">
        <f ca="1">TODAY()</f>
        <v>46072</v>
      </c>
      <c r="Q1" s="1"/>
    </row>
    <row r="2" spans="2:28" ht="15" customHeight="1" thickBot="1">
      <c r="B2" s="87"/>
      <c r="C2" s="88" t="s">
        <v>101</v>
      </c>
      <c r="D2" s="89"/>
      <c r="E2" s="542" t="s">
        <v>102</v>
      </c>
      <c r="F2" s="543"/>
      <c r="G2" s="543"/>
      <c r="H2" s="544"/>
      <c r="I2" s="786" t="s">
        <v>103</v>
      </c>
      <c r="J2" s="787"/>
      <c r="K2" s="563">
        <f>NETWORKDAYS(I19,K40,Data!C3:C60)</f>
        <v>27</v>
      </c>
      <c r="N2" s="304">
        <v>0</v>
      </c>
      <c r="O2" s="304">
        <v>1</v>
      </c>
    </row>
    <row r="3" spans="2:28" s="26" customFormat="1" ht="14.25" thickBot="1">
      <c r="B3" s="90"/>
      <c r="C3" s="91" t="s">
        <v>104</v>
      </c>
      <c r="D3" s="89"/>
      <c r="E3" s="310">
        <v>250</v>
      </c>
      <c r="F3" s="92"/>
      <c r="G3" s="93"/>
      <c r="H3" s="93"/>
      <c r="I3" s="786" t="s">
        <v>105</v>
      </c>
      <c r="J3" s="787"/>
      <c r="K3" s="563">
        <f>K2/5</f>
        <v>5.4</v>
      </c>
      <c r="Q3" s="1"/>
    </row>
    <row r="4" spans="2:28" s="26" customFormat="1" ht="14.25" thickBot="1">
      <c r="B4" s="90"/>
      <c r="C4" s="91" t="s">
        <v>106</v>
      </c>
      <c r="D4" s="89"/>
      <c r="E4" s="541" t="s">
        <v>107</v>
      </c>
      <c r="F4" s="93"/>
      <c r="G4" s="93"/>
      <c r="H4" s="93"/>
      <c r="I4" s="786" t="s">
        <v>108</v>
      </c>
      <c r="J4" s="787"/>
      <c r="K4" s="564">
        <f>E3/K3</f>
        <v>46.296296296296291</v>
      </c>
      <c r="Q4" s="1"/>
    </row>
    <row r="5" spans="2:28" s="26" customFormat="1" ht="13.9">
      <c r="B5" s="90"/>
      <c r="C5" s="91" t="s">
        <v>109</v>
      </c>
      <c r="D5" s="89"/>
      <c r="E5" s="541" t="s">
        <v>110</v>
      </c>
      <c r="F5" s="93"/>
      <c r="G5" s="93"/>
      <c r="H5" s="603"/>
      <c r="Q5" s="1"/>
    </row>
    <row r="6" spans="2:28" ht="13.9">
      <c r="B6" s="94"/>
      <c r="C6" s="95" t="s">
        <v>111</v>
      </c>
      <c r="D6" s="89"/>
      <c r="E6" s="520">
        <v>2581531</v>
      </c>
      <c r="F6" s="545"/>
      <c r="G6" s="545"/>
      <c r="H6" s="546"/>
    </row>
    <row r="7" spans="2:28" s="26" customFormat="1" ht="13.9">
      <c r="B7" s="78"/>
      <c r="C7" s="693" t="s">
        <v>112</v>
      </c>
      <c r="D7" s="613"/>
      <c r="E7" s="694" t="s">
        <v>113</v>
      </c>
      <c r="F7" s="695"/>
      <c r="G7" s="696"/>
      <c r="H7" s="613"/>
      <c r="J7" s="27"/>
      <c r="Q7" s="1"/>
    </row>
    <row r="8" spans="2:28" ht="30" customHeight="1">
      <c r="B8" s="790" t="s">
        <v>114</v>
      </c>
      <c r="C8" s="791" t="s">
        <v>115</v>
      </c>
      <c r="D8" s="124"/>
      <c r="E8" s="792" t="s">
        <v>116</v>
      </c>
      <c r="F8" s="792" t="s">
        <v>117</v>
      </c>
      <c r="G8" s="792" t="s">
        <v>118</v>
      </c>
      <c r="H8" s="147"/>
      <c r="I8" s="792" t="s">
        <v>119</v>
      </c>
      <c r="J8" s="146" t="s">
        <v>117</v>
      </c>
      <c r="K8" s="792" t="s">
        <v>120</v>
      </c>
      <c r="M8" s="560" t="s">
        <v>51</v>
      </c>
      <c r="N8" s="561" t="s">
        <v>121</v>
      </c>
      <c r="O8" s="788" t="s">
        <v>122</v>
      </c>
      <c r="Z8" s="26"/>
      <c r="AA8" s="26"/>
      <c r="AB8" s="26"/>
    </row>
    <row r="9" spans="2:28" ht="13.9">
      <c r="B9" s="790"/>
      <c r="C9" s="791"/>
      <c r="D9" s="124"/>
      <c r="E9" s="792"/>
      <c r="F9" s="793"/>
      <c r="G9" s="792"/>
      <c r="H9" s="147"/>
      <c r="I9" s="792"/>
      <c r="J9" s="40">
        <f>K40-I20</f>
        <v>36</v>
      </c>
      <c r="K9" s="792"/>
      <c r="M9" s="263">
        <f>AVERAGE(M11,M19,M22,M29,M36,M40,M50,M45)</f>
        <v>0.95504261363636367</v>
      </c>
      <c r="N9" s="263">
        <f ca="1">AVERAGE(N11,N19,N22,N29,N36,N40,N50,N45)</f>
        <v>0.90619024444559704</v>
      </c>
      <c r="O9" s="789"/>
      <c r="S9" s="562">
        <f ca="1">TODAY()</f>
        <v>46072</v>
      </c>
      <c r="T9" s="562">
        <f ca="1">TODAY()</f>
        <v>46072</v>
      </c>
      <c r="Z9" s="26"/>
      <c r="AA9" s="26"/>
      <c r="AB9" s="26"/>
    </row>
    <row r="10" spans="2:28" s="26" customFormat="1" ht="4.5" customHeight="1">
      <c r="B10" s="148"/>
      <c r="C10" s="124"/>
      <c r="D10" s="124"/>
      <c r="E10" s="149"/>
      <c r="F10" s="149"/>
      <c r="G10" s="150"/>
      <c r="H10" s="147"/>
      <c r="I10" s="151"/>
      <c r="J10" s="151"/>
      <c r="K10" s="152"/>
      <c r="Q10" s="1"/>
      <c r="S10" s="89">
        <v>1</v>
      </c>
      <c r="T10" s="89">
        <v>0</v>
      </c>
    </row>
    <row r="11" spans="2:28" s="28" customFormat="1" ht="13.9">
      <c r="B11" s="153">
        <v>1</v>
      </c>
      <c r="C11" s="154" t="s">
        <v>123</v>
      </c>
      <c r="D11" s="128"/>
      <c r="E11" s="547">
        <f>MIN(E12:E18)</f>
        <v>45939</v>
      </c>
      <c r="F11" s="548">
        <f>G11-E11</f>
        <v>27</v>
      </c>
      <c r="G11" s="547">
        <f>MAX(G12:G18)</f>
        <v>45966</v>
      </c>
      <c r="H11" s="549"/>
      <c r="I11" s="547">
        <f>MIN(I12:I18)</f>
        <v>45939</v>
      </c>
      <c r="J11" s="548">
        <f>K11-I11</f>
        <v>27</v>
      </c>
      <c r="K11" s="547">
        <f>MAX(K12:K18)</f>
        <v>45966</v>
      </c>
      <c r="L11" s="550"/>
      <c r="M11" s="551">
        <v>1</v>
      </c>
      <c r="N11" s="551">
        <v>1</v>
      </c>
      <c r="O11" s="33"/>
      <c r="P11" s="26"/>
      <c r="Q11" s="34"/>
    </row>
    <row r="12" spans="2:28" s="26" customFormat="1" ht="13.9">
      <c r="B12" s="155" t="s">
        <v>124</v>
      </c>
      <c r="C12" s="156" t="s">
        <v>125</v>
      </c>
      <c r="D12" s="124"/>
      <c r="E12" s="552">
        <v>45939</v>
      </c>
      <c r="F12" s="553">
        <v>1</v>
      </c>
      <c r="G12" s="552">
        <f>WORKDAY.INTL(E12,F12,1,Data!$C$3:$C$60)</f>
        <v>45940</v>
      </c>
      <c r="H12" s="554"/>
      <c r="I12" s="552">
        <v>45939</v>
      </c>
      <c r="J12" s="553">
        <v>1</v>
      </c>
      <c r="K12" s="552">
        <f>WORKDAY.INTL(I12,J12,1,Data!$C$3:$C$60)</f>
        <v>45940</v>
      </c>
      <c r="L12" s="76"/>
      <c r="M12" s="555">
        <v>1</v>
      </c>
      <c r="N12" s="555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5" t="s">
        <v>126</v>
      </c>
      <c r="T12" s="514" t="s">
        <v>127</v>
      </c>
      <c r="U12" s="514" t="s">
        <v>117</v>
      </c>
      <c r="V12" s="514" t="s">
        <v>128</v>
      </c>
    </row>
    <row r="13" spans="2:28" s="26" customFormat="1">
      <c r="B13" s="155" t="s">
        <v>129</v>
      </c>
      <c r="C13" s="156" t="s">
        <v>130</v>
      </c>
      <c r="D13" s="124"/>
      <c r="E13" s="552">
        <f>WORKDAY.INTL(G12,0,1,Data!$C$3:$C$60)</f>
        <v>45940</v>
      </c>
      <c r="F13" s="553">
        <v>18</v>
      </c>
      <c r="G13" s="552">
        <f>WORKDAY.INTL(E13,F13,1,Data!$C$3:$C$60)</f>
        <v>45966</v>
      </c>
      <c r="H13" s="554"/>
      <c r="I13" s="552">
        <f>WORKDAY.INTL(K12,0,1,Data!$C$3:$C$60)</f>
        <v>45940</v>
      </c>
      <c r="J13" s="553">
        <v>18</v>
      </c>
      <c r="K13" s="552">
        <f>WORKDAY.INTL(I13,J13,1,Data!$C$3:$C$60)</f>
        <v>45966</v>
      </c>
      <c r="L13" s="76"/>
      <c r="M13" s="555">
        <v>1</v>
      </c>
      <c r="N13" s="555">
        <f ca="1">_xlfn.LET(
  _xlpm.s,VALUE($I13),
  _xlpm.e,VALUE($K13),
  IF(OR(_xlpm.s="",_xlpm.e=""),"", IF(_xlpm.e&lt;=_xlpm.s, IF(TODAY()&gt;=_xlpm.e,1,0), MAX(0,MIN(1,(TODAY()-_xlpm.s)/(_xlpm.e-_xlpm.s)))))
)</f>
        <v>1</v>
      </c>
      <c r="O13" s="36" t="s">
        <v>131</v>
      </c>
      <c r="Q13" s="1"/>
      <c r="S13" s="513" t="str">
        <f>C11</f>
        <v>Project Initiation</v>
      </c>
      <c r="T13" s="515">
        <f>I11</f>
        <v>45939</v>
      </c>
      <c r="U13" s="516">
        <f>J11</f>
        <v>27</v>
      </c>
      <c r="V13" s="515">
        <f>K11</f>
        <v>45966</v>
      </c>
    </row>
    <row r="14" spans="2:28" s="26" customFormat="1">
      <c r="B14" s="155" t="s">
        <v>132</v>
      </c>
      <c r="C14" s="156" t="s">
        <v>133</v>
      </c>
      <c r="D14" s="124"/>
      <c r="E14" s="552">
        <v>45943</v>
      </c>
      <c r="F14" s="553">
        <v>1</v>
      </c>
      <c r="G14" s="552">
        <f>WORKDAY.INTL(E14,F14,1,Data!$C$3:$C$60)</f>
        <v>45944</v>
      </c>
      <c r="H14" s="554"/>
      <c r="I14" s="552">
        <v>45943</v>
      </c>
      <c r="J14" s="553">
        <v>1</v>
      </c>
      <c r="K14" s="552">
        <f>WORKDAY.INTL(I14,J14,1,Data!$C$3:$C$60)</f>
        <v>45944</v>
      </c>
      <c r="L14" s="76"/>
      <c r="M14" s="555">
        <v>1</v>
      </c>
      <c r="N14" s="555">
        <f t="shared" ref="N14:N17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13" t="str">
        <f>C19</f>
        <v>Site Establishment</v>
      </c>
      <c r="T14" s="515">
        <f>I19</f>
        <v>45959</v>
      </c>
      <c r="U14" s="516">
        <f>J19</f>
        <v>1</v>
      </c>
      <c r="V14" s="515">
        <f>K19</f>
        <v>45960</v>
      </c>
    </row>
    <row r="15" spans="2:28" s="26" customFormat="1">
      <c r="B15" s="155" t="s">
        <v>134</v>
      </c>
      <c r="C15" s="156" t="s">
        <v>135</v>
      </c>
      <c r="D15" s="124"/>
      <c r="E15" s="552">
        <f>WORKDAY.INTL(E12,0,1,Data!$C$3:$C$60)+14</f>
        <v>45953</v>
      </c>
      <c r="F15" s="553">
        <v>1</v>
      </c>
      <c r="G15" s="552">
        <f>WORKDAY.INTL(E15,F15,1,Data!$C$3:$C$60)</f>
        <v>45954</v>
      </c>
      <c r="H15" s="554"/>
      <c r="I15" s="552">
        <f>WORKDAY.INTL(I12,0,1,Data!$C$3:$C$60)+14</f>
        <v>45953</v>
      </c>
      <c r="J15" s="553">
        <v>1</v>
      </c>
      <c r="K15" s="552">
        <f>WORKDAY.INTL(I15,J15,1,Data!$C$3:$C$60)</f>
        <v>45954</v>
      </c>
      <c r="L15" s="76"/>
      <c r="M15" s="555">
        <v>1</v>
      </c>
      <c r="N15" s="555">
        <f t="shared" ca="1" si="0"/>
        <v>1</v>
      </c>
      <c r="O15" s="36"/>
      <c r="Q15" s="1"/>
      <c r="S15" s="513"/>
      <c r="T15" s="515"/>
      <c r="U15" s="516"/>
      <c r="V15" s="515"/>
    </row>
    <row r="16" spans="2:28" s="26" customFormat="1">
      <c r="B16" s="155" t="s">
        <v>136</v>
      </c>
      <c r="C16" s="156" t="s">
        <v>137</v>
      </c>
      <c r="D16" s="124"/>
      <c r="E16" s="552">
        <v>45951</v>
      </c>
      <c r="F16" s="553">
        <v>1</v>
      </c>
      <c r="G16" s="552">
        <f>WORKDAY.INTL(E16,F16,1,Data!$C$3:$C$60)</f>
        <v>45952</v>
      </c>
      <c r="H16" s="554"/>
      <c r="I16" s="552">
        <v>45951</v>
      </c>
      <c r="J16" s="553">
        <v>1</v>
      </c>
      <c r="K16" s="552">
        <f>WORKDAY.INTL(I16,J16,1,Data!$C$3:$C$60)</f>
        <v>45952</v>
      </c>
      <c r="L16" s="76"/>
      <c r="M16" s="555">
        <v>1</v>
      </c>
      <c r="N16" s="555">
        <f t="shared" ca="1" si="0"/>
        <v>1</v>
      </c>
      <c r="O16" s="36"/>
      <c r="Q16" s="1"/>
      <c r="S16" s="513" t="str">
        <f>C22</f>
        <v>AC Installation</v>
      </c>
      <c r="T16" s="515">
        <f>I22</f>
        <v>45954</v>
      </c>
      <c r="U16" s="516">
        <f>J22</f>
        <v>34</v>
      </c>
      <c r="V16" s="515">
        <f>K22</f>
        <v>45988</v>
      </c>
    </row>
    <row r="17" spans="2:28" s="26" customFormat="1">
      <c r="B17" s="155" t="s">
        <v>138</v>
      </c>
      <c r="C17" s="156" t="s">
        <v>139</v>
      </c>
      <c r="D17" s="124"/>
      <c r="E17" s="552">
        <f>WORKDAY.INTL(E16,0,1,Data!$C$3:$C$60)</f>
        <v>45951</v>
      </c>
      <c r="F17" s="553">
        <v>1</v>
      </c>
      <c r="G17" s="552">
        <f>WORKDAY.INTL(E17,F17,1,Data!$C$3:$C$60)</f>
        <v>45952</v>
      </c>
      <c r="H17" s="554"/>
      <c r="I17" s="552">
        <f>WORKDAY.INTL(I16,0,1,Data!$C$3:$C$60)</f>
        <v>45951</v>
      </c>
      <c r="J17" s="553">
        <v>1</v>
      </c>
      <c r="K17" s="552">
        <f>WORKDAY.INTL(I17,J17,1,Data!$C$3:$C$60)</f>
        <v>45952</v>
      </c>
      <c r="L17" s="76"/>
      <c r="M17" s="555">
        <v>1</v>
      </c>
      <c r="N17" s="555">
        <f t="shared" ca="1" si="0"/>
        <v>1</v>
      </c>
      <c r="O17" s="36"/>
      <c r="Q17" s="1"/>
      <c r="S17" s="513" t="str">
        <f>C29</f>
        <v>DC Works</v>
      </c>
      <c r="T17" s="515">
        <f>I29</f>
        <v>45960</v>
      </c>
      <c r="U17" s="516">
        <f>J29</f>
        <v>12</v>
      </c>
      <c r="V17" s="515">
        <f>K29</f>
        <v>45972</v>
      </c>
    </row>
    <row r="18" spans="2:28" s="26" customFormat="1">
      <c r="B18" s="148"/>
      <c r="C18" s="124"/>
      <c r="D18" s="124"/>
      <c r="E18" s="556"/>
      <c r="F18" s="556"/>
      <c r="G18" s="556"/>
      <c r="H18" s="554"/>
      <c r="I18" s="556"/>
      <c r="J18" s="556"/>
      <c r="K18" s="556"/>
      <c r="L18" s="76"/>
      <c r="M18" s="76"/>
      <c r="N18" s="76"/>
      <c r="Q18" s="1"/>
      <c r="S18" s="513" t="str">
        <f>C36</f>
        <v>Module installation</v>
      </c>
      <c r="T18" s="515">
        <f>I36</f>
        <v>45960</v>
      </c>
      <c r="U18" s="516">
        <f>J36</f>
        <v>19</v>
      </c>
      <c r="V18" s="515">
        <f>K36</f>
        <v>45979</v>
      </c>
    </row>
    <row r="19" spans="2:28" s="28" customFormat="1" ht="13.9">
      <c r="B19" s="153">
        <v>2</v>
      </c>
      <c r="C19" s="154" t="s">
        <v>140</v>
      </c>
      <c r="D19" s="128"/>
      <c r="E19" s="547">
        <f>MIN(E20:E21)</f>
        <v>45957</v>
      </c>
      <c r="F19" s="548">
        <f>G19-E19</f>
        <v>1</v>
      </c>
      <c r="G19" s="547">
        <f>MAX(G20:G21)</f>
        <v>45958</v>
      </c>
      <c r="H19" s="549"/>
      <c r="I19" s="547">
        <f>MIN(I20:I21)</f>
        <v>45959</v>
      </c>
      <c r="J19" s="548">
        <f>K19-I19</f>
        <v>1</v>
      </c>
      <c r="K19" s="547">
        <f>MAX(K20:K21)</f>
        <v>45960</v>
      </c>
      <c r="L19" s="550"/>
      <c r="M19" s="551">
        <f>(J20*M20)/J19</f>
        <v>1</v>
      </c>
      <c r="N19" s="551">
        <f ca="1">(K20*N20)/K19</f>
        <v>1</v>
      </c>
      <c r="O19" s="33"/>
      <c r="P19" s="26"/>
      <c r="Q19" s="37"/>
      <c r="R19" s="32"/>
      <c r="S19" s="513" t="str">
        <f>C40</f>
        <v>Commissioning (Practical Completion - JBCC)</v>
      </c>
      <c r="T19" s="515">
        <f>I40</f>
        <v>45988</v>
      </c>
      <c r="U19" s="516">
        <f>J40</f>
        <v>7</v>
      </c>
      <c r="V19" s="515">
        <f>K40</f>
        <v>45995</v>
      </c>
      <c r="W19" s="35"/>
      <c r="X19" s="35"/>
      <c r="Y19" s="35"/>
      <c r="Z19" s="35"/>
      <c r="AA19" s="35"/>
      <c r="AB19" s="32"/>
    </row>
    <row r="20" spans="2:28" s="26" customFormat="1">
      <c r="B20" s="155" t="s">
        <v>141</v>
      </c>
      <c r="C20" s="156" t="s">
        <v>142</v>
      </c>
      <c r="D20" s="124"/>
      <c r="E20" s="552">
        <v>45957</v>
      </c>
      <c r="F20" s="553">
        <v>1</v>
      </c>
      <c r="G20" s="552">
        <f>E20+F20</f>
        <v>45958</v>
      </c>
      <c r="H20" s="554"/>
      <c r="I20" s="552">
        <v>45959</v>
      </c>
      <c r="J20" s="553">
        <v>1</v>
      </c>
      <c r="K20" s="552">
        <f>I20+J20</f>
        <v>45960</v>
      </c>
      <c r="L20" s="76"/>
      <c r="M20" s="555">
        <v>1</v>
      </c>
      <c r="N20" s="555">
        <f ca="1">_xlfn.LET(
  _xlpm.s,VALUE($I20),
  _xlpm.e,VALUE($K20),
  IF(OR(_xlpm.s="",_xlpm.e=""),"", IF(_xlpm.e&lt;=_xlpm.s, IF(TODAY()&gt;=_xlpm.e,1,0), MAX(0,MIN(1,(TODAY()-_xlpm.s)/(_xlpm.e-_xlpm.s)))))
)</f>
        <v>1</v>
      </c>
      <c r="O20" s="36"/>
      <c r="Q20" s="38"/>
      <c r="R20" s="35"/>
      <c r="S20" s="513" t="str">
        <f>C45</f>
        <v>QA Inspections (Works Completion - JBCC)</v>
      </c>
      <c r="T20" s="515">
        <f>I45</f>
        <v>45988</v>
      </c>
      <c r="U20" s="516">
        <f>J45</f>
        <v>78</v>
      </c>
      <c r="V20" s="515">
        <f>K45</f>
        <v>46066</v>
      </c>
      <c r="W20" s="35"/>
      <c r="X20" s="35"/>
      <c r="Z20" s="35"/>
      <c r="AA20" s="35"/>
      <c r="AB20" s="35"/>
    </row>
    <row r="21" spans="2:28" s="26" customFormat="1">
      <c r="B21" s="148"/>
      <c r="C21" s="124"/>
      <c r="D21" s="124"/>
      <c r="E21" s="556"/>
      <c r="F21" s="556"/>
      <c r="G21" s="556"/>
      <c r="H21" s="554"/>
      <c r="I21" s="556"/>
      <c r="J21" s="556"/>
      <c r="K21" s="556"/>
      <c r="L21" s="76"/>
      <c r="M21" s="76"/>
      <c r="N21" s="76"/>
      <c r="Q21" s="1"/>
      <c r="S21" s="513" t="str">
        <f>C50</f>
        <v>Project Closure (Final Completion - JBCC)</v>
      </c>
      <c r="T21" s="515">
        <f>I50</f>
        <v>45989</v>
      </c>
      <c r="U21" s="516">
        <f>J50</f>
        <v>95</v>
      </c>
      <c r="V21" s="515">
        <f>K50</f>
        <v>46084</v>
      </c>
    </row>
    <row r="22" spans="2:28" s="28" customFormat="1" ht="13.9">
      <c r="B22" s="153">
        <v>3</v>
      </c>
      <c r="C22" s="154" t="s">
        <v>143</v>
      </c>
      <c r="D22" s="128"/>
      <c r="E22" s="547">
        <f>MIN(E23:E28)</f>
        <v>45954</v>
      </c>
      <c r="F22" s="548">
        <f>G22-E22</f>
        <v>27</v>
      </c>
      <c r="G22" s="547">
        <f>MAX(G23:G28)</f>
        <v>45981</v>
      </c>
      <c r="H22" s="557"/>
      <c r="I22" s="547">
        <f>MIN(I23:I28)</f>
        <v>45954</v>
      </c>
      <c r="J22" s="548">
        <f>K22-I22</f>
        <v>34</v>
      </c>
      <c r="K22" s="547">
        <f>MAX(K23:K28)</f>
        <v>45988</v>
      </c>
      <c r="L22" s="550"/>
      <c r="M22" s="551">
        <f>(J23*M23+J24*M24+J25*M25+J26*M26+J27*M27)/SUM(J23:J27)</f>
        <v>1</v>
      </c>
      <c r="N22" s="551">
        <f ca="1">(J23*N23+J24*N24+J25*N25+J26*N26+J27*N27)/SUM(J23:J27)</f>
        <v>1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5" t="s">
        <v>144</v>
      </c>
      <c r="C23" s="156" t="s">
        <v>145</v>
      </c>
      <c r="D23" s="124"/>
      <c r="E23" s="552">
        <f>WORKDAY.INTL(G20,0,1,Data!$C$3:$C$60)</f>
        <v>45958</v>
      </c>
      <c r="F23" s="553">
        <v>1</v>
      </c>
      <c r="G23" s="552">
        <f>WORKDAY.INTL(E23,F23,1,Data!$C$3:$C$60)</f>
        <v>45959</v>
      </c>
      <c r="H23" s="554"/>
      <c r="I23" s="552">
        <f>WORKDAY.INTL(I20,0,1,Data!$C$3:$C$60)+1</f>
        <v>45960</v>
      </c>
      <c r="J23" s="553">
        <v>1</v>
      </c>
      <c r="K23" s="552">
        <f>WORKDAY.INTL(I23,J23,1,Data!$C$3:$C$60)</f>
        <v>45961</v>
      </c>
      <c r="L23" s="76"/>
      <c r="M23" s="555">
        <v>1</v>
      </c>
      <c r="N23" s="555">
        <f t="shared" ref="N23:N27" ca="1" si="1">_xlfn.LET(
  _xlpm.s,VALUE($I23),
  _xlpm.e,VALUE($K23),
  IF(OR(_xlpm.s="",_xlpm.e=""),"", IF(_xlpm.e&lt;=_xlpm.s, IF(TODAY()&gt;=_xlpm.e,1,0), MAX(0,MIN(1,(TODAY()-_xlpm.s)/(_xlpm.e-_xlpm.s)))))
)</f>
        <v>1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5" t="s">
        <v>146</v>
      </c>
      <c r="C24" s="156" t="s">
        <v>147</v>
      </c>
      <c r="D24" s="124"/>
      <c r="E24" s="552">
        <f>WORKDAY.INTL(G23,0,1,Data!$C$3:$C$60)</f>
        <v>45959</v>
      </c>
      <c r="F24" s="553">
        <v>1</v>
      </c>
      <c r="G24" s="552">
        <f>WORKDAY.INTL(E24,F24,1,Data!$C$3:$C$60)</f>
        <v>45960</v>
      </c>
      <c r="H24" s="554"/>
      <c r="I24" s="552">
        <v>45979</v>
      </c>
      <c r="J24" s="553">
        <v>1</v>
      </c>
      <c r="K24" s="552">
        <f>WORKDAY.INTL(I24,J24,1,Data!$C$3:$C$60)</f>
        <v>45980</v>
      </c>
      <c r="L24" s="76"/>
      <c r="M24" s="555">
        <v>1</v>
      </c>
      <c r="N24" s="555">
        <f t="shared" ca="1" si="1"/>
        <v>1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5" t="s">
        <v>148</v>
      </c>
      <c r="C25" s="156" t="s">
        <v>149</v>
      </c>
      <c r="D25" s="124"/>
      <c r="E25" s="552">
        <v>45954</v>
      </c>
      <c r="F25" s="553">
        <v>15</v>
      </c>
      <c r="G25" s="552">
        <f>WORKDAY.INTL(E25,F25,1,Data!$C$3:$C$60)</f>
        <v>45975</v>
      </c>
      <c r="H25" s="554"/>
      <c r="I25" s="552">
        <v>45954</v>
      </c>
      <c r="J25" s="553">
        <v>20</v>
      </c>
      <c r="K25" s="552">
        <f>WORKDAY.INTL(I25,J25,1,Data!$C$3:$C$60)</f>
        <v>45982</v>
      </c>
      <c r="L25" s="76"/>
      <c r="M25" s="555">
        <v>1</v>
      </c>
      <c r="N25" s="555">
        <f t="shared" ca="1" si="1"/>
        <v>1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5" t="s">
        <v>150</v>
      </c>
      <c r="C26" s="156" t="s">
        <v>151</v>
      </c>
      <c r="D26" s="124"/>
      <c r="E26" s="552">
        <f>WORKDAY.INTL(G25,0,1,Data!$C$3:$C$60)-3</f>
        <v>45972</v>
      </c>
      <c r="F26" s="553">
        <v>7</v>
      </c>
      <c r="G26" s="552">
        <f>WORKDAY.INTL(E26,F26,1,Data!$C$3:$C$60)</f>
        <v>45981</v>
      </c>
      <c r="H26" s="554"/>
      <c r="I26" s="552">
        <f>WORKDAY.INTL(K25,0,1,Data!$C$3:$C$60)-3</f>
        <v>45979</v>
      </c>
      <c r="J26" s="553">
        <v>7</v>
      </c>
      <c r="K26" s="552">
        <f>WORKDAY.INTL(I26,J26,1,Data!$C$3:$C$60)</f>
        <v>45988</v>
      </c>
      <c r="L26" s="76"/>
      <c r="M26" s="555">
        <v>1</v>
      </c>
      <c r="N26" s="555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5" t="s">
        <v>152</v>
      </c>
      <c r="C27" s="156" t="s">
        <v>153</v>
      </c>
      <c r="D27" s="124"/>
      <c r="E27" s="552">
        <f>WORKDAY.INTL(E26,0,1,Data!$C$3:$C$60)</f>
        <v>45972</v>
      </c>
      <c r="F27" s="553">
        <v>1</v>
      </c>
      <c r="G27" s="552">
        <f>WORKDAY.INTL(E27,F27,1,Data!$C$3:$C$60)</f>
        <v>45973</v>
      </c>
      <c r="H27" s="554"/>
      <c r="I27" s="552">
        <f>WORKDAY.INTL(I26,0,1,Data!$C$3:$C$60)</f>
        <v>45979</v>
      </c>
      <c r="J27" s="553">
        <v>1</v>
      </c>
      <c r="K27" s="552">
        <f>WORKDAY.INTL(I27,J27,1,Data!$C$3:$C$60)</f>
        <v>45980</v>
      </c>
      <c r="L27" s="76"/>
      <c r="M27" s="555">
        <v>1</v>
      </c>
      <c r="N27" s="555">
        <f t="shared" ca="1" si="1"/>
        <v>1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 ht="4.5" customHeight="1">
      <c r="B28" s="148"/>
      <c r="C28" s="124"/>
      <c r="D28" s="124"/>
      <c r="E28" s="556"/>
      <c r="F28" s="556"/>
      <c r="G28" s="556"/>
      <c r="H28" s="554"/>
      <c r="I28" s="556"/>
      <c r="J28" s="556"/>
      <c r="K28" s="556"/>
      <c r="L28" s="76"/>
      <c r="M28" s="76"/>
      <c r="N28" s="76"/>
      <c r="Q28" s="1"/>
    </row>
    <row r="29" spans="2:28" s="26" customFormat="1" ht="13.9">
      <c r="B29" s="153">
        <v>4</v>
      </c>
      <c r="C29" s="154" t="s">
        <v>154</v>
      </c>
      <c r="D29" s="128"/>
      <c r="E29" s="547">
        <f>MIN(E31:E35)</f>
        <v>45957</v>
      </c>
      <c r="F29" s="548">
        <f>G29-E29</f>
        <v>28</v>
      </c>
      <c r="G29" s="547">
        <f>MAX(G31:G35)</f>
        <v>45985</v>
      </c>
      <c r="H29" s="557"/>
      <c r="I29" s="547">
        <f>MIN(I31:I35)</f>
        <v>45960</v>
      </c>
      <c r="J29" s="548">
        <f>K29-I29</f>
        <v>12</v>
      </c>
      <c r="K29" s="547">
        <f>MAX(K31:K35)</f>
        <v>45972</v>
      </c>
      <c r="L29" s="550"/>
      <c r="M29" s="551">
        <f>(J31*M31+J32*M32+J34*M34)/SUM(J31:J34)</f>
        <v>0.90909090909090906</v>
      </c>
      <c r="N29" s="551">
        <f ca="1">(K31*N31+K32*N32+K34*N34)/SUM(K31:K34)</f>
        <v>0.75002311528817966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5"/>
      <c r="C30" s="156"/>
      <c r="D30" s="124"/>
      <c r="E30" s="552"/>
      <c r="F30" s="553"/>
      <c r="G30" s="552"/>
      <c r="H30" s="554"/>
      <c r="I30" s="552"/>
      <c r="J30" s="553"/>
      <c r="K30" s="552"/>
      <c r="L30" s="76"/>
      <c r="M30" s="555"/>
      <c r="N30" s="555"/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5" t="s">
        <v>155</v>
      </c>
      <c r="C31" s="156" t="s">
        <v>156</v>
      </c>
      <c r="D31" s="124"/>
      <c r="E31" s="552">
        <f>E20</f>
        <v>45957</v>
      </c>
      <c r="F31" s="553">
        <v>1</v>
      </c>
      <c r="G31" s="552">
        <f>WORKDAY.INTL(E31,F31,1,Data!$C$3:$C$60)</f>
        <v>45958</v>
      </c>
      <c r="H31" s="554"/>
      <c r="I31" s="552">
        <f>I20+1</f>
        <v>45960</v>
      </c>
      <c r="J31" s="553">
        <v>1</v>
      </c>
      <c r="K31" s="552">
        <f>WORKDAY.INTL(I31,J31,1,Data!$C$3:$C$60)</f>
        <v>45961</v>
      </c>
      <c r="L31" s="76"/>
      <c r="M31" s="555">
        <v>1</v>
      </c>
      <c r="N31" s="555">
        <f t="shared" ref="N31:N34" ca="1" si="2">_xlfn.LET(
  _xlpm.s,VALUE($I31),
  _xlpm.e,VALUE($K31),
  IF(OR(_xlpm.s="",_xlpm.e=""),"", IF(_xlpm.e&lt;=_xlpm.s, IF(TODAY()&gt;=_xlpm.e,1,0), MAX(0,MIN(1,(TODAY()-_xlpm.s)/(_xlpm.e-_xlpm.s)))))
)</f>
        <v>1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5" t="s">
        <v>157</v>
      </c>
      <c r="C32" s="156" t="s">
        <v>158</v>
      </c>
      <c r="D32" s="124"/>
      <c r="E32" s="552">
        <f>WORKDAY.INTL(G31,0,1,Data!$C$3:$C$60)</f>
        <v>45958</v>
      </c>
      <c r="F32" s="553">
        <v>4</v>
      </c>
      <c r="G32" s="552">
        <f>WORKDAY.INTL(E32,F32,1,Data!$C$3:$C$60)</f>
        <v>45964</v>
      </c>
      <c r="H32" s="554"/>
      <c r="I32" s="552">
        <f>WORKDAY.INTL(K31,0,1,Data!$C$3:$C$60)</f>
        <v>45961</v>
      </c>
      <c r="J32" s="553">
        <v>4</v>
      </c>
      <c r="K32" s="552">
        <f>WORKDAY.INTL(I32,J32,1,Data!$C$3:$C$60)</f>
        <v>45967</v>
      </c>
      <c r="L32" s="76"/>
      <c r="M32" s="555">
        <v>1</v>
      </c>
      <c r="N32" s="555">
        <f t="shared" ca="1" si="2"/>
        <v>1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>
      <c r="B33" s="155" t="s">
        <v>159</v>
      </c>
      <c r="C33" s="156" t="s">
        <v>160</v>
      </c>
      <c r="D33" s="124"/>
      <c r="E33" s="552">
        <f>E31</f>
        <v>45957</v>
      </c>
      <c r="F33" s="553">
        <v>1</v>
      </c>
      <c r="G33" s="552">
        <f>WORKDAY.INTL(E33,F33,1,Data!$C$3:$C$60)</f>
        <v>45958</v>
      </c>
      <c r="H33" s="554"/>
      <c r="I33" s="552">
        <f>I31</f>
        <v>45960</v>
      </c>
      <c r="J33" s="553">
        <v>1</v>
      </c>
      <c r="K33" s="552">
        <f>WORKDAY.INTL(I33,J33,1,Data!$C$3:$C$60)</f>
        <v>45961</v>
      </c>
      <c r="L33" s="76"/>
      <c r="M33" s="555">
        <v>1</v>
      </c>
      <c r="N33" s="555">
        <f t="shared" ca="1" si="2"/>
        <v>1</v>
      </c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ht="14.25">
      <c r="B34" s="155" t="s">
        <v>161</v>
      </c>
      <c r="C34" s="152" t="s">
        <v>162</v>
      </c>
      <c r="D34" s="124"/>
      <c r="E34" s="558">
        <f>WORKDAY.INTL(E38,0,1,Data!$C$3:$C$60)-2</f>
        <v>45978</v>
      </c>
      <c r="F34" s="553">
        <v>5</v>
      </c>
      <c r="G34" s="558">
        <f>WORKDAY.INTL(E34,F34,1,Data!$C$3:$C$60)</f>
        <v>45985</v>
      </c>
      <c r="H34" s="554"/>
      <c r="I34" s="558">
        <f>WORKDAY.INTL(I38,0,1,Data!$C$3:$C$60)-2</f>
        <v>45965</v>
      </c>
      <c r="J34" s="553">
        <v>5</v>
      </c>
      <c r="K34" s="558">
        <f>WORKDAY.INTL(I34,J34,1,Data!$C$3:$C$60)</f>
        <v>45972</v>
      </c>
      <c r="L34" s="76"/>
      <c r="M34" s="555">
        <v>1</v>
      </c>
      <c r="N34" s="555">
        <f t="shared" ca="1" si="2"/>
        <v>1</v>
      </c>
      <c r="O34" s="36"/>
      <c r="U34"/>
      <c r="Y34" s="4"/>
    </row>
    <row r="35" spans="2:28" s="26" customFormat="1" ht="4.5" customHeight="1">
      <c r="B35" s="148"/>
      <c r="C35" s="124"/>
      <c r="D35" s="124"/>
      <c r="E35" s="556"/>
      <c r="F35" s="556"/>
      <c r="G35" s="556"/>
      <c r="H35" s="554"/>
      <c r="I35" s="556"/>
      <c r="J35" s="556"/>
      <c r="K35" s="556"/>
      <c r="L35" s="76"/>
      <c r="M35" s="76"/>
      <c r="N35" s="76"/>
      <c r="Q35" s="1"/>
    </row>
    <row r="36" spans="2:28" s="26" customFormat="1" ht="13.9">
      <c r="B36" s="153">
        <v>5</v>
      </c>
      <c r="C36" s="154" t="s">
        <v>163</v>
      </c>
      <c r="D36" s="128"/>
      <c r="E36" s="547">
        <f>MIN(E37:E39)</f>
        <v>45979</v>
      </c>
      <c r="F36" s="548">
        <f>G36-E36</f>
        <v>9</v>
      </c>
      <c r="G36" s="547">
        <f>MAX(G37:G39)</f>
        <v>45988</v>
      </c>
      <c r="H36" s="549"/>
      <c r="I36" s="547">
        <f>MIN(I37:I39)</f>
        <v>45960</v>
      </c>
      <c r="J36" s="548">
        <f>K36-I36</f>
        <v>19</v>
      </c>
      <c r="K36" s="547">
        <f>MAX(K37:K39)</f>
        <v>45979</v>
      </c>
      <c r="L36" s="550"/>
      <c r="M36" s="551">
        <f>(J37*M37+J38*M38)/SUM(J37:J38)</f>
        <v>1</v>
      </c>
      <c r="N36" s="551">
        <f ca="1">(K37*N37+K38*N38)/SUM(K37:K38)</f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5" t="s">
        <v>164</v>
      </c>
      <c r="C37" s="156" t="s">
        <v>165</v>
      </c>
      <c r="D37" s="124"/>
      <c r="E37" s="558">
        <v>45979</v>
      </c>
      <c r="F37" s="553">
        <v>1</v>
      </c>
      <c r="G37" s="552">
        <f>WORKDAY.INTL(E37,F37,1,Data!$C$3:$C$60)</f>
        <v>45980</v>
      </c>
      <c r="H37" s="554"/>
      <c r="I37" s="558">
        <f>I20+1</f>
        <v>45960</v>
      </c>
      <c r="J37" s="553">
        <v>1</v>
      </c>
      <c r="K37" s="552">
        <f>WORKDAY.INTL(I37,J37,1,Data!$C$3:$C$60)</f>
        <v>45961</v>
      </c>
      <c r="L37" s="76"/>
      <c r="M37" s="555">
        <v>1</v>
      </c>
      <c r="N37" s="555">
        <f t="shared" ref="N37:N38" ca="1" si="3">_xlfn.LET(
  _xlpm.s,VALUE($I37),
  _xlpm.e,VALUE($K37),
  IF(OR(_xlpm.s="",_xlpm.e=""),"", IF(_xlpm.e&lt;=_xlpm.s, IF(TODAY()&gt;=_xlpm.e,1,0), MAX(0,MIN(1,(TODAY()-_xlpm.s)/(_xlpm.e-_xlpm.s)))))
)</f>
        <v>1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5" t="s">
        <v>166</v>
      </c>
      <c r="C38" s="156" t="s">
        <v>167</v>
      </c>
      <c r="D38" s="124"/>
      <c r="E38" s="558">
        <f>G37</f>
        <v>45980</v>
      </c>
      <c r="F38" s="553">
        <v>6</v>
      </c>
      <c r="G38" s="552">
        <f>WORKDAY.INTL(E38,F38,1,Data!$C$3:$C$60)</f>
        <v>45988</v>
      </c>
      <c r="H38" s="554"/>
      <c r="I38" s="558">
        <f>K32</f>
        <v>45967</v>
      </c>
      <c r="J38" s="553">
        <v>8</v>
      </c>
      <c r="K38" s="552">
        <f>WORKDAY.INTL(I38,J38,1,Data!$C$3:$C$60)</f>
        <v>45979</v>
      </c>
      <c r="L38" s="76"/>
      <c r="M38" s="555">
        <v>1</v>
      </c>
      <c r="N38" s="555">
        <f t="shared" ca="1" si="3"/>
        <v>1</v>
      </c>
      <c r="O38" s="36"/>
      <c r="Q38" s="38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spans="2:28" s="26" customFormat="1" ht="4.5" customHeight="1">
      <c r="B39" s="148"/>
      <c r="C39" s="124"/>
      <c r="D39" s="124"/>
      <c r="E39" s="556"/>
      <c r="F39" s="556"/>
      <c r="G39" s="556"/>
      <c r="H39" s="554"/>
      <c r="I39" s="556"/>
      <c r="J39" s="556"/>
      <c r="K39" s="556"/>
      <c r="L39" s="76"/>
      <c r="M39" s="76"/>
      <c r="N39" s="76"/>
      <c r="Q39" s="1"/>
    </row>
    <row r="40" spans="2:28" s="26" customFormat="1" ht="13.9">
      <c r="B40" s="153">
        <v>6</v>
      </c>
      <c r="C40" s="154" t="s">
        <v>168</v>
      </c>
      <c r="D40" s="128"/>
      <c r="E40" s="547">
        <f>MIN(E41:E44)</f>
        <v>45988</v>
      </c>
      <c r="F40" s="548">
        <f>G40-E40</f>
        <v>7</v>
      </c>
      <c r="G40" s="547">
        <f>MAX(G41:G44)</f>
        <v>45995</v>
      </c>
      <c r="H40" s="549"/>
      <c r="I40" s="547">
        <f>MIN(I41:I44)</f>
        <v>45988</v>
      </c>
      <c r="J40" s="548">
        <f>K40-I40</f>
        <v>7</v>
      </c>
      <c r="K40" s="547">
        <f>MAX(K41:K44)</f>
        <v>45995</v>
      </c>
      <c r="L40" s="550"/>
      <c r="M40" s="551">
        <f>(J41*M41+J42*M42+J43*M43)/SUM(J41:J43)</f>
        <v>1</v>
      </c>
      <c r="N40" s="551">
        <f ca="1">(K41*N41+K42*N42)/SUM(K41:K42)</f>
        <v>1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>
      <c r="B41" s="155" t="s">
        <v>169</v>
      </c>
      <c r="C41" s="152" t="s">
        <v>170</v>
      </c>
      <c r="D41" s="124"/>
      <c r="E41" s="558">
        <f>WORKDAY.INTL(MAX(G22,G29,G36),0,1,Data!$C$3:$C$60)</f>
        <v>45988</v>
      </c>
      <c r="F41" s="553">
        <v>1</v>
      </c>
      <c r="G41" s="558">
        <f>WORKDAY.INTL(E41,F41,1,Data!$C$3:$C$60)</f>
        <v>45989</v>
      </c>
      <c r="H41" s="554"/>
      <c r="I41" s="558">
        <f>WORKDAY.INTL(MAX(K22,K29,K36),0,1,Data!$C$3:$C$60)</f>
        <v>45988</v>
      </c>
      <c r="J41" s="553">
        <v>1</v>
      </c>
      <c r="K41" s="558">
        <f>WORKDAY.INTL(I41,J41,1,Data!$C$3:$C$60)</f>
        <v>45989</v>
      </c>
      <c r="L41" s="76"/>
      <c r="M41" s="555">
        <v>1</v>
      </c>
      <c r="N41" s="555">
        <f t="shared" ref="N41:N43" ca="1" si="4">_xlfn.LET(
  _xlpm.s,VALUE($I41),
  _xlpm.e,VALUE($K41),
  IF(OR(_xlpm.s="",_xlpm.e=""),"", IF(_xlpm.e&lt;=_xlpm.s, IF(TODAY()&gt;=_xlpm.e,1,0), MAX(0,MIN(1,(TODAY()-_xlpm.s)/(_xlpm.e-_xlpm.s)))))
)</f>
        <v>1</v>
      </c>
      <c r="O41" s="36"/>
      <c r="Y41" s="4"/>
    </row>
    <row r="42" spans="2:28">
      <c r="B42" s="155" t="s">
        <v>171</v>
      </c>
      <c r="C42" s="152" t="s">
        <v>172</v>
      </c>
      <c r="D42" s="124"/>
      <c r="E42" s="558">
        <f>WORKDAY.INTL(E41,0,1,Data!$C$3:$C$60)</f>
        <v>45988</v>
      </c>
      <c r="F42" s="553">
        <v>5</v>
      </c>
      <c r="G42" s="558">
        <f>WORKDAY.INTL(E42,F42,1,Data!$C$3:$C$60)</f>
        <v>45995</v>
      </c>
      <c r="H42" s="554"/>
      <c r="I42" s="558">
        <f>WORKDAY.INTL(I41,0,1,Data!$C$3:$C$60)</f>
        <v>45988</v>
      </c>
      <c r="J42" s="553">
        <v>5</v>
      </c>
      <c r="K42" s="558">
        <f>WORKDAY.INTL(I42,J42,1,Data!$C$3:$C$60)</f>
        <v>45995</v>
      </c>
      <c r="L42" s="76"/>
      <c r="M42" s="555">
        <v>1</v>
      </c>
      <c r="N42" s="555">
        <f t="shared" ca="1" si="4"/>
        <v>1</v>
      </c>
      <c r="O42" s="36"/>
      <c r="Y42" s="4"/>
    </row>
    <row r="43" spans="2:28">
      <c r="B43" s="155" t="s">
        <v>173</v>
      </c>
      <c r="C43" s="152" t="s">
        <v>174</v>
      </c>
      <c r="D43" s="124"/>
      <c r="E43" s="558">
        <f>WORKDAY.INTL(E42,0,1,Data!$C$3:$C$60)</f>
        <v>45988</v>
      </c>
      <c r="F43" s="553">
        <v>5</v>
      </c>
      <c r="G43" s="558">
        <f>WORKDAY.INTL(E43,F43,1,Data!$C$3:$C$60)</f>
        <v>45995</v>
      </c>
      <c r="H43" s="554"/>
      <c r="I43" s="558">
        <f>WORKDAY.INTL(I42,0,1,Data!$C$3:$C$60)</f>
        <v>45988</v>
      </c>
      <c r="J43" s="553">
        <v>5</v>
      </c>
      <c r="K43" s="558">
        <f>WORKDAY.INTL(I43,J43,1,Data!$C$3:$C$60)</f>
        <v>45995</v>
      </c>
      <c r="L43" s="76"/>
      <c r="M43" s="555">
        <v>1</v>
      </c>
      <c r="N43" s="555">
        <f t="shared" ca="1" si="4"/>
        <v>1</v>
      </c>
      <c r="O43" s="36"/>
      <c r="Y43" s="4"/>
    </row>
    <row r="44" spans="2:28" s="26" customFormat="1" ht="4.5" customHeight="1">
      <c r="B44" s="148"/>
      <c r="C44" s="124"/>
      <c r="D44" s="124"/>
      <c r="E44" s="556"/>
      <c r="F44" s="556"/>
      <c r="G44" s="556"/>
      <c r="H44" s="554"/>
      <c r="I44" s="556"/>
      <c r="J44" s="556"/>
      <c r="K44" s="556"/>
      <c r="L44" s="76"/>
      <c r="M44" s="76"/>
      <c r="N44" s="76"/>
      <c r="Q44" s="1"/>
    </row>
    <row r="45" spans="2:28" s="26" customFormat="1" ht="13.9">
      <c r="B45" s="153">
        <v>7</v>
      </c>
      <c r="C45" s="154" t="s">
        <v>175</v>
      </c>
      <c r="D45" s="128"/>
      <c r="E45" s="547">
        <f>MIN(E46:E49)</f>
        <v>45988</v>
      </c>
      <c r="F45" s="548">
        <f>G45-E45</f>
        <v>8</v>
      </c>
      <c r="G45" s="547">
        <f>MAX(G46:G49)</f>
        <v>45996</v>
      </c>
      <c r="H45" s="549"/>
      <c r="I45" s="547">
        <f>MIN(I46:I49)</f>
        <v>45988</v>
      </c>
      <c r="J45" s="548">
        <f>K45-I45</f>
        <v>78</v>
      </c>
      <c r="K45" s="547">
        <f>MAX(K46:K49)</f>
        <v>46066</v>
      </c>
      <c r="L45" s="550"/>
      <c r="M45" s="551">
        <f>(J46*M46+J47*M47)/SUM(J46:J47)</f>
        <v>1</v>
      </c>
      <c r="N45" s="551">
        <f ca="1">(K46*N46)/SUM(K46)</f>
        <v>1</v>
      </c>
      <c r="O45" s="36"/>
      <c r="Q45" s="38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spans="2:28">
      <c r="B46" s="155" t="s">
        <v>176</v>
      </c>
      <c r="C46" s="152" t="s">
        <v>177</v>
      </c>
      <c r="D46" s="124"/>
      <c r="E46" s="558">
        <f>WORKDAY.INTL(E43,0,1,Data!$C$3:$C$60)</f>
        <v>45988</v>
      </c>
      <c r="F46" s="553">
        <v>1</v>
      </c>
      <c r="G46" s="558">
        <f>WORKDAY.INTL(E46,F46,1,Data!$C$3:$C$60)</f>
        <v>45989</v>
      </c>
      <c r="H46" s="554"/>
      <c r="I46" s="558">
        <f>WORKDAY.INTL(I43,0,1,Data!$C$3:$C$60)</f>
        <v>45988</v>
      </c>
      <c r="J46" s="553">
        <v>1</v>
      </c>
      <c r="K46" s="558">
        <f>WORKDAY.INTL(I46,J46,1,Data!$C$3:$C$60)</f>
        <v>45989</v>
      </c>
      <c r="L46" s="76"/>
      <c r="M46" s="555">
        <v>1</v>
      </c>
      <c r="N46" s="555">
        <f t="shared" ref="N46:N48" ca="1" si="5">_xlfn.LET(
  _xlpm.s,VALUE($I46),
  _xlpm.e,VALUE($K46),
  IF(OR(_xlpm.s="",_xlpm.e=""),"", IF(_xlpm.e&lt;=_xlpm.s, IF(TODAY()&gt;=_xlpm.e,1,0), MAX(0,MIN(1,(TODAY()-_xlpm.s)/(_xlpm.e-_xlpm.s)))))
)</f>
        <v>1</v>
      </c>
      <c r="O46" s="36"/>
      <c r="Y46" s="4"/>
    </row>
    <row r="47" spans="2:28">
      <c r="B47" s="155" t="s">
        <v>178</v>
      </c>
      <c r="C47" s="152" t="s">
        <v>179</v>
      </c>
      <c r="D47" s="124"/>
      <c r="E47" s="558">
        <f>G46</f>
        <v>45989</v>
      </c>
      <c r="F47" s="553">
        <v>5</v>
      </c>
      <c r="G47" s="558">
        <f>WORKDAY.INTL(E47,F47,1,Data!$C$3:$C$60)</f>
        <v>45996</v>
      </c>
      <c r="H47" s="554"/>
      <c r="I47" s="558">
        <f>K46</f>
        <v>45989</v>
      </c>
      <c r="J47" s="553">
        <v>10</v>
      </c>
      <c r="K47" s="558">
        <f>WORKDAY.INTL(I47,J47,1,Data!$C$3:$C$60)</f>
        <v>46003</v>
      </c>
      <c r="L47" s="76"/>
      <c r="M47" s="555">
        <v>1</v>
      </c>
      <c r="N47" s="555">
        <f t="shared" ca="1" si="5"/>
        <v>1</v>
      </c>
      <c r="O47" s="36"/>
      <c r="Y47" s="4"/>
    </row>
    <row r="48" spans="2:28">
      <c r="B48" s="155" t="s">
        <v>180</v>
      </c>
      <c r="C48" s="707" t="s">
        <v>181</v>
      </c>
      <c r="D48" s="124"/>
      <c r="E48" s="558"/>
      <c r="F48" s="553"/>
      <c r="G48" s="558"/>
      <c r="H48" s="554"/>
      <c r="I48" s="558">
        <v>46058</v>
      </c>
      <c r="J48" s="553">
        <v>6</v>
      </c>
      <c r="K48" s="558">
        <f>WORKDAY.INTL(I48,J48,1,Data!$C$3:$C$60)</f>
        <v>46066</v>
      </c>
      <c r="L48" s="76"/>
      <c r="M48" s="701">
        <v>1</v>
      </c>
      <c r="N48" s="555">
        <f t="shared" ca="1" si="5"/>
        <v>1</v>
      </c>
      <c r="O48" s="33"/>
      <c r="Y48" s="4"/>
    </row>
    <row r="49" spans="2:28" s="26" customFormat="1" ht="4.5" customHeight="1">
      <c r="B49" s="148"/>
      <c r="C49" s="124"/>
      <c r="D49" s="124"/>
      <c r="E49" s="556"/>
      <c r="F49" s="556"/>
      <c r="G49" s="556"/>
      <c r="H49" s="554"/>
      <c r="I49" s="556"/>
      <c r="J49" s="556"/>
      <c r="K49" s="556"/>
      <c r="L49" s="76"/>
      <c r="M49" s="76"/>
      <c r="N49" s="76"/>
      <c r="Q49" s="1"/>
    </row>
    <row r="50" spans="2:28" s="26" customFormat="1" ht="13.9">
      <c r="B50" s="153">
        <v>8</v>
      </c>
      <c r="C50" s="154" t="s">
        <v>182</v>
      </c>
      <c r="D50" s="128"/>
      <c r="E50" s="547">
        <f>MIN(E51:E53)</f>
        <v>45989</v>
      </c>
      <c r="F50" s="548">
        <f>G50-E50</f>
        <v>12</v>
      </c>
      <c r="G50" s="547">
        <f>MAX(G51:G53)</f>
        <v>46001</v>
      </c>
      <c r="H50" s="549"/>
      <c r="I50" s="547">
        <f>MIN(I51:I53)</f>
        <v>45989</v>
      </c>
      <c r="J50" s="548">
        <f>K50-I50</f>
        <v>95</v>
      </c>
      <c r="K50" s="547">
        <f>MAX(K51:K53)</f>
        <v>46084</v>
      </c>
      <c r="L50" s="550"/>
      <c r="M50" s="551">
        <f>(J51*M51+J52*M52+J53*M53)/SUM(J51:J53)</f>
        <v>0.73125000000000007</v>
      </c>
      <c r="N50" s="551">
        <f ca="1">(K47*N47+K43*N43+K51*N51+K52*N52+K53*N53)/SUM(K47:K53)</f>
        <v>0.49949884027659675</v>
      </c>
      <c r="O50" s="36"/>
      <c r="Q50" s="38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</row>
    <row r="51" spans="2:28">
      <c r="B51" s="155" t="s">
        <v>183</v>
      </c>
      <c r="C51" s="152" t="s">
        <v>184</v>
      </c>
      <c r="D51" s="124"/>
      <c r="E51" s="558">
        <f>WORKDAY.INTL(E47,0,1,Data!$C$3:$C$60)</f>
        <v>45989</v>
      </c>
      <c r="F51" s="553">
        <v>7</v>
      </c>
      <c r="G51" s="558">
        <f>WORKDAY.INTL(E51,F51,1,Data!$C$3:$C$60)</f>
        <v>46000</v>
      </c>
      <c r="H51" s="554"/>
      <c r="I51" s="558">
        <f>WORKDAY.INTL(I47,0,1,Data!$C$3:$C$60)</f>
        <v>45989</v>
      </c>
      <c r="J51" s="553">
        <v>13</v>
      </c>
      <c r="K51" s="558">
        <f>WORKDAY.INTL(I51,J51,1,Data!$C$3:$C$60)</f>
        <v>46043</v>
      </c>
      <c r="L51" s="76"/>
      <c r="M51" s="555">
        <v>0.9</v>
      </c>
      <c r="N51" s="555">
        <f t="shared" ref="N51:N53" ca="1" si="6">_xlfn.LET(
  _xlpm.s,VALUE($I51),
  _xlpm.e,VALUE($K51),
  IF(OR(_xlpm.s="",_xlpm.e=""),"", IF(_xlpm.e&lt;=_xlpm.s, IF(TODAY()&gt;=_xlpm.e,1,0), MAX(0,MIN(1,(TODAY()-_xlpm.s)/(_xlpm.e-_xlpm.s)))))
)</f>
        <v>1</v>
      </c>
      <c r="O51" s="36"/>
      <c r="Y51" s="4"/>
    </row>
    <row r="52" spans="2:28">
      <c r="B52" s="155" t="s">
        <v>185</v>
      </c>
      <c r="C52" s="152" t="s">
        <v>186</v>
      </c>
      <c r="D52" s="124"/>
      <c r="E52" s="558">
        <f>WORKDAY.INTL(G51,0,1,Data!$C$3:$C$60)</f>
        <v>46000</v>
      </c>
      <c r="F52" s="553">
        <v>1</v>
      </c>
      <c r="G52" s="558">
        <f>WORKDAY.INTL(E52,F52,1,Data!$C$3:$C$60)</f>
        <v>46001</v>
      </c>
      <c r="H52" s="554"/>
      <c r="I52" s="558">
        <v>46078</v>
      </c>
      <c r="J52" s="553">
        <v>1</v>
      </c>
      <c r="K52" s="558">
        <f>WORKDAY.INTL(I52,J52,1,Data!$C$3:$C$60)</f>
        <v>46079</v>
      </c>
      <c r="L52" s="76"/>
      <c r="M52" s="555">
        <v>0</v>
      </c>
      <c r="N52" s="555">
        <f t="shared" ca="1" si="6"/>
        <v>0</v>
      </c>
      <c r="O52" s="36"/>
      <c r="Y52" s="4"/>
    </row>
    <row r="53" spans="2:28">
      <c r="B53" s="155" t="s">
        <v>187</v>
      </c>
      <c r="C53" s="152" t="s">
        <v>188</v>
      </c>
      <c r="D53" s="124"/>
      <c r="E53" s="558">
        <f>WORKDAY.INTL(G47,0,1,Data!$C$3:$C$60)</f>
        <v>45996</v>
      </c>
      <c r="F53" s="553">
        <v>3</v>
      </c>
      <c r="G53" s="558">
        <f>WORKDAY.INTL(E53,F53,1,Data!$C$3:$C$60)</f>
        <v>46001</v>
      </c>
      <c r="H53" s="554"/>
      <c r="I53" s="558">
        <f>K52+1</f>
        <v>46080</v>
      </c>
      <c r="J53" s="553">
        <v>2</v>
      </c>
      <c r="K53" s="558">
        <f>WORKDAY.INTL(I53,J53,1,Data!$C$3:$C$60)</f>
        <v>46084</v>
      </c>
      <c r="L53" s="76"/>
      <c r="M53" s="555">
        <v>0</v>
      </c>
      <c r="N53" s="555">
        <f t="shared" ca="1" si="6"/>
        <v>0</v>
      </c>
      <c r="O53" s="36"/>
      <c r="Y53" s="4"/>
    </row>
    <row r="54" spans="2:28" s="26" customFormat="1" ht="4.5" customHeight="1">
      <c r="B54" s="148"/>
      <c r="C54" s="124"/>
      <c r="D54" s="124"/>
      <c r="E54" s="559"/>
      <c r="F54" s="559"/>
      <c r="G54" s="559"/>
      <c r="H54" s="559"/>
      <c r="I54" s="559"/>
      <c r="J54" s="559"/>
      <c r="K54" s="559"/>
      <c r="L54" s="559"/>
      <c r="M54" s="559"/>
      <c r="N54" s="559"/>
      <c r="O54" s="124"/>
      <c r="Q54" s="38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</row>
    <row r="55" spans="2:28" s="1" customFormat="1">
      <c r="B55" s="80"/>
      <c r="E55" s="81"/>
      <c r="F55" s="25"/>
      <c r="J55" s="25"/>
    </row>
    <row r="56" spans="2:28">
      <c r="B56" s="78"/>
      <c r="C56" s="26"/>
      <c r="E56" s="26"/>
      <c r="G56" s="27"/>
    </row>
    <row r="57" spans="2:28">
      <c r="B57" s="78"/>
      <c r="C57" s="26"/>
      <c r="E57" s="26"/>
      <c r="G57" s="27"/>
    </row>
    <row r="58" spans="2:28">
      <c r="B58" s="78"/>
      <c r="C58" s="26"/>
      <c r="E58" s="26"/>
      <c r="G58" s="27"/>
    </row>
    <row r="59" spans="2:28">
      <c r="B59" s="78"/>
      <c r="C59" s="26"/>
      <c r="E59" s="26"/>
      <c r="G59" s="27"/>
    </row>
    <row r="60" spans="2:28">
      <c r="B60" s="78"/>
      <c r="C60" s="26"/>
      <c r="E60" s="26"/>
      <c r="G60" s="27"/>
    </row>
    <row r="61" spans="2:28">
      <c r="B61" s="78"/>
      <c r="C61" s="26"/>
      <c r="E61" s="26"/>
      <c r="G61" s="27"/>
    </row>
    <row r="62" spans="2:28">
      <c r="B62" s="78"/>
      <c r="C62" s="26"/>
      <c r="E62" s="26"/>
      <c r="G62" s="27"/>
    </row>
    <row r="63" spans="2:28">
      <c r="B63" s="78"/>
      <c r="C63" s="26"/>
      <c r="E63" s="26"/>
      <c r="G63" s="27"/>
    </row>
    <row r="64" spans="2:28">
      <c r="B64" s="78"/>
      <c r="C64" s="26"/>
      <c r="E64" s="26"/>
      <c r="G64" s="27"/>
    </row>
    <row r="65" spans="2:7">
      <c r="B65" s="78"/>
      <c r="C65" s="26"/>
      <c r="E65" s="26"/>
      <c r="G65" s="27"/>
    </row>
    <row r="66" spans="2:7">
      <c r="B66" s="78"/>
      <c r="C66" s="26"/>
      <c r="E66" s="26"/>
      <c r="G66" s="27"/>
    </row>
    <row r="67" spans="2:7">
      <c r="B67" s="78"/>
      <c r="C67" s="26"/>
      <c r="E67" s="26"/>
      <c r="G67" s="27"/>
    </row>
    <row r="68" spans="2:7">
      <c r="B68" s="78"/>
      <c r="C68" s="26"/>
      <c r="E68" s="26"/>
      <c r="G68" s="27"/>
    </row>
    <row r="69" spans="2:7">
      <c r="B69" s="78"/>
      <c r="C69" s="26"/>
      <c r="E69" s="26"/>
      <c r="G69" s="27"/>
    </row>
    <row r="70" spans="2:7">
      <c r="B70" s="78"/>
      <c r="C70" s="26"/>
      <c r="E70" s="26"/>
      <c r="G70" s="27"/>
    </row>
    <row r="71" spans="2:7">
      <c r="B71" s="78"/>
      <c r="C71" s="26"/>
      <c r="E71" s="26"/>
      <c r="G71" s="27"/>
    </row>
    <row r="72" spans="2:7">
      <c r="B72" s="78"/>
      <c r="C72" s="26"/>
      <c r="E72" s="26"/>
      <c r="G72" s="27"/>
    </row>
    <row r="73" spans="2:7">
      <c r="B73" s="78"/>
      <c r="C73" s="26"/>
      <c r="E73" s="26"/>
      <c r="G73" s="27"/>
    </row>
    <row r="74" spans="2:7">
      <c r="B74" s="78"/>
      <c r="C74" s="26"/>
      <c r="E74" s="26"/>
      <c r="G74" s="27"/>
    </row>
    <row r="75" spans="2:7">
      <c r="B75" s="78"/>
      <c r="C75" s="26"/>
      <c r="E75" s="26"/>
      <c r="G75" s="27"/>
    </row>
    <row r="76" spans="2:7">
      <c r="B76" s="78"/>
      <c r="C76" s="26"/>
      <c r="E76" s="26"/>
      <c r="G76" s="27"/>
    </row>
    <row r="77" spans="2:7">
      <c r="B77" s="78"/>
      <c r="C77" s="26"/>
      <c r="E77" s="26"/>
      <c r="G77" s="27"/>
    </row>
    <row r="78" spans="2:7">
      <c r="B78" s="78"/>
      <c r="C78" s="26"/>
      <c r="E78" s="26"/>
      <c r="G78" s="27"/>
    </row>
    <row r="79" spans="2:7">
      <c r="B79" s="78"/>
      <c r="C79" s="26"/>
      <c r="E79" s="26"/>
      <c r="G79" s="27"/>
    </row>
    <row r="80" spans="2:7">
      <c r="B80" s="78"/>
      <c r="C80" s="26"/>
      <c r="E80" s="26"/>
      <c r="G80" s="27"/>
    </row>
    <row r="81" spans="2:7">
      <c r="B81" s="78"/>
      <c r="C81" s="26"/>
      <c r="E81" s="26"/>
      <c r="G81" s="27"/>
    </row>
    <row r="82" spans="2:7">
      <c r="B82" s="78"/>
      <c r="C82" s="26"/>
      <c r="E82" s="26"/>
      <c r="G82" s="27"/>
    </row>
    <row r="83" spans="2:7">
      <c r="B83" s="78"/>
      <c r="C83" s="26"/>
      <c r="E83" s="26"/>
      <c r="G83" s="27"/>
    </row>
    <row r="84" spans="2:7">
      <c r="B84" s="78"/>
      <c r="C84" s="26"/>
      <c r="E84" s="26"/>
      <c r="G84" s="27"/>
    </row>
    <row r="85" spans="2:7">
      <c r="B85" s="78"/>
      <c r="C85" s="26"/>
      <c r="E85" s="26"/>
      <c r="G85" s="27"/>
    </row>
    <row r="86" spans="2:7">
      <c r="B86" s="78"/>
      <c r="C86" s="26"/>
      <c r="E86" s="26"/>
      <c r="G86" s="27"/>
    </row>
    <row r="87" spans="2:7">
      <c r="B87" s="78"/>
      <c r="C87" s="26"/>
      <c r="E87" s="26"/>
      <c r="G87" s="27"/>
    </row>
    <row r="88" spans="2:7">
      <c r="B88" s="78"/>
      <c r="C88" s="26"/>
      <c r="E88" s="26"/>
      <c r="G88" s="27"/>
    </row>
    <row r="89" spans="2:7">
      <c r="B89" s="78"/>
      <c r="C89" s="26"/>
      <c r="E89" s="26"/>
      <c r="G89" s="27"/>
    </row>
    <row r="90" spans="2:7">
      <c r="B90" s="78"/>
      <c r="C90" s="26"/>
      <c r="E90" s="26"/>
      <c r="G90" s="27"/>
    </row>
    <row r="91" spans="2:7">
      <c r="B91" s="78"/>
      <c r="C91" s="26"/>
      <c r="E91" s="26"/>
      <c r="G91" s="27"/>
    </row>
    <row r="92" spans="2:7">
      <c r="B92" s="78"/>
      <c r="C92" s="26"/>
      <c r="E92" s="26"/>
      <c r="G92" s="27"/>
    </row>
    <row r="93" spans="2:7">
      <c r="B93" s="78"/>
      <c r="C93" s="26"/>
      <c r="E93" s="26"/>
      <c r="G93" s="27"/>
    </row>
    <row r="94" spans="2:7">
      <c r="B94" s="78"/>
      <c r="C94" s="26"/>
      <c r="E94" s="26"/>
      <c r="G94" s="27"/>
    </row>
    <row r="95" spans="2:7">
      <c r="B95" s="78"/>
      <c r="C95" s="26"/>
      <c r="E95" s="26"/>
      <c r="G95" s="27"/>
    </row>
    <row r="96" spans="2:7">
      <c r="B96" s="78"/>
      <c r="C96" s="26"/>
      <c r="E96" s="26"/>
      <c r="G96" s="27"/>
    </row>
    <row r="97" spans="2:7">
      <c r="B97" s="78"/>
      <c r="C97" s="26"/>
      <c r="E97" s="26"/>
      <c r="G97" s="27"/>
    </row>
    <row r="98" spans="2:7">
      <c r="B98" s="78"/>
      <c r="C98" s="26"/>
      <c r="E98" s="26"/>
      <c r="G98" s="27"/>
    </row>
    <row r="99" spans="2:7">
      <c r="B99" s="78"/>
      <c r="C99" s="26"/>
      <c r="E99" s="26"/>
      <c r="G99" s="27"/>
    </row>
    <row r="100" spans="2:7">
      <c r="B100" s="78"/>
      <c r="C100" s="26"/>
      <c r="E100" s="26"/>
      <c r="G100" s="27"/>
    </row>
    <row r="101" spans="2:7">
      <c r="B101" s="78"/>
      <c r="C101" s="26"/>
      <c r="E101" s="26"/>
      <c r="G101" s="27"/>
    </row>
    <row r="102" spans="2:7">
      <c r="B102" s="78"/>
      <c r="C102" s="26"/>
      <c r="E102" s="26"/>
      <c r="G102" s="27"/>
    </row>
    <row r="103" spans="2:7">
      <c r="B103" s="78"/>
      <c r="C103" s="26"/>
      <c r="E103" s="26"/>
      <c r="G103" s="27"/>
    </row>
    <row r="104" spans="2:7">
      <c r="B104" s="78"/>
      <c r="C104" s="26"/>
      <c r="E104" s="26"/>
      <c r="G104" s="27"/>
    </row>
    <row r="105" spans="2:7">
      <c r="B105" s="78"/>
      <c r="C105" s="26"/>
      <c r="E105" s="26"/>
      <c r="G105" s="27"/>
    </row>
    <row r="106" spans="2:7">
      <c r="B106" s="78"/>
      <c r="C106" s="26"/>
      <c r="E106" s="26"/>
      <c r="G106" s="27"/>
    </row>
    <row r="107" spans="2:7">
      <c r="B107" s="78"/>
      <c r="C107" s="26"/>
      <c r="E107" s="26"/>
      <c r="G107" s="27"/>
    </row>
    <row r="108" spans="2:7">
      <c r="B108" s="78"/>
      <c r="C108" s="26"/>
      <c r="E108" s="26"/>
      <c r="G108" s="27"/>
    </row>
    <row r="109" spans="2:7">
      <c r="B109" s="78"/>
      <c r="C109" s="26"/>
      <c r="E109" s="26"/>
      <c r="G109" s="27"/>
    </row>
    <row r="110" spans="2:7">
      <c r="B110" s="78"/>
      <c r="C110" s="26"/>
      <c r="E110" s="26"/>
      <c r="G110" s="27"/>
    </row>
    <row r="111" spans="2:7">
      <c r="B111" s="78"/>
      <c r="C111" s="26"/>
      <c r="E111" s="26"/>
      <c r="G111" s="27"/>
    </row>
    <row r="112" spans="2:7">
      <c r="B112" s="78"/>
      <c r="C112" s="26"/>
      <c r="E112" s="26"/>
      <c r="G112" s="27"/>
    </row>
    <row r="113" spans="2:7">
      <c r="B113" s="78"/>
      <c r="C113" s="26"/>
      <c r="E113" s="26"/>
      <c r="G113" s="27"/>
    </row>
    <row r="114" spans="2:7">
      <c r="B114" s="78"/>
      <c r="C114" s="26"/>
      <c r="E114" s="26"/>
      <c r="G114" s="27"/>
    </row>
    <row r="115" spans="2:7">
      <c r="B115" s="78"/>
      <c r="C115" s="26"/>
      <c r="E115" s="26"/>
      <c r="G115" s="27"/>
    </row>
    <row r="116" spans="2:7">
      <c r="B116" s="78"/>
      <c r="C116" s="26"/>
      <c r="E116" s="26"/>
      <c r="G116" s="27"/>
    </row>
    <row r="117" spans="2:7">
      <c r="B117" s="78"/>
      <c r="C117" s="26"/>
      <c r="E117" s="26"/>
      <c r="G117" s="27"/>
    </row>
    <row r="118" spans="2:7">
      <c r="B118" s="78"/>
      <c r="C118" s="26"/>
      <c r="E118" s="26"/>
      <c r="G118" s="27"/>
    </row>
    <row r="119" spans="2:7">
      <c r="B119" s="78"/>
      <c r="C119" s="26"/>
      <c r="E119" s="26"/>
      <c r="G119" s="27"/>
    </row>
    <row r="120" spans="2:7">
      <c r="B120" s="78"/>
      <c r="C120" s="26"/>
      <c r="E120" s="26"/>
      <c r="G120" s="27"/>
    </row>
    <row r="121" spans="2:7">
      <c r="B121" s="78"/>
      <c r="C121" s="26"/>
      <c r="E121" s="26"/>
      <c r="G121" s="27"/>
    </row>
    <row r="122" spans="2:7">
      <c r="B122" s="78"/>
      <c r="C122" s="26"/>
      <c r="E122" s="26"/>
      <c r="G122" s="27"/>
    </row>
    <row r="123" spans="2:7">
      <c r="B123" s="78"/>
      <c r="C123" s="26"/>
      <c r="E123" s="26"/>
      <c r="G123" s="27"/>
    </row>
    <row r="124" spans="2:7">
      <c r="B124" s="78"/>
      <c r="C124" s="26"/>
      <c r="E124" s="26"/>
      <c r="G124" s="27"/>
    </row>
    <row r="125" spans="2:7">
      <c r="B125" s="78"/>
      <c r="C125" s="26"/>
      <c r="E125" s="26"/>
      <c r="G125" s="27"/>
    </row>
    <row r="126" spans="2:7">
      <c r="B126" s="78"/>
      <c r="C126" s="26"/>
      <c r="E126" s="26"/>
      <c r="G126" s="27"/>
    </row>
    <row r="127" spans="2:7">
      <c r="B127" s="78"/>
      <c r="C127" s="26"/>
      <c r="E127" s="26"/>
      <c r="G127" s="27"/>
    </row>
    <row r="128" spans="2:7">
      <c r="B128" s="78"/>
      <c r="C128" s="26"/>
      <c r="E128" s="26"/>
      <c r="G128" s="27"/>
    </row>
    <row r="129" spans="2:7">
      <c r="B129" s="78"/>
      <c r="C129" s="26"/>
      <c r="E129" s="26"/>
      <c r="G129" s="27"/>
    </row>
    <row r="130" spans="2:7">
      <c r="B130" s="78"/>
      <c r="C130" s="26"/>
      <c r="E130" s="26"/>
      <c r="G130" s="27"/>
    </row>
    <row r="131" spans="2:7">
      <c r="B131" s="78"/>
      <c r="C131" s="26"/>
      <c r="E131" s="26"/>
      <c r="G131" s="27"/>
    </row>
    <row r="132" spans="2:7">
      <c r="B132" s="78"/>
      <c r="C132" s="26"/>
      <c r="E132" s="26"/>
      <c r="G132" s="27"/>
    </row>
    <row r="133" spans="2:7">
      <c r="B133" s="78"/>
      <c r="C133" s="26"/>
      <c r="E133" s="26"/>
      <c r="G133" s="27"/>
    </row>
    <row r="134" spans="2:7">
      <c r="B134" s="78"/>
      <c r="C134" s="26"/>
      <c r="E134" s="26"/>
      <c r="G134" s="27"/>
    </row>
    <row r="135" spans="2:7">
      <c r="B135" s="78"/>
      <c r="C135" s="26"/>
      <c r="E135" s="26"/>
      <c r="G135" s="27"/>
    </row>
    <row r="136" spans="2:7">
      <c r="B136" s="78"/>
      <c r="C136" s="26"/>
      <c r="E136" s="26"/>
      <c r="G136" s="27"/>
    </row>
    <row r="137" spans="2:7">
      <c r="B137" s="78"/>
      <c r="C137" s="26"/>
      <c r="E137" s="26"/>
      <c r="G137" s="27"/>
    </row>
    <row r="138" spans="2:7">
      <c r="B138" s="78"/>
      <c r="C138" s="26"/>
      <c r="E138" s="26"/>
      <c r="G138" s="27"/>
    </row>
    <row r="139" spans="2:7">
      <c r="B139" s="78"/>
      <c r="C139" s="26"/>
      <c r="E139" s="26"/>
      <c r="G139" s="27"/>
    </row>
    <row r="140" spans="2:7">
      <c r="B140" s="78"/>
      <c r="C140" s="26"/>
      <c r="E140" s="26"/>
      <c r="G140" s="27"/>
    </row>
    <row r="141" spans="2:7">
      <c r="B141" s="78"/>
      <c r="C141" s="26"/>
      <c r="E141" s="26"/>
      <c r="G141" s="27"/>
    </row>
    <row r="142" spans="2:7">
      <c r="B142" s="78"/>
      <c r="C142" s="26"/>
      <c r="E142" s="26"/>
      <c r="G142" s="27"/>
    </row>
    <row r="143" spans="2:7">
      <c r="B143" s="78"/>
      <c r="C143" s="26"/>
      <c r="E143" s="26"/>
      <c r="G143" s="27"/>
    </row>
    <row r="144" spans="2:7">
      <c r="B144" s="78"/>
      <c r="C144" s="26"/>
      <c r="E144" s="26"/>
      <c r="G144" s="27"/>
    </row>
    <row r="145" spans="2:7">
      <c r="B145" s="78"/>
      <c r="C145" s="26"/>
      <c r="E145" s="26"/>
      <c r="G145" s="27"/>
    </row>
    <row r="146" spans="2:7">
      <c r="B146" s="78"/>
      <c r="C146" s="26"/>
      <c r="E146" s="26"/>
      <c r="G146" s="27"/>
    </row>
    <row r="147" spans="2:7">
      <c r="B147" s="78"/>
      <c r="C147" s="26"/>
      <c r="E147" s="26"/>
      <c r="G147" s="27"/>
    </row>
    <row r="148" spans="2:7">
      <c r="B148" s="78"/>
      <c r="C148" s="26"/>
      <c r="E148" s="26"/>
      <c r="G148" s="27"/>
    </row>
    <row r="149" spans="2:7">
      <c r="B149" s="78"/>
      <c r="C149" s="26"/>
      <c r="E149" s="26"/>
      <c r="G149" s="27"/>
    </row>
    <row r="150" spans="2:7">
      <c r="B150" s="78"/>
      <c r="C150" s="26"/>
      <c r="E150" s="26"/>
      <c r="G150" s="27"/>
    </row>
    <row r="151" spans="2:7">
      <c r="B151" s="78"/>
      <c r="C151" s="26"/>
      <c r="E151" s="26"/>
      <c r="G151" s="27"/>
    </row>
    <row r="152" spans="2:7">
      <c r="B152" s="78"/>
      <c r="C152" s="26"/>
      <c r="E152" s="26"/>
      <c r="G152" s="27"/>
    </row>
    <row r="153" spans="2:7">
      <c r="B153" s="78"/>
      <c r="C153" s="26"/>
      <c r="E153" s="26"/>
      <c r="G153" s="27"/>
    </row>
    <row r="154" spans="2:7">
      <c r="B154" s="78"/>
      <c r="C154" s="26"/>
      <c r="E154" s="26"/>
      <c r="G154" s="27"/>
    </row>
    <row r="155" spans="2:7">
      <c r="B155" s="78"/>
      <c r="C155" s="26"/>
      <c r="E155" s="26"/>
      <c r="G155" s="27"/>
    </row>
    <row r="156" spans="2:7">
      <c r="B156" s="78"/>
      <c r="C156" s="26"/>
      <c r="E156" s="26"/>
      <c r="G156" s="27"/>
    </row>
    <row r="157" spans="2:7">
      <c r="B157" s="78"/>
      <c r="C157" s="26"/>
      <c r="E157" s="26"/>
      <c r="G157" s="27"/>
    </row>
    <row r="158" spans="2:7">
      <c r="B158" s="78"/>
      <c r="C158" s="26"/>
      <c r="E158" s="26"/>
      <c r="G158" s="27"/>
    </row>
    <row r="159" spans="2:7">
      <c r="B159" s="78"/>
      <c r="C159" s="26"/>
      <c r="E159" s="26"/>
      <c r="G159" s="27"/>
    </row>
    <row r="160" spans="2:7">
      <c r="B160" s="78"/>
      <c r="C160" s="26"/>
      <c r="E160" s="26"/>
      <c r="G160" s="27"/>
    </row>
    <row r="161" spans="2:7">
      <c r="B161" s="78"/>
      <c r="C161" s="26"/>
      <c r="E161" s="26"/>
      <c r="G161" s="27"/>
    </row>
    <row r="162" spans="2:7">
      <c r="B162" s="78"/>
      <c r="C162" s="26"/>
      <c r="E162" s="26"/>
      <c r="G162" s="27"/>
    </row>
    <row r="163" spans="2:7">
      <c r="B163" s="78"/>
      <c r="C163" s="26"/>
      <c r="E163" s="26"/>
      <c r="G163" s="27"/>
    </row>
    <row r="164" spans="2:7">
      <c r="B164" s="78"/>
      <c r="C164" s="26"/>
      <c r="E164" s="26"/>
      <c r="G164" s="27"/>
    </row>
    <row r="165" spans="2:7">
      <c r="B165" s="78"/>
      <c r="C165" s="26"/>
      <c r="E165" s="26"/>
      <c r="G165" s="27"/>
    </row>
    <row r="166" spans="2:7">
      <c r="B166" s="78"/>
      <c r="C166" s="26"/>
      <c r="E166" s="26"/>
      <c r="G166" s="27"/>
    </row>
    <row r="167" spans="2:7">
      <c r="B167" s="78"/>
      <c r="C167" s="26"/>
      <c r="E167" s="26"/>
      <c r="G167" s="27"/>
    </row>
    <row r="168" spans="2:7">
      <c r="B168" s="78"/>
      <c r="C168" s="26"/>
      <c r="E168" s="26"/>
      <c r="G168" s="27"/>
    </row>
    <row r="169" spans="2:7">
      <c r="B169" s="78"/>
      <c r="C169" s="26"/>
      <c r="E169" s="26"/>
      <c r="G169" s="27"/>
    </row>
    <row r="170" spans="2:7">
      <c r="B170" s="78"/>
      <c r="C170" s="26"/>
      <c r="E170" s="26"/>
      <c r="G170" s="27"/>
    </row>
    <row r="171" spans="2:7">
      <c r="B171" s="78"/>
      <c r="C171" s="26"/>
      <c r="E171" s="26"/>
      <c r="G171" s="27"/>
    </row>
    <row r="172" spans="2:7">
      <c r="B172" s="78"/>
      <c r="C172" s="26"/>
      <c r="E172" s="26"/>
      <c r="G172" s="27"/>
    </row>
    <row r="173" spans="2:7">
      <c r="B173" s="78"/>
      <c r="C173" s="26"/>
      <c r="E173" s="26"/>
      <c r="G173" s="27"/>
    </row>
    <row r="174" spans="2:7">
      <c r="B174" s="78"/>
      <c r="C174" s="26"/>
      <c r="E174" s="26"/>
      <c r="G174" s="27"/>
    </row>
    <row r="175" spans="2:7">
      <c r="B175" s="78"/>
      <c r="C175" s="26"/>
      <c r="E175" s="26"/>
      <c r="G175" s="27"/>
    </row>
    <row r="176" spans="2:7">
      <c r="B176" s="78"/>
      <c r="C176" s="26"/>
      <c r="E176" s="26"/>
      <c r="G176" s="27"/>
    </row>
    <row r="177" spans="2:7">
      <c r="B177" s="78"/>
      <c r="C177" s="26"/>
      <c r="E177" s="26"/>
      <c r="G177" s="27"/>
    </row>
    <row r="178" spans="2:7">
      <c r="B178" s="78"/>
      <c r="C178" s="26"/>
      <c r="E178" s="26"/>
      <c r="G178" s="27"/>
    </row>
    <row r="179" spans="2:7">
      <c r="B179" s="78"/>
      <c r="C179" s="26"/>
      <c r="E179" s="26"/>
      <c r="G179" s="27"/>
    </row>
    <row r="180" spans="2:7">
      <c r="B180" s="78"/>
      <c r="C180" s="26"/>
      <c r="E180" s="26"/>
      <c r="G180" s="27"/>
    </row>
    <row r="181" spans="2:7">
      <c r="B181" s="78"/>
      <c r="C181" s="26"/>
      <c r="E181" s="26"/>
      <c r="G181" s="27"/>
    </row>
    <row r="182" spans="2:7">
      <c r="B182" s="78"/>
      <c r="C182" s="26"/>
      <c r="E182" s="26"/>
      <c r="G182" s="27"/>
    </row>
    <row r="183" spans="2:7">
      <c r="B183" s="78"/>
      <c r="C183" s="26"/>
      <c r="E183" s="26"/>
      <c r="G183" s="27"/>
    </row>
    <row r="184" spans="2:7">
      <c r="B184" s="78"/>
      <c r="C184" s="26"/>
      <c r="E184" s="26"/>
      <c r="G184" s="27"/>
    </row>
    <row r="185" spans="2:7">
      <c r="B185" s="78"/>
      <c r="C185" s="26"/>
      <c r="E185" s="26"/>
      <c r="G185" s="27"/>
    </row>
    <row r="186" spans="2:7">
      <c r="B186" s="78"/>
      <c r="C186" s="26"/>
      <c r="E186" s="26"/>
      <c r="G186" s="27"/>
    </row>
    <row r="187" spans="2:7">
      <c r="B187" s="78"/>
      <c r="C187" s="26"/>
      <c r="E187" s="26"/>
      <c r="G187" s="27"/>
    </row>
    <row r="188" spans="2:7">
      <c r="B188" s="78"/>
      <c r="C188" s="26"/>
      <c r="E188" s="26"/>
      <c r="G188" s="27"/>
    </row>
    <row r="189" spans="2:7">
      <c r="B189" s="78"/>
      <c r="C189" s="26"/>
      <c r="E189" s="26"/>
      <c r="G189" s="27"/>
    </row>
    <row r="190" spans="2:7">
      <c r="B190" s="78"/>
      <c r="C190" s="26"/>
      <c r="E190" s="26"/>
      <c r="G190" s="27"/>
    </row>
    <row r="191" spans="2:7">
      <c r="B191" s="78"/>
      <c r="C191" s="26"/>
      <c r="E191" s="26"/>
      <c r="G191" s="27"/>
    </row>
    <row r="192" spans="2:7">
      <c r="B192" s="78"/>
      <c r="C192" s="26"/>
      <c r="E192" s="26"/>
      <c r="G192" s="27"/>
    </row>
    <row r="193" spans="2:7">
      <c r="B193" s="78"/>
      <c r="C193" s="26"/>
      <c r="E193" s="26"/>
      <c r="G193" s="27"/>
    </row>
    <row r="194" spans="2:7">
      <c r="B194" s="78"/>
      <c r="C194" s="26"/>
      <c r="E194" s="26"/>
      <c r="G194" s="27"/>
    </row>
    <row r="195" spans="2:7">
      <c r="B195" s="78"/>
      <c r="C195" s="26"/>
      <c r="E195" s="26"/>
      <c r="G195" s="27"/>
    </row>
    <row r="196" spans="2:7">
      <c r="B196" s="78"/>
      <c r="C196" s="26"/>
      <c r="E196" s="26"/>
      <c r="G196" s="27"/>
    </row>
    <row r="197" spans="2:7">
      <c r="B197" s="78"/>
      <c r="C197" s="26"/>
      <c r="E197" s="26"/>
      <c r="G197" s="27"/>
    </row>
    <row r="198" spans="2:7">
      <c r="B198" s="78"/>
      <c r="C198" s="26"/>
      <c r="E198" s="26"/>
      <c r="G198" s="27"/>
    </row>
    <row r="199" spans="2:7">
      <c r="B199" s="78"/>
      <c r="C199" s="26"/>
      <c r="E199" s="26"/>
      <c r="G199" s="27"/>
    </row>
    <row r="200" spans="2:7">
      <c r="B200" s="78"/>
      <c r="C200" s="26"/>
      <c r="E200" s="26"/>
      <c r="G200" s="27"/>
    </row>
    <row r="201" spans="2:7">
      <c r="B201" s="78"/>
      <c r="C201" s="26"/>
      <c r="E201" s="26"/>
      <c r="G201" s="27"/>
    </row>
    <row r="202" spans="2:7">
      <c r="B202" s="78"/>
      <c r="C202" s="26"/>
      <c r="E202" s="26"/>
      <c r="G202" s="27"/>
    </row>
    <row r="203" spans="2:7">
      <c r="B203" s="78"/>
      <c r="C203" s="26"/>
      <c r="E203" s="26"/>
      <c r="G203" s="27"/>
    </row>
    <row r="204" spans="2:7">
      <c r="B204" s="78"/>
      <c r="C204" s="26"/>
      <c r="E204" s="26"/>
      <c r="G204" s="27"/>
    </row>
    <row r="205" spans="2:7">
      <c r="B205" s="78"/>
      <c r="C205" s="26"/>
      <c r="E205" s="26"/>
      <c r="G205" s="27"/>
    </row>
    <row r="206" spans="2:7">
      <c r="B206" s="78"/>
      <c r="C206" s="26"/>
      <c r="E206" s="26"/>
      <c r="G206" s="27"/>
    </row>
    <row r="207" spans="2:7">
      <c r="B207" s="78"/>
      <c r="C207" s="26"/>
      <c r="E207" s="26"/>
      <c r="G207" s="27"/>
    </row>
    <row r="208" spans="2:7">
      <c r="B208" s="78"/>
      <c r="C208" s="26"/>
      <c r="E208" s="26"/>
      <c r="G208" s="27"/>
    </row>
    <row r="209" spans="2:7">
      <c r="B209" s="78"/>
      <c r="C209" s="26"/>
      <c r="E209" s="26"/>
      <c r="G209" s="27"/>
    </row>
    <row r="210" spans="2:7">
      <c r="B210" s="78"/>
      <c r="C210" s="26"/>
      <c r="E210" s="26"/>
      <c r="G210" s="27"/>
    </row>
    <row r="211" spans="2:7">
      <c r="B211" s="78"/>
      <c r="C211" s="26"/>
      <c r="E211" s="26"/>
      <c r="G211" s="27"/>
    </row>
    <row r="212" spans="2:7">
      <c r="B212" s="78"/>
      <c r="C212" s="26"/>
      <c r="E212" s="26"/>
      <c r="G212" s="27"/>
    </row>
    <row r="213" spans="2:7">
      <c r="B213" s="78"/>
      <c r="C213" s="26"/>
      <c r="E213" s="26"/>
      <c r="G213" s="27"/>
    </row>
    <row r="214" spans="2:7">
      <c r="B214" s="78"/>
      <c r="C214" s="26"/>
      <c r="E214" s="26"/>
      <c r="G214" s="27"/>
    </row>
    <row r="215" spans="2:7">
      <c r="B215" s="78"/>
      <c r="C215" s="26"/>
      <c r="E215" s="26"/>
      <c r="G215" s="27"/>
    </row>
    <row r="216" spans="2:7">
      <c r="B216" s="78"/>
      <c r="C216" s="26"/>
      <c r="E216" s="26"/>
      <c r="G216" s="27"/>
    </row>
    <row r="217" spans="2:7">
      <c r="B217" s="78"/>
      <c r="C217" s="26"/>
      <c r="E217" s="26"/>
      <c r="G217" s="27"/>
    </row>
    <row r="218" spans="2:7">
      <c r="B218" s="78"/>
      <c r="C218" s="26"/>
      <c r="E218" s="26"/>
      <c r="G218" s="27"/>
    </row>
    <row r="219" spans="2:7">
      <c r="B219" s="78"/>
      <c r="C219" s="26"/>
      <c r="E219" s="26"/>
      <c r="G219" s="27"/>
    </row>
    <row r="220" spans="2:7">
      <c r="B220" s="78"/>
      <c r="C220" s="26"/>
      <c r="E220" s="26"/>
      <c r="G220" s="27"/>
    </row>
    <row r="221" spans="2:7">
      <c r="B221" s="78"/>
      <c r="C221" s="26"/>
      <c r="E221" s="26"/>
      <c r="G221" s="27"/>
    </row>
    <row r="222" spans="2:7">
      <c r="B222" s="78"/>
      <c r="C222" s="26"/>
      <c r="E222" s="26"/>
      <c r="G222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N1:O2 N6:O7 M1:M7 P1:P7 O8:P53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1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  <mergeCell ref="F8:F9"/>
  </mergeCells>
  <phoneticPr fontId="11" type="noConversion"/>
  <conditionalFormatting sqref="M51:N53 M41:N43 M20:N20 M12:N17 M23:N27 M30:N34 M37:N38 M46:N4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4" orientation="portrait" r:id="rId1"/>
  <ignoredErrors>
    <ignoredError sqref="S9:T9 K3:K4" unlockedFormula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sheetPr codeName="Sheet11"/>
  <dimension ref="A1:H192"/>
  <sheetViews>
    <sheetView topLeftCell="B1" zoomScaleNormal="100" workbookViewId="0">
      <pane ySplit="2" topLeftCell="A3" activePane="bottomLeft" state="frozen"/>
      <selection activeCell="B9" sqref="B2:O51"/>
      <selection pane="bottomLeft" activeCell="B9" sqref="B2:O51"/>
    </sheetView>
  </sheetViews>
  <sheetFormatPr defaultColWidth="8.46484375" defaultRowHeight="13.5"/>
  <cols>
    <col min="1" max="1" width="1.46484375" style="4" customWidth="1"/>
    <col min="2" max="2" width="30.53125" style="4" bestFit="1" customWidth="1"/>
    <col min="3" max="3" width="19.53125" style="4" customWidth="1"/>
    <col min="4" max="4" width="32.53125" style="4" customWidth="1"/>
    <col min="5" max="5" width="9.53125" style="4" customWidth="1"/>
    <col min="6" max="6" width="16.46484375" style="4" bestFit="1" customWidth="1"/>
    <col min="7" max="7" width="53.46484375" style="4" customWidth="1"/>
    <col min="8" max="16384" width="8.46484375" style="4"/>
  </cols>
  <sheetData>
    <row r="1" spans="1:8" ht="6.75" customHeight="1">
      <c r="A1" s="124"/>
      <c r="B1" s="124"/>
      <c r="C1" s="124"/>
      <c r="D1" s="124"/>
      <c r="E1" s="124"/>
      <c r="F1" s="124"/>
      <c r="G1" s="26"/>
      <c r="H1" s="1"/>
    </row>
    <row r="2" spans="1:8" ht="14.25">
      <c r="A2" s="124"/>
      <c r="B2" s="14" t="s">
        <v>189</v>
      </c>
      <c r="C2" s="14" t="s">
        <v>190</v>
      </c>
      <c r="D2" s="14" t="s">
        <v>46</v>
      </c>
      <c r="E2" s="14" t="s">
        <v>191</v>
      </c>
      <c r="F2" s="14" t="s">
        <v>192</v>
      </c>
      <c r="G2" s="14" t="s">
        <v>193</v>
      </c>
      <c r="H2" s="1"/>
    </row>
    <row r="3" spans="1:8">
      <c r="A3" s="124"/>
      <c r="B3" s="577" t="s">
        <v>194</v>
      </c>
      <c r="C3" s="577" t="s">
        <v>195</v>
      </c>
      <c r="D3" s="577" t="s">
        <v>196</v>
      </c>
      <c r="E3" s="580">
        <v>424</v>
      </c>
      <c r="F3" s="580"/>
      <c r="G3" s="577"/>
      <c r="H3" s="1"/>
    </row>
    <row r="4" spans="1:8">
      <c r="A4" s="124"/>
      <c r="B4" s="577" t="s">
        <v>197</v>
      </c>
      <c r="C4" s="577" t="s">
        <v>195</v>
      </c>
      <c r="D4" s="577" t="s">
        <v>198</v>
      </c>
      <c r="E4" s="580">
        <v>6000</v>
      </c>
      <c r="F4" s="580"/>
      <c r="G4" s="577"/>
      <c r="H4" s="1"/>
    </row>
    <row r="5" spans="1:8">
      <c r="A5" s="124"/>
      <c r="B5" s="577" t="s">
        <v>199</v>
      </c>
      <c r="C5" s="577" t="s">
        <v>195</v>
      </c>
      <c r="D5" s="577" t="s">
        <v>200</v>
      </c>
      <c r="E5" s="580">
        <v>4</v>
      </c>
      <c r="F5" s="580"/>
      <c r="G5" s="577"/>
      <c r="H5" s="1"/>
    </row>
    <row r="6" spans="1:8">
      <c r="A6" s="124"/>
      <c r="B6" s="577" t="s">
        <v>201</v>
      </c>
      <c r="C6" s="577" t="s">
        <v>202</v>
      </c>
      <c r="D6" s="577" t="s">
        <v>203</v>
      </c>
      <c r="E6" s="580"/>
      <c r="F6" s="580" t="s">
        <v>204</v>
      </c>
      <c r="G6" s="577" t="s">
        <v>205</v>
      </c>
      <c r="H6" s="1"/>
    </row>
    <row r="7" spans="1:8">
      <c r="A7" s="124"/>
      <c r="B7" s="577" t="s">
        <v>206</v>
      </c>
      <c r="C7" s="577"/>
      <c r="D7" s="577"/>
      <c r="E7" s="580"/>
      <c r="F7" s="580"/>
      <c r="G7" s="577"/>
      <c r="H7" s="1"/>
    </row>
    <row r="8" spans="1:8">
      <c r="A8" s="124"/>
      <c r="B8" s="577" t="s">
        <v>207</v>
      </c>
      <c r="C8" s="577"/>
      <c r="D8" s="577"/>
      <c r="E8" s="580"/>
      <c r="F8" s="580"/>
      <c r="G8" s="577"/>
      <c r="H8" s="1"/>
    </row>
    <row r="9" spans="1:8">
      <c r="A9" s="124"/>
      <c r="B9" s="577" t="s">
        <v>208</v>
      </c>
      <c r="C9" s="577"/>
      <c r="D9" s="577"/>
      <c r="E9" s="580"/>
      <c r="F9" s="580"/>
      <c r="G9" s="577"/>
      <c r="H9" s="1"/>
    </row>
    <row r="10" spans="1:8">
      <c r="A10" s="124"/>
      <c r="B10" s="577" t="s">
        <v>209</v>
      </c>
      <c r="C10" s="577"/>
      <c r="D10" s="577"/>
      <c r="E10" s="580"/>
      <c r="F10" s="580"/>
      <c r="G10" s="577"/>
      <c r="H10" s="1"/>
    </row>
    <row r="11" spans="1:8">
      <c r="A11" s="124"/>
      <c r="B11" s="577" t="s">
        <v>210</v>
      </c>
      <c r="C11" s="577"/>
      <c r="D11" s="577"/>
      <c r="E11" s="580"/>
      <c r="F11" s="580"/>
      <c r="G11" s="577"/>
      <c r="H11" s="1"/>
    </row>
    <row r="12" spans="1:8">
      <c r="A12" s="124"/>
      <c r="B12" s="577" t="s">
        <v>211</v>
      </c>
      <c r="C12" s="577"/>
      <c r="D12" s="577"/>
      <c r="E12" s="580"/>
      <c r="F12" s="580"/>
      <c r="G12" s="577"/>
      <c r="H12" s="1"/>
    </row>
    <row r="13" spans="1:8">
      <c r="A13" s="124"/>
      <c r="B13" s="577" t="s">
        <v>212</v>
      </c>
      <c r="C13" s="577"/>
      <c r="D13" s="577"/>
      <c r="E13" s="580"/>
      <c r="F13" s="580"/>
      <c r="G13" s="577"/>
      <c r="H13" s="1"/>
    </row>
    <row r="14" spans="1:8">
      <c r="A14" s="124"/>
      <c r="B14" s="577" t="s">
        <v>213</v>
      </c>
      <c r="C14" s="577"/>
      <c r="D14" s="577"/>
      <c r="E14" s="580"/>
      <c r="F14" s="580"/>
      <c r="G14" s="577"/>
      <c r="H14" s="1"/>
    </row>
    <row r="15" spans="1:8">
      <c r="A15" s="124"/>
      <c r="B15" s="577"/>
      <c r="C15" s="577"/>
      <c r="D15" s="577"/>
      <c r="E15" s="580"/>
      <c r="F15" s="580"/>
      <c r="G15" s="577"/>
      <c r="H15" s="1"/>
    </row>
    <row r="16" spans="1:8">
      <c r="A16" s="124"/>
      <c r="B16" s="577"/>
      <c r="C16" s="577"/>
      <c r="D16" s="577"/>
      <c r="E16" s="580"/>
      <c r="F16" s="580"/>
      <c r="G16" s="577"/>
      <c r="H16" s="1"/>
    </row>
    <row r="17" spans="1:8">
      <c r="A17" s="124"/>
      <c r="B17" s="577"/>
      <c r="C17" s="577"/>
      <c r="D17" s="577"/>
      <c r="E17" s="580"/>
      <c r="F17" s="580"/>
      <c r="G17" s="577"/>
      <c r="H17" s="1"/>
    </row>
    <row r="18" spans="1:8">
      <c r="A18" s="124"/>
      <c r="B18" s="577"/>
      <c r="C18" s="577"/>
      <c r="D18" s="577"/>
      <c r="E18" s="580"/>
      <c r="F18" s="580"/>
      <c r="G18" s="577"/>
      <c r="H18" s="1"/>
    </row>
    <row r="19" spans="1:8">
      <c r="A19" s="124"/>
      <c r="B19" s="577"/>
      <c r="C19" s="577"/>
      <c r="D19" s="577"/>
      <c r="E19" s="580"/>
      <c r="F19" s="580"/>
      <c r="G19" s="577"/>
      <c r="H19" s="1"/>
    </row>
    <row r="20" spans="1:8">
      <c r="A20" s="124"/>
      <c r="B20" s="577"/>
      <c r="C20" s="577"/>
      <c r="D20" s="577"/>
      <c r="E20" s="580"/>
      <c r="F20" s="580"/>
      <c r="G20" s="577"/>
      <c r="H20" s="1"/>
    </row>
    <row r="21" spans="1:8">
      <c r="A21" s="124"/>
      <c r="B21" s="577"/>
      <c r="C21" s="577"/>
      <c r="D21" s="577"/>
      <c r="E21" s="580"/>
      <c r="F21" s="580"/>
      <c r="G21" s="577"/>
      <c r="H21" s="1"/>
    </row>
    <row r="22" spans="1:8" s="1" customFormat="1"/>
    <row r="23" spans="1:8" ht="13.9">
      <c r="A23" s="26"/>
      <c r="B23" s="579" t="s">
        <v>214</v>
      </c>
      <c r="C23" s="26"/>
      <c r="D23" s="26"/>
      <c r="E23" s="26"/>
      <c r="F23" s="26"/>
      <c r="G23" s="26"/>
      <c r="H23" s="26"/>
    </row>
    <row r="24" spans="1:8">
      <c r="A24" s="26"/>
      <c r="B24" s="578" t="s">
        <v>215</v>
      </c>
      <c r="C24" s="26"/>
      <c r="D24" s="26"/>
      <c r="E24" s="26"/>
      <c r="F24" s="26"/>
      <c r="G24" s="26"/>
    </row>
    <row r="25" spans="1:8">
      <c r="A25" s="26"/>
      <c r="B25" s="578" t="s">
        <v>216</v>
      </c>
      <c r="C25" s="26"/>
      <c r="D25" s="26"/>
      <c r="E25" s="26"/>
      <c r="F25" s="26"/>
      <c r="G25" s="26"/>
    </row>
    <row r="26" spans="1:8">
      <c r="A26" s="26"/>
      <c r="B26" s="578" t="s">
        <v>195</v>
      </c>
      <c r="C26" s="26"/>
      <c r="D26" s="26"/>
      <c r="E26" s="26"/>
      <c r="F26" s="26"/>
      <c r="G26" s="26"/>
    </row>
    <row r="27" spans="1:8">
      <c r="A27" s="26"/>
      <c r="B27" s="578" t="s">
        <v>217</v>
      </c>
      <c r="C27" s="26"/>
      <c r="D27" s="26"/>
      <c r="E27" s="26"/>
      <c r="F27" s="26"/>
      <c r="G27" s="26"/>
    </row>
    <row r="28" spans="1:8">
      <c r="A28" s="26"/>
      <c r="B28" s="578" t="s">
        <v>202</v>
      </c>
      <c r="C28" s="26"/>
      <c r="D28" s="26"/>
      <c r="E28" s="26"/>
      <c r="F28" s="26"/>
      <c r="G28" s="26"/>
    </row>
    <row r="29" spans="1:8">
      <c r="A29" s="26"/>
      <c r="B29" s="578" t="s">
        <v>218</v>
      </c>
      <c r="C29" s="26"/>
      <c r="D29" s="26"/>
      <c r="E29" s="26"/>
      <c r="F29" s="26"/>
      <c r="G29" s="26"/>
    </row>
    <row r="30" spans="1:8">
      <c r="A30" s="26"/>
      <c r="B30" s="578" t="s">
        <v>219</v>
      </c>
      <c r="C30" s="26"/>
      <c r="D30" s="26"/>
      <c r="E30" s="26"/>
      <c r="F30" s="26"/>
      <c r="G30" s="26"/>
    </row>
    <row r="31" spans="1:8">
      <c r="A31" s="26"/>
      <c r="B31" s="578"/>
      <c r="C31" s="26"/>
      <c r="D31" s="26"/>
      <c r="E31" s="26"/>
      <c r="F31" s="26"/>
      <c r="G31" s="26"/>
    </row>
    <row r="32" spans="1:8">
      <c r="A32" s="26"/>
      <c r="B32" s="578"/>
      <c r="C32" s="26"/>
      <c r="D32" s="26"/>
      <c r="E32" s="26"/>
      <c r="F32" s="26"/>
      <c r="G32" s="26"/>
    </row>
    <row r="33" spans="1:7">
      <c r="A33" s="26"/>
      <c r="B33" s="578"/>
      <c r="C33" s="26"/>
      <c r="D33" s="26"/>
      <c r="E33" s="26"/>
      <c r="F33" s="26"/>
      <c r="G33" s="26"/>
    </row>
    <row r="34" spans="1:7">
      <c r="A34" s="26"/>
      <c r="B34" s="578"/>
      <c r="C34" s="26"/>
      <c r="D34" s="26"/>
      <c r="E34" s="26"/>
      <c r="F34" s="26"/>
      <c r="G34" s="26"/>
    </row>
    <row r="35" spans="1:7" s="26" customFormat="1">
      <c r="B35" s="578"/>
    </row>
    <row r="36" spans="1:7" s="26" customFormat="1">
      <c r="B36" s="578"/>
    </row>
    <row r="37" spans="1:7" s="26" customFormat="1">
      <c r="B37" s="578"/>
    </row>
    <row r="38" spans="1:7" s="26" customFormat="1">
      <c r="B38" s="578"/>
    </row>
    <row r="39" spans="1:7" s="26" customFormat="1">
      <c r="B39" s="578"/>
    </row>
    <row r="40" spans="1:7" s="26" customFormat="1">
      <c r="B40" s="578"/>
    </row>
    <row r="41" spans="1:7" s="26" customFormat="1">
      <c r="B41" s="578"/>
    </row>
    <row r="42" spans="1:7" s="26" customFormat="1">
      <c r="B42" s="578"/>
    </row>
    <row r="43" spans="1:7" s="26" customFormat="1">
      <c r="B43" s="578"/>
    </row>
    <row r="44" spans="1:7" s="26" customFormat="1">
      <c r="B44" s="578"/>
    </row>
    <row r="45" spans="1:7" s="26" customFormat="1">
      <c r="B45" s="578"/>
    </row>
    <row r="46" spans="1:7" s="26" customFormat="1">
      <c r="B46" s="578"/>
    </row>
    <row r="47" spans="1:7" s="26" customFormat="1">
      <c r="B47" s="578"/>
    </row>
    <row r="48" spans="1:7" s="26" customFormat="1">
      <c r="B48" s="578"/>
    </row>
    <row r="49" spans="2:2" s="26" customFormat="1">
      <c r="B49" s="578"/>
    </row>
    <row r="50" spans="2:2" s="26" customFormat="1">
      <c r="B50" s="578"/>
    </row>
    <row r="51" spans="2:2" s="26" customFormat="1">
      <c r="B51" s="578"/>
    </row>
    <row r="52" spans="2:2" s="26" customFormat="1">
      <c r="B52" s="578"/>
    </row>
    <row r="53" spans="2:2" s="26" customFormat="1">
      <c r="B53" s="578"/>
    </row>
    <row r="54" spans="2:2" s="26" customFormat="1">
      <c r="B54" s="578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26"/>
  <sheetViews>
    <sheetView topLeftCell="A9" zoomScale="93" zoomScaleNormal="93" workbookViewId="0">
      <selection activeCell="D4" sqref="D4"/>
    </sheetView>
  </sheetViews>
  <sheetFormatPr defaultColWidth="8.46484375" defaultRowHeight="14.25"/>
  <cols>
    <col min="1" max="1" width="5.53125" style="24" customWidth="1"/>
    <col min="2" max="2" width="5.53125" style="44" customWidth="1"/>
    <col min="3" max="4" width="23.46484375" style="42" customWidth="1"/>
    <col min="5" max="5" width="6.53125" style="42" customWidth="1"/>
    <col min="6" max="6" width="16.46484375" style="42" customWidth="1"/>
    <col min="7" max="7" width="3.46484375" style="42" customWidth="1"/>
    <col min="8" max="8" width="15.46484375" style="42" customWidth="1"/>
    <col min="9" max="9" width="1.46484375" style="42" customWidth="1"/>
    <col min="10" max="10" width="3.46484375" style="24" customWidth="1"/>
    <col min="11" max="11" width="1.46484375" style="86" customWidth="1"/>
    <col min="12" max="12" width="29.46484375" style="24" customWidth="1"/>
    <col min="13" max="13" width="1.46484375" style="42" customWidth="1"/>
    <col min="14" max="14" width="29.46484375" style="42" customWidth="1"/>
    <col min="15" max="15" width="1.46484375" style="42" customWidth="1"/>
    <col min="16" max="16" width="16.53125" style="42" customWidth="1"/>
    <col min="17" max="17" width="5.53125" style="42" customWidth="1"/>
    <col min="18" max="18" width="112.46484375" style="42" bestFit="1" customWidth="1"/>
    <col min="19" max="19" width="4.46484375" style="42" customWidth="1"/>
    <col min="20" max="20" width="14.46484375" style="42" customWidth="1"/>
    <col min="21" max="21" width="10.46484375" style="24" bestFit="1" customWidth="1"/>
    <col min="22" max="23" width="8.46484375" style="24" bestFit="1" customWidth="1"/>
    <col min="24" max="24" width="6.46484375" style="24" bestFit="1" customWidth="1"/>
    <col min="25" max="25" width="14.53125" style="24" bestFit="1" customWidth="1"/>
    <col min="26" max="26" width="8.46484375" style="24"/>
    <col min="27" max="27" width="14.46484375" style="24" bestFit="1" customWidth="1"/>
    <col min="28" max="28" width="8.46484375" style="42"/>
    <col min="29" max="29" width="12.53125" style="42" bestFit="1" customWidth="1"/>
    <col min="30" max="40" width="8.46484375" style="42"/>
    <col min="41" max="41" width="9.46484375" style="42" bestFit="1" customWidth="1"/>
    <col min="42" max="16384" width="8.46484375" style="42"/>
  </cols>
  <sheetData>
    <row r="1" spans="1:41" s="24" customFormat="1" ht="14.25" customHeight="1">
      <c r="A1" s="276"/>
      <c r="B1" s="31"/>
      <c r="J1" s="52"/>
      <c r="S1" s="52"/>
    </row>
    <row r="2" spans="1:41" s="24" customFormat="1" ht="14.25" customHeight="1" thickBot="1">
      <c r="A2" s="276"/>
      <c r="B2" s="41" t="s">
        <v>220</v>
      </c>
      <c r="C2" s="41"/>
      <c r="D2" s="41"/>
      <c r="E2" s="41"/>
      <c r="F2" s="41"/>
      <c r="G2" s="41"/>
      <c r="H2" s="41"/>
      <c r="J2" s="52"/>
      <c r="R2" s="41"/>
      <c r="S2" s="52"/>
    </row>
    <row r="3" spans="1:41" s="24" customFormat="1" ht="13.15">
      <c r="B3" s="31"/>
      <c r="D3" s="39" t="s">
        <v>221</v>
      </c>
      <c r="F3" s="39" t="s">
        <v>222</v>
      </c>
      <c r="H3" s="687"/>
      <c r="J3" s="52"/>
      <c r="L3" s="308" t="s">
        <v>223</v>
      </c>
      <c r="N3" s="308" t="s">
        <v>224</v>
      </c>
      <c r="S3" s="52"/>
      <c r="T3" s="607" t="s">
        <v>225</v>
      </c>
      <c r="U3" s="607" t="s">
        <v>226</v>
      </c>
      <c r="V3" s="607" t="s">
        <v>227</v>
      </c>
      <c r="W3" s="607" t="s">
        <v>228</v>
      </c>
      <c r="X3" s="607" t="s">
        <v>229</v>
      </c>
      <c r="Y3" s="607" t="s">
        <v>230</v>
      </c>
    </row>
    <row r="4" spans="1:41" s="24" customFormat="1" ht="13.15">
      <c r="B4" s="254">
        <v>1</v>
      </c>
      <c r="C4" s="255" t="s">
        <v>231</v>
      </c>
      <c r="D4" s="256">
        <f>'Project Plan'!E6</f>
        <v>2581531</v>
      </c>
      <c r="E4" s="257"/>
      <c r="F4" s="256">
        <f>F29</f>
        <v>2820054.9194958336</v>
      </c>
      <c r="H4" s="686"/>
      <c r="J4" s="52"/>
      <c r="L4" s="274">
        <v>2581531</v>
      </c>
      <c r="N4" s="274" t="s">
        <v>127</v>
      </c>
      <c r="Q4" s="43"/>
      <c r="S4" s="52"/>
      <c r="T4" s="608">
        <f>SUMIFS('Expenditure Breakdown'!$U:$U,
        'Expenditure Breakdown'!$T:$T, "&gt;"&amp;DATE(2024,8,31),
        'Expenditure Breakdown'!$T:$T, "&lt;="&amp;DATE(2025,8,31),
        'Expenditure Breakdown'!$S:$S, "&lt;&gt;")</f>
        <v>0</v>
      </c>
      <c r="U4" s="608">
        <f>SUMIFS('Expenditure Breakdown'!$Q:$Q,
        'Expenditure Breakdown'!$T:$T, "&gt;"&amp;DATE(2024,8,31),
        'Expenditure Breakdown'!$T:$T, "&lt;="&amp;DATE(2025,8,31),
        'Expenditure Breakdown'!$S:$S, "&lt;&gt;")</f>
        <v>0</v>
      </c>
      <c r="V4" s="608">
        <f>SUMIFS('Expenditure Breakdown'!$U:$U,
        'Expenditure Breakdown'!$T:$T, "&gt;"&amp;DATE(2025,8,31),
        'Expenditure Breakdown'!$T:$T, "&lt;="&amp;DATE(2026,8,31))</f>
        <v>2792653.975977282</v>
      </c>
      <c r="W4" s="608">
        <f>SUMIFS('Expenditure Breakdown'!$Q:$Q,
        'Expenditure Breakdown'!$T:$T, "&gt;"&amp;DATE(2025,8,31),
        'Expenditure Breakdown'!$T:$T, "&lt;="&amp;DATE(2026,8,31))</f>
        <v>2684846.6775000002</v>
      </c>
      <c r="X4" s="608">
        <f>SUMIFS('Expenditure Breakdown'!$U:$U,
        'Expenditure Breakdown'!$T:$T, "&gt;"&amp;DATE(2025,8,31),
        'Expenditure Breakdown'!$T:$T, "&lt;="&amp;DATE(2026,8,31),
        'Expenditure Breakdown'!$S:$S, "&lt;&gt;")</f>
        <v>2727994.4233701411</v>
      </c>
      <c r="Y4" s="608">
        <f>SUMIFS('Expenditure Breakdown'!$Q:$Q,
        'Expenditure Breakdown'!$T:$T, "&gt;"&amp;DATE(2025,8,31),
        'Expenditure Breakdown'!$T:$T, "&lt;="&amp;DATE(2026,8,31),
        'Expenditure Breakdown'!$S:$S, "&lt;&gt;")</f>
        <v>2580748.466</v>
      </c>
    </row>
    <row r="5" spans="1:41" s="24" customFormat="1" ht="15" customHeight="1">
      <c r="B5" s="254">
        <v>2</v>
      </c>
      <c r="C5" s="255" t="s">
        <v>232</v>
      </c>
      <c r="D5" s="256">
        <f>+'Expenditure Tracking'!F5</f>
        <v>2278170.85</v>
      </c>
      <c r="E5" s="257"/>
      <c r="F5" s="256">
        <f>+'Expenditure Tracking'!H5</f>
        <v>2684846.6775000002</v>
      </c>
      <c r="H5" s="687"/>
      <c r="J5" s="52"/>
      <c r="L5" s="274">
        <v>2452512.1275000004</v>
      </c>
      <c r="N5" s="309">
        <v>45959</v>
      </c>
      <c r="S5" s="52"/>
    </row>
    <row r="6" spans="1:41" s="24" customFormat="1" ht="15" customHeight="1">
      <c r="B6" s="254">
        <v>3</v>
      </c>
      <c r="C6" s="255" t="s">
        <v>233</v>
      </c>
      <c r="D6" s="256">
        <f>+D4-D5</f>
        <v>303360.14999999991</v>
      </c>
      <c r="E6" s="257"/>
      <c r="F6" s="256">
        <f>+F4-F5</f>
        <v>135208.24199583335</v>
      </c>
      <c r="H6" s="686"/>
      <c r="J6" s="52"/>
      <c r="L6" s="274">
        <v>129018.87249999959</v>
      </c>
      <c r="N6" s="274" t="s">
        <v>234</v>
      </c>
      <c r="S6" s="52"/>
    </row>
    <row r="7" spans="1:41" s="24" customFormat="1" ht="15" customHeight="1" thickBot="1">
      <c r="B7" s="254">
        <v>4</v>
      </c>
      <c r="C7" s="255" t="s">
        <v>235</v>
      </c>
      <c r="D7" s="258">
        <f>+D6/D4</f>
        <v>0.11751172075795328</v>
      </c>
      <c r="E7" s="257"/>
      <c r="F7" s="258">
        <f>+F6/F4</f>
        <v>4.7945251371205824E-2</v>
      </c>
      <c r="H7" s="686"/>
      <c r="J7" s="52"/>
      <c r="L7" s="275">
        <v>4.9977657638044862E-2</v>
      </c>
      <c r="N7" s="342">
        <v>45989</v>
      </c>
      <c r="S7" s="52"/>
    </row>
    <row r="8" spans="1:41" s="24" customFormat="1" ht="9" customHeight="1">
      <c r="B8" s="31"/>
      <c r="J8" s="52"/>
      <c r="S8" s="52"/>
    </row>
    <row r="9" spans="1:41" s="24" customFormat="1" ht="9.75" customHeight="1">
      <c r="B9" s="31"/>
      <c r="J9" s="52"/>
      <c r="S9" s="52"/>
    </row>
    <row r="10" spans="1:41" s="24" customFormat="1" ht="13.15">
      <c r="B10" s="41" t="s">
        <v>236</v>
      </c>
      <c r="J10" s="52"/>
      <c r="S10" s="52"/>
      <c r="U10" s="41"/>
    </row>
    <row r="11" spans="1:41" s="24" customFormat="1" ht="14.25" customHeight="1">
      <c r="B11" s="31"/>
      <c r="J11" s="52"/>
      <c r="S11" s="52"/>
    </row>
    <row r="12" spans="1:41" s="24" customFormat="1" ht="26.25">
      <c r="B12" s="45" t="s">
        <v>114</v>
      </c>
      <c r="C12" s="46" t="s">
        <v>237</v>
      </c>
      <c r="D12" s="47"/>
      <c r="E12" s="45" t="s">
        <v>238</v>
      </c>
      <c r="F12" s="45" t="s">
        <v>239</v>
      </c>
      <c r="H12" s="259" t="s">
        <v>240</v>
      </c>
      <c r="J12" s="52"/>
      <c r="L12" s="77" t="s">
        <v>241</v>
      </c>
      <c r="M12" s="48"/>
      <c r="N12" s="77" t="s">
        <v>242</v>
      </c>
      <c r="O12" s="48"/>
      <c r="P12" s="77" t="s">
        <v>243</v>
      </c>
      <c r="R12" s="277" t="s">
        <v>244</v>
      </c>
      <c r="S12" s="52"/>
    </row>
    <row r="13" spans="1:41" s="24" customFormat="1" ht="13.15">
      <c r="B13" s="565">
        <v>1</v>
      </c>
      <c r="C13" s="796" t="s">
        <v>245</v>
      </c>
      <c r="D13" s="797"/>
      <c r="E13" s="597">
        <v>0.01</v>
      </c>
      <c r="F13" s="566">
        <f t="shared" ref="F13:F18" si="0">$D$4*E13*0.9</f>
        <v>23233.779000000002</v>
      </c>
      <c r="G13" s="567"/>
      <c r="H13" s="568">
        <f>'Project Plan'!G15+7</f>
        <v>45961</v>
      </c>
      <c r="I13" s="569"/>
      <c r="J13" s="570"/>
      <c r="K13" s="569"/>
      <c r="L13" s="571" t="s">
        <v>246</v>
      </c>
      <c r="M13" s="572"/>
      <c r="N13" s="568">
        <v>45961</v>
      </c>
      <c r="O13" s="572"/>
      <c r="P13" s="568">
        <v>45964</v>
      </c>
      <c r="R13" s="85"/>
      <c r="S13" s="52"/>
      <c r="AO13" s="504">
        <f>'Change Register'!$Q$14+ 7</f>
        <v>7</v>
      </c>
    </row>
    <row r="14" spans="1:41" s="24" customFormat="1" ht="12.75">
      <c r="B14" s="574">
        <v>2</v>
      </c>
      <c r="C14" s="796" t="s">
        <v>247</v>
      </c>
      <c r="D14" s="797"/>
      <c r="E14" s="597">
        <v>1.4999999999999999E-2</v>
      </c>
      <c r="F14" s="566">
        <f t="shared" si="0"/>
        <v>34850.6685</v>
      </c>
      <c r="G14" s="575"/>
      <c r="H14" s="568">
        <f>H13</f>
        <v>45961</v>
      </c>
      <c r="I14" s="569"/>
      <c r="J14" s="570"/>
      <c r="K14" s="569"/>
      <c r="L14" s="571" t="s">
        <v>246</v>
      </c>
      <c r="M14" s="569"/>
      <c r="N14" s="568">
        <v>45961</v>
      </c>
      <c r="O14" s="569"/>
      <c r="P14" s="568">
        <v>45964</v>
      </c>
      <c r="R14" s="278"/>
      <c r="S14" s="52"/>
    </row>
    <row r="15" spans="1:41" s="24" customFormat="1" ht="12.75">
      <c r="B15" s="565">
        <v>3</v>
      </c>
      <c r="C15" s="796" t="s">
        <v>248</v>
      </c>
      <c r="D15" s="797"/>
      <c r="E15" s="597">
        <v>0.02</v>
      </c>
      <c r="F15" s="566">
        <f t="shared" si="0"/>
        <v>46467.558000000005</v>
      </c>
      <c r="G15" s="575"/>
      <c r="H15" s="568">
        <f>'Project Plan'!G19+7</f>
        <v>45965</v>
      </c>
      <c r="I15" s="569"/>
      <c r="J15" s="570"/>
      <c r="K15" s="569"/>
      <c r="L15" s="571" t="s">
        <v>246</v>
      </c>
      <c r="M15" s="569"/>
      <c r="N15" s="568">
        <v>45961</v>
      </c>
      <c r="O15" s="569"/>
      <c r="P15" s="568">
        <v>45964</v>
      </c>
      <c r="R15" s="278"/>
      <c r="S15" s="52"/>
    </row>
    <row r="16" spans="1:41" s="24" customFormat="1" ht="12.75">
      <c r="B16" s="574">
        <v>4</v>
      </c>
      <c r="C16" s="794" t="s">
        <v>249</v>
      </c>
      <c r="D16" s="795"/>
      <c r="E16" s="597">
        <v>0.08</v>
      </c>
      <c r="F16" s="566">
        <f t="shared" si="0"/>
        <v>185870.23200000002</v>
      </c>
      <c r="G16" s="575"/>
      <c r="H16" s="568">
        <f>'Project Plan'!G32+7</f>
        <v>45971</v>
      </c>
      <c r="I16" s="569"/>
      <c r="J16" s="570"/>
      <c r="K16" s="569"/>
      <c r="L16" s="571" t="s">
        <v>246</v>
      </c>
      <c r="M16" s="576"/>
      <c r="N16" s="568">
        <v>45961</v>
      </c>
      <c r="O16" s="576"/>
      <c r="P16" s="568">
        <v>45964</v>
      </c>
      <c r="R16" s="278"/>
      <c r="S16" s="52"/>
    </row>
    <row r="17" spans="2:19" s="24" customFormat="1" ht="12.75">
      <c r="B17" s="565">
        <v>5</v>
      </c>
      <c r="C17" s="794" t="s">
        <v>250</v>
      </c>
      <c r="D17" s="795"/>
      <c r="E17" s="597">
        <v>0.1</v>
      </c>
      <c r="F17" s="663">
        <f t="shared" si="0"/>
        <v>232337.79</v>
      </c>
      <c r="G17" s="575"/>
      <c r="H17" s="568">
        <f>'Project Plan'!E31+7</f>
        <v>45964</v>
      </c>
      <c r="I17" s="569"/>
      <c r="J17" s="570"/>
      <c r="K17" s="569"/>
      <c r="L17" s="571" t="s">
        <v>251</v>
      </c>
      <c r="M17" s="569"/>
      <c r="N17" s="568">
        <v>45971</v>
      </c>
      <c r="O17" s="569"/>
      <c r="P17" s="568">
        <v>45975</v>
      </c>
      <c r="R17" s="278"/>
      <c r="S17" s="52"/>
    </row>
    <row r="18" spans="2:19" s="24" customFormat="1" ht="12.75">
      <c r="B18" s="565">
        <v>6</v>
      </c>
      <c r="C18" s="794" t="s">
        <v>252</v>
      </c>
      <c r="D18" s="795"/>
      <c r="E18" s="597">
        <v>0.32500000000000001</v>
      </c>
      <c r="F18" s="663">
        <f t="shared" si="0"/>
        <v>755097.81750000012</v>
      </c>
      <c r="G18" s="575"/>
      <c r="H18" s="568">
        <f>'Project Plan'!E37+7</f>
        <v>45986</v>
      </c>
      <c r="I18" s="569"/>
      <c r="J18" s="570"/>
      <c r="K18" s="569"/>
      <c r="L18" s="571" t="s">
        <v>251</v>
      </c>
      <c r="M18" s="569"/>
      <c r="N18" s="568">
        <v>45971</v>
      </c>
      <c r="O18" s="569"/>
      <c r="P18" s="568">
        <v>45975</v>
      </c>
      <c r="R18" s="278"/>
      <c r="S18" s="52"/>
    </row>
    <row r="19" spans="2:19" s="24" customFormat="1" ht="12.75">
      <c r="B19" s="574">
        <v>7</v>
      </c>
      <c r="C19" s="794" t="s">
        <v>253</v>
      </c>
      <c r="D19" s="795"/>
      <c r="E19" s="597">
        <v>0.26500000000000001</v>
      </c>
      <c r="F19" s="663">
        <v>615695.11</v>
      </c>
      <c r="G19" s="575"/>
      <c r="H19" s="568">
        <f>'Project Plan'!E23+7</f>
        <v>45965</v>
      </c>
      <c r="I19" s="569"/>
      <c r="J19" s="570"/>
      <c r="K19" s="569"/>
      <c r="L19" s="571" t="s">
        <v>251</v>
      </c>
      <c r="M19" s="569"/>
      <c r="N19" s="568">
        <v>45971</v>
      </c>
      <c r="O19" s="569"/>
      <c r="P19" s="568">
        <v>45975</v>
      </c>
      <c r="R19" s="278"/>
      <c r="S19" s="52"/>
    </row>
    <row r="20" spans="2:19" s="24" customFormat="1" ht="12.75">
      <c r="B20" s="565">
        <v>8</v>
      </c>
      <c r="C20" s="794" t="s">
        <v>254</v>
      </c>
      <c r="D20" s="795"/>
      <c r="E20" s="597">
        <v>0.13500000000000001</v>
      </c>
      <c r="F20" s="566">
        <f>$D$4*E20</f>
        <v>348506.685</v>
      </c>
      <c r="G20" s="575"/>
      <c r="H20" s="568">
        <f>'Project Plan'!G25+7</f>
        <v>45982</v>
      </c>
      <c r="I20" s="569"/>
      <c r="J20" s="570"/>
      <c r="K20" s="569"/>
      <c r="L20" s="571" t="s">
        <v>255</v>
      </c>
      <c r="M20" s="569"/>
      <c r="N20" s="568">
        <v>46000</v>
      </c>
      <c r="O20" s="569"/>
      <c r="P20" s="568">
        <v>46001</v>
      </c>
      <c r="R20" s="278"/>
      <c r="S20" s="52"/>
    </row>
    <row r="21" spans="2:19" s="24" customFormat="1" ht="12.75">
      <c r="B21" s="574">
        <v>9</v>
      </c>
      <c r="C21" s="794" t="s">
        <v>256</v>
      </c>
      <c r="D21" s="795"/>
      <c r="E21" s="597">
        <v>0.05</v>
      </c>
      <c r="F21" s="566">
        <f>$D$4*E21</f>
        <v>129076.55</v>
      </c>
      <c r="G21" s="575"/>
      <c r="H21" s="568">
        <f>'Project Plan'!G40+7</f>
        <v>46002</v>
      </c>
      <c r="I21" s="569"/>
      <c r="J21" s="570"/>
      <c r="K21" s="569"/>
      <c r="L21" s="571"/>
      <c r="M21" s="569"/>
      <c r="N21" s="568"/>
      <c r="O21" s="569"/>
      <c r="P21" s="573">
        <v>46087</v>
      </c>
      <c r="R21" s="278"/>
      <c r="S21" s="52"/>
    </row>
    <row r="22" spans="2:19" s="24" customFormat="1" ht="12.75">
      <c r="B22" s="574"/>
      <c r="C22" s="794" t="s">
        <v>257</v>
      </c>
      <c r="D22" s="795"/>
      <c r="E22" s="597">
        <v>0</v>
      </c>
      <c r="F22" s="566">
        <f>136618.21461111+11082.6948847238</f>
        <v>147700.9094958338</v>
      </c>
      <c r="G22" s="575"/>
      <c r="H22" s="568">
        <f>'Project Plan'!G41+7</f>
        <v>45996</v>
      </c>
      <c r="I22" s="569"/>
      <c r="J22" s="570"/>
      <c r="K22" s="569"/>
      <c r="L22" s="571" t="s">
        <v>255</v>
      </c>
      <c r="M22" s="569"/>
      <c r="N22" s="568">
        <v>46000</v>
      </c>
      <c r="O22" s="569"/>
      <c r="P22" s="568">
        <v>46001</v>
      </c>
      <c r="R22" s="278"/>
      <c r="S22" s="52"/>
    </row>
    <row r="23" spans="2:19" s="24" customFormat="1" ht="12.75">
      <c r="B23" s="565">
        <v>10</v>
      </c>
      <c r="C23" s="794" t="s">
        <v>258</v>
      </c>
      <c r="D23" s="795"/>
      <c r="E23" s="597">
        <v>0</v>
      </c>
      <c r="F23" s="566">
        <v>62693.86</v>
      </c>
      <c r="G23" s="575"/>
      <c r="H23" s="568">
        <f>'Project Plan'!G50+90</f>
        <v>46091</v>
      </c>
      <c r="I23" s="569"/>
      <c r="J23" s="570"/>
      <c r="K23" s="569"/>
      <c r="L23" s="571"/>
      <c r="M23" s="569"/>
      <c r="N23" s="568"/>
      <c r="O23" s="569"/>
      <c r="P23" s="573">
        <f>P21+90</f>
        <v>46177</v>
      </c>
      <c r="R23" s="278" t="s">
        <v>259</v>
      </c>
      <c r="S23" s="52"/>
    </row>
    <row r="24" spans="2:19" s="24" customFormat="1" ht="12.75">
      <c r="B24" s="565">
        <v>11</v>
      </c>
      <c r="C24" s="794" t="s">
        <v>260</v>
      </c>
      <c r="D24" s="795"/>
      <c r="E24" s="597">
        <v>0</v>
      </c>
      <c r="F24" s="566">
        <f>'Expenditure Breakdown'!O175</f>
        <v>23350</v>
      </c>
      <c r="G24" s="575"/>
      <c r="H24" s="568">
        <f>H20</f>
        <v>45982</v>
      </c>
      <c r="I24" s="569"/>
      <c r="J24" s="570"/>
      <c r="K24" s="569"/>
      <c r="L24" s="571" t="s">
        <v>255</v>
      </c>
      <c r="M24" s="567"/>
      <c r="N24" s="568">
        <v>46000</v>
      </c>
      <c r="O24" s="567"/>
      <c r="P24" s="568">
        <v>46001</v>
      </c>
      <c r="R24" s="278"/>
      <c r="S24" s="52"/>
    </row>
    <row r="25" spans="2:19" s="24" customFormat="1" ht="12.75">
      <c r="B25" s="565"/>
      <c r="C25" s="796" t="s">
        <v>261</v>
      </c>
      <c r="D25" s="797"/>
      <c r="E25" s="597">
        <v>0</v>
      </c>
      <c r="F25" s="700">
        <v>183223.96</v>
      </c>
      <c r="G25" s="575"/>
      <c r="H25" s="568">
        <f>H19</f>
        <v>45965</v>
      </c>
      <c r="I25" s="569"/>
      <c r="J25" s="570"/>
      <c r="K25" s="569"/>
      <c r="L25" s="573"/>
      <c r="M25" s="569"/>
      <c r="N25" s="573"/>
      <c r="O25" s="569"/>
      <c r="P25" s="573">
        <f>P21</f>
        <v>46087</v>
      </c>
      <c r="R25" s="278"/>
      <c r="S25" s="52"/>
    </row>
    <row r="26" spans="2:19" s="24" customFormat="1" ht="12.75">
      <c r="B26" s="565"/>
      <c r="C26" s="796" t="s">
        <v>262</v>
      </c>
      <c r="D26" s="797"/>
      <c r="E26" s="597">
        <v>0</v>
      </c>
      <c r="F26" s="566">
        <v>26500</v>
      </c>
      <c r="G26" s="575"/>
      <c r="H26" s="568">
        <f>H20</f>
        <v>45982</v>
      </c>
      <c r="I26" s="569"/>
      <c r="J26" s="570"/>
      <c r="K26" s="569"/>
      <c r="L26" s="571" t="s">
        <v>255</v>
      </c>
      <c r="M26" s="569"/>
      <c r="N26" s="688">
        <v>46000</v>
      </c>
      <c r="O26" s="569"/>
      <c r="P26" s="568">
        <f>P27</f>
        <v>46001</v>
      </c>
      <c r="R26" s="278"/>
      <c r="S26" s="52"/>
    </row>
    <row r="27" spans="2:19" s="24" customFormat="1" ht="12.75">
      <c r="B27" s="574">
        <v>12</v>
      </c>
      <c r="C27" s="796" t="s">
        <v>263</v>
      </c>
      <c r="D27" s="797"/>
      <c r="E27" s="597">
        <v>0</v>
      </c>
      <c r="F27" s="566">
        <v>5450</v>
      </c>
      <c r="G27" s="575"/>
      <c r="H27" s="568">
        <f>H20</f>
        <v>45982</v>
      </c>
      <c r="I27" s="569"/>
      <c r="J27" s="570"/>
      <c r="K27" s="569"/>
      <c r="L27" s="571" t="s">
        <v>255</v>
      </c>
      <c r="M27" s="569"/>
      <c r="N27" s="688">
        <v>46000</v>
      </c>
      <c r="O27" s="569"/>
      <c r="P27" s="568">
        <f>P20</f>
        <v>46001</v>
      </c>
      <c r="R27" s="278"/>
      <c r="S27" s="52"/>
    </row>
    <row r="28" spans="2:19" s="24" customFormat="1" ht="9" customHeight="1">
      <c r="B28" s="31"/>
      <c r="E28" s="51"/>
      <c r="F28" s="30"/>
      <c r="H28" s="260"/>
      <c r="J28" s="52"/>
      <c r="S28" s="52"/>
    </row>
    <row r="29" spans="2:19" s="24" customFormat="1" ht="13.15">
      <c r="B29" s="31"/>
      <c r="E29" s="261">
        <f>SUM(E13:E27)</f>
        <v>1</v>
      </c>
      <c r="F29" s="262">
        <f>SUM(F13:F27)</f>
        <v>2820054.9194958336</v>
      </c>
      <c r="J29" s="52"/>
      <c r="S29" s="52"/>
    </row>
    <row r="30" spans="2:19" s="52" customFormat="1" ht="25.5" customHeight="1">
      <c r="B30" s="53"/>
      <c r="F30" s="54"/>
    </row>
    <row r="31" spans="2:19" s="24" customFormat="1" ht="24.75" customHeight="1">
      <c r="B31" s="55" t="s">
        <v>264</v>
      </c>
      <c r="C31" s="56" t="s">
        <v>265</v>
      </c>
      <c r="D31" s="56"/>
      <c r="F31" s="601"/>
      <c r="H31" s="30"/>
    </row>
    <row r="32" spans="2:19" s="24" customFormat="1" ht="12.75">
      <c r="C32" s="58" t="s">
        <v>266</v>
      </c>
      <c r="D32" s="59"/>
      <c r="F32" s="60"/>
    </row>
    <row r="33" spans="2:14" s="24" customFormat="1" ht="12.75">
      <c r="C33" s="58" t="s">
        <v>267</v>
      </c>
      <c r="D33" s="59"/>
    </row>
    <row r="34" spans="2:14" s="24" customFormat="1" ht="12.75">
      <c r="C34" s="61" t="s">
        <v>268</v>
      </c>
      <c r="D34" s="62"/>
    </row>
    <row r="35" spans="2:14" s="24" customFormat="1" ht="12.75">
      <c r="C35" s="63" t="s">
        <v>269</v>
      </c>
      <c r="D35" s="59"/>
    </row>
    <row r="36" spans="2:14" s="24" customFormat="1" ht="12.75">
      <c r="B36" s="31"/>
      <c r="C36" s="63" t="s">
        <v>270</v>
      </c>
      <c r="D36" s="59"/>
    </row>
    <row r="37" spans="2:14" s="24" customFormat="1" ht="12.75">
      <c r="B37" s="31"/>
      <c r="C37" s="24" t="s">
        <v>271</v>
      </c>
    </row>
    <row r="38" spans="2:14" s="24" customFormat="1" ht="27.75" customHeight="1">
      <c r="B38" s="31"/>
      <c r="C38" s="64" t="s">
        <v>272</v>
      </c>
      <c r="D38" s="64"/>
      <c r="F38" s="60"/>
    </row>
    <row r="39" spans="2:14" s="24" customFormat="1" ht="12.75">
      <c r="B39" s="31"/>
      <c r="F39" s="57"/>
      <c r="N39" s="30"/>
    </row>
    <row r="40" spans="2:14" s="24" customFormat="1" ht="12.75">
      <c r="B40" s="31"/>
      <c r="F40" s="57"/>
    </row>
    <row r="41" spans="2:14" s="24" customFormat="1" ht="12.75">
      <c r="B41" s="31"/>
      <c r="F41" s="57"/>
      <c r="H41" s="662"/>
    </row>
    <row r="42" spans="2:14" s="24" customFormat="1" ht="12.75">
      <c r="B42" s="31"/>
      <c r="F42" s="57"/>
    </row>
    <row r="43" spans="2:14" s="24" customFormat="1" ht="12.75">
      <c r="B43" s="31"/>
    </row>
    <row r="44" spans="2:14" s="24" customFormat="1" ht="12.75">
      <c r="B44" s="31"/>
    </row>
    <row r="45" spans="2:14" s="24" customFormat="1" ht="12.75">
      <c r="B45" s="31"/>
    </row>
    <row r="46" spans="2:14" s="24" customFormat="1" ht="12.75" hidden="1" customHeight="1">
      <c r="B46" s="31"/>
    </row>
    <row r="47" spans="2:14" s="24" customFormat="1" ht="12.75" hidden="1" customHeight="1">
      <c r="B47" s="31"/>
    </row>
    <row r="48" spans="2:14" s="24" customFormat="1" ht="13.5" hidden="1" customHeight="1">
      <c r="B48" s="45" t="s">
        <v>114</v>
      </c>
      <c r="C48" s="46" t="s">
        <v>237</v>
      </c>
      <c r="D48" s="47"/>
      <c r="E48" s="45" t="s">
        <v>238</v>
      </c>
      <c r="F48" s="45" t="s">
        <v>239</v>
      </c>
    </row>
    <row r="49" spans="2:6" s="24" customFormat="1" ht="12.75" hidden="1" customHeight="1">
      <c r="B49" s="65">
        <v>1</v>
      </c>
      <c r="C49" s="66" t="s">
        <v>273</v>
      </c>
      <c r="D49" s="66"/>
      <c r="E49" s="49">
        <v>0.35</v>
      </c>
      <c r="F49" s="50">
        <f>$F$55*E49</f>
        <v>987019.22182354168</v>
      </c>
    </row>
    <row r="50" spans="2:6" s="24" customFormat="1" ht="12.75" hidden="1" customHeight="1">
      <c r="B50" s="65">
        <v>2</v>
      </c>
      <c r="C50" s="66" t="s">
        <v>274</v>
      </c>
      <c r="D50" s="66"/>
      <c r="E50" s="49">
        <v>0.3</v>
      </c>
      <c r="F50" s="50">
        <f t="shared" ref="F50:F53" si="1">$F$55*E50</f>
        <v>846016.47584875009</v>
      </c>
    </row>
    <row r="51" spans="2:6" s="24" customFormat="1" ht="12.75" hidden="1" customHeight="1">
      <c r="B51" s="65">
        <v>3</v>
      </c>
      <c r="C51" s="66" t="s">
        <v>275</v>
      </c>
      <c r="D51" s="66"/>
      <c r="E51" s="49">
        <v>0.2</v>
      </c>
      <c r="F51" s="50">
        <f t="shared" si="1"/>
        <v>564010.98389916669</v>
      </c>
    </row>
    <row r="52" spans="2:6" s="24" customFormat="1" ht="12.75" hidden="1" customHeight="1">
      <c r="B52" s="65">
        <v>4</v>
      </c>
      <c r="C52" s="66" t="s">
        <v>276</v>
      </c>
      <c r="D52" s="66"/>
      <c r="E52" s="49">
        <v>0.1</v>
      </c>
      <c r="F52" s="50">
        <f t="shared" si="1"/>
        <v>282005.49194958335</v>
      </c>
    </row>
    <row r="53" spans="2:6" s="24" customFormat="1" ht="13.5" hidden="1" customHeight="1" thickBot="1">
      <c r="B53" s="67">
        <v>5</v>
      </c>
      <c r="C53" s="68" t="s">
        <v>113</v>
      </c>
      <c r="D53" s="68"/>
      <c r="E53" s="69">
        <v>0.05</v>
      </c>
      <c r="F53" s="70">
        <f t="shared" si="1"/>
        <v>141002.74597479167</v>
      </c>
    </row>
    <row r="54" spans="2:6" s="24" customFormat="1" ht="13.5" hidden="1" customHeight="1" thickBot="1">
      <c r="B54" s="71"/>
      <c r="C54" s="72" t="s">
        <v>277</v>
      </c>
      <c r="D54" s="72"/>
      <c r="E54" s="73">
        <f>SUM(E49:E53)</f>
        <v>0.99999999999999989</v>
      </c>
      <c r="F54" s="74">
        <f>SUM(F49:F53)</f>
        <v>2820054.9194958336</v>
      </c>
    </row>
    <row r="55" spans="2:6" s="24" customFormat="1" ht="12.75" hidden="1" customHeight="1">
      <c r="B55" s="31"/>
      <c r="E55" s="51">
        <f>SUM(E49:E53)</f>
        <v>0.99999999999999989</v>
      </c>
      <c r="F55" s="30">
        <f>F29</f>
        <v>2820054.9194958336</v>
      </c>
    </row>
    <row r="56" spans="2:6" s="24" customFormat="1" ht="12.75" hidden="1" customHeight="1">
      <c r="B56" s="31"/>
    </row>
    <row r="57" spans="2:6" s="24" customFormat="1" ht="12.75">
      <c r="B57" s="31"/>
    </row>
    <row r="58" spans="2:6" s="24" customFormat="1" ht="12.75">
      <c r="B58" s="31"/>
    </row>
    <row r="59" spans="2:6" s="24" customFormat="1" ht="12.75">
      <c r="B59" s="31"/>
    </row>
    <row r="60" spans="2:6" s="24" customFormat="1" ht="12.75">
      <c r="B60" s="31"/>
    </row>
    <row r="61" spans="2:6" s="24" customFormat="1" ht="12.75">
      <c r="B61" s="31"/>
    </row>
    <row r="62" spans="2:6" s="24" customFormat="1" ht="12.75">
      <c r="B62" s="31"/>
    </row>
    <row r="63" spans="2:6" s="24" customFormat="1" ht="12.75">
      <c r="B63" s="31"/>
    </row>
    <row r="64" spans="2:6" s="24" customFormat="1" ht="12.75">
      <c r="B64" s="31"/>
    </row>
    <row r="65" spans="2:2" s="24" customFormat="1" ht="12.75">
      <c r="B65" s="31"/>
    </row>
    <row r="66" spans="2:2" s="24" customFormat="1" ht="12.75">
      <c r="B66" s="31"/>
    </row>
    <row r="67" spans="2:2" s="24" customFormat="1" ht="12.75">
      <c r="B67" s="31"/>
    </row>
    <row r="68" spans="2:2" s="24" customFormat="1" ht="12.75">
      <c r="B68" s="31"/>
    </row>
    <row r="69" spans="2:2" s="24" customFormat="1" ht="12.75">
      <c r="B69" s="31"/>
    </row>
    <row r="70" spans="2:2" s="24" customFormat="1" ht="12.75">
      <c r="B70" s="31"/>
    </row>
    <row r="71" spans="2:2" s="24" customFormat="1" ht="12.75">
      <c r="B71" s="31"/>
    </row>
    <row r="72" spans="2:2" s="24" customFormat="1" ht="12.75">
      <c r="B72" s="31"/>
    </row>
    <row r="73" spans="2:2" s="24" customFormat="1" ht="12.75">
      <c r="B73" s="31"/>
    </row>
    <row r="74" spans="2:2" s="24" customFormat="1" ht="12.75">
      <c r="B74" s="31"/>
    </row>
    <row r="75" spans="2:2" s="24" customFormat="1" ht="12.75">
      <c r="B75" s="31"/>
    </row>
    <row r="76" spans="2:2" s="24" customFormat="1" ht="12.75">
      <c r="B76" s="31"/>
    </row>
    <row r="77" spans="2:2" s="24" customFormat="1" ht="12.75">
      <c r="B77" s="31"/>
    </row>
    <row r="78" spans="2:2" s="24" customFormat="1" ht="12.75">
      <c r="B78" s="31"/>
    </row>
    <row r="79" spans="2:2" s="24" customFormat="1" ht="12.75">
      <c r="B79" s="31"/>
    </row>
    <row r="80" spans="2:2" s="24" customFormat="1" ht="12.75">
      <c r="B80" s="31"/>
    </row>
    <row r="81" spans="2:2" s="24" customFormat="1" ht="12.75">
      <c r="B81" s="31"/>
    </row>
    <row r="82" spans="2:2" s="24" customFormat="1" ht="12.75">
      <c r="B82" s="31"/>
    </row>
    <row r="83" spans="2:2" s="24" customFormat="1" ht="12.75">
      <c r="B83" s="31"/>
    </row>
    <row r="84" spans="2:2" s="24" customFormat="1" ht="12.75">
      <c r="B84" s="31"/>
    </row>
    <row r="85" spans="2:2" s="24" customFormat="1" ht="12.75">
      <c r="B85" s="31"/>
    </row>
    <row r="86" spans="2:2" s="24" customFormat="1" ht="12.75">
      <c r="B86" s="31"/>
    </row>
    <row r="87" spans="2:2" s="24" customFormat="1" ht="12.75">
      <c r="B87" s="31"/>
    </row>
    <row r="88" spans="2:2" s="24" customFormat="1" ht="12.75">
      <c r="B88" s="31"/>
    </row>
    <row r="89" spans="2:2" s="24" customFormat="1" ht="12.75">
      <c r="B89" s="31"/>
    </row>
    <row r="90" spans="2:2" s="24" customFormat="1" ht="12.75">
      <c r="B90" s="31"/>
    </row>
    <row r="91" spans="2:2" s="24" customFormat="1" ht="12.75">
      <c r="B91" s="31"/>
    </row>
    <row r="92" spans="2:2" s="24" customFormat="1" ht="12.75">
      <c r="B92" s="31"/>
    </row>
    <row r="93" spans="2:2" s="24" customFormat="1" ht="12.75">
      <c r="B93" s="31"/>
    </row>
    <row r="94" spans="2:2" s="24" customFormat="1" ht="12.75">
      <c r="B94" s="31"/>
    </row>
    <row r="95" spans="2:2" s="24" customFormat="1" ht="12.75">
      <c r="B95" s="31"/>
    </row>
    <row r="96" spans="2:2" s="24" customFormat="1" ht="12.75">
      <c r="B96" s="31"/>
    </row>
    <row r="97" spans="2:2" s="24" customFormat="1" ht="12.75">
      <c r="B97" s="31"/>
    </row>
    <row r="98" spans="2:2" s="24" customFormat="1" ht="12.75">
      <c r="B98" s="31"/>
    </row>
    <row r="99" spans="2:2" s="24" customFormat="1" ht="12.75">
      <c r="B99" s="31"/>
    </row>
    <row r="100" spans="2:2" s="24" customFormat="1" ht="12.75">
      <c r="B100" s="31"/>
    </row>
    <row r="101" spans="2:2" s="24" customFormat="1" ht="12.75">
      <c r="B101" s="31"/>
    </row>
    <row r="102" spans="2:2" s="24" customFormat="1" ht="12.75">
      <c r="B102" s="31"/>
    </row>
    <row r="103" spans="2:2" s="24" customFormat="1" ht="12.75">
      <c r="B103" s="31"/>
    </row>
    <row r="104" spans="2:2" s="24" customFormat="1" ht="12.75">
      <c r="B104" s="31"/>
    </row>
    <row r="105" spans="2:2" s="24" customFormat="1" ht="12.75">
      <c r="B105" s="31"/>
    </row>
    <row r="106" spans="2:2" s="24" customFormat="1" ht="12.75">
      <c r="B106" s="31"/>
    </row>
    <row r="107" spans="2:2" s="24" customFormat="1" ht="12.75">
      <c r="B107" s="31"/>
    </row>
    <row r="108" spans="2:2" s="24" customFormat="1" ht="12.75">
      <c r="B108" s="31"/>
    </row>
    <row r="109" spans="2:2" s="24" customFormat="1" ht="12.75">
      <c r="B109" s="31"/>
    </row>
    <row r="110" spans="2:2" s="24" customFormat="1" ht="12.75">
      <c r="B110" s="31"/>
    </row>
    <row r="111" spans="2:2" s="24" customFormat="1" ht="12.75">
      <c r="B111" s="31"/>
    </row>
    <row r="112" spans="2:2" s="24" customFormat="1" ht="12.75">
      <c r="B112" s="31"/>
    </row>
    <row r="113" spans="2:2" s="24" customFormat="1" ht="12.75">
      <c r="B113" s="31"/>
    </row>
    <row r="114" spans="2:2" s="24" customFormat="1" ht="12.75">
      <c r="B114" s="31"/>
    </row>
    <row r="115" spans="2:2" s="24" customFormat="1" ht="12.75">
      <c r="B115" s="31"/>
    </row>
    <row r="116" spans="2:2" s="24" customFormat="1" ht="12.75">
      <c r="B116" s="31"/>
    </row>
    <row r="117" spans="2:2" s="24" customFormat="1" ht="12.75">
      <c r="B117" s="31"/>
    </row>
    <row r="118" spans="2:2" s="24" customFormat="1" ht="12.75">
      <c r="B118" s="31"/>
    </row>
    <row r="119" spans="2:2" s="24" customFormat="1" ht="12.75">
      <c r="B119" s="31"/>
    </row>
    <row r="120" spans="2:2" s="24" customFormat="1" ht="12.75">
      <c r="B120" s="31"/>
    </row>
    <row r="121" spans="2:2" s="24" customFormat="1" ht="12.75">
      <c r="B121" s="31"/>
    </row>
    <row r="122" spans="2:2" s="24" customFormat="1" ht="12.75">
      <c r="B122" s="31"/>
    </row>
    <row r="123" spans="2:2" s="24" customFormat="1" ht="12.75">
      <c r="B123" s="31"/>
    </row>
    <row r="124" spans="2:2" s="24" customFormat="1" ht="12.75">
      <c r="B124" s="31"/>
    </row>
    <row r="125" spans="2:2" s="24" customFormat="1" ht="12.75">
      <c r="B125" s="31"/>
    </row>
    <row r="126" spans="2:2" s="24" customFormat="1" ht="12.75">
      <c r="B126" s="31"/>
    </row>
    <row r="127" spans="2:2" s="24" customFormat="1" ht="12.75">
      <c r="B127" s="31"/>
    </row>
    <row r="128" spans="2:2" s="24" customFormat="1" ht="12.75">
      <c r="B128" s="31"/>
    </row>
    <row r="129" spans="2:2" s="24" customFormat="1" ht="12.75">
      <c r="B129" s="31"/>
    </row>
    <row r="130" spans="2:2" s="24" customFormat="1" ht="12.75">
      <c r="B130" s="31"/>
    </row>
    <row r="131" spans="2:2" s="24" customFormat="1" ht="12.75">
      <c r="B131" s="31"/>
    </row>
    <row r="132" spans="2:2" s="24" customFormat="1" ht="12.75">
      <c r="B132" s="31"/>
    </row>
    <row r="133" spans="2:2" s="24" customFormat="1" ht="12.75">
      <c r="B133" s="31"/>
    </row>
    <row r="134" spans="2:2" s="24" customFormat="1" ht="12.75">
      <c r="B134" s="31"/>
    </row>
    <row r="135" spans="2:2" s="24" customFormat="1" ht="12.75">
      <c r="B135" s="31"/>
    </row>
    <row r="136" spans="2:2" s="24" customFormat="1" ht="12.75">
      <c r="B136" s="31"/>
    </row>
    <row r="137" spans="2:2" s="24" customFormat="1" ht="12.75">
      <c r="B137" s="31"/>
    </row>
    <row r="138" spans="2:2" s="24" customFormat="1" ht="12.75">
      <c r="B138" s="31"/>
    </row>
    <row r="139" spans="2:2" s="24" customFormat="1" ht="12.75">
      <c r="B139" s="31"/>
    </row>
    <row r="140" spans="2:2" s="24" customFormat="1" ht="12.75">
      <c r="B140" s="31"/>
    </row>
    <row r="141" spans="2:2" s="24" customFormat="1" ht="12.75">
      <c r="B141" s="31"/>
    </row>
    <row r="142" spans="2:2" s="24" customFormat="1" ht="12.75">
      <c r="B142" s="31"/>
    </row>
    <row r="143" spans="2:2" s="24" customFormat="1" ht="12.75">
      <c r="B143" s="31"/>
    </row>
    <row r="144" spans="2:2" s="24" customFormat="1" ht="12.75">
      <c r="B144" s="31"/>
    </row>
    <row r="145" spans="2:2" s="24" customFormat="1" ht="12.75">
      <c r="B145" s="31"/>
    </row>
    <row r="146" spans="2:2" s="24" customFormat="1" ht="12.75">
      <c r="B146" s="31"/>
    </row>
    <row r="147" spans="2:2" s="24" customFormat="1" ht="12.75">
      <c r="B147" s="31"/>
    </row>
    <row r="148" spans="2:2" s="24" customFormat="1" ht="12.75">
      <c r="B148" s="31"/>
    </row>
    <row r="149" spans="2:2" s="24" customFormat="1" ht="12.75">
      <c r="B149" s="31"/>
    </row>
    <row r="150" spans="2:2" s="24" customFormat="1" ht="12.75">
      <c r="B150" s="31"/>
    </row>
    <row r="151" spans="2:2" s="24" customFormat="1" ht="12.75">
      <c r="B151" s="31"/>
    </row>
    <row r="152" spans="2:2" s="24" customFormat="1" ht="12.75">
      <c r="B152" s="31"/>
    </row>
    <row r="153" spans="2:2" s="24" customFormat="1" ht="12.75">
      <c r="B153" s="31"/>
    </row>
    <row r="154" spans="2:2" s="24" customFormat="1" ht="12.75">
      <c r="B154" s="31"/>
    </row>
    <row r="155" spans="2:2" s="24" customFormat="1" ht="12.75">
      <c r="B155" s="31"/>
    </row>
    <row r="156" spans="2:2" s="24" customFormat="1" ht="12.75">
      <c r="B156" s="31"/>
    </row>
    <row r="157" spans="2:2" s="24" customFormat="1" ht="12.75">
      <c r="B157" s="31"/>
    </row>
    <row r="158" spans="2:2" s="24" customFormat="1" ht="12.75">
      <c r="B158" s="31"/>
    </row>
    <row r="159" spans="2:2" s="24" customFormat="1" ht="12.75">
      <c r="B159" s="31"/>
    </row>
    <row r="160" spans="2:2" s="24" customFormat="1" ht="12.75">
      <c r="B160" s="31"/>
    </row>
    <row r="161" spans="2:2" s="24" customFormat="1" ht="12.75">
      <c r="B161" s="31"/>
    </row>
    <row r="162" spans="2:2" s="24" customFormat="1" ht="12.75">
      <c r="B162" s="31"/>
    </row>
    <row r="163" spans="2:2" s="24" customFormat="1" ht="12.75">
      <c r="B163" s="31"/>
    </row>
    <row r="164" spans="2:2" s="24" customFormat="1" ht="12.75">
      <c r="B164" s="31"/>
    </row>
    <row r="165" spans="2:2" s="24" customFormat="1" ht="12.75">
      <c r="B165" s="31"/>
    </row>
    <row r="166" spans="2:2" s="24" customFormat="1" ht="12.75">
      <c r="B166" s="31"/>
    </row>
    <row r="167" spans="2:2" s="24" customFormat="1" ht="12.75">
      <c r="B167" s="31"/>
    </row>
    <row r="168" spans="2:2" s="24" customFormat="1" ht="12.75">
      <c r="B168" s="31"/>
    </row>
    <row r="169" spans="2:2" s="24" customFormat="1" ht="12.75">
      <c r="B169" s="31"/>
    </row>
    <row r="170" spans="2:2" s="24" customFormat="1" ht="12.75">
      <c r="B170" s="31"/>
    </row>
    <row r="171" spans="2:2" s="24" customFormat="1" ht="12.75">
      <c r="B171" s="31"/>
    </row>
    <row r="172" spans="2:2" s="24" customFormat="1" ht="12.75">
      <c r="B172" s="31"/>
    </row>
    <row r="173" spans="2:2" s="24" customFormat="1" ht="12.75">
      <c r="B173" s="31"/>
    </row>
    <row r="174" spans="2:2" s="24" customFormat="1" ht="12.75">
      <c r="B174" s="31"/>
    </row>
    <row r="175" spans="2:2" s="24" customFormat="1" ht="12.75">
      <c r="B175" s="31"/>
    </row>
    <row r="176" spans="2:2" s="24" customFormat="1" ht="12.75">
      <c r="B176" s="31"/>
    </row>
    <row r="177" spans="2:2" s="24" customFormat="1" ht="12.75">
      <c r="B177" s="31"/>
    </row>
    <row r="178" spans="2:2" s="24" customFormat="1" ht="12.75">
      <c r="B178" s="31"/>
    </row>
    <row r="179" spans="2:2" s="24" customFormat="1" ht="12.75">
      <c r="B179" s="31"/>
    </row>
    <row r="180" spans="2:2" s="24" customFormat="1" ht="12.75">
      <c r="B180" s="31"/>
    </row>
    <row r="181" spans="2:2" s="24" customFormat="1" ht="12.75">
      <c r="B181" s="31"/>
    </row>
    <row r="182" spans="2:2" s="24" customFormat="1" ht="12.75">
      <c r="B182" s="31"/>
    </row>
    <row r="183" spans="2:2" s="24" customFormat="1" ht="12.75">
      <c r="B183" s="31"/>
    </row>
    <row r="184" spans="2:2" s="24" customFormat="1" ht="12.75">
      <c r="B184" s="31"/>
    </row>
    <row r="185" spans="2:2" s="24" customFormat="1" ht="12.75">
      <c r="B185" s="31"/>
    </row>
    <row r="186" spans="2:2" s="24" customFormat="1" ht="12.75">
      <c r="B186" s="31"/>
    </row>
    <row r="187" spans="2:2" s="24" customFormat="1" ht="12.75">
      <c r="B187" s="31"/>
    </row>
    <row r="188" spans="2:2" s="24" customFormat="1" ht="12.75">
      <c r="B188" s="31"/>
    </row>
    <row r="189" spans="2:2" s="24" customFormat="1" ht="12.75">
      <c r="B189" s="31"/>
    </row>
    <row r="190" spans="2:2" s="24" customFormat="1" ht="12.75">
      <c r="B190" s="31"/>
    </row>
    <row r="191" spans="2:2" s="24" customFormat="1" ht="12.75">
      <c r="B191" s="31"/>
    </row>
    <row r="192" spans="2:2" s="24" customFormat="1" ht="12.75">
      <c r="B192" s="31"/>
    </row>
    <row r="193" spans="2:2" s="24" customFormat="1" ht="12.75">
      <c r="B193" s="31"/>
    </row>
    <row r="194" spans="2:2" s="24" customFormat="1" ht="12.75">
      <c r="B194" s="31"/>
    </row>
    <row r="195" spans="2:2" s="24" customFormat="1" ht="12.75">
      <c r="B195" s="31"/>
    </row>
    <row r="196" spans="2:2" s="24" customFormat="1" ht="12.75">
      <c r="B196" s="31"/>
    </row>
    <row r="197" spans="2:2" s="24" customFormat="1" ht="12.75">
      <c r="B197" s="31"/>
    </row>
    <row r="198" spans="2:2" s="24" customFormat="1" ht="12.75">
      <c r="B198" s="31"/>
    </row>
    <row r="199" spans="2:2" s="24" customFormat="1" ht="12.75">
      <c r="B199" s="31"/>
    </row>
    <row r="200" spans="2:2" s="24" customFormat="1" ht="12.75">
      <c r="B200" s="31"/>
    </row>
    <row r="201" spans="2:2" s="24" customFormat="1" ht="12.75">
      <c r="B201" s="31"/>
    </row>
    <row r="202" spans="2:2" s="24" customFormat="1" ht="12.75">
      <c r="B202" s="31"/>
    </row>
    <row r="203" spans="2:2" s="24" customFormat="1" ht="12.75">
      <c r="B203" s="31"/>
    </row>
    <row r="204" spans="2:2" s="24" customFormat="1" ht="12.75">
      <c r="B204" s="31"/>
    </row>
    <row r="205" spans="2:2" s="24" customFormat="1" ht="12.75">
      <c r="B205" s="31"/>
    </row>
    <row r="206" spans="2:2" s="24" customFormat="1" ht="12.75">
      <c r="B206" s="31"/>
    </row>
    <row r="207" spans="2:2" s="24" customFormat="1" ht="12.75">
      <c r="B207" s="31"/>
    </row>
    <row r="208" spans="2:2" s="24" customFormat="1" ht="12.75">
      <c r="B208" s="31"/>
    </row>
    <row r="209" spans="2:2" s="24" customFormat="1" ht="12.75">
      <c r="B209" s="31"/>
    </row>
    <row r="210" spans="2:2" s="24" customFormat="1" ht="12.75">
      <c r="B210" s="31"/>
    </row>
    <row r="211" spans="2:2" s="24" customFormat="1" ht="12.75">
      <c r="B211" s="31"/>
    </row>
    <row r="212" spans="2:2" s="24" customFormat="1" ht="12.75">
      <c r="B212" s="31"/>
    </row>
    <row r="213" spans="2:2" s="24" customFormat="1" ht="12.75">
      <c r="B213" s="31"/>
    </row>
    <row r="214" spans="2:2" s="24" customFormat="1" ht="12.75">
      <c r="B214" s="31"/>
    </row>
    <row r="215" spans="2:2" s="24" customFormat="1" ht="12.75">
      <c r="B215" s="31"/>
    </row>
    <row r="216" spans="2:2" s="24" customFormat="1" ht="12.75">
      <c r="B216" s="31"/>
    </row>
    <row r="217" spans="2:2" s="24" customFormat="1" ht="12.75">
      <c r="B217" s="31"/>
    </row>
    <row r="218" spans="2:2" s="24" customFormat="1" ht="12.75">
      <c r="B218" s="31"/>
    </row>
    <row r="219" spans="2:2" s="24" customFormat="1" ht="12.75">
      <c r="B219" s="31"/>
    </row>
    <row r="220" spans="2:2" s="24" customFormat="1" ht="12.75">
      <c r="B220" s="31"/>
    </row>
    <row r="221" spans="2:2" s="24" customFormat="1" ht="12.75">
      <c r="B221" s="31"/>
    </row>
    <row r="222" spans="2:2" s="24" customFormat="1" ht="12.75">
      <c r="B222" s="31"/>
    </row>
    <row r="223" spans="2:2" s="24" customFormat="1" ht="12.75">
      <c r="B223" s="31"/>
    </row>
    <row r="224" spans="2:2" s="24" customFormat="1" ht="12.75">
      <c r="B224" s="31"/>
    </row>
    <row r="225" spans="2:2" s="24" customFormat="1" ht="12.75">
      <c r="B225" s="31"/>
    </row>
    <row r="226" spans="2:2" s="24" customFormat="1" ht="12.75">
      <c r="B226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5:N25 P25:P27 M26:N27" name="Range1"/>
    <protectedRange algorithmName="SHA-512" hashValue="j+J/mkM11pEvvijaHO5iUaruLLhC+RSVAwxUkpdaj8w4JbnfejNcvtHn72PbQbDuFDX4JCXvt3S335YosPtFPw==" saltValue="EsOtAVk3La2RofAAR7kZEA==" spinCount="100000" sqref="P13:P24 L13:N24 L26:L27" name="Range1_1"/>
  </protectedRanges>
  <mergeCells count="15">
    <mergeCell ref="C22:D22"/>
    <mergeCell ref="C16:D16"/>
    <mergeCell ref="C27:D27"/>
    <mergeCell ref="C13:D13"/>
    <mergeCell ref="C14:D14"/>
    <mergeCell ref="C15:D15"/>
    <mergeCell ref="C17:D17"/>
    <mergeCell ref="C24:D24"/>
    <mergeCell ref="C18:D18"/>
    <mergeCell ref="C19:D19"/>
    <mergeCell ref="C20:D20"/>
    <mergeCell ref="C21:D21"/>
    <mergeCell ref="C23:D23"/>
    <mergeCell ref="C25:D25"/>
    <mergeCell ref="C26:D26"/>
  </mergeCells>
  <phoneticPr fontId="11" type="noConversion"/>
  <conditionalFormatting sqref="F29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2 A28:XFD30 A4:F10 I8:XFD10 A11:XFD12 D13 A13:B14 D14 D15 A15:A17 D16 D17 G13:G17 A27 D27:E27 I13:K17 Q13:XFD17 A32:XFD40 A31:E31 G31:XFD31 A3:G3 Z3:XFD4 M4:S4 M5 M6:XFD6 I4:K7 M7 O5:XFD5 O7:XFD7 D24:E24 Q24:XFD24 G24 I24:K24 A42:XFD1048576 A41:G41 I41:XFD41 M13:M17 O13:O17 G27 I27:K27 Q27:XFD27 A24 I3:S3 M24 M27 O24 O27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topLeftCell="B1" zoomScaleNormal="100" workbookViewId="0">
      <pane ySplit="7" topLeftCell="A28" activePane="bottomLeft" state="frozen"/>
      <selection activeCell="F28" sqref="F28"/>
      <selection pane="bottomLeft" activeCell="F28" sqref="F28"/>
    </sheetView>
  </sheetViews>
  <sheetFormatPr defaultColWidth="8.46484375" defaultRowHeight="13.5"/>
  <cols>
    <col min="1" max="1" width="1.46484375" style="4" customWidth="1"/>
    <col min="2" max="2" width="8.46484375" style="5"/>
    <col min="3" max="3" width="2.46484375" style="5" customWidth="1"/>
    <col min="4" max="4" width="21.46484375" style="4" customWidth="1"/>
    <col min="5" max="5" width="1.46484375" style="4" customWidth="1"/>
    <col min="6" max="6" width="19.53125" style="4" customWidth="1"/>
    <col min="7" max="7" width="1.46484375" style="4" customWidth="1"/>
    <col min="8" max="8" width="18.46484375" style="4" customWidth="1"/>
    <col min="9" max="9" width="3.46484375" style="4" customWidth="1"/>
    <col min="10" max="10" width="24.46484375" style="4" customWidth="1"/>
    <col min="11" max="11" width="2" style="4" customWidth="1"/>
    <col min="12" max="12" width="53.46484375" style="4" customWidth="1"/>
    <col min="13" max="16384" width="8.46484375" style="4"/>
  </cols>
  <sheetData>
    <row r="1" spans="1:12" ht="6.75" customHeight="1">
      <c r="A1" s="124"/>
      <c r="B1" s="125"/>
      <c r="C1" s="125"/>
      <c r="D1" s="124"/>
      <c r="E1" s="124"/>
      <c r="F1" s="124"/>
      <c r="G1" s="124"/>
      <c r="H1" s="124"/>
      <c r="I1" s="124"/>
      <c r="J1" s="124"/>
      <c r="K1" s="26"/>
      <c r="L1" s="26"/>
    </row>
    <row r="2" spans="1:12" ht="13.9">
      <c r="A2" s="124"/>
      <c r="B2" s="128" t="s">
        <v>278</v>
      </c>
      <c r="C2" s="128"/>
      <c r="D2" s="128"/>
      <c r="E2" s="128"/>
      <c r="F2" s="128"/>
      <c r="G2" s="128"/>
      <c r="H2" s="128"/>
      <c r="I2" s="128"/>
      <c r="J2" s="128"/>
      <c r="K2" s="28"/>
      <c r="L2" s="28"/>
    </row>
    <row r="3" spans="1:12" ht="6.75" customHeight="1">
      <c r="A3" s="124"/>
      <c r="B3" s="125"/>
      <c r="C3" s="125"/>
      <c r="D3" s="124"/>
      <c r="E3" s="124"/>
      <c r="F3" s="124"/>
      <c r="G3" s="124"/>
      <c r="H3" s="124"/>
      <c r="I3" s="124"/>
      <c r="J3" s="124"/>
      <c r="K3" s="26"/>
      <c r="L3" s="26"/>
    </row>
    <row r="4" spans="1:12" ht="14.25" thickBot="1">
      <c r="A4" s="124"/>
      <c r="B4" s="798"/>
      <c r="C4" s="798"/>
      <c r="D4" s="798"/>
      <c r="E4" s="311"/>
      <c r="F4" s="129" t="s">
        <v>221</v>
      </c>
      <c r="G4" s="124"/>
      <c r="H4" s="129" t="s">
        <v>222</v>
      </c>
      <c r="I4" s="124"/>
      <c r="J4" s="130" t="s">
        <v>279</v>
      </c>
      <c r="K4" s="26"/>
      <c r="L4" s="26"/>
    </row>
    <row r="5" spans="1:12" ht="14.25" thickBot="1">
      <c r="A5" s="124"/>
      <c r="B5" s="799" t="s">
        <v>280</v>
      </c>
      <c r="C5" s="799"/>
      <c r="D5" s="799"/>
      <c r="E5" s="311"/>
      <c r="F5" s="131">
        <f>SUM(F9:F23)</f>
        <v>2278170.85</v>
      </c>
      <c r="G5" s="126"/>
      <c r="H5" s="131">
        <f>SUM(H9:H23)</f>
        <v>2684846.6775000002</v>
      </c>
      <c r="I5" s="124"/>
      <c r="J5" s="132">
        <f>SUM(J9:J23)</f>
        <v>-406675.82750000013</v>
      </c>
      <c r="K5" s="26"/>
      <c r="L5" s="26"/>
    </row>
    <row r="6" spans="1:12" ht="6.75" customHeight="1" thickBot="1">
      <c r="A6" s="124"/>
      <c r="B6" s="133"/>
      <c r="C6" s="133"/>
      <c r="D6" s="133"/>
      <c r="E6" s="133"/>
      <c r="F6" s="124"/>
      <c r="G6" s="124"/>
      <c r="H6" s="124"/>
      <c r="I6" s="124"/>
      <c r="J6" s="124"/>
      <c r="K6" s="26"/>
      <c r="L6" s="26"/>
    </row>
    <row r="7" spans="1:12" ht="26.65" thickBot="1">
      <c r="A7" s="124"/>
      <c r="B7" s="134" t="s">
        <v>114</v>
      </c>
      <c r="C7" s="135"/>
      <c r="D7" s="134" t="s">
        <v>189</v>
      </c>
      <c r="E7" s="135"/>
      <c r="F7" s="136" t="s">
        <v>281</v>
      </c>
      <c r="G7" s="137"/>
      <c r="H7" s="136" t="s">
        <v>282</v>
      </c>
      <c r="I7" s="137"/>
      <c r="J7" s="136" t="s">
        <v>283</v>
      </c>
      <c r="K7" s="83"/>
      <c r="L7" s="29" t="s">
        <v>284</v>
      </c>
    </row>
    <row r="8" spans="1:12" ht="6.75" customHeight="1">
      <c r="A8" s="124"/>
      <c r="B8" s="125"/>
      <c r="C8" s="125"/>
      <c r="D8" s="124"/>
      <c r="E8" s="124"/>
      <c r="F8" s="124"/>
      <c r="G8" s="124"/>
      <c r="H8" s="124"/>
      <c r="I8" s="124"/>
      <c r="J8" s="124"/>
      <c r="K8" s="26"/>
      <c r="L8" s="26"/>
    </row>
    <row r="9" spans="1:12" ht="13.9">
      <c r="A9" s="124"/>
      <c r="B9" s="138">
        <f>'Expenditure Breakdown'!L6</f>
        <v>1</v>
      </c>
      <c r="C9" s="127"/>
      <c r="D9" s="139" t="str">
        <f>'Expenditure Breakdown'!M6</f>
        <v>1. Panels</v>
      </c>
      <c r="E9" s="21"/>
      <c r="F9" s="140">
        <f>'Expenditure Breakdown'!I6</f>
        <v>561360.21</v>
      </c>
      <c r="G9" s="21"/>
      <c r="H9" s="140">
        <f>'Expenditure Breakdown'!X6</f>
        <v>487812</v>
      </c>
      <c r="I9" s="23"/>
      <c r="J9" s="141">
        <f t="shared" ref="J9:J23" si="0">F9-H9</f>
        <v>73548.209999999963</v>
      </c>
      <c r="K9" s="84"/>
      <c r="L9" s="157"/>
    </row>
    <row r="10" spans="1:12" ht="13.9">
      <c r="A10" s="124"/>
      <c r="B10" s="138">
        <f>'Expenditure Breakdown'!L13</f>
        <v>2</v>
      </c>
      <c r="C10" s="127"/>
      <c r="D10" s="139" t="str">
        <f>'Expenditure Breakdown'!M13</f>
        <v>2. Inverters</v>
      </c>
      <c r="E10" s="21"/>
      <c r="F10" s="140">
        <f>'Expenditure Breakdown'!I13</f>
        <v>247000</v>
      </c>
      <c r="G10" s="21"/>
      <c r="H10" s="140">
        <f>'Expenditure Breakdown'!X13</f>
        <v>174424.32000000001</v>
      </c>
      <c r="I10" s="23"/>
      <c r="J10" s="141">
        <f t="shared" si="0"/>
        <v>72575.679999999993</v>
      </c>
      <c r="K10" s="84"/>
      <c r="L10" s="157"/>
    </row>
    <row r="11" spans="1:12" ht="13.9">
      <c r="A11" s="124"/>
      <c r="B11" s="138">
        <f>'Expenditure Breakdown'!L21</f>
        <v>3</v>
      </c>
      <c r="C11" s="127"/>
      <c r="D11" s="139" t="str">
        <f>'Expenditure Breakdown'!M21</f>
        <v>3. Mounting Structures</v>
      </c>
      <c r="E11" s="142"/>
      <c r="F11" s="140">
        <f>'Expenditure Breakdown'!I21</f>
        <v>100040</v>
      </c>
      <c r="G11" s="21"/>
      <c r="H11" s="140">
        <f>'Expenditure Breakdown'!X21</f>
        <v>48031</v>
      </c>
      <c r="I11" s="23"/>
      <c r="J11" s="141">
        <f t="shared" si="0"/>
        <v>52009</v>
      </c>
      <c r="K11" s="84"/>
      <c r="L11" s="157"/>
    </row>
    <row r="12" spans="1:12" ht="13.9">
      <c r="A12" s="124"/>
      <c r="B12" s="138">
        <f>'Expenditure Breakdown'!L28</f>
        <v>4</v>
      </c>
      <c r="C12" s="127"/>
      <c r="D12" s="139" t="str">
        <f>'Expenditure Breakdown'!M28</f>
        <v>4. DC Equipment</v>
      </c>
      <c r="E12" s="142"/>
      <c r="F12" s="140">
        <f>'Expenditure Breakdown'!I28</f>
        <v>161926</v>
      </c>
      <c r="G12" s="21"/>
      <c r="H12" s="140">
        <f>'Expenditure Breakdown'!X28</f>
        <v>143126.91999999998</v>
      </c>
      <c r="I12" s="23"/>
      <c r="J12" s="141">
        <f t="shared" si="0"/>
        <v>18799.080000000016</v>
      </c>
      <c r="K12" s="84"/>
      <c r="L12" s="157"/>
    </row>
    <row r="13" spans="1:12" ht="13.9">
      <c r="A13" s="124"/>
      <c r="B13" s="138">
        <f>'Expenditure Breakdown'!L44</f>
        <v>5</v>
      </c>
      <c r="C13" s="127"/>
      <c r="D13" s="139" t="str">
        <f>'Expenditure Breakdown'!M44</f>
        <v>5. Monitoring</v>
      </c>
      <c r="E13" s="142"/>
      <c r="F13" s="140">
        <f>'Expenditure Breakdown'!I44</f>
        <v>148000</v>
      </c>
      <c r="G13" s="21"/>
      <c r="H13" s="140">
        <f>'Expenditure Breakdown'!X44</f>
        <v>105182.45</v>
      </c>
      <c r="I13" s="23"/>
      <c r="J13" s="141">
        <f t="shared" si="0"/>
        <v>42817.55</v>
      </c>
      <c r="K13" s="84"/>
      <c r="L13" s="157"/>
    </row>
    <row r="14" spans="1:12" ht="13.9">
      <c r="A14" s="124"/>
      <c r="B14" s="138">
        <f>'Expenditure Breakdown'!L53</f>
        <v>6</v>
      </c>
      <c r="C14" s="127"/>
      <c r="D14" s="139" t="str">
        <f>'Expenditure Breakdown'!M53</f>
        <v>6. AC Equipment</v>
      </c>
      <c r="E14" s="142"/>
      <c r="F14" s="140">
        <f>'Expenditure Breakdown'!I53</f>
        <v>278660.59999999998</v>
      </c>
      <c r="G14" s="21"/>
      <c r="H14" s="140">
        <f>'Expenditure Breakdown'!X53</f>
        <v>389809.96</v>
      </c>
      <c r="I14" s="23"/>
      <c r="J14" s="141">
        <f t="shared" si="0"/>
        <v>-111149.36000000004</v>
      </c>
      <c r="K14" s="84"/>
      <c r="L14" s="157" t="s">
        <v>285</v>
      </c>
    </row>
    <row r="15" spans="1:12" ht="13.9">
      <c r="A15" s="124"/>
      <c r="B15" s="138">
        <f>'Expenditure Breakdown'!L71</f>
        <v>7</v>
      </c>
      <c r="C15" s="127"/>
      <c r="D15" s="139" t="str">
        <f>'Expenditure Breakdown'!M71</f>
        <v>7.BESS</v>
      </c>
      <c r="E15" s="142"/>
      <c r="F15" s="140">
        <f>'Expenditure Breakdown'!I71</f>
        <v>0</v>
      </c>
      <c r="G15" s="21"/>
      <c r="H15" s="140">
        <f>'Expenditure Breakdown'!X71</f>
        <v>0</v>
      </c>
      <c r="I15" s="23"/>
      <c r="J15" s="141">
        <f t="shared" si="0"/>
        <v>0</v>
      </c>
      <c r="K15" s="84"/>
      <c r="L15" s="157"/>
    </row>
    <row r="16" spans="1:12" ht="13.9">
      <c r="A16" s="124"/>
      <c r="B16" s="138">
        <f>'Expenditure Breakdown'!L80</f>
        <v>8</v>
      </c>
      <c r="C16" s="127"/>
      <c r="D16" s="139" t="str">
        <f>'Expenditure Breakdown'!M80</f>
        <v xml:space="preserve">8. Product Add On </v>
      </c>
      <c r="E16" s="142"/>
      <c r="F16" s="140">
        <f>'Expenditure Breakdown'!I80</f>
        <v>469833.45</v>
      </c>
      <c r="G16" s="21"/>
      <c r="H16" s="140">
        <f>'Expenditure Breakdown'!X80</f>
        <v>533564.02</v>
      </c>
      <c r="I16" s="23"/>
      <c r="J16" s="141">
        <f t="shared" si="0"/>
        <v>-63730.570000000007</v>
      </c>
      <c r="K16" s="84"/>
      <c r="L16" s="157"/>
    </row>
    <row r="17" spans="1:12" ht="13.9">
      <c r="A17" s="124"/>
      <c r="B17" s="138">
        <f>'Expenditure Breakdown'!L114</f>
        <v>9</v>
      </c>
      <c r="C17" s="127"/>
      <c r="D17" s="139" t="str">
        <f>'Expenditure Breakdown'!M114</f>
        <v>9. AC &amp; DC installation</v>
      </c>
      <c r="E17" s="142"/>
      <c r="F17" s="140">
        <f>'Expenditure Breakdown'!I114</f>
        <v>198850</v>
      </c>
      <c r="G17" s="21"/>
      <c r="H17" s="140">
        <f>'Expenditure Breakdown'!X114</f>
        <v>361334.00000000006</v>
      </c>
      <c r="I17" s="23"/>
      <c r="J17" s="141">
        <f t="shared" si="0"/>
        <v>-162484.00000000006</v>
      </c>
      <c r="K17" s="84"/>
      <c r="L17" s="619"/>
    </row>
    <row r="18" spans="1:12" ht="13.9">
      <c r="A18" s="124"/>
      <c r="B18" s="138">
        <f>'Expenditure Breakdown'!L127</f>
        <v>10</v>
      </c>
      <c r="C18" s="127"/>
      <c r="D18" s="139" t="str">
        <f>'Expenditure Breakdown'!M127</f>
        <v>10. Site Logistics</v>
      </c>
      <c r="E18" s="21"/>
      <c r="F18" s="140">
        <f>'Expenditure Breakdown'!I127</f>
        <v>56854.45</v>
      </c>
      <c r="G18" s="21"/>
      <c r="H18" s="140">
        <f>'Expenditure Breakdown'!X127</f>
        <v>176150.50999999998</v>
      </c>
      <c r="I18" s="23"/>
      <c r="J18" s="141">
        <f t="shared" si="0"/>
        <v>-119296.05999999998</v>
      </c>
      <c r="K18" s="84"/>
      <c r="L18" s="157"/>
    </row>
    <row r="19" spans="1:12" ht="13.9">
      <c r="A19" s="124"/>
      <c r="B19" s="138">
        <f>'Expenditure Breakdown'!L143</f>
        <v>11</v>
      </c>
      <c r="C19" s="127"/>
      <c r="D19" s="139" t="str">
        <f>'Expenditure Breakdown'!M143</f>
        <v>11. Due Dilligence</v>
      </c>
      <c r="E19" s="21"/>
      <c r="F19" s="140">
        <f>'Expenditure Breakdown'!I143</f>
        <v>29000</v>
      </c>
      <c r="G19" s="21"/>
      <c r="H19" s="140">
        <f>'Expenditure Breakdown'!X143</f>
        <v>161123.5</v>
      </c>
      <c r="I19" s="23"/>
      <c r="J19" s="141">
        <f t="shared" si="0"/>
        <v>-132123.5</v>
      </c>
      <c r="K19" s="84"/>
      <c r="L19" s="157"/>
    </row>
    <row r="20" spans="1:12" ht="13.9">
      <c r="A20" s="124"/>
      <c r="B20" s="138">
        <f>'Expenditure Breakdown'!L151</f>
        <v>12</v>
      </c>
      <c r="C20" s="127"/>
      <c r="D20" s="139" t="str">
        <f>'Expenditure Breakdown'!M151</f>
        <v>12. BDP Commission</v>
      </c>
      <c r="E20" s="21"/>
      <c r="F20" s="140">
        <f>'Expenditure Breakdown'!I151</f>
        <v>0</v>
      </c>
      <c r="G20" s="21"/>
      <c r="H20" s="140">
        <f>'Expenditure Breakdown'!X151</f>
        <v>0</v>
      </c>
      <c r="I20" s="23"/>
      <c r="J20" s="141">
        <f t="shared" si="0"/>
        <v>0</v>
      </c>
      <c r="K20" s="84"/>
      <c r="L20" s="157"/>
    </row>
    <row r="21" spans="1:12" ht="13.9">
      <c r="A21" s="124"/>
      <c r="B21" s="138">
        <f>'Expenditure Breakdown'!L154</f>
        <v>13</v>
      </c>
      <c r="C21" s="127"/>
      <c r="D21" s="139" t="str">
        <f>'Expenditure Breakdown'!M155</f>
        <v>13. Engineering</v>
      </c>
      <c r="E21" s="21"/>
      <c r="F21" s="140">
        <f>'Expenditure Breakdown'!I154</f>
        <v>22271.14</v>
      </c>
      <c r="G21" s="21"/>
      <c r="H21" s="140">
        <f>'Expenditure Breakdown'!X154</f>
        <v>32269.137500000001</v>
      </c>
      <c r="I21" s="23"/>
      <c r="J21" s="141">
        <f t="shared" si="0"/>
        <v>-9997.9975000000013</v>
      </c>
      <c r="K21" s="84"/>
      <c r="L21" s="157"/>
    </row>
    <row r="22" spans="1:12" ht="13.9">
      <c r="A22" s="124"/>
      <c r="B22" s="138">
        <f>'Expenditure Breakdown'!L161</f>
        <v>14</v>
      </c>
      <c r="C22" s="127"/>
      <c r="D22" s="139" t="str">
        <f>'Expenditure Breakdown'!M161</f>
        <v>14. General Expenses</v>
      </c>
      <c r="E22" s="21"/>
      <c r="F22" s="140">
        <f>'Expenditure Breakdown'!I161</f>
        <v>4375</v>
      </c>
      <c r="G22" s="21"/>
      <c r="H22" s="140">
        <f>'Expenditure Breakdown'!X161</f>
        <v>33994.93</v>
      </c>
      <c r="I22" s="23"/>
      <c r="J22" s="141">
        <f t="shared" si="0"/>
        <v>-29619.93</v>
      </c>
      <c r="K22" s="84"/>
      <c r="L22" s="157"/>
    </row>
    <row r="23" spans="1:12" ht="13.9">
      <c r="A23" s="124"/>
      <c r="B23" s="138">
        <f>'Expenditure Breakdown'!L174</f>
        <v>15</v>
      </c>
      <c r="C23" s="127"/>
      <c r="D23" s="139" t="str">
        <f>'Expenditure Breakdown'!M174</f>
        <v>15. Service Add On</v>
      </c>
      <c r="E23" s="21"/>
      <c r="F23" s="140">
        <f>'Expenditure Breakdown'!I174</f>
        <v>0</v>
      </c>
      <c r="G23" s="21"/>
      <c r="H23" s="140">
        <f>'Expenditure Breakdown'!X174</f>
        <v>38023.93</v>
      </c>
      <c r="I23" s="23"/>
      <c r="J23" s="141">
        <f t="shared" si="0"/>
        <v>-38023.93</v>
      </c>
      <c r="K23" s="84"/>
      <c r="L23" s="157"/>
    </row>
    <row r="24" spans="1:12" ht="6.75" customHeight="1">
      <c r="A24" s="124"/>
      <c r="B24" s="22"/>
      <c r="C24" s="22"/>
      <c r="D24" s="21"/>
      <c r="E24" s="21"/>
      <c r="F24" s="21"/>
      <c r="G24" s="21"/>
      <c r="H24" s="23"/>
      <c r="I24" s="23"/>
      <c r="J24" s="23"/>
      <c r="K24" s="84"/>
      <c r="L24" s="26"/>
    </row>
    <row r="25" spans="1:12" ht="15" customHeight="1">
      <c r="A25" s="124"/>
      <c r="B25" s="22"/>
      <c r="C25" s="22"/>
      <c r="D25" s="143" t="s">
        <v>286</v>
      </c>
      <c r="E25" s="21"/>
      <c r="F25" s="144">
        <f>'Expenditure Breakdown'!I2-'Expenditure Tracking'!F5</f>
        <v>0</v>
      </c>
      <c r="G25" s="144" t="e">
        <f>#REF!-G5</f>
        <v>#REF!</v>
      </c>
      <c r="H25" s="144">
        <f>'Expenditure Breakdown'!X2-H5</f>
        <v>0</v>
      </c>
      <c r="I25" s="23"/>
      <c r="J25" s="145"/>
      <c r="K25" s="84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45"/>
  <sheetViews>
    <sheetView topLeftCell="D1" zoomScale="70" zoomScaleNormal="70" workbookViewId="0">
      <pane ySplit="4" topLeftCell="A5" activePane="bottomLeft" state="frozen"/>
      <selection activeCell="F28" sqref="F28"/>
      <selection pane="bottomLeft" activeCell="W149" sqref="W149"/>
    </sheetView>
  </sheetViews>
  <sheetFormatPr defaultColWidth="9.46484375" defaultRowHeight="13.5"/>
  <cols>
    <col min="1" max="1" width="2.46484375" style="26" customWidth="1"/>
    <col min="2" max="2" width="6.46484375" style="4" customWidth="1"/>
    <col min="3" max="3" width="32.46484375" style="4" customWidth="1"/>
    <col min="4" max="4" width="51.53125" style="4" customWidth="1"/>
    <col min="5" max="5" width="13" style="6" customWidth="1"/>
    <col min="6" max="6" width="16.53125" style="370" customWidth="1"/>
    <col min="7" max="8" width="17.46484375" style="4" customWidth="1"/>
    <col min="9" max="10" width="22.46484375" style="252" customWidth="1"/>
    <col min="11" max="11" width="5.53125" style="26" hidden="1" customWidth="1"/>
    <col min="12" max="12" width="4.53125" style="26" bestFit="1" customWidth="1"/>
    <col min="13" max="13" width="22.53125" style="26" bestFit="1" customWidth="1"/>
    <col min="14" max="14" width="40.46484375" style="26" bestFit="1" customWidth="1"/>
    <col min="15" max="17" width="14.46484375" style="26" bestFit="1" customWidth="1"/>
    <col min="18" max="18" width="38.46484375" style="76" bestFit="1" customWidth="1"/>
    <col min="19" max="19" width="33.46484375" style="26" customWidth="1"/>
    <col min="20" max="20" width="14.46484375" style="429" bestFit="1" customWidth="1"/>
    <col min="21" max="21" width="14.9296875" style="429" bestFit="1" customWidth="1"/>
    <col min="22" max="22" width="15.53125" style="26" customWidth="1"/>
    <col min="23" max="23" width="16.53125" style="429" bestFit="1" customWidth="1"/>
    <col min="24" max="24" width="15.46484375" style="26" bestFit="1" customWidth="1"/>
    <col min="25" max="25" width="27.53125" style="26" bestFit="1" customWidth="1"/>
    <col min="26" max="26" width="25" style="26" customWidth="1"/>
    <col min="27" max="27" width="17.46484375" style="26" customWidth="1"/>
    <col min="28" max="28" width="64.46484375" style="26" bestFit="1" customWidth="1"/>
    <col min="29" max="29" width="17.46484375" style="26" customWidth="1"/>
    <col min="30" max="30" width="25" style="26" bestFit="1" customWidth="1"/>
    <col min="31" max="31" width="12.53125" style="26" customWidth="1"/>
    <col min="32" max="32" width="17.46484375" style="26" customWidth="1"/>
    <col min="33" max="33" width="20.53125" style="26" bestFit="1" customWidth="1"/>
    <col min="34" max="34" width="18.53125" style="26" bestFit="1" customWidth="1"/>
    <col min="35" max="76" width="17.46484375" style="26" customWidth="1"/>
    <col min="77" max="16384" width="9.46484375" style="4"/>
  </cols>
  <sheetData>
    <row r="1" spans="1:76" s="26" customFormat="1" ht="4.5" customHeight="1" thickBot="1">
      <c r="E1" s="76"/>
      <c r="F1" s="360"/>
      <c r="I1" s="158"/>
      <c r="J1" s="158"/>
      <c r="O1" s="76"/>
      <c r="P1" s="360"/>
      <c r="Q1" s="264"/>
      <c r="R1" s="264"/>
      <c r="S1" s="264"/>
      <c r="T1" s="159"/>
      <c r="U1" s="159"/>
      <c r="V1" s="264"/>
      <c r="W1" s="159"/>
      <c r="Y1" s="374"/>
    </row>
    <row r="2" spans="1:76" ht="21.75" customHeight="1" thickBot="1">
      <c r="B2" s="712" t="s">
        <v>287</v>
      </c>
      <c r="C2" s="713"/>
      <c r="D2" s="713"/>
      <c r="E2" s="713"/>
      <c r="F2" s="713"/>
      <c r="G2" s="713"/>
      <c r="H2" s="393"/>
      <c r="I2" s="160">
        <f>SUM(I6:I186)</f>
        <v>2278170.85</v>
      </c>
      <c r="J2" s="160">
        <f>SUM(J6:J186)</f>
        <v>2581529</v>
      </c>
      <c r="L2" s="714" t="s">
        <v>288</v>
      </c>
      <c r="M2" s="715"/>
      <c r="N2" s="715"/>
      <c r="O2" s="715"/>
      <c r="P2" s="715"/>
      <c r="Q2" s="715"/>
      <c r="R2" s="722" t="s">
        <v>289</v>
      </c>
      <c r="S2" s="723"/>
      <c r="T2" s="723"/>
      <c r="U2" s="723"/>
      <c r="V2" s="723"/>
      <c r="W2" s="724"/>
      <c r="X2" s="160">
        <f>SUM(X6:X186)</f>
        <v>2684846.6775000002</v>
      </c>
    </row>
    <row r="3" spans="1:76" s="26" customFormat="1" ht="13.5" customHeight="1" thickBot="1">
      <c r="E3" s="76"/>
      <c r="F3" s="360"/>
      <c r="I3" s="158"/>
      <c r="J3" s="269"/>
      <c r="O3" s="76"/>
      <c r="P3" s="360"/>
      <c r="Q3" s="159"/>
      <c r="R3" s="76"/>
      <c r="T3" s="429"/>
      <c r="U3" s="429"/>
      <c r="W3" s="429"/>
      <c r="X3" s="587"/>
    </row>
    <row r="4" spans="1:76" s="6" customFormat="1" ht="42" thickBot="1">
      <c r="A4" s="76"/>
      <c r="B4" s="161" t="s">
        <v>290</v>
      </c>
      <c r="C4" s="162" t="s">
        <v>291</v>
      </c>
      <c r="D4" s="162" t="s">
        <v>292</v>
      </c>
      <c r="E4" s="162" t="s">
        <v>293</v>
      </c>
      <c r="F4" s="361" t="s">
        <v>294</v>
      </c>
      <c r="G4" s="163" t="s">
        <v>295</v>
      </c>
      <c r="H4" s="271" t="s">
        <v>296</v>
      </c>
      <c r="I4" s="164" t="s">
        <v>297</v>
      </c>
      <c r="J4" s="164" t="str">
        <f>IF(J2-'Revenue Tracking'!D4&gt;=0, "Total Revenue", "ERROR on REV" )</f>
        <v>ERROR on REV</v>
      </c>
      <c r="K4" s="76"/>
      <c r="L4" s="161" t="s">
        <v>290</v>
      </c>
      <c r="M4" s="162" t="s">
        <v>298</v>
      </c>
      <c r="N4" s="162" t="s">
        <v>292</v>
      </c>
      <c r="O4" s="162" t="s">
        <v>293</v>
      </c>
      <c r="P4" s="361" t="s">
        <v>294</v>
      </c>
      <c r="Q4" s="272" t="s">
        <v>299</v>
      </c>
      <c r="R4" s="477" t="s">
        <v>300</v>
      </c>
      <c r="S4" s="478" t="s">
        <v>241</v>
      </c>
      <c r="T4" s="500" t="s">
        <v>242</v>
      </c>
      <c r="U4" s="501" t="s">
        <v>301</v>
      </c>
      <c r="V4" s="272" t="s">
        <v>302</v>
      </c>
      <c r="W4" s="500" t="s">
        <v>303</v>
      </c>
      <c r="X4" s="164" t="s">
        <v>297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5"/>
      <c r="C5" s="166"/>
      <c r="D5" s="166"/>
      <c r="E5" s="167"/>
      <c r="F5" s="362"/>
      <c r="G5" s="168"/>
      <c r="H5" s="522"/>
      <c r="I5" s="169"/>
      <c r="J5" s="169"/>
      <c r="K5" s="170"/>
      <c r="L5" s="165"/>
      <c r="M5" s="166"/>
      <c r="N5" s="166"/>
      <c r="O5" s="167"/>
      <c r="P5" s="362"/>
      <c r="Q5" s="372"/>
      <c r="R5" s="388"/>
      <c r="S5" s="479"/>
      <c r="T5" s="389"/>
      <c r="U5" s="389"/>
      <c r="V5" s="389"/>
      <c r="W5" s="389"/>
      <c r="X5" s="169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3">
        <v>1</v>
      </c>
      <c r="C6" s="253" t="s">
        <v>304</v>
      </c>
      <c r="D6" s="184" t="s">
        <v>305</v>
      </c>
      <c r="E6" s="185"/>
      <c r="F6" s="334"/>
      <c r="G6" s="290">
        <f>D187</f>
        <v>561360.21</v>
      </c>
      <c r="H6" s="526">
        <f>'Project Plan'!E37+60</f>
        <v>46039</v>
      </c>
      <c r="I6" s="716">
        <f>SUM(G6:G11)</f>
        <v>561360.21</v>
      </c>
      <c r="J6" s="719">
        <f>F187</f>
        <v>637909</v>
      </c>
      <c r="K6" s="287"/>
      <c r="L6" s="183">
        <v>1</v>
      </c>
      <c r="M6" s="314" t="s">
        <v>306</v>
      </c>
      <c r="N6" s="184" t="s">
        <v>307</v>
      </c>
      <c r="O6" s="499">
        <v>424</v>
      </c>
      <c r="P6" s="334">
        <v>1150.5</v>
      </c>
      <c r="Q6" s="290">
        <f>O6*P6</f>
        <v>487812</v>
      </c>
      <c r="R6" s="466"/>
      <c r="S6" s="480" t="s">
        <v>308</v>
      </c>
      <c r="T6" s="518">
        <v>45961</v>
      </c>
      <c r="U6" s="635">
        <v>637909</v>
      </c>
      <c r="V6" s="734">
        <f>J6-SUM(U6:U11)</f>
        <v>0</v>
      </c>
      <c r="W6" s="683">
        <v>46019</v>
      </c>
      <c r="X6" s="716">
        <f>SUM(Q6:Q11)</f>
        <v>487812</v>
      </c>
    </row>
    <row r="7" spans="1:76" ht="15" customHeight="1">
      <c r="B7" s="213">
        <v>1</v>
      </c>
      <c r="C7" s="315"/>
      <c r="D7" s="288" t="s">
        <v>309</v>
      </c>
      <c r="E7" s="289"/>
      <c r="F7" s="355"/>
      <c r="G7" s="217"/>
      <c r="H7" s="518"/>
      <c r="I7" s="717"/>
      <c r="J7" s="720"/>
      <c r="K7" s="190"/>
      <c r="L7" s="213">
        <v>1</v>
      </c>
      <c r="M7" s="215" t="s">
        <v>306</v>
      </c>
      <c r="N7" s="288"/>
      <c r="O7" s="431"/>
      <c r="P7" s="341">
        <f>P6/590</f>
        <v>1.95</v>
      </c>
      <c r="Q7" s="217"/>
      <c r="R7" s="606"/>
      <c r="S7" s="481"/>
      <c r="T7" s="409" t="str">
        <f t="shared" ref="T7:T70" si="0">IF(W7&gt;1,EOMONTH(W7,0),"")</f>
        <v/>
      </c>
      <c r="U7" s="635">
        <v>0</v>
      </c>
      <c r="V7" s="735"/>
      <c r="W7" s="451"/>
      <c r="X7" s="717"/>
    </row>
    <row r="8" spans="1:76" ht="15" customHeight="1">
      <c r="B8" s="282">
        <v>1</v>
      </c>
      <c r="C8" s="376"/>
      <c r="D8" s="377"/>
      <c r="E8" s="378"/>
      <c r="F8" s="341"/>
      <c r="G8" s="285"/>
      <c r="H8" s="518"/>
      <c r="I8" s="717"/>
      <c r="J8" s="720"/>
      <c r="K8" s="190"/>
      <c r="L8" s="213">
        <v>1</v>
      </c>
      <c r="M8" s="215" t="s">
        <v>306</v>
      </c>
      <c r="N8" s="377"/>
      <c r="O8" s="432"/>
      <c r="P8" s="341"/>
      <c r="Q8" s="217"/>
      <c r="R8" s="606"/>
      <c r="S8" s="481"/>
      <c r="T8" s="409" t="str">
        <f t="shared" si="0"/>
        <v/>
      </c>
      <c r="U8" s="635">
        <v>0</v>
      </c>
      <c r="V8" s="735"/>
      <c r="W8" s="451"/>
      <c r="X8" s="717"/>
    </row>
    <row r="9" spans="1:76" ht="15" customHeight="1">
      <c r="B9" s="282">
        <v>1</v>
      </c>
      <c r="C9" s="376"/>
      <c r="D9" s="377"/>
      <c r="E9" s="378"/>
      <c r="F9" s="341"/>
      <c r="G9" s="285"/>
      <c r="H9" s="518"/>
      <c r="I9" s="717"/>
      <c r="J9" s="720"/>
      <c r="K9" s="190"/>
      <c r="L9" s="213">
        <v>1</v>
      </c>
      <c r="M9" s="215" t="s">
        <v>306</v>
      </c>
      <c r="N9" s="377"/>
      <c r="O9" s="432"/>
      <c r="P9" s="341"/>
      <c r="Q9" s="285"/>
      <c r="R9" s="645"/>
      <c r="S9" s="482"/>
      <c r="T9" s="410" t="str">
        <f t="shared" si="0"/>
        <v/>
      </c>
      <c r="U9" s="635">
        <v>0</v>
      </c>
      <c r="V9" s="735"/>
      <c r="W9" s="452"/>
      <c r="X9" s="717"/>
    </row>
    <row r="10" spans="1:76" ht="15" customHeight="1">
      <c r="B10" s="282">
        <v>1</v>
      </c>
      <c r="C10" s="376"/>
      <c r="D10" s="377"/>
      <c r="E10" s="378"/>
      <c r="F10" s="341"/>
      <c r="G10" s="285"/>
      <c r="H10" s="527"/>
      <c r="I10" s="717"/>
      <c r="J10" s="720"/>
      <c r="K10" s="190"/>
      <c r="L10" s="213">
        <v>1</v>
      </c>
      <c r="M10" s="215" t="s">
        <v>306</v>
      </c>
      <c r="N10" s="377"/>
      <c r="O10" s="432"/>
      <c r="P10" s="341"/>
      <c r="Q10" s="285"/>
      <c r="R10" s="645"/>
      <c r="S10" s="482"/>
      <c r="T10" s="410" t="str">
        <f t="shared" si="0"/>
        <v/>
      </c>
      <c r="U10" s="635">
        <v>0</v>
      </c>
      <c r="V10" s="735"/>
      <c r="W10" s="452"/>
      <c r="X10" s="717"/>
    </row>
    <row r="11" spans="1:76" ht="15" customHeight="1" thickBot="1">
      <c r="B11" s="218">
        <v>1</v>
      </c>
      <c r="C11" s="316"/>
      <c r="D11" s="291"/>
      <c r="E11" s="292"/>
      <c r="F11" s="356"/>
      <c r="G11" s="232"/>
      <c r="H11" s="528"/>
      <c r="I11" s="718"/>
      <c r="J11" s="721"/>
      <c r="K11" s="191"/>
      <c r="L11" s="218">
        <v>1</v>
      </c>
      <c r="M11" s="316" t="s">
        <v>306</v>
      </c>
      <c r="N11" s="291"/>
      <c r="O11" s="433"/>
      <c r="P11" s="356"/>
      <c r="Q11" s="232"/>
      <c r="R11" s="646"/>
      <c r="S11" s="483"/>
      <c r="T11" s="411" t="str">
        <f t="shared" si="0"/>
        <v/>
      </c>
      <c r="U11" s="635">
        <v>0</v>
      </c>
      <c r="V11" s="736"/>
      <c r="W11" s="453"/>
      <c r="X11" s="718"/>
      <c r="Y11" s="581" t="s">
        <v>310</v>
      </c>
      <c r="Z11" s="467" t="s">
        <v>311</v>
      </c>
    </row>
    <row r="12" spans="1:76" ht="14.25" thickBot="1">
      <c r="A12" s="4"/>
      <c r="B12" s="178"/>
      <c r="C12" s="179"/>
      <c r="D12" s="180"/>
      <c r="E12" s="193"/>
      <c r="F12" s="352"/>
      <c r="G12" s="181"/>
      <c r="H12" s="529"/>
      <c r="I12" s="523"/>
      <c r="J12" s="182"/>
      <c r="K12" s="4"/>
      <c r="L12" s="178"/>
      <c r="M12" s="302"/>
      <c r="N12" s="180"/>
      <c r="O12" s="434"/>
      <c r="P12" s="352"/>
      <c r="Q12" s="181"/>
      <c r="R12" s="647"/>
      <c r="S12" s="484"/>
      <c r="T12" s="412" t="str">
        <f t="shared" si="0"/>
        <v/>
      </c>
      <c r="U12" s="397"/>
      <c r="V12" s="387"/>
      <c r="W12" s="454"/>
      <c r="X12" s="523"/>
      <c r="Y12" s="582" t="s">
        <v>312</v>
      </c>
      <c r="Z12" s="468">
        <f>G53</f>
        <v>278660.59999999998</v>
      </c>
      <c r="AA12" s="506"/>
    </row>
    <row r="13" spans="1:76" ht="14.25" customHeight="1">
      <c r="B13" s="195">
        <v>2</v>
      </c>
      <c r="C13" s="221" t="s">
        <v>199</v>
      </c>
      <c r="D13" s="221" t="s">
        <v>313</v>
      </c>
      <c r="E13" s="266">
        <v>4</v>
      </c>
      <c r="F13" s="353"/>
      <c r="G13" s="198">
        <f>D188</f>
        <v>247000</v>
      </c>
      <c r="H13" s="530">
        <f>'Project Plan'!E23+60</f>
        <v>46018</v>
      </c>
      <c r="I13" s="728">
        <f>SUM(G13:G19)</f>
        <v>247000</v>
      </c>
      <c r="J13" s="731">
        <f>F188</f>
        <v>280682</v>
      </c>
      <c r="K13" s="199"/>
      <c r="L13" s="195">
        <v>2</v>
      </c>
      <c r="M13" s="317" t="s">
        <v>314</v>
      </c>
      <c r="N13" s="221" t="s">
        <v>315</v>
      </c>
      <c r="O13" s="435">
        <v>4</v>
      </c>
      <c r="P13" s="353">
        <v>43606.080000000002</v>
      </c>
      <c r="Q13" s="198">
        <f>O13*P13</f>
        <v>174424.32000000001</v>
      </c>
      <c r="R13" s="648"/>
      <c r="S13" s="485" t="s">
        <v>308</v>
      </c>
      <c r="T13" s="530">
        <v>45961</v>
      </c>
      <c r="U13" s="636">
        <v>280682</v>
      </c>
      <c r="V13" s="737">
        <f>J13-SUM(U13:U19)</f>
        <v>0</v>
      </c>
      <c r="W13" s="684">
        <f>W6</f>
        <v>46019</v>
      </c>
      <c r="X13" s="728">
        <f>SUM(Q13:Q19)</f>
        <v>174424.32000000001</v>
      </c>
      <c r="Y13" s="582" t="s">
        <v>316</v>
      </c>
      <c r="Z13" s="469">
        <f>G29</f>
        <v>103406</v>
      </c>
      <c r="AA13" s="506"/>
    </row>
    <row r="14" spans="1:76" ht="14.25" customHeight="1">
      <c r="B14" s="200">
        <v>2</v>
      </c>
      <c r="C14" s="323"/>
      <c r="D14" s="307"/>
      <c r="E14" s="379"/>
      <c r="F14" s="349"/>
      <c r="G14" s="373"/>
      <c r="H14" s="521"/>
      <c r="I14" s="729"/>
      <c r="J14" s="732"/>
      <c r="K14" s="203"/>
      <c r="L14" s="200">
        <v>2</v>
      </c>
      <c r="M14" s="323" t="s">
        <v>314</v>
      </c>
      <c r="N14" s="307"/>
      <c r="O14" s="436"/>
      <c r="P14" s="349"/>
      <c r="Q14" s="373"/>
      <c r="R14" s="649"/>
      <c r="S14" s="486"/>
      <c r="T14" s="414" t="str">
        <f t="shared" si="0"/>
        <v/>
      </c>
      <c r="U14" s="636">
        <v>0</v>
      </c>
      <c r="V14" s="738"/>
      <c r="W14" s="505"/>
      <c r="X14" s="729"/>
      <c r="Y14" s="582" t="s">
        <v>317</v>
      </c>
      <c r="Z14" s="468">
        <f>G114</f>
        <v>62525</v>
      </c>
      <c r="AA14" s="506">
        <f>Z14/250000</f>
        <v>0.25009999999999999</v>
      </c>
    </row>
    <row r="15" spans="1:76" ht="14.25" customHeight="1">
      <c r="B15" s="200">
        <v>2</v>
      </c>
      <c r="C15" s="323"/>
      <c r="D15" s="307"/>
      <c r="E15" s="379"/>
      <c r="F15" s="349"/>
      <c r="G15" s="373"/>
      <c r="H15" s="521"/>
      <c r="I15" s="729"/>
      <c r="J15" s="732"/>
      <c r="K15" s="203"/>
      <c r="L15" s="200">
        <v>2</v>
      </c>
      <c r="M15" s="323" t="s">
        <v>314</v>
      </c>
      <c r="N15" s="307"/>
      <c r="O15" s="436"/>
      <c r="P15" s="349"/>
      <c r="Q15" s="373"/>
      <c r="R15" s="649"/>
      <c r="S15" s="486"/>
      <c r="T15" s="414" t="str">
        <f t="shared" si="0"/>
        <v/>
      </c>
      <c r="U15" s="636">
        <v>0</v>
      </c>
      <c r="V15" s="738"/>
      <c r="W15" s="456"/>
      <c r="X15" s="729"/>
      <c r="Y15" s="582" t="s">
        <v>318</v>
      </c>
      <c r="Z15" s="468">
        <f>G115</f>
        <v>136325</v>
      </c>
      <c r="AA15" s="506">
        <f>Z15/250000</f>
        <v>0.54530000000000001</v>
      </c>
    </row>
    <row r="16" spans="1:76" ht="14.25" customHeight="1">
      <c r="B16" s="200">
        <v>2</v>
      </c>
      <c r="C16" s="323"/>
      <c r="D16" s="307"/>
      <c r="E16" s="379"/>
      <c r="F16" s="349"/>
      <c r="G16" s="373"/>
      <c r="H16" s="521"/>
      <c r="I16" s="729"/>
      <c r="J16" s="732"/>
      <c r="K16" s="203"/>
      <c r="L16" s="200">
        <v>2</v>
      </c>
      <c r="M16" s="323" t="s">
        <v>314</v>
      </c>
      <c r="N16" s="307"/>
      <c r="O16" s="436"/>
      <c r="P16" s="349"/>
      <c r="Q16" s="373"/>
      <c r="R16" s="649"/>
      <c r="S16" s="486"/>
      <c r="T16" s="414" t="str">
        <f t="shared" si="0"/>
        <v/>
      </c>
      <c r="U16" s="636">
        <v>0</v>
      </c>
      <c r="V16" s="738"/>
      <c r="W16" s="456"/>
      <c r="X16" s="729"/>
      <c r="Y16" s="582" t="s">
        <v>319</v>
      </c>
      <c r="Z16" s="468">
        <f>G127</f>
        <v>8500</v>
      </c>
      <c r="AA16" s="506"/>
    </row>
    <row r="17" spans="1:34" ht="14.25" customHeight="1">
      <c r="B17" s="200">
        <v>2</v>
      </c>
      <c r="C17" s="323"/>
      <c r="D17" s="307"/>
      <c r="E17" s="379"/>
      <c r="F17" s="349"/>
      <c r="G17" s="373"/>
      <c r="H17" s="521"/>
      <c r="I17" s="729"/>
      <c r="J17" s="732"/>
      <c r="K17" s="203"/>
      <c r="L17" s="200">
        <v>2</v>
      </c>
      <c r="M17" s="323" t="s">
        <v>314</v>
      </c>
      <c r="N17" s="307"/>
      <c r="O17" s="436"/>
      <c r="P17" s="349"/>
      <c r="Q17" s="373"/>
      <c r="R17" s="649"/>
      <c r="S17" s="486"/>
      <c r="T17" s="414" t="str">
        <f t="shared" si="0"/>
        <v/>
      </c>
      <c r="U17" s="636">
        <v>0</v>
      </c>
      <c r="V17" s="738"/>
      <c r="W17" s="456"/>
      <c r="X17" s="729"/>
      <c r="Y17" s="582" t="s">
        <v>320</v>
      </c>
      <c r="Z17" s="468">
        <f>G128</f>
        <v>17326.669999999998</v>
      </c>
      <c r="AA17" s="506"/>
    </row>
    <row r="18" spans="1:34" ht="14.25" customHeight="1">
      <c r="B18" s="200">
        <v>2</v>
      </c>
      <c r="C18" s="323"/>
      <c r="D18" s="307"/>
      <c r="E18" s="379"/>
      <c r="F18" s="349"/>
      <c r="G18" s="373"/>
      <c r="H18" s="521"/>
      <c r="I18" s="729"/>
      <c r="J18" s="732"/>
      <c r="K18" s="203"/>
      <c r="L18" s="200">
        <v>2</v>
      </c>
      <c r="M18" s="323" t="s">
        <v>314</v>
      </c>
      <c r="N18" s="307"/>
      <c r="O18" s="436"/>
      <c r="P18" s="349"/>
      <c r="Q18" s="373"/>
      <c r="R18" s="649"/>
      <c r="S18" s="486"/>
      <c r="T18" s="414" t="str">
        <f t="shared" si="0"/>
        <v/>
      </c>
      <c r="U18" s="636">
        <v>0</v>
      </c>
      <c r="V18" s="738"/>
      <c r="W18" s="456"/>
      <c r="X18" s="729"/>
      <c r="Y18" s="582" t="s">
        <v>321</v>
      </c>
      <c r="Z18" s="468">
        <f>G130</f>
        <v>1027.78</v>
      </c>
      <c r="AA18" s="506"/>
    </row>
    <row r="19" spans="1:34" ht="15" customHeight="1" thickBot="1">
      <c r="B19" s="294">
        <v>2</v>
      </c>
      <c r="C19" s="295"/>
      <c r="D19" s="295"/>
      <c r="E19" s="296"/>
      <c r="F19" s="363"/>
      <c r="G19" s="297"/>
      <c r="H19" s="531"/>
      <c r="I19" s="730"/>
      <c r="J19" s="733"/>
      <c r="K19" s="208"/>
      <c r="L19" s="294">
        <v>2</v>
      </c>
      <c r="M19" s="318" t="s">
        <v>314</v>
      </c>
      <c r="N19" s="295"/>
      <c r="O19" s="437"/>
      <c r="P19" s="363"/>
      <c r="Q19" s="297"/>
      <c r="R19" s="650"/>
      <c r="S19" s="487"/>
      <c r="T19" s="415" t="str">
        <f t="shared" si="0"/>
        <v/>
      </c>
      <c r="U19" s="637">
        <v>0</v>
      </c>
      <c r="V19" s="739"/>
      <c r="W19" s="457"/>
      <c r="X19" s="730"/>
      <c r="Y19" s="582" t="s">
        <v>322</v>
      </c>
      <c r="Z19" s="468">
        <v>0</v>
      </c>
      <c r="AA19" s="506"/>
    </row>
    <row r="20" spans="1:34" ht="14.25" thickBot="1">
      <c r="A20" s="4"/>
      <c r="B20" s="192"/>
      <c r="C20" s="179"/>
      <c r="D20" s="179"/>
      <c r="E20" s="193"/>
      <c r="F20" s="352"/>
      <c r="G20" s="194"/>
      <c r="H20" s="529"/>
      <c r="I20" s="523"/>
      <c r="J20" s="182"/>
      <c r="K20" s="4"/>
      <c r="L20" s="192"/>
      <c r="M20" s="179"/>
      <c r="N20" s="179"/>
      <c r="O20" s="434"/>
      <c r="P20" s="352"/>
      <c r="Q20" s="194"/>
      <c r="R20" s="647"/>
      <c r="S20" s="484"/>
      <c r="T20" s="412" t="str">
        <f t="shared" si="0"/>
        <v/>
      </c>
      <c r="U20" s="401"/>
      <c r="V20" s="383"/>
      <c r="W20" s="454"/>
      <c r="X20" s="523"/>
      <c r="Y20" s="582"/>
      <c r="Z20" s="468"/>
      <c r="AA20" s="506"/>
    </row>
    <row r="21" spans="1:34" ht="14.25" customHeight="1">
      <c r="B21" s="183">
        <v>3</v>
      </c>
      <c r="C21" s="211" t="s">
        <v>323</v>
      </c>
      <c r="D21" s="229" t="s">
        <v>324</v>
      </c>
      <c r="E21" s="185"/>
      <c r="F21" s="334"/>
      <c r="G21" s="186">
        <f>D189</f>
        <v>100040</v>
      </c>
      <c r="H21" s="519">
        <f>'Project Plan'!E31+30</f>
        <v>45987</v>
      </c>
      <c r="I21" s="716">
        <f>SUM(G21:G26)</f>
        <v>100040</v>
      </c>
      <c r="J21" s="719">
        <f>F189</f>
        <v>113682</v>
      </c>
      <c r="K21" s="187"/>
      <c r="L21" s="183">
        <v>3</v>
      </c>
      <c r="M21" s="319" t="s">
        <v>325</v>
      </c>
      <c r="N21" s="229" t="s">
        <v>326</v>
      </c>
      <c r="O21" s="430"/>
      <c r="P21" s="334"/>
      <c r="Q21" s="186">
        <f>48031-Q22</f>
        <v>45051</v>
      </c>
      <c r="R21" s="710" t="s">
        <v>327</v>
      </c>
      <c r="S21" s="488" t="s">
        <v>328</v>
      </c>
      <c r="T21" s="632">
        <v>45961</v>
      </c>
      <c r="U21" s="635">
        <v>106628.79769315651</v>
      </c>
      <c r="V21" s="734">
        <f>J21-SUM(U21:U26)</f>
        <v>0</v>
      </c>
      <c r="W21" s="685">
        <v>45989</v>
      </c>
      <c r="X21" s="716">
        <f>SUM(Q21:Q26)</f>
        <v>48031</v>
      </c>
      <c r="Y21" s="582" t="s">
        <v>329</v>
      </c>
      <c r="Z21" s="470">
        <v>0</v>
      </c>
      <c r="AA21" s="506"/>
    </row>
    <row r="22" spans="1:34" ht="14.25" customHeight="1">
      <c r="B22" s="213">
        <v>3</v>
      </c>
      <c r="C22" s="214"/>
      <c r="D22" s="230"/>
      <c r="E22" s="216"/>
      <c r="F22" s="355"/>
      <c r="G22" s="217"/>
      <c r="H22" s="518"/>
      <c r="I22" s="717"/>
      <c r="J22" s="720"/>
      <c r="K22" s="190"/>
      <c r="L22" s="213">
        <v>3</v>
      </c>
      <c r="M22" s="320" t="s">
        <v>325</v>
      </c>
      <c r="N22" s="230" t="s">
        <v>330</v>
      </c>
      <c r="O22" s="431"/>
      <c r="P22" s="355"/>
      <c r="Q22" s="217">
        <v>2980</v>
      </c>
      <c r="R22" s="711"/>
      <c r="S22" s="481" t="s">
        <v>328</v>
      </c>
      <c r="T22" s="633">
        <f>T21</f>
        <v>45961</v>
      </c>
      <c r="U22" s="635">
        <v>7053.2023068434974</v>
      </c>
      <c r="V22" s="735"/>
      <c r="W22" s="616">
        <f>W21</f>
        <v>45989</v>
      </c>
      <c r="X22" s="717"/>
      <c r="Y22" s="582" t="s">
        <v>277</v>
      </c>
      <c r="Z22" s="468">
        <f>SUM(Z12:Z21)</f>
        <v>607771.05000000005</v>
      </c>
    </row>
    <row r="23" spans="1:34" ht="14.25" customHeight="1">
      <c r="B23" s="213">
        <v>3</v>
      </c>
      <c r="C23" s="214"/>
      <c r="D23" s="230"/>
      <c r="E23" s="216"/>
      <c r="F23" s="355"/>
      <c r="G23" s="217"/>
      <c r="H23" s="518"/>
      <c r="I23" s="717"/>
      <c r="J23" s="720"/>
      <c r="K23" s="190"/>
      <c r="L23" s="213">
        <v>3</v>
      </c>
      <c r="M23" s="320" t="s">
        <v>325</v>
      </c>
      <c r="N23" s="230"/>
      <c r="O23" s="431"/>
      <c r="P23" s="355"/>
      <c r="Q23" s="217"/>
      <c r="R23" s="606"/>
      <c r="S23" s="481"/>
      <c r="T23" s="409" t="str">
        <f t="shared" si="0"/>
        <v/>
      </c>
      <c r="U23" s="635">
        <v>0</v>
      </c>
      <c r="V23" s="735"/>
      <c r="W23" s="451"/>
      <c r="X23" s="717"/>
      <c r="Y23" s="582" t="s">
        <v>331</v>
      </c>
      <c r="Z23" s="471">
        <f>+Z22*0.85</f>
        <v>516605.39250000002</v>
      </c>
    </row>
    <row r="24" spans="1:34" ht="14.25" customHeight="1">
      <c r="B24" s="213">
        <v>3</v>
      </c>
      <c r="C24" s="283"/>
      <c r="D24" s="284"/>
      <c r="E24" s="305"/>
      <c r="F24" s="341"/>
      <c r="G24" s="285"/>
      <c r="H24" s="527"/>
      <c r="I24" s="717"/>
      <c r="J24" s="720"/>
      <c r="K24" s="190"/>
      <c r="L24" s="213">
        <v>3</v>
      </c>
      <c r="M24" s="320" t="s">
        <v>325</v>
      </c>
      <c r="N24" s="230"/>
      <c r="O24" s="432"/>
      <c r="P24" s="341"/>
      <c r="Q24" s="285"/>
      <c r="R24" s="645"/>
      <c r="S24" s="482"/>
      <c r="T24" s="410" t="str">
        <f t="shared" si="0"/>
        <v/>
      </c>
      <c r="U24" s="635">
        <v>0</v>
      </c>
      <c r="V24" s="735"/>
      <c r="W24" s="452"/>
      <c r="X24" s="717"/>
      <c r="Y24" s="583" t="s">
        <v>332</v>
      </c>
      <c r="Z24" s="470">
        <f>Z23/'Project Plan'!$E$3/1000</f>
        <v>2.0664215700000002</v>
      </c>
    </row>
    <row r="25" spans="1:34" ht="14.25" customHeight="1">
      <c r="B25" s="213">
        <v>3</v>
      </c>
      <c r="C25" s="283"/>
      <c r="D25" s="284"/>
      <c r="E25" s="305"/>
      <c r="F25" s="341"/>
      <c r="G25" s="285"/>
      <c r="H25" s="527"/>
      <c r="I25" s="717"/>
      <c r="J25" s="720"/>
      <c r="K25" s="190"/>
      <c r="L25" s="213">
        <v>3</v>
      </c>
      <c r="M25" s="320" t="s">
        <v>325</v>
      </c>
      <c r="N25" s="284"/>
      <c r="O25" s="432"/>
      <c r="P25" s="341"/>
      <c r="Q25" s="285"/>
      <c r="R25" s="645"/>
      <c r="S25" s="482"/>
      <c r="T25" s="410" t="str">
        <f t="shared" si="0"/>
        <v/>
      </c>
      <c r="U25" s="635">
        <v>0</v>
      </c>
      <c r="V25" s="735"/>
      <c r="W25" s="452"/>
      <c r="X25" s="717"/>
    </row>
    <row r="26" spans="1:34" ht="15" customHeight="1" thickBot="1">
      <c r="B26" s="218">
        <v>3</v>
      </c>
      <c r="C26" s="239"/>
      <c r="D26" s="231"/>
      <c r="E26" s="220"/>
      <c r="F26" s="356"/>
      <c r="G26" s="232"/>
      <c r="H26" s="528"/>
      <c r="I26" s="718"/>
      <c r="J26" s="721"/>
      <c r="K26" s="191"/>
      <c r="L26" s="218">
        <v>3</v>
      </c>
      <c r="M26" s="321" t="s">
        <v>325</v>
      </c>
      <c r="N26" s="231"/>
      <c r="O26" s="433"/>
      <c r="P26" s="356"/>
      <c r="Q26" s="232"/>
      <c r="R26" s="646"/>
      <c r="S26" s="483"/>
      <c r="T26" s="411" t="str">
        <f t="shared" si="0"/>
        <v/>
      </c>
      <c r="U26" s="638">
        <v>0</v>
      </c>
      <c r="V26" s="736"/>
      <c r="W26" s="453"/>
      <c r="X26" s="718"/>
      <c r="Y26" s="584" t="s">
        <v>333</v>
      </c>
      <c r="Z26" s="472" t="s">
        <v>334</v>
      </c>
      <c r="AC26" s="614"/>
      <c r="AE26" s="26" t="s">
        <v>335</v>
      </c>
    </row>
    <row r="27" spans="1:34" ht="14.25" thickBot="1">
      <c r="A27" s="4"/>
      <c r="B27" s="192"/>
      <c r="C27" s="209"/>
      <c r="D27" s="210"/>
      <c r="E27" s="193"/>
      <c r="F27" s="352"/>
      <c r="G27" s="194"/>
      <c r="H27" s="529"/>
      <c r="I27" s="523"/>
      <c r="J27" s="182"/>
      <c r="K27" s="4"/>
      <c r="L27" s="192"/>
      <c r="M27" s="209"/>
      <c r="N27" s="210"/>
      <c r="O27" s="434"/>
      <c r="P27" s="352"/>
      <c r="Q27" s="194"/>
      <c r="R27" s="647"/>
      <c r="S27" s="484"/>
      <c r="T27" s="412" t="str">
        <f t="shared" si="0"/>
        <v/>
      </c>
      <c r="U27" s="401"/>
      <c r="V27" s="383"/>
      <c r="W27" s="454"/>
      <c r="X27" s="523"/>
      <c r="Y27" s="585" t="str">
        <f>Y12</f>
        <v>AC Equipment</v>
      </c>
      <c r="Z27" s="473">
        <v>390053.47</v>
      </c>
      <c r="AA27" s="26" t="s">
        <v>336</v>
      </c>
      <c r="AC27" s="614"/>
      <c r="AF27" s="506">
        <v>389809.96</v>
      </c>
    </row>
    <row r="28" spans="1:34" ht="14.25" customHeight="1">
      <c r="B28" s="195">
        <v>4</v>
      </c>
      <c r="C28" s="196" t="s">
        <v>316</v>
      </c>
      <c r="D28" s="196" t="s">
        <v>337</v>
      </c>
      <c r="E28" s="266">
        <f>G28/14*1.15</f>
        <v>4807</v>
      </c>
      <c r="F28" s="353"/>
      <c r="G28" s="198">
        <v>58520</v>
      </c>
      <c r="H28" s="530">
        <f>'Project Plan'!E33+60</f>
        <v>46017</v>
      </c>
      <c r="I28" s="728">
        <f>SUM(G28:G42)</f>
        <v>161926</v>
      </c>
      <c r="J28" s="731">
        <f>F190</f>
        <v>184007</v>
      </c>
      <c r="K28" s="199"/>
      <c r="L28" s="195">
        <v>4</v>
      </c>
      <c r="M28" s="322" t="s">
        <v>338</v>
      </c>
      <c r="N28" s="196" t="s">
        <v>339</v>
      </c>
      <c r="O28" s="427">
        <v>6000</v>
      </c>
      <c r="P28" s="353">
        <v>13.65</v>
      </c>
      <c r="Q28" s="198">
        <f>O28*P28</f>
        <v>81900</v>
      </c>
      <c r="R28" s="648"/>
      <c r="S28" s="485" t="s">
        <v>308</v>
      </c>
      <c r="T28" s="530">
        <v>45961</v>
      </c>
      <c r="U28" s="636">
        <v>76217.10437809884</v>
      </c>
      <c r="V28" s="737">
        <f>J28-SUM(U28:U42)</f>
        <v>-2.3061083629727364E-3</v>
      </c>
      <c r="W28" s="684">
        <f>W13</f>
        <v>46019</v>
      </c>
      <c r="X28" s="728">
        <f>SUM(Q28:Q42)</f>
        <v>143126.91999999998</v>
      </c>
      <c r="Y28" s="585" t="str">
        <f t="shared" ref="Y28:Y30" si="1">Y13</f>
        <v>DC Equipment</v>
      </c>
      <c r="Z28" s="473">
        <v>115826.92</v>
      </c>
      <c r="AC28" s="614"/>
      <c r="AF28" s="506">
        <f>Z28</f>
        <v>115826.92</v>
      </c>
    </row>
    <row r="29" spans="1:34" ht="14.25" customHeight="1">
      <c r="B29" s="222">
        <v>4</v>
      </c>
      <c r="C29" s="307"/>
      <c r="D29" s="307" t="s">
        <v>340</v>
      </c>
      <c r="E29" s="293"/>
      <c r="F29" s="349"/>
      <c r="G29" s="497">
        <f>D190-G28</f>
        <v>103406</v>
      </c>
      <c r="H29" s="521">
        <f>'Project Plan'!G29</f>
        <v>45985</v>
      </c>
      <c r="I29" s="729"/>
      <c r="J29" s="732"/>
      <c r="K29" s="203"/>
      <c r="L29" s="200">
        <v>4</v>
      </c>
      <c r="M29" s="323" t="s">
        <v>338</v>
      </c>
      <c r="N29" s="307" t="s">
        <v>341</v>
      </c>
      <c r="O29" s="428">
        <v>-2000</v>
      </c>
      <c r="P29" s="349">
        <v>13.65</v>
      </c>
      <c r="Q29" s="202">
        <f>O29*P29</f>
        <v>-27300</v>
      </c>
      <c r="R29" s="649"/>
      <c r="S29" s="486" t="s">
        <v>342</v>
      </c>
      <c r="T29" s="664">
        <v>46053</v>
      </c>
      <c r="U29" s="636">
        <v>0</v>
      </c>
      <c r="V29" s="738"/>
      <c r="W29" s="625">
        <v>46053</v>
      </c>
      <c r="X29" s="729"/>
      <c r="Y29" s="585" t="str">
        <f t="shared" si="1"/>
        <v>AC Labour</v>
      </c>
      <c r="Z29" s="473">
        <v>138972.23000000001</v>
      </c>
      <c r="AA29" s="611">
        <f>Z29/250000</f>
        <v>0.55588892000000001</v>
      </c>
      <c r="AB29" s="612">
        <f>0.3*250000</f>
        <v>75000</v>
      </c>
      <c r="AC29" s="614" t="s">
        <v>343</v>
      </c>
      <c r="AD29" s="513" t="s">
        <v>344</v>
      </c>
      <c r="AE29" s="617" t="s">
        <v>345</v>
      </c>
      <c r="AF29" s="609">
        <v>109400.2</v>
      </c>
      <c r="AG29" s="26" t="s">
        <v>346</v>
      </c>
      <c r="AH29" s="26" t="s">
        <v>347</v>
      </c>
    </row>
    <row r="30" spans="1:34" ht="14.25" customHeight="1">
      <c r="B30" s="222">
        <v>4</v>
      </c>
      <c r="C30" s="307"/>
      <c r="D30" s="307"/>
      <c r="E30" s="293"/>
      <c r="F30" s="349"/>
      <c r="G30" s="202"/>
      <c r="H30" s="521"/>
      <c r="I30" s="729"/>
      <c r="J30" s="732"/>
      <c r="K30" s="203"/>
      <c r="L30" s="200">
        <v>4</v>
      </c>
      <c r="M30" s="323" t="s">
        <v>338</v>
      </c>
      <c r="N30" s="307" t="s">
        <v>348</v>
      </c>
      <c r="O30" s="428">
        <v>-2000</v>
      </c>
      <c r="P30" s="349">
        <v>13.65</v>
      </c>
      <c r="Q30" s="202">
        <f>O30*P30</f>
        <v>-27300</v>
      </c>
      <c r="R30" s="649"/>
      <c r="S30" s="486" t="s">
        <v>342</v>
      </c>
      <c r="T30" s="664">
        <v>46053</v>
      </c>
      <c r="U30" s="636">
        <v>0</v>
      </c>
      <c r="V30" s="738"/>
      <c r="W30" s="625">
        <v>46053</v>
      </c>
      <c r="X30" s="729"/>
      <c r="Y30" s="585" t="str">
        <f t="shared" si="1"/>
        <v>DC Labour</v>
      </c>
      <c r="Z30" s="473">
        <v>320601.87</v>
      </c>
      <c r="AA30" s="611">
        <f>Z30/250000</f>
        <v>1.28240748</v>
      </c>
      <c r="AB30" s="612">
        <f>1*250*1000</f>
        <v>250000</v>
      </c>
      <c r="AC30" s="614" t="s">
        <v>349</v>
      </c>
      <c r="AE30" s="617" t="s">
        <v>350</v>
      </c>
      <c r="AF30" s="609">
        <v>251933.8</v>
      </c>
      <c r="AG30" s="26" t="s">
        <v>351</v>
      </c>
      <c r="AH30" s="26" t="s">
        <v>352</v>
      </c>
    </row>
    <row r="31" spans="1:34" ht="14.25" customHeight="1">
      <c r="B31" s="222">
        <v>4</v>
      </c>
      <c r="C31" s="307"/>
      <c r="D31" s="307"/>
      <c r="E31" s="293"/>
      <c r="F31" s="349"/>
      <c r="G31" s="202"/>
      <c r="H31" s="521"/>
      <c r="I31" s="729"/>
      <c r="J31" s="732"/>
      <c r="K31" s="203"/>
      <c r="L31" s="200">
        <v>4</v>
      </c>
      <c r="M31" s="323" t="s">
        <v>338</v>
      </c>
      <c r="N31" s="307"/>
      <c r="O31" s="436"/>
      <c r="P31" s="349"/>
      <c r="Q31" s="202"/>
      <c r="R31" s="649"/>
      <c r="S31" s="486"/>
      <c r="T31" s="414" t="str">
        <f t="shared" si="0"/>
        <v/>
      </c>
      <c r="U31" s="399">
        <f t="shared" ref="U31" si="2">(Q31/$X$28*$J$28)</f>
        <v>0</v>
      </c>
      <c r="V31" s="738"/>
      <c r="W31" s="456"/>
      <c r="X31" s="729"/>
      <c r="Y31" s="585" t="s">
        <v>353</v>
      </c>
      <c r="Z31" s="473">
        <v>16041.03</v>
      </c>
      <c r="AC31" s="614"/>
      <c r="AF31" s="506">
        <v>15879.25</v>
      </c>
    </row>
    <row r="32" spans="1:34" ht="14.25" customHeight="1">
      <c r="B32" s="222">
        <v>4</v>
      </c>
      <c r="C32" s="307"/>
      <c r="D32" s="307"/>
      <c r="E32" s="293"/>
      <c r="F32" s="349"/>
      <c r="G32" s="202"/>
      <c r="H32" s="521"/>
      <c r="I32" s="729"/>
      <c r="J32" s="732"/>
      <c r="K32" s="203"/>
      <c r="L32" s="200">
        <v>4</v>
      </c>
      <c r="M32" s="323" t="s">
        <v>338</v>
      </c>
      <c r="N32" s="307" t="s">
        <v>354</v>
      </c>
      <c r="O32" s="445">
        <f>AF28</f>
        <v>115826.92</v>
      </c>
      <c r="P32" s="446">
        <v>0.1</v>
      </c>
      <c r="Q32" s="202">
        <f>$O$32*P32</f>
        <v>11582.692000000001</v>
      </c>
      <c r="R32" s="725" t="s">
        <v>355</v>
      </c>
      <c r="S32" s="486" t="str">
        <f>S59</f>
        <v>The Greenway INV0001528</v>
      </c>
      <c r="T32" s="622">
        <f>T115</f>
        <v>45961</v>
      </c>
      <c r="U32" s="636">
        <v>10778.989562190116</v>
      </c>
      <c r="V32" s="738"/>
      <c r="W32" s="625">
        <f>W115</f>
        <v>45960</v>
      </c>
      <c r="X32" s="729"/>
      <c r="Y32" s="585" t="s">
        <v>356</v>
      </c>
      <c r="Z32" s="473">
        <v>48180</v>
      </c>
      <c r="AA32" s="613" t="s">
        <v>357</v>
      </c>
      <c r="AB32" s="26" t="s">
        <v>358</v>
      </c>
      <c r="AC32" s="614"/>
      <c r="AD32" s="708" t="s">
        <v>359</v>
      </c>
      <c r="AE32" s="26">
        <v>0.19</v>
      </c>
      <c r="AF32" s="609">
        <v>26180</v>
      </c>
    </row>
    <row r="33" spans="1:32" ht="14.25" customHeight="1">
      <c r="B33" s="222">
        <v>4</v>
      </c>
      <c r="C33" s="307"/>
      <c r="D33" s="307"/>
      <c r="E33" s="293"/>
      <c r="F33" s="349"/>
      <c r="G33" s="202"/>
      <c r="H33" s="521"/>
      <c r="I33" s="729"/>
      <c r="J33" s="732"/>
      <c r="K33" s="203"/>
      <c r="L33" s="200">
        <v>4</v>
      </c>
      <c r="M33" s="323" t="s">
        <v>338</v>
      </c>
      <c r="N33" s="307" t="s">
        <v>140</v>
      </c>
      <c r="O33" s="436"/>
      <c r="P33" s="446">
        <v>0.15</v>
      </c>
      <c r="Q33" s="202">
        <f t="shared" ref="Q33:Q39" si="3">$O$32*P33</f>
        <v>17374.038</v>
      </c>
      <c r="R33" s="726"/>
      <c r="S33" s="486" t="s">
        <v>360</v>
      </c>
      <c r="T33" s="622">
        <v>45961</v>
      </c>
      <c r="U33" s="636">
        <v>16168.484343285172</v>
      </c>
      <c r="V33" s="738"/>
      <c r="W33" s="644">
        <f>W116</f>
        <v>45967</v>
      </c>
      <c r="X33" s="729"/>
      <c r="Y33" s="585" t="s">
        <v>361</v>
      </c>
      <c r="Z33" s="473">
        <v>59410</v>
      </c>
      <c r="AA33" s="613" t="s">
        <v>357</v>
      </c>
      <c r="AB33" s="26" t="s">
        <v>362</v>
      </c>
      <c r="AC33" s="614"/>
      <c r="AD33" s="709"/>
      <c r="AE33" s="26">
        <v>0.11</v>
      </c>
      <c r="AF33" s="609">
        <v>28490</v>
      </c>
    </row>
    <row r="34" spans="1:32" ht="14.25" customHeight="1">
      <c r="B34" s="222">
        <v>4</v>
      </c>
      <c r="C34" s="307"/>
      <c r="D34" s="307"/>
      <c r="E34" s="293"/>
      <c r="F34" s="349"/>
      <c r="G34" s="202"/>
      <c r="H34" s="521"/>
      <c r="I34" s="729"/>
      <c r="J34" s="732"/>
      <c r="K34" s="203"/>
      <c r="L34" s="200">
        <v>4</v>
      </c>
      <c r="M34" s="323" t="s">
        <v>338</v>
      </c>
      <c r="N34" s="307" t="s">
        <v>363</v>
      </c>
      <c r="O34" s="436"/>
      <c r="P34" s="446">
        <v>0.2</v>
      </c>
      <c r="Q34" s="202">
        <f t="shared" si="3"/>
        <v>23165.384000000002</v>
      </c>
      <c r="R34" s="726"/>
      <c r="S34" s="486" t="s">
        <v>364</v>
      </c>
      <c r="T34" s="521">
        <f>T117</f>
        <v>46022</v>
      </c>
      <c r="U34" s="636">
        <v>21557.979124380232</v>
      </c>
      <c r="V34" s="738"/>
      <c r="W34" s="644">
        <f>W117</f>
        <v>46003</v>
      </c>
      <c r="X34" s="729"/>
      <c r="Y34" s="585" t="s">
        <v>365</v>
      </c>
      <c r="Z34" s="473">
        <v>90051.25</v>
      </c>
      <c r="AB34" s="26" t="s">
        <v>366</v>
      </c>
      <c r="AC34" s="614"/>
      <c r="AF34" s="506">
        <v>77601.25</v>
      </c>
    </row>
    <row r="35" spans="1:32" ht="14.25" customHeight="1">
      <c r="B35" s="222">
        <v>4</v>
      </c>
      <c r="C35" s="307"/>
      <c r="D35" s="307"/>
      <c r="E35" s="293"/>
      <c r="F35" s="349"/>
      <c r="G35" s="202"/>
      <c r="H35" s="521"/>
      <c r="I35" s="729"/>
      <c r="J35" s="732"/>
      <c r="K35" s="203"/>
      <c r="L35" s="200">
        <v>4</v>
      </c>
      <c r="M35" s="323" t="s">
        <v>338</v>
      </c>
      <c r="N35" s="307" t="s">
        <v>367</v>
      </c>
      <c r="O35" s="436"/>
      <c r="P35" s="446">
        <v>0.25</v>
      </c>
      <c r="Q35" s="202">
        <f t="shared" si="3"/>
        <v>28956.73</v>
      </c>
      <c r="R35" s="726"/>
      <c r="S35" s="486" t="s">
        <v>368</v>
      </c>
      <c r="T35" s="521">
        <f>T118</f>
        <v>46022</v>
      </c>
      <c r="U35" s="636">
        <v>26947.473905475286</v>
      </c>
      <c r="V35" s="738"/>
      <c r="W35" s="644">
        <f>W118</f>
        <v>46003</v>
      </c>
      <c r="X35" s="729"/>
      <c r="Y35" s="585" t="s">
        <v>85</v>
      </c>
      <c r="Z35" s="473">
        <f t="shared" ref="Z35" si="4">Z20*0.85</f>
        <v>0</v>
      </c>
      <c r="AC35" s="614"/>
    </row>
    <row r="36" spans="1:32" ht="14.25" customHeight="1">
      <c r="B36" s="222">
        <v>4</v>
      </c>
      <c r="C36" s="307"/>
      <c r="D36" s="307"/>
      <c r="E36" s="293"/>
      <c r="F36" s="349"/>
      <c r="G36" s="202"/>
      <c r="H36" s="521"/>
      <c r="I36" s="729"/>
      <c r="J36" s="732"/>
      <c r="K36" s="203"/>
      <c r="L36" s="200">
        <v>4</v>
      </c>
      <c r="M36" s="323" t="s">
        <v>338</v>
      </c>
      <c r="N36" s="307" t="s">
        <v>369</v>
      </c>
      <c r="O36" s="436"/>
      <c r="P36" s="446">
        <v>0.1</v>
      </c>
      <c r="Q36" s="202">
        <f t="shared" si="3"/>
        <v>11582.692000000001</v>
      </c>
      <c r="R36" s="726"/>
      <c r="S36" s="486" t="s">
        <v>370</v>
      </c>
      <c r="T36" s="521">
        <f t="shared" ref="T36:T39" si="5">T119</f>
        <v>46022</v>
      </c>
      <c r="U36" s="636">
        <v>10778.989562190116</v>
      </c>
      <c r="V36" s="738"/>
      <c r="W36" s="644">
        <f t="shared" ref="W36:W39" si="6">W119</f>
        <v>46003</v>
      </c>
      <c r="X36" s="729"/>
      <c r="Y36" s="585" t="s">
        <v>329</v>
      </c>
      <c r="Z36" s="473">
        <v>0</v>
      </c>
      <c r="AC36" s="614"/>
    </row>
    <row r="37" spans="1:32" ht="14.25" customHeight="1">
      <c r="B37" s="222">
        <v>4</v>
      </c>
      <c r="C37" s="307"/>
      <c r="D37" s="307"/>
      <c r="E37" s="293"/>
      <c r="F37" s="349"/>
      <c r="G37" s="202"/>
      <c r="H37" s="521"/>
      <c r="I37" s="729"/>
      <c r="J37" s="732"/>
      <c r="K37" s="203"/>
      <c r="L37" s="200">
        <v>4</v>
      </c>
      <c r="M37" s="323" t="s">
        <v>338</v>
      </c>
      <c r="N37" s="307" t="s">
        <v>371</v>
      </c>
      <c r="O37" s="436"/>
      <c r="P37" s="446">
        <v>0.1</v>
      </c>
      <c r="Q37" s="202">
        <f t="shared" si="3"/>
        <v>11582.692000000001</v>
      </c>
      <c r="R37" s="726"/>
      <c r="S37" s="486" t="str">
        <f>S120</f>
        <v>The Greenway INV0001564</v>
      </c>
      <c r="T37" s="521">
        <f t="shared" si="5"/>
        <v>46022</v>
      </c>
      <c r="U37" s="636">
        <v>10778.989562190116</v>
      </c>
      <c r="V37" s="738"/>
      <c r="W37" s="644">
        <f t="shared" si="6"/>
        <v>46015</v>
      </c>
      <c r="X37" s="729"/>
      <c r="Y37" s="585" t="s">
        <v>329</v>
      </c>
      <c r="Z37" s="474">
        <v>0</v>
      </c>
      <c r="AC37" s="614"/>
    </row>
    <row r="38" spans="1:32" ht="14.25" customHeight="1">
      <c r="B38" s="222">
        <v>4</v>
      </c>
      <c r="C38" s="307"/>
      <c r="D38" s="307"/>
      <c r="E38" s="293"/>
      <c r="F38" s="349"/>
      <c r="G38" s="202"/>
      <c r="H38" s="521"/>
      <c r="I38" s="729"/>
      <c r="J38" s="732"/>
      <c r="K38" s="203"/>
      <c r="L38" s="200">
        <v>4</v>
      </c>
      <c r="M38" s="323" t="s">
        <v>338</v>
      </c>
      <c r="N38" s="307" t="s">
        <v>372</v>
      </c>
      <c r="O38" s="436"/>
      <c r="P38" s="446">
        <v>0.05</v>
      </c>
      <c r="Q38" s="202">
        <f t="shared" si="3"/>
        <v>5791.3460000000005</v>
      </c>
      <c r="R38" s="726"/>
      <c r="S38" s="486" t="s">
        <v>373</v>
      </c>
      <c r="T38" s="521">
        <f t="shared" si="5"/>
        <v>46022</v>
      </c>
      <c r="U38" s="636">
        <v>5389.494781095058</v>
      </c>
      <c r="V38" s="738"/>
      <c r="W38" s="644">
        <v>46051</v>
      </c>
      <c r="X38" s="729"/>
      <c r="Y38" s="585" t="s">
        <v>277</v>
      </c>
      <c r="Z38" s="473">
        <f>SUM(Z27:Z37)</f>
        <v>1179136.77</v>
      </c>
      <c r="AB38" s="473">
        <f>SUM(Z31:Z37)+SUM(Z27:Z28)+SUM(AB29:AB30)</f>
        <v>1044562.6699999999</v>
      </c>
      <c r="AC38" s="615">
        <f>Z38-AB38</f>
        <v>134574.10000000009</v>
      </c>
      <c r="AF38" s="506">
        <f>SUM(AF27:AF34)</f>
        <v>1015121.3799999999</v>
      </c>
    </row>
    <row r="39" spans="1:32" ht="14.25" customHeight="1">
      <c r="B39" s="222">
        <v>4</v>
      </c>
      <c r="C39" s="307"/>
      <c r="D39" s="307"/>
      <c r="E39" s="293"/>
      <c r="F39" s="349"/>
      <c r="G39" s="202"/>
      <c r="H39" s="521"/>
      <c r="I39" s="729"/>
      <c r="J39" s="732"/>
      <c r="K39" s="203"/>
      <c r="L39" s="200">
        <v>4</v>
      </c>
      <c r="M39" s="323" t="s">
        <v>338</v>
      </c>
      <c r="N39" s="307" t="s">
        <v>374</v>
      </c>
      <c r="O39" s="436"/>
      <c r="P39" s="446">
        <v>0.05</v>
      </c>
      <c r="Q39" s="202">
        <f t="shared" si="3"/>
        <v>5791.3460000000005</v>
      </c>
      <c r="R39" s="727"/>
      <c r="S39" s="486"/>
      <c r="T39" s="414">
        <f t="shared" si="5"/>
        <v>46081</v>
      </c>
      <c r="U39" s="399">
        <f>(Q39/$X$28*$J$28)-2055.98</f>
        <v>5389.4970872034428</v>
      </c>
      <c r="V39" s="738"/>
      <c r="W39" s="456">
        <f t="shared" si="6"/>
        <v>46081</v>
      </c>
      <c r="X39" s="729"/>
      <c r="Y39" s="586" t="s">
        <v>332</v>
      </c>
      <c r="Z39" s="474">
        <f>Z38/'Project Plan'!$E$3/1000</f>
        <v>4.7165470800000007</v>
      </c>
      <c r="AB39" s="474">
        <f>AB38/'Project Plan'!$E$3/1000</f>
        <v>4.1782506799999997</v>
      </c>
      <c r="AC39" s="614"/>
      <c r="AF39" s="474">
        <f>AF38/'Project Plan'!$E$3/1000</f>
        <v>4.0604855199999994</v>
      </c>
    </row>
    <row r="40" spans="1:32" ht="14.25" customHeight="1">
      <c r="B40" s="222">
        <v>4</v>
      </c>
      <c r="C40" s="307"/>
      <c r="D40" s="307"/>
      <c r="E40" s="293"/>
      <c r="F40" s="349"/>
      <c r="G40" s="202"/>
      <c r="H40" s="521"/>
      <c r="I40" s="729"/>
      <c r="J40" s="732"/>
      <c r="K40" s="203"/>
      <c r="L40" s="200">
        <v>4</v>
      </c>
      <c r="M40" s="323" t="s">
        <v>338</v>
      </c>
      <c r="N40" s="307"/>
      <c r="O40" s="436"/>
      <c r="P40" s="349"/>
      <c r="Q40" s="202"/>
      <c r="R40" s="649"/>
      <c r="S40" s="486"/>
      <c r="T40" s="414" t="str">
        <f t="shared" si="0"/>
        <v/>
      </c>
      <c r="U40" s="399">
        <f t="shared" ref="U40:U42" si="7">(Q40/$X$28*$J$28)</f>
        <v>0</v>
      </c>
      <c r="V40" s="738"/>
      <c r="W40" s="456"/>
      <c r="X40" s="729"/>
    </row>
    <row r="41" spans="1:32" ht="14.25" customHeight="1">
      <c r="B41" s="222">
        <v>4</v>
      </c>
      <c r="C41" s="307"/>
      <c r="D41" s="307"/>
      <c r="E41" s="293"/>
      <c r="F41" s="349"/>
      <c r="G41" s="202"/>
      <c r="H41" s="521"/>
      <c r="I41" s="729"/>
      <c r="J41" s="732"/>
      <c r="K41" s="203"/>
      <c r="L41" s="200">
        <v>4</v>
      </c>
      <c r="M41" s="323" t="s">
        <v>338</v>
      </c>
      <c r="N41" s="307"/>
      <c r="O41" s="436"/>
      <c r="P41" s="349"/>
      <c r="Q41" s="202"/>
      <c r="R41" s="649"/>
      <c r="S41" s="486"/>
      <c r="T41" s="414" t="str">
        <f t="shared" si="0"/>
        <v/>
      </c>
      <c r="U41" s="399">
        <f t="shared" si="7"/>
        <v>0</v>
      </c>
      <c r="V41" s="738"/>
      <c r="W41" s="456"/>
      <c r="X41" s="729"/>
      <c r="Z41" s="610">
        <f>Z38/'Project Plan'!K3</f>
        <v>218358.66111111111</v>
      </c>
      <c r="AA41" s="610">
        <f>SUM(AA29:AA30)/6</f>
        <v>0.30638273333333332</v>
      </c>
    </row>
    <row r="42" spans="1:32" ht="15" customHeight="1" thickBot="1">
      <c r="B42" s="204">
        <v>4</v>
      </c>
      <c r="C42" s="227"/>
      <c r="D42" s="227"/>
      <c r="E42" s="296"/>
      <c r="F42" s="351"/>
      <c r="G42" s="207"/>
      <c r="H42" s="531"/>
      <c r="I42" s="730"/>
      <c r="J42" s="733"/>
      <c r="K42" s="208"/>
      <c r="L42" s="204">
        <v>4</v>
      </c>
      <c r="M42" s="324" t="s">
        <v>338</v>
      </c>
      <c r="N42" s="227"/>
      <c r="O42" s="437"/>
      <c r="P42" s="351"/>
      <c r="Q42" s="207"/>
      <c r="R42" s="650"/>
      <c r="S42" s="487"/>
      <c r="T42" s="415" t="str">
        <f t="shared" si="0"/>
        <v/>
      </c>
      <c r="U42" s="400">
        <f t="shared" si="7"/>
        <v>0</v>
      </c>
      <c r="V42" s="739"/>
      <c r="W42" s="457"/>
      <c r="X42" s="730"/>
      <c r="Z42" s="610">
        <f>SUM(Z29:Z30)/'Project Plan'!K3</f>
        <v>85106.314814814803</v>
      </c>
    </row>
    <row r="43" spans="1:32" ht="13.9" thickBot="1">
      <c r="A43" s="4"/>
      <c r="B43" s="178"/>
      <c r="C43" s="179"/>
      <c r="D43" s="210"/>
      <c r="E43" s="193"/>
      <c r="F43" s="352"/>
      <c r="G43" s="194"/>
      <c r="H43" s="532"/>
      <c r="I43" s="523"/>
      <c r="J43" s="182"/>
      <c r="K43" s="4"/>
      <c r="L43" s="178"/>
      <c r="M43" s="179"/>
      <c r="N43" s="210"/>
      <c r="O43" s="434"/>
      <c r="P43" s="352"/>
      <c r="Q43" s="194"/>
      <c r="R43" s="651"/>
      <c r="S43" s="489"/>
      <c r="T43" s="412" t="str">
        <f t="shared" si="0"/>
        <v/>
      </c>
      <c r="U43" s="403"/>
      <c r="V43" s="386"/>
      <c r="W43" s="454"/>
      <c r="X43" s="523"/>
    </row>
    <row r="44" spans="1:32" ht="14.25" customHeight="1">
      <c r="B44" s="183">
        <v>5</v>
      </c>
      <c r="C44" s="211" t="s">
        <v>375</v>
      </c>
      <c r="D44" s="229" t="s">
        <v>376</v>
      </c>
      <c r="E44" s="185"/>
      <c r="F44" s="334"/>
      <c r="G44" s="186">
        <f>D192-G45</f>
        <v>133000</v>
      </c>
      <c r="H44" s="519">
        <f>H13</f>
        <v>46018</v>
      </c>
      <c r="I44" s="716">
        <f>SUM(G44:G51)</f>
        <v>148000</v>
      </c>
      <c r="J44" s="719">
        <f>F192</f>
        <v>168182</v>
      </c>
      <c r="K44" s="187"/>
      <c r="L44" s="183">
        <v>5</v>
      </c>
      <c r="M44" s="319" t="s">
        <v>377</v>
      </c>
      <c r="N44" s="229" t="s">
        <v>378</v>
      </c>
      <c r="O44" s="430"/>
      <c r="P44" s="334"/>
      <c r="Q44" s="186">
        <v>8598.34</v>
      </c>
      <c r="R44" s="466"/>
      <c r="S44" s="488" t="s">
        <v>308</v>
      </c>
      <c r="T44" s="519">
        <f>T13</f>
        <v>45961</v>
      </c>
      <c r="U44" s="639">
        <v>9890.2129776497222</v>
      </c>
      <c r="V44" s="734">
        <f>J44-SUM(U44:U51)</f>
        <v>2.8336118557490408E-3</v>
      </c>
      <c r="W44" s="685">
        <f>W13</f>
        <v>46019</v>
      </c>
      <c r="X44" s="716">
        <f>SUM(Q44:Q51)</f>
        <v>105182.45</v>
      </c>
    </row>
    <row r="45" spans="1:32" ht="14.25" customHeight="1">
      <c r="B45" s="188">
        <v>5</v>
      </c>
      <c r="C45" s="212"/>
      <c r="D45" s="215" t="s">
        <v>379</v>
      </c>
      <c r="E45" s="347"/>
      <c r="F45" s="348"/>
      <c r="G45" s="217">
        <v>15000</v>
      </c>
      <c r="H45" s="518">
        <f>H44</f>
        <v>46018</v>
      </c>
      <c r="I45" s="717"/>
      <c r="J45" s="720"/>
      <c r="K45" s="190"/>
      <c r="L45" s="188">
        <v>5</v>
      </c>
      <c r="M45" s="325" t="s">
        <v>377</v>
      </c>
      <c r="N45" s="189" t="s">
        <v>380</v>
      </c>
      <c r="O45" s="438"/>
      <c r="P45" s="348"/>
      <c r="Q45" s="217">
        <v>14118</v>
      </c>
      <c r="R45" s="606" t="s">
        <v>381</v>
      </c>
      <c r="S45" s="481" t="s">
        <v>382</v>
      </c>
      <c r="T45" s="604">
        <v>45991</v>
      </c>
      <c r="U45" s="639">
        <v>25155.72876205184</v>
      </c>
      <c r="V45" s="735"/>
      <c r="W45" s="624">
        <v>46029</v>
      </c>
      <c r="X45" s="717"/>
    </row>
    <row r="46" spans="1:32" ht="14.25" customHeight="1">
      <c r="B46" s="188">
        <v>5</v>
      </c>
      <c r="C46" s="212"/>
      <c r="D46" s="215"/>
      <c r="E46" s="216"/>
      <c r="F46" s="355"/>
      <c r="G46" s="217"/>
      <c r="H46" s="518"/>
      <c r="I46" s="717"/>
      <c r="J46" s="720"/>
      <c r="K46" s="190"/>
      <c r="L46" s="188">
        <v>5</v>
      </c>
      <c r="M46" s="325" t="s">
        <v>377</v>
      </c>
      <c r="N46" s="215" t="s">
        <v>219</v>
      </c>
      <c r="O46" s="431"/>
      <c r="P46" s="355"/>
      <c r="Q46" s="217">
        <v>11169</v>
      </c>
      <c r="R46" s="606"/>
      <c r="S46" s="481" t="s">
        <v>383</v>
      </c>
      <c r="T46" s="604">
        <v>46053</v>
      </c>
      <c r="U46" s="639">
        <v>23141.457934175331</v>
      </c>
      <c r="V46" s="735"/>
      <c r="W46" s="624">
        <v>46051</v>
      </c>
      <c r="X46" s="717"/>
    </row>
    <row r="47" spans="1:32" ht="14.25" customHeight="1">
      <c r="B47" s="188"/>
      <c r="C47" s="212"/>
      <c r="D47" s="215"/>
      <c r="E47" s="216"/>
      <c r="F47" s="355"/>
      <c r="G47" s="217"/>
      <c r="H47" s="518"/>
      <c r="I47" s="717"/>
      <c r="J47" s="720"/>
      <c r="K47" s="190"/>
      <c r="L47" s="188">
        <v>5</v>
      </c>
      <c r="M47" s="325" t="s">
        <v>377</v>
      </c>
      <c r="N47" s="215" t="s">
        <v>384</v>
      </c>
      <c r="O47" s="431"/>
      <c r="P47" s="355"/>
      <c r="Q47" s="217">
        <v>307.94</v>
      </c>
      <c r="R47" s="606"/>
      <c r="S47" s="481" t="s">
        <v>385</v>
      </c>
      <c r="T47" s="604">
        <v>45991</v>
      </c>
      <c r="U47" s="639">
        <v>475.07867221888677</v>
      </c>
      <c r="V47" s="735"/>
      <c r="W47" s="624">
        <v>46021</v>
      </c>
      <c r="X47" s="717"/>
    </row>
    <row r="48" spans="1:32" ht="14.25" customHeight="1">
      <c r="B48" s="213">
        <v>5</v>
      </c>
      <c r="C48" s="214"/>
      <c r="D48" s="215"/>
      <c r="E48" s="216"/>
      <c r="F48" s="355"/>
      <c r="G48" s="217"/>
      <c r="H48" s="518"/>
      <c r="I48" s="717"/>
      <c r="J48" s="720"/>
      <c r="K48" s="190"/>
      <c r="L48" s="213">
        <v>5</v>
      </c>
      <c r="M48" s="325" t="s">
        <v>377</v>
      </c>
      <c r="N48" s="215" t="s">
        <v>386</v>
      </c>
      <c r="O48" s="431"/>
      <c r="P48" s="355"/>
      <c r="Q48" s="217">
        <v>70989.17</v>
      </c>
      <c r="R48" s="606" t="s">
        <v>387</v>
      </c>
      <c r="S48" s="481" t="s">
        <v>388</v>
      </c>
      <c r="T48" s="604">
        <v>45991</v>
      </c>
      <c r="U48" s="639">
        <v>109519.51882029236</v>
      </c>
      <c r="V48" s="735"/>
      <c r="W48" s="624">
        <v>45979</v>
      </c>
      <c r="X48" s="717"/>
    </row>
    <row r="49" spans="1:24" ht="14.25" customHeight="1">
      <c r="B49" s="282">
        <v>5</v>
      </c>
      <c r="C49" s="283"/>
      <c r="D49" s="286"/>
      <c r="E49" s="305"/>
      <c r="F49" s="341"/>
      <c r="G49" s="285"/>
      <c r="H49" s="527"/>
      <c r="I49" s="717"/>
      <c r="J49" s="720"/>
      <c r="K49" s="190"/>
      <c r="L49" s="213">
        <v>5</v>
      </c>
      <c r="M49" s="325" t="s">
        <v>377</v>
      </c>
      <c r="N49" s="286"/>
      <c r="O49" s="432"/>
      <c r="P49" s="341"/>
      <c r="Q49" s="285"/>
      <c r="R49" s="645"/>
      <c r="S49" s="482"/>
      <c r="T49" s="410" t="str">
        <f t="shared" si="0"/>
        <v/>
      </c>
      <c r="U49" s="394">
        <f t="shared" ref="U49:U51" si="8">(Q49/$X$44*$J$44)</f>
        <v>0</v>
      </c>
      <c r="V49" s="735"/>
      <c r="W49" s="452"/>
      <c r="X49" s="717"/>
    </row>
    <row r="50" spans="1:24" ht="14.25" customHeight="1">
      <c r="B50" s="282">
        <v>5</v>
      </c>
      <c r="C50" s="283"/>
      <c r="D50" s="286"/>
      <c r="E50" s="305"/>
      <c r="F50" s="341"/>
      <c r="G50" s="285"/>
      <c r="H50" s="527"/>
      <c r="I50" s="717"/>
      <c r="J50" s="720"/>
      <c r="K50" s="190"/>
      <c r="L50" s="213">
        <v>5</v>
      </c>
      <c r="M50" s="325" t="s">
        <v>377</v>
      </c>
      <c r="N50" s="286"/>
      <c r="O50" s="432"/>
      <c r="P50" s="341"/>
      <c r="Q50" s="285"/>
      <c r="R50" s="645"/>
      <c r="S50" s="482"/>
      <c r="T50" s="410" t="str">
        <f t="shared" si="0"/>
        <v/>
      </c>
      <c r="U50" s="395">
        <f t="shared" si="8"/>
        <v>0</v>
      </c>
      <c r="V50" s="735"/>
      <c r="W50" s="452"/>
      <c r="X50" s="717"/>
    </row>
    <row r="51" spans="1:24" ht="15" customHeight="1" thickBot="1">
      <c r="B51" s="218">
        <v>5</v>
      </c>
      <c r="C51" s="239"/>
      <c r="D51" s="219"/>
      <c r="E51" s="220"/>
      <c r="F51" s="356"/>
      <c r="G51" s="232"/>
      <c r="H51" s="528"/>
      <c r="I51" s="718"/>
      <c r="J51" s="721"/>
      <c r="K51" s="191"/>
      <c r="L51" s="218">
        <v>5</v>
      </c>
      <c r="M51" s="321" t="s">
        <v>377</v>
      </c>
      <c r="N51" s="219"/>
      <c r="O51" s="433"/>
      <c r="P51" s="356"/>
      <c r="Q51" s="232"/>
      <c r="R51" s="646"/>
      <c r="S51" s="483"/>
      <c r="T51" s="411" t="str">
        <f t="shared" si="0"/>
        <v/>
      </c>
      <c r="U51" s="396">
        <f t="shared" si="8"/>
        <v>0</v>
      </c>
      <c r="V51" s="736"/>
      <c r="W51" s="453"/>
      <c r="X51" s="718"/>
    </row>
    <row r="52" spans="1:24" ht="14.25" thickBot="1">
      <c r="A52" s="4"/>
      <c r="B52" s="192"/>
      <c r="C52" s="209"/>
      <c r="D52" s="180"/>
      <c r="E52" s="193"/>
      <c r="F52" s="352"/>
      <c r="G52" s="194"/>
      <c r="H52" s="529"/>
      <c r="I52" s="524"/>
      <c r="J52" s="228"/>
      <c r="K52" s="4"/>
      <c r="L52" s="192"/>
      <c r="M52" s="209"/>
      <c r="N52" s="180"/>
      <c r="O52" s="434"/>
      <c r="P52" s="352"/>
      <c r="Q52" s="194"/>
      <c r="R52" s="647"/>
      <c r="S52" s="484"/>
      <c r="T52" s="412" t="str">
        <f t="shared" si="0"/>
        <v/>
      </c>
      <c r="U52" s="401"/>
      <c r="V52" s="383"/>
      <c r="W52" s="454"/>
      <c r="X52" s="524"/>
    </row>
    <row r="53" spans="1:24" ht="14.25" customHeight="1">
      <c r="B53" s="195">
        <v>6</v>
      </c>
      <c r="C53" s="196" t="s">
        <v>312</v>
      </c>
      <c r="D53" s="197" t="s">
        <v>389</v>
      </c>
      <c r="E53" s="371"/>
      <c r="F53" s="353"/>
      <c r="G53" s="198">
        <f>D191</f>
        <v>278660.59999999998</v>
      </c>
      <c r="H53" s="530">
        <f>'Project Plan'!G25+30</f>
        <v>46005</v>
      </c>
      <c r="I53" s="728">
        <f>SUM(G53:G69)</f>
        <v>278660.59999999998</v>
      </c>
      <c r="J53" s="731">
        <f>F191</f>
        <v>316660</v>
      </c>
      <c r="K53" s="199"/>
      <c r="L53" s="195">
        <v>6</v>
      </c>
      <c r="M53" s="328" t="s">
        <v>390</v>
      </c>
      <c r="N53" s="197"/>
      <c r="O53" s="426"/>
      <c r="P53" s="353"/>
      <c r="Q53" s="198"/>
      <c r="R53" s="648"/>
      <c r="S53" s="485"/>
      <c r="T53" s="413" t="str">
        <f t="shared" si="0"/>
        <v/>
      </c>
      <c r="U53" s="398">
        <f t="shared" ref="U53:U69" si="9">(Q53/$X$53*$J$53)</f>
        <v>0</v>
      </c>
      <c r="V53" s="737">
        <f>J53-SUM(U53:U69)</f>
        <v>0</v>
      </c>
      <c r="W53" s="455"/>
      <c r="X53" s="728">
        <f>SUM(Q53:Q69)</f>
        <v>389809.96</v>
      </c>
    </row>
    <row r="54" spans="1:24" ht="14.25" customHeight="1">
      <c r="B54" s="200">
        <v>6</v>
      </c>
      <c r="C54" s="307"/>
      <c r="D54" s="340"/>
      <c r="E54" s="293"/>
      <c r="F54" s="349"/>
      <c r="G54" s="223"/>
      <c r="H54" s="521"/>
      <c r="I54" s="729"/>
      <c r="J54" s="732"/>
      <c r="K54" s="203"/>
      <c r="L54" s="200">
        <v>6</v>
      </c>
      <c r="M54" s="326" t="s">
        <v>390</v>
      </c>
      <c r="N54" s="340" t="s">
        <v>213</v>
      </c>
      <c r="O54" s="436"/>
      <c r="P54" s="349"/>
      <c r="Q54" s="223">
        <v>0</v>
      </c>
      <c r="R54" s="649"/>
      <c r="S54" s="486"/>
      <c r="T54" s="414"/>
      <c r="U54" s="399">
        <f t="shared" si="9"/>
        <v>0</v>
      </c>
      <c r="V54" s="738"/>
      <c r="W54" s="456"/>
      <c r="X54" s="729"/>
    </row>
    <row r="55" spans="1:24" ht="14.25" customHeight="1">
      <c r="B55" s="200">
        <v>6</v>
      </c>
      <c r="C55" s="307"/>
      <c r="D55" s="340"/>
      <c r="E55" s="293"/>
      <c r="F55" s="349"/>
      <c r="G55" s="223"/>
      <c r="H55" s="521"/>
      <c r="I55" s="729"/>
      <c r="J55" s="732"/>
      <c r="K55" s="203"/>
      <c r="L55" s="200">
        <v>6</v>
      </c>
      <c r="M55" s="326" t="s">
        <v>390</v>
      </c>
      <c r="N55" s="340"/>
      <c r="O55" s="436"/>
      <c r="P55" s="349"/>
      <c r="Q55" s="223"/>
      <c r="R55" s="649"/>
      <c r="S55" s="486"/>
      <c r="T55" s="414" t="str">
        <f t="shared" si="0"/>
        <v/>
      </c>
      <c r="U55" s="399">
        <f t="shared" si="9"/>
        <v>0</v>
      </c>
      <c r="V55" s="738"/>
      <c r="W55" s="456"/>
      <c r="X55" s="729"/>
    </row>
    <row r="56" spans="1:24" ht="14.25" customHeight="1">
      <c r="B56" s="200">
        <v>6</v>
      </c>
      <c r="C56" s="307"/>
      <c r="D56" s="340"/>
      <c r="E56" s="293"/>
      <c r="F56" s="349"/>
      <c r="G56" s="223"/>
      <c r="H56" s="521"/>
      <c r="I56" s="729"/>
      <c r="J56" s="732"/>
      <c r="K56" s="203"/>
      <c r="L56" s="200">
        <v>6</v>
      </c>
      <c r="M56" s="326" t="s">
        <v>390</v>
      </c>
      <c r="N56" s="340"/>
      <c r="O56" s="436"/>
      <c r="P56" s="349"/>
      <c r="Q56" s="223"/>
      <c r="R56" s="649"/>
      <c r="S56" s="486"/>
      <c r="T56" s="414" t="str">
        <f t="shared" si="0"/>
        <v/>
      </c>
      <c r="U56" s="399">
        <f t="shared" si="9"/>
        <v>0</v>
      </c>
      <c r="V56" s="738"/>
      <c r="W56" s="456"/>
      <c r="X56" s="729"/>
    </row>
    <row r="57" spans="1:24" ht="14.25" customHeight="1">
      <c r="B57" s="200">
        <v>6</v>
      </c>
      <c r="C57" s="307"/>
      <c r="D57" s="340"/>
      <c r="E57" s="293"/>
      <c r="F57" s="349"/>
      <c r="G57" s="223"/>
      <c r="H57" s="521"/>
      <c r="I57" s="729"/>
      <c r="J57" s="732"/>
      <c r="K57" s="203"/>
      <c r="L57" s="200">
        <v>6</v>
      </c>
      <c r="M57" s="326" t="s">
        <v>390</v>
      </c>
      <c r="N57" s="340"/>
      <c r="O57" s="436"/>
      <c r="P57" s="349"/>
      <c r="Q57" s="223"/>
      <c r="R57" s="649"/>
      <c r="S57" s="486"/>
      <c r="T57" s="414" t="str">
        <f t="shared" si="0"/>
        <v/>
      </c>
      <c r="U57" s="399">
        <f t="shared" si="9"/>
        <v>0</v>
      </c>
      <c r="V57" s="738"/>
      <c r="W57" s="456"/>
      <c r="X57" s="729"/>
    </row>
    <row r="58" spans="1:24" ht="14.25" customHeight="1">
      <c r="B58" s="200">
        <v>6</v>
      </c>
      <c r="C58" s="307"/>
      <c r="D58" s="340"/>
      <c r="E58" s="293"/>
      <c r="F58" s="349"/>
      <c r="G58" s="223"/>
      <c r="H58" s="521"/>
      <c r="I58" s="729"/>
      <c r="J58" s="732"/>
      <c r="K58" s="203"/>
      <c r="L58" s="200">
        <v>6</v>
      </c>
      <c r="M58" s="326" t="s">
        <v>390</v>
      </c>
      <c r="N58" s="340"/>
      <c r="O58" s="436"/>
      <c r="P58" s="349"/>
      <c r="Q58" s="223"/>
      <c r="R58" s="649"/>
      <c r="S58" s="486"/>
      <c r="T58" s="414" t="str">
        <f t="shared" si="0"/>
        <v/>
      </c>
      <c r="U58" s="399">
        <f t="shared" si="9"/>
        <v>0</v>
      </c>
      <c r="V58" s="738"/>
      <c r="W58" s="456"/>
      <c r="X58" s="729"/>
    </row>
    <row r="59" spans="1:24" ht="14.25" customHeight="1">
      <c r="B59" s="200">
        <v>6</v>
      </c>
      <c r="C59" s="346"/>
      <c r="D59" s="201"/>
      <c r="E59" s="298"/>
      <c r="F59" s="350"/>
      <c r="G59" s="223"/>
      <c r="H59" s="521"/>
      <c r="I59" s="729"/>
      <c r="J59" s="732"/>
      <c r="K59" s="203"/>
      <c r="L59" s="200">
        <v>6</v>
      </c>
      <c r="M59" s="326" t="s">
        <v>390</v>
      </c>
      <c r="N59" s="307" t="s">
        <v>354</v>
      </c>
      <c r="O59" s="445">
        <f>AF27</f>
        <v>389809.96</v>
      </c>
      <c r="P59" s="446">
        <v>0.1</v>
      </c>
      <c r="Q59" s="202">
        <f t="shared" ref="Q59:Q66" si="10">$O$59*P59</f>
        <v>38980.996000000006</v>
      </c>
      <c r="R59" s="725" t="s">
        <v>355</v>
      </c>
      <c r="S59" s="486" t="str">
        <f>S115</f>
        <v>The Greenway INV0001528</v>
      </c>
      <c r="T59" s="623">
        <f>T115</f>
        <v>45961</v>
      </c>
      <c r="U59" s="636">
        <v>31666</v>
      </c>
      <c r="V59" s="738"/>
      <c r="W59" s="625">
        <f>W115</f>
        <v>45960</v>
      </c>
      <c r="X59" s="729"/>
    </row>
    <row r="60" spans="1:24" ht="14.25" customHeight="1">
      <c r="B60" s="200">
        <v>6</v>
      </c>
      <c r="C60" s="299"/>
      <c r="D60" s="201"/>
      <c r="E60" s="298"/>
      <c r="F60" s="350"/>
      <c r="G60" s="223"/>
      <c r="H60" s="521"/>
      <c r="I60" s="729"/>
      <c r="J60" s="732"/>
      <c r="K60" s="203"/>
      <c r="L60" s="200">
        <v>6</v>
      </c>
      <c r="M60" s="327" t="s">
        <v>390</v>
      </c>
      <c r="N60" s="307" t="s">
        <v>140</v>
      </c>
      <c r="O60" s="436"/>
      <c r="P60" s="446">
        <v>0.15</v>
      </c>
      <c r="Q60" s="202">
        <f t="shared" si="10"/>
        <v>58471.493999999999</v>
      </c>
      <c r="R60" s="726"/>
      <c r="S60" s="486" t="s">
        <v>360</v>
      </c>
      <c r="T60" s="629">
        <v>45961</v>
      </c>
      <c r="U60" s="636">
        <v>47499</v>
      </c>
      <c r="V60" s="738"/>
      <c r="W60" s="644">
        <f t="shared" ref="W60:W66" si="11">W116</f>
        <v>45967</v>
      </c>
      <c r="X60" s="729"/>
    </row>
    <row r="61" spans="1:24" ht="14.25" customHeight="1">
      <c r="B61" s="200">
        <v>6</v>
      </c>
      <c r="C61" s="299"/>
      <c r="D61" s="201"/>
      <c r="E61" s="298"/>
      <c r="F61" s="350"/>
      <c r="G61" s="223"/>
      <c r="H61" s="521"/>
      <c r="I61" s="729"/>
      <c r="J61" s="732"/>
      <c r="K61" s="203"/>
      <c r="L61" s="200">
        <v>6</v>
      </c>
      <c r="M61" s="327" t="s">
        <v>390</v>
      </c>
      <c r="N61" s="307" t="s">
        <v>363</v>
      </c>
      <c r="O61" s="436"/>
      <c r="P61" s="446">
        <v>0.2</v>
      </c>
      <c r="Q61" s="202">
        <f t="shared" si="10"/>
        <v>77961.992000000013</v>
      </c>
      <c r="R61" s="726"/>
      <c r="S61" s="486" t="s">
        <v>364</v>
      </c>
      <c r="T61" s="536">
        <f t="shared" ref="T61:T66" si="12">T117</f>
        <v>46022</v>
      </c>
      <c r="U61" s="636">
        <v>63332</v>
      </c>
      <c r="V61" s="738"/>
      <c r="W61" s="644">
        <f t="shared" si="11"/>
        <v>46003</v>
      </c>
      <c r="X61" s="729"/>
    </row>
    <row r="62" spans="1:24" ht="14.25" customHeight="1">
      <c r="B62" s="200">
        <v>6</v>
      </c>
      <c r="C62" s="299"/>
      <c r="D62" s="201"/>
      <c r="E62" s="298"/>
      <c r="F62" s="350"/>
      <c r="G62" s="223"/>
      <c r="H62" s="521"/>
      <c r="I62" s="729"/>
      <c r="J62" s="732"/>
      <c r="K62" s="203"/>
      <c r="L62" s="200">
        <v>6</v>
      </c>
      <c r="M62" s="327" t="s">
        <v>390</v>
      </c>
      <c r="N62" s="307" t="s">
        <v>367</v>
      </c>
      <c r="O62" s="436"/>
      <c r="P62" s="446">
        <v>0.25</v>
      </c>
      <c r="Q62" s="202">
        <f t="shared" si="10"/>
        <v>97452.49</v>
      </c>
      <c r="R62" s="726"/>
      <c r="S62" s="486" t="s">
        <v>368</v>
      </c>
      <c r="T62" s="536">
        <f t="shared" si="12"/>
        <v>46022</v>
      </c>
      <c r="U62" s="636">
        <v>79165</v>
      </c>
      <c r="V62" s="738"/>
      <c r="W62" s="644">
        <f t="shared" si="11"/>
        <v>46003</v>
      </c>
      <c r="X62" s="729"/>
    </row>
    <row r="63" spans="1:24" ht="14.25" customHeight="1">
      <c r="B63" s="200">
        <v>6</v>
      </c>
      <c r="C63" s="299"/>
      <c r="D63" s="201"/>
      <c r="E63" s="298"/>
      <c r="F63" s="350"/>
      <c r="G63" s="223"/>
      <c r="H63" s="521"/>
      <c r="I63" s="729"/>
      <c r="J63" s="732"/>
      <c r="K63" s="203"/>
      <c r="L63" s="200">
        <v>6</v>
      </c>
      <c r="M63" s="327" t="s">
        <v>390</v>
      </c>
      <c r="N63" s="307" t="s">
        <v>369</v>
      </c>
      <c r="O63" s="436"/>
      <c r="P63" s="446">
        <v>0.1</v>
      </c>
      <c r="Q63" s="202">
        <f t="shared" si="10"/>
        <v>38980.996000000006</v>
      </c>
      <c r="R63" s="726"/>
      <c r="S63" s="486" t="s">
        <v>370</v>
      </c>
      <c r="T63" s="536">
        <f t="shared" si="12"/>
        <v>46022</v>
      </c>
      <c r="U63" s="636">
        <v>31666</v>
      </c>
      <c r="V63" s="738"/>
      <c r="W63" s="644">
        <f t="shared" si="11"/>
        <v>46003</v>
      </c>
      <c r="X63" s="729"/>
    </row>
    <row r="64" spans="1:24" ht="14.25" customHeight="1">
      <c r="B64" s="200">
        <v>6</v>
      </c>
      <c r="C64" s="390"/>
      <c r="D64" s="237"/>
      <c r="E64" s="312"/>
      <c r="F64" s="357"/>
      <c r="G64" s="223"/>
      <c r="H64" s="521"/>
      <c r="I64" s="729"/>
      <c r="J64" s="732"/>
      <c r="K64" s="203"/>
      <c r="L64" s="200">
        <v>6</v>
      </c>
      <c r="M64" s="327" t="s">
        <v>390</v>
      </c>
      <c r="N64" s="307" t="s">
        <v>371</v>
      </c>
      <c r="O64" s="436"/>
      <c r="P64" s="446">
        <v>0.1</v>
      </c>
      <c r="Q64" s="202">
        <f t="shared" si="10"/>
        <v>38980.996000000006</v>
      </c>
      <c r="R64" s="726"/>
      <c r="S64" s="490" t="str">
        <f>S120</f>
        <v>The Greenway INV0001564</v>
      </c>
      <c r="T64" s="536">
        <f t="shared" si="12"/>
        <v>46022</v>
      </c>
      <c r="U64" s="699">
        <v>31666</v>
      </c>
      <c r="V64" s="738"/>
      <c r="W64" s="644">
        <f t="shared" si="11"/>
        <v>46015</v>
      </c>
      <c r="X64" s="729"/>
    </row>
    <row r="65" spans="1:24" ht="14.25" customHeight="1">
      <c r="B65" s="200">
        <v>6</v>
      </c>
      <c r="C65" s="390"/>
      <c r="D65" s="237"/>
      <c r="E65" s="312"/>
      <c r="F65" s="357"/>
      <c r="G65" s="223"/>
      <c r="H65" s="521"/>
      <c r="I65" s="729"/>
      <c r="J65" s="732"/>
      <c r="K65" s="203"/>
      <c r="L65" s="200">
        <v>6</v>
      </c>
      <c r="M65" s="327" t="s">
        <v>390</v>
      </c>
      <c r="N65" s="307" t="s">
        <v>372</v>
      </c>
      <c r="O65" s="436"/>
      <c r="P65" s="446">
        <v>0.05</v>
      </c>
      <c r="Q65" s="202">
        <f t="shared" si="10"/>
        <v>19490.498000000003</v>
      </c>
      <c r="R65" s="726"/>
      <c r="S65" s="490" t="s">
        <v>373</v>
      </c>
      <c r="T65" s="536">
        <f t="shared" si="12"/>
        <v>46022</v>
      </c>
      <c r="U65" s="699">
        <v>15833</v>
      </c>
      <c r="V65" s="738"/>
      <c r="W65" s="644">
        <v>46051</v>
      </c>
      <c r="X65" s="729"/>
    </row>
    <row r="66" spans="1:24" ht="14.25" customHeight="1">
      <c r="B66" s="200">
        <v>6</v>
      </c>
      <c r="C66" s="390"/>
      <c r="D66" s="237"/>
      <c r="E66" s="312"/>
      <c r="F66" s="357"/>
      <c r="G66" s="223"/>
      <c r="H66" s="521"/>
      <c r="I66" s="729"/>
      <c r="J66" s="732"/>
      <c r="K66" s="203"/>
      <c r="L66" s="200">
        <v>6</v>
      </c>
      <c r="M66" s="327" t="s">
        <v>390</v>
      </c>
      <c r="N66" s="307" t="s">
        <v>374</v>
      </c>
      <c r="O66" s="436"/>
      <c r="P66" s="446">
        <v>0.05</v>
      </c>
      <c r="Q66" s="202">
        <f t="shared" si="10"/>
        <v>19490.498000000003</v>
      </c>
      <c r="R66" s="727"/>
      <c r="S66" s="490"/>
      <c r="T66" s="417">
        <f t="shared" si="12"/>
        <v>46081</v>
      </c>
      <c r="U66" s="404">
        <f t="shared" si="9"/>
        <v>15833</v>
      </c>
      <c r="V66" s="738"/>
      <c r="W66" s="456">
        <f t="shared" si="11"/>
        <v>46081</v>
      </c>
      <c r="X66" s="729"/>
    </row>
    <row r="67" spans="1:24" ht="14.25" customHeight="1">
      <c r="B67" s="200">
        <v>6</v>
      </c>
      <c r="C67" s="390"/>
      <c r="D67" s="237"/>
      <c r="E67" s="312"/>
      <c r="F67" s="357"/>
      <c r="G67" s="223"/>
      <c r="H67" s="521"/>
      <c r="I67" s="729"/>
      <c r="J67" s="732"/>
      <c r="K67" s="203"/>
      <c r="L67" s="200">
        <v>6</v>
      </c>
      <c r="M67" s="327" t="s">
        <v>390</v>
      </c>
      <c r="N67" s="307"/>
      <c r="O67" s="436"/>
      <c r="P67" s="446"/>
      <c r="Q67" s="202"/>
      <c r="R67" s="652"/>
      <c r="S67" s="490"/>
      <c r="T67" s="417" t="str">
        <f t="shared" si="0"/>
        <v/>
      </c>
      <c r="U67" s="404">
        <f t="shared" si="9"/>
        <v>0</v>
      </c>
      <c r="V67" s="738"/>
      <c r="W67" s="459"/>
      <c r="X67" s="729"/>
    </row>
    <row r="68" spans="1:24" ht="14.25" customHeight="1">
      <c r="B68" s="200">
        <v>6</v>
      </c>
      <c r="C68" s="390"/>
      <c r="D68" s="237"/>
      <c r="E68" s="312"/>
      <c r="F68" s="357"/>
      <c r="G68" s="223"/>
      <c r="H68" s="521"/>
      <c r="I68" s="729"/>
      <c r="J68" s="732"/>
      <c r="K68" s="203"/>
      <c r="L68" s="200">
        <v>6</v>
      </c>
      <c r="M68" s="327" t="s">
        <v>390</v>
      </c>
      <c r="N68" s="307"/>
      <c r="O68" s="436"/>
      <c r="P68" s="446"/>
      <c r="Q68" s="202"/>
      <c r="R68" s="652"/>
      <c r="S68" s="490"/>
      <c r="T68" s="417" t="str">
        <f t="shared" si="0"/>
        <v/>
      </c>
      <c r="U68" s="404">
        <f t="shared" si="9"/>
        <v>0</v>
      </c>
      <c r="V68" s="738"/>
      <c r="W68" s="459"/>
      <c r="X68" s="729"/>
    </row>
    <row r="69" spans="1:24" ht="15" customHeight="1" thickBot="1">
      <c r="B69" s="204">
        <v>6</v>
      </c>
      <c r="C69" s="300"/>
      <c r="D69" s="206"/>
      <c r="E69" s="354"/>
      <c r="F69" s="351"/>
      <c r="G69" s="207"/>
      <c r="H69" s="531"/>
      <c r="I69" s="730"/>
      <c r="J69" s="733"/>
      <c r="K69" s="208"/>
      <c r="L69" s="204">
        <v>6</v>
      </c>
      <c r="M69" s="329" t="s">
        <v>390</v>
      </c>
      <c r="N69" s="206"/>
      <c r="O69" s="440"/>
      <c r="P69" s="351"/>
      <c r="Q69" s="207"/>
      <c r="R69" s="650"/>
      <c r="S69" s="487"/>
      <c r="T69" s="415" t="str">
        <f t="shared" si="0"/>
        <v/>
      </c>
      <c r="U69" s="400">
        <f t="shared" si="9"/>
        <v>0</v>
      </c>
      <c r="V69" s="739"/>
      <c r="W69" s="457"/>
      <c r="X69" s="730"/>
    </row>
    <row r="70" spans="1:24" ht="13.9" thickBot="1">
      <c r="A70" s="4"/>
      <c r="B70" s="192"/>
      <c r="C70" s="233"/>
      <c r="D70" s="210"/>
      <c r="E70" s="193"/>
      <c r="F70" s="352"/>
      <c r="G70" s="194"/>
      <c r="H70" s="533"/>
      <c r="I70" s="523"/>
      <c r="J70" s="182"/>
      <c r="K70" s="4"/>
      <c r="L70" s="192"/>
      <c r="M70" s="233"/>
      <c r="N70" s="210"/>
      <c r="O70" s="434"/>
      <c r="P70" s="352"/>
      <c r="Q70" s="194"/>
      <c r="R70" s="653"/>
      <c r="S70" s="491"/>
      <c r="T70" s="418" t="str">
        <f t="shared" si="0"/>
        <v/>
      </c>
      <c r="U70" s="405"/>
      <c r="V70" s="380"/>
      <c r="W70" s="460"/>
      <c r="X70" s="523"/>
    </row>
    <row r="71" spans="1:24" ht="14.25" customHeight="1">
      <c r="B71" s="279">
        <v>7</v>
      </c>
      <c r="C71" s="211" t="s">
        <v>391</v>
      </c>
      <c r="D71" s="280"/>
      <c r="E71" s="358"/>
      <c r="F71" s="364"/>
      <c r="G71" s="281"/>
      <c r="H71" s="534"/>
      <c r="I71" s="716">
        <f>SUM(G71:G78)</f>
        <v>0</v>
      </c>
      <c r="J71" s="719">
        <f>F196</f>
        <v>0</v>
      </c>
      <c r="K71" s="187"/>
      <c r="L71" s="279">
        <v>7</v>
      </c>
      <c r="M71" s="211" t="s">
        <v>392</v>
      </c>
      <c r="N71" s="280"/>
      <c r="O71" s="358"/>
      <c r="P71" s="364"/>
      <c r="Q71" s="281"/>
      <c r="R71" s="654"/>
      <c r="S71" s="492"/>
      <c r="T71" s="419"/>
      <c r="U71" s="503"/>
      <c r="V71" s="740">
        <f>J71-SUM(U71:U78)</f>
        <v>0</v>
      </c>
      <c r="W71" s="461"/>
      <c r="X71" s="716">
        <f>SUM(Q71:Q78)</f>
        <v>0</v>
      </c>
    </row>
    <row r="72" spans="1:24" ht="14.25" customHeight="1">
      <c r="B72" s="282">
        <v>7</v>
      </c>
      <c r="C72" s="283"/>
      <c r="D72" s="284"/>
      <c r="E72" s="305"/>
      <c r="F72" s="341"/>
      <c r="G72" s="285"/>
      <c r="H72" s="518"/>
      <c r="I72" s="717"/>
      <c r="J72" s="720"/>
      <c r="K72" s="190"/>
      <c r="L72" s="282">
        <v>7</v>
      </c>
      <c r="M72" s="283" t="s">
        <v>392</v>
      </c>
      <c r="N72" s="284"/>
      <c r="O72" s="305"/>
      <c r="P72" s="341"/>
      <c r="Q72" s="285"/>
      <c r="R72" s="645"/>
      <c r="S72" s="482"/>
      <c r="T72" s="410"/>
      <c r="U72" s="395"/>
      <c r="V72" s="741"/>
      <c r="W72" s="452"/>
      <c r="X72" s="717"/>
    </row>
    <row r="73" spans="1:24" ht="14.25" customHeight="1">
      <c r="B73" s="282">
        <v>7</v>
      </c>
      <c r="C73" s="283"/>
      <c r="D73" s="284"/>
      <c r="E73" s="305"/>
      <c r="F73" s="341"/>
      <c r="G73" s="285"/>
      <c r="H73" s="518"/>
      <c r="I73" s="717"/>
      <c r="J73" s="720"/>
      <c r="K73" s="190"/>
      <c r="L73" s="282">
        <v>7</v>
      </c>
      <c r="M73" s="283" t="s">
        <v>392</v>
      </c>
      <c r="N73" s="284"/>
      <c r="O73" s="305"/>
      <c r="P73" s="341"/>
      <c r="Q73" s="285"/>
      <c r="R73" s="645"/>
      <c r="S73" s="482"/>
      <c r="T73" s="410"/>
      <c r="U73" s="395"/>
      <c r="V73" s="741"/>
      <c r="W73" s="452"/>
      <c r="X73" s="717"/>
    </row>
    <row r="74" spans="1:24" ht="14.25" customHeight="1">
      <c r="B74" s="282">
        <v>7</v>
      </c>
      <c r="C74" s="283"/>
      <c r="D74" s="284"/>
      <c r="E74" s="305"/>
      <c r="F74" s="341"/>
      <c r="G74" s="285"/>
      <c r="H74" s="518"/>
      <c r="I74" s="717"/>
      <c r="J74" s="720"/>
      <c r="K74" s="190"/>
      <c r="L74" s="282">
        <v>7</v>
      </c>
      <c r="M74" s="283" t="s">
        <v>392</v>
      </c>
      <c r="N74" s="284"/>
      <c r="O74" s="305"/>
      <c r="P74" s="341"/>
      <c r="Q74" s="285"/>
      <c r="R74" s="645"/>
      <c r="S74" s="482"/>
      <c r="T74" s="410"/>
      <c r="U74" s="395"/>
      <c r="V74" s="741"/>
      <c r="W74" s="452"/>
      <c r="X74" s="717"/>
    </row>
    <row r="75" spans="1:24" ht="14.25" customHeight="1">
      <c r="B75" s="282">
        <v>7</v>
      </c>
      <c r="C75" s="283"/>
      <c r="D75" s="284"/>
      <c r="E75" s="305"/>
      <c r="F75" s="341"/>
      <c r="G75" s="285"/>
      <c r="H75" s="518"/>
      <c r="I75" s="717"/>
      <c r="J75" s="720"/>
      <c r="K75" s="190"/>
      <c r="L75" s="282">
        <v>7</v>
      </c>
      <c r="M75" s="283" t="s">
        <v>392</v>
      </c>
      <c r="N75" s="284"/>
      <c r="O75" s="305"/>
      <c r="P75" s="341"/>
      <c r="Q75" s="285"/>
      <c r="R75" s="645"/>
      <c r="S75" s="482"/>
      <c r="T75" s="410"/>
      <c r="U75" s="395"/>
      <c r="V75" s="741"/>
      <c r="W75" s="452"/>
      <c r="X75" s="717"/>
    </row>
    <row r="76" spans="1:24" ht="14.25" customHeight="1">
      <c r="B76" s="282">
        <v>7</v>
      </c>
      <c r="C76" s="283"/>
      <c r="D76" s="284"/>
      <c r="E76" s="305"/>
      <c r="F76" s="341"/>
      <c r="G76" s="285"/>
      <c r="H76" s="518"/>
      <c r="I76" s="717"/>
      <c r="J76" s="720"/>
      <c r="K76" s="190"/>
      <c r="L76" s="282">
        <v>7</v>
      </c>
      <c r="M76" s="283" t="s">
        <v>392</v>
      </c>
      <c r="N76" s="284"/>
      <c r="O76" s="432"/>
      <c r="P76" s="341"/>
      <c r="Q76" s="285"/>
      <c r="R76" s="645"/>
      <c r="S76" s="482"/>
      <c r="T76" s="410"/>
      <c r="U76" s="395"/>
      <c r="V76" s="741"/>
      <c r="W76" s="452"/>
      <c r="X76" s="717"/>
    </row>
    <row r="77" spans="1:24" ht="14.25" customHeight="1">
      <c r="B77" s="282">
        <v>7</v>
      </c>
      <c r="C77" s="283"/>
      <c r="D77" s="284"/>
      <c r="E77" s="305"/>
      <c r="F77" s="341"/>
      <c r="G77" s="285"/>
      <c r="H77" s="518"/>
      <c r="I77" s="717"/>
      <c r="J77" s="720"/>
      <c r="K77" s="190"/>
      <c r="L77" s="282">
        <v>7</v>
      </c>
      <c r="M77" s="283" t="s">
        <v>392</v>
      </c>
      <c r="N77" s="284"/>
      <c r="O77" s="432"/>
      <c r="P77" s="341"/>
      <c r="Q77" s="285"/>
      <c r="R77" s="645"/>
      <c r="S77" s="482"/>
      <c r="T77" s="410"/>
      <c r="U77" s="395"/>
      <c r="V77" s="741"/>
      <c r="W77" s="452"/>
      <c r="X77" s="717"/>
    </row>
    <row r="78" spans="1:24" ht="15" customHeight="1" thickBot="1">
      <c r="B78" s="218">
        <v>7</v>
      </c>
      <c r="C78" s="239"/>
      <c r="D78" s="231"/>
      <c r="E78" s="220"/>
      <c r="F78" s="356"/>
      <c r="G78" s="232"/>
      <c r="H78" s="535"/>
      <c r="I78" s="718"/>
      <c r="J78" s="721"/>
      <c r="K78" s="191"/>
      <c r="L78" s="218">
        <v>7</v>
      </c>
      <c r="M78" s="239" t="s">
        <v>392</v>
      </c>
      <c r="N78" s="231"/>
      <c r="O78" s="433"/>
      <c r="P78" s="356"/>
      <c r="Q78" s="232"/>
      <c r="R78" s="646"/>
      <c r="S78" s="483"/>
      <c r="T78" s="411"/>
      <c r="U78" s="396"/>
      <c r="V78" s="742"/>
      <c r="W78" s="453"/>
      <c r="X78" s="718"/>
    </row>
    <row r="79" spans="1:24" ht="13.9" thickBot="1">
      <c r="A79" s="4"/>
      <c r="B79" s="192"/>
      <c r="C79" s="233"/>
      <c r="D79" s="210"/>
      <c r="E79" s="193"/>
      <c r="F79" s="352"/>
      <c r="G79" s="194"/>
      <c r="H79" s="529"/>
      <c r="I79" s="523"/>
      <c r="J79" s="182"/>
      <c r="K79" s="4"/>
      <c r="L79" s="192"/>
      <c r="M79" s="233"/>
      <c r="N79" s="210"/>
      <c r="O79" s="434"/>
      <c r="P79" s="352"/>
      <c r="Q79" s="194"/>
      <c r="R79" s="647"/>
      <c r="S79" s="484"/>
      <c r="T79" s="412"/>
      <c r="U79" s="401"/>
      <c r="V79" s="383"/>
      <c r="W79" s="454"/>
      <c r="X79" s="523"/>
    </row>
    <row r="80" spans="1:24" ht="14.25" customHeight="1">
      <c r="B80" s="234">
        <v>8</v>
      </c>
      <c r="C80" s="196" t="s">
        <v>393</v>
      </c>
      <c r="D80" s="235" t="s">
        <v>394</v>
      </c>
      <c r="E80" s="359"/>
      <c r="F80" s="313"/>
      <c r="G80" s="236">
        <f>D193</f>
        <v>97500</v>
      </c>
      <c r="H80" s="530">
        <f>H114</f>
        <v>45988</v>
      </c>
      <c r="I80" s="728">
        <f>SUM(G80:G112)</f>
        <v>469833.45</v>
      </c>
      <c r="J80" s="731">
        <f>F193+F195</f>
        <v>533901</v>
      </c>
      <c r="K80" s="199"/>
      <c r="L80" s="234">
        <v>8</v>
      </c>
      <c r="M80" s="322" t="s">
        <v>395</v>
      </c>
      <c r="N80" s="197" t="s">
        <v>396</v>
      </c>
      <c r="O80" s="426"/>
      <c r="P80" s="353"/>
      <c r="Q80" s="198">
        <v>213097.85</v>
      </c>
      <c r="R80" s="648" t="s">
        <v>387</v>
      </c>
      <c r="S80" s="485" t="s">
        <v>397</v>
      </c>
      <c r="T80" s="530">
        <v>45991</v>
      </c>
      <c r="U80" s="690">
        <v>197924.52260640005</v>
      </c>
      <c r="V80" s="755">
        <f>J80-SUM(U80:U112)</f>
        <v>-182487.30674497806</v>
      </c>
      <c r="W80" s="684">
        <v>45992</v>
      </c>
      <c r="X80" s="728">
        <f>SUM(Q80:Q112)</f>
        <v>533564.02</v>
      </c>
    </row>
    <row r="81" spans="2:24" ht="14.25" customHeight="1">
      <c r="B81" s="224">
        <v>8</v>
      </c>
      <c r="C81" s="225"/>
      <c r="D81" s="237" t="s">
        <v>398</v>
      </c>
      <c r="E81" s="312"/>
      <c r="F81" s="357"/>
      <c r="G81" s="226">
        <v>121333.45</v>
      </c>
      <c r="H81" s="521">
        <f>H80</f>
        <v>45988</v>
      </c>
      <c r="I81" s="729"/>
      <c r="J81" s="732"/>
      <c r="K81" s="203"/>
      <c r="L81" s="224">
        <v>8</v>
      </c>
      <c r="M81" s="330" t="s">
        <v>395</v>
      </c>
      <c r="N81" s="340" t="s">
        <v>399</v>
      </c>
      <c r="O81" s="436"/>
      <c r="P81" s="349"/>
      <c r="Q81" s="223">
        <v>19795.599999999999</v>
      </c>
      <c r="R81" s="648" t="s">
        <v>400</v>
      </c>
      <c r="S81" s="486" t="s">
        <v>401</v>
      </c>
      <c r="T81" s="521">
        <v>45991</v>
      </c>
      <c r="U81" s="636">
        <v>201610.0426362502</v>
      </c>
      <c r="V81" s="756"/>
      <c r="W81" s="644">
        <v>45992</v>
      </c>
      <c r="X81" s="729"/>
    </row>
    <row r="82" spans="2:24" ht="14.25" customHeight="1">
      <c r="B82" s="224">
        <v>8</v>
      </c>
      <c r="C82" s="225"/>
      <c r="D82" s="237" t="s">
        <v>402</v>
      </c>
      <c r="E82" s="312"/>
      <c r="F82" s="357"/>
      <c r="G82" s="226">
        <v>131000</v>
      </c>
      <c r="H82" s="521">
        <f t="shared" ref="H82:H95" si="13">H81</f>
        <v>45988</v>
      </c>
      <c r="I82" s="729"/>
      <c r="J82" s="732"/>
      <c r="K82" s="203"/>
      <c r="L82" s="224">
        <v>8</v>
      </c>
      <c r="M82" s="330" t="s">
        <v>395</v>
      </c>
      <c r="N82" s="237" t="s">
        <v>403</v>
      </c>
      <c r="O82" s="312"/>
      <c r="P82" s="357"/>
      <c r="Q82" s="226">
        <v>23510</v>
      </c>
      <c r="R82" s="649" t="s">
        <v>404</v>
      </c>
      <c r="S82" s="486" t="s">
        <v>405</v>
      </c>
      <c r="T82" s="521">
        <v>46022</v>
      </c>
      <c r="U82" s="636">
        <v>23797.945237554712</v>
      </c>
      <c r="V82" s="756"/>
      <c r="W82" s="625">
        <v>46015</v>
      </c>
      <c r="X82" s="729"/>
    </row>
    <row r="83" spans="2:24" ht="14.25" customHeight="1">
      <c r="B83" s="224">
        <v>8</v>
      </c>
      <c r="C83" s="225"/>
      <c r="D83" s="237"/>
      <c r="E83" s="312"/>
      <c r="F83" s="357"/>
      <c r="G83" s="226"/>
      <c r="H83" s="521"/>
      <c r="I83" s="729"/>
      <c r="J83" s="732"/>
      <c r="K83" s="203"/>
      <c r="L83" s="224">
        <v>8</v>
      </c>
      <c r="M83" s="330" t="s">
        <v>395</v>
      </c>
      <c r="N83" s="237"/>
      <c r="O83" s="312"/>
      <c r="P83" s="357"/>
      <c r="Q83" s="226"/>
      <c r="R83" s="649"/>
      <c r="S83" s="486"/>
      <c r="T83" s="414"/>
      <c r="U83" s="399">
        <f t="shared" ref="U83:U112" si="14">(Q83/$X$80*$J$80)</f>
        <v>0</v>
      </c>
      <c r="V83" s="756"/>
      <c r="W83" s="456"/>
      <c r="X83" s="729"/>
    </row>
    <row r="84" spans="2:24" ht="14.25" customHeight="1">
      <c r="B84" s="224">
        <v>8</v>
      </c>
      <c r="C84" s="225"/>
      <c r="D84" s="237"/>
      <c r="E84" s="312"/>
      <c r="F84" s="357"/>
      <c r="G84" s="226"/>
      <c r="H84" s="521"/>
      <c r="I84" s="729"/>
      <c r="J84" s="732"/>
      <c r="K84" s="203"/>
      <c r="L84" s="224">
        <v>8</v>
      </c>
      <c r="M84" s="330" t="s">
        <v>395</v>
      </c>
      <c r="N84" s="237"/>
      <c r="O84" s="312"/>
      <c r="P84" s="357"/>
      <c r="Q84" s="226"/>
      <c r="R84" s="649"/>
      <c r="S84" s="486"/>
      <c r="T84" s="414"/>
      <c r="U84" s="399">
        <f t="shared" si="14"/>
        <v>0</v>
      </c>
      <c r="V84" s="756"/>
      <c r="W84" s="456"/>
      <c r="X84" s="729"/>
    </row>
    <row r="85" spans="2:24" ht="14.25" customHeight="1">
      <c r="B85" s="224">
        <v>8</v>
      </c>
      <c r="C85" s="225"/>
      <c r="D85" s="237"/>
      <c r="E85" s="312"/>
      <c r="F85" s="357"/>
      <c r="G85" s="226"/>
      <c r="H85" s="521"/>
      <c r="I85" s="729"/>
      <c r="J85" s="732"/>
      <c r="K85" s="203"/>
      <c r="L85" s="224">
        <v>8</v>
      </c>
      <c r="M85" s="330" t="s">
        <v>395</v>
      </c>
      <c r="N85" s="237"/>
      <c r="O85" s="312"/>
      <c r="P85" s="357"/>
      <c r="Q85" s="226"/>
      <c r="R85" s="649"/>
      <c r="S85" s="486"/>
      <c r="T85" s="414"/>
      <c r="U85" s="399">
        <f t="shared" si="14"/>
        <v>0</v>
      </c>
      <c r="V85" s="756"/>
      <c r="W85" s="456"/>
      <c r="X85" s="729"/>
    </row>
    <row r="86" spans="2:24" ht="14.25" customHeight="1">
      <c r="B86" s="224">
        <v>8</v>
      </c>
      <c r="C86" s="225"/>
      <c r="D86" s="237"/>
      <c r="E86" s="312"/>
      <c r="F86" s="357"/>
      <c r="G86" s="226"/>
      <c r="H86" s="521"/>
      <c r="I86" s="729"/>
      <c r="J86" s="732"/>
      <c r="K86" s="203"/>
      <c r="L86" s="224">
        <v>8</v>
      </c>
      <c r="M86" s="330" t="s">
        <v>395</v>
      </c>
      <c r="N86" s="237"/>
      <c r="O86" s="312"/>
      <c r="P86" s="357"/>
      <c r="Q86" s="226"/>
      <c r="R86" s="649"/>
      <c r="S86" s="486"/>
      <c r="T86" s="414"/>
      <c r="U86" s="399">
        <f t="shared" si="14"/>
        <v>0</v>
      </c>
      <c r="V86" s="756"/>
      <c r="W86" s="456"/>
      <c r="X86" s="729"/>
    </row>
    <row r="87" spans="2:24" ht="14.25" customHeight="1">
      <c r="B87" s="224">
        <v>8</v>
      </c>
      <c r="C87" s="225"/>
      <c r="D87" s="237"/>
      <c r="E87" s="312"/>
      <c r="F87" s="357"/>
      <c r="G87" s="226"/>
      <c r="H87" s="521"/>
      <c r="I87" s="729"/>
      <c r="J87" s="732"/>
      <c r="K87" s="203"/>
      <c r="L87" s="224">
        <v>8</v>
      </c>
      <c r="M87" s="330" t="s">
        <v>395</v>
      </c>
      <c r="N87" s="237"/>
      <c r="O87" s="312"/>
      <c r="P87" s="357"/>
      <c r="Q87" s="226"/>
      <c r="R87" s="649"/>
      <c r="S87" s="486"/>
      <c r="T87" s="414"/>
      <c r="U87" s="399">
        <f t="shared" si="14"/>
        <v>0</v>
      </c>
      <c r="V87" s="756"/>
      <c r="W87" s="456"/>
      <c r="X87" s="729"/>
    </row>
    <row r="88" spans="2:24" ht="14.25" customHeight="1">
      <c r="B88" s="224">
        <v>8</v>
      </c>
      <c r="C88" s="225"/>
      <c r="D88" s="237"/>
      <c r="E88" s="312"/>
      <c r="F88" s="357"/>
      <c r="G88" s="226"/>
      <c r="H88" s="521"/>
      <c r="I88" s="729"/>
      <c r="J88" s="732"/>
      <c r="K88" s="203"/>
      <c r="L88" s="224">
        <v>8</v>
      </c>
      <c r="M88" s="330" t="s">
        <v>395</v>
      </c>
      <c r="N88" s="237" t="s">
        <v>406</v>
      </c>
      <c r="O88" s="312"/>
      <c r="P88" s="357"/>
      <c r="Q88" s="226">
        <v>26500</v>
      </c>
      <c r="R88" s="649" t="s">
        <v>407</v>
      </c>
      <c r="S88" s="486" t="s">
        <v>408</v>
      </c>
      <c r="T88" s="521">
        <v>45991</v>
      </c>
      <c r="U88" s="636">
        <v>51113.105430531599</v>
      </c>
      <c r="V88" s="756"/>
      <c r="W88" s="644">
        <v>45988</v>
      </c>
      <c r="X88" s="729"/>
    </row>
    <row r="89" spans="2:24" ht="14.25" customHeight="1">
      <c r="B89" s="224">
        <v>8</v>
      </c>
      <c r="C89" s="225"/>
      <c r="D89" s="237"/>
      <c r="E89" s="312"/>
      <c r="F89" s="357"/>
      <c r="G89" s="226"/>
      <c r="H89" s="521"/>
      <c r="I89" s="729"/>
      <c r="J89" s="732"/>
      <c r="K89" s="203"/>
      <c r="L89" s="224">
        <v>8</v>
      </c>
      <c r="M89" s="330" t="s">
        <v>395</v>
      </c>
      <c r="N89" s="237"/>
      <c r="O89" s="312"/>
      <c r="P89" s="357"/>
      <c r="Q89" s="226"/>
      <c r="R89" s="649"/>
      <c r="S89" s="486"/>
      <c r="T89" s="414"/>
      <c r="U89" s="399">
        <f t="shared" si="14"/>
        <v>0</v>
      </c>
      <c r="V89" s="756"/>
      <c r="W89" s="456"/>
      <c r="X89" s="729"/>
    </row>
    <row r="90" spans="2:24" ht="14.25" customHeight="1">
      <c r="B90" s="224">
        <v>8</v>
      </c>
      <c r="C90" s="225"/>
      <c r="D90" s="237"/>
      <c r="E90" s="312"/>
      <c r="F90" s="357"/>
      <c r="G90" s="226"/>
      <c r="H90" s="521"/>
      <c r="I90" s="729"/>
      <c r="J90" s="732"/>
      <c r="K90" s="203"/>
      <c r="L90" s="224">
        <v>8</v>
      </c>
      <c r="M90" s="330" t="s">
        <v>395</v>
      </c>
      <c r="N90" s="237"/>
      <c r="O90" s="312"/>
      <c r="P90" s="357"/>
      <c r="Q90" s="226"/>
      <c r="R90" s="649"/>
      <c r="S90" s="486"/>
      <c r="T90" s="414"/>
      <c r="U90" s="399">
        <f t="shared" si="14"/>
        <v>0</v>
      </c>
      <c r="V90" s="756"/>
      <c r="W90" s="456"/>
      <c r="X90" s="729"/>
    </row>
    <row r="91" spans="2:24" ht="14.25" customHeight="1">
      <c r="B91" s="224">
        <v>8</v>
      </c>
      <c r="C91" s="225"/>
      <c r="D91" s="237"/>
      <c r="E91" s="312"/>
      <c r="F91" s="357"/>
      <c r="G91" s="226"/>
      <c r="H91" s="521"/>
      <c r="I91" s="729"/>
      <c r="J91" s="732"/>
      <c r="K91" s="203"/>
      <c r="L91" s="224">
        <v>8</v>
      </c>
      <c r="M91" s="330" t="s">
        <v>395</v>
      </c>
      <c r="N91" s="237"/>
      <c r="O91" s="312"/>
      <c r="P91" s="357"/>
      <c r="Q91" s="226"/>
      <c r="R91" s="649"/>
      <c r="S91" s="486"/>
      <c r="T91" s="414"/>
      <c r="U91" s="399">
        <f t="shared" si="14"/>
        <v>0</v>
      </c>
      <c r="V91" s="756"/>
      <c r="W91" s="456"/>
      <c r="X91" s="729"/>
    </row>
    <row r="92" spans="2:24" ht="14.25" customHeight="1">
      <c r="B92" s="224">
        <v>8</v>
      </c>
      <c r="C92" s="225"/>
      <c r="D92" s="237"/>
      <c r="E92" s="312"/>
      <c r="F92" s="357"/>
      <c r="G92" s="226"/>
      <c r="H92" s="521"/>
      <c r="I92" s="729"/>
      <c r="J92" s="732"/>
      <c r="K92" s="203"/>
      <c r="L92" s="224">
        <v>8</v>
      </c>
      <c r="M92" s="330" t="s">
        <v>395</v>
      </c>
      <c r="N92" s="237"/>
      <c r="O92" s="312"/>
      <c r="P92" s="357"/>
      <c r="Q92" s="226"/>
      <c r="R92" s="649"/>
      <c r="S92" s="486"/>
      <c r="T92" s="414"/>
      <c r="U92" s="399">
        <f t="shared" si="14"/>
        <v>0</v>
      </c>
      <c r="V92" s="756"/>
      <c r="W92" s="456"/>
      <c r="X92" s="729"/>
    </row>
    <row r="93" spans="2:24" ht="14.25" customHeight="1">
      <c r="B93" s="224">
        <v>8</v>
      </c>
      <c r="C93" s="225"/>
      <c r="D93" s="237" t="s">
        <v>409</v>
      </c>
      <c r="E93" s="312"/>
      <c r="F93" s="357"/>
      <c r="G93" s="226">
        <v>10000</v>
      </c>
      <c r="H93" s="521">
        <f>H82</f>
        <v>45988</v>
      </c>
      <c r="I93" s="729"/>
      <c r="J93" s="732"/>
      <c r="K93" s="203"/>
      <c r="L93" s="224">
        <v>8</v>
      </c>
      <c r="M93" s="330" t="s">
        <v>395</v>
      </c>
      <c r="N93" s="237" t="s">
        <v>398</v>
      </c>
      <c r="O93" s="312"/>
      <c r="P93" s="357"/>
      <c r="Q93" s="226">
        <v>21014.75</v>
      </c>
      <c r="R93" s="649" t="s">
        <v>410</v>
      </c>
      <c r="S93" s="486" t="s">
        <v>411</v>
      </c>
      <c r="T93" s="521">
        <v>46022</v>
      </c>
      <c r="U93" s="636">
        <v>21272.133971965242</v>
      </c>
      <c r="V93" s="756"/>
      <c r="W93" s="644">
        <v>46058</v>
      </c>
      <c r="X93" s="729"/>
    </row>
    <row r="94" spans="2:24" ht="14.25" customHeight="1">
      <c r="B94" s="224">
        <v>8</v>
      </c>
      <c r="C94" s="225"/>
      <c r="D94" s="237" t="s">
        <v>412</v>
      </c>
      <c r="E94" s="312"/>
      <c r="F94" s="357"/>
      <c r="G94" s="226">
        <v>50000</v>
      </c>
      <c r="H94" s="521">
        <f t="shared" si="13"/>
        <v>45988</v>
      </c>
      <c r="I94" s="729"/>
      <c r="J94" s="732"/>
      <c r="K94" s="203"/>
      <c r="L94" s="224">
        <v>8</v>
      </c>
      <c r="M94" s="330" t="s">
        <v>395</v>
      </c>
      <c r="N94" s="237" t="s">
        <v>413</v>
      </c>
      <c r="O94" s="312"/>
      <c r="P94" s="357"/>
      <c r="Q94" s="226">
        <v>7250</v>
      </c>
      <c r="R94" s="649" t="s">
        <v>414</v>
      </c>
      <c r="S94" s="486" t="s">
        <v>415</v>
      </c>
      <c r="T94" s="664">
        <v>45991</v>
      </c>
      <c r="U94" s="636">
        <v>6733.7741272209005</v>
      </c>
      <c r="V94" s="756"/>
      <c r="W94" s="625" t="s">
        <v>416</v>
      </c>
      <c r="X94" s="729"/>
    </row>
    <row r="95" spans="2:24" ht="14.25" customHeight="1">
      <c r="B95" s="224">
        <v>8</v>
      </c>
      <c r="C95" s="225"/>
      <c r="D95" s="237" t="s">
        <v>417</v>
      </c>
      <c r="E95" s="312"/>
      <c r="F95" s="357"/>
      <c r="G95" s="226">
        <v>60000</v>
      </c>
      <c r="H95" s="521">
        <f t="shared" si="13"/>
        <v>45988</v>
      </c>
      <c r="I95" s="729"/>
      <c r="J95" s="732"/>
      <c r="K95" s="203"/>
      <c r="L95" s="224">
        <v>8</v>
      </c>
      <c r="M95" s="330" t="s">
        <v>395</v>
      </c>
      <c r="N95" s="237"/>
      <c r="O95" s="439"/>
      <c r="P95" s="511"/>
      <c r="Q95" s="226"/>
      <c r="R95" s="649"/>
      <c r="S95" s="486"/>
      <c r="T95" s="414" t="str">
        <f t="shared" ref="T95:T112" si="15">IF(W95&gt;1,EOMONTH(W95,0),"")</f>
        <v/>
      </c>
      <c r="U95" s="399">
        <f t="shared" si="14"/>
        <v>0</v>
      </c>
      <c r="V95" s="756"/>
      <c r="W95" s="456"/>
      <c r="X95" s="729"/>
    </row>
    <row r="96" spans="2:24" ht="14.25" customHeight="1">
      <c r="B96" s="224">
        <v>8</v>
      </c>
      <c r="C96" s="225"/>
      <c r="D96" s="237"/>
      <c r="E96" s="312"/>
      <c r="F96" s="357"/>
      <c r="G96" s="226"/>
      <c r="H96" s="521"/>
      <c r="I96" s="729"/>
      <c r="J96" s="732"/>
      <c r="K96" s="203"/>
      <c r="L96" s="224">
        <v>8</v>
      </c>
      <c r="M96" s="330" t="s">
        <v>395</v>
      </c>
      <c r="N96" s="237" t="s">
        <v>402</v>
      </c>
      <c r="O96" s="312"/>
      <c r="P96" s="357"/>
      <c r="Q96" s="226">
        <v>0</v>
      </c>
      <c r="R96" s="649"/>
      <c r="S96" s="486"/>
      <c r="T96" s="414"/>
      <c r="U96" s="399">
        <f t="shared" si="14"/>
        <v>0</v>
      </c>
      <c r="V96" s="756"/>
      <c r="W96" s="456"/>
      <c r="X96" s="729"/>
    </row>
    <row r="97" spans="2:25" ht="14.25" customHeight="1">
      <c r="B97" s="224">
        <v>8</v>
      </c>
      <c r="C97" s="225"/>
      <c r="D97" s="237"/>
      <c r="E97" s="312"/>
      <c r="F97" s="357"/>
      <c r="G97" s="226"/>
      <c r="H97" s="521"/>
      <c r="I97" s="729"/>
      <c r="J97" s="732"/>
      <c r="K97" s="203"/>
      <c r="L97" s="224">
        <v>8</v>
      </c>
      <c r="M97" s="330" t="s">
        <v>395</v>
      </c>
      <c r="N97" s="237"/>
      <c r="O97" s="439"/>
      <c r="P97" s="511"/>
      <c r="Q97" s="226"/>
      <c r="R97" s="649"/>
      <c r="S97" s="486"/>
      <c r="T97" s="414" t="str">
        <f t="shared" si="15"/>
        <v/>
      </c>
      <c r="U97" s="399">
        <f t="shared" si="14"/>
        <v>0</v>
      </c>
      <c r="V97" s="756"/>
      <c r="W97" s="456"/>
      <c r="X97" s="729"/>
    </row>
    <row r="98" spans="2:25" ht="14.25" customHeight="1">
      <c r="B98" s="224">
        <v>8</v>
      </c>
      <c r="C98" s="225"/>
      <c r="D98" s="237"/>
      <c r="E98" s="312"/>
      <c r="F98" s="357"/>
      <c r="G98" s="226"/>
      <c r="H98" s="521"/>
      <c r="I98" s="729"/>
      <c r="J98" s="732"/>
      <c r="K98" s="203"/>
      <c r="L98" s="224">
        <v>8</v>
      </c>
      <c r="M98" s="330" t="s">
        <v>395</v>
      </c>
      <c r="N98" s="237"/>
      <c r="O98" s="439"/>
      <c r="P98" s="511"/>
      <c r="Q98" s="226"/>
      <c r="R98" s="649"/>
      <c r="S98" s="486"/>
      <c r="T98" s="414" t="str">
        <f t="shared" si="15"/>
        <v/>
      </c>
      <c r="U98" s="399">
        <f t="shared" si="14"/>
        <v>0</v>
      </c>
      <c r="V98" s="756"/>
      <c r="W98" s="456"/>
      <c r="X98" s="729"/>
    </row>
    <row r="99" spans="2:25" ht="14.25" customHeight="1">
      <c r="B99" s="224">
        <v>8</v>
      </c>
      <c r="C99" s="225"/>
      <c r="D99" s="237"/>
      <c r="E99" s="312"/>
      <c r="F99" s="357"/>
      <c r="G99" s="226"/>
      <c r="H99" s="521"/>
      <c r="I99" s="729"/>
      <c r="J99" s="732"/>
      <c r="K99" s="203"/>
      <c r="L99" s="224">
        <v>8</v>
      </c>
      <c r="M99" s="330" t="s">
        <v>395</v>
      </c>
      <c r="N99" s="237" t="s">
        <v>409</v>
      </c>
      <c r="O99" s="312"/>
      <c r="P99" s="357"/>
      <c r="Q99" s="226">
        <v>0</v>
      </c>
      <c r="R99" s="649"/>
      <c r="S99" s="486"/>
      <c r="T99" s="414"/>
      <c r="U99" s="399">
        <f t="shared" si="14"/>
        <v>0</v>
      </c>
      <c r="V99" s="756"/>
      <c r="W99" s="456"/>
      <c r="X99" s="729"/>
    </row>
    <row r="100" spans="2:25" ht="14.25" customHeight="1">
      <c r="B100" s="224">
        <v>8</v>
      </c>
      <c r="C100" s="225"/>
      <c r="D100" s="237"/>
      <c r="E100" s="312"/>
      <c r="F100" s="357"/>
      <c r="G100" s="226"/>
      <c r="H100" s="521"/>
      <c r="I100" s="729"/>
      <c r="J100" s="732"/>
      <c r="K100" s="203"/>
      <c r="L100" s="224">
        <v>8</v>
      </c>
      <c r="M100" s="330" t="s">
        <v>395</v>
      </c>
      <c r="N100" s="237"/>
      <c r="O100" s="439"/>
      <c r="P100" s="511"/>
      <c r="Q100" s="226"/>
      <c r="R100" s="649"/>
      <c r="S100" s="486"/>
      <c r="T100" s="414" t="str">
        <f t="shared" si="15"/>
        <v/>
      </c>
      <c r="U100" s="399">
        <f t="shared" si="14"/>
        <v>0</v>
      </c>
      <c r="V100" s="756"/>
      <c r="W100" s="456"/>
      <c r="X100" s="729"/>
    </row>
    <row r="101" spans="2:25" ht="14.25" customHeight="1">
      <c r="B101" s="224">
        <v>8</v>
      </c>
      <c r="C101" s="225"/>
      <c r="D101" s="237"/>
      <c r="E101" s="312"/>
      <c r="F101" s="357"/>
      <c r="G101" s="226"/>
      <c r="H101" s="521"/>
      <c r="I101" s="729"/>
      <c r="J101" s="732"/>
      <c r="K101" s="203"/>
      <c r="L101" s="224">
        <v>8</v>
      </c>
      <c r="M101" s="330" t="s">
        <v>395</v>
      </c>
      <c r="N101" s="237"/>
      <c r="O101" s="439"/>
      <c r="P101" s="511"/>
      <c r="Q101" s="226"/>
      <c r="R101" s="649"/>
      <c r="S101" s="486"/>
      <c r="T101" s="414" t="str">
        <f t="shared" si="15"/>
        <v/>
      </c>
      <c r="U101" s="399">
        <f t="shared" si="14"/>
        <v>0</v>
      </c>
      <c r="V101" s="756"/>
      <c r="W101" s="456"/>
      <c r="X101" s="729"/>
    </row>
    <row r="102" spans="2:25" ht="14.25" customHeight="1">
      <c r="B102" s="224">
        <v>8</v>
      </c>
      <c r="C102" s="225"/>
      <c r="D102" s="237"/>
      <c r="E102" s="312"/>
      <c r="F102" s="357"/>
      <c r="G102" s="226"/>
      <c r="H102" s="521"/>
      <c r="I102" s="729"/>
      <c r="J102" s="732"/>
      <c r="K102" s="203"/>
      <c r="L102" s="224">
        <v>8</v>
      </c>
      <c r="M102" s="330" t="s">
        <v>395</v>
      </c>
      <c r="N102" s="237" t="s">
        <v>412</v>
      </c>
      <c r="O102" s="665">
        <v>0.5</v>
      </c>
      <c r="P102" s="357">
        <v>59734.19</v>
      </c>
      <c r="Q102" s="226">
        <f>O102*P102</f>
        <v>29867.095000000001</v>
      </c>
      <c r="R102" s="649"/>
      <c r="S102" s="486" t="s">
        <v>418</v>
      </c>
      <c r="T102" s="664">
        <f t="shared" si="15"/>
        <v>45991</v>
      </c>
      <c r="U102" s="636">
        <v>27740.451250517064</v>
      </c>
      <c r="V102" s="756"/>
      <c r="W102" s="644">
        <v>45974</v>
      </c>
      <c r="X102" s="729"/>
    </row>
    <row r="103" spans="2:25" ht="14.25" customHeight="1">
      <c r="B103" s="224">
        <v>8</v>
      </c>
      <c r="C103" s="225"/>
      <c r="D103" s="237"/>
      <c r="E103" s="312"/>
      <c r="F103" s="357"/>
      <c r="G103" s="226"/>
      <c r="H103" s="521"/>
      <c r="I103" s="729"/>
      <c r="J103" s="732"/>
      <c r="K103" s="203"/>
      <c r="L103" s="224">
        <v>8</v>
      </c>
      <c r="M103" s="330" t="s">
        <v>395</v>
      </c>
      <c r="N103" s="237"/>
      <c r="O103" s="666">
        <v>0.5</v>
      </c>
      <c r="P103" s="511"/>
      <c r="Q103" s="226">
        <f>O103*P102</f>
        <v>29867.095000000001</v>
      </c>
      <c r="R103" s="649"/>
      <c r="S103" s="486" t="s">
        <v>418</v>
      </c>
      <c r="T103" s="664">
        <v>45991</v>
      </c>
      <c r="U103" s="636">
        <v>27740.451250517064</v>
      </c>
      <c r="V103" s="756"/>
      <c r="W103" s="644">
        <v>45995</v>
      </c>
      <c r="X103" s="729"/>
    </row>
    <row r="104" spans="2:25" ht="14.25" customHeight="1">
      <c r="B104" s="224">
        <v>8</v>
      </c>
      <c r="C104" s="225"/>
      <c r="D104" s="237"/>
      <c r="E104" s="312"/>
      <c r="F104" s="357"/>
      <c r="G104" s="226"/>
      <c r="H104" s="521"/>
      <c r="I104" s="729"/>
      <c r="J104" s="732"/>
      <c r="K104" s="203"/>
      <c r="L104" s="224">
        <v>8</v>
      </c>
      <c r="M104" s="330" t="s">
        <v>395</v>
      </c>
      <c r="N104" s="237" t="s">
        <v>419</v>
      </c>
      <c r="O104" s="439"/>
      <c r="P104" s="511"/>
      <c r="Q104" s="226">
        <v>6123</v>
      </c>
      <c r="R104" s="649" t="s">
        <v>420</v>
      </c>
      <c r="S104" s="486"/>
      <c r="T104" s="414">
        <v>46081</v>
      </c>
      <c r="U104" s="399">
        <v>0</v>
      </c>
      <c r="V104" s="756"/>
      <c r="W104" s="456">
        <v>46073</v>
      </c>
      <c r="X104" s="729"/>
    </row>
    <row r="105" spans="2:25" ht="14.25" customHeight="1">
      <c r="B105" s="224">
        <v>8</v>
      </c>
      <c r="C105" s="225"/>
      <c r="D105" s="237"/>
      <c r="E105" s="312"/>
      <c r="F105" s="357"/>
      <c r="G105" s="226"/>
      <c r="H105" s="521"/>
      <c r="I105" s="729"/>
      <c r="J105" s="732"/>
      <c r="K105" s="203"/>
      <c r="L105" s="224">
        <v>8</v>
      </c>
      <c r="M105" s="330" t="s">
        <v>395</v>
      </c>
      <c r="N105" s="237" t="s">
        <v>421</v>
      </c>
      <c r="O105" s="697">
        <v>111075</v>
      </c>
      <c r="P105" s="511">
        <v>0.5</v>
      </c>
      <c r="Q105" s="226">
        <f>O105*P105</f>
        <v>55537.5</v>
      </c>
      <c r="R105" s="725" t="s">
        <v>422</v>
      </c>
      <c r="S105" s="486" t="s">
        <v>423</v>
      </c>
      <c r="T105" s="521">
        <v>46053</v>
      </c>
      <c r="U105" s="636">
        <v>56217.710915810079</v>
      </c>
      <c r="V105" s="756"/>
      <c r="W105" s="644">
        <v>46045</v>
      </c>
      <c r="X105" s="729"/>
      <c r="Y105" s="610"/>
    </row>
    <row r="106" spans="2:25" ht="14.25" customHeight="1">
      <c r="B106" s="224">
        <v>8</v>
      </c>
      <c r="C106" s="225"/>
      <c r="D106" s="237"/>
      <c r="E106" s="312"/>
      <c r="F106" s="357"/>
      <c r="G106" s="226"/>
      <c r="H106" s="521"/>
      <c r="I106" s="729"/>
      <c r="J106" s="732"/>
      <c r="K106" s="203"/>
      <c r="L106" s="224">
        <v>8</v>
      </c>
      <c r="M106" s="330" t="s">
        <v>395</v>
      </c>
      <c r="N106" s="237" t="s">
        <v>424</v>
      </c>
      <c r="O106" s="439"/>
      <c r="P106" s="511">
        <v>0.5</v>
      </c>
      <c r="Q106" s="226">
        <f>O105*P106</f>
        <v>55537.5</v>
      </c>
      <c r="R106" s="727"/>
      <c r="S106" s="486" t="s">
        <v>423</v>
      </c>
      <c r="T106" s="521">
        <v>46053</v>
      </c>
      <c r="U106" s="636">
        <v>56217.710915810079</v>
      </c>
      <c r="V106" s="756"/>
      <c r="W106" s="644">
        <f>W105+13</f>
        <v>46058</v>
      </c>
      <c r="X106" s="729"/>
    </row>
    <row r="107" spans="2:25" ht="14.25" customHeight="1">
      <c r="B107" s="224">
        <v>8</v>
      </c>
      <c r="C107" s="225"/>
      <c r="D107" s="237"/>
      <c r="E107" s="312"/>
      <c r="F107" s="357"/>
      <c r="G107" s="226"/>
      <c r="H107" s="521"/>
      <c r="I107" s="729"/>
      <c r="J107" s="732"/>
      <c r="K107" s="203"/>
      <c r="L107" s="224">
        <v>8</v>
      </c>
      <c r="M107" s="330" t="s">
        <v>395</v>
      </c>
      <c r="N107" s="237"/>
      <c r="O107" s="439"/>
      <c r="P107" s="511"/>
      <c r="Q107" s="226"/>
      <c r="R107" s="649"/>
      <c r="S107" s="486"/>
      <c r="T107" s="414" t="str">
        <f t="shared" si="15"/>
        <v/>
      </c>
      <c r="U107" s="399">
        <f t="shared" si="14"/>
        <v>0</v>
      </c>
      <c r="V107" s="756"/>
      <c r="W107" s="456"/>
      <c r="X107" s="729"/>
    </row>
    <row r="108" spans="2:25" ht="14.25" customHeight="1">
      <c r="B108" s="224">
        <v>8</v>
      </c>
      <c r="C108" s="225"/>
      <c r="D108" s="237"/>
      <c r="E108" s="312"/>
      <c r="F108" s="357"/>
      <c r="G108" s="226"/>
      <c r="H108" s="521"/>
      <c r="I108" s="729"/>
      <c r="J108" s="732"/>
      <c r="K108" s="203"/>
      <c r="L108" s="224">
        <v>8</v>
      </c>
      <c r="M108" s="330" t="s">
        <v>395</v>
      </c>
      <c r="N108" s="237" t="s">
        <v>425</v>
      </c>
      <c r="O108" s="439"/>
      <c r="P108" s="511"/>
      <c r="Q108" s="226">
        <v>19063</v>
      </c>
      <c r="R108" s="649" t="s">
        <v>426</v>
      </c>
      <c r="S108" s="486" t="s">
        <v>427</v>
      </c>
      <c r="T108" s="521">
        <v>46022</v>
      </c>
      <c r="U108" s="636">
        <v>19296.479373181857</v>
      </c>
      <c r="V108" s="756"/>
      <c r="W108" s="644">
        <f>W119</f>
        <v>46003</v>
      </c>
      <c r="X108" s="729"/>
    </row>
    <row r="109" spans="2:25" ht="14.25" customHeight="1">
      <c r="B109" s="224">
        <v>8</v>
      </c>
      <c r="C109" s="225"/>
      <c r="D109" s="237"/>
      <c r="E109" s="312"/>
      <c r="F109" s="357"/>
      <c r="G109" s="226"/>
      <c r="H109" s="521"/>
      <c r="I109" s="729"/>
      <c r="J109" s="732"/>
      <c r="K109" s="203"/>
      <c r="L109" s="224">
        <v>8</v>
      </c>
      <c r="M109" s="330" t="s">
        <v>395</v>
      </c>
      <c r="N109" s="237"/>
      <c r="O109" s="439"/>
      <c r="P109" s="511"/>
      <c r="Q109" s="226"/>
      <c r="R109" s="649"/>
      <c r="S109" s="486"/>
      <c r="T109" s="414" t="str">
        <f t="shared" si="15"/>
        <v/>
      </c>
      <c r="U109" s="636">
        <v>0</v>
      </c>
      <c r="V109" s="756"/>
      <c r="W109" s="456"/>
      <c r="X109" s="729"/>
    </row>
    <row r="110" spans="2:25" ht="14.25" customHeight="1">
      <c r="B110" s="224">
        <v>8</v>
      </c>
      <c r="C110" s="225"/>
      <c r="D110" s="237"/>
      <c r="E110" s="312"/>
      <c r="F110" s="357"/>
      <c r="G110" s="226"/>
      <c r="H110" s="521"/>
      <c r="I110" s="729"/>
      <c r="J110" s="732"/>
      <c r="K110" s="203"/>
      <c r="L110" s="224">
        <v>8</v>
      </c>
      <c r="M110" s="330" t="s">
        <v>395</v>
      </c>
      <c r="N110" s="237" t="s">
        <v>428</v>
      </c>
      <c r="O110" s="439"/>
      <c r="P110" s="511"/>
      <c r="Q110" s="226">
        <v>9574.73</v>
      </c>
      <c r="R110" s="649" t="s">
        <v>429</v>
      </c>
      <c r="S110" s="486" t="s">
        <v>430</v>
      </c>
      <c r="T110" s="521">
        <v>46022</v>
      </c>
      <c r="U110" s="636">
        <v>9691.9991579911621</v>
      </c>
      <c r="V110" s="756"/>
      <c r="W110" s="625">
        <v>46009</v>
      </c>
      <c r="X110" s="729"/>
    </row>
    <row r="111" spans="2:25" ht="14.25" customHeight="1">
      <c r="B111" s="224">
        <v>8</v>
      </c>
      <c r="C111" s="225"/>
      <c r="D111" s="237"/>
      <c r="E111" s="312"/>
      <c r="F111" s="357"/>
      <c r="G111" s="226"/>
      <c r="H111" s="536"/>
      <c r="I111" s="729"/>
      <c r="J111" s="732"/>
      <c r="K111" s="203"/>
      <c r="L111" s="224">
        <v>8</v>
      </c>
      <c r="M111" s="330" t="s">
        <v>395</v>
      </c>
      <c r="N111" s="237" t="s">
        <v>431</v>
      </c>
      <c r="O111" s="439"/>
      <c r="P111" s="357"/>
      <c r="Q111" s="226">
        <v>16825.900000000001</v>
      </c>
      <c r="R111" s="652"/>
      <c r="S111" s="486" t="s">
        <v>430</v>
      </c>
      <c r="T111" s="536">
        <v>46022</v>
      </c>
      <c r="U111" s="699">
        <v>17031.979871228064</v>
      </c>
      <c r="V111" s="756"/>
      <c r="W111" s="625">
        <v>46003</v>
      </c>
      <c r="X111" s="729"/>
    </row>
    <row r="112" spans="2:25" ht="15" customHeight="1" thickBot="1">
      <c r="B112" s="224">
        <v>8</v>
      </c>
      <c r="C112" s="205"/>
      <c r="D112" s="206"/>
      <c r="E112" s="354"/>
      <c r="F112" s="351"/>
      <c r="G112" s="207"/>
      <c r="H112" s="531"/>
      <c r="I112" s="730"/>
      <c r="J112" s="733"/>
      <c r="K112" s="208"/>
      <c r="L112" s="204">
        <v>8</v>
      </c>
      <c r="M112" s="329" t="s">
        <v>395</v>
      </c>
      <c r="N112" s="206"/>
      <c r="O112" s="440"/>
      <c r="P112" s="351"/>
      <c r="Q112" s="207"/>
      <c r="R112" s="650"/>
      <c r="S112" s="487"/>
      <c r="T112" s="415" t="str">
        <f t="shared" si="15"/>
        <v/>
      </c>
      <c r="U112" s="400">
        <f t="shared" si="14"/>
        <v>0</v>
      </c>
      <c r="V112" s="757"/>
      <c r="W112" s="457"/>
      <c r="X112" s="730"/>
    </row>
    <row r="113" spans="1:24" ht="22.5" customHeight="1" thickBot="1">
      <c r="A113" s="4"/>
      <c r="B113" s="238"/>
      <c r="C113" s="75"/>
      <c r="D113" s="75"/>
      <c r="E113" s="75"/>
      <c r="F113" s="365"/>
      <c r="G113" s="75"/>
      <c r="H113" s="420"/>
      <c r="I113" s="336"/>
      <c r="J113" s="337"/>
      <c r="K113" s="75" t="s">
        <v>432</v>
      </c>
      <c r="L113" s="238"/>
      <c r="M113" s="75"/>
      <c r="N113" s="75"/>
      <c r="O113" s="441"/>
      <c r="P113" s="365"/>
      <c r="Q113" s="75"/>
      <c r="R113" s="655"/>
      <c r="S113" s="238"/>
      <c r="T113" s="420" t="str">
        <f t="shared" ref="T113:T166" si="16">IF(W113&gt;1,EOMONTH(W113,0),"")</f>
        <v/>
      </c>
      <c r="U113" s="385"/>
      <c r="V113" s="385"/>
      <c r="W113" s="425"/>
      <c r="X113" s="588"/>
    </row>
    <row r="114" spans="1:24" ht="15" customHeight="1">
      <c r="B114" s="213">
        <v>9</v>
      </c>
      <c r="C114" s="339" t="s">
        <v>433</v>
      </c>
      <c r="D114" s="229" t="s">
        <v>434</v>
      </c>
      <c r="E114" s="216"/>
      <c r="F114" s="334"/>
      <c r="G114" s="476">
        <f>D200</f>
        <v>62525</v>
      </c>
      <c r="H114" s="519">
        <f>'Project Plan'!G22+7</f>
        <v>45988</v>
      </c>
      <c r="I114" s="749">
        <f>SUM(G114:G125)</f>
        <v>198850</v>
      </c>
      <c r="J114" s="719">
        <f>F200+F201</f>
        <v>220944</v>
      </c>
      <c r="K114" s="190"/>
      <c r="L114" s="213">
        <v>9</v>
      </c>
      <c r="M114" s="320" t="s">
        <v>435</v>
      </c>
      <c r="N114" s="229"/>
      <c r="O114" s="431"/>
      <c r="P114" s="334"/>
      <c r="Q114" s="217"/>
      <c r="R114" s="466"/>
      <c r="S114" s="488"/>
      <c r="T114" s="416" t="str">
        <f t="shared" si="16"/>
        <v/>
      </c>
      <c r="U114" s="402">
        <f t="shared" ref="U114:U125" si="17">(Q114/$X$114*$J$114)</f>
        <v>0</v>
      </c>
      <c r="V114" s="734">
        <f>J114-SUM(U114:U125)</f>
        <v>0</v>
      </c>
      <c r="W114" s="458"/>
      <c r="X114" s="716">
        <f>SUM(Q114:Q125)</f>
        <v>361334.00000000006</v>
      </c>
    </row>
    <row r="115" spans="1:24" ht="15" customHeight="1">
      <c r="B115" s="213">
        <v>9</v>
      </c>
      <c r="C115" s="339"/>
      <c r="D115" s="230" t="s">
        <v>436</v>
      </c>
      <c r="E115" s="216"/>
      <c r="F115" s="355"/>
      <c r="G115" s="476">
        <f>D201</f>
        <v>136325</v>
      </c>
      <c r="H115" s="518">
        <f>'Project Plan'!G29+7</f>
        <v>45992</v>
      </c>
      <c r="I115" s="750"/>
      <c r="J115" s="720"/>
      <c r="K115" s="190"/>
      <c r="L115" s="213">
        <v>9</v>
      </c>
      <c r="M115" s="320" t="s">
        <v>435</v>
      </c>
      <c r="N115" s="230" t="s">
        <v>354</v>
      </c>
      <c r="O115" s="448">
        <f>AF29+AF30</f>
        <v>361334</v>
      </c>
      <c r="P115" s="449">
        <v>0.1</v>
      </c>
      <c r="Q115" s="217">
        <f t="shared" ref="Q115:Q122" si="18">$O$115*P115</f>
        <v>36133.4</v>
      </c>
      <c r="R115" s="763" t="s">
        <v>355</v>
      </c>
      <c r="S115" s="481" t="s">
        <v>437</v>
      </c>
      <c r="T115" s="620">
        <v>45961</v>
      </c>
      <c r="U115" s="635">
        <v>22094.399999999998</v>
      </c>
      <c r="V115" s="735"/>
      <c r="W115" s="624">
        <v>45960</v>
      </c>
      <c r="X115" s="717"/>
    </row>
    <row r="116" spans="1:24" ht="15" customHeight="1">
      <c r="B116" s="282">
        <v>9</v>
      </c>
      <c r="C116" s="391"/>
      <c r="D116" s="284"/>
      <c r="E116" s="305"/>
      <c r="F116" s="341"/>
      <c r="G116" s="285"/>
      <c r="H116" s="527"/>
      <c r="I116" s="750"/>
      <c r="J116" s="720"/>
      <c r="K116" s="190"/>
      <c r="L116" s="282">
        <v>9</v>
      </c>
      <c r="M116" s="392" t="s">
        <v>435</v>
      </c>
      <c r="N116" s="284" t="s">
        <v>140</v>
      </c>
      <c r="O116" s="432"/>
      <c r="P116" s="447">
        <v>0.15</v>
      </c>
      <c r="Q116" s="217">
        <f t="shared" si="18"/>
        <v>54200.1</v>
      </c>
      <c r="R116" s="765"/>
      <c r="S116" s="482" t="s">
        <v>360</v>
      </c>
      <c r="T116" s="630">
        <v>45961</v>
      </c>
      <c r="U116" s="635">
        <v>33141.599999999991</v>
      </c>
      <c r="V116" s="735"/>
      <c r="W116" s="643">
        <v>45967</v>
      </c>
      <c r="X116" s="717"/>
    </row>
    <row r="117" spans="1:24" ht="15" customHeight="1">
      <c r="B117" s="282">
        <v>9</v>
      </c>
      <c r="C117" s="391"/>
      <c r="D117" s="284"/>
      <c r="E117" s="305"/>
      <c r="F117" s="341"/>
      <c r="G117" s="285"/>
      <c r="H117" s="527"/>
      <c r="I117" s="750"/>
      <c r="J117" s="720"/>
      <c r="K117" s="190"/>
      <c r="L117" s="282">
        <v>9</v>
      </c>
      <c r="M117" s="392" t="s">
        <v>435</v>
      </c>
      <c r="N117" s="284" t="s">
        <v>363</v>
      </c>
      <c r="O117" s="432"/>
      <c r="P117" s="447">
        <v>0.2</v>
      </c>
      <c r="Q117" s="217">
        <f t="shared" si="18"/>
        <v>72266.8</v>
      </c>
      <c r="R117" s="765"/>
      <c r="S117" s="482" t="s">
        <v>364</v>
      </c>
      <c r="T117" s="527">
        <f t="shared" si="16"/>
        <v>46022</v>
      </c>
      <c r="U117" s="635">
        <v>44188.799999999996</v>
      </c>
      <c r="V117" s="735"/>
      <c r="W117" s="643">
        <v>46003</v>
      </c>
      <c r="X117" s="717"/>
    </row>
    <row r="118" spans="1:24" ht="15" customHeight="1">
      <c r="B118" s="282">
        <v>9</v>
      </c>
      <c r="C118" s="391"/>
      <c r="D118" s="284"/>
      <c r="E118" s="305"/>
      <c r="F118" s="341"/>
      <c r="G118" s="285"/>
      <c r="H118" s="527"/>
      <c r="I118" s="750"/>
      <c r="J118" s="720"/>
      <c r="K118" s="190"/>
      <c r="L118" s="282">
        <v>9</v>
      </c>
      <c r="M118" s="392" t="s">
        <v>435</v>
      </c>
      <c r="N118" s="284" t="s">
        <v>367</v>
      </c>
      <c r="O118" s="432"/>
      <c r="P118" s="447">
        <v>0.25</v>
      </c>
      <c r="Q118" s="217">
        <f t="shared" si="18"/>
        <v>90333.5</v>
      </c>
      <c r="R118" s="765"/>
      <c r="S118" s="482" t="s">
        <v>368</v>
      </c>
      <c r="T118" s="527">
        <v>46022</v>
      </c>
      <c r="U118" s="635">
        <v>55235.999999999993</v>
      </c>
      <c r="V118" s="735"/>
      <c r="W118" s="643">
        <v>46003</v>
      </c>
      <c r="X118" s="717"/>
    </row>
    <row r="119" spans="1:24" ht="15" customHeight="1">
      <c r="B119" s="282">
        <v>9</v>
      </c>
      <c r="C119" s="391"/>
      <c r="D119" s="284"/>
      <c r="E119" s="305"/>
      <c r="F119" s="341"/>
      <c r="G119" s="285"/>
      <c r="H119" s="527"/>
      <c r="I119" s="750"/>
      <c r="J119" s="720"/>
      <c r="K119" s="190"/>
      <c r="L119" s="282">
        <v>9</v>
      </c>
      <c r="M119" s="392" t="s">
        <v>435</v>
      </c>
      <c r="N119" s="284" t="s">
        <v>369</v>
      </c>
      <c r="O119" s="432"/>
      <c r="P119" s="447">
        <v>0.1</v>
      </c>
      <c r="Q119" s="217">
        <f t="shared" si="18"/>
        <v>36133.4</v>
      </c>
      <c r="R119" s="765"/>
      <c r="S119" s="482" t="s">
        <v>370</v>
      </c>
      <c r="T119" s="527">
        <f t="shared" si="16"/>
        <v>46022</v>
      </c>
      <c r="U119" s="635">
        <v>22094.399999999998</v>
      </c>
      <c r="V119" s="735"/>
      <c r="W119" s="643">
        <v>46003</v>
      </c>
      <c r="X119" s="717"/>
    </row>
    <row r="120" spans="1:24" ht="15" customHeight="1">
      <c r="B120" s="282">
        <v>9</v>
      </c>
      <c r="C120" s="391"/>
      <c r="D120" s="284"/>
      <c r="E120" s="305"/>
      <c r="F120" s="341"/>
      <c r="G120" s="285"/>
      <c r="H120" s="527"/>
      <c r="I120" s="750"/>
      <c r="J120" s="720"/>
      <c r="K120" s="190"/>
      <c r="L120" s="282">
        <v>9</v>
      </c>
      <c r="M120" s="392" t="s">
        <v>435</v>
      </c>
      <c r="N120" s="284" t="s">
        <v>371</v>
      </c>
      <c r="O120" s="692">
        <f>Q120+Q136+Q64+Q37</f>
        <v>101512.13800000001</v>
      </c>
      <c r="P120" s="447">
        <v>0.1</v>
      </c>
      <c r="Q120" s="217">
        <f t="shared" si="18"/>
        <v>36133.4</v>
      </c>
      <c r="R120" s="765"/>
      <c r="S120" s="482" t="s">
        <v>438</v>
      </c>
      <c r="T120" s="527">
        <v>46022</v>
      </c>
      <c r="U120" s="635">
        <v>22094.399999999998</v>
      </c>
      <c r="V120" s="735"/>
      <c r="W120" s="643">
        <v>46015</v>
      </c>
      <c r="X120" s="717"/>
    </row>
    <row r="121" spans="1:24" ht="15" customHeight="1">
      <c r="B121" s="282">
        <v>9</v>
      </c>
      <c r="C121" s="391"/>
      <c r="D121" s="284"/>
      <c r="E121" s="305"/>
      <c r="F121" s="341"/>
      <c r="G121" s="285"/>
      <c r="H121" s="527"/>
      <c r="I121" s="750"/>
      <c r="J121" s="720"/>
      <c r="K121" s="190"/>
      <c r="L121" s="282">
        <v>9</v>
      </c>
      <c r="M121" s="392" t="s">
        <v>435</v>
      </c>
      <c r="N121" s="284" t="s">
        <v>372</v>
      </c>
      <c r="O121" s="432"/>
      <c r="P121" s="447">
        <v>0.05</v>
      </c>
      <c r="Q121" s="217">
        <f t="shared" si="18"/>
        <v>18066.7</v>
      </c>
      <c r="R121" s="765"/>
      <c r="S121" s="482" t="s">
        <v>373</v>
      </c>
      <c r="T121" s="527">
        <v>46022</v>
      </c>
      <c r="U121" s="635">
        <v>11047.199999999999</v>
      </c>
      <c r="V121" s="735"/>
      <c r="W121" s="643">
        <v>46051</v>
      </c>
      <c r="X121" s="717"/>
    </row>
    <row r="122" spans="1:24" ht="15" customHeight="1">
      <c r="B122" s="282">
        <v>9</v>
      </c>
      <c r="C122" s="391"/>
      <c r="D122" s="284"/>
      <c r="E122" s="305"/>
      <c r="F122" s="341"/>
      <c r="G122" s="285"/>
      <c r="H122" s="527"/>
      <c r="I122" s="750"/>
      <c r="J122" s="720"/>
      <c r="K122" s="190"/>
      <c r="L122" s="282">
        <v>9</v>
      </c>
      <c r="M122" s="392" t="s">
        <v>435</v>
      </c>
      <c r="N122" s="284" t="s">
        <v>374</v>
      </c>
      <c r="O122" s="432"/>
      <c r="P122" s="447">
        <v>0.05</v>
      </c>
      <c r="Q122" s="217">
        <f t="shared" si="18"/>
        <v>18066.7</v>
      </c>
      <c r="R122" s="711"/>
      <c r="S122" s="482"/>
      <c r="T122" s="410">
        <f t="shared" si="16"/>
        <v>46081</v>
      </c>
      <c r="U122" s="395">
        <f t="shared" si="17"/>
        <v>11047.199999999999</v>
      </c>
      <c r="V122" s="735"/>
      <c r="W122" s="452">
        <f>W121+30</f>
        <v>46081</v>
      </c>
      <c r="X122" s="717"/>
    </row>
    <row r="123" spans="1:24" ht="15" customHeight="1">
      <c r="B123" s="282">
        <v>9</v>
      </c>
      <c r="C123" s="391"/>
      <c r="D123" s="284"/>
      <c r="E123" s="305"/>
      <c r="F123" s="341"/>
      <c r="G123" s="285"/>
      <c r="H123" s="527"/>
      <c r="I123" s="750"/>
      <c r="J123" s="720"/>
      <c r="K123" s="190"/>
      <c r="L123" s="282">
        <v>9</v>
      </c>
      <c r="M123" s="392" t="s">
        <v>435</v>
      </c>
      <c r="N123" s="284"/>
      <c r="O123" s="432"/>
      <c r="P123" s="341"/>
      <c r="Q123" s="285"/>
      <c r="R123" s="645"/>
      <c r="S123" s="482"/>
      <c r="T123" s="410" t="str">
        <f t="shared" si="16"/>
        <v/>
      </c>
      <c r="U123" s="395">
        <f t="shared" si="17"/>
        <v>0</v>
      </c>
      <c r="V123" s="735"/>
      <c r="W123" s="452"/>
      <c r="X123" s="717"/>
    </row>
    <row r="124" spans="1:24" ht="15" customHeight="1">
      <c r="B124" s="282">
        <v>9</v>
      </c>
      <c r="C124" s="391"/>
      <c r="D124" s="284"/>
      <c r="E124" s="305"/>
      <c r="F124" s="341"/>
      <c r="G124" s="285"/>
      <c r="H124" s="527"/>
      <c r="I124" s="750"/>
      <c r="J124" s="720"/>
      <c r="K124" s="190"/>
      <c r="L124" s="282">
        <v>9</v>
      </c>
      <c r="M124" s="392" t="s">
        <v>435</v>
      </c>
      <c r="N124" s="284"/>
      <c r="O124" s="432"/>
      <c r="P124" s="341"/>
      <c r="Q124" s="285"/>
      <c r="R124" s="645"/>
      <c r="S124" s="482"/>
      <c r="T124" s="410"/>
      <c r="U124" s="395">
        <f t="shared" si="17"/>
        <v>0</v>
      </c>
      <c r="V124" s="735"/>
      <c r="W124" s="452"/>
      <c r="X124" s="717"/>
    </row>
    <row r="125" spans="1:24" ht="15" customHeight="1" thickBot="1">
      <c r="B125" s="218">
        <v>9</v>
      </c>
      <c r="C125" s="335"/>
      <c r="D125" s="231"/>
      <c r="E125" s="220"/>
      <c r="F125" s="356"/>
      <c r="G125" s="232"/>
      <c r="H125" s="528"/>
      <c r="I125" s="751"/>
      <c r="J125" s="721"/>
      <c r="K125" s="265"/>
      <c r="L125" s="218">
        <v>9</v>
      </c>
      <c r="M125" s="338" t="s">
        <v>435</v>
      </c>
      <c r="N125" s="231"/>
      <c r="O125" s="433"/>
      <c r="P125" s="356"/>
      <c r="Q125" s="232"/>
      <c r="R125" s="646"/>
      <c r="S125" s="483"/>
      <c r="T125" s="411" t="str">
        <f t="shared" si="16"/>
        <v/>
      </c>
      <c r="U125" s="396">
        <f t="shared" si="17"/>
        <v>0</v>
      </c>
      <c r="V125" s="736"/>
      <c r="W125" s="453"/>
      <c r="X125" s="718"/>
    </row>
    <row r="126" spans="1:24" ht="13.9" thickBot="1">
      <c r="A126" s="4"/>
      <c r="B126" s="192"/>
      <c r="C126" s="209"/>
      <c r="D126" s="210"/>
      <c r="E126" s="193"/>
      <c r="F126" s="352"/>
      <c r="G126" s="194"/>
      <c r="H126" s="529"/>
      <c r="I126" s="523"/>
      <c r="J126" s="301"/>
      <c r="K126" s="4"/>
      <c r="L126" s="192"/>
      <c r="M126" s="209"/>
      <c r="N126" s="210"/>
      <c r="O126" s="434"/>
      <c r="P126" s="352"/>
      <c r="Q126" s="194"/>
      <c r="R126" s="647"/>
      <c r="S126" s="484"/>
      <c r="T126" s="412" t="str">
        <f t="shared" si="16"/>
        <v/>
      </c>
      <c r="U126" s="401"/>
      <c r="V126" s="383"/>
      <c r="W126" s="454"/>
      <c r="X126" s="523"/>
    </row>
    <row r="127" spans="1:24" ht="14.25" customHeight="1">
      <c r="B127" s="171">
        <v>10</v>
      </c>
      <c r="C127" s="172" t="s">
        <v>439</v>
      </c>
      <c r="D127" s="172" t="s">
        <v>319</v>
      </c>
      <c r="E127" s="173"/>
      <c r="F127" s="366"/>
      <c r="G127" s="240">
        <f>D204</f>
        <v>8500</v>
      </c>
      <c r="H127" s="537">
        <f>H114</f>
        <v>45988</v>
      </c>
      <c r="I127" s="743">
        <f>SUM(G127:G141)</f>
        <v>56854.45</v>
      </c>
      <c r="J127" s="746">
        <f>F204+F207+F208+F206+F205</f>
        <v>63171</v>
      </c>
      <c r="K127" s="241"/>
      <c r="L127" s="171">
        <v>10</v>
      </c>
      <c r="M127" s="331" t="s">
        <v>440</v>
      </c>
      <c r="N127" s="172" t="s">
        <v>441</v>
      </c>
      <c r="O127" s="442"/>
      <c r="P127" s="366"/>
      <c r="Q127" s="240">
        <v>28000</v>
      </c>
      <c r="R127" s="656" t="s">
        <v>442</v>
      </c>
      <c r="S127" s="493" t="s">
        <v>443</v>
      </c>
      <c r="T127" s="537">
        <v>46022</v>
      </c>
      <c r="U127" s="641">
        <v>10041.34475682188</v>
      </c>
      <c r="V127" s="752">
        <f>J127-SUM(U127:U141)</f>
        <v>-7.5403777009341866E-4</v>
      </c>
      <c r="W127" s="691">
        <v>46003</v>
      </c>
      <c r="X127" s="743">
        <f>SUM(Q127:Q141)</f>
        <v>176150.50999999998</v>
      </c>
    </row>
    <row r="128" spans="1:24" ht="14.25" customHeight="1">
      <c r="B128" s="242">
        <v>10</v>
      </c>
      <c r="C128" s="243"/>
      <c r="D128" s="243" t="s">
        <v>320</v>
      </c>
      <c r="E128" s="244"/>
      <c r="F128" s="367"/>
      <c r="G128" s="245">
        <f>D208</f>
        <v>17326.669999999998</v>
      </c>
      <c r="H128" s="538">
        <f>H114</f>
        <v>45988</v>
      </c>
      <c r="I128" s="744"/>
      <c r="J128" s="747"/>
      <c r="K128" s="174"/>
      <c r="L128" s="242">
        <v>10</v>
      </c>
      <c r="M128" s="332" t="s">
        <v>440</v>
      </c>
      <c r="N128" s="243"/>
      <c r="O128" s="443"/>
      <c r="P128" s="367"/>
      <c r="Q128" s="245"/>
      <c r="R128" s="657"/>
      <c r="S128" s="494"/>
      <c r="T128" s="422" t="str">
        <f t="shared" si="16"/>
        <v/>
      </c>
      <c r="U128" s="502">
        <f t="shared" ref="U128:U140" si="19">(Q128/$X$127*$J$127)</f>
        <v>0</v>
      </c>
      <c r="V128" s="753"/>
      <c r="W128" s="463"/>
      <c r="X128" s="744"/>
    </row>
    <row r="129" spans="1:24" ht="14.25" customHeight="1">
      <c r="B129" s="242">
        <v>10</v>
      </c>
      <c r="C129" s="243"/>
      <c r="D129" s="243" t="s">
        <v>441</v>
      </c>
      <c r="E129" s="244"/>
      <c r="F129" s="367"/>
      <c r="G129" s="245">
        <f>D207</f>
        <v>30000</v>
      </c>
      <c r="H129" s="538">
        <f>H114</f>
        <v>45988</v>
      </c>
      <c r="I129" s="744"/>
      <c r="J129" s="747"/>
      <c r="K129" s="174"/>
      <c r="L129" s="242">
        <v>10</v>
      </c>
      <c r="M129" s="332" t="s">
        <v>440</v>
      </c>
      <c r="N129" s="243"/>
      <c r="O129" s="443"/>
      <c r="P129" s="367"/>
      <c r="Q129" s="245"/>
      <c r="R129" s="657"/>
      <c r="S129" s="494"/>
      <c r="T129" s="422" t="str">
        <f t="shared" si="16"/>
        <v/>
      </c>
      <c r="U129" s="407">
        <f t="shared" si="19"/>
        <v>0</v>
      </c>
      <c r="V129" s="753"/>
      <c r="W129" s="463"/>
      <c r="X129" s="744"/>
    </row>
    <row r="130" spans="1:24" ht="14.25" customHeight="1">
      <c r="B130" s="242">
        <v>10</v>
      </c>
      <c r="C130" s="243"/>
      <c r="D130" s="243" t="s">
        <v>321</v>
      </c>
      <c r="E130" s="244"/>
      <c r="F130" s="367"/>
      <c r="G130" s="245">
        <f>D206</f>
        <v>1027.78</v>
      </c>
      <c r="H130" s="538">
        <f>H114</f>
        <v>45988</v>
      </c>
      <c r="I130" s="744"/>
      <c r="J130" s="747"/>
      <c r="K130" s="174"/>
      <c r="L130" s="242">
        <v>10</v>
      </c>
      <c r="M130" s="332" t="s">
        <v>440</v>
      </c>
      <c r="N130" s="243"/>
      <c r="O130" s="443"/>
      <c r="P130" s="367"/>
      <c r="Q130" s="245"/>
      <c r="R130" s="657"/>
      <c r="S130" s="494"/>
      <c r="T130" s="422" t="str">
        <f t="shared" si="16"/>
        <v/>
      </c>
      <c r="U130" s="407">
        <f t="shared" si="19"/>
        <v>0</v>
      </c>
      <c r="V130" s="753"/>
      <c r="W130" s="463"/>
      <c r="X130" s="744"/>
    </row>
    <row r="131" spans="1:24" ht="14.25" customHeight="1">
      <c r="B131" s="242">
        <v>10</v>
      </c>
      <c r="C131" s="243"/>
      <c r="D131" s="243"/>
      <c r="E131" s="244"/>
      <c r="F131" s="367"/>
      <c r="G131" s="245"/>
      <c r="H131" s="539"/>
      <c r="I131" s="744"/>
      <c r="J131" s="747"/>
      <c r="K131" s="174"/>
      <c r="L131" s="242">
        <v>10</v>
      </c>
      <c r="M131" s="332" t="s">
        <v>440</v>
      </c>
      <c r="N131" s="243" t="s">
        <v>354</v>
      </c>
      <c r="O131" s="475">
        <f>SUM(AF31:AF34)</f>
        <v>148150.5</v>
      </c>
      <c r="P131" s="450">
        <v>0.1</v>
      </c>
      <c r="Q131" s="245">
        <f t="shared" ref="Q131:Q136" si="20">$O$131*P131</f>
        <v>14815.050000000001</v>
      </c>
      <c r="R131" s="758" t="s">
        <v>355</v>
      </c>
      <c r="S131" s="495" t="str">
        <f>S115</f>
        <v>The Greenway INV0001528</v>
      </c>
      <c r="T131" s="621">
        <f>T115</f>
        <v>45961</v>
      </c>
      <c r="U131" s="640">
        <v>5312.9654673134628</v>
      </c>
      <c r="V131" s="753"/>
      <c r="W131" s="626">
        <f>W115</f>
        <v>45960</v>
      </c>
      <c r="X131" s="744"/>
    </row>
    <row r="132" spans="1:24" ht="14.25" customHeight="1">
      <c r="B132" s="242">
        <v>10</v>
      </c>
      <c r="C132" s="243"/>
      <c r="D132" s="243"/>
      <c r="E132" s="244"/>
      <c r="F132" s="367"/>
      <c r="G132" s="245"/>
      <c r="H132" s="539"/>
      <c r="I132" s="744"/>
      <c r="J132" s="747"/>
      <c r="K132" s="174"/>
      <c r="L132" s="242">
        <v>10</v>
      </c>
      <c r="M132" s="332" t="s">
        <v>440</v>
      </c>
      <c r="N132" s="243" t="s">
        <v>140</v>
      </c>
      <c r="O132" s="443"/>
      <c r="P132" s="450">
        <v>0.15</v>
      </c>
      <c r="Q132" s="245">
        <f t="shared" si="20"/>
        <v>22222.575000000001</v>
      </c>
      <c r="R132" s="759"/>
      <c r="S132" s="495" t="s">
        <v>360</v>
      </c>
      <c r="T132" s="631">
        <f t="shared" ref="T132:T138" si="21">T116</f>
        <v>45961</v>
      </c>
      <c r="U132" s="640">
        <v>7969.4482009701942</v>
      </c>
      <c r="V132" s="753"/>
      <c r="W132" s="642">
        <f t="shared" ref="W132:W138" si="22">W116</f>
        <v>45967</v>
      </c>
      <c r="X132" s="744"/>
    </row>
    <row r="133" spans="1:24" ht="14.25" customHeight="1">
      <c r="B133" s="242">
        <v>10</v>
      </c>
      <c r="C133" s="243"/>
      <c r="D133" s="243"/>
      <c r="E133" s="244"/>
      <c r="F133" s="367"/>
      <c r="G133" s="245"/>
      <c r="H133" s="539"/>
      <c r="I133" s="744"/>
      <c r="J133" s="747"/>
      <c r="K133" s="174"/>
      <c r="L133" s="242">
        <v>10</v>
      </c>
      <c r="M133" s="332" t="s">
        <v>440</v>
      </c>
      <c r="N133" s="243" t="s">
        <v>363</v>
      </c>
      <c r="O133" s="443"/>
      <c r="P133" s="450">
        <v>0.2</v>
      </c>
      <c r="Q133" s="245">
        <f t="shared" si="20"/>
        <v>29630.100000000002</v>
      </c>
      <c r="R133" s="759"/>
      <c r="S133" s="495" t="s">
        <v>364</v>
      </c>
      <c r="T133" s="539">
        <f t="shared" si="21"/>
        <v>46022</v>
      </c>
      <c r="U133" s="640">
        <v>10625.930331396716</v>
      </c>
      <c r="V133" s="753"/>
      <c r="W133" s="642">
        <f t="shared" si="22"/>
        <v>46003</v>
      </c>
      <c r="X133" s="744"/>
    </row>
    <row r="134" spans="1:24" ht="14.25" customHeight="1">
      <c r="B134" s="242">
        <v>10</v>
      </c>
      <c r="C134" s="243"/>
      <c r="D134" s="243"/>
      <c r="E134" s="244"/>
      <c r="F134" s="367"/>
      <c r="G134" s="245"/>
      <c r="H134" s="539"/>
      <c r="I134" s="744"/>
      <c r="J134" s="747"/>
      <c r="K134" s="174"/>
      <c r="L134" s="242">
        <v>10</v>
      </c>
      <c r="M134" s="332" t="s">
        <v>440</v>
      </c>
      <c r="N134" s="243" t="s">
        <v>367</v>
      </c>
      <c r="O134" s="443"/>
      <c r="P134" s="450">
        <v>0.25</v>
      </c>
      <c r="Q134" s="245">
        <f t="shared" si="20"/>
        <v>37037.625</v>
      </c>
      <c r="R134" s="759"/>
      <c r="S134" s="495" t="s">
        <v>368</v>
      </c>
      <c r="T134" s="539">
        <f t="shared" si="21"/>
        <v>46022</v>
      </c>
      <c r="U134" s="640">
        <v>13282.412914245893</v>
      </c>
      <c r="V134" s="753"/>
      <c r="W134" s="642">
        <f t="shared" si="22"/>
        <v>46003</v>
      </c>
      <c r="X134" s="744"/>
    </row>
    <row r="135" spans="1:24" ht="14.25" customHeight="1">
      <c r="B135" s="242">
        <v>10</v>
      </c>
      <c r="C135" s="243"/>
      <c r="D135" s="243"/>
      <c r="E135" s="244"/>
      <c r="F135" s="367"/>
      <c r="G135" s="245"/>
      <c r="H135" s="539"/>
      <c r="I135" s="744"/>
      <c r="J135" s="747"/>
      <c r="K135" s="174"/>
      <c r="L135" s="242">
        <v>10</v>
      </c>
      <c r="M135" s="332" t="s">
        <v>440</v>
      </c>
      <c r="N135" s="243" t="s">
        <v>369</v>
      </c>
      <c r="O135" s="443"/>
      <c r="P135" s="450">
        <v>0.1</v>
      </c>
      <c r="Q135" s="245">
        <f t="shared" si="20"/>
        <v>14815.050000000001</v>
      </c>
      <c r="R135" s="759"/>
      <c r="S135" s="495" t="s">
        <v>370</v>
      </c>
      <c r="T135" s="539">
        <f t="shared" si="21"/>
        <v>46022</v>
      </c>
      <c r="U135" s="640">
        <v>5312.9651656983579</v>
      </c>
      <c r="V135" s="753"/>
      <c r="W135" s="642">
        <f t="shared" si="22"/>
        <v>46003</v>
      </c>
      <c r="X135" s="744"/>
    </row>
    <row r="136" spans="1:24" ht="14.25" customHeight="1">
      <c r="B136" s="242">
        <v>10</v>
      </c>
      <c r="C136" s="243"/>
      <c r="D136" s="243"/>
      <c r="E136" s="244"/>
      <c r="F136" s="367"/>
      <c r="G136" s="245"/>
      <c r="H136" s="539"/>
      <c r="I136" s="744"/>
      <c r="J136" s="747"/>
      <c r="K136" s="174"/>
      <c r="L136" s="242">
        <v>10</v>
      </c>
      <c r="M136" s="332" t="s">
        <v>440</v>
      </c>
      <c r="N136" s="243" t="s">
        <v>371</v>
      </c>
      <c r="O136" s="443"/>
      <c r="P136" s="450">
        <v>0.1</v>
      </c>
      <c r="Q136" s="245">
        <f t="shared" si="20"/>
        <v>14815.050000000001</v>
      </c>
      <c r="R136" s="759"/>
      <c r="S136" s="495" t="str">
        <f>S120</f>
        <v>The Greenway INV0001564</v>
      </c>
      <c r="T136" s="539">
        <f t="shared" si="21"/>
        <v>46022</v>
      </c>
      <c r="U136" s="640">
        <v>5312.9651656983579</v>
      </c>
      <c r="V136" s="753"/>
      <c r="W136" s="642">
        <f t="shared" si="22"/>
        <v>46015</v>
      </c>
      <c r="X136" s="744"/>
    </row>
    <row r="137" spans="1:24" ht="14.25" customHeight="1">
      <c r="B137" s="242">
        <v>10</v>
      </c>
      <c r="C137" s="243"/>
      <c r="D137" s="243"/>
      <c r="E137" s="244"/>
      <c r="F137" s="367"/>
      <c r="G137" s="245"/>
      <c r="H137" s="539"/>
      <c r="I137" s="744"/>
      <c r="J137" s="747"/>
      <c r="K137" s="174"/>
      <c r="L137" s="242">
        <v>10</v>
      </c>
      <c r="M137" s="332" t="s">
        <v>440</v>
      </c>
      <c r="N137" s="243" t="s">
        <v>372</v>
      </c>
      <c r="O137" s="443"/>
      <c r="P137" s="450">
        <v>0.05</v>
      </c>
      <c r="Q137" s="698">
        <v>7407.53</v>
      </c>
      <c r="R137" s="759"/>
      <c r="S137" s="495" t="s">
        <v>373</v>
      </c>
      <c r="T137" s="539">
        <f t="shared" si="21"/>
        <v>46022</v>
      </c>
      <c r="U137" s="640">
        <v>2656.4843759464566</v>
      </c>
      <c r="V137" s="753"/>
      <c r="W137" s="642">
        <f t="shared" si="22"/>
        <v>46051</v>
      </c>
      <c r="X137" s="744"/>
    </row>
    <row r="138" spans="1:24" ht="14.25" customHeight="1">
      <c r="B138" s="242">
        <v>10</v>
      </c>
      <c r="C138" s="243"/>
      <c r="D138" s="243"/>
      <c r="E138" s="244"/>
      <c r="F138" s="367"/>
      <c r="G138" s="245"/>
      <c r="H138" s="539"/>
      <c r="I138" s="744"/>
      <c r="J138" s="747"/>
      <c r="K138" s="174"/>
      <c r="L138" s="242">
        <v>10</v>
      </c>
      <c r="M138" s="332" t="s">
        <v>440</v>
      </c>
      <c r="N138" s="243" t="s">
        <v>374</v>
      </c>
      <c r="O138" s="443"/>
      <c r="P138" s="450">
        <v>0.05</v>
      </c>
      <c r="Q138" s="245">
        <v>7407.53</v>
      </c>
      <c r="R138" s="760"/>
      <c r="S138" s="495"/>
      <c r="T138" s="423">
        <f t="shared" si="21"/>
        <v>46081</v>
      </c>
      <c r="U138" s="407">
        <f t="shared" si="19"/>
        <v>2656.4843759464566</v>
      </c>
      <c r="V138" s="753"/>
      <c r="W138" s="464">
        <f t="shared" si="22"/>
        <v>46081</v>
      </c>
      <c r="X138" s="744"/>
    </row>
    <row r="139" spans="1:24" ht="14.25" customHeight="1">
      <c r="B139" s="242">
        <v>10</v>
      </c>
      <c r="C139" s="243"/>
      <c r="D139" s="243"/>
      <c r="E139" s="244"/>
      <c r="F139" s="367"/>
      <c r="G139" s="245"/>
      <c r="H139" s="539"/>
      <c r="I139" s="744"/>
      <c r="J139" s="747"/>
      <c r="K139" s="174"/>
      <c r="L139" s="242">
        <v>10</v>
      </c>
      <c r="M139" s="332" t="s">
        <v>440</v>
      </c>
      <c r="N139" s="243"/>
      <c r="O139" s="443"/>
      <c r="P139" s="367"/>
      <c r="Q139" s="245"/>
      <c r="R139" s="658"/>
      <c r="S139" s="495"/>
      <c r="T139" s="423" t="str">
        <f t="shared" si="16"/>
        <v/>
      </c>
      <c r="U139" s="407">
        <f t="shared" si="19"/>
        <v>0</v>
      </c>
      <c r="V139" s="753"/>
      <c r="W139" s="464"/>
      <c r="X139" s="744"/>
    </row>
    <row r="140" spans="1:24" ht="14.25" customHeight="1">
      <c r="B140" s="242">
        <v>10</v>
      </c>
      <c r="C140" s="243"/>
      <c r="D140" s="243"/>
      <c r="E140" s="244"/>
      <c r="F140" s="367"/>
      <c r="G140" s="245"/>
      <c r="H140" s="539"/>
      <c r="I140" s="744"/>
      <c r="J140" s="747"/>
      <c r="K140" s="174"/>
      <c r="L140" s="242">
        <v>10</v>
      </c>
      <c r="M140" s="332" t="s">
        <v>440</v>
      </c>
      <c r="N140" s="243"/>
      <c r="O140" s="443"/>
      <c r="P140" s="367"/>
      <c r="Q140" s="245"/>
      <c r="R140" s="658"/>
      <c r="S140" s="495"/>
      <c r="T140" s="423" t="str">
        <f t="shared" si="16"/>
        <v/>
      </c>
      <c r="U140" s="407">
        <f t="shared" si="19"/>
        <v>0</v>
      </c>
      <c r="V140" s="753"/>
      <c r="W140" s="464"/>
      <c r="X140" s="744"/>
    </row>
    <row r="141" spans="1:24" ht="15" customHeight="1" thickBot="1">
      <c r="B141" s="175">
        <v>10</v>
      </c>
      <c r="C141" s="246"/>
      <c r="D141" s="246"/>
      <c r="E141" s="247"/>
      <c r="F141" s="368"/>
      <c r="G141" s="176"/>
      <c r="H141" s="540"/>
      <c r="I141" s="745"/>
      <c r="J141" s="748"/>
      <c r="K141" s="177"/>
      <c r="L141" s="175">
        <v>10</v>
      </c>
      <c r="M141" s="333" t="s">
        <v>440</v>
      </c>
      <c r="N141" s="246"/>
      <c r="O141" s="444"/>
      <c r="P141" s="368"/>
      <c r="Q141" s="176"/>
      <c r="R141" s="659"/>
      <c r="S141" s="496"/>
      <c r="T141" s="424" t="str">
        <f t="shared" si="16"/>
        <v/>
      </c>
      <c r="U141" s="408"/>
      <c r="V141" s="754"/>
      <c r="W141" s="465"/>
      <c r="X141" s="745"/>
    </row>
    <row r="142" spans="1:24" ht="13.9" thickBot="1">
      <c r="A142" s="4"/>
      <c r="B142" s="178"/>
      <c r="C142" s="179"/>
      <c r="D142" s="179"/>
      <c r="E142" s="193"/>
      <c r="F142" s="352"/>
      <c r="G142" s="181"/>
      <c r="H142" s="532"/>
      <c r="I142" s="523"/>
      <c r="J142" s="301"/>
      <c r="K142" s="4"/>
      <c r="L142" s="178"/>
      <c r="M142" s="179"/>
      <c r="N142" s="179"/>
      <c r="O142" s="434"/>
      <c r="P142" s="352"/>
      <c r="Q142" s="512"/>
      <c r="R142" s="651"/>
      <c r="S142" s="489"/>
      <c r="T142" s="412" t="str">
        <f t="shared" si="16"/>
        <v/>
      </c>
      <c r="U142" s="397"/>
      <c r="V142" s="384"/>
      <c r="W142" s="454"/>
      <c r="X142" s="523"/>
    </row>
    <row r="143" spans="1:24" ht="14.25" customHeight="1">
      <c r="B143" s="183">
        <v>11</v>
      </c>
      <c r="C143" s="184" t="s">
        <v>444</v>
      </c>
      <c r="D143" s="253" t="s">
        <v>445</v>
      </c>
      <c r="E143" s="185"/>
      <c r="F143" s="334"/>
      <c r="G143" s="186">
        <v>11000</v>
      </c>
      <c r="H143" s="519">
        <f>'Project Plan'!G40</f>
        <v>45995</v>
      </c>
      <c r="I143" s="716">
        <f>SUM(G143:G149)</f>
        <v>29000</v>
      </c>
      <c r="J143" s="719">
        <f>F203</f>
        <v>32222</v>
      </c>
      <c r="K143" s="187"/>
      <c r="L143" s="183">
        <v>11</v>
      </c>
      <c r="M143" s="253" t="s">
        <v>446</v>
      </c>
      <c r="N143" s="253" t="s">
        <v>445</v>
      </c>
      <c r="O143" s="185"/>
      <c r="P143" s="334"/>
      <c r="Q143" s="186">
        <v>17750</v>
      </c>
      <c r="R143" s="466"/>
      <c r="S143" s="488" t="s">
        <v>447</v>
      </c>
      <c r="T143" s="519">
        <v>46022</v>
      </c>
      <c r="U143" s="635">
        <v>3664.3210490158435</v>
      </c>
      <c r="V143" s="734">
        <f>J143-SUM(U143:U149)</f>
        <v>162.32625171837935</v>
      </c>
      <c r="W143" s="685">
        <v>46045</v>
      </c>
      <c r="X143" s="716">
        <f>SUM(Q143:Q149)</f>
        <v>161123.5</v>
      </c>
    </row>
    <row r="144" spans="1:24" ht="15" customHeight="1">
      <c r="B144" s="213">
        <v>11</v>
      </c>
      <c r="C144" s="215"/>
      <c r="D144" s="215" t="s">
        <v>448</v>
      </c>
      <c r="E144" s="216"/>
      <c r="F144" s="355"/>
      <c r="G144" s="217">
        <v>18000</v>
      </c>
      <c r="H144" s="519">
        <f>H143</f>
        <v>45995</v>
      </c>
      <c r="I144" s="717"/>
      <c r="J144" s="720"/>
      <c r="K144" s="190"/>
      <c r="L144" s="213">
        <v>11</v>
      </c>
      <c r="M144" s="288" t="s">
        <v>446</v>
      </c>
      <c r="N144" s="215" t="s">
        <v>449</v>
      </c>
      <c r="O144" s="216"/>
      <c r="P144" s="355"/>
      <c r="Q144" s="217">
        <v>11373.5</v>
      </c>
      <c r="R144" s="606" t="s">
        <v>450</v>
      </c>
      <c r="S144" s="481" t="s">
        <v>451</v>
      </c>
      <c r="T144" s="604">
        <v>45961</v>
      </c>
      <c r="U144" s="635">
        <v>2679.8847321043354</v>
      </c>
      <c r="V144" s="735"/>
      <c r="W144" s="624">
        <v>45960</v>
      </c>
      <c r="X144" s="717"/>
    </row>
    <row r="145" spans="1:24" ht="15" customHeight="1">
      <c r="B145" s="213">
        <v>11</v>
      </c>
      <c r="C145" s="215"/>
      <c r="D145" s="215"/>
      <c r="E145" s="216"/>
      <c r="F145" s="355"/>
      <c r="G145" s="217"/>
      <c r="H145" s="519"/>
      <c r="I145" s="717"/>
      <c r="J145" s="720"/>
      <c r="K145" s="190"/>
      <c r="L145" s="213">
        <v>11</v>
      </c>
      <c r="M145" s="288" t="s">
        <v>446</v>
      </c>
      <c r="N145" s="286" t="s">
        <v>452</v>
      </c>
      <c r="O145" s="216"/>
      <c r="P145" s="355"/>
      <c r="Q145" s="217">
        <v>6000</v>
      </c>
      <c r="R145" s="606" t="s">
        <v>453</v>
      </c>
      <c r="S145" s="481" t="s">
        <v>454</v>
      </c>
      <c r="T145" s="518">
        <v>45961</v>
      </c>
      <c r="U145" s="635">
        <v>1413.7520018135151</v>
      </c>
      <c r="V145" s="735"/>
      <c r="W145" s="616">
        <v>45954</v>
      </c>
      <c r="X145" s="717"/>
    </row>
    <row r="146" spans="1:24" ht="15" customHeight="1">
      <c r="B146" s="213">
        <v>11</v>
      </c>
      <c r="C146" s="286"/>
      <c r="D146" s="286"/>
      <c r="E146" s="305"/>
      <c r="F146" s="341"/>
      <c r="G146" s="285"/>
      <c r="H146" s="527"/>
      <c r="I146" s="717"/>
      <c r="J146" s="720"/>
      <c r="K146" s="190"/>
      <c r="L146" s="213">
        <v>11</v>
      </c>
      <c r="M146" s="288" t="s">
        <v>446</v>
      </c>
      <c r="N146" s="286" t="s">
        <v>455</v>
      </c>
      <c r="O146" s="432"/>
      <c r="P146" s="341"/>
      <c r="Q146" s="285">
        <v>6000</v>
      </c>
      <c r="R146" s="645"/>
      <c r="S146" s="482"/>
      <c r="T146" s="409">
        <v>46081</v>
      </c>
      <c r="U146" s="395">
        <f t="shared" ref="U146" si="23">(Q146/$X$143*$J$143)</f>
        <v>1199.8994560073484</v>
      </c>
      <c r="V146" s="735"/>
      <c r="W146" s="452">
        <v>46080</v>
      </c>
      <c r="X146" s="717"/>
    </row>
    <row r="147" spans="1:24" ht="15" customHeight="1">
      <c r="B147" s="282"/>
      <c r="C147" s="286"/>
      <c r="D147" s="286"/>
      <c r="E147" s="305"/>
      <c r="F147" s="341"/>
      <c r="G147" s="285"/>
      <c r="H147" s="527"/>
      <c r="I147" s="717"/>
      <c r="J147" s="720"/>
      <c r="K147" s="190"/>
      <c r="L147" s="213">
        <v>11</v>
      </c>
      <c r="M147" s="288" t="s">
        <v>446</v>
      </c>
      <c r="N147" s="286" t="s">
        <v>456</v>
      </c>
      <c r="O147" s="628">
        <v>100800</v>
      </c>
      <c r="P147" s="447">
        <v>0.25</v>
      </c>
      <c r="Q147" s="285">
        <f>O147*P147</f>
        <v>25200</v>
      </c>
      <c r="R147" s="763" t="s">
        <v>457</v>
      </c>
      <c r="S147" s="482" t="s">
        <v>458</v>
      </c>
      <c r="T147" s="527">
        <v>45961</v>
      </c>
      <c r="U147" s="635">
        <v>5937.7584076167632</v>
      </c>
      <c r="V147" s="735"/>
      <c r="W147" s="643">
        <v>45967</v>
      </c>
      <c r="X147" s="717"/>
    </row>
    <row r="148" spans="1:24" ht="15" customHeight="1">
      <c r="B148" s="282"/>
      <c r="C148" s="286"/>
      <c r="D148" s="286"/>
      <c r="E148" s="305"/>
      <c r="F148" s="341"/>
      <c r="G148" s="285"/>
      <c r="H148" s="527"/>
      <c r="I148" s="717"/>
      <c r="J148" s="720"/>
      <c r="K148" s="190"/>
      <c r="L148" s="213">
        <v>11</v>
      </c>
      <c r="M148" s="377" t="s">
        <v>446</v>
      </c>
      <c r="N148" s="286" t="s">
        <v>456</v>
      </c>
      <c r="O148" s="628"/>
      <c r="P148" s="447">
        <v>0.75</v>
      </c>
      <c r="Q148" s="285">
        <v>75600</v>
      </c>
      <c r="R148" s="764"/>
      <c r="S148" s="705" t="s">
        <v>459</v>
      </c>
      <c r="T148" s="703">
        <v>46022</v>
      </c>
      <c r="U148" s="635">
        <v>17164.058101723815</v>
      </c>
      <c r="V148" s="735"/>
      <c r="W148" s="643">
        <v>46037</v>
      </c>
      <c r="X148" s="717"/>
    </row>
    <row r="149" spans="1:24" ht="15" customHeight="1" thickBot="1">
      <c r="B149" s="218">
        <v>11</v>
      </c>
      <c r="C149" s="219"/>
      <c r="D149" s="219"/>
      <c r="E149" s="220"/>
      <c r="F149" s="356"/>
      <c r="G149" s="232"/>
      <c r="H149" s="528"/>
      <c r="I149" s="718"/>
      <c r="J149" s="721"/>
      <c r="K149" s="191"/>
      <c r="L149" s="218">
        <v>11</v>
      </c>
      <c r="M149" s="316" t="s">
        <v>446</v>
      </c>
      <c r="N149" s="219" t="s">
        <v>456</v>
      </c>
      <c r="O149" s="220"/>
      <c r="P149" s="627"/>
      <c r="Q149" s="232">
        <v>19200</v>
      </c>
      <c r="R149" s="702"/>
      <c r="S149" s="704" t="s">
        <v>561</v>
      </c>
      <c r="T149" s="528">
        <v>46081</v>
      </c>
      <c r="U149" s="638"/>
      <c r="V149" s="736"/>
      <c r="W149" s="706">
        <v>46066</v>
      </c>
      <c r="X149" s="718"/>
    </row>
    <row r="150" spans="1:24" ht="15" customHeight="1" thickBot="1">
      <c r="A150" s="4"/>
      <c r="B150" s="192"/>
      <c r="C150" s="179"/>
      <c r="D150" s="179"/>
      <c r="E150" s="193"/>
      <c r="F150" s="352"/>
      <c r="G150" s="194"/>
      <c r="H150" s="529"/>
      <c r="I150" s="523"/>
      <c r="J150" s="182"/>
      <c r="K150" s="4"/>
      <c r="L150" s="192"/>
      <c r="M150" s="179"/>
      <c r="N150" s="179"/>
      <c r="O150" s="434"/>
      <c r="P150" s="352"/>
      <c r="Q150" s="194"/>
      <c r="R150" s="647"/>
      <c r="S150" s="484"/>
      <c r="T150" s="412" t="str">
        <f t="shared" si="16"/>
        <v/>
      </c>
      <c r="U150" s="401"/>
      <c r="V150" s="383"/>
      <c r="W150" s="454"/>
      <c r="X150" s="523"/>
    </row>
    <row r="151" spans="1:24">
      <c r="B151" s="171">
        <v>12</v>
      </c>
      <c r="C151" s="172" t="s">
        <v>460</v>
      </c>
      <c r="D151" s="172" t="s">
        <v>461</v>
      </c>
      <c r="E151" s="173"/>
      <c r="F151" s="366"/>
      <c r="G151" s="240"/>
      <c r="H151" s="537"/>
      <c r="I151" s="743">
        <f>SUM(G151:G152)</f>
        <v>0</v>
      </c>
      <c r="J151" s="746">
        <v>0</v>
      </c>
      <c r="K151" s="761"/>
      <c r="L151" s="171">
        <v>12</v>
      </c>
      <c r="M151" s="172" t="s">
        <v>462</v>
      </c>
      <c r="N151" s="172" t="s">
        <v>461</v>
      </c>
      <c r="O151" s="442"/>
      <c r="P151" s="366"/>
      <c r="Q151" s="240">
        <f>G151</f>
        <v>0</v>
      </c>
      <c r="R151" s="656"/>
      <c r="S151" s="493"/>
      <c r="T151" s="421"/>
      <c r="U151" s="406"/>
      <c r="V151" s="382"/>
      <c r="W151" s="462"/>
      <c r="X151" s="743">
        <f>SUM(Q151:Q152)</f>
        <v>0</v>
      </c>
    </row>
    <row r="152" spans="1:24" ht="15" customHeight="1" thickBot="1">
      <c r="B152" s="175">
        <v>12</v>
      </c>
      <c r="C152" s="246" t="s">
        <v>460</v>
      </c>
      <c r="D152" s="246"/>
      <c r="E152" s="247"/>
      <c r="F152" s="368"/>
      <c r="G152" s="176"/>
      <c r="H152" s="540"/>
      <c r="I152" s="745"/>
      <c r="J152" s="748"/>
      <c r="K152" s="762"/>
      <c r="L152" s="175">
        <v>12</v>
      </c>
      <c r="M152" s="246" t="s">
        <v>462</v>
      </c>
      <c r="N152" s="246"/>
      <c r="O152" s="444"/>
      <c r="P152" s="368"/>
      <c r="Q152" s="176"/>
      <c r="R152" s="659"/>
      <c r="S152" s="496"/>
      <c r="T152" s="424" t="str">
        <f t="shared" si="16"/>
        <v/>
      </c>
      <c r="U152" s="408"/>
      <c r="V152" s="381"/>
      <c r="W152" s="465"/>
      <c r="X152" s="745"/>
    </row>
    <row r="153" spans="1:24" ht="14.25" thickBot="1">
      <c r="A153" s="4"/>
      <c r="B153" s="192"/>
      <c r="C153" s="179"/>
      <c r="D153" s="179"/>
      <c r="E153" s="193"/>
      <c r="F153" s="352"/>
      <c r="G153" s="194"/>
      <c r="H153" s="529"/>
      <c r="I153" s="524"/>
      <c r="J153" s="228"/>
      <c r="K153" s="4"/>
      <c r="L153" s="192"/>
      <c r="M153" s="179"/>
      <c r="N153" s="179"/>
      <c r="O153" s="434"/>
      <c r="P153" s="352"/>
      <c r="Q153" s="194"/>
      <c r="R153" s="647"/>
      <c r="S153" s="484"/>
      <c r="T153" s="412" t="str">
        <f t="shared" si="16"/>
        <v/>
      </c>
      <c r="U153" s="401"/>
      <c r="V153" s="383"/>
      <c r="W153" s="454"/>
      <c r="X153" s="524"/>
    </row>
    <row r="154" spans="1:24" ht="15.75" customHeight="1">
      <c r="B154" s="183">
        <v>13</v>
      </c>
      <c r="C154" s="184" t="s">
        <v>463</v>
      </c>
      <c r="D154" s="253" t="s">
        <v>464</v>
      </c>
      <c r="E154" s="185"/>
      <c r="F154" s="334"/>
      <c r="G154" s="186">
        <f>D202</f>
        <v>22271.14</v>
      </c>
      <c r="H154" s="519">
        <f>'Project Plan'!G50</f>
        <v>46001</v>
      </c>
      <c r="I154" s="716">
        <f>SUM(G154:G158)</f>
        <v>22271.14</v>
      </c>
      <c r="J154" s="719">
        <f>F202</f>
        <v>25308</v>
      </c>
      <c r="K154" s="187"/>
      <c r="L154" s="183">
        <v>13</v>
      </c>
      <c r="M154" s="253" t="s">
        <v>465</v>
      </c>
      <c r="N154" s="253" t="s">
        <v>466</v>
      </c>
      <c r="O154" s="430"/>
      <c r="P154" s="334"/>
      <c r="Q154" s="186">
        <f>'Project Plan'!$E$6*1.25%</f>
        <v>32269.137500000001</v>
      </c>
      <c r="R154" s="466"/>
      <c r="S154" s="488"/>
      <c r="T154" s="416">
        <v>46081</v>
      </c>
      <c r="U154" s="402">
        <f t="shared" ref="U154:U159" si="24">(Q154/$X$154*$J$154)</f>
        <v>25308</v>
      </c>
      <c r="V154" s="734">
        <f>J154-SUM(U154:U159)</f>
        <v>0</v>
      </c>
      <c r="W154" s="458">
        <v>46079</v>
      </c>
      <c r="X154" s="716">
        <f>SUM(Q154:Q159)</f>
        <v>32269.137500000001</v>
      </c>
    </row>
    <row r="155" spans="1:24" ht="15.75" customHeight="1">
      <c r="B155" s="213">
        <v>13</v>
      </c>
      <c r="C155" s="215"/>
      <c r="D155" s="215"/>
      <c r="E155" s="216"/>
      <c r="F155" s="355"/>
      <c r="G155" s="217"/>
      <c r="H155" s="518"/>
      <c r="I155" s="717"/>
      <c r="J155" s="720"/>
      <c r="K155" s="190"/>
      <c r="L155" s="213">
        <v>13</v>
      </c>
      <c r="M155" s="288" t="s">
        <v>465</v>
      </c>
      <c r="N155" s="215"/>
      <c r="O155" s="431"/>
      <c r="P155" s="355"/>
      <c r="Q155" s="217"/>
      <c r="R155" s="606"/>
      <c r="S155" s="481"/>
      <c r="T155" s="409"/>
      <c r="U155" s="394">
        <f t="shared" si="24"/>
        <v>0</v>
      </c>
      <c r="V155" s="735"/>
      <c r="W155" s="451"/>
      <c r="X155" s="717"/>
    </row>
    <row r="156" spans="1:24" ht="15.75" customHeight="1">
      <c r="B156" s="213">
        <v>13</v>
      </c>
      <c r="C156" s="215"/>
      <c r="D156" s="215"/>
      <c r="E156" s="216"/>
      <c r="F156" s="355"/>
      <c r="G156" s="217"/>
      <c r="H156" s="518"/>
      <c r="I156" s="717"/>
      <c r="J156" s="720"/>
      <c r="K156" s="190"/>
      <c r="L156" s="213">
        <v>13</v>
      </c>
      <c r="M156" s="288" t="s">
        <v>465</v>
      </c>
      <c r="N156" s="215"/>
      <c r="O156" s="431"/>
      <c r="P156" s="355"/>
      <c r="Q156" s="217"/>
      <c r="R156" s="606"/>
      <c r="S156" s="481"/>
      <c r="T156" s="409"/>
      <c r="U156" s="394">
        <f t="shared" si="24"/>
        <v>0</v>
      </c>
      <c r="V156" s="735"/>
      <c r="W156" s="451"/>
      <c r="X156" s="717"/>
    </row>
    <row r="157" spans="1:24" ht="15.75" customHeight="1">
      <c r="B157" s="213">
        <v>13</v>
      </c>
      <c r="C157" s="215"/>
      <c r="D157" s="215"/>
      <c r="E157" s="216"/>
      <c r="F157" s="355"/>
      <c r="G157" s="217"/>
      <c r="H157" s="518"/>
      <c r="I157" s="717"/>
      <c r="J157" s="720"/>
      <c r="K157" s="190"/>
      <c r="L157" s="213">
        <v>13</v>
      </c>
      <c r="M157" s="288" t="s">
        <v>465</v>
      </c>
      <c r="N157" s="215"/>
      <c r="O157" s="431"/>
      <c r="P157" s="355"/>
      <c r="Q157" s="217"/>
      <c r="R157" s="606"/>
      <c r="S157" s="481"/>
      <c r="T157" s="409"/>
      <c r="U157" s="394">
        <f t="shared" si="24"/>
        <v>0</v>
      </c>
      <c r="V157" s="735"/>
      <c r="W157" s="451"/>
      <c r="X157" s="717"/>
    </row>
    <row r="158" spans="1:24" ht="15.75" customHeight="1">
      <c r="B158" s="213">
        <v>13</v>
      </c>
      <c r="C158" s="215"/>
      <c r="D158" s="215"/>
      <c r="E158" s="216"/>
      <c r="F158" s="355"/>
      <c r="G158" s="217"/>
      <c r="H158" s="518"/>
      <c r="I158" s="717"/>
      <c r="J158" s="720"/>
      <c r="K158" s="190"/>
      <c r="L158" s="213">
        <v>13</v>
      </c>
      <c r="M158" s="288" t="s">
        <v>465</v>
      </c>
      <c r="N158" s="215"/>
      <c r="O158" s="431"/>
      <c r="P158" s="355"/>
      <c r="Q158" s="217"/>
      <c r="R158" s="606"/>
      <c r="S158" s="481"/>
      <c r="T158" s="409"/>
      <c r="U158" s="394">
        <f t="shared" si="24"/>
        <v>0</v>
      </c>
      <c r="V158" s="735"/>
      <c r="W158" s="451"/>
      <c r="X158" s="717"/>
    </row>
    <row r="159" spans="1:24" ht="15.75" customHeight="1" thickBot="1">
      <c r="B159" s="218">
        <v>13</v>
      </c>
      <c r="C159" s="219"/>
      <c r="D159" s="219"/>
      <c r="E159" s="220"/>
      <c r="F159" s="356"/>
      <c r="G159" s="232"/>
      <c r="H159" s="528"/>
      <c r="I159" s="718"/>
      <c r="J159" s="721"/>
      <c r="K159" s="265"/>
      <c r="L159" s="218">
        <v>13</v>
      </c>
      <c r="M159" s="316" t="s">
        <v>465</v>
      </c>
      <c r="N159" s="219"/>
      <c r="O159" s="433"/>
      <c r="P159" s="356"/>
      <c r="Q159" s="232"/>
      <c r="R159" s="646"/>
      <c r="S159" s="483"/>
      <c r="T159" s="411"/>
      <c r="U159" s="396">
        <f t="shared" si="24"/>
        <v>0</v>
      </c>
      <c r="V159" s="736"/>
      <c r="W159" s="453"/>
      <c r="X159" s="718"/>
    </row>
    <row r="160" spans="1:24" ht="14.25" thickBot="1">
      <c r="A160" s="4"/>
      <c r="B160" s="192"/>
      <c r="C160" s="179"/>
      <c r="D160" s="179"/>
      <c r="E160" s="193"/>
      <c r="F160" s="352"/>
      <c r="G160" s="194"/>
      <c r="H160" s="529"/>
      <c r="I160" s="523"/>
      <c r="J160" s="182"/>
      <c r="K160" s="4"/>
      <c r="L160" s="192"/>
      <c r="M160" s="179"/>
      <c r="N160" s="179"/>
      <c r="O160" s="434"/>
      <c r="P160" s="352"/>
      <c r="Q160" s="194"/>
      <c r="R160" s="647"/>
      <c r="S160" s="484"/>
      <c r="T160" s="412" t="str">
        <f t="shared" si="16"/>
        <v/>
      </c>
      <c r="U160" s="401"/>
      <c r="V160" s="383"/>
      <c r="W160" s="454"/>
      <c r="X160" s="524"/>
    </row>
    <row r="161" spans="1:24" ht="14.25" customHeight="1">
      <c r="B161" s="171">
        <v>14</v>
      </c>
      <c r="C161" s="172" t="s">
        <v>467</v>
      </c>
      <c r="D161" s="172" t="s">
        <v>468</v>
      </c>
      <c r="E161" s="173"/>
      <c r="F161" s="366"/>
      <c r="G161" s="240">
        <f>D213</f>
        <v>4375</v>
      </c>
      <c r="H161" s="537">
        <f>'Project Plan'!G50</f>
        <v>46001</v>
      </c>
      <c r="I161" s="743">
        <f>SUM(G161:G172)</f>
        <v>4375</v>
      </c>
      <c r="J161" s="746">
        <f>F213</f>
        <v>4861</v>
      </c>
      <c r="K161" s="241"/>
      <c r="L161" s="171">
        <v>14</v>
      </c>
      <c r="M161" s="331" t="s">
        <v>469</v>
      </c>
      <c r="N161" s="172" t="s">
        <v>470</v>
      </c>
      <c r="O161" s="442"/>
      <c r="P161" s="507"/>
      <c r="Q161" s="510">
        <v>8016.46</v>
      </c>
      <c r="R161" s="660"/>
      <c r="S161" s="498" t="s">
        <v>471</v>
      </c>
      <c r="T161" s="634">
        <v>45961</v>
      </c>
      <c r="U161" s="641">
        <v>1536.8080583803892</v>
      </c>
      <c r="V161" s="752">
        <f>J161-SUM(U161:U172)</f>
        <v>4.7425135498997406E-3</v>
      </c>
      <c r="W161" s="626">
        <v>45967</v>
      </c>
      <c r="X161" s="743">
        <f>SUM(Q161:Q172)</f>
        <v>33994.93</v>
      </c>
    </row>
    <row r="162" spans="1:24" ht="14.25" customHeight="1">
      <c r="B162" s="242">
        <v>14</v>
      </c>
      <c r="C162" s="243"/>
      <c r="D162" s="243"/>
      <c r="E162" s="244"/>
      <c r="F162" s="367"/>
      <c r="G162" s="245"/>
      <c r="H162" s="539"/>
      <c r="I162" s="744"/>
      <c r="J162" s="747"/>
      <c r="K162" s="174"/>
      <c r="L162" s="242">
        <v>14</v>
      </c>
      <c r="M162" s="332" t="s">
        <v>469</v>
      </c>
      <c r="N162" s="243" t="s">
        <v>470</v>
      </c>
      <c r="O162" s="443"/>
      <c r="P162" s="508"/>
      <c r="Q162" s="509">
        <v>10490.93</v>
      </c>
      <c r="R162" s="661"/>
      <c r="S162" s="498" t="s">
        <v>471</v>
      </c>
      <c r="T162" s="631">
        <v>45991</v>
      </c>
      <c r="U162" s="640">
        <v>1455.2804181506942</v>
      </c>
      <c r="V162" s="753"/>
      <c r="W162" s="626">
        <v>45996</v>
      </c>
      <c r="X162" s="744"/>
    </row>
    <row r="163" spans="1:24" ht="14.25" customHeight="1">
      <c r="B163" s="242">
        <v>14</v>
      </c>
      <c r="C163" s="243"/>
      <c r="D163" s="243"/>
      <c r="E163" s="244"/>
      <c r="F163" s="367"/>
      <c r="G163" s="245"/>
      <c r="H163" s="539"/>
      <c r="I163" s="744"/>
      <c r="J163" s="747"/>
      <c r="K163" s="174"/>
      <c r="L163" s="242">
        <v>14</v>
      </c>
      <c r="M163" s="332" t="s">
        <v>469</v>
      </c>
      <c r="N163" s="243" t="s">
        <v>470</v>
      </c>
      <c r="O163" s="443"/>
      <c r="P163" s="367"/>
      <c r="Q163" s="509">
        <v>8655.5400000000009</v>
      </c>
      <c r="R163" s="658"/>
      <c r="S163" s="498" t="s">
        <v>471</v>
      </c>
      <c r="T163" s="631">
        <v>46022</v>
      </c>
      <c r="U163" s="640">
        <v>1016.0260460104794</v>
      </c>
      <c r="V163" s="753"/>
      <c r="W163" s="626">
        <v>46030</v>
      </c>
      <c r="X163" s="744"/>
    </row>
    <row r="164" spans="1:24" ht="14.25" customHeight="1">
      <c r="B164" s="242">
        <v>14</v>
      </c>
      <c r="C164" s="243"/>
      <c r="D164" s="243"/>
      <c r="E164" s="244"/>
      <c r="F164" s="367"/>
      <c r="G164" s="245"/>
      <c r="H164" s="539"/>
      <c r="I164" s="744"/>
      <c r="J164" s="747"/>
      <c r="K164" s="174"/>
      <c r="L164" s="242">
        <v>14</v>
      </c>
      <c r="M164" s="332" t="s">
        <v>469</v>
      </c>
      <c r="N164" s="243" t="s">
        <v>470</v>
      </c>
      <c r="O164" s="443"/>
      <c r="P164" s="367"/>
      <c r="Q164" s="509">
        <v>3332</v>
      </c>
      <c r="R164" s="658"/>
      <c r="S164" s="498" t="s">
        <v>471</v>
      </c>
      <c r="T164" s="631">
        <v>46053</v>
      </c>
      <c r="U164" s="640">
        <v>352.40904696082617</v>
      </c>
      <c r="V164" s="753"/>
      <c r="W164" s="626">
        <v>46058</v>
      </c>
      <c r="X164" s="744"/>
    </row>
    <row r="165" spans="1:24" ht="14.25" customHeight="1">
      <c r="B165" s="242">
        <v>14</v>
      </c>
      <c r="C165" s="243"/>
      <c r="D165" s="243"/>
      <c r="E165" s="244"/>
      <c r="F165" s="367"/>
      <c r="G165" s="245"/>
      <c r="H165" s="539"/>
      <c r="I165" s="744"/>
      <c r="J165" s="747"/>
      <c r="K165" s="174"/>
      <c r="L165" s="242">
        <v>14</v>
      </c>
      <c r="M165" s="332" t="s">
        <v>469</v>
      </c>
      <c r="N165" s="243" t="s">
        <v>470</v>
      </c>
      <c r="O165" s="443"/>
      <c r="P165" s="367"/>
      <c r="Q165" s="245">
        <v>3500</v>
      </c>
      <c r="R165" s="658"/>
      <c r="S165" s="493"/>
      <c r="T165" s="423">
        <v>46081</v>
      </c>
      <c r="U165" s="407">
        <f t="shared" ref="U165:U172" si="25">(Q165/$X$161*$J$161)</f>
        <v>500.47168798406113</v>
      </c>
      <c r="V165" s="753"/>
      <c r="W165" s="464">
        <v>46086</v>
      </c>
      <c r="X165" s="744"/>
    </row>
    <row r="166" spans="1:24" ht="14.25" customHeight="1">
      <c r="B166" s="242">
        <v>14</v>
      </c>
      <c r="C166" s="243"/>
      <c r="D166" s="243"/>
      <c r="E166" s="244"/>
      <c r="F166" s="367"/>
      <c r="G166" s="245"/>
      <c r="H166" s="539"/>
      <c r="I166" s="744"/>
      <c r="J166" s="747"/>
      <c r="K166" s="174"/>
      <c r="L166" s="242">
        <v>14</v>
      </c>
      <c r="M166" s="332" t="s">
        <v>469</v>
      </c>
      <c r="N166" s="243" t="s">
        <v>470</v>
      </c>
      <c r="O166" s="443"/>
      <c r="P166" s="367"/>
      <c r="Q166" s="245"/>
      <c r="R166" s="658"/>
      <c r="S166" s="493"/>
      <c r="T166" s="423" t="str">
        <f t="shared" si="16"/>
        <v/>
      </c>
      <c r="U166" s="407">
        <f t="shared" si="25"/>
        <v>0</v>
      </c>
      <c r="V166" s="753"/>
      <c r="W166" s="464"/>
      <c r="X166" s="744"/>
    </row>
    <row r="167" spans="1:24" ht="14.25" customHeight="1">
      <c r="B167" s="242">
        <v>14</v>
      </c>
      <c r="C167" s="243"/>
      <c r="D167" s="243"/>
      <c r="E167" s="244"/>
      <c r="F167" s="367"/>
      <c r="G167" s="245"/>
      <c r="H167" s="539"/>
      <c r="I167" s="744"/>
      <c r="J167" s="747"/>
      <c r="K167" s="174"/>
      <c r="L167" s="242">
        <v>14</v>
      </c>
      <c r="M167" s="332" t="s">
        <v>469</v>
      </c>
      <c r="N167" s="243" t="s">
        <v>470</v>
      </c>
      <c r="O167" s="443"/>
      <c r="P167" s="367"/>
      <c r="Q167" s="245"/>
      <c r="R167" s="658"/>
      <c r="S167" s="493"/>
      <c r="T167" s="423" t="str">
        <f t="shared" ref="T167:T185" si="26">IF(W167&gt;1,EOMONTH(W167,0),"")</f>
        <v/>
      </c>
      <c r="U167" s="407">
        <f t="shared" si="25"/>
        <v>0</v>
      </c>
      <c r="V167" s="753"/>
      <c r="W167" s="464"/>
      <c r="X167" s="744"/>
    </row>
    <row r="168" spans="1:24" ht="14.25" customHeight="1">
      <c r="B168" s="242">
        <v>14</v>
      </c>
      <c r="C168" s="243"/>
      <c r="D168" s="243"/>
      <c r="E168" s="244"/>
      <c r="F168" s="367"/>
      <c r="G168" s="245"/>
      <c r="H168" s="539"/>
      <c r="I168" s="744"/>
      <c r="J168" s="747"/>
      <c r="K168" s="174"/>
      <c r="L168" s="242">
        <v>14</v>
      </c>
      <c r="M168" s="332" t="s">
        <v>469</v>
      </c>
      <c r="N168" s="243" t="s">
        <v>470</v>
      </c>
      <c r="O168" s="443"/>
      <c r="P168" s="367"/>
      <c r="Q168" s="245"/>
      <c r="R168" s="658"/>
      <c r="S168" s="493"/>
      <c r="T168" s="423" t="str">
        <f t="shared" si="26"/>
        <v/>
      </c>
      <c r="U168" s="407">
        <f t="shared" si="25"/>
        <v>0</v>
      </c>
      <c r="V168" s="753"/>
      <c r="W168" s="464"/>
      <c r="X168" s="744"/>
    </row>
    <row r="169" spans="1:24" ht="14.25" customHeight="1">
      <c r="B169" s="242">
        <v>14</v>
      </c>
      <c r="C169" s="243"/>
      <c r="D169" s="243"/>
      <c r="E169" s="244"/>
      <c r="F169" s="367"/>
      <c r="G169" s="245"/>
      <c r="H169" s="539"/>
      <c r="I169" s="744"/>
      <c r="J169" s="747"/>
      <c r="K169" s="174"/>
      <c r="L169" s="242">
        <v>14</v>
      </c>
      <c r="M169" s="332" t="s">
        <v>469</v>
      </c>
      <c r="N169" s="243" t="s">
        <v>470</v>
      </c>
      <c r="O169" s="443"/>
      <c r="P169" s="367"/>
      <c r="Q169" s="245"/>
      <c r="R169" s="658"/>
      <c r="S169" s="493"/>
      <c r="T169" s="423" t="str">
        <f t="shared" si="26"/>
        <v/>
      </c>
      <c r="U169" s="407">
        <f t="shared" si="25"/>
        <v>0</v>
      </c>
      <c r="V169" s="753"/>
      <c r="W169" s="464"/>
      <c r="X169" s="744"/>
    </row>
    <row r="170" spans="1:24" ht="14.25" customHeight="1">
      <c r="B170" s="242">
        <v>14</v>
      </c>
      <c r="C170" s="243"/>
      <c r="D170" s="243"/>
      <c r="E170" s="244"/>
      <c r="F170" s="367"/>
      <c r="G170" s="245"/>
      <c r="H170" s="539"/>
      <c r="I170" s="744"/>
      <c r="J170" s="747"/>
      <c r="K170" s="174"/>
      <c r="L170" s="242">
        <v>14</v>
      </c>
      <c r="M170" s="332" t="s">
        <v>469</v>
      </c>
      <c r="N170" s="243" t="s">
        <v>470</v>
      </c>
      <c r="O170" s="443"/>
      <c r="P170" s="367"/>
      <c r="Q170" s="245"/>
      <c r="R170" s="658"/>
      <c r="S170" s="493"/>
      <c r="T170" s="423" t="str">
        <f t="shared" si="26"/>
        <v/>
      </c>
      <c r="U170" s="407">
        <f t="shared" si="25"/>
        <v>0</v>
      </c>
      <c r="V170" s="753"/>
      <c r="W170" s="464"/>
      <c r="X170" s="744"/>
    </row>
    <row r="171" spans="1:24" ht="14.25" customHeight="1">
      <c r="B171" s="242">
        <v>14</v>
      </c>
      <c r="C171" s="243"/>
      <c r="D171" s="243"/>
      <c r="E171" s="244"/>
      <c r="F171" s="367"/>
      <c r="G171" s="245"/>
      <c r="H171" s="539"/>
      <c r="I171" s="744"/>
      <c r="J171" s="747"/>
      <c r="K171" s="174"/>
      <c r="L171" s="242">
        <v>14</v>
      </c>
      <c r="M171" s="332" t="s">
        <v>469</v>
      </c>
      <c r="N171" s="243"/>
      <c r="O171" s="443"/>
      <c r="P171" s="367"/>
      <c r="Q171" s="245"/>
      <c r="R171" s="658"/>
      <c r="S171" s="495"/>
      <c r="T171" s="423" t="str">
        <f t="shared" si="26"/>
        <v/>
      </c>
      <c r="U171" s="407">
        <f t="shared" si="25"/>
        <v>0</v>
      </c>
      <c r="V171" s="753"/>
      <c r="W171" s="464"/>
      <c r="X171" s="744"/>
    </row>
    <row r="172" spans="1:24" ht="15" customHeight="1" thickBot="1">
      <c r="B172" s="175">
        <v>14</v>
      </c>
      <c r="C172" s="246"/>
      <c r="D172" s="246"/>
      <c r="E172" s="247"/>
      <c r="F172" s="368"/>
      <c r="G172" s="176"/>
      <c r="H172" s="540"/>
      <c r="I172" s="745"/>
      <c r="J172" s="748"/>
      <c r="K172" s="177"/>
      <c r="L172" s="175">
        <v>14</v>
      </c>
      <c r="M172" s="333" t="s">
        <v>469</v>
      </c>
      <c r="N172" s="246"/>
      <c r="O172" s="444"/>
      <c r="P172" s="368"/>
      <c r="Q172" s="176"/>
      <c r="R172" s="659"/>
      <c r="S172" s="496"/>
      <c r="T172" s="424" t="str">
        <f t="shared" si="26"/>
        <v/>
      </c>
      <c r="U172" s="408">
        <f t="shared" si="25"/>
        <v>0</v>
      </c>
      <c r="V172" s="754"/>
      <c r="W172" s="465"/>
      <c r="X172" s="745"/>
    </row>
    <row r="173" spans="1:24" ht="14.25" thickBot="1">
      <c r="A173" s="4"/>
      <c r="B173" s="192"/>
      <c r="C173" s="179"/>
      <c r="D173" s="179"/>
      <c r="E173" s="193"/>
      <c r="F173" s="352"/>
      <c r="G173" s="194"/>
      <c r="H173" s="529"/>
      <c r="I173" s="525"/>
      <c r="J173" s="248"/>
      <c r="K173" s="4"/>
      <c r="L173" s="192"/>
      <c r="M173" s="179"/>
      <c r="N173" s="179"/>
      <c r="O173" s="434"/>
      <c r="P173" s="352"/>
      <c r="Q173" s="194"/>
      <c r="R173" s="647"/>
      <c r="S173" s="484"/>
      <c r="T173" s="412" t="str">
        <f t="shared" si="26"/>
        <v/>
      </c>
      <c r="U173" s="401"/>
      <c r="V173" s="383"/>
      <c r="W173" s="454"/>
      <c r="X173" s="525"/>
    </row>
    <row r="174" spans="1:24">
      <c r="B174" s="183">
        <v>15</v>
      </c>
      <c r="C174" s="184" t="s">
        <v>472</v>
      </c>
      <c r="D174" s="184"/>
      <c r="E174" s="185"/>
      <c r="F174" s="334"/>
      <c r="G174" s="186"/>
      <c r="H174" s="519"/>
      <c r="I174" s="716">
        <f>SUM(G174:G185)</f>
        <v>0</v>
      </c>
      <c r="J174" s="719">
        <f>F210</f>
        <v>0</v>
      </c>
      <c r="K174" s="187"/>
      <c r="L174" s="183">
        <v>15</v>
      </c>
      <c r="M174" s="253" t="s">
        <v>473</v>
      </c>
      <c r="N174" s="184"/>
      <c r="O174" s="185"/>
      <c r="P174" s="334"/>
      <c r="Q174" s="186"/>
      <c r="R174" s="466"/>
      <c r="S174" s="488"/>
      <c r="T174" s="605"/>
      <c r="U174" s="402"/>
      <c r="V174" s="734">
        <v>0</v>
      </c>
      <c r="W174" s="458"/>
      <c r="X174" s="716">
        <f>SUM(Q174:Q185)</f>
        <v>38023.93</v>
      </c>
    </row>
    <row r="175" spans="1:24">
      <c r="B175" s="213">
        <v>15</v>
      </c>
      <c r="C175" s="215"/>
      <c r="D175" s="215"/>
      <c r="E175" s="216"/>
      <c r="F175" s="355"/>
      <c r="G175" s="217"/>
      <c r="H175" s="518"/>
      <c r="I175" s="717"/>
      <c r="J175" s="720"/>
      <c r="K175" s="190"/>
      <c r="L175" s="213">
        <v>15</v>
      </c>
      <c r="M175" s="288" t="s">
        <v>473</v>
      </c>
      <c r="N175" s="215" t="s">
        <v>474</v>
      </c>
      <c r="O175" s="448">
        <v>23350</v>
      </c>
      <c r="P175" s="449">
        <v>0.8</v>
      </c>
      <c r="Q175" s="217">
        <f>O175*P175</f>
        <v>18680</v>
      </c>
      <c r="R175" s="763" t="s">
        <v>475</v>
      </c>
      <c r="S175" s="481" t="s">
        <v>476</v>
      </c>
      <c r="T175" s="518">
        <v>45991</v>
      </c>
      <c r="U175" s="639">
        <v>23350</v>
      </c>
      <c r="V175" s="735"/>
      <c r="W175" s="624">
        <v>45965</v>
      </c>
      <c r="X175" s="717"/>
    </row>
    <row r="176" spans="1:24">
      <c r="B176" s="213">
        <v>15</v>
      </c>
      <c r="C176" s="215"/>
      <c r="D176" s="215"/>
      <c r="E176" s="216"/>
      <c r="F176" s="355"/>
      <c r="G176" s="217"/>
      <c r="H176" s="518"/>
      <c r="I176" s="717"/>
      <c r="J176" s="720"/>
      <c r="K176" s="190"/>
      <c r="L176" s="213">
        <v>15</v>
      </c>
      <c r="M176" s="288" t="s">
        <v>473</v>
      </c>
      <c r="N176" s="215" t="s">
        <v>477</v>
      </c>
      <c r="O176" s="431"/>
      <c r="P176" s="449">
        <v>0.2</v>
      </c>
      <c r="Q176" s="217">
        <f>O175*P176</f>
        <v>4670</v>
      </c>
      <c r="R176" s="711"/>
      <c r="S176" s="481" t="s">
        <v>476</v>
      </c>
      <c r="T176" s="518">
        <v>45991</v>
      </c>
      <c r="U176" s="639">
        <v>0</v>
      </c>
      <c r="V176" s="735"/>
      <c r="W176" s="689">
        <v>45988</v>
      </c>
      <c r="X176" s="717"/>
    </row>
    <row r="177" spans="2:24">
      <c r="B177" s="213">
        <v>15</v>
      </c>
      <c r="C177" s="215"/>
      <c r="D177" s="215"/>
      <c r="E177" s="216"/>
      <c r="F177" s="355"/>
      <c r="G177" s="217"/>
      <c r="H177" s="518"/>
      <c r="I177" s="717"/>
      <c r="J177" s="720"/>
      <c r="K177" s="190"/>
      <c r="L177" s="213">
        <v>15</v>
      </c>
      <c r="M177" s="288" t="s">
        <v>473</v>
      </c>
      <c r="N177" s="215" t="s">
        <v>478</v>
      </c>
      <c r="O177" s="431"/>
      <c r="P177" s="355"/>
      <c r="Q177" s="217">
        <v>5450</v>
      </c>
      <c r="R177" s="606"/>
      <c r="S177" s="481" t="s">
        <v>479</v>
      </c>
      <c r="T177" s="633">
        <v>46022</v>
      </c>
      <c r="U177" s="639">
        <v>2725</v>
      </c>
      <c r="V177" s="735"/>
      <c r="W177" s="624">
        <v>46009</v>
      </c>
      <c r="X177" s="717"/>
    </row>
    <row r="178" spans="2:24">
      <c r="B178" s="213">
        <v>15</v>
      </c>
      <c r="C178" s="215"/>
      <c r="D178" s="215"/>
      <c r="E178" s="216"/>
      <c r="F178" s="355"/>
      <c r="G178" s="217"/>
      <c r="H178" s="518"/>
      <c r="I178" s="717"/>
      <c r="J178" s="720"/>
      <c r="K178" s="190"/>
      <c r="L178" s="213">
        <v>15</v>
      </c>
      <c r="M178" s="288" t="s">
        <v>473</v>
      </c>
      <c r="N178" s="215" t="s">
        <v>480</v>
      </c>
      <c r="O178" s="431"/>
      <c r="P178" s="355"/>
      <c r="Q178" s="217">
        <v>5450</v>
      </c>
      <c r="R178" s="606" t="s">
        <v>481</v>
      </c>
      <c r="S178" s="481"/>
      <c r="T178" s="409">
        <v>46081</v>
      </c>
      <c r="U178" s="394">
        <f>5450/2</f>
        <v>2725</v>
      </c>
      <c r="V178" s="735"/>
      <c r="W178" s="451">
        <v>46072</v>
      </c>
      <c r="X178" s="717"/>
    </row>
    <row r="179" spans="2:24">
      <c r="B179" s="213">
        <v>15</v>
      </c>
      <c r="C179" s="215"/>
      <c r="D179" s="215"/>
      <c r="E179" s="216"/>
      <c r="F179" s="355"/>
      <c r="G179" s="217"/>
      <c r="H179" s="518"/>
      <c r="I179" s="717"/>
      <c r="J179" s="720"/>
      <c r="K179" s="190"/>
      <c r="L179" s="213">
        <v>15</v>
      </c>
      <c r="M179" s="288" t="s">
        <v>473</v>
      </c>
      <c r="N179" s="215" t="s">
        <v>482</v>
      </c>
      <c r="O179" s="431"/>
      <c r="P179" s="355"/>
      <c r="Q179" s="217">
        <v>3500</v>
      </c>
      <c r="R179" s="606" t="s">
        <v>483</v>
      </c>
      <c r="S179" s="481" t="s">
        <v>484</v>
      </c>
      <c r="T179" s="633">
        <v>46022</v>
      </c>
      <c r="U179" s="394">
        <v>0</v>
      </c>
      <c r="V179" s="735"/>
      <c r="W179" s="616">
        <v>46009</v>
      </c>
      <c r="X179" s="717"/>
    </row>
    <row r="180" spans="2:24">
      <c r="B180" s="213">
        <v>15</v>
      </c>
      <c r="C180" s="215"/>
      <c r="D180" s="215"/>
      <c r="E180" s="216"/>
      <c r="F180" s="355"/>
      <c r="G180" s="217"/>
      <c r="H180" s="518"/>
      <c r="I180" s="717"/>
      <c r="J180" s="720"/>
      <c r="K180" s="190"/>
      <c r="L180" s="213">
        <v>15</v>
      </c>
      <c r="M180" s="288" t="s">
        <v>473</v>
      </c>
      <c r="N180" s="215" t="s">
        <v>485</v>
      </c>
      <c r="O180" s="431"/>
      <c r="P180" s="355"/>
      <c r="Q180" s="217">
        <v>273.93</v>
      </c>
      <c r="R180" s="606"/>
      <c r="S180" s="481" t="s">
        <v>486</v>
      </c>
      <c r="T180" s="633">
        <v>46022</v>
      </c>
      <c r="U180" s="394">
        <v>0</v>
      </c>
      <c r="V180" s="735"/>
      <c r="W180" s="616">
        <v>46051</v>
      </c>
      <c r="X180" s="717"/>
    </row>
    <row r="181" spans="2:24">
      <c r="B181" s="213">
        <v>15</v>
      </c>
      <c r="C181" s="215"/>
      <c r="D181" s="215"/>
      <c r="E181" s="216"/>
      <c r="F181" s="355"/>
      <c r="G181" s="217"/>
      <c r="H181" s="518"/>
      <c r="I181" s="717"/>
      <c r="J181" s="720"/>
      <c r="K181" s="190"/>
      <c r="L181" s="213">
        <v>15</v>
      </c>
      <c r="M181" s="288" t="s">
        <v>473</v>
      </c>
      <c r="N181" s="215"/>
      <c r="O181" s="431"/>
      <c r="P181" s="355"/>
      <c r="Q181" s="217"/>
      <c r="R181" s="606"/>
      <c r="S181" s="481"/>
      <c r="T181" s="409"/>
      <c r="U181" s="394"/>
      <c r="V181" s="735"/>
      <c r="W181" s="451"/>
      <c r="X181" s="717"/>
    </row>
    <row r="182" spans="2:24">
      <c r="B182" s="213">
        <v>15</v>
      </c>
      <c r="C182" s="215"/>
      <c r="D182" s="215"/>
      <c r="E182" s="216"/>
      <c r="F182" s="355"/>
      <c r="G182" s="217"/>
      <c r="H182" s="518"/>
      <c r="I182" s="717"/>
      <c r="J182" s="720"/>
      <c r="K182" s="190"/>
      <c r="L182" s="213">
        <v>15</v>
      </c>
      <c r="M182" s="288" t="s">
        <v>473</v>
      </c>
      <c r="N182" s="215"/>
      <c r="O182" s="431"/>
      <c r="P182" s="355"/>
      <c r="Q182" s="217"/>
      <c r="R182" s="606"/>
      <c r="S182" s="481"/>
      <c r="T182" s="409" t="str">
        <f t="shared" si="26"/>
        <v/>
      </c>
      <c r="U182" s="394"/>
      <c r="V182" s="735"/>
      <c r="W182" s="451"/>
      <c r="X182" s="717"/>
    </row>
    <row r="183" spans="2:24">
      <c r="B183" s="213">
        <v>15</v>
      </c>
      <c r="C183" s="215"/>
      <c r="D183" s="215"/>
      <c r="E183" s="216"/>
      <c r="F183" s="355"/>
      <c r="G183" s="217"/>
      <c r="H183" s="518"/>
      <c r="I183" s="717"/>
      <c r="J183" s="720"/>
      <c r="K183" s="190"/>
      <c r="L183" s="213">
        <v>15</v>
      </c>
      <c r="M183" s="288" t="s">
        <v>473</v>
      </c>
      <c r="N183" s="215"/>
      <c r="O183" s="431"/>
      <c r="P183" s="355"/>
      <c r="Q183" s="217"/>
      <c r="R183" s="606"/>
      <c r="S183" s="481"/>
      <c r="T183" s="409" t="str">
        <f t="shared" si="26"/>
        <v/>
      </c>
      <c r="U183" s="394"/>
      <c r="V183" s="735"/>
      <c r="W183" s="451"/>
      <c r="X183" s="717"/>
    </row>
    <row r="184" spans="2:24">
      <c r="B184" s="213">
        <v>15</v>
      </c>
      <c r="C184" s="215"/>
      <c r="D184" s="215"/>
      <c r="E184" s="216"/>
      <c r="F184" s="355"/>
      <c r="G184" s="217"/>
      <c r="H184" s="518"/>
      <c r="I184" s="717"/>
      <c r="J184" s="720"/>
      <c r="K184" s="190"/>
      <c r="L184" s="213">
        <v>15</v>
      </c>
      <c r="M184" s="288" t="s">
        <v>473</v>
      </c>
      <c r="N184" s="215"/>
      <c r="O184" s="431"/>
      <c r="P184" s="355"/>
      <c r="Q184" s="217"/>
      <c r="R184" s="606"/>
      <c r="S184" s="481"/>
      <c r="T184" s="409" t="str">
        <f t="shared" si="26"/>
        <v/>
      </c>
      <c r="U184" s="394"/>
      <c r="V184" s="735"/>
      <c r="W184" s="451"/>
      <c r="X184" s="717"/>
    </row>
    <row r="185" spans="2:24" ht="15" customHeight="1" thickBot="1">
      <c r="B185" s="218">
        <v>15</v>
      </c>
      <c r="C185" s="219"/>
      <c r="D185" s="219"/>
      <c r="E185" s="220"/>
      <c r="F185" s="356"/>
      <c r="G185" s="232"/>
      <c r="H185" s="528"/>
      <c r="I185" s="718"/>
      <c r="J185" s="721"/>
      <c r="K185" s="191"/>
      <c r="L185" s="218">
        <v>15</v>
      </c>
      <c r="M185" s="316" t="s">
        <v>473</v>
      </c>
      <c r="N185" s="219"/>
      <c r="O185" s="433"/>
      <c r="P185" s="356"/>
      <c r="Q185" s="232"/>
      <c r="R185" s="646"/>
      <c r="S185" s="483"/>
      <c r="T185" s="411" t="str">
        <f t="shared" si="26"/>
        <v/>
      </c>
      <c r="U185" s="396"/>
      <c r="V185" s="736"/>
      <c r="W185" s="453"/>
      <c r="X185" s="718"/>
    </row>
    <row r="186" spans="2:24" s="1" customFormat="1">
      <c r="B186" s="25"/>
      <c r="E186" s="2"/>
      <c r="F186" s="369"/>
      <c r="G186" s="3"/>
      <c r="H186" s="3"/>
      <c r="I186" s="249"/>
      <c r="J186" s="249"/>
      <c r="L186" s="25"/>
      <c r="O186" s="2"/>
      <c r="P186" s="369"/>
      <c r="Q186" s="250"/>
      <c r="R186" s="250"/>
      <c r="S186" s="250"/>
      <c r="T186" s="250"/>
      <c r="U186" s="250"/>
      <c r="V186" s="250"/>
      <c r="W186" s="250"/>
      <c r="X186" s="250"/>
    </row>
    <row r="187" spans="2:24">
      <c r="B187" s="26"/>
      <c r="C187" s="429" t="s">
        <v>487</v>
      </c>
      <c r="D187" s="598">
        <v>561360.21</v>
      </c>
      <c r="E187" s="76"/>
      <c r="F187" s="600">
        <v>637909</v>
      </c>
      <c r="G187" s="26"/>
      <c r="H187" s="26"/>
      <c r="I187" s="26"/>
      <c r="J187" s="26"/>
    </row>
    <row r="188" spans="2:24">
      <c r="B188" s="26"/>
      <c r="C188" s="429" t="s">
        <v>488</v>
      </c>
      <c r="D188" s="598">
        <v>247000</v>
      </c>
      <c r="E188" s="76"/>
      <c r="F188" s="600">
        <v>280682</v>
      </c>
      <c r="G188" s="26"/>
      <c r="H188" s="26"/>
      <c r="I188" s="158"/>
      <c r="J188" s="158"/>
    </row>
    <row r="189" spans="2:24">
      <c r="B189" s="26"/>
      <c r="C189" s="429" t="s">
        <v>489</v>
      </c>
      <c r="D189" s="598">
        <v>100040</v>
      </c>
      <c r="E189" s="76"/>
      <c r="F189" s="600">
        <v>113682</v>
      </c>
      <c r="G189" s="26"/>
      <c r="H189" s="26"/>
      <c r="I189" s="251"/>
      <c r="J189" s="251"/>
    </row>
    <row r="190" spans="2:24">
      <c r="B190" s="26"/>
      <c r="C190" s="429" t="s">
        <v>340</v>
      </c>
      <c r="D190" s="598">
        <v>161926</v>
      </c>
      <c r="E190" s="76"/>
      <c r="F190" s="600">
        <v>184007</v>
      </c>
      <c r="G190" s="26"/>
      <c r="H190" s="26"/>
      <c r="I190" s="158"/>
      <c r="J190" s="158"/>
    </row>
    <row r="191" spans="2:24">
      <c r="B191" s="26"/>
      <c r="C191" s="429" t="s">
        <v>389</v>
      </c>
      <c r="D191" s="598">
        <v>278660.59999999998</v>
      </c>
      <c r="E191" s="76"/>
      <c r="F191" s="600">
        <v>316660</v>
      </c>
      <c r="G191" s="26"/>
      <c r="H191" s="26"/>
      <c r="I191" s="251"/>
      <c r="J191" s="251"/>
    </row>
    <row r="192" spans="2:24">
      <c r="B192" s="26"/>
      <c r="C192" s="429" t="s">
        <v>376</v>
      </c>
      <c r="D192" s="598">
        <v>148000</v>
      </c>
      <c r="E192" s="76"/>
      <c r="F192" s="600">
        <v>168182</v>
      </c>
      <c r="G192" s="26"/>
      <c r="H192" s="26"/>
      <c r="I192" s="158"/>
      <c r="J192" s="158"/>
    </row>
    <row r="193" spans="2:23">
      <c r="B193" s="26"/>
      <c r="C193" s="429" t="s">
        <v>490</v>
      </c>
      <c r="D193" s="598">
        <v>97500</v>
      </c>
      <c r="E193" s="76"/>
      <c r="F193" s="600">
        <v>110795</v>
      </c>
      <c r="G193" s="26"/>
      <c r="H193" s="26"/>
      <c r="I193" s="158"/>
      <c r="J193" s="158"/>
    </row>
    <row r="194" spans="2:23">
      <c r="B194" s="26"/>
      <c r="C194" s="429" t="s">
        <v>491</v>
      </c>
      <c r="E194" s="76"/>
      <c r="F194" s="429"/>
      <c r="G194" s="26"/>
      <c r="H194" s="26"/>
      <c r="I194" s="158"/>
      <c r="J194" s="158"/>
    </row>
    <row r="195" spans="2:23">
      <c r="B195" s="26"/>
      <c r="C195" s="429" t="s">
        <v>492</v>
      </c>
      <c r="D195" s="598">
        <v>372333.45</v>
      </c>
      <c r="E195" s="76"/>
      <c r="F195" s="600">
        <v>423106</v>
      </c>
      <c r="G195" s="26"/>
      <c r="H195" s="26"/>
      <c r="I195" s="158"/>
      <c r="J195" s="158"/>
    </row>
    <row r="196" spans="2:23">
      <c r="B196" s="26"/>
      <c r="C196" s="429" t="s">
        <v>493</v>
      </c>
      <c r="E196" s="76"/>
      <c r="F196" s="429"/>
      <c r="G196" s="26"/>
      <c r="H196" s="26"/>
      <c r="I196" s="158"/>
      <c r="J196" s="158"/>
    </row>
    <row r="197" spans="2:23">
      <c r="B197" s="26"/>
      <c r="C197" s="429" t="s">
        <v>494</v>
      </c>
      <c r="E197" s="76"/>
      <c r="F197" s="429"/>
      <c r="G197" s="26"/>
      <c r="H197" s="26"/>
      <c r="I197" s="158"/>
      <c r="J197" s="158"/>
    </row>
    <row r="198" spans="2:23">
      <c r="B198" s="26"/>
      <c r="C198" s="429" t="s">
        <v>495</v>
      </c>
      <c r="E198" s="76"/>
      <c r="F198" s="429"/>
      <c r="G198" s="26"/>
      <c r="H198" s="26"/>
      <c r="I198" s="158"/>
      <c r="J198" s="158"/>
    </row>
    <row r="199" spans="2:23">
      <c r="B199" s="26"/>
      <c r="C199" s="429"/>
      <c r="E199" s="76"/>
      <c r="F199" s="429"/>
      <c r="G199" s="26"/>
      <c r="H199" s="26"/>
      <c r="I199" s="158"/>
      <c r="J199" s="158"/>
    </row>
    <row r="200" spans="2:23" s="26" customFormat="1">
      <c r="C200" s="429" t="s">
        <v>496</v>
      </c>
      <c r="D200" s="599">
        <v>62525</v>
      </c>
      <c r="E200" s="76"/>
      <c r="F200" s="600">
        <v>69472</v>
      </c>
      <c r="I200" s="158"/>
      <c r="J200" s="158"/>
      <c r="R200" s="76"/>
      <c r="T200" s="429"/>
      <c r="U200" s="429"/>
      <c r="W200" s="429"/>
    </row>
    <row r="201" spans="2:23" s="26" customFormat="1">
      <c r="C201" s="429" t="s">
        <v>497</v>
      </c>
      <c r="D201" s="599">
        <v>136325</v>
      </c>
      <c r="E201" s="76"/>
      <c r="F201" s="600">
        <v>151472</v>
      </c>
      <c r="I201" s="158"/>
      <c r="J201" s="158"/>
      <c r="R201" s="76"/>
      <c r="T201" s="429"/>
      <c r="U201" s="429"/>
      <c r="W201" s="429"/>
    </row>
    <row r="202" spans="2:23" s="26" customFormat="1">
      <c r="C202" s="429" t="s">
        <v>498</v>
      </c>
      <c r="D202" s="599">
        <v>22271.14</v>
      </c>
      <c r="E202" s="76"/>
      <c r="F202" s="600">
        <v>25308</v>
      </c>
      <c r="I202" s="158"/>
      <c r="J202" s="158"/>
      <c r="R202" s="76"/>
      <c r="T202" s="429"/>
      <c r="U202" s="429"/>
      <c r="W202" s="429"/>
    </row>
    <row r="203" spans="2:23" s="26" customFormat="1">
      <c r="C203" s="429" t="s">
        <v>499</v>
      </c>
      <c r="D203" s="599">
        <v>29000</v>
      </c>
      <c r="E203" s="76"/>
      <c r="F203" s="600">
        <v>32222</v>
      </c>
      <c r="I203" s="158"/>
      <c r="J203" s="158"/>
      <c r="R203" s="76"/>
      <c r="T203" s="429"/>
      <c r="U203" s="429"/>
      <c r="W203" s="429"/>
    </row>
    <row r="204" spans="2:23" s="26" customFormat="1">
      <c r="C204" s="429" t="s">
        <v>500</v>
      </c>
      <c r="D204" s="599">
        <v>8500</v>
      </c>
      <c r="E204" s="76"/>
      <c r="F204" s="600">
        <v>9444</v>
      </c>
      <c r="I204" s="158"/>
      <c r="J204" s="158"/>
      <c r="R204" s="76"/>
      <c r="T204" s="429"/>
      <c r="U204" s="429"/>
      <c r="W204" s="429"/>
    </row>
    <row r="205" spans="2:23" s="26" customFormat="1">
      <c r="C205" s="429" t="s">
        <v>501</v>
      </c>
      <c r="E205" s="76"/>
      <c r="F205" s="429"/>
      <c r="I205" s="158"/>
      <c r="J205" s="158"/>
      <c r="R205" s="76"/>
      <c r="T205" s="429"/>
      <c r="U205" s="429"/>
      <c r="W205" s="429"/>
    </row>
    <row r="206" spans="2:23" s="26" customFormat="1">
      <c r="C206" s="429" t="s">
        <v>502</v>
      </c>
      <c r="D206" s="599">
        <v>1027.78</v>
      </c>
      <c r="E206" s="76"/>
      <c r="F206" s="600">
        <v>1142</v>
      </c>
      <c r="I206" s="158"/>
      <c r="J206" s="158"/>
      <c r="R206" s="76"/>
      <c r="T206" s="429"/>
      <c r="U206" s="429"/>
      <c r="W206" s="429"/>
    </row>
    <row r="207" spans="2:23" s="26" customFormat="1">
      <c r="C207" s="429" t="s">
        <v>503</v>
      </c>
      <c r="D207" s="599">
        <v>30000</v>
      </c>
      <c r="E207" s="76"/>
      <c r="F207" s="600">
        <v>33333</v>
      </c>
      <c r="I207" s="158"/>
      <c r="J207" s="158"/>
      <c r="R207" s="76"/>
      <c r="T207" s="429"/>
      <c r="U207" s="429"/>
      <c r="W207" s="429"/>
    </row>
    <row r="208" spans="2:23" s="26" customFormat="1">
      <c r="C208" s="429" t="s">
        <v>504</v>
      </c>
      <c r="D208" s="599">
        <v>17326.669999999998</v>
      </c>
      <c r="E208" s="76"/>
      <c r="F208" s="600">
        <v>19252</v>
      </c>
      <c r="I208" s="158"/>
      <c r="J208" s="158"/>
      <c r="R208" s="76"/>
      <c r="T208" s="429"/>
      <c r="U208" s="429"/>
      <c r="W208" s="429"/>
    </row>
    <row r="209" spans="3:23" s="26" customFormat="1">
      <c r="C209" s="429" t="s">
        <v>505</v>
      </c>
      <c r="E209" s="76"/>
      <c r="F209" s="429"/>
      <c r="I209" s="158"/>
      <c r="J209" s="158"/>
      <c r="R209" s="76"/>
      <c r="T209" s="429"/>
      <c r="U209" s="429"/>
      <c r="W209" s="429"/>
    </row>
    <row r="210" spans="3:23" s="26" customFormat="1">
      <c r="C210" s="429" t="s">
        <v>492</v>
      </c>
      <c r="E210" s="76"/>
      <c r="F210" s="429"/>
      <c r="I210" s="158"/>
      <c r="J210" s="158"/>
      <c r="R210" s="76"/>
      <c r="T210" s="429"/>
      <c r="U210" s="429"/>
      <c r="W210" s="429"/>
    </row>
    <row r="211" spans="3:23" s="26" customFormat="1">
      <c r="C211" s="429"/>
      <c r="E211" s="76"/>
      <c r="F211" s="429"/>
      <c r="I211" s="158"/>
      <c r="J211" s="158"/>
      <c r="R211" s="76"/>
      <c r="T211" s="429"/>
      <c r="U211" s="429"/>
      <c r="W211" s="429"/>
    </row>
    <row r="212" spans="3:23" s="26" customFormat="1">
      <c r="C212" s="429" t="s">
        <v>506</v>
      </c>
      <c r="E212" s="76"/>
      <c r="F212" s="429"/>
      <c r="I212" s="158"/>
      <c r="J212" s="158"/>
      <c r="R212" s="76"/>
      <c r="T212" s="429"/>
      <c r="U212" s="429"/>
      <c r="W212" s="429"/>
    </row>
    <row r="213" spans="3:23" s="26" customFormat="1">
      <c r="C213" s="429" t="s">
        <v>507</v>
      </c>
      <c r="D213" s="599">
        <v>4375</v>
      </c>
      <c r="E213" s="76"/>
      <c r="F213" s="600">
        <v>4861</v>
      </c>
      <c r="I213" s="158"/>
      <c r="J213" s="158"/>
      <c r="R213" s="76"/>
      <c r="T213" s="429"/>
      <c r="U213" s="429"/>
      <c r="W213" s="429"/>
    </row>
    <row r="214" spans="3:23" s="26" customFormat="1">
      <c r="C214" s="429"/>
      <c r="D214" s="429"/>
      <c r="E214" s="76"/>
      <c r="F214" s="360"/>
      <c r="I214" s="158"/>
      <c r="J214" s="158"/>
      <c r="R214" s="76"/>
      <c r="T214" s="429"/>
      <c r="U214" s="429"/>
      <c r="W214" s="429"/>
    </row>
    <row r="215" spans="3:23" s="26" customFormat="1">
      <c r="C215" s="429"/>
      <c r="D215" s="429"/>
      <c r="E215" s="76"/>
      <c r="F215" s="360"/>
      <c r="I215" s="158"/>
      <c r="J215" s="158"/>
      <c r="R215" s="76"/>
      <c r="T215" s="429"/>
      <c r="U215" s="429"/>
      <c r="W215" s="429"/>
    </row>
    <row r="216" spans="3:23" s="26" customFormat="1">
      <c r="C216" s="429"/>
      <c r="D216" s="429"/>
      <c r="E216" s="76"/>
      <c r="F216" s="360"/>
      <c r="I216" s="158"/>
      <c r="J216" s="158"/>
      <c r="R216" s="76"/>
      <c r="T216" s="429"/>
      <c r="U216" s="429"/>
      <c r="W216" s="429"/>
    </row>
    <row r="217" spans="3:23" s="26" customFormat="1">
      <c r="C217" s="429"/>
      <c r="D217" s="429"/>
      <c r="E217" s="76"/>
      <c r="F217" s="360"/>
      <c r="I217" s="158"/>
      <c r="J217" s="158"/>
      <c r="R217" s="76"/>
      <c r="T217" s="429"/>
      <c r="U217" s="429"/>
      <c r="W217" s="429"/>
    </row>
    <row r="218" spans="3:23" s="26" customFormat="1">
      <c r="C218" s="429"/>
      <c r="D218" s="429"/>
      <c r="E218" s="76"/>
      <c r="F218" s="360"/>
      <c r="I218" s="158"/>
      <c r="J218" s="158"/>
      <c r="R218" s="76"/>
      <c r="T218" s="429"/>
      <c r="U218" s="429"/>
      <c r="W218" s="429"/>
    </row>
    <row r="219" spans="3:23" s="26" customFormat="1">
      <c r="C219" s="429"/>
      <c r="D219" s="429"/>
      <c r="E219" s="76"/>
      <c r="F219" s="360"/>
      <c r="I219" s="158"/>
      <c r="J219" s="158"/>
      <c r="R219" s="76"/>
      <c r="T219" s="429"/>
      <c r="U219" s="429"/>
      <c r="W219" s="429"/>
    </row>
    <row r="220" spans="3:23" s="26" customFormat="1">
      <c r="C220" s="429"/>
      <c r="D220" s="429"/>
      <c r="E220" s="76"/>
      <c r="F220" s="360"/>
      <c r="I220" s="158"/>
      <c r="J220" s="158"/>
      <c r="R220" s="76"/>
      <c r="T220" s="429"/>
      <c r="U220" s="429"/>
      <c r="W220" s="429"/>
    </row>
    <row r="221" spans="3:23" s="26" customFormat="1">
      <c r="C221" s="429"/>
      <c r="D221" s="429"/>
      <c r="E221" s="76"/>
      <c r="F221" s="360"/>
      <c r="I221" s="158"/>
      <c r="J221" s="158"/>
      <c r="R221" s="76"/>
      <c r="T221" s="429"/>
      <c r="U221" s="429"/>
      <c r="W221" s="429"/>
    </row>
    <row r="222" spans="3:23" s="26" customFormat="1">
      <c r="C222" s="429"/>
      <c r="D222" s="429"/>
      <c r="E222" s="76"/>
      <c r="F222" s="360"/>
      <c r="I222" s="158"/>
      <c r="J222" s="158"/>
      <c r="R222" s="76"/>
      <c r="T222" s="429"/>
      <c r="U222" s="429"/>
      <c r="W222" s="429"/>
    </row>
    <row r="223" spans="3:23" s="26" customFormat="1">
      <c r="C223" s="429"/>
      <c r="D223" s="429"/>
      <c r="E223" s="76"/>
      <c r="F223" s="360"/>
      <c r="I223" s="158"/>
      <c r="J223" s="158"/>
      <c r="R223" s="76"/>
      <c r="T223" s="429"/>
      <c r="U223" s="429"/>
      <c r="W223" s="429"/>
    </row>
    <row r="224" spans="3:23" s="26" customFormat="1">
      <c r="C224" s="429"/>
      <c r="D224" s="429"/>
      <c r="E224" s="76"/>
      <c r="F224" s="360"/>
      <c r="I224" s="158"/>
      <c r="J224" s="158"/>
      <c r="R224" s="76"/>
      <c r="T224" s="429"/>
      <c r="U224" s="429"/>
      <c r="W224" s="429"/>
    </row>
    <row r="225" spans="3:23" s="26" customFormat="1">
      <c r="C225" s="429"/>
      <c r="D225" s="429"/>
      <c r="E225" s="76"/>
      <c r="F225" s="360"/>
      <c r="I225" s="158"/>
      <c r="J225" s="158"/>
      <c r="R225" s="76"/>
      <c r="T225" s="429"/>
      <c r="U225" s="429"/>
      <c r="W225" s="429"/>
    </row>
    <row r="226" spans="3:23" s="26" customFormat="1">
      <c r="C226" s="429"/>
      <c r="D226" s="429"/>
      <c r="E226" s="76"/>
      <c r="F226" s="360"/>
      <c r="I226" s="158"/>
      <c r="J226" s="158"/>
      <c r="R226" s="76"/>
      <c r="T226" s="429"/>
      <c r="U226" s="429"/>
      <c r="W226" s="429"/>
    </row>
    <row r="227" spans="3:23" s="26" customFormat="1">
      <c r="C227" s="429"/>
      <c r="D227" s="429"/>
      <c r="E227" s="76"/>
      <c r="F227" s="360"/>
      <c r="I227" s="158"/>
      <c r="J227" s="158"/>
      <c r="R227" s="76"/>
      <c r="T227" s="429"/>
      <c r="U227" s="429"/>
      <c r="W227" s="429"/>
    </row>
    <row r="228" spans="3:23" s="26" customFormat="1">
      <c r="C228" s="429"/>
      <c r="D228" s="429"/>
      <c r="E228" s="76"/>
      <c r="F228" s="360"/>
      <c r="I228" s="158"/>
      <c r="J228" s="158"/>
      <c r="R228" s="76"/>
      <c r="T228" s="429"/>
      <c r="U228" s="429"/>
      <c r="W228" s="429"/>
    </row>
    <row r="229" spans="3:23" s="26" customFormat="1">
      <c r="C229" s="429"/>
      <c r="D229" s="429"/>
      <c r="E229" s="76"/>
      <c r="F229" s="360"/>
      <c r="I229" s="158"/>
      <c r="J229" s="158"/>
      <c r="R229" s="76"/>
      <c r="T229" s="429"/>
      <c r="U229" s="429"/>
      <c r="W229" s="429"/>
    </row>
    <row r="230" spans="3:23" s="26" customFormat="1">
      <c r="C230" s="429"/>
      <c r="D230" s="429"/>
      <c r="E230" s="76"/>
      <c r="F230" s="360"/>
      <c r="I230" s="158"/>
      <c r="J230" s="158"/>
      <c r="R230" s="76"/>
      <c r="T230" s="429"/>
      <c r="U230" s="429"/>
      <c r="W230" s="429"/>
    </row>
    <row r="231" spans="3:23" s="26" customFormat="1">
      <c r="C231" s="429"/>
      <c r="D231" s="429"/>
      <c r="E231" s="76"/>
      <c r="F231" s="360"/>
      <c r="I231" s="158"/>
      <c r="J231" s="158"/>
      <c r="R231" s="76"/>
      <c r="T231" s="429"/>
      <c r="U231" s="429"/>
      <c r="W231" s="429"/>
    </row>
    <row r="232" spans="3:23" s="26" customFormat="1">
      <c r="C232" s="429"/>
      <c r="D232" s="429"/>
      <c r="E232" s="76"/>
      <c r="F232" s="360"/>
      <c r="I232" s="158"/>
      <c r="J232" s="158"/>
      <c r="R232" s="76"/>
      <c r="T232" s="429"/>
      <c r="U232" s="429"/>
      <c r="W232" s="429"/>
    </row>
    <row r="233" spans="3:23" s="26" customFormat="1">
      <c r="C233" s="429"/>
      <c r="D233" s="429"/>
      <c r="E233" s="76"/>
      <c r="F233" s="360"/>
      <c r="I233" s="158"/>
      <c r="J233" s="158"/>
      <c r="R233" s="76"/>
      <c r="T233" s="429"/>
      <c r="U233" s="429"/>
      <c r="W233" s="429"/>
    </row>
    <row r="234" spans="3:23" s="26" customFormat="1">
      <c r="E234" s="76"/>
      <c r="F234" s="360"/>
      <c r="I234" s="158"/>
      <c r="J234" s="158"/>
      <c r="R234" s="76"/>
      <c r="T234" s="429"/>
      <c r="U234" s="429"/>
      <c r="W234" s="429"/>
    </row>
    <row r="235" spans="3:23" s="26" customFormat="1">
      <c r="E235" s="76"/>
      <c r="F235" s="360"/>
      <c r="I235" s="158"/>
      <c r="J235" s="158"/>
      <c r="R235" s="76"/>
      <c r="T235" s="429"/>
      <c r="U235" s="429"/>
      <c r="W235" s="429"/>
    </row>
    <row r="236" spans="3:23" s="26" customFormat="1">
      <c r="E236" s="76"/>
      <c r="F236" s="360"/>
      <c r="I236" s="158"/>
      <c r="J236" s="158"/>
      <c r="R236" s="76"/>
      <c r="T236" s="429"/>
      <c r="U236" s="429"/>
      <c r="W236" s="429"/>
    </row>
    <row r="237" spans="3:23" s="26" customFormat="1">
      <c r="E237" s="76"/>
      <c r="F237" s="360"/>
      <c r="I237" s="158"/>
      <c r="J237" s="158"/>
      <c r="R237" s="76"/>
      <c r="T237" s="429"/>
      <c r="U237" s="429"/>
      <c r="W237" s="429"/>
    </row>
    <row r="238" spans="3:23" s="26" customFormat="1">
      <c r="E238" s="76"/>
      <c r="F238" s="360"/>
      <c r="I238" s="158"/>
      <c r="J238" s="158"/>
      <c r="R238" s="76"/>
      <c r="T238" s="429"/>
      <c r="U238" s="429"/>
      <c r="W238" s="429"/>
    </row>
    <row r="239" spans="3:23" s="26" customFormat="1">
      <c r="E239" s="76"/>
      <c r="F239" s="360"/>
      <c r="I239" s="158"/>
      <c r="J239" s="158"/>
      <c r="R239" s="76"/>
      <c r="T239" s="429"/>
      <c r="U239" s="429"/>
      <c r="W239" s="429"/>
    </row>
    <row r="240" spans="3:23" s="26" customFormat="1">
      <c r="E240" s="76"/>
      <c r="F240" s="360"/>
      <c r="I240" s="158"/>
      <c r="J240" s="158"/>
      <c r="R240" s="76"/>
      <c r="T240" s="429"/>
      <c r="U240" s="429"/>
      <c r="W240" s="429"/>
    </row>
    <row r="241" spans="5:23" s="26" customFormat="1">
      <c r="E241" s="76"/>
      <c r="F241" s="360"/>
      <c r="I241" s="158"/>
      <c r="J241" s="158"/>
      <c r="R241" s="76"/>
      <c r="T241" s="429"/>
      <c r="U241" s="429"/>
      <c r="W241" s="429"/>
    </row>
    <row r="242" spans="5:23" s="26" customFormat="1">
      <c r="E242" s="76"/>
      <c r="F242" s="360"/>
      <c r="I242" s="158"/>
      <c r="J242" s="158"/>
      <c r="R242" s="76"/>
      <c r="T242" s="429"/>
      <c r="U242" s="429"/>
      <c r="W242" s="429"/>
    </row>
    <row r="243" spans="5:23" s="26" customFormat="1">
      <c r="E243" s="76"/>
      <c r="F243" s="360"/>
      <c r="I243" s="158"/>
      <c r="J243" s="158"/>
      <c r="R243" s="76"/>
      <c r="T243" s="429"/>
      <c r="U243" s="429"/>
      <c r="W243" s="429"/>
    </row>
    <row r="244" spans="5:23" s="26" customFormat="1">
      <c r="E244" s="76"/>
      <c r="F244" s="360"/>
      <c r="I244" s="158"/>
      <c r="J244" s="158"/>
      <c r="R244" s="76"/>
      <c r="T244" s="429"/>
      <c r="U244" s="429"/>
      <c r="W244" s="429"/>
    </row>
    <row r="245" spans="5:23" s="26" customFormat="1">
      <c r="E245" s="76"/>
      <c r="F245" s="360"/>
      <c r="I245" s="158"/>
      <c r="J245" s="158"/>
      <c r="R245" s="76"/>
      <c r="T245" s="429"/>
      <c r="U245" s="429"/>
      <c r="W245" s="429"/>
    </row>
    <row r="246" spans="5:23" s="26" customFormat="1">
      <c r="E246" s="76"/>
      <c r="F246" s="360"/>
      <c r="I246" s="158"/>
      <c r="J246" s="158"/>
      <c r="R246" s="76"/>
      <c r="T246" s="429"/>
      <c r="U246" s="429"/>
      <c r="W246" s="429"/>
    </row>
    <row r="247" spans="5:23" s="26" customFormat="1">
      <c r="E247" s="76"/>
      <c r="F247" s="360"/>
      <c r="I247" s="158"/>
      <c r="J247" s="158"/>
      <c r="R247" s="76"/>
      <c r="T247" s="429"/>
      <c r="U247" s="429"/>
      <c r="W247" s="429"/>
    </row>
    <row r="248" spans="5:23" s="26" customFormat="1">
      <c r="E248" s="76"/>
      <c r="F248" s="360"/>
      <c r="I248" s="158"/>
      <c r="J248" s="158"/>
      <c r="R248" s="76"/>
      <c r="T248" s="429"/>
      <c r="U248" s="429"/>
      <c r="W248" s="429"/>
    </row>
    <row r="249" spans="5:23" s="26" customFormat="1">
      <c r="E249" s="76"/>
      <c r="F249" s="360"/>
      <c r="I249" s="158"/>
      <c r="J249" s="158"/>
      <c r="R249" s="76"/>
      <c r="T249" s="429"/>
      <c r="U249" s="429"/>
      <c r="W249" s="429"/>
    </row>
    <row r="250" spans="5:23" s="26" customFormat="1">
      <c r="E250" s="76"/>
      <c r="F250" s="360"/>
      <c r="I250" s="158"/>
      <c r="J250" s="158"/>
      <c r="R250" s="76"/>
      <c r="T250" s="429"/>
      <c r="U250" s="429"/>
      <c r="W250" s="429"/>
    </row>
    <row r="251" spans="5:23" s="26" customFormat="1">
      <c r="E251" s="76"/>
      <c r="F251" s="360"/>
      <c r="I251" s="158"/>
      <c r="J251" s="158"/>
      <c r="R251" s="76"/>
      <c r="T251" s="429"/>
      <c r="U251" s="429"/>
      <c r="W251" s="429"/>
    </row>
    <row r="252" spans="5:23" s="26" customFormat="1">
      <c r="E252" s="76"/>
      <c r="F252" s="360"/>
      <c r="I252" s="158"/>
      <c r="J252" s="158"/>
      <c r="R252" s="76"/>
      <c r="T252" s="429"/>
      <c r="U252" s="429"/>
      <c r="W252" s="429"/>
    </row>
    <row r="253" spans="5:23" s="26" customFormat="1">
      <c r="E253" s="76"/>
      <c r="F253" s="360"/>
      <c r="I253" s="158"/>
      <c r="J253" s="158"/>
      <c r="R253" s="76"/>
      <c r="T253" s="429"/>
      <c r="U253" s="429"/>
      <c r="W253" s="429"/>
    </row>
    <row r="254" spans="5:23" s="26" customFormat="1">
      <c r="E254" s="76"/>
      <c r="F254" s="360"/>
      <c r="I254" s="158"/>
      <c r="J254" s="158"/>
      <c r="R254" s="76"/>
      <c r="T254" s="429"/>
      <c r="U254" s="429"/>
      <c r="W254" s="429"/>
    </row>
    <row r="255" spans="5:23" s="26" customFormat="1">
      <c r="E255" s="76"/>
      <c r="F255" s="360"/>
      <c r="I255" s="158"/>
      <c r="J255" s="158"/>
      <c r="R255" s="76"/>
      <c r="T255" s="429"/>
      <c r="U255" s="429"/>
      <c r="W255" s="429"/>
    </row>
    <row r="256" spans="5:23" s="26" customFormat="1">
      <c r="E256" s="76"/>
      <c r="F256" s="360"/>
      <c r="I256" s="158"/>
      <c r="J256" s="158"/>
      <c r="R256" s="76"/>
      <c r="T256" s="429"/>
      <c r="U256" s="429"/>
      <c r="W256" s="429"/>
    </row>
    <row r="257" spans="5:23" s="26" customFormat="1">
      <c r="E257" s="76"/>
      <c r="F257" s="360"/>
      <c r="I257" s="158"/>
      <c r="J257" s="158"/>
      <c r="R257" s="76"/>
      <c r="T257" s="429"/>
      <c r="U257" s="429"/>
      <c r="W257" s="429"/>
    </row>
    <row r="258" spans="5:23" s="26" customFormat="1">
      <c r="E258" s="76"/>
      <c r="F258" s="360"/>
      <c r="I258" s="158"/>
      <c r="J258" s="158"/>
      <c r="R258" s="76"/>
      <c r="T258" s="429"/>
      <c r="U258" s="429"/>
      <c r="W258" s="429"/>
    </row>
    <row r="259" spans="5:23" s="26" customFormat="1">
      <c r="E259" s="76"/>
      <c r="F259" s="360"/>
      <c r="I259" s="158"/>
      <c r="J259" s="158"/>
      <c r="R259" s="76"/>
      <c r="T259" s="429"/>
      <c r="U259" s="429"/>
      <c r="W259" s="429"/>
    </row>
    <row r="260" spans="5:23" s="26" customFormat="1">
      <c r="E260" s="76"/>
      <c r="F260" s="360"/>
      <c r="I260" s="158"/>
      <c r="J260" s="158"/>
      <c r="R260" s="76"/>
      <c r="T260" s="429"/>
      <c r="U260" s="429"/>
      <c r="W260" s="429"/>
    </row>
    <row r="261" spans="5:23" s="26" customFormat="1">
      <c r="E261" s="76"/>
      <c r="F261" s="360"/>
      <c r="I261" s="158"/>
      <c r="J261" s="158"/>
      <c r="R261" s="76"/>
      <c r="T261" s="429"/>
      <c r="U261" s="429"/>
      <c r="W261" s="429"/>
    </row>
    <row r="262" spans="5:23" s="26" customFormat="1">
      <c r="E262" s="76"/>
      <c r="F262" s="360"/>
      <c r="I262" s="158"/>
      <c r="J262" s="158"/>
      <c r="R262" s="76"/>
      <c r="T262" s="429"/>
      <c r="U262" s="429"/>
      <c r="W262" s="429"/>
    </row>
    <row r="263" spans="5:23" s="26" customFormat="1">
      <c r="E263" s="76"/>
      <c r="F263" s="360"/>
      <c r="I263" s="158"/>
      <c r="J263" s="158"/>
      <c r="R263" s="76"/>
      <c r="T263" s="429"/>
      <c r="U263" s="429"/>
      <c r="W263" s="429"/>
    </row>
    <row r="264" spans="5:23" s="26" customFormat="1">
      <c r="E264" s="76"/>
      <c r="F264" s="360"/>
      <c r="I264" s="158"/>
      <c r="J264" s="158"/>
      <c r="R264" s="76"/>
      <c r="T264" s="429"/>
      <c r="U264" s="429"/>
      <c r="W264" s="429"/>
    </row>
    <row r="265" spans="5:23" s="26" customFormat="1">
      <c r="E265" s="76"/>
      <c r="F265" s="360"/>
      <c r="I265" s="158"/>
      <c r="J265" s="158"/>
      <c r="R265" s="76"/>
      <c r="T265" s="429"/>
      <c r="U265" s="429"/>
      <c r="W265" s="429"/>
    </row>
    <row r="266" spans="5:23" s="26" customFormat="1">
      <c r="E266" s="76"/>
      <c r="F266" s="360"/>
      <c r="I266" s="158"/>
      <c r="J266" s="158"/>
      <c r="R266" s="76"/>
      <c r="T266" s="429"/>
      <c r="U266" s="429"/>
      <c r="W266" s="429"/>
    </row>
    <row r="267" spans="5:23" s="26" customFormat="1">
      <c r="E267" s="76"/>
      <c r="F267" s="360"/>
      <c r="I267" s="158"/>
      <c r="J267" s="158"/>
      <c r="R267" s="76"/>
      <c r="T267" s="429"/>
      <c r="U267" s="429"/>
      <c r="W267" s="429"/>
    </row>
    <row r="268" spans="5:23" s="26" customFormat="1">
      <c r="E268" s="76"/>
      <c r="F268" s="360"/>
      <c r="I268" s="158"/>
      <c r="J268" s="158"/>
      <c r="R268" s="76"/>
      <c r="T268" s="429"/>
      <c r="U268" s="429"/>
      <c r="W268" s="429"/>
    </row>
    <row r="269" spans="5:23" s="26" customFormat="1">
      <c r="E269" s="76"/>
      <c r="F269" s="360"/>
      <c r="I269" s="158"/>
      <c r="J269" s="158"/>
      <c r="R269" s="76"/>
      <c r="T269" s="429"/>
      <c r="U269" s="429"/>
      <c r="W269" s="429"/>
    </row>
    <row r="270" spans="5:23" s="26" customFormat="1">
      <c r="E270" s="76"/>
      <c r="F270" s="360"/>
      <c r="I270" s="158"/>
      <c r="J270" s="158"/>
      <c r="R270" s="76"/>
      <c r="T270" s="429"/>
      <c r="U270" s="429"/>
      <c r="W270" s="429"/>
    </row>
    <row r="271" spans="5:23" s="26" customFormat="1">
      <c r="E271" s="76"/>
      <c r="F271" s="360"/>
      <c r="I271" s="158"/>
      <c r="J271" s="158"/>
      <c r="R271" s="76"/>
      <c r="T271" s="429"/>
      <c r="U271" s="429"/>
      <c r="W271" s="429"/>
    </row>
    <row r="272" spans="5:23" s="26" customFormat="1">
      <c r="E272" s="76"/>
      <c r="F272" s="360"/>
      <c r="I272" s="158"/>
      <c r="J272" s="158"/>
      <c r="R272" s="76"/>
      <c r="T272" s="429"/>
      <c r="U272" s="429"/>
      <c r="W272" s="429"/>
    </row>
    <row r="273" spans="5:23" s="26" customFormat="1">
      <c r="E273" s="76"/>
      <c r="F273" s="360"/>
      <c r="I273" s="158"/>
      <c r="J273" s="158"/>
      <c r="R273" s="76"/>
      <c r="T273" s="429"/>
      <c r="U273" s="429"/>
      <c r="W273" s="429"/>
    </row>
    <row r="274" spans="5:23" s="26" customFormat="1">
      <c r="E274" s="76"/>
      <c r="F274" s="360"/>
      <c r="I274" s="158"/>
      <c r="J274" s="158"/>
      <c r="R274" s="76"/>
      <c r="T274" s="429"/>
      <c r="U274" s="429"/>
      <c r="W274" s="429"/>
    </row>
    <row r="275" spans="5:23" s="26" customFormat="1">
      <c r="E275" s="76"/>
      <c r="F275" s="360"/>
      <c r="I275" s="158"/>
      <c r="J275" s="158"/>
      <c r="R275" s="76"/>
      <c r="T275" s="429"/>
      <c r="U275" s="429"/>
      <c r="W275" s="429"/>
    </row>
    <row r="276" spans="5:23" s="26" customFormat="1">
      <c r="E276" s="76"/>
      <c r="F276" s="360"/>
      <c r="I276" s="158"/>
      <c r="J276" s="158"/>
      <c r="R276" s="76"/>
      <c r="T276" s="429"/>
      <c r="U276" s="429"/>
      <c r="W276" s="429"/>
    </row>
    <row r="277" spans="5:23" s="26" customFormat="1">
      <c r="E277" s="76"/>
      <c r="F277" s="360"/>
      <c r="I277" s="158"/>
      <c r="J277" s="158"/>
      <c r="R277" s="76"/>
      <c r="T277" s="429"/>
      <c r="U277" s="429"/>
      <c r="W277" s="429"/>
    </row>
    <row r="278" spans="5:23" s="26" customFormat="1">
      <c r="E278" s="76"/>
      <c r="F278" s="360"/>
      <c r="I278" s="158"/>
      <c r="J278" s="158"/>
      <c r="R278" s="76"/>
      <c r="T278" s="429"/>
      <c r="U278" s="429"/>
      <c r="W278" s="429"/>
    </row>
    <row r="279" spans="5:23" s="26" customFormat="1">
      <c r="E279" s="76"/>
      <c r="F279" s="360"/>
      <c r="I279" s="158"/>
      <c r="J279" s="158"/>
      <c r="R279" s="76"/>
      <c r="T279" s="429"/>
      <c r="U279" s="429"/>
      <c r="W279" s="429"/>
    </row>
    <row r="280" spans="5:23" s="26" customFormat="1">
      <c r="E280" s="76"/>
      <c r="F280" s="360"/>
      <c r="I280" s="158"/>
      <c r="J280" s="158"/>
      <c r="R280" s="76"/>
      <c r="T280" s="429"/>
      <c r="U280" s="429"/>
      <c r="W280" s="429"/>
    </row>
    <row r="281" spans="5:23" s="26" customFormat="1">
      <c r="E281" s="76"/>
      <c r="F281" s="360"/>
      <c r="I281" s="158"/>
      <c r="J281" s="158"/>
      <c r="R281" s="76"/>
      <c r="T281" s="429"/>
      <c r="U281" s="429"/>
      <c r="W281" s="429"/>
    </row>
    <row r="282" spans="5:23" s="26" customFormat="1">
      <c r="E282" s="76"/>
      <c r="F282" s="360"/>
      <c r="I282" s="158"/>
      <c r="J282" s="158"/>
      <c r="R282" s="76"/>
      <c r="T282" s="429"/>
      <c r="U282" s="429"/>
      <c r="W282" s="429"/>
    </row>
    <row r="283" spans="5:23" s="26" customFormat="1">
      <c r="E283" s="76"/>
      <c r="F283" s="360"/>
      <c r="I283" s="158"/>
      <c r="J283" s="158"/>
      <c r="R283" s="76"/>
      <c r="T283" s="429"/>
      <c r="U283" s="429"/>
      <c r="W283" s="429"/>
    </row>
    <row r="284" spans="5:23" s="26" customFormat="1">
      <c r="E284" s="76"/>
      <c r="F284" s="360"/>
      <c r="I284" s="158"/>
      <c r="J284" s="158"/>
      <c r="R284" s="76"/>
      <c r="T284" s="429"/>
      <c r="U284" s="429"/>
      <c r="W284" s="429"/>
    </row>
    <row r="285" spans="5:23" s="26" customFormat="1">
      <c r="E285" s="76"/>
      <c r="F285" s="360"/>
      <c r="I285" s="158"/>
      <c r="J285" s="158"/>
      <c r="R285" s="76"/>
      <c r="T285" s="429"/>
      <c r="U285" s="429"/>
      <c r="W285" s="429"/>
    </row>
    <row r="286" spans="5:23" s="26" customFormat="1">
      <c r="E286" s="76"/>
      <c r="F286" s="360"/>
      <c r="I286" s="158"/>
      <c r="J286" s="158"/>
      <c r="R286" s="76"/>
      <c r="T286" s="429"/>
      <c r="U286" s="429"/>
      <c r="W286" s="429"/>
    </row>
    <row r="287" spans="5:23" s="26" customFormat="1">
      <c r="E287" s="76"/>
      <c r="F287" s="360"/>
      <c r="I287" s="158"/>
      <c r="J287" s="158"/>
      <c r="R287" s="76"/>
      <c r="T287" s="429"/>
      <c r="U287" s="429"/>
      <c r="W287" s="429"/>
    </row>
    <row r="288" spans="5:23" s="26" customFormat="1">
      <c r="E288" s="76"/>
      <c r="F288" s="360"/>
      <c r="I288" s="158"/>
      <c r="J288" s="158"/>
      <c r="R288" s="76"/>
      <c r="T288" s="429"/>
      <c r="U288" s="429"/>
      <c r="W288" s="429"/>
    </row>
    <row r="289" spans="5:23" s="26" customFormat="1">
      <c r="E289" s="76"/>
      <c r="F289" s="360"/>
      <c r="I289" s="158"/>
      <c r="J289" s="158"/>
      <c r="R289" s="76"/>
      <c r="T289" s="429"/>
      <c r="U289" s="429"/>
      <c r="W289" s="429"/>
    </row>
    <row r="290" spans="5:23" s="26" customFormat="1">
      <c r="E290" s="76"/>
      <c r="F290" s="360"/>
      <c r="I290" s="158"/>
      <c r="J290" s="158"/>
      <c r="R290" s="76"/>
      <c r="T290" s="429"/>
      <c r="U290" s="429"/>
      <c r="W290" s="429"/>
    </row>
    <row r="291" spans="5:23" s="26" customFormat="1">
      <c r="E291" s="76"/>
      <c r="F291" s="360"/>
      <c r="I291" s="158"/>
      <c r="J291" s="158"/>
      <c r="R291" s="76"/>
      <c r="T291" s="429"/>
      <c r="U291" s="429"/>
      <c r="W291" s="429"/>
    </row>
    <row r="292" spans="5:23" s="26" customFormat="1">
      <c r="E292" s="76"/>
      <c r="F292" s="360"/>
      <c r="I292" s="158"/>
      <c r="J292" s="158"/>
      <c r="R292" s="76"/>
      <c r="T292" s="429"/>
      <c r="U292" s="429"/>
      <c r="W292" s="429"/>
    </row>
    <row r="293" spans="5:23" s="26" customFormat="1">
      <c r="E293" s="76"/>
      <c r="F293" s="360"/>
      <c r="I293" s="158"/>
      <c r="J293" s="158"/>
      <c r="R293" s="76"/>
      <c r="T293" s="429"/>
      <c r="U293" s="429"/>
      <c r="W293" s="429"/>
    </row>
    <row r="294" spans="5:23" s="26" customFormat="1">
      <c r="E294" s="76"/>
      <c r="F294" s="360"/>
      <c r="I294" s="158"/>
      <c r="J294" s="158"/>
      <c r="R294" s="76"/>
      <c r="T294" s="429"/>
      <c r="U294" s="429"/>
      <c r="W294" s="429"/>
    </row>
    <row r="295" spans="5:23" s="26" customFormat="1">
      <c r="E295" s="76"/>
      <c r="F295" s="360"/>
      <c r="I295" s="158"/>
      <c r="J295" s="158"/>
      <c r="R295" s="76"/>
      <c r="T295" s="429"/>
      <c r="U295" s="429"/>
      <c r="W295" s="429"/>
    </row>
    <row r="296" spans="5:23" s="26" customFormat="1">
      <c r="E296" s="76"/>
      <c r="F296" s="360"/>
      <c r="I296" s="158"/>
      <c r="J296" s="158"/>
      <c r="R296" s="76"/>
      <c r="T296" s="429"/>
      <c r="U296" s="429"/>
      <c r="W296" s="429"/>
    </row>
    <row r="297" spans="5:23" s="26" customFormat="1">
      <c r="E297" s="76"/>
      <c r="F297" s="360"/>
      <c r="I297" s="158"/>
      <c r="J297" s="158"/>
      <c r="R297" s="76"/>
      <c r="T297" s="429"/>
      <c r="U297" s="429"/>
      <c r="W297" s="429"/>
    </row>
    <row r="298" spans="5:23" s="26" customFormat="1">
      <c r="E298" s="76"/>
      <c r="F298" s="360"/>
      <c r="I298" s="158"/>
      <c r="J298" s="158"/>
      <c r="R298" s="76"/>
      <c r="T298" s="429"/>
      <c r="U298" s="429"/>
      <c r="W298" s="429"/>
    </row>
    <row r="299" spans="5:23" s="26" customFormat="1">
      <c r="E299" s="76"/>
      <c r="F299" s="360"/>
      <c r="I299" s="158"/>
      <c r="J299" s="158"/>
      <c r="R299" s="76"/>
      <c r="T299" s="429"/>
      <c r="U299" s="429"/>
      <c r="W299" s="429"/>
    </row>
    <row r="300" spans="5:23" s="26" customFormat="1">
      <c r="E300" s="76"/>
      <c r="F300" s="360"/>
      <c r="I300" s="158"/>
      <c r="J300" s="158"/>
      <c r="R300" s="76"/>
      <c r="T300" s="429"/>
      <c r="U300" s="429"/>
      <c r="W300" s="429"/>
    </row>
    <row r="301" spans="5:23" s="26" customFormat="1">
      <c r="E301" s="76"/>
      <c r="F301" s="360"/>
      <c r="I301" s="158"/>
      <c r="J301" s="158"/>
      <c r="R301" s="76"/>
      <c r="T301" s="429"/>
      <c r="U301" s="429"/>
      <c r="W301" s="429"/>
    </row>
    <row r="302" spans="5:23" s="26" customFormat="1">
      <c r="E302" s="76"/>
      <c r="F302" s="360"/>
      <c r="I302" s="158"/>
      <c r="J302" s="158"/>
      <c r="R302" s="76"/>
      <c r="T302" s="429"/>
      <c r="U302" s="429"/>
      <c r="W302" s="429"/>
    </row>
    <row r="303" spans="5:23" s="26" customFormat="1">
      <c r="E303" s="76"/>
      <c r="F303" s="360"/>
      <c r="I303" s="158"/>
      <c r="J303" s="158"/>
      <c r="R303" s="76"/>
      <c r="T303" s="429"/>
      <c r="U303" s="429"/>
      <c r="W303" s="429"/>
    </row>
    <row r="304" spans="5:23" s="26" customFormat="1">
      <c r="E304" s="76"/>
      <c r="F304" s="360"/>
      <c r="I304" s="158"/>
      <c r="J304" s="158"/>
      <c r="R304" s="76"/>
      <c r="T304" s="429"/>
      <c r="U304" s="429"/>
      <c r="W304" s="429"/>
    </row>
    <row r="305" spans="5:23" s="26" customFormat="1">
      <c r="E305" s="76"/>
      <c r="F305" s="360"/>
      <c r="I305" s="158"/>
      <c r="J305" s="158"/>
      <c r="R305" s="76"/>
      <c r="T305" s="429"/>
      <c r="U305" s="429"/>
      <c r="W305" s="429"/>
    </row>
    <row r="306" spans="5:23" s="26" customFormat="1">
      <c r="E306" s="76"/>
      <c r="F306" s="360"/>
      <c r="I306" s="158"/>
      <c r="J306" s="158"/>
      <c r="R306" s="76"/>
      <c r="T306" s="429"/>
      <c r="U306" s="429"/>
      <c r="W306" s="429"/>
    </row>
    <row r="307" spans="5:23" s="26" customFormat="1">
      <c r="E307" s="76"/>
      <c r="F307" s="360"/>
      <c r="I307" s="158"/>
      <c r="J307" s="158"/>
      <c r="R307" s="76"/>
      <c r="T307" s="429"/>
      <c r="U307" s="429"/>
      <c r="W307" s="429"/>
    </row>
    <row r="308" spans="5:23" s="26" customFormat="1">
      <c r="E308" s="76"/>
      <c r="F308" s="360"/>
      <c r="I308" s="158"/>
      <c r="J308" s="158"/>
      <c r="R308" s="76"/>
      <c r="T308" s="429"/>
      <c r="U308" s="429"/>
      <c r="W308" s="429"/>
    </row>
    <row r="309" spans="5:23" s="26" customFormat="1">
      <c r="E309" s="76"/>
      <c r="F309" s="360"/>
      <c r="I309" s="158"/>
      <c r="J309" s="158"/>
      <c r="R309" s="76"/>
      <c r="T309" s="429"/>
      <c r="U309" s="429"/>
      <c r="W309" s="429"/>
    </row>
    <row r="310" spans="5:23" s="26" customFormat="1">
      <c r="E310" s="76"/>
      <c r="F310" s="360"/>
      <c r="I310" s="158"/>
      <c r="J310" s="158"/>
      <c r="R310" s="76"/>
      <c r="T310" s="429"/>
      <c r="U310" s="429"/>
      <c r="W310" s="429"/>
    </row>
    <row r="311" spans="5:23" s="26" customFormat="1">
      <c r="E311" s="76"/>
      <c r="F311" s="360"/>
      <c r="I311" s="158"/>
      <c r="J311" s="158"/>
      <c r="R311" s="76"/>
      <c r="T311" s="429"/>
      <c r="U311" s="429"/>
      <c r="W311" s="429"/>
    </row>
    <row r="312" spans="5:23" s="26" customFormat="1">
      <c r="E312" s="76"/>
      <c r="F312" s="360"/>
      <c r="I312" s="158"/>
      <c r="J312" s="158"/>
      <c r="R312" s="76"/>
      <c r="T312" s="429"/>
      <c r="U312" s="429"/>
      <c r="W312" s="429"/>
    </row>
    <row r="313" spans="5:23" s="26" customFormat="1">
      <c r="E313" s="76"/>
      <c r="F313" s="360"/>
      <c r="I313" s="158"/>
      <c r="J313" s="158"/>
      <c r="R313" s="76"/>
      <c r="T313" s="429"/>
      <c r="U313" s="429"/>
      <c r="W313" s="429"/>
    </row>
    <row r="314" spans="5:23" s="26" customFormat="1">
      <c r="E314" s="76"/>
      <c r="F314" s="360"/>
      <c r="I314" s="158"/>
      <c r="J314" s="158"/>
      <c r="R314" s="76"/>
      <c r="T314" s="429"/>
      <c r="U314" s="429"/>
      <c r="W314" s="429"/>
    </row>
    <row r="315" spans="5:23" s="26" customFormat="1">
      <c r="E315" s="76"/>
      <c r="F315" s="360"/>
      <c r="I315" s="158"/>
      <c r="J315" s="158"/>
      <c r="R315" s="76"/>
      <c r="T315" s="429"/>
      <c r="U315" s="429"/>
      <c r="W315" s="429"/>
    </row>
    <row r="316" spans="5:23" s="26" customFormat="1">
      <c r="E316" s="76"/>
      <c r="F316" s="360"/>
      <c r="I316" s="158"/>
      <c r="J316" s="158"/>
      <c r="R316" s="76"/>
      <c r="T316" s="429"/>
      <c r="U316" s="429"/>
      <c r="W316" s="429"/>
    </row>
    <row r="317" spans="5:23" s="26" customFormat="1">
      <c r="E317" s="76"/>
      <c r="F317" s="360"/>
      <c r="I317" s="158"/>
      <c r="J317" s="158"/>
      <c r="R317" s="76"/>
      <c r="T317" s="429"/>
      <c r="U317" s="429"/>
      <c r="W317" s="429"/>
    </row>
    <row r="318" spans="5:23" s="26" customFormat="1">
      <c r="E318" s="76"/>
      <c r="F318" s="360"/>
      <c r="I318" s="158"/>
      <c r="J318" s="158"/>
      <c r="R318" s="76"/>
      <c r="T318" s="429"/>
      <c r="U318" s="429"/>
      <c r="W318" s="429"/>
    </row>
    <row r="319" spans="5:23" s="26" customFormat="1">
      <c r="E319" s="76"/>
      <c r="F319" s="360"/>
      <c r="I319" s="158"/>
      <c r="J319" s="158"/>
      <c r="R319" s="76"/>
      <c r="T319" s="429"/>
      <c r="U319" s="429"/>
      <c r="W319" s="429"/>
    </row>
    <row r="320" spans="5:23" s="26" customFormat="1">
      <c r="E320" s="76"/>
      <c r="F320" s="360"/>
      <c r="I320" s="158"/>
      <c r="J320" s="158"/>
      <c r="R320" s="76"/>
      <c r="T320" s="429"/>
      <c r="U320" s="429"/>
      <c r="W320" s="429"/>
    </row>
    <row r="321" spans="5:23" s="26" customFormat="1">
      <c r="E321" s="76"/>
      <c r="F321" s="360"/>
      <c r="I321" s="158"/>
      <c r="J321" s="158"/>
      <c r="R321" s="76"/>
      <c r="T321" s="429"/>
      <c r="U321" s="429"/>
      <c r="W321" s="429"/>
    </row>
    <row r="322" spans="5:23" s="26" customFormat="1">
      <c r="E322" s="76"/>
      <c r="F322" s="360"/>
      <c r="I322" s="158"/>
      <c r="J322" s="158"/>
      <c r="R322" s="76"/>
      <c r="T322" s="429"/>
      <c r="U322" s="429"/>
      <c r="W322" s="429"/>
    </row>
    <row r="323" spans="5:23" s="26" customFormat="1">
      <c r="E323" s="76"/>
      <c r="F323" s="360"/>
      <c r="I323" s="158"/>
      <c r="J323" s="158"/>
      <c r="R323" s="76"/>
      <c r="T323" s="429"/>
      <c r="U323" s="429"/>
      <c r="W323" s="429"/>
    </row>
    <row r="324" spans="5:23" s="26" customFormat="1">
      <c r="E324" s="76"/>
      <c r="F324" s="360"/>
      <c r="I324" s="158"/>
      <c r="J324" s="158"/>
      <c r="R324" s="76"/>
      <c r="T324" s="429"/>
      <c r="U324" s="429"/>
      <c r="W324" s="429"/>
    </row>
    <row r="325" spans="5:23" s="26" customFormat="1">
      <c r="E325" s="76"/>
      <c r="F325" s="360"/>
      <c r="I325" s="158"/>
      <c r="J325" s="158"/>
      <c r="R325" s="76"/>
      <c r="T325" s="429"/>
      <c r="U325" s="429"/>
      <c r="W325" s="429"/>
    </row>
    <row r="326" spans="5:23" s="26" customFormat="1">
      <c r="E326" s="76"/>
      <c r="F326" s="360"/>
      <c r="I326" s="158"/>
      <c r="J326" s="158"/>
      <c r="R326" s="76"/>
      <c r="T326" s="429"/>
      <c r="U326" s="429"/>
      <c r="W326" s="429"/>
    </row>
    <row r="327" spans="5:23" s="26" customFormat="1">
      <c r="E327" s="76"/>
      <c r="F327" s="360"/>
      <c r="I327" s="158"/>
      <c r="J327" s="158"/>
      <c r="R327" s="76"/>
      <c r="T327" s="429"/>
      <c r="U327" s="429"/>
      <c r="W327" s="429"/>
    </row>
    <row r="328" spans="5:23" s="26" customFormat="1">
      <c r="E328" s="76"/>
      <c r="F328" s="360"/>
      <c r="I328" s="158"/>
      <c r="J328" s="158"/>
      <c r="R328" s="76"/>
      <c r="T328" s="429"/>
      <c r="U328" s="429"/>
      <c r="W328" s="429"/>
    </row>
    <row r="329" spans="5:23" s="26" customFormat="1">
      <c r="E329" s="76"/>
      <c r="F329" s="360"/>
      <c r="I329" s="158"/>
      <c r="J329" s="158"/>
      <c r="R329" s="76"/>
      <c r="T329" s="429"/>
      <c r="U329" s="429"/>
      <c r="W329" s="429"/>
    </row>
    <row r="330" spans="5:23" s="26" customFormat="1">
      <c r="E330" s="76"/>
      <c r="F330" s="360"/>
      <c r="I330" s="158"/>
      <c r="J330" s="158"/>
      <c r="R330" s="76"/>
      <c r="T330" s="429"/>
      <c r="U330" s="429"/>
      <c r="W330" s="429"/>
    </row>
    <row r="331" spans="5:23" s="26" customFormat="1">
      <c r="E331" s="76"/>
      <c r="F331" s="360"/>
      <c r="I331" s="158"/>
      <c r="J331" s="158"/>
      <c r="R331" s="76"/>
      <c r="T331" s="429"/>
      <c r="U331" s="429"/>
      <c r="W331" s="429"/>
    </row>
    <row r="332" spans="5:23" s="26" customFormat="1">
      <c r="E332" s="76"/>
      <c r="F332" s="360"/>
      <c r="I332" s="158"/>
      <c r="J332" s="158"/>
      <c r="R332" s="76"/>
      <c r="T332" s="429"/>
      <c r="U332" s="429"/>
      <c r="W332" s="429"/>
    </row>
    <row r="333" spans="5:23" s="26" customFormat="1">
      <c r="E333" s="76"/>
      <c r="F333" s="360"/>
      <c r="I333" s="158"/>
      <c r="J333" s="158"/>
      <c r="R333" s="76"/>
      <c r="T333" s="429"/>
      <c r="U333" s="429"/>
      <c r="W333" s="429"/>
    </row>
    <row r="334" spans="5:23" s="26" customFormat="1">
      <c r="E334" s="76"/>
      <c r="F334" s="360"/>
      <c r="I334" s="158"/>
      <c r="J334" s="158"/>
      <c r="R334" s="76"/>
      <c r="T334" s="429"/>
      <c r="U334" s="429"/>
      <c r="W334" s="429"/>
    </row>
    <row r="335" spans="5:23" s="26" customFormat="1">
      <c r="E335" s="76"/>
      <c r="F335" s="360"/>
      <c r="I335" s="158"/>
      <c r="J335" s="158"/>
      <c r="R335" s="76"/>
      <c r="T335" s="429"/>
      <c r="U335" s="429"/>
      <c r="W335" s="429"/>
    </row>
    <row r="336" spans="5:23" s="26" customFormat="1">
      <c r="E336" s="76"/>
      <c r="F336" s="360"/>
      <c r="I336" s="158"/>
      <c r="J336" s="158"/>
      <c r="R336" s="76"/>
      <c r="T336" s="429"/>
      <c r="U336" s="429"/>
      <c r="W336" s="429"/>
    </row>
    <row r="337" spans="5:23" s="26" customFormat="1">
      <c r="E337" s="76"/>
      <c r="F337" s="360"/>
      <c r="I337" s="158"/>
      <c r="J337" s="158"/>
      <c r="R337" s="76"/>
      <c r="T337" s="429"/>
      <c r="U337" s="429"/>
      <c r="W337" s="429"/>
    </row>
    <row r="338" spans="5:23" s="26" customFormat="1">
      <c r="E338" s="76"/>
      <c r="F338" s="360"/>
      <c r="I338" s="158"/>
      <c r="J338" s="158"/>
      <c r="R338" s="76"/>
      <c r="T338" s="429"/>
      <c r="U338" s="429"/>
      <c r="W338" s="429"/>
    </row>
    <row r="339" spans="5:23" s="26" customFormat="1">
      <c r="E339" s="76"/>
      <c r="F339" s="360"/>
      <c r="I339" s="158"/>
      <c r="J339" s="158"/>
      <c r="R339" s="76"/>
      <c r="T339" s="429"/>
      <c r="U339" s="429"/>
      <c r="W339" s="429"/>
    </row>
    <row r="340" spans="5:23" s="26" customFormat="1">
      <c r="E340" s="76"/>
      <c r="F340" s="360"/>
      <c r="I340" s="158"/>
      <c r="J340" s="158"/>
      <c r="R340" s="76"/>
      <c r="T340" s="429"/>
      <c r="U340" s="429"/>
      <c r="W340" s="429"/>
    </row>
    <row r="341" spans="5:23" s="26" customFormat="1">
      <c r="E341" s="76"/>
      <c r="F341" s="360"/>
      <c r="I341" s="158"/>
      <c r="J341" s="158"/>
      <c r="R341" s="76"/>
      <c r="T341" s="429"/>
      <c r="U341" s="429"/>
      <c r="W341" s="429"/>
    </row>
    <row r="342" spans="5:23" s="26" customFormat="1">
      <c r="E342" s="76"/>
      <c r="F342" s="360"/>
      <c r="I342" s="158"/>
      <c r="J342" s="158"/>
      <c r="R342" s="76"/>
      <c r="T342" s="429"/>
      <c r="U342" s="429"/>
      <c r="W342" s="429"/>
    </row>
    <row r="343" spans="5:23" s="26" customFormat="1">
      <c r="E343" s="76"/>
      <c r="F343" s="360"/>
      <c r="I343" s="158"/>
      <c r="J343" s="158"/>
      <c r="R343" s="76"/>
      <c r="T343" s="429"/>
      <c r="U343" s="429"/>
      <c r="W343" s="429"/>
    </row>
    <row r="344" spans="5:23" s="26" customFormat="1">
      <c r="E344" s="76"/>
      <c r="F344" s="360"/>
      <c r="I344" s="158"/>
      <c r="J344" s="158"/>
      <c r="R344" s="76"/>
      <c r="T344" s="429"/>
      <c r="U344" s="429"/>
      <c r="W344" s="429"/>
    </row>
    <row r="345" spans="5:23" s="26" customFormat="1">
      <c r="E345" s="76"/>
      <c r="F345" s="360"/>
      <c r="I345" s="158"/>
      <c r="J345" s="158"/>
      <c r="R345" s="76"/>
      <c r="T345" s="429"/>
      <c r="U345" s="429"/>
      <c r="W345" s="429"/>
    </row>
    <row r="346" spans="5:23" s="26" customFormat="1">
      <c r="E346" s="76"/>
      <c r="F346" s="360"/>
      <c r="I346" s="158"/>
      <c r="J346" s="158"/>
      <c r="R346" s="76"/>
      <c r="T346" s="429"/>
      <c r="U346" s="429"/>
      <c r="W346" s="429"/>
    </row>
    <row r="347" spans="5:23" s="26" customFormat="1">
      <c r="E347" s="76"/>
      <c r="F347" s="360"/>
      <c r="I347" s="158"/>
      <c r="J347" s="158"/>
      <c r="R347" s="76"/>
      <c r="T347" s="429"/>
      <c r="U347" s="429"/>
      <c r="W347" s="429"/>
    </row>
    <row r="348" spans="5:23" s="26" customFormat="1">
      <c r="E348" s="76"/>
      <c r="F348" s="360"/>
      <c r="I348" s="158"/>
      <c r="J348" s="158"/>
      <c r="R348" s="76"/>
      <c r="T348" s="429"/>
      <c r="U348" s="429"/>
      <c r="W348" s="429"/>
    </row>
    <row r="349" spans="5:23" s="26" customFormat="1">
      <c r="E349" s="76"/>
      <c r="F349" s="360"/>
      <c r="I349" s="158"/>
      <c r="J349" s="158"/>
      <c r="R349" s="76"/>
      <c r="T349" s="429"/>
      <c r="U349" s="429"/>
      <c r="W349" s="429"/>
    </row>
    <row r="350" spans="5:23" s="26" customFormat="1">
      <c r="E350" s="76"/>
      <c r="F350" s="360"/>
      <c r="I350" s="158"/>
      <c r="J350" s="158"/>
      <c r="R350" s="76"/>
      <c r="T350" s="429"/>
      <c r="U350" s="429"/>
      <c r="W350" s="429"/>
    </row>
    <row r="351" spans="5:23" s="26" customFormat="1">
      <c r="E351" s="76"/>
      <c r="F351" s="360"/>
      <c r="I351" s="158"/>
      <c r="J351" s="158"/>
      <c r="R351" s="76"/>
      <c r="T351" s="429"/>
      <c r="U351" s="429"/>
      <c r="W351" s="429"/>
    </row>
    <row r="352" spans="5:23" s="26" customFormat="1">
      <c r="E352" s="76"/>
      <c r="F352" s="360"/>
      <c r="I352" s="158"/>
      <c r="J352" s="158"/>
      <c r="R352" s="76"/>
      <c r="T352" s="429"/>
      <c r="U352" s="429"/>
      <c r="W352" s="429"/>
    </row>
    <row r="353" spans="5:23" s="26" customFormat="1">
      <c r="E353" s="76"/>
      <c r="F353" s="360"/>
      <c r="I353" s="158"/>
      <c r="J353" s="158"/>
      <c r="R353" s="76"/>
      <c r="T353" s="429"/>
      <c r="U353" s="429"/>
      <c r="W353" s="429"/>
    </row>
    <row r="354" spans="5:23" s="26" customFormat="1">
      <c r="E354" s="76"/>
      <c r="F354" s="360"/>
      <c r="I354" s="158"/>
      <c r="J354" s="158"/>
      <c r="R354" s="76"/>
      <c r="T354" s="429"/>
      <c r="U354" s="429"/>
      <c r="W354" s="429"/>
    </row>
    <row r="355" spans="5:23" s="26" customFormat="1">
      <c r="E355" s="76"/>
      <c r="F355" s="360"/>
      <c r="I355" s="158"/>
      <c r="J355" s="158"/>
      <c r="R355" s="76"/>
      <c r="T355" s="429"/>
      <c r="U355" s="429"/>
      <c r="W355" s="429"/>
    </row>
    <row r="356" spans="5:23" s="26" customFormat="1">
      <c r="E356" s="76"/>
      <c r="F356" s="360"/>
      <c r="I356" s="158"/>
      <c r="J356" s="158"/>
      <c r="R356" s="76"/>
      <c r="T356" s="429"/>
      <c r="U356" s="429"/>
      <c r="W356" s="429"/>
    </row>
    <row r="357" spans="5:23" s="26" customFormat="1">
      <c r="E357" s="76"/>
      <c r="F357" s="360"/>
      <c r="I357" s="158"/>
      <c r="J357" s="158"/>
      <c r="R357" s="76"/>
      <c r="T357" s="429"/>
      <c r="U357" s="429"/>
      <c r="W357" s="429"/>
    </row>
    <row r="358" spans="5:23" s="26" customFormat="1">
      <c r="E358" s="76"/>
      <c r="F358" s="360"/>
      <c r="I358" s="158"/>
      <c r="J358" s="158"/>
      <c r="R358" s="76"/>
      <c r="T358" s="429"/>
      <c r="U358" s="429"/>
      <c r="W358" s="429"/>
    </row>
    <row r="359" spans="5:23" s="26" customFormat="1">
      <c r="E359" s="76"/>
      <c r="F359" s="360"/>
      <c r="I359" s="158"/>
      <c r="J359" s="158"/>
      <c r="R359" s="76"/>
      <c r="T359" s="429"/>
      <c r="U359" s="429"/>
      <c r="W359" s="429"/>
    </row>
    <row r="360" spans="5:23" s="26" customFormat="1">
      <c r="E360" s="76"/>
      <c r="F360" s="360"/>
      <c r="I360" s="158"/>
      <c r="J360" s="158"/>
      <c r="R360" s="76"/>
      <c r="T360" s="429"/>
      <c r="U360" s="429"/>
      <c r="W360" s="429"/>
    </row>
    <row r="361" spans="5:23" s="26" customFormat="1">
      <c r="E361" s="76"/>
      <c r="F361" s="360"/>
      <c r="I361" s="158"/>
      <c r="J361" s="158"/>
      <c r="R361" s="76"/>
      <c r="T361" s="429"/>
      <c r="U361" s="429"/>
      <c r="W361" s="429"/>
    </row>
    <row r="362" spans="5:23" s="26" customFormat="1">
      <c r="E362" s="76"/>
      <c r="F362" s="360"/>
      <c r="I362" s="158"/>
      <c r="J362" s="158"/>
      <c r="R362" s="76"/>
      <c r="T362" s="429"/>
      <c r="U362" s="429"/>
      <c r="W362" s="429"/>
    </row>
    <row r="363" spans="5:23" s="26" customFormat="1">
      <c r="E363" s="76"/>
      <c r="F363" s="360"/>
      <c r="I363" s="158"/>
      <c r="J363" s="158"/>
      <c r="R363" s="76"/>
      <c r="T363" s="429"/>
      <c r="U363" s="429"/>
      <c r="W363" s="429"/>
    </row>
    <row r="364" spans="5:23" s="26" customFormat="1">
      <c r="E364" s="76"/>
      <c r="F364" s="360"/>
      <c r="I364" s="158"/>
      <c r="J364" s="158"/>
      <c r="R364" s="76"/>
      <c r="T364" s="429"/>
      <c r="U364" s="429"/>
      <c r="W364" s="429"/>
    </row>
    <row r="365" spans="5:23" s="26" customFormat="1">
      <c r="E365" s="76"/>
      <c r="F365" s="360"/>
      <c r="I365" s="158"/>
      <c r="J365" s="158"/>
      <c r="R365" s="76"/>
      <c r="T365" s="429"/>
      <c r="U365" s="429"/>
      <c r="W365" s="429"/>
    </row>
    <row r="366" spans="5:23" s="26" customFormat="1">
      <c r="E366" s="76"/>
      <c r="F366" s="360"/>
      <c r="I366" s="158"/>
      <c r="J366" s="158"/>
      <c r="R366" s="76"/>
      <c r="T366" s="429"/>
      <c r="U366" s="429"/>
      <c r="W366" s="429"/>
    </row>
    <row r="367" spans="5:23" s="26" customFormat="1">
      <c r="E367" s="76"/>
      <c r="F367" s="360"/>
      <c r="I367" s="158"/>
      <c r="J367" s="158"/>
      <c r="R367" s="76"/>
      <c r="T367" s="429"/>
      <c r="U367" s="429"/>
      <c r="W367" s="429"/>
    </row>
    <row r="368" spans="5:23" s="26" customFormat="1">
      <c r="E368" s="76"/>
      <c r="F368" s="360"/>
      <c r="I368" s="158"/>
      <c r="J368" s="158"/>
      <c r="R368" s="76"/>
      <c r="T368" s="429"/>
      <c r="U368" s="429"/>
      <c r="W368" s="429"/>
    </row>
    <row r="369" spans="5:23" s="26" customFormat="1">
      <c r="E369" s="76"/>
      <c r="F369" s="360"/>
      <c r="I369" s="158"/>
      <c r="J369" s="158"/>
      <c r="R369" s="76"/>
      <c r="T369" s="429"/>
      <c r="U369" s="429"/>
      <c r="W369" s="429"/>
    </row>
    <row r="370" spans="5:23" s="26" customFormat="1">
      <c r="E370" s="76"/>
      <c r="F370" s="360"/>
      <c r="I370" s="158"/>
      <c r="J370" s="158"/>
      <c r="R370" s="76"/>
      <c r="T370" s="429"/>
      <c r="U370" s="429"/>
      <c r="W370" s="429"/>
    </row>
    <row r="371" spans="5:23" s="26" customFormat="1">
      <c r="E371" s="76"/>
      <c r="F371" s="360"/>
      <c r="I371" s="158"/>
      <c r="J371" s="158"/>
      <c r="R371" s="76"/>
      <c r="T371" s="429"/>
      <c r="U371" s="429"/>
      <c r="W371" s="429"/>
    </row>
    <row r="372" spans="5:23" s="26" customFormat="1">
      <c r="E372" s="76"/>
      <c r="F372" s="360"/>
      <c r="I372" s="158"/>
      <c r="J372" s="158"/>
      <c r="R372" s="76"/>
      <c r="T372" s="429"/>
      <c r="U372" s="429"/>
      <c r="W372" s="429"/>
    </row>
    <row r="373" spans="5:23" s="26" customFormat="1">
      <c r="E373" s="76"/>
      <c r="F373" s="360"/>
      <c r="I373" s="158"/>
      <c r="J373" s="158"/>
      <c r="R373" s="76"/>
      <c r="T373" s="429"/>
      <c r="U373" s="429"/>
      <c r="W373" s="429"/>
    </row>
    <row r="374" spans="5:23" s="26" customFormat="1">
      <c r="E374" s="76"/>
      <c r="F374" s="360"/>
      <c r="I374" s="158"/>
      <c r="J374" s="158"/>
      <c r="R374" s="76"/>
      <c r="T374" s="429"/>
      <c r="U374" s="429"/>
      <c r="W374" s="429"/>
    </row>
    <row r="375" spans="5:23" s="26" customFormat="1">
      <c r="E375" s="76"/>
      <c r="F375" s="360"/>
      <c r="I375" s="158"/>
      <c r="J375" s="158"/>
      <c r="R375" s="76"/>
      <c r="T375" s="429"/>
      <c r="U375" s="429"/>
      <c r="W375" s="429"/>
    </row>
    <row r="376" spans="5:23" s="26" customFormat="1">
      <c r="E376" s="76"/>
      <c r="F376" s="360"/>
      <c r="I376" s="158"/>
      <c r="J376" s="158"/>
      <c r="R376" s="76"/>
      <c r="T376" s="429"/>
      <c r="U376" s="429"/>
      <c r="W376" s="429"/>
    </row>
    <row r="377" spans="5:23" s="26" customFormat="1">
      <c r="E377" s="76"/>
      <c r="F377" s="360"/>
      <c r="I377" s="158"/>
      <c r="J377" s="158"/>
      <c r="R377" s="76"/>
      <c r="T377" s="429"/>
      <c r="U377" s="429"/>
      <c r="W377" s="429"/>
    </row>
    <row r="378" spans="5:23" s="26" customFormat="1">
      <c r="E378" s="76"/>
      <c r="F378" s="360"/>
      <c r="I378" s="158"/>
      <c r="J378" s="158"/>
      <c r="R378" s="76"/>
      <c r="T378" s="429"/>
      <c r="U378" s="429"/>
      <c r="W378" s="429"/>
    </row>
    <row r="379" spans="5:23" s="26" customFormat="1">
      <c r="E379" s="76"/>
      <c r="F379" s="360"/>
      <c r="I379" s="158"/>
      <c r="J379" s="158"/>
      <c r="R379" s="76"/>
      <c r="T379" s="429"/>
      <c r="U379" s="429"/>
      <c r="W379" s="429"/>
    </row>
    <row r="380" spans="5:23" s="26" customFormat="1">
      <c r="E380" s="76"/>
      <c r="F380" s="360"/>
      <c r="I380" s="158"/>
      <c r="J380" s="158"/>
      <c r="R380" s="76"/>
      <c r="T380" s="429"/>
      <c r="U380" s="429"/>
      <c r="W380" s="429"/>
    </row>
    <row r="381" spans="5:23" s="26" customFormat="1">
      <c r="E381" s="76"/>
      <c r="F381" s="360"/>
      <c r="I381" s="158"/>
      <c r="J381" s="158"/>
      <c r="R381" s="76"/>
      <c r="T381" s="429"/>
      <c r="U381" s="429"/>
      <c r="W381" s="429"/>
    </row>
    <row r="382" spans="5:23" s="26" customFormat="1">
      <c r="E382" s="76"/>
      <c r="F382" s="360"/>
      <c r="I382" s="158"/>
      <c r="J382" s="158"/>
      <c r="R382" s="76"/>
      <c r="T382" s="429"/>
      <c r="U382" s="429"/>
      <c r="W382" s="429"/>
    </row>
    <row r="383" spans="5:23" s="26" customFormat="1">
      <c r="E383" s="76"/>
      <c r="F383" s="360"/>
      <c r="I383" s="158"/>
      <c r="J383" s="158"/>
      <c r="R383" s="76"/>
      <c r="T383" s="429"/>
      <c r="U383" s="429"/>
      <c r="W383" s="429"/>
    </row>
    <row r="384" spans="5:23" s="26" customFormat="1">
      <c r="E384" s="76"/>
      <c r="F384" s="360"/>
      <c r="I384" s="158"/>
      <c r="J384" s="158"/>
      <c r="R384" s="76"/>
      <c r="T384" s="429"/>
      <c r="U384" s="429"/>
      <c r="W384" s="429"/>
    </row>
    <row r="385" spans="5:23" s="26" customFormat="1">
      <c r="E385" s="76"/>
      <c r="F385" s="360"/>
      <c r="I385" s="158"/>
      <c r="J385" s="158"/>
      <c r="R385" s="76"/>
      <c r="T385" s="429"/>
      <c r="U385" s="429"/>
      <c r="W385" s="429"/>
    </row>
    <row r="386" spans="5:23" s="26" customFormat="1">
      <c r="E386" s="76"/>
      <c r="F386" s="360"/>
      <c r="I386" s="158"/>
      <c r="J386" s="158"/>
      <c r="R386" s="76"/>
      <c r="T386" s="429"/>
      <c r="U386" s="429"/>
      <c r="W386" s="429"/>
    </row>
    <row r="387" spans="5:23" s="26" customFormat="1">
      <c r="E387" s="76"/>
      <c r="F387" s="360"/>
      <c r="I387" s="158"/>
      <c r="J387" s="158"/>
      <c r="R387" s="76"/>
      <c r="T387" s="429"/>
      <c r="U387" s="429"/>
      <c r="W387" s="429"/>
    </row>
    <row r="388" spans="5:23" s="26" customFormat="1">
      <c r="E388" s="76"/>
      <c r="F388" s="360"/>
      <c r="I388" s="158"/>
      <c r="J388" s="158"/>
      <c r="R388" s="76"/>
      <c r="T388" s="429"/>
      <c r="U388" s="429"/>
      <c r="W388" s="429"/>
    </row>
    <row r="389" spans="5:23" s="26" customFormat="1">
      <c r="E389" s="76"/>
      <c r="F389" s="360"/>
      <c r="I389" s="158"/>
      <c r="J389" s="158"/>
      <c r="R389" s="76"/>
      <c r="T389" s="429"/>
      <c r="U389" s="429"/>
      <c r="W389" s="429"/>
    </row>
    <row r="390" spans="5:23" s="26" customFormat="1">
      <c r="E390" s="76"/>
      <c r="F390" s="360"/>
      <c r="I390" s="158"/>
      <c r="J390" s="158"/>
      <c r="R390" s="76"/>
      <c r="T390" s="429"/>
      <c r="U390" s="429"/>
      <c r="W390" s="429"/>
    </row>
    <row r="391" spans="5:23" s="26" customFormat="1">
      <c r="E391" s="76"/>
      <c r="F391" s="360"/>
      <c r="I391" s="158"/>
      <c r="J391" s="158"/>
      <c r="R391" s="76"/>
      <c r="T391" s="429"/>
      <c r="U391" s="429"/>
      <c r="W391" s="429"/>
    </row>
    <row r="392" spans="5:23" s="26" customFormat="1">
      <c r="E392" s="76"/>
      <c r="F392" s="360"/>
      <c r="I392" s="158"/>
      <c r="J392" s="158"/>
      <c r="R392" s="76"/>
      <c r="T392" s="429"/>
      <c r="U392" s="429"/>
      <c r="W392" s="429"/>
    </row>
    <row r="393" spans="5:23" s="26" customFormat="1">
      <c r="E393" s="76"/>
      <c r="F393" s="360"/>
      <c r="I393" s="158"/>
      <c r="J393" s="158"/>
      <c r="R393" s="76"/>
      <c r="T393" s="429"/>
      <c r="U393" s="429"/>
      <c r="W393" s="429"/>
    </row>
    <row r="394" spans="5:23" s="26" customFormat="1">
      <c r="E394" s="76"/>
      <c r="F394" s="360"/>
      <c r="I394" s="158"/>
      <c r="J394" s="158"/>
      <c r="R394" s="76"/>
      <c r="T394" s="429"/>
      <c r="U394" s="429"/>
      <c r="W394" s="429"/>
    </row>
    <row r="395" spans="5:23" s="26" customFormat="1">
      <c r="E395" s="76"/>
      <c r="F395" s="360"/>
      <c r="I395" s="158"/>
      <c r="J395" s="158"/>
      <c r="R395" s="76"/>
      <c r="T395" s="429"/>
      <c r="U395" s="429"/>
      <c r="W395" s="429"/>
    </row>
    <row r="396" spans="5:23" s="26" customFormat="1">
      <c r="E396" s="76"/>
      <c r="F396" s="360"/>
      <c r="I396" s="158"/>
      <c r="J396" s="158"/>
      <c r="R396" s="76"/>
      <c r="T396" s="429"/>
      <c r="U396" s="429"/>
      <c r="W396" s="429"/>
    </row>
    <row r="397" spans="5:23" s="26" customFormat="1">
      <c r="E397" s="76"/>
      <c r="F397" s="360"/>
      <c r="I397" s="158"/>
      <c r="J397" s="158"/>
      <c r="R397" s="76"/>
      <c r="T397" s="429"/>
      <c r="U397" s="429"/>
      <c r="W397" s="429"/>
    </row>
    <row r="398" spans="5:23" s="26" customFormat="1">
      <c r="E398" s="76"/>
      <c r="F398" s="360"/>
      <c r="I398" s="158"/>
      <c r="J398" s="158"/>
      <c r="R398" s="76"/>
      <c r="T398" s="429"/>
      <c r="U398" s="429"/>
      <c r="W398" s="429"/>
    </row>
    <row r="399" spans="5:23" s="26" customFormat="1">
      <c r="E399" s="76"/>
      <c r="F399" s="360"/>
      <c r="I399" s="158"/>
      <c r="J399" s="158"/>
      <c r="R399" s="76"/>
      <c r="T399" s="429"/>
      <c r="U399" s="429"/>
      <c r="W399" s="429"/>
    </row>
    <row r="400" spans="5:23" s="26" customFormat="1">
      <c r="E400" s="76"/>
      <c r="F400" s="360"/>
      <c r="I400" s="158"/>
      <c r="J400" s="158"/>
      <c r="R400" s="76"/>
      <c r="T400" s="429"/>
      <c r="U400" s="429"/>
      <c r="W400" s="429"/>
    </row>
    <row r="401" spans="5:23" s="26" customFormat="1">
      <c r="E401" s="76"/>
      <c r="F401" s="360"/>
      <c r="I401" s="158"/>
      <c r="J401" s="158"/>
      <c r="R401" s="76"/>
      <c r="T401" s="429"/>
      <c r="U401" s="429"/>
      <c r="W401" s="429"/>
    </row>
    <row r="402" spans="5:23" s="26" customFormat="1">
      <c r="E402" s="76"/>
      <c r="F402" s="360"/>
      <c r="I402" s="158"/>
      <c r="J402" s="158"/>
      <c r="R402" s="76"/>
      <c r="T402" s="429"/>
      <c r="U402" s="429"/>
      <c r="W402" s="429"/>
    </row>
    <row r="403" spans="5:23" s="26" customFormat="1">
      <c r="E403" s="76"/>
      <c r="F403" s="360"/>
      <c r="I403" s="158"/>
      <c r="J403" s="158"/>
      <c r="R403" s="76"/>
      <c r="T403" s="429"/>
      <c r="U403" s="429"/>
      <c r="W403" s="429"/>
    </row>
    <row r="404" spans="5:23" s="26" customFormat="1">
      <c r="E404" s="76"/>
      <c r="F404" s="360"/>
      <c r="I404" s="158"/>
      <c r="J404" s="158"/>
      <c r="R404" s="76"/>
      <c r="T404" s="429"/>
      <c r="U404" s="429"/>
      <c r="W404" s="429"/>
    </row>
    <row r="405" spans="5:23" s="26" customFormat="1">
      <c r="E405" s="76"/>
      <c r="F405" s="360"/>
      <c r="I405" s="158"/>
      <c r="J405" s="158"/>
      <c r="R405" s="76"/>
      <c r="T405" s="429"/>
      <c r="U405" s="429"/>
      <c r="W405" s="429"/>
    </row>
    <row r="406" spans="5:23" s="26" customFormat="1">
      <c r="E406" s="76"/>
      <c r="F406" s="360"/>
      <c r="I406" s="158"/>
      <c r="J406" s="158"/>
      <c r="R406" s="76"/>
      <c r="T406" s="429"/>
      <c r="U406" s="429"/>
      <c r="W406" s="429"/>
    </row>
    <row r="407" spans="5:23" s="26" customFormat="1">
      <c r="E407" s="76"/>
      <c r="F407" s="360"/>
      <c r="I407" s="158"/>
      <c r="J407" s="158"/>
      <c r="R407" s="76"/>
      <c r="T407" s="429"/>
      <c r="U407" s="429"/>
      <c r="W407" s="429"/>
    </row>
    <row r="408" spans="5:23" s="26" customFormat="1">
      <c r="E408" s="76"/>
      <c r="F408" s="360"/>
      <c r="I408" s="158"/>
      <c r="J408" s="158"/>
      <c r="R408" s="76"/>
      <c r="T408" s="429"/>
      <c r="U408" s="429"/>
      <c r="W408" s="429"/>
    </row>
    <row r="409" spans="5:23" s="26" customFormat="1">
      <c r="E409" s="76"/>
      <c r="F409" s="360"/>
      <c r="I409" s="158"/>
      <c r="J409" s="158"/>
      <c r="R409" s="76"/>
      <c r="T409" s="429"/>
      <c r="U409" s="429"/>
      <c r="W409" s="429"/>
    </row>
    <row r="410" spans="5:23" s="26" customFormat="1">
      <c r="E410" s="76"/>
      <c r="F410" s="360"/>
      <c r="I410" s="158"/>
      <c r="J410" s="158"/>
      <c r="R410" s="76"/>
      <c r="T410" s="429"/>
      <c r="U410" s="429"/>
      <c r="W410" s="429"/>
    </row>
    <row r="411" spans="5:23" s="26" customFormat="1">
      <c r="E411" s="76"/>
      <c r="F411" s="360"/>
      <c r="I411" s="158"/>
      <c r="J411" s="158"/>
      <c r="R411" s="76"/>
      <c r="T411" s="429"/>
      <c r="U411" s="429"/>
      <c r="W411" s="429"/>
    </row>
    <row r="412" spans="5:23" s="26" customFormat="1">
      <c r="E412" s="76"/>
      <c r="F412" s="360"/>
      <c r="I412" s="158"/>
      <c r="J412" s="158"/>
      <c r="R412" s="76"/>
      <c r="T412" s="429"/>
      <c r="U412" s="429"/>
      <c r="W412" s="429"/>
    </row>
    <row r="413" spans="5:23" s="26" customFormat="1">
      <c r="E413" s="76"/>
      <c r="F413" s="360"/>
      <c r="I413" s="158"/>
      <c r="J413" s="158"/>
      <c r="R413" s="76"/>
      <c r="T413" s="429"/>
      <c r="U413" s="429"/>
      <c r="W413" s="429"/>
    </row>
    <row r="414" spans="5:23" s="26" customFormat="1">
      <c r="E414" s="76"/>
      <c r="F414" s="360"/>
      <c r="I414" s="158"/>
      <c r="J414" s="158"/>
      <c r="R414" s="76"/>
      <c r="T414" s="429"/>
      <c r="U414" s="429"/>
      <c r="W414" s="429"/>
    </row>
    <row r="415" spans="5:23" s="26" customFormat="1">
      <c r="E415" s="76"/>
      <c r="F415" s="360"/>
      <c r="I415" s="158"/>
      <c r="J415" s="158"/>
      <c r="R415" s="76"/>
      <c r="T415" s="429"/>
      <c r="U415" s="429"/>
      <c r="W415" s="429"/>
    </row>
    <row r="416" spans="5:23" s="26" customFormat="1">
      <c r="E416" s="76"/>
      <c r="F416" s="360"/>
      <c r="I416" s="158"/>
      <c r="J416" s="158"/>
      <c r="R416" s="76"/>
      <c r="T416" s="429"/>
      <c r="U416" s="429"/>
      <c r="W416" s="429"/>
    </row>
    <row r="417" spans="5:23" s="26" customFormat="1">
      <c r="E417" s="76"/>
      <c r="F417" s="360"/>
      <c r="I417" s="158"/>
      <c r="J417" s="158"/>
      <c r="R417" s="76"/>
      <c r="T417" s="429"/>
      <c r="U417" s="429"/>
      <c r="W417" s="429"/>
    </row>
    <row r="418" spans="5:23" s="26" customFormat="1">
      <c r="E418" s="76"/>
      <c r="F418" s="360"/>
      <c r="I418" s="158"/>
      <c r="J418" s="158"/>
      <c r="R418" s="76"/>
      <c r="T418" s="429"/>
      <c r="U418" s="429"/>
      <c r="W418" s="429"/>
    </row>
    <row r="419" spans="5:23" s="26" customFormat="1">
      <c r="E419" s="76"/>
      <c r="F419" s="360"/>
      <c r="I419" s="158"/>
      <c r="J419" s="158"/>
      <c r="R419" s="76"/>
      <c r="T419" s="429"/>
      <c r="U419" s="429"/>
      <c r="W419" s="429"/>
    </row>
    <row r="420" spans="5:23" s="26" customFormat="1">
      <c r="E420" s="76"/>
      <c r="F420" s="360"/>
      <c r="I420" s="158"/>
      <c r="J420" s="158"/>
      <c r="R420" s="76"/>
      <c r="T420" s="429"/>
      <c r="U420" s="429"/>
      <c r="W420" s="429"/>
    </row>
    <row r="421" spans="5:23" s="26" customFormat="1">
      <c r="E421" s="76"/>
      <c r="F421" s="360"/>
      <c r="I421" s="158"/>
      <c r="J421" s="158"/>
      <c r="R421" s="76"/>
      <c r="T421" s="429"/>
      <c r="U421" s="429"/>
      <c r="W421" s="429"/>
    </row>
    <row r="422" spans="5:23" s="26" customFormat="1">
      <c r="E422" s="76"/>
      <c r="F422" s="360"/>
      <c r="I422" s="158"/>
      <c r="J422" s="158"/>
      <c r="R422" s="76"/>
      <c r="T422" s="429"/>
      <c r="U422" s="429"/>
      <c r="W422" s="429"/>
    </row>
    <row r="423" spans="5:23" s="26" customFormat="1">
      <c r="E423" s="76"/>
      <c r="F423" s="360"/>
      <c r="I423" s="158"/>
      <c r="J423" s="158"/>
      <c r="R423" s="76"/>
      <c r="T423" s="429"/>
      <c r="U423" s="429"/>
      <c r="W423" s="429"/>
    </row>
    <row r="424" spans="5:23" s="26" customFormat="1">
      <c r="E424" s="76"/>
      <c r="F424" s="360"/>
      <c r="I424" s="158"/>
      <c r="J424" s="158"/>
      <c r="R424" s="76"/>
      <c r="T424" s="429"/>
      <c r="U424" s="429"/>
      <c r="W424" s="429"/>
    </row>
    <row r="425" spans="5:23" s="26" customFormat="1">
      <c r="E425" s="76"/>
      <c r="F425" s="360"/>
      <c r="I425" s="158"/>
      <c r="J425" s="158"/>
      <c r="R425" s="76"/>
      <c r="T425" s="429"/>
      <c r="U425" s="429"/>
      <c r="W425" s="429"/>
    </row>
    <row r="426" spans="5:23" s="26" customFormat="1">
      <c r="E426" s="76"/>
      <c r="F426" s="360"/>
      <c r="I426" s="158"/>
      <c r="J426" s="158"/>
      <c r="R426" s="76"/>
      <c r="T426" s="429"/>
      <c r="U426" s="429"/>
      <c r="W426" s="429"/>
    </row>
    <row r="427" spans="5:23" s="26" customFormat="1">
      <c r="E427" s="76"/>
      <c r="F427" s="360"/>
      <c r="I427" s="158"/>
      <c r="J427" s="158"/>
      <c r="R427" s="76"/>
      <c r="T427" s="429"/>
      <c r="U427" s="429"/>
      <c r="W427" s="429"/>
    </row>
    <row r="428" spans="5:23" s="26" customFormat="1">
      <c r="E428" s="76"/>
      <c r="F428" s="360"/>
      <c r="I428" s="158"/>
      <c r="J428" s="158"/>
      <c r="R428" s="76"/>
      <c r="T428" s="429"/>
      <c r="U428" s="429"/>
      <c r="W428" s="429"/>
    </row>
    <row r="429" spans="5:23" s="26" customFormat="1">
      <c r="E429" s="76"/>
      <c r="F429" s="360"/>
      <c r="I429" s="158"/>
      <c r="J429" s="158"/>
      <c r="R429" s="76"/>
      <c r="T429" s="429"/>
      <c r="U429" s="429"/>
      <c r="W429" s="429"/>
    </row>
    <row r="430" spans="5:23" s="26" customFormat="1">
      <c r="E430" s="76"/>
      <c r="F430" s="360"/>
      <c r="I430" s="158"/>
      <c r="J430" s="158"/>
      <c r="R430" s="76"/>
      <c r="T430" s="429"/>
      <c r="U430" s="429"/>
      <c r="W430" s="429"/>
    </row>
    <row r="431" spans="5:23" s="26" customFormat="1">
      <c r="E431" s="76"/>
      <c r="F431" s="360"/>
      <c r="I431" s="158"/>
      <c r="J431" s="158"/>
      <c r="R431" s="76"/>
      <c r="T431" s="429"/>
      <c r="U431" s="429"/>
      <c r="W431" s="429"/>
    </row>
    <row r="432" spans="5:23" s="26" customFormat="1">
      <c r="E432" s="76"/>
      <c r="F432" s="360"/>
      <c r="I432" s="158"/>
      <c r="J432" s="158"/>
      <c r="R432" s="76"/>
      <c r="T432" s="429"/>
      <c r="U432" s="429"/>
      <c r="W432" s="429"/>
    </row>
    <row r="433" spans="5:23" s="26" customFormat="1">
      <c r="E433" s="76"/>
      <c r="F433" s="360"/>
      <c r="I433" s="158"/>
      <c r="J433" s="158"/>
      <c r="R433" s="76"/>
      <c r="T433" s="429"/>
      <c r="U433" s="429"/>
      <c r="W433" s="429"/>
    </row>
    <row r="434" spans="5:23" s="26" customFormat="1">
      <c r="E434" s="76"/>
      <c r="F434" s="360"/>
      <c r="I434" s="158"/>
      <c r="J434" s="158"/>
      <c r="R434" s="76"/>
      <c r="T434" s="429"/>
      <c r="U434" s="429"/>
      <c r="W434" s="429"/>
    </row>
    <row r="435" spans="5:23" s="26" customFormat="1">
      <c r="E435" s="76"/>
      <c r="F435" s="360"/>
      <c r="I435" s="158"/>
      <c r="J435" s="158"/>
      <c r="R435" s="76"/>
      <c r="T435" s="429"/>
      <c r="U435" s="429"/>
      <c r="W435" s="429"/>
    </row>
    <row r="436" spans="5:23" s="26" customFormat="1">
      <c r="E436" s="76"/>
      <c r="F436" s="360"/>
      <c r="I436" s="158"/>
      <c r="J436" s="158"/>
      <c r="R436" s="76"/>
      <c r="T436" s="429"/>
      <c r="U436" s="429"/>
      <c r="W436" s="429"/>
    </row>
    <row r="437" spans="5:23" s="26" customFormat="1">
      <c r="E437" s="76"/>
      <c r="F437" s="360"/>
      <c r="I437" s="158"/>
      <c r="J437" s="158"/>
      <c r="R437" s="76"/>
      <c r="T437" s="429"/>
      <c r="U437" s="429"/>
      <c r="W437" s="429"/>
    </row>
    <row r="438" spans="5:23" s="26" customFormat="1">
      <c r="E438" s="76"/>
      <c r="F438" s="360"/>
      <c r="I438" s="158"/>
      <c r="J438" s="158"/>
      <c r="R438" s="76"/>
      <c r="T438" s="429"/>
      <c r="U438" s="429"/>
      <c r="W438" s="429"/>
    </row>
    <row r="439" spans="5:23" s="26" customFormat="1">
      <c r="E439" s="76"/>
      <c r="F439" s="360"/>
      <c r="I439" s="158"/>
      <c r="J439" s="158"/>
      <c r="R439" s="76"/>
      <c r="T439" s="429"/>
      <c r="U439" s="429"/>
      <c r="W439" s="429"/>
    </row>
    <row r="440" spans="5:23" s="26" customFormat="1">
      <c r="E440" s="76"/>
      <c r="F440" s="360"/>
      <c r="I440" s="158"/>
      <c r="J440" s="158"/>
      <c r="R440" s="76"/>
      <c r="T440" s="429"/>
      <c r="U440" s="429"/>
      <c r="W440" s="429"/>
    </row>
    <row r="441" spans="5:23" s="26" customFormat="1">
      <c r="E441" s="76"/>
      <c r="F441" s="360"/>
      <c r="I441" s="158"/>
      <c r="J441" s="158"/>
      <c r="R441" s="76"/>
      <c r="T441" s="429"/>
      <c r="U441" s="429"/>
      <c r="W441" s="429"/>
    </row>
    <row r="442" spans="5:23" s="26" customFormat="1">
      <c r="E442" s="76"/>
      <c r="F442" s="360"/>
      <c r="I442" s="158"/>
      <c r="J442" s="158"/>
      <c r="R442" s="76"/>
      <c r="T442" s="429"/>
      <c r="U442" s="429"/>
      <c r="W442" s="429"/>
    </row>
    <row r="443" spans="5:23" s="26" customFormat="1">
      <c r="E443" s="76"/>
      <c r="F443" s="360"/>
      <c r="I443" s="158"/>
      <c r="J443" s="158"/>
      <c r="R443" s="76"/>
      <c r="T443" s="429"/>
      <c r="U443" s="429"/>
      <c r="W443" s="429"/>
    </row>
    <row r="444" spans="5:23" s="26" customFormat="1">
      <c r="E444" s="76"/>
      <c r="F444" s="360"/>
      <c r="I444" s="158"/>
      <c r="J444" s="158"/>
      <c r="R444" s="76"/>
      <c r="T444" s="429"/>
      <c r="U444" s="429"/>
      <c r="W444" s="429"/>
    </row>
    <row r="445" spans="5:23" s="26" customFormat="1">
      <c r="E445" s="76"/>
      <c r="F445" s="360"/>
      <c r="I445" s="158"/>
      <c r="J445" s="158"/>
      <c r="R445" s="76"/>
      <c r="T445" s="429"/>
      <c r="U445" s="429"/>
      <c r="W445" s="429"/>
    </row>
    <row r="446" spans="5:23" s="26" customFormat="1">
      <c r="E446" s="76"/>
      <c r="F446" s="360"/>
      <c r="I446" s="158"/>
      <c r="J446" s="158"/>
      <c r="R446" s="76"/>
      <c r="T446" s="429"/>
      <c r="U446" s="429"/>
      <c r="W446" s="429"/>
    </row>
    <row r="447" spans="5:23" s="26" customFormat="1">
      <c r="E447" s="76"/>
      <c r="F447" s="360"/>
      <c r="I447" s="158"/>
      <c r="J447" s="158"/>
      <c r="R447" s="76"/>
      <c r="T447" s="429"/>
      <c r="U447" s="429"/>
      <c r="W447" s="429"/>
    </row>
    <row r="448" spans="5:23" s="26" customFormat="1">
      <c r="E448" s="76"/>
      <c r="F448" s="360"/>
      <c r="I448" s="158"/>
      <c r="J448" s="158"/>
      <c r="R448" s="76"/>
      <c r="T448" s="429"/>
      <c r="U448" s="429"/>
      <c r="W448" s="429"/>
    </row>
    <row r="449" spans="5:23" s="26" customFormat="1">
      <c r="E449" s="76"/>
      <c r="F449" s="360"/>
      <c r="I449" s="158"/>
      <c r="J449" s="158"/>
      <c r="R449" s="76"/>
      <c r="T449" s="429"/>
      <c r="U449" s="429"/>
      <c r="W449" s="429"/>
    </row>
    <row r="450" spans="5:23" s="26" customFormat="1">
      <c r="E450" s="76"/>
      <c r="F450" s="360"/>
      <c r="I450" s="158"/>
      <c r="J450" s="158"/>
      <c r="R450" s="76"/>
      <c r="T450" s="429"/>
      <c r="U450" s="429"/>
      <c r="W450" s="429"/>
    </row>
    <row r="451" spans="5:23" s="26" customFormat="1">
      <c r="E451" s="76"/>
      <c r="F451" s="360"/>
      <c r="I451" s="158"/>
      <c r="J451" s="158"/>
      <c r="R451" s="76"/>
      <c r="T451" s="429"/>
      <c r="U451" s="429"/>
      <c r="W451" s="429"/>
    </row>
    <row r="452" spans="5:23" s="26" customFormat="1">
      <c r="E452" s="76"/>
      <c r="F452" s="360"/>
      <c r="I452" s="158"/>
      <c r="J452" s="158"/>
      <c r="R452" s="76"/>
      <c r="T452" s="429"/>
      <c r="U452" s="429"/>
      <c r="W452" s="429"/>
    </row>
    <row r="453" spans="5:23" s="26" customFormat="1">
      <c r="E453" s="76"/>
      <c r="F453" s="360"/>
      <c r="I453" s="158"/>
      <c r="J453" s="158"/>
      <c r="R453" s="76"/>
      <c r="T453" s="429"/>
      <c r="U453" s="429"/>
      <c r="W453" s="429"/>
    </row>
    <row r="454" spans="5:23" s="26" customFormat="1">
      <c r="E454" s="76"/>
      <c r="F454" s="360"/>
      <c r="I454" s="158"/>
      <c r="J454" s="158"/>
      <c r="R454" s="76"/>
      <c r="T454" s="429"/>
      <c r="U454" s="429"/>
      <c r="W454" s="429"/>
    </row>
    <row r="455" spans="5:23" s="26" customFormat="1">
      <c r="E455" s="76"/>
      <c r="F455" s="360"/>
      <c r="I455" s="158"/>
      <c r="J455" s="158"/>
      <c r="R455" s="76"/>
      <c r="T455" s="429"/>
      <c r="U455" s="429"/>
      <c r="W455" s="429"/>
    </row>
    <row r="456" spans="5:23" s="26" customFormat="1">
      <c r="E456" s="76"/>
      <c r="F456" s="360"/>
      <c r="I456" s="158"/>
      <c r="J456" s="158"/>
      <c r="R456" s="76"/>
      <c r="T456" s="429"/>
      <c r="U456" s="429"/>
      <c r="W456" s="429"/>
    </row>
    <row r="457" spans="5:23" s="26" customFormat="1">
      <c r="E457" s="76"/>
      <c r="F457" s="360"/>
      <c r="I457" s="158"/>
      <c r="J457" s="158"/>
      <c r="R457" s="76"/>
      <c r="T457" s="429"/>
      <c r="U457" s="429"/>
      <c r="W457" s="429"/>
    </row>
    <row r="458" spans="5:23" s="26" customFormat="1">
      <c r="E458" s="76"/>
      <c r="F458" s="360"/>
      <c r="I458" s="158"/>
      <c r="J458" s="158"/>
      <c r="R458" s="76"/>
      <c r="T458" s="429"/>
      <c r="U458" s="429"/>
      <c r="W458" s="429"/>
    </row>
    <row r="459" spans="5:23" s="26" customFormat="1">
      <c r="E459" s="76"/>
      <c r="F459" s="360"/>
      <c r="I459" s="158"/>
      <c r="J459" s="158"/>
      <c r="R459" s="76"/>
      <c r="T459" s="429"/>
      <c r="U459" s="429"/>
      <c r="W459" s="429"/>
    </row>
    <row r="460" spans="5:23" s="26" customFormat="1">
      <c r="E460" s="76"/>
      <c r="F460" s="360"/>
      <c r="I460" s="158"/>
      <c r="J460" s="158"/>
      <c r="R460" s="76"/>
      <c r="T460" s="429"/>
      <c r="U460" s="429"/>
      <c r="W460" s="429"/>
    </row>
    <row r="461" spans="5:23" s="26" customFormat="1">
      <c r="E461" s="76"/>
      <c r="F461" s="360"/>
      <c r="I461" s="158"/>
      <c r="J461" s="158"/>
      <c r="R461" s="76"/>
      <c r="T461" s="429"/>
      <c r="U461" s="429"/>
      <c r="W461" s="429"/>
    </row>
    <row r="462" spans="5:23" s="26" customFormat="1">
      <c r="E462" s="76"/>
      <c r="F462" s="360"/>
      <c r="I462" s="158"/>
      <c r="J462" s="158"/>
      <c r="R462" s="76"/>
      <c r="T462" s="429"/>
      <c r="U462" s="429"/>
      <c r="W462" s="429"/>
    </row>
    <row r="463" spans="5:23" s="26" customFormat="1">
      <c r="E463" s="76"/>
      <c r="F463" s="360"/>
      <c r="I463" s="158"/>
      <c r="J463" s="158"/>
      <c r="R463" s="76"/>
      <c r="T463" s="429"/>
      <c r="U463" s="429"/>
      <c r="W463" s="429"/>
    </row>
    <row r="464" spans="5:23" s="26" customFormat="1">
      <c r="E464" s="76"/>
      <c r="F464" s="360"/>
      <c r="I464" s="158"/>
      <c r="J464" s="158"/>
      <c r="R464" s="76"/>
      <c r="T464" s="429"/>
      <c r="U464" s="429"/>
      <c r="W464" s="429"/>
    </row>
    <row r="465" spans="5:23" s="26" customFormat="1">
      <c r="E465" s="76"/>
      <c r="F465" s="360"/>
      <c r="I465" s="158"/>
      <c r="J465" s="158"/>
      <c r="R465" s="76"/>
      <c r="T465" s="429"/>
      <c r="U465" s="429"/>
      <c r="W465" s="429"/>
    </row>
    <row r="466" spans="5:23" s="26" customFormat="1">
      <c r="E466" s="76"/>
      <c r="F466" s="360"/>
      <c r="I466" s="158"/>
      <c r="J466" s="158"/>
      <c r="R466" s="76"/>
      <c r="T466" s="429"/>
      <c r="U466" s="429"/>
      <c r="W466" s="429"/>
    </row>
    <row r="467" spans="5:23" s="26" customFormat="1">
      <c r="E467" s="76"/>
      <c r="F467" s="360"/>
      <c r="I467" s="158"/>
      <c r="J467" s="158"/>
      <c r="R467" s="76"/>
      <c r="T467" s="429"/>
      <c r="U467" s="429"/>
      <c r="W467" s="429"/>
    </row>
    <row r="468" spans="5:23" s="26" customFormat="1">
      <c r="E468" s="76"/>
      <c r="F468" s="360"/>
      <c r="I468" s="158"/>
      <c r="J468" s="158"/>
      <c r="R468" s="76"/>
      <c r="T468" s="429"/>
      <c r="U468" s="429"/>
      <c r="W468" s="429"/>
    </row>
    <row r="469" spans="5:23" s="26" customFormat="1">
      <c r="E469" s="76"/>
      <c r="F469" s="360"/>
      <c r="I469" s="158"/>
      <c r="J469" s="158"/>
      <c r="R469" s="76"/>
      <c r="T469" s="429"/>
      <c r="U469" s="429"/>
      <c r="W469" s="429"/>
    </row>
    <row r="470" spans="5:23" s="26" customFormat="1">
      <c r="E470" s="76"/>
      <c r="F470" s="360"/>
      <c r="I470" s="158"/>
      <c r="J470" s="158"/>
      <c r="R470" s="76"/>
      <c r="T470" s="429"/>
      <c r="U470" s="429"/>
      <c r="W470" s="429"/>
    </row>
    <row r="471" spans="5:23" s="26" customFormat="1">
      <c r="E471" s="76"/>
      <c r="F471" s="360"/>
      <c r="I471" s="158"/>
      <c r="J471" s="158"/>
      <c r="R471" s="76"/>
      <c r="T471" s="429"/>
      <c r="U471" s="429"/>
      <c r="W471" s="429"/>
    </row>
    <row r="472" spans="5:23" s="26" customFormat="1">
      <c r="E472" s="76"/>
      <c r="F472" s="360"/>
      <c r="I472" s="158"/>
      <c r="J472" s="158"/>
      <c r="R472" s="76"/>
      <c r="T472" s="429"/>
      <c r="U472" s="429"/>
      <c r="W472" s="429"/>
    </row>
    <row r="473" spans="5:23" s="26" customFormat="1">
      <c r="E473" s="76"/>
      <c r="F473" s="360"/>
      <c r="I473" s="158"/>
      <c r="J473" s="158"/>
      <c r="R473" s="76"/>
      <c r="T473" s="429"/>
      <c r="U473" s="429"/>
      <c r="W473" s="429"/>
    </row>
    <row r="474" spans="5:23" s="26" customFormat="1">
      <c r="E474" s="76"/>
      <c r="F474" s="360"/>
      <c r="I474" s="158"/>
      <c r="J474" s="158"/>
      <c r="R474" s="76"/>
      <c r="T474" s="429"/>
      <c r="U474" s="429"/>
      <c r="W474" s="429"/>
    </row>
    <row r="475" spans="5:23" s="26" customFormat="1">
      <c r="E475" s="76"/>
      <c r="F475" s="360"/>
      <c r="I475" s="158"/>
      <c r="J475" s="158"/>
      <c r="R475" s="76"/>
      <c r="T475" s="429"/>
      <c r="U475" s="429"/>
      <c r="W475" s="429"/>
    </row>
    <row r="476" spans="5:23" s="26" customFormat="1">
      <c r="E476" s="76"/>
      <c r="F476" s="360"/>
      <c r="I476" s="158"/>
      <c r="J476" s="158"/>
      <c r="R476" s="76"/>
      <c r="T476" s="429"/>
      <c r="U476" s="429"/>
      <c r="W476" s="429"/>
    </row>
    <row r="477" spans="5:23" s="26" customFormat="1">
      <c r="E477" s="76"/>
      <c r="F477" s="360"/>
      <c r="I477" s="158"/>
      <c r="J477" s="158"/>
      <c r="R477" s="76"/>
      <c r="T477" s="429"/>
      <c r="U477" s="429"/>
      <c r="W477" s="429"/>
    </row>
    <row r="478" spans="5:23" s="26" customFormat="1">
      <c r="E478" s="76"/>
      <c r="F478" s="360"/>
      <c r="I478" s="158"/>
      <c r="J478" s="158"/>
      <c r="R478" s="76"/>
      <c r="T478" s="429"/>
      <c r="U478" s="429"/>
      <c r="W478" s="429"/>
    </row>
    <row r="479" spans="5:23" s="26" customFormat="1">
      <c r="E479" s="76"/>
      <c r="F479" s="360"/>
      <c r="I479" s="158"/>
      <c r="J479" s="158"/>
      <c r="R479" s="76"/>
      <c r="T479" s="429"/>
      <c r="U479" s="429"/>
      <c r="W479" s="429"/>
    </row>
    <row r="480" spans="5:23" s="26" customFormat="1">
      <c r="E480" s="76"/>
      <c r="F480" s="360"/>
      <c r="I480" s="158"/>
      <c r="J480" s="158"/>
      <c r="R480" s="76"/>
      <c r="T480" s="429"/>
      <c r="U480" s="429"/>
      <c r="W480" s="429"/>
    </row>
    <row r="481" spans="5:23" s="26" customFormat="1">
      <c r="E481" s="76"/>
      <c r="F481" s="360"/>
      <c r="I481" s="158"/>
      <c r="J481" s="158"/>
      <c r="R481" s="76"/>
      <c r="T481" s="429"/>
      <c r="U481" s="429"/>
      <c r="W481" s="429"/>
    </row>
    <row r="482" spans="5:23" s="26" customFormat="1">
      <c r="E482" s="76"/>
      <c r="F482" s="360"/>
      <c r="I482" s="158"/>
      <c r="J482" s="158"/>
      <c r="R482" s="76"/>
      <c r="T482" s="429"/>
      <c r="U482" s="429"/>
      <c r="W482" s="429"/>
    </row>
    <row r="483" spans="5:23" s="26" customFormat="1">
      <c r="E483" s="76"/>
      <c r="F483" s="360"/>
      <c r="I483" s="158"/>
      <c r="J483" s="158"/>
      <c r="R483" s="76"/>
      <c r="T483" s="429"/>
      <c r="U483" s="429"/>
      <c r="W483" s="429"/>
    </row>
    <row r="484" spans="5:23" s="26" customFormat="1">
      <c r="E484" s="76"/>
      <c r="F484" s="360"/>
      <c r="I484" s="158"/>
      <c r="J484" s="158"/>
      <c r="R484" s="76"/>
      <c r="T484" s="429"/>
      <c r="U484" s="429"/>
      <c r="W484" s="429"/>
    </row>
    <row r="485" spans="5:23" s="26" customFormat="1">
      <c r="E485" s="76"/>
      <c r="F485" s="360"/>
      <c r="I485" s="158"/>
      <c r="J485" s="158"/>
      <c r="R485" s="76"/>
      <c r="T485" s="429"/>
      <c r="U485" s="429"/>
      <c r="W485" s="429"/>
    </row>
    <row r="486" spans="5:23" s="26" customFormat="1">
      <c r="E486" s="76"/>
      <c r="F486" s="360"/>
      <c r="I486" s="158"/>
      <c r="J486" s="158"/>
      <c r="R486" s="76"/>
      <c r="T486" s="429"/>
      <c r="U486" s="429"/>
      <c r="W486" s="429"/>
    </row>
    <row r="487" spans="5:23" s="26" customFormat="1">
      <c r="E487" s="76"/>
      <c r="F487" s="360"/>
      <c r="I487" s="158"/>
      <c r="J487" s="158"/>
      <c r="R487" s="76"/>
      <c r="T487" s="429"/>
      <c r="U487" s="429"/>
      <c r="W487" s="429"/>
    </row>
    <row r="488" spans="5:23" s="26" customFormat="1">
      <c r="E488" s="76"/>
      <c r="F488" s="360"/>
      <c r="I488" s="158"/>
      <c r="J488" s="158"/>
      <c r="R488" s="76"/>
      <c r="T488" s="429"/>
      <c r="U488" s="429"/>
      <c r="W488" s="429"/>
    </row>
    <row r="489" spans="5:23" s="26" customFormat="1">
      <c r="E489" s="76"/>
      <c r="F489" s="360"/>
      <c r="I489" s="158"/>
      <c r="J489" s="158"/>
      <c r="R489" s="76"/>
      <c r="T489" s="429"/>
      <c r="U489" s="429"/>
      <c r="W489" s="429"/>
    </row>
    <row r="490" spans="5:23" s="26" customFormat="1">
      <c r="E490" s="76"/>
      <c r="F490" s="360"/>
      <c r="I490" s="158"/>
      <c r="J490" s="158"/>
      <c r="R490" s="76"/>
      <c r="T490" s="429"/>
      <c r="U490" s="429"/>
      <c r="W490" s="429"/>
    </row>
    <row r="491" spans="5:23" s="26" customFormat="1">
      <c r="E491" s="76"/>
      <c r="F491" s="360"/>
      <c r="I491" s="158"/>
      <c r="J491" s="158"/>
      <c r="R491" s="76"/>
      <c r="T491" s="429"/>
      <c r="U491" s="429"/>
      <c r="W491" s="429"/>
    </row>
    <row r="492" spans="5:23" s="26" customFormat="1">
      <c r="E492" s="76"/>
      <c r="F492" s="360"/>
      <c r="I492" s="158"/>
      <c r="J492" s="158"/>
      <c r="R492" s="76"/>
      <c r="T492" s="429"/>
      <c r="U492" s="429"/>
      <c r="W492" s="429"/>
    </row>
    <row r="493" spans="5:23" s="26" customFormat="1">
      <c r="E493" s="76"/>
      <c r="F493" s="360"/>
      <c r="I493" s="158"/>
      <c r="J493" s="158"/>
      <c r="R493" s="76"/>
      <c r="T493" s="429"/>
      <c r="U493" s="429"/>
      <c r="W493" s="429"/>
    </row>
    <row r="494" spans="5:23" s="26" customFormat="1">
      <c r="E494" s="76"/>
      <c r="F494" s="360"/>
      <c r="I494" s="158"/>
      <c r="J494" s="158"/>
      <c r="R494" s="76"/>
      <c r="T494" s="429"/>
      <c r="U494" s="429"/>
      <c r="W494" s="429"/>
    </row>
    <row r="495" spans="5:23" s="26" customFormat="1">
      <c r="E495" s="76"/>
      <c r="F495" s="360"/>
      <c r="I495" s="158"/>
      <c r="J495" s="158"/>
      <c r="R495" s="76"/>
      <c r="T495" s="429"/>
      <c r="U495" s="429"/>
      <c r="W495" s="429"/>
    </row>
    <row r="496" spans="5:23" s="26" customFormat="1">
      <c r="E496" s="76"/>
      <c r="F496" s="360"/>
      <c r="I496" s="158"/>
      <c r="J496" s="158"/>
      <c r="R496" s="76"/>
      <c r="T496" s="429"/>
      <c r="U496" s="429"/>
      <c r="W496" s="429"/>
    </row>
    <row r="497" spans="5:23" s="26" customFormat="1">
      <c r="E497" s="76"/>
      <c r="F497" s="360"/>
      <c r="I497" s="158"/>
      <c r="J497" s="158"/>
      <c r="R497" s="76"/>
      <c r="T497" s="429"/>
      <c r="U497" s="429"/>
      <c r="W497" s="429"/>
    </row>
    <row r="498" spans="5:23" s="26" customFormat="1">
      <c r="E498" s="76"/>
      <c r="F498" s="360"/>
      <c r="I498" s="158"/>
      <c r="J498" s="158"/>
      <c r="R498" s="76"/>
      <c r="T498" s="429"/>
      <c r="U498" s="429"/>
      <c r="W498" s="429"/>
    </row>
    <row r="499" spans="5:23" s="26" customFormat="1">
      <c r="E499" s="76"/>
      <c r="F499" s="360"/>
      <c r="I499" s="158"/>
      <c r="J499" s="158"/>
      <c r="R499" s="76"/>
      <c r="T499" s="429"/>
      <c r="U499" s="429"/>
      <c r="W499" s="429"/>
    </row>
    <row r="500" spans="5:23" s="26" customFormat="1">
      <c r="E500" s="76"/>
      <c r="F500" s="360"/>
      <c r="I500" s="158"/>
      <c r="J500" s="158"/>
      <c r="R500" s="76"/>
      <c r="T500" s="429"/>
      <c r="U500" s="429"/>
      <c r="W500" s="429"/>
    </row>
    <row r="501" spans="5:23" s="26" customFormat="1">
      <c r="E501" s="76"/>
      <c r="F501" s="360"/>
      <c r="I501" s="158"/>
      <c r="J501" s="158"/>
      <c r="R501" s="76"/>
      <c r="T501" s="429"/>
      <c r="U501" s="429"/>
      <c r="W501" s="429"/>
    </row>
    <row r="502" spans="5:23" s="26" customFormat="1">
      <c r="E502" s="76"/>
      <c r="F502" s="360"/>
      <c r="I502" s="158"/>
      <c r="J502" s="158"/>
      <c r="R502" s="76"/>
      <c r="T502" s="429"/>
      <c r="U502" s="429"/>
      <c r="W502" s="429"/>
    </row>
    <row r="503" spans="5:23" s="26" customFormat="1">
      <c r="E503" s="76"/>
      <c r="F503" s="360"/>
      <c r="I503" s="158"/>
      <c r="J503" s="158"/>
      <c r="R503" s="76"/>
      <c r="T503" s="429"/>
      <c r="U503" s="429"/>
      <c r="W503" s="429"/>
    </row>
    <row r="504" spans="5:23" s="26" customFormat="1">
      <c r="E504" s="76"/>
      <c r="F504" s="360"/>
      <c r="I504" s="158"/>
      <c r="J504" s="158"/>
      <c r="R504" s="76"/>
      <c r="T504" s="429"/>
      <c r="U504" s="429"/>
      <c r="W504" s="429"/>
    </row>
    <row r="505" spans="5:23" s="26" customFormat="1">
      <c r="E505" s="76"/>
      <c r="F505" s="360"/>
      <c r="I505" s="158"/>
      <c r="J505" s="158"/>
      <c r="R505" s="76"/>
      <c r="T505" s="429"/>
      <c r="U505" s="429"/>
      <c r="W505" s="429"/>
    </row>
    <row r="506" spans="5:23" s="26" customFormat="1">
      <c r="E506" s="76"/>
      <c r="F506" s="360"/>
      <c r="I506" s="158"/>
      <c r="J506" s="158"/>
      <c r="R506" s="76"/>
      <c r="T506" s="429"/>
      <c r="U506" s="429"/>
      <c r="W506" s="429"/>
    </row>
    <row r="507" spans="5:23" s="26" customFormat="1">
      <c r="E507" s="76"/>
      <c r="F507" s="360"/>
      <c r="I507" s="158"/>
      <c r="J507" s="158"/>
      <c r="R507" s="76"/>
      <c r="T507" s="429"/>
      <c r="U507" s="429"/>
      <c r="W507" s="429"/>
    </row>
    <row r="508" spans="5:23" s="26" customFormat="1">
      <c r="E508" s="76"/>
      <c r="F508" s="360"/>
      <c r="I508" s="158"/>
      <c r="J508" s="158"/>
      <c r="R508" s="76"/>
      <c r="T508" s="429"/>
      <c r="U508" s="429"/>
      <c r="W508" s="429"/>
    </row>
    <row r="509" spans="5:23" s="26" customFormat="1">
      <c r="E509" s="76"/>
      <c r="F509" s="360"/>
      <c r="I509" s="158"/>
      <c r="J509" s="158"/>
      <c r="R509" s="76"/>
      <c r="T509" s="429"/>
      <c r="U509" s="429"/>
      <c r="W509" s="429"/>
    </row>
    <row r="510" spans="5:23" s="26" customFormat="1">
      <c r="E510" s="76"/>
      <c r="F510" s="360"/>
      <c r="I510" s="158"/>
      <c r="J510" s="158"/>
      <c r="R510" s="76"/>
      <c r="T510" s="429"/>
      <c r="U510" s="429"/>
      <c r="W510" s="429"/>
    </row>
    <row r="511" spans="5:23" s="26" customFormat="1">
      <c r="E511" s="76"/>
      <c r="F511" s="360"/>
      <c r="I511" s="158"/>
      <c r="J511" s="158"/>
      <c r="R511" s="76"/>
      <c r="T511" s="429"/>
      <c r="U511" s="429"/>
      <c r="W511" s="429"/>
    </row>
    <row r="512" spans="5:23" s="26" customFormat="1">
      <c r="E512" s="76"/>
      <c r="F512" s="360"/>
      <c r="I512" s="158"/>
      <c r="J512" s="158"/>
      <c r="R512" s="76"/>
      <c r="T512" s="429"/>
      <c r="U512" s="429"/>
      <c r="W512" s="429"/>
    </row>
    <row r="513" spans="5:23" s="26" customFormat="1">
      <c r="E513" s="76"/>
      <c r="F513" s="360"/>
      <c r="I513" s="158"/>
      <c r="J513" s="158"/>
      <c r="R513" s="76"/>
      <c r="T513" s="429"/>
      <c r="U513" s="429"/>
      <c r="W513" s="429"/>
    </row>
    <row r="514" spans="5:23" s="26" customFormat="1">
      <c r="E514" s="76"/>
      <c r="F514" s="360"/>
      <c r="I514" s="158"/>
      <c r="J514" s="158"/>
      <c r="R514" s="76"/>
      <c r="T514" s="429"/>
      <c r="U514" s="429"/>
      <c r="W514" s="429"/>
    </row>
    <row r="515" spans="5:23" s="26" customFormat="1">
      <c r="E515" s="76"/>
      <c r="F515" s="360"/>
      <c r="I515" s="158"/>
      <c r="J515" s="158"/>
      <c r="R515" s="76"/>
      <c r="T515" s="429"/>
      <c r="U515" s="429"/>
      <c r="W515" s="429"/>
    </row>
    <row r="516" spans="5:23" s="26" customFormat="1">
      <c r="E516" s="76"/>
      <c r="F516" s="360"/>
      <c r="I516" s="158"/>
      <c r="J516" s="158"/>
      <c r="R516" s="76"/>
      <c r="T516" s="429"/>
      <c r="U516" s="429"/>
      <c r="W516" s="429"/>
    </row>
    <row r="517" spans="5:23" s="26" customFormat="1">
      <c r="E517" s="76"/>
      <c r="F517" s="360"/>
      <c r="I517" s="158"/>
      <c r="J517" s="158"/>
      <c r="R517" s="76"/>
      <c r="T517" s="429"/>
      <c r="U517" s="429"/>
      <c r="W517" s="429"/>
    </row>
    <row r="518" spans="5:23" s="26" customFormat="1">
      <c r="E518" s="76"/>
      <c r="F518" s="360"/>
      <c r="I518" s="158"/>
      <c r="J518" s="158"/>
      <c r="R518" s="76"/>
      <c r="T518" s="429"/>
      <c r="U518" s="429"/>
      <c r="W518" s="429"/>
    </row>
    <row r="519" spans="5:23" s="26" customFormat="1">
      <c r="E519" s="76"/>
      <c r="F519" s="360"/>
      <c r="I519" s="158"/>
      <c r="J519" s="158"/>
      <c r="R519" s="76"/>
      <c r="T519" s="429"/>
      <c r="U519" s="429"/>
      <c r="W519" s="429"/>
    </row>
    <row r="520" spans="5:23" s="26" customFormat="1">
      <c r="E520" s="76"/>
      <c r="F520" s="360"/>
      <c r="I520" s="158"/>
      <c r="J520" s="158"/>
      <c r="R520" s="76"/>
      <c r="T520" s="429"/>
      <c r="U520" s="429"/>
      <c r="W520" s="429"/>
    </row>
    <row r="521" spans="5:23" s="26" customFormat="1">
      <c r="E521" s="76"/>
      <c r="F521" s="360"/>
      <c r="I521" s="158"/>
      <c r="J521" s="158"/>
      <c r="R521" s="76"/>
      <c r="T521" s="429"/>
      <c r="U521" s="429"/>
      <c r="W521" s="429"/>
    </row>
    <row r="522" spans="5:23" s="26" customFormat="1">
      <c r="E522" s="76"/>
      <c r="F522" s="360"/>
      <c r="I522" s="158"/>
      <c r="J522" s="158"/>
      <c r="R522" s="76"/>
      <c r="T522" s="429"/>
      <c r="U522" s="429"/>
      <c r="W522" s="429"/>
    </row>
    <row r="523" spans="5:23" s="26" customFormat="1">
      <c r="E523" s="76"/>
      <c r="F523" s="360"/>
      <c r="I523" s="158"/>
      <c r="J523" s="158"/>
      <c r="R523" s="76"/>
      <c r="T523" s="429"/>
      <c r="U523" s="429"/>
      <c r="W523" s="429"/>
    </row>
    <row r="524" spans="5:23" s="26" customFormat="1">
      <c r="E524" s="76"/>
      <c r="F524" s="360"/>
      <c r="I524" s="158"/>
      <c r="J524" s="158"/>
      <c r="R524" s="76"/>
      <c r="T524" s="429"/>
      <c r="U524" s="429"/>
      <c r="W524" s="429"/>
    </row>
    <row r="525" spans="5:23" s="26" customFormat="1">
      <c r="E525" s="76"/>
      <c r="F525" s="360"/>
      <c r="I525" s="158"/>
      <c r="J525" s="158"/>
      <c r="R525" s="76"/>
      <c r="T525" s="429"/>
      <c r="U525" s="429"/>
      <c r="W525" s="429"/>
    </row>
    <row r="526" spans="5:23" s="26" customFormat="1">
      <c r="E526" s="76"/>
      <c r="F526" s="360"/>
      <c r="I526" s="158"/>
      <c r="J526" s="158"/>
      <c r="R526" s="76"/>
      <c r="T526" s="429"/>
      <c r="U526" s="429"/>
      <c r="W526" s="429"/>
    </row>
    <row r="527" spans="5:23" s="26" customFormat="1">
      <c r="E527" s="76"/>
      <c r="F527" s="360"/>
      <c r="I527" s="158"/>
      <c r="J527" s="158"/>
      <c r="R527" s="76"/>
      <c r="T527" s="429"/>
      <c r="U527" s="429"/>
      <c r="W527" s="429"/>
    </row>
    <row r="528" spans="5:23" s="26" customFormat="1">
      <c r="E528" s="76"/>
      <c r="F528" s="360"/>
      <c r="I528" s="158"/>
      <c r="J528" s="158"/>
      <c r="R528" s="76"/>
      <c r="T528" s="429"/>
      <c r="U528" s="429"/>
      <c r="W528" s="429"/>
    </row>
    <row r="529" spans="5:23" s="26" customFormat="1">
      <c r="E529" s="76"/>
      <c r="F529" s="360"/>
      <c r="I529" s="158"/>
      <c r="J529" s="158"/>
      <c r="R529" s="76"/>
      <c r="T529" s="429"/>
      <c r="U529" s="429"/>
      <c r="W529" s="429"/>
    </row>
    <row r="530" spans="5:23" s="26" customFormat="1">
      <c r="E530" s="76"/>
      <c r="F530" s="360"/>
      <c r="I530" s="158"/>
      <c r="J530" s="158"/>
      <c r="R530" s="76"/>
      <c r="T530" s="429"/>
      <c r="U530" s="429"/>
      <c r="W530" s="429"/>
    </row>
    <row r="531" spans="5:23" s="26" customFormat="1">
      <c r="E531" s="76"/>
      <c r="F531" s="360"/>
      <c r="I531" s="158"/>
      <c r="J531" s="158"/>
      <c r="R531" s="76"/>
      <c r="T531" s="429"/>
      <c r="U531" s="429"/>
      <c r="W531" s="429"/>
    </row>
    <row r="532" spans="5:23" s="26" customFormat="1">
      <c r="E532" s="76"/>
      <c r="F532" s="360"/>
      <c r="I532" s="158"/>
      <c r="J532" s="158"/>
      <c r="R532" s="76"/>
      <c r="T532" s="429"/>
      <c r="U532" s="429"/>
      <c r="W532" s="429"/>
    </row>
    <row r="533" spans="5:23" s="26" customFormat="1">
      <c r="E533" s="76"/>
      <c r="F533" s="360"/>
      <c r="I533" s="158"/>
      <c r="J533" s="158"/>
      <c r="R533" s="76"/>
      <c r="T533" s="429"/>
      <c r="U533" s="429"/>
      <c r="W533" s="429"/>
    </row>
    <row r="534" spans="5:23" s="26" customFormat="1">
      <c r="E534" s="76"/>
      <c r="F534" s="360"/>
      <c r="I534" s="158"/>
      <c r="J534" s="158"/>
      <c r="R534" s="76"/>
      <c r="T534" s="429"/>
      <c r="U534" s="429"/>
      <c r="W534" s="429"/>
    </row>
    <row r="535" spans="5:23" s="26" customFormat="1">
      <c r="E535" s="76"/>
      <c r="F535" s="360"/>
      <c r="I535" s="158"/>
      <c r="J535" s="158"/>
      <c r="R535" s="76"/>
      <c r="T535" s="429"/>
      <c r="U535" s="429"/>
      <c r="W535" s="429"/>
    </row>
    <row r="536" spans="5:23" s="26" customFormat="1">
      <c r="E536" s="76"/>
      <c r="F536" s="360"/>
      <c r="I536" s="158"/>
      <c r="J536" s="158"/>
      <c r="R536" s="76"/>
      <c r="T536" s="429"/>
      <c r="U536" s="429"/>
      <c r="W536" s="429"/>
    </row>
    <row r="537" spans="5:23" s="26" customFormat="1">
      <c r="E537" s="76"/>
      <c r="F537" s="360"/>
      <c r="I537" s="158"/>
      <c r="J537" s="158"/>
      <c r="R537" s="76"/>
      <c r="T537" s="429"/>
      <c r="U537" s="429"/>
      <c r="W537" s="429"/>
    </row>
    <row r="538" spans="5:23" s="26" customFormat="1">
      <c r="E538" s="76"/>
      <c r="F538" s="360"/>
      <c r="I538" s="158"/>
      <c r="J538" s="158"/>
      <c r="R538" s="76"/>
      <c r="T538" s="429"/>
      <c r="U538" s="429"/>
      <c r="W538" s="429"/>
    </row>
    <row r="539" spans="5:23" s="26" customFormat="1">
      <c r="E539" s="76"/>
      <c r="F539" s="360"/>
      <c r="I539" s="158"/>
      <c r="J539" s="158"/>
      <c r="R539" s="76"/>
      <c r="T539" s="429"/>
      <c r="U539" s="429"/>
      <c r="W539" s="429"/>
    </row>
    <row r="540" spans="5:23" s="26" customFormat="1">
      <c r="E540" s="76"/>
      <c r="F540" s="360"/>
      <c r="I540" s="158"/>
      <c r="J540" s="158"/>
      <c r="R540" s="76"/>
      <c r="T540" s="429"/>
      <c r="U540" s="429"/>
      <c r="W540" s="429"/>
    </row>
    <row r="541" spans="5:23" s="26" customFormat="1">
      <c r="E541" s="76"/>
      <c r="F541" s="360"/>
      <c r="I541" s="158"/>
      <c r="J541" s="158"/>
      <c r="R541" s="76"/>
      <c r="T541" s="429"/>
      <c r="U541" s="429"/>
      <c r="W541" s="429"/>
    </row>
    <row r="542" spans="5:23" s="26" customFormat="1">
      <c r="E542" s="76"/>
      <c r="F542" s="360"/>
      <c r="I542" s="158"/>
      <c r="J542" s="158"/>
      <c r="R542" s="76"/>
      <c r="T542" s="429"/>
      <c r="U542" s="429"/>
      <c r="W542" s="429"/>
    </row>
    <row r="543" spans="5:23" s="26" customFormat="1">
      <c r="E543" s="76"/>
      <c r="F543" s="360"/>
      <c r="I543" s="158"/>
      <c r="J543" s="158"/>
      <c r="R543" s="76"/>
      <c r="T543" s="429"/>
      <c r="U543" s="429"/>
      <c r="W543" s="429"/>
    </row>
    <row r="544" spans="5:23" s="26" customFormat="1">
      <c r="E544" s="76"/>
      <c r="F544" s="360"/>
      <c r="I544" s="158"/>
      <c r="J544" s="158"/>
      <c r="R544" s="76"/>
      <c r="T544" s="429"/>
      <c r="U544" s="429"/>
      <c r="W544" s="429"/>
    </row>
    <row r="545" spans="5:23" s="26" customFormat="1">
      <c r="E545" s="76"/>
      <c r="F545" s="360"/>
      <c r="I545" s="158"/>
      <c r="J545" s="158"/>
      <c r="R545" s="76"/>
      <c r="T545" s="429"/>
      <c r="U545" s="429"/>
      <c r="W545" s="429"/>
    </row>
  </sheetData>
  <sheetProtection formatCells="0" formatColumns="0" formatRows="0" insertColumns="0" insertRows="0" insertHyperlinks="0" deleteColumns="0" deleteRows="0" sort="0" autoFilter="0" pivotTables="0"/>
  <mergeCells count="72">
    <mergeCell ref="R105:R106"/>
    <mergeCell ref="I174:I185"/>
    <mergeCell ref="J174:J185"/>
    <mergeCell ref="X174:X185"/>
    <mergeCell ref="I154:I159"/>
    <mergeCell ref="J154:J159"/>
    <mergeCell ref="X154:X159"/>
    <mergeCell ref="I161:I172"/>
    <mergeCell ref="J161:J172"/>
    <mergeCell ref="X161:X172"/>
    <mergeCell ref="V154:V159"/>
    <mergeCell ref="V161:V172"/>
    <mergeCell ref="V174:V185"/>
    <mergeCell ref="R175:R176"/>
    <mergeCell ref="R115:R122"/>
    <mergeCell ref="X143:X149"/>
    <mergeCell ref="I151:I152"/>
    <mergeCell ref="J151:J152"/>
    <mergeCell ref="K151:K152"/>
    <mergeCell ref="X151:X152"/>
    <mergeCell ref="V143:V149"/>
    <mergeCell ref="I143:I149"/>
    <mergeCell ref="J143:J149"/>
    <mergeCell ref="R147:R148"/>
    <mergeCell ref="X71:X78"/>
    <mergeCell ref="I21:I26"/>
    <mergeCell ref="J21:J26"/>
    <mergeCell ref="I127:I141"/>
    <mergeCell ref="J127:J141"/>
    <mergeCell ref="X127:X141"/>
    <mergeCell ref="I80:I112"/>
    <mergeCell ref="J80:J112"/>
    <mergeCell ref="X80:X112"/>
    <mergeCell ref="I114:I125"/>
    <mergeCell ref="J114:J125"/>
    <mergeCell ref="X114:X125"/>
    <mergeCell ref="V127:V141"/>
    <mergeCell ref="V80:V112"/>
    <mergeCell ref="V114:V125"/>
    <mergeCell ref="R131:R138"/>
    <mergeCell ref="I71:I78"/>
    <mergeCell ref="J71:J78"/>
    <mergeCell ref="V71:V78"/>
    <mergeCell ref="V44:V51"/>
    <mergeCell ref="V53:V69"/>
    <mergeCell ref="R59:R66"/>
    <mergeCell ref="I44:I51"/>
    <mergeCell ref="J44:J51"/>
    <mergeCell ref="X44:X51"/>
    <mergeCell ref="I53:I69"/>
    <mergeCell ref="J53:J69"/>
    <mergeCell ref="X53:X69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AD32:AD33"/>
    <mergeCell ref="R21:R22"/>
    <mergeCell ref="B2:G2"/>
    <mergeCell ref="L2:Q2"/>
    <mergeCell ref="I6:I11"/>
    <mergeCell ref="J6:J11"/>
    <mergeCell ref="R2:W2"/>
    <mergeCell ref="R32:R39"/>
  </mergeCells>
  <phoneticPr fontId="11" type="noConversion"/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  <ignoredErrors>
    <ignoredError sqref="AB29" unlocked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CE9AD-CECE-42FB-9714-D2FF2B60348B}">
  <dimension ref="A1:C17"/>
  <sheetViews>
    <sheetView zoomScale="160" zoomScaleNormal="160" workbookViewId="0">
      <selection activeCell="D15" sqref="D15"/>
    </sheetView>
  </sheetViews>
  <sheetFormatPr defaultRowHeight="14.25"/>
  <cols>
    <col min="1" max="1" width="34" bestFit="1" customWidth="1"/>
    <col min="2" max="2" width="13.53125" bestFit="1" customWidth="1"/>
    <col min="3" max="3" width="10.9296875" bestFit="1" customWidth="1"/>
  </cols>
  <sheetData>
    <row r="1" spans="1:3">
      <c r="A1" s="667" t="s">
        <v>508</v>
      </c>
      <c r="B1" s="667" t="s">
        <v>509</v>
      </c>
    </row>
    <row r="2" spans="1:3">
      <c r="A2" s="7" t="s">
        <v>510</v>
      </c>
      <c r="B2" s="671">
        <v>159713.96125781251</v>
      </c>
    </row>
    <row r="3" spans="1:3" ht="14.65" thickBot="1">
      <c r="A3" s="7" t="s">
        <v>511</v>
      </c>
      <c r="B3" s="672">
        <v>23510</v>
      </c>
    </row>
    <row r="4" spans="1:3">
      <c r="A4" s="7" t="s">
        <v>512</v>
      </c>
      <c r="B4" s="671">
        <v>304738.28000000003</v>
      </c>
    </row>
    <row r="5" spans="1:3" ht="14.65" thickBot="1">
      <c r="A5" s="680" t="s">
        <v>513</v>
      </c>
      <c r="B5" s="672">
        <v>113035</v>
      </c>
    </row>
    <row r="6" spans="1:3">
      <c r="A6" s="678" t="s">
        <v>514</v>
      </c>
      <c r="B6" s="679">
        <f>SUM(B2:B5)</f>
        <v>600997.24125781259</v>
      </c>
    </row>
    <row r="7" spans="1:3">
      <c r="A7" s="7"/>
      <c r="B7" s="671"/>
    </row>
    <row r="8" spans="1:3">
      <c r="A8" s="673" t="s">
        <v>515</v>
      </c>
      <c r="B8" s="671"/>
    </row>
    <row r="9" spans="1:3">
      <c r="A9" s="673" t="s">
        <v>516</v>
      </c>
      <c r="B9" s="674">
        <v>97500</v>
      </c>
    </row>
    <row r="10" spans="1:3">
      <c r="A10" s="673" t="s">
        <v>517</v>
      </c>
      <c r="B10" s="674">
        <v>14000</v>
      </c>
    </row>
    <row r="11" spans="1:3">
      <c r="A11" s="673" t="s">
        <v>518</v>
      </c>
      <c r="B11" s="674">
        <v>60000</v>
      </c>
    </row>
    <row r="12" spans="1:3" ht="14.65" thickBot="1">
      <c r="A12" s="681" t="s">
        <v>519</v>
      </c>
      <c r="B12" s="675">
        <v>22000</v>
      </c>
    </row>
    <row r="13" spans="1:3">
      <c r="A13" s="677" t="s">
        <v>520</v>
      </c>
      <c r="B13" s="682">
        <f>SUM(B9:B12)</f>
        <v>193500</v>
      </c>
    </row>
    <row r="14" spans="1:3" ht="14.65" thickBot="1">
      <c r="A14" s="677"/>
    </row>
    <row r="15" spans="1:3" ht="14.65" thickBot="1">
      <c r="A15" t="s">
        <v>521</v>
      </c>
      <c r="B15" s="668">
        <f>B6-B13</f>
        <v>407497.24125781259</v>
      </c>
      <c r="C15" s="676"/>
    </row>
    <row r="16" spans="1:3" ht="14.65" thickBot="1">
      <c r="A16" t="s">
        <v>522</v>
      </c>
      <c r="B16" s="670">
        <f>B15*15%</f>
        <v>61124.586188671885</v>
      </c>
    </row>
    <row r="17" spans="1:2">
      <c r="A17" t="s">
        <v>277</v>
      </c>
      <c r="B17" s="669">
        <f>B16+B15</f>
        <v>468621.82744648447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19"/>
  <sheetViews>
    <sheetView zoomScaleNormal="100" workbookViewId="0">
      <pane xSplit="5" ySplit="15" topLeftCell="F28" activePane="bottomRight" state="frozen"/>
      <selection pane="topRight" activeCell="F28" sqref="F28"/>
      <selection pane="bottomLeft" activeCell="F28" sqref="F28"/>
      <selection pane="bottomRight" activeCell="F28" sqref="F28"/>
    </sheetView>
  </sheetViews>
  <sheetFormatPr defaultColWidth="9.46484375" defaultRowHeight="14.25"/>
  <cols>
    <col min="1" max="1" width="9.46484375" customWidth="1"/>
    <col min="2" max="2" width="34.53125" customWidth="1"/>
    <col min="3" max="3" width="18.53125" bestFit="1" customWidth="1"/>
    <col min="4" max="4" width="21.46484375" customWidth="1"/>
    <col min="5" max="5" width="4.46484375" customWidth="1"/>
    <col min="6" max="6" width="16.46484375" bestFit="1" customWidth="1"/>
    <col min="7" max="7" width="20.46484375" customWidth="1"/>
    <col min="8" max="292" width="15.46484375" bestFit="1" customWidth="1"/>
    <col min="293" max="293" width="9.46484375" style="100"/>
  </cols>
  <sheetData>
    <row r="1" spans="1:770">
      <c r="D1" s="96" t="s">
        <v>523</v>
      </c>
      <c r="E1" s="97"/>
      <c r="F1" s="98">
        <v>45901</v>
      </c>
      <c r="G1" s="99">
        <f>F1+7</f>
        <v>45908</v>
      </c>
      <c r="H1" s="99">
        <f>G1+7</f>
        <v>45915</v>
      </c>
      <c r="I1" s="99">
        <f t="shared" ref="I1:BT1" si="0">H1+7</f>
        <v>45922</v>
      </c>
      <c r="J1" s="99">
        <f t="shared" si="0"/>
        <v>45929</v>
      </c>
      <c r="K1" s="99">
        <f t="shared" si="0"/>
        <v>45936</v>
      </c>
      <c r="L1" s="99">
        <f t="shared" si="0"/>
        <v>45943</v>
      </c>
      <c r="M1" s="99">
        <f t="shared" si="0"/>
        <v>45950</v>
      </c>
      <c r="N1" s="99">
        <f t="shared" si="0"/>
        <v>45957</v>
      </c>
      <c r="O1" s="99">
        <f t="shared" si="0"/>
        <v>45964</v>
      </c>
      <c r="P1" s="99">
        <f t="shared" si="0"/>
        <v>45971</v>
      </c>
      <c r="Q1" s="99">
        <f t="shared" si="0"/>
        <v>45978</v>
      </c>
      <c r="R1" s="99">
        <f t="shared" si="0"/>
        <v>45985</v>
      </c>
      <c r="S1" s="99">
        <f t="shared" si="0"/>
        <v>45992</v>
      </c>
      <c r="T1" s="99">
        <f t="shared" si="0"/>
        <v>45999</v>
      </c>
      <c r="U1" s="99">
        <f t="shared" si="0"/>
        <v>46006</v>
      </c>
      <c r="V1" s="99">
        <f t="shared" si="0"/>
        <v>46013</v>
      </c>
      <c r="W1" s="99">
        <f t="shared" si="0"/>
        <v>46020</v>
      </c>
      <c r="X1" s="99">
        <f t="shared" si="0"/>
        <v>46027</v>
      </c>
      <c r="Y1" s="99">
        <f t="shared" si="0"/>
        <v>46034</v>
      </c>
      <c r="Z1" s="99">
        <f t="shared" si="0"/>
        <v>46041</v>
      </c>
      <c r="AA1" s="99">
        <f t="shared" si="0"/>
        <v>46048</v>
      </c>
      <c r="AB1" s="99">
        <f t="shared" si="0"/>
        <v>46055</v>
      </c>
      <c r="AC1" s="99">
        <f t="shared" si="0"/>
        <v>46062</v>
      </c>
      <c r="AD1" s="99">
        <f>AC1+7</f>
        <v>46069</v>
      </c>
      <c r="AE1" s="99">
        <f t="shared" si="0"/>
        <v>46076</v>
      </c>
      <c r="AF1" s="99">
        <f t="shared" si="0"/>
        <v>46083</v>
      </c>
      <c r="AG1" s="99">
        <f t="shared" si="0"/>
        <v>46090</v>
      </c>
      <c r="AH1" s="99">
        <f t="shared" si="0"/>
        <v>46097</v>
      </c>
      <c r="AI1" s="99">
        <f t="shared" si="0"/>
        <v>46104</v>
      </c>
      <c r="AJ1" s="99">
        <f t="shared" si="0"/>
        <v>46111</v>
      </c>
      <c r="AK1" s="99">
        <f t="shared" si="0"/>
        <v>46118</v>
      </c>
      <c r="AL1" s="99">
        <f t="shared" si="0"/>
        <v>46125</v>
      </c>
      <c r="AM1" s="99">
        <f t="shared" si="0"/>
        <v>46132</v>
      </c>
      <c r="AN1" s="99">
        <f t="shared" si="0"/>
        <v>46139</v>
      </c>
      <c r="AO1" s="99">
        <f t="shared" si="0"/>
        <v>46146</v>
      </c>
      <c r="AP1" s="99">
        <f t="shared" si="0"/>
        <v>46153</v>
      </c>
      <c r="AQ1" s="99">
        <f t="shared" si="0"/>
        <v>46160</v>
      </c>
      <c r="AR1" s="99">
        <f t="shared" si="0"/>
        <v>46167</v>
      </c>
      <c r="AS1" s="99">
        <f t="shared" si="0"/>
        <v>46174</v>
      </c>
      <c r="AT1" s="99">
        <f t="shared" si="0"/>
        <v>46181</v>
      </c>
      <c r="AU1" s="99">
        <f t="shared" si="0"/>
        <v>46188</v>
      </c>
      <c r="AV1" s="99">
        <f t="shared" si="0"/>
        <v>46195</v>
      </c>
      <c r="AW1" s="99">
        <f t="shared" si="0"/>
        <v>46202</v>
      </c>
      <c r="AX1" s="99">
        <f t="shared" si="0"/>
        <v>46209</v>
      </c>
      <c r="AY1" s="99">
        <f t="shared" si="0"/>
        <v>46216</v>
      </c>
      <c r="AZ1" s="99">
        <f t="shared" si="0"/>
        <v>46223</v>
      </c>
      <c r="BA1" s="99">
        <f t="shared" si="0"/>
        <v>46230</v>
      </c>
      <c r="BB1" s="99">
        <f t="shared" si="0"/>
        <v>46237</v>
      </c>
      <c r="BC1" s="99">
        <f t="shared" si="0"/>
        <v>46244</v>
      </c>
      <c r="BD1" s="99">
        <f t="shared" si="0"/>
        <v>46251</v>
      </c>
      <c r="BE1" s="99">
        <f t="shared" si="0"/>
        <v>46258</v>
      </c>
      <c r="BF1" s="99">
        <f t="shared" si="0"/>
        <v>46265</v>
      </c>
      <c r="BG1" s="99">
        <f t="shared" si="0"/>
        <v>46272</v>
      </c>
      <c r="BH1" s="99">
        <f t="shared" si="0"/>
        <v>46279</v>
      </c>
      <c r="BI1" s="99">
        <f t="shared" si="0"/>
        <v>46286</v>
      </c>
      <c r="BJ1" s="99">
        <f t="shared" si="0"/>
        <v>46293</v>
      </c>
      <c r="BK1" s="99">
        <f t="shared" si="0"/>
        <v>46300</v>
      </c>
      <c r="BL1" s="99">
        <f t="shared" si="0"/>
        <v>46307</v>
      </c>
      <c r="BM1" s="99">
        <f t="shared" si="0"/>
        <v>46314</v>
      </c>
      <c r="BN1" s="99">
        <f t="shared" si="0"/>
        <v>46321</v>
      </c>
      <c r="BO1" s="99">
        <f t="shared" si="0"/>
        <v>46328</v>
      </c>
      <c r="BP1" s="99">
        <f t="shared" si="0"/>
        <v>46335</v>
      </c>
      <c r="BQ1" s="99">
        <f t="shared" si="0"/>
        <v>46342</v>
      </c>
      <c r="BR1" s="99">
        <f t="shared" si="0"/>
        <v>46349</v>
      </c>
      <c r="BS1" s="99">
        <f t="shared" si="0"/>
        <v>46356</v>
      </c>
      <c r="BT1" s="99">
        <f t="shared" si="0"/>
        <v>46363</v>
      </c>
      <c r="BU1" s="99">
        <f t="shared" ref="BU1:EF1" si="1">BT1+7</f>
        <v>46370</v>
      </c>
      <c r="BV1" s="99">
        <f t="shared" si="1"/>
        <v>46377</v>
      </c>
      <c r="BW1" s="99">
        <f t="shared" si="1"/>
        <v>46384</v>
      </c>
      <c r="BX1" s="99">
        <f t="shared" si="1"/>
        <v>46391</v>
      </c>
      <c r="BY1" s="99">
        <f t="shared" si="1"/>
        <v>46398</v>
      </c>
      <c r="BZ1" s="99">
        <f t="shared" si="1"/>
        <v>46405</v>
      </c>
      <c r="CA1" s="99">
        <f t="shared" si="1"/>
        <v>46412</v>
      </c>
      <c r="CB1" s="99">
        <f t="shared" si="1"/>
        <v>46419</v>
      </c>
      <c r="CC1" s="99">
        <f t="shared" si="1"/>
        <v>46426</v>
      </c>
      <c r="CD1" s="99">
        <f t="shared" si="1"/>
        <v>46433</v>
      </c>
      <c r="CE1" s="99">
        <f t="shared" si="1"/>
        <v>46440</v>
      </c>
      <c r="CF1" s="99">
        <f t="shared" si="1"/>
        <v>46447</v>
      </c>
      <c r="CG1" s="99">
        <f t="shared" si="1"/>
        <v>46454</v>
      </c>
      <c r="CH1" s="99">
        <f t="shared" si="1"/>
        <v>46461</v>
      </c>
      <c r="CI1" s="99">
        <f t="shared" si="1"/>
        <v>46468</v>
      </c>
      <c r="CJ1" s="99">
        <f t="shared" si="1"/>
        <v>46475</v>
      </c>
      <c r="CK1" s="99">
        <f t="shared" si="1"/>
        <v>46482</v>
      </c>
      <c r="CL1" s="99">
        <f t="shared" si="1"/>
        <v>46489</v>
      </c>
      <c r="CM1" s="99">
        <f t="shared" si="1"/>
        <v>46496</v>
      </c>
      <c r="CN1" s="99">
        <f t="shared" si="1"/>
        <v>46503</v>
      </c>
      <c r="CO1" s="99">
        <f t="shared" si="1"/>
        <v>46510</v>
      </c>
      <c r="CP1" s="99">
        <f t="shared" si="1"/>
        <v>46517</v>
      </c>
      <c r="CQ1" s="99">
        <f t="shared" si="1"/>
        <v>46524</v>
      </c>
      <c r="CR1" s="99">
        <f t="shared" si="1"/>
        <v>46531</v>
      </c>
      <c r="CS1" s="99">
        <f t="shared" si="1"/>
        <v>46538</v>
      </c>
      <c r="CT1" s="99">
        <f t="shared" si="1"/>
        <v>46545</v>
      </c>
      <c r="CU1" s="99">
        <f t="shared" si="1"/>
        <v>46552</v>
      </c>
      <c r="CV1" s="99">
        <f t="shared" si="1"/>
        <v>46559</v>
      </c>
      <c r="CW1" s="99">
        <f t="shared" si="1"/>
        <v>46566</v>
      </c>
      <c r="CX1" s="99">
        <f t="shared" si="1"/>
        <v>46573</v>
      </c>
      <c r="CY1" s="99">
        <f t="shared" si="1"/>
        <v>46580</v>
      </c>
      <c r="CZ1" s="99">
        <f t="shared" si="1"/>
        <v>46587</v>
      </c>
      <c r="DA1" s="99">
        <f t="shared" si="1"/>
        <v>46594</v>
      </c>
      <c r="DB1" s="99">
        <f t="shared" si="1"/>
        <v>46601</v>
      </c>
      <c r="DC1" s="99">
        <f t="shared" si="1"/>
        <v>46608</v>
      </c>
      <c r="DD1" s="99">
        <f t="shared" si="1"/>
        <v>46615</v>
      </c>
      <c r="DE1" s="99">
        <f t="shared" si="1"/>
        <v>46622</v>
      </c>
      <c r="DF1" s="99">
        <f t="shared" si="1"/>
        <v>46629</v>
      </c>
      <c r="DG1" s="99">
        <f t="shared" si="1"/>
        <v>46636</v>
      </c>
      <c r="DH1" s="99">
        <f t="shared" si="1"/>
        <v>46643</v>
      </c>
      <c r="DI1" s="99">
        <f t="shared" si="1"/>
        <v>46650</v>
      </c>
      <c r="DJ1" s="99">
        <f t="shared" si="1"/>
        <v>46657</v>
      </c>
      <c r="DK1" s="99">
        <f t="shared" si="1"/>
        <v>46664</v>
      </c>
      <c r="DL1" s="99">
        <f t="shared" si="1"/>
        <v>46671</v>
      </c>
      <c r="DM1" s="99">
        <f t="shared" si="1"/>
        <v>46678</v>
      </c>
      <c r="DN1" s="99">
        <f t="shared" si="1"/>
        <v>46685</v>
      </c>
      <c r="DO1" s="99">
        <f t="shared" si="1"/>
        <v>46692</v>
      </c>
      <c r="DP1" s="99">
        <f t="shared" si="1"/>
        <v>46699</v>
      </c>
      <c r="DQ1" s="99">
        <f t="shared" si="1"/>
        <v>46706</v>
      </c>
      <c r="DR1" s="99">
        <f t="shared" si="1"/>
        <v>46713</v>
      </c>
      <c r="DS1" s="99">
        <f t="shared" si="1"/>
        <v>46720</v>
      </c>
      <c r="DT1" s="99">
        <f t="shared" si="1"/>
        <v>46727</v>
      </c>
      <c r="DU1" s="99">
        <f t="shared" si="1"/>
        <v>46734</v>
      </c>
      <c r="DV1" s="99">
        <f t="shared" si="1"/>
        <v>46741</v>
      </c>
      <c r="DW1" s="99">
        <f t="shared" si="1"/>
        <v>46748</v>
      </c>
      <c r="DX1" s="99">
        <f t="shared" si="1"/>
        <v>46755</v>
      </c>
      <c r="DY1" s="99">
        <f t="shared" si="1"/>
        <v>46762</v>
      </c>
      <c r="DZ1" s="99">
        <f t="shared" si="1"/>
        <v>46769</v>
      </c>
      <c r="EA1" s="99">
        <f t="shared" si="1"/>
        <v>46776</v>
      </c>
      <c r="EB1" s="99">
        <f t="shared" si="1"/>
        <v>46783</v>
      </c>
      <c r="EC1" s="99">
        <f t="shared" si="1"/>
        <v>46790</v>
      </c>
      <c r="ED1" s="99">
        <f t="shared" si="1"/>
        <v>46797</v>
      </c>
      <c r="EE1" s="99">
        <f t="shared" si="1"/>
        <v>46804</v>
      </c>
      <c r="EF1" s="99">
        <f t="shared" si="1"/>
        <v>46811</v>
      </c>
      <c r="EG1" s="99">
        <f t="shared" ref="EG1:GR1" si="2">EF1+7</f>
        <v>46818</v>
      </c>
      <c r="EH1" s="99">
        <f t="shared" si="2"/>
        <v>46825</v>
      </c>
      <c r="EI1" s="99">
        <f t="shared" si="2"/>
        <v>46832</v>
      </c>
      <c r="EJ1" s="99">
        <f t="shared" si="2"/>
        <v>46839</v>
      </c>
      <c r="EK1" s="99">
        <f t="shared" si="2"/>
        <v>46846</v>
      </c>
      <c r="EL1" s="99">
        <f t="shared" si="2"/>
        <v>46853</v>
      </c>
      <c r="EM1" s="99">
        <f t="shared" si="2"/>
        <v>46860</v>
      </c>
      <c r="EN1" s="99">
        <f t="shared" si="2"/>
        <v>46867</v>
      </c>
      <c r="EO1" s="99">
        <f t="shared" si="2"/>
        <v>46874</v>
      </c>
      <c r="EP1" s="99">
        <f t="shared" si="2"/>
        <v>46881</v>
      </c>
      <c r="EQ1" s="99">
        <f t="shared" si="2"/>
        <v>46888</v>
      </c>
      <c r="ER1" s="99">
        <f t="shared" si="2"/>
        <v>46895</v>
      </c>
      <c r="ES1" s="99">
        <f t="shared" si="2"/>
        <v>46902</v>
      </c>
      <c r="ET1" s="99">
        <f t="shared" si="2"/>
        <v>46909</v>
      </c>
      <c r="EU1" s="99">
        <f t="shared" si="2"/>
        <v>46916</v>
      </c>
      <c r="EV1" s="99">
        <f t="shared" si="2"/>
        <v>46923</v>
      </c>
      <c r="EW1" s="99">
        <f t="shared" si="2"/>
        <v>46930</v>
      </c>
      <c r="EX1" s="99">
        <f t="shared" si="2"/>
        <v>46937</v>
      </c>
      <c r="EY1" s="99">
        <f t="shared" si="2"/>
        <v>46944</v>
      </c>
      <c r="EZ1" s="99">
        <f t="shared" si="2"/>
        <v>46951</v>
      </c>
      <c r="FA1" s="99">
        <f t="shared" si="2"/>
        <v>46958</v>
      </c>
      <c r="FB1" s="99">
        <f t="shared" si="2"/>
        <v>46965</v>
      </c>
      <c r="FC1" s="99">
        <f t="shared" si="2"/>
        <v>46972</v>
      </c>
      <c r="FD1" s="99">
        <f t="shared" si="2"/>
        <v>46979</v>
      </c>
      <c r="FE1" s="99">
        <f t="shared" si="2"/>
        <v>46986</v>
      </c>
      <c r="FF1" s="99">
        <f t="shared" si="2"/>
        <v>46993</v>
      </c>
      <c r="FG1" s="99">
        <f t="shared" si="2"/>
        <v>47000</v>
      </c>
      <c r="FH1" s="99">
        <f t="shared" si="2"/>
        <v>47007</v>
      </c>
      <c r="FI1" s="99">
        <f t="shared" si="2"/>
        <v>47014</v>
      </c>
      <c r="FJ1" s="99">
        <f t="shared" si="2"/>
        <v>47021</v>
      </c>
      <c r="FK1" s="99">
        <f t="shared" si="2"/>
        <v>47028</v>
      </c>
      <c r="FL1" s="99">
        <f t="shared" si="2"/>
        <v>47035</v>
      </c>
      <c r="FM1" s="99">
        <f t="shared" si="2"/>
        <v>47042</v>
      </c>
      <c r="FN1" s="99">
        <f t="shared" si="2"/>
        <v>47049</v>
      </c>
      <c r="FO1" s="99">
        <f t="shared" si="2"/>
        <v>47056</v>
      </c>
      <c r="FP1" s="99">
        <f t="shared" si="2"/>
        <v>47063</v>
      </c>
      <c r="FQ1" s="99">
        <f t="shared" si="2"/>
        <v>47070</v>
      </c>
      <c r="FR1" s="99">
        <f t="shared" si="2"/>
        <v>47077</v>
      </c>
      <c r="FS1" s="99">
        <f t="shared" si="2"/>
        <v>47084</v>
      </c>
      <c r="FT1" s="99">
        <f t="shared" si="2"/>
        <v>47091</v>
      </c>
      <c r="FU1" s="99">
        <f t="shared" si="2"/>
        <v>47098</v>
      </c>
      <c r="FV1" s="99">
        <f t="shared" si="2"/>
        <v>47105</v>
      </c>
      <c r="FW1" s="99">
        <f t="shared" si="2"/>
        <v>47112</v>
      </c>
      <c r="FX1" s="99">
        <f t="shared" si="2"/>
        <v>47119</v>
      </c>
      <c r="FY1" s="99">
        <f t="shared" si="2"/>
        <v>47126</v>
      </c>
      <c r="FZ1" s="99">
        <f t="shared" si="2"/>
        <v>47133</v>
      </c>
      <c r="GA1" s="99">
        <f t="shared" si="2"/>
        <v>47140</v>
      </c>
      <c r="GB1" s="99">
        <f t="shared" si="2"/>
        <v>47147</v>
      </c>
      <c r="GC1" s="99">
        <f t="shared" si="2"/>
        <v>47154</v>
      </c>
      <c r="GD1" s="99">
        <f t="shared" si="2"/>
        <v>47161</v>
      </c>
      <c r="GE1" s="99">
        <f t="shared" si="2"/>
        <v>47168</v>
      </c>
      <c r="GF1" s="99">
        <f t="shared" si="2"/>
        <v>47175</v>
      </c>
      <c r="GG1" s="99">
        <f t="shared" si="2"/>
        <v>47182</v>
      </c>
      <c r="GH1" s="99">
        <f t="shared" si="2"/>
        <v>47189</v>
      </c>
      <c r="GI1" s="99">
        <f t="shared" si="2"/>
        <v>47196</v>
      </c>
      <c r="GJ1" s="99">
        <f t="shared" si="2"/>
        <v>47203</v>
      </c>
      <c r="GK1" s="99">
        <f t="shared" si="2"/>
        <v>47210</v>
      </c>
      <c r="GL1" s="99">
        <f t="shared" si="2"/>
        <v>47217</v>
      </c>
      <c r="GM1" s="99">
        <f t="shared" si="2"/>
        <v>47224</v>
      </c>
      <c r="GN1" s="99">
        <f t="shared" si="2"/>
        <v>47231</v>
      </c>
      <c r="GO1" s="99">
        <f t="shared" si="2"/>
        <v>47238</v>
      </c>
      <c r="GP1" s="99">
        <f t="shared" si="2"/>
        <v>47245</v>
      </c>
      <c r="GQ1" s="99">
        <f t="shared" si="2"/>
        <v>47252</v>
      </c>
      <c r="GR1" s="99">
        <f t="shared" si="2"/>
        <v>47259</v>
      </c>
      <c r="GS1" s="99">
        <f t="shared" ref="GS1:JD1" si="3">GR1+7</f>
        <v>47266</v>
      </c>
      <c r="GT1" s="99">
        <f t="shared" si="3"/>
        <v>47273</v>
      </c>
      <c r="GU1" s="99">
        <f t="shared" si="3"/>
        <v>47280</v>
      </c>
      <c r="GV1" s="99">
        <f t="shared" si="3"/>
        <v>47287</v>
      </c>
      <c r="GW1" s="99">
        <f t="shared" si="3"/>
        <v>47294</v>
      </c>
      <c r="GX1" s="99">
        <f t="shared" si="3"/>
        <v>47301</v>
      </c>
      <c r="GY1" s="99">
        <f t="shared" si="3"/>
        <v>47308</v>
      </c>
      <c r="GZ1" s="99">
        <f t="shared" si="3"/>
        <v>47315</v>
      </c>
      <c r="HA1" s="99">
        <f t="shared" si="3"/>
        <v>47322</v>
      </c>
      <c r="HB1" s="99">
        <f t="shared" si="3"/>
        <v>47329</v>
      </c>
      <c r="HC1" s="99">
        <f t="shared" si="3"/>
        <v>47336</v>
      </c>
      <c r="HD1" s="99">
        <f t="shared" si="3"/>
        <v>47343</v>
      </c>
      <c r="HE1" s="99">
        <f t="shared" si="3"/>
        <v>47350</v>
      </c>
      <c r="HF1" s="99">
        <f t="shared" si="3"/>
        <v>47357</v>
      </c>
      <c r="HG1" s="99">
        <f t="shared" si="3"/>
        <v>47364</v>
      </c>
      <c r="HH1" s="99">
        <f t="shared" si="3"/>
        <v>47371</v>
      </c>
      <c r="HI1" s="99">
        <f t="shared" si="3"/>
        <v>47378</v>
      </c>
      <c r="HJ1" s="99">
        <f t="shared" si="3"/>
        <v>47385</v>
      </c>
      <c r="HK1" s="99">
        <f t="shared" si="3"/>
        <v>47392</v>
      </c>
      <c r="HL1" s="99">
        <f t="shared" si="3"/>
        <v>47399</v>
      </c>
      <c r="HM1" s="99">
        <f t="shared" si="3"/>
        <v>47406</v>
      </c>
      <c r="HN1" s="99">
        <f t="shared" si="3"/>
        <v>47413</v>
      </c>
      <c r="HO1" s="99">
        <f t="shared" si="3"/>
        <v>47420</v>
      </c>
      <c r="HP1" s="99">
        <f t="shared" si="3"/>
        <v>47427</v>
      </c>
      <c r="HQ1" s="99">
        <f t="shared" si="3"/>
        <v>47434</v>
      </c>
      <c r="HR1" s="99">
        <f t="shared" si="3"/>
        <v>47441</v>
      </c>
      <c r="HS1" s="99">
        <f t="shared" si="3"/>
        <v>47448</v>
      </c>
      <c r="HT1" s="99">
        <f t="shared" si="3"/>
        <v>47455</v>
      </c>
      <c r="HU1" s="99">
        <f t="shared" si="3"/>
        <v>47462</v>
      </c>
      <c r="HV1" s="99">
        <f t="shared" si="3"/>
        <v>47469</v>
      </c>
      <c r="HW1" s="99">
        <f t="shared" si="3"/>
        <v>47476</v>
      </c>
      <c r="HX1" s="99">
        <f t="shared" si="3"/>
        <v>47483</v>
      </c>
      <c r="HY1" s="99">
        <f t="shared" si="3"/>
        <v>47490</v>
      </c>
      <c r="HZ1" s="99">
        <f t="shared" si="3"/>
        <v>47497</v>
      </c>
      <c r="IA1" s="99">
        <f t="shared" si="3"/>
        <v>47504</v>
      </c>
      <c r="IB1" s="99">
        <f t="shared" si="3"/>
        <v>47511</v>
      </c>
      <c r="IC1" s="99">
        <f t="shared" si="3"/>
        <v>47518</v>
      </c>
      <c r="ID1" s="99">
        <f t="shared" si="3"/>
        <v>47525</v>
      </c>
      <c r="IE1" s="99">
        <f t="shared" si="3"/>
        <v>47532</v>
      </c>
      <c r="IF1" s="99">
        <f t="shared" si="3"/>
        <v>47539</v>
      </c>
      <c r="IG1" s="99">
        <f t="shared" si="3"/>
        <v>47546</v>
      </c>
      <c r="IH1" s="99">
        <f t="shared" si="3"/>
        <v>47553</v>
      </c>
      <c r="II1" s="99">
        <f t="shared" si="3"/>
        <v>47560</v>
      </c>
      <c r="IJ1" s="99">
        <f t="shared" si="3"/>
        <v>47567</v>
      </c>
      <c r="IK1" s="99">
        <f t="shared" si="3"/>
        <v>47574</v>
      </c>
      <c r="IL1" s="99">
        <f t="shared" si="3"/>
        <v>47581</v>
      </c>
      <c r="IM1" s="99">
        <f t="shared" si="3"/>
        <v>47588</v>
      </c>
      <c r="IN1" s="99">
        <f t="shared" si="3"/>
        <v>47595</v>
      </c>
      <c r="IO1" s="99">
        <f t="shared" si="3"/>
        <v>47602</v>
      </c>
      <c r="IP1" s="99">
        <f t="shared" si="3"/>
        <v>47609</v>
      </c>
      <c r="IQ1" s="99">
        <f t="shared" si="3"/>
        <v>47616</v>
      </c>
      <c r="IR1" s="99">
        <f t="shared" si="3"/>
        <v>47623</v>
      </c>
      <c r="IS1" s="99">
        <f t="shared" si="3"/>
        <v>47630</v>
      </c>
      <c r="IT1" s="99">
        <f t="shared" si="3"/>
        <v>47637</v>
      </c>
      <c r="IU1" s="99">
        <f t="shared" si="3"/>
        <v>47644</v>
      </c>
      <c r="IV1" s="99">
        <f t="shared" si="3"/>
        <v>47651</v>
      </c>
      <c r="IW1" s="99">
        <f t="shared" si="3"/>
        <v>47658</v>
      </c>
      <c r="IX1" s="99">
        <f t="shared" si="3"/>
        <v>47665</v>
      </c>
      <c r="IY1" s="99">
        <f t="shared" si="3"/>
        <v>47672</v>
      </c>
      <c r="IZ1" s="99">
        <f t="shared" si="3"/>
        <v>47679</v>
      </c>
      <c r="JA1" s="99">
        <f t="shared" si="3"/>
        <v>47686</v>
      </c>
      <c r="JB1" s="99">
        <f t="shared" si="3"/>
        <v>47693</v>
      </c>
      <c r="JC1" s="99">
        <f t="shared" si="3"/>
        <v>47700</v>
      </c>
      <c r="JD1" s="99">
        <f t="shared" si="3"/>
        <v>47707</v>
      </c>
      <c r="JE1" s="99">
        <f t="shared" ref="JE1:KF1" si="4">JD1+7</f>
        <v>47714</v>
      </c>
      <c r="JF1" s="99">
        <f t="shared" si="4"/>
        <v>47721</v>
      </c>
      <c r="JG1" s="99">
        <f t="shared" si="4"/>
        <v>47728</v>
      </c>
      <c r="JH1" s="99">
        <f t="shared" si="4"/>
        <v>47735</v>
      </c>
      <c r="JI1" s="99">
        <f t="shared" si="4"/>
        <v>47742</v>
      </c>
      <c r="JJ1" s="99">
        <f t="shared" si="4"/>
        <v>47749</v>
      </c>
      <c r="JK1" s="99">
        <f t="shared" si="4"/>
        <v>47756</v>
      </c>
      <c r="JL1" s="99">
        <f t="shared" si="4"/>
        <v>47763</v>
      </c>
      <c r="JM1" s="99">
        <f t="shared" si="4"/>
        <v>47770</v>
      </c>
      <c r="JN1" s="99">
        <f t="shared" si="4"/>
        <v>47777</v>
      </c>
      <c r="JO1" s="99">
        <f t="shared" si="4"/>
        <v>47784</v>
      </c>
      <c r="JP1" s="99">
        <f t="shared" si="4"/>
        <v>47791</v>
      </c>
      <c r="JQ1" s="99">
        <f t="shared" si="4"/>
        <v>47798</v>
      </c>
      <c r="JR1" s="99">
        <f t="shared" si="4"/>
        <v>47805</v>
      </c>
      <c r="JS1" s="99">
        <f t="shared" si="4"/>
        <v>47812</v>
      </c>
      <c r="JT1" s="99">
        <f t="shared" si="4"/>
        <v>47819</v>
      </c>
      <c r="JU1" s="99">
        <f t="shared" si="4"/>
        <v>47826</v>
      </c>
      <c r="JV1" s="99">
        <f t="shared" si="4"/>
        <v>47833</v>
      </c>
      <c r="JW1" s="99">
        <f t="shared" si="4"/>
        <v>47840</v>
      </c>
      <c r="JX1" s="99">
        <f t="shared" si="4"/>
        <v>47847</v>
      </c>
      <c r="JY1" s="99">
        <f t="shared" si="4"/>
        <v>47854</v>
      </c>
      <c r="JZ1" s="99">
        <f t="shared" si="4"/>
        <v>47861</v>
      </c>
      <c r="KA1" s="99">
        <f t="shared" si="4"/>
        <v>47868</v>
      </c>
      <c r="KB1" s="99">
        <f t="shared" si="4"/>
        <v>47875</v>
      </c>
      <c r="KC1" s="99">
        <f t="shared" si="4"/>
        <v>47882</v>
      </c>
      <c r="KD1" s="99">
        <f t="shared" si="4"/>
        <v>47889</v>
      </c>
      <c r="KE1" s="99">
        <f t="shared" si="4"/>
        <v>47896</v>
      </c>
      <c r="KF1" s="99">
        <f t="shared" si="4"/>
        <v>47903</v>
      </c>
    </row>
    <row r="2" spans="1:770" s="100" customFormat="1">
      <c r="A2" s="800" t="s">
        <v>524</v>
      </c>
      <c r="B2" s="101"/>
      <c r="C2" s="102" t="s">
        <v>302</v>
      </c>
      <c r="D2" s="102" t="s">
        <v>302</v>
      </c>
      <c r="E2" s="102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  <c r="AQ2" s="103"/>
      <c r="AR2" s="103"/>
      <c r="AS2" s="103"/>
      <c r="AT2" s="103"/>
      <c r="AU2" s="103"/>
      <c r="AV2" s="103"/>
      <c r="AW2" s="103"/>
      <c r="AX2" s="103"/>
      <c r="AY2" s="103"/>
      <c r="AZ2" s="103"/>
      <c r="BA2" s="103"/>
      <c r="BB2" s="103"/>
      <c r="BC2" s="103"/>
      <c r="BD2" s="103"/>
      <c r="BE2" s="103"/>
      <c r="BF2" s="103"/>
      <c r="BG2" s="103"/>
      <c r="BH2" s="103"/>
      <c r="BI2" s="103"/>
      <c r="BJ2" s="103"/>
      <c r="BK2" s="103"/>
      <c r="BL2" s="103"/>
      <c r="BM2" s="103"/>
      <c r="BN2" s="103"/>
      <c r="BO2" s="103"/>
      <c r="BP2" s="103"/>
      <c r="BQ2" s="103"/>
      <c r="BR2" s="103"/>
      <c r="BS2" s="103"/>
      <c r="BT2" s="103"/>
      <c r="BU2" s="103"/>
      <c r="BV2" s="103"/>
      <c r="BW2" s="103"/>
      <c r="BX2" s="103"/>
      <c r="BY2" s="103"/>
      <c r="BZ2" s="103"/>
      <c r="CA2" s="103"/>
      <c r="CB2" s="103"/>
      <c r="CC2" s="103"/>
      <c r="CD2" s="103"/>
      <c r="CE2" s="103"/>
      <c r="CF2" s="103"/>
      <c r="CG2" s="103"/>
      <c r="CH2" s="103"/>
      <c r="CI2" s="103"/>
      <c r="CJ2" s="103"/>
      <c r="CK2" s="103"/>
      <c r="CL2" s="103"/>
      <c r="CM2" s="103"/>
      <c r="CN2" s="103"/>
      <c r="CO2" s="103"/>
      <c r="CP2" s="103"/>
      <c r="CQ2" s="103"/>
      <c r="CR2" s="103"/>
      <c r="CS2" s="103"/>
      <c r="CT2" s="103"/>
      <c r="CU2" s="103"/>
      <c r="CV2" s="103"/>
      <c r="CW2" s="103"/>
      <c r="CX2" s="103"/>
      <c r="CY2" s="103"/>
      <c r="CZ2" s="103"/>
      <c r="DA2" s="103"/>
      <c r="DB2" s="103"/>
      <c r="DC2" s="103"/>
      <c r="DD2" s="103"/>
      <c r="DE2" s="103"/>
      <c r="DF2" s="103"/>
      <c r="DG2" s="103"/>
      <c r="DH2" s="103"/>
      <c r="DI2" s="103"/>
      <c r="DJ2" s="103"/>
      <c r="DK2" s="103"/>
      <c r="DL2" s="103"/>
      <c r="DM2" s="103"/>
      <c r="DN2" s="103"/>
      <c r="DO2" s="103"/>
      <c r="DP2" s="103"/>
      <c r="DQ2" s="103"/>
      <c r="DR2" s="103"/>
      <c r="DS2" s="103"/>
      <c r="DT2" s="103"/>
      <c r="DU2" s="103"/>
      <c r="DV2" s="103"/>
      <c r="DW2" s="103"/>
      <c r="DX2" s="103"/>
      <c r="DY2" s="103"/>
      <c r="DZ2" s="103"/>
      <c r="EA2" s="103"/>
      <c r="EB2" s="103"/>
      <c r="EC2" s="103"/>
      <c r="ED2" s="103"/>
      <c r="EE2" s="103"/>
      <c r="EF2" s="103"/>
      <c r="EG2" s="103"/>
      <c r="EH2" s="103"/>
      <c r="EI2" s="103"/>
      <c r="EJ2" s="103"/>
      <c r="EK2" s="103"/>
      <c r="EL2" s="103"/>
      <c r="EM2" s="103"/>
      <c r="EN2" s="103"/>
      <c r="EO2" s="103"/>
      <c r="EP2" s="103"/>
      <c r="EQ2" s="103"/>
      <c r="ER2" s="103"/>
      <c r="ES2" s="103"/>
      <c r="ET2" s="103"/>
      <c r="EU2" s="103"/>
      <c r="EV2" s="103"/>
      <c r="EW2" s="103"/>
      <c r="EX2" s="103"/>
      <c r="EY2" s="103"/>
      <c r="EZ2" s="103"/>
      <c r="FA2" s="103"/>
      <c r="FB2" s="103"/>
      <c r="FC2" s="103"/>
      <c r="FD2" s="103"/>
      <c r="FE2" s="103"/>
      <c r="FF2" s="103"/>
      <c r="FG2" s="103"/>
      <c r="FH2" s="103"/>
      <c r="FI2" s="103"/>
      <c r="FJ2" s="103"/>
      <c r="FK2" s="103"/>
      <c r="FL2" s="103"/>
      <c r="FM2" s="103"/>
      <c r="FN2" s="103"/>
      <c r="FO2" s="103"/>
      <c r="FP2" s="103"/>
      <c r="FQ2" s="103"/>
      <c r="FR2" s="103"/>
      <c r="FS2" s="103"/>
      <c r="FT2" s="103"/>
      <c r="FU2" s="103"/>
      <c r="FV2" s="103"/>
      <c r="FW2" s="103"/>
      <c r="FX2" s="103"/>
      <c r="FY2" s="103"/>
      <c r="FZ2" s="103"/>
      <c r="GA2" s="103"/>
      <c r="GB2" s="103"/>
      <c r="GC2" s="103"/>
      <c r="GD2" s="103"/>
      <c r="GE2" s="103"/>
      <c r="GF2" s="103"/>
      <c r="GG2" s="103"/>
      <c r="GH2" s="103"/>
      <c r="GI2" s="103"/>
      <c r="GJ2" s="103"/>
      <c r="GK2" s="103"/>
      <c r="GL2" s="103"/>
      <c r="GM2" s="103"/>
      <c r="GN2" s="103"/>
      <c r="GO2" s="103"/>
      <c r="GP2" s="103"/>
      <c r="GQ2" s="103"/>
      <c r="GR2" s="103"/>
      <c r="GS2" s="103"/>
      <c r="GT2" s="103"/>
      <c r="GU2" s="103"/>
      <c r="GV2" s="103"/>
      <c r="GW2" s="103"/>
      <c r="GX2" s="103"/>
      <c r="GY2" s="103"/>
      <c r="GZ2" s="103"/>
      <c r="HA2" s="103"/>
      <c r="HB2" s="103"/>
      <c r="HC2" s="103"/>
      <c r="HD2" s="103"/>
      <c r="HE2" s="103"/>
      <c r="HF2" s="103"/>
      <c r="HG2" s="103"/>
      <c r="HH2" s="103"/>
      <c r="HI2" s="103"/>
      <c r="HJ2" s="103"/>
      <c r="HK2" s="103"/>
      <c r="HL2" s="103"/>
      <c r="HM2" s="103"/>
      <c r="HN2" s="103"/>
      <c r="HO2" s="103"/>
      <c r="HP2" s="103"/>
      <c r="HQ2" s="103"/>
      <c r="HR2" s="103"/>
      <c r="HS2" s="103"/>
      <c r="HT2" s="103"/>
      <c r="HU2" s="103"/>
      <c r="HV2" s="103"/>
      <c r="HW2" s="103"/>
      <c r="HX2" s="103"/>
      <c r="HY2" s="103"/>
      <c r="HZ2" s="103"/>
      <c r="IA2" s="103"/>
      <c r="IB2" s="103"/>
      <c r="IC2" s="103"/>
      <c r="ID2" s="103"/>
      <c r="IE2" s="103"/>
      <c r="IF2" s="103"/>
      <c r="IG2" s="103"/>
      <c r="IH2" s="103"/>
      <c r="II2" s="103"/>
      <c r="IJ2" s="103"/>
      <c r="IK2" s="103"/>
      <c r="IL2" s="103"/>
      <c r="IM2" s="103"/>
      <c r="IN2" s="103"/>
      <c r="IO2" s="103"/>
      <c r="IP2" s="103"/>
      <c r="IQ2" s="103"/>
      <c r="IR2" s="103"/>
      <c r="IS2" s="103"/>
      <c r="IT2" s="103"/>
      <c r="IU2" s="103"/>
      <c r="IV2" s="103"/>
      <c r="IW2" s="103"/>
      <c r="IX2" s="103"/>
      <c r="IY2" s="103"/>
      <c r="IZ2" s="103"/>
      <c r="JA2" s="103"/>
      <c r="JB2" s="103"/>
      <c r="JC2" s="103"/>
      <c r="JD2" s="103"/>
      <c r="JE2" s="103"/>
      <c r="JF2" s="103"/>
      <c r="JG2" s="103"/>
      <c r="JH2" s="103"/>
      <c r="JI2" s="103"/>
      <c r="JJ2" s="103"/>
      <c r="JK2" s="103"/>
      <c r="JL2" s="103"/>
      <c r="JM2" s="103"/>
      <c r="JN2" s="103"/>
      <c r="JO2" s="103"/>
      <c r="JP2" s="103"/>
      <c r="JQ2" s="103"/>
      <c r="JR2" s="103"/>
      <c r="JS2" s="103"/>
      <c r="JT2" s="103"/>
      <c r="JU2" s="103"/>
      <c r="JV2" s="103"/>
      <c r="JW2" s="103"/>
      <c r="JX2" s="103"/>
      <c r="JY2" s="103"/>
      <c r="JZ2" s="103"/>
      <c r="KA2" s="103"/>
      <c r="KB2" s="103"/>
      <c r="KC2" s="103"/>
      <c r="KD2" s="103"/>
      <c r="KE2" s="103"/>
      <c r="KF2" s="103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801"/>
      <c r="B3" s="104" t="s">
        <v>231</v>
      </c>
      <c r="C3" s="105">
        <f>'Revenue Tracking'!D4</f>
        <v>2581531</v>
      </c>
      <c r="D3" s="105">
        <f>SUM(F3:KF3)</f>
        <v>2820054.919495834</v>
      </c>
      <c r="E3" s="106"/>
      <c r="F3" s="107">
        <f>SUMIFS('Revenue Tracking'!$F$13:$F$27, 'Revenue Tracking'!$H$13:$H$27, "&gt;="&amp;F1,'Revenue Tracking'!$H$13:$H$27, "&lt;"&amp;G1)</f>
        <v>0</v>
      </c>
      <c r="G3" s="107">
        <f>SUMIFS('Revenue Tracking'!$F$13:$F$27, 'Revenue Tracking'!$H$13:$H$27, "&gt;="&amp;G1,'Revenue Tracking'!$H$13:$H$27, "&lt;"&amp;H1)</f>
        <v>0</v>
      </c>
      <c r="H3" s="107">
        <f>SUMIFS('Revenue Tracking'!$F$13:$F$27, 'Revenue Tracking'!$H$13:$H$27, "&gt;="&amp;H1,'Revenue Tracking'!$H$13:$H$27, "&lt;"&amp;I1)</f>
        <v>0</v>
      </c>
      <c r="I3" s="107">
        <f>SUMIFS('Revenue Tracking'!$F$13:$F$27, 'Revenue Tracking'!$H$13:$H$27, "&gt;="&amp;I1,'Revenue Tracking'!$H$13:$H$27, "&lt;"&amp;J1)</f>
        <v>0</v>
      </c>
      <c r="J3" s="107">
        <f>SUMIFS('Revenue Tracking'!$F$13:$F$27, 'Revenue Tracking'!$H$13:$H$27, "&gt;="&amp;J1,'Revenue Tracking'!$H$13:$H$27, "&lt;"&amp;K1)</f>
        <v>0</v>
      </c>
      <c r="K3" s="107">
        <f>SUMIFS('Revenue Tracking'!$F$13:$F$27, 'Revenue Tracking'!$H$13:$H$27, "&gt;="&amp;K1,'Revenue Tracking'!$H$13:$H$27, "&lt;"&amp;L1)</f>
        <v>0</v>
      </c>
      <c r="L3" s="107">
        <f>SUMIFS('Revenue Tracking'!$F$13:$F$27, 'Revenue Tracking'!$H$13:$H$27, "&gt;="&amp;L1,'Revenue Tracking'!$H$13:$H$27, "&lt;"&amp;M1)</f>
        <v>0</v>
      </c>
      <c r="M3" s="107">
        <f>SUMIFS('Revenue Tracking'!$F$13:$F$27, 'Revenue Tracking'!$H$13:$H$27, "&gt;="&amp;M1,'Revenue Tracking'!$H$13:$H$27, "&lt;"&amp;N1)</f>
        <v>0</v>
      </c>
      <c r="N3" s="107">
        <f>SUMIFS('Revenue Tracking'!$F$13:$F$27, 'Revenue Tracking'!$H$13:$H$27, "&gt;="&amp;N1,'Revenue Tracking'!$H$13:$H$27, "&lt;"&amp;O1)</f>
        <v>58084.447500000002</v>
      </c>
      <c r="O3" s="107">
        <f>SUMIFS('Revenue Tracking'!$F$13:$F$27, 'Revenue Tracking'!$H$13:$H$27, "&gt;="&amp;O1,'Revenue Tracking'!$H$13:$H$27, "&lt;"&amp;P1)</f>
        <v>1077724.4180000001</v>
      </c>
      <c r="P3" s="107">
        <f>SUMIFS('Revenue Tracking'!$F$13:$F$27, 'Revenue Tracking'!$H$13:$H$27, "&gt;="&amp;P1,'Revenue Tracking'!$H$13:$H$27, "&lt;"&amp;Q1)</f>
        <v>185870.23200000002</v>
      </c>
      <c r="Q3" s="107">
        <f>SUMIFS('Revenue Tracking'!$F$13:$F$27, 'Revenue Tracking'!$H$13:$H$27, "&gt;="&amp;Q1,'Revenue Tracking'!$H$13:$H$27, "&lt;"&amp;R1)</f>
        <v>403806.685</v>
      </c>
      <c r="R3" s="107">
        <f>SUMIFS('Revenue Tracking'!$F$13:$F$27, 'Revenue Tracking'!$H$13:$H$27, "&gt;="&amp;R1,'Revenue Tracking'!$H$13:$H$27, "&lt;"&amp;S1)</f>
        <v>755097.81750000012</v>
      </c>
      <c r="S3" s="107">
        <f>SUMIFS('Revenue Tracking'!$F$13:$F$27, 'Revenue Tracking'!$H$13:$H$27, "&gt;="&amp;S1,'Revenue Tracking'!$H$13:$H$27, "&lt;"&amp;T1)</f>
        <v>147700.9094958338</v>
      </c>
      <c r="T3" s="107">
        <f>SUMIFS('Revenue Tracking'!$F$13:$F$27, 'Revenue Tracking'!$H$13:$H$27, "&gt;="&amp;T1,'Revenue Tracking'!$H$13:$H$27, "&lt;"&amp;U1)</f>
        <v>129076.55</v>
      </c>
      <c r="U3" s="107">
        <f>SUMIFS('Revenue Tracking'!$F$13:$F$27, 'Revenue Tracking'!$H$13:$H$27, "&gt;="&amp;U1,'Revenue Tracking'!$H$13:$H$27, "&lt;"&amp;V1)</f>
        <v>0</v>
      </c>
      <c r="V3" s="107">
        <f>SUMIFS('Revenue Tracking'!$F$13:$F$27, 'Revenue Tracking'!$H$13:$H$27, "&gt;="&amp;V1,'Revenue Tracking'!$H$13:$H$27, "&lt;"&amp;W1)</f>
        <v>0</v>
      </c>
      <c r="W3" s="107">
        <f>SUMIFS('Revenue Tracking'!$F$13:$F$27, 'Revenue Tracking'!$H$13:$H$27, "&gt;="&amp;W1,'Revenue Tracking'!$H$13:$H$27, "&lt;"&amp;X1)</f>
        <v>0</v>
      </c>
      <c r="X3" s="107">
        <f>SUMIFS('Revenue Tracking'!$F$13:$F$27, 'Revenue Tracking'!$H$13:$H$27, "&gt;="&amp;X1,'Revenue Tracking'!$H$13:$H$27, "&lt;"&amp;Y1)</f>
        <v>0</v>
      </c>
      <c r="Y3" s="107">
        <f>SUMIFS('Revenue Tracking'!$F$13:$F$27, 'Revenue Tracking'!$H$13:$H$27, "&gt;="&amp;Y1,'Revenue Tracking'!$H$13:$H$27, "&lt;"&amp;Z1)</f>
        <v>0</v>
      </c>
      <c r="Z3" s="107">
        <f>SUMIFS('Revenue Tracking'!$F$13:$F$27, 'Revenue Tracking'!$H$13:$H$27, "&gt;="&amp;Z1,'Revenue Tracking'!$H$13:$H$27, "&lt;"&amp;AA1)</f>
        <v>0</v>
      </c>
      <c r="AA3" s="107">
        <f>SUMIFS('Revenue Tracking'!$F$13:$F$27, 'Revenue Tracking'!$H$13:$H$27, "&gt;="&amp;AA1,'Revenue Tracking'!$H$13:$H$27, "&lt;"&amp;AB1)</f>
        <v>0</v>
      </c>
      <c r="AB3" s="107">
        <f>SUMIFS('Revenue Tracking'!$F$13:$F$27, 'Revenue Tracking'!$H$13:$H$27, "&gt;="&amp;AB1,'Revenue Tracking'!$H$13:$H$27, "&lt;"&amp;AC1)</f>
        <v>0</v>
      </c>
      <c r="AC3" s="107">
        <f>SUMIFS('Revenue Tracking'!$F$13:$F$27, 'Revenue Tracking'!$H$13:$H$27, "&gt;="&amp;AC1,'Revenue Tracking'!$H$13:$H$27, "&lt;"&amp;AD1)</f>
        <v>0</v>
      </c>
      <c r="AD3" s="107">
        <f>SUMIFS('Revenue Tracking'!$F$13:$F$27, 'Revenue Tracking'!$H$13:$H$27, "&gt;="&amp;AD1,'Revenue Tracking'!$H$13:$H$27, "&lt;"&amp;AE1)</f>
        <v>0</v>
      </c>
      <c r="AE3" s="107">
        <f>SUMIFS('Revenue Tracking'!$F$13:$F$27, 'Revenue Tracking'!$H$13:$H$27, "&gt;="&amp;AE1,'Revenue Tracking'!$H$13:$H$27, "&lt;"&amp;AF1)</f>
        <v>0</v>
      </c>
      <c r="AF3" s="107">
        <f>SUMIFS('Revenue Tracking'!$F$13:$F$27, 'Revenue Tracking'!$H$13:$H$27, "&gt;="&amp;AF1,'Revenue Tracking'!$H$13:$H$27, "&lt;"&amp;AG1)</f>
        <v>0</v>
      </c>
      <c r="AG3" s="107">
        <f>SUMIFS('Revenue Tracking'!$F$13:$F$27, 'Revenue Tracking'!$H$13:$H$27, "&gt;="&amp;AG1,'Revenue Tracking'!$H$13:$H$27, "&lt;"&amp;AH1)</f>
        <v>62693.86</v>
      </c>
      <c r="AH3" s="107">
        <f>SUMIFS('Revenue Tracking'!$F$13:$F$27, 'Revenue Tracking'!$H$13:$H$27, "&gt;="&amp;AH1,'Revenue Tracking'!$H$13:$H$27, "&lt;"&amp;AI1)</f>
        <v>0</v>
      </c>
      <c r="AI3" s="107">
        <f>SUMIFS('Revenue Tracking'!$F$13:$F$27, 'Revenue Tracking'!$H$13:$H$27, "&gt;="&amp;AI1,'Revenue Tracking'!$H$13:$H$27, "&lt;"&amp;AJ1)</f>
        <v>0</v>
      </c>
      <c r="AJ3" s="107">
        <f>SUMIFS('Revenue Tracking'!$F$13:$F$27, 'Revenue Tracking'!$H$13:$H$27, "&gt;="&amp;AJ1,'Revenue Tracking'!$H$13:$H$27, "&lt;"&amp;AK1)</f>
        <v>0</v>
      </c>
      <c r="AK3" s="107">
        <f>SUMIFS('Revenue Tracking'!$F$13:$F$27, 'Revenue Tracking'!$H$13:$H$27, "&gt;="&amp;AK1,'Revenue Tracking'!$H$13:$H$27, "&lt;"&amp;AL1)</f>
        <v>0</v>
      </c>
      <c r="AL3" s="107">
        <f>SUMIFS('Revenue Tracking'!$F$13:$F$27, 'Revenue Tracking'!$H$13:$H$27, "&gt;="&amp;AL1,'Revenue Tracking'!$H$13:$H$27, "&lt;"&amp;AM1)</f>
        <v>0</v>
      </c>
      <c r="AM3" s="107">
        <f>SUMIFS('Revenue Tracking'!$F$13:$F$27, 'Revenue Tracking'!$H$13:$H$27, "&gt;="&amp;AM1,'Revenue Tracking'!$H$13:$H$27, "&lt;"&amp;AN1)</f>
        <v>0</v>
      </c>
      <c r="AN3" s="107">
        <f>SUMIFS('Revenue Tracking'!$F$13:$F$27, 'Revenue Tracking'!$H$13:$H$27, "&gt;="&amp;AN1,'Revenue Tracking'!$H$13:$H$27, "&lt;"&amp;AO1)</f>
        <v>0</v>
      </c>
      <c r="AO3" s="107">
        <f>SUMIFS('Revenue Tracking'!$F$13:$F$27, 'Revenue Tracking'!$H$13:$H$27, "&gt;="&amp;AO1,'Revenue Tracking'!$H$13:$H$27, "&lt;"&amp;AP1)</f>
        <v>0</v>
      </c>
      <c r="AP3" s="107">
        <f>SUMIFS('Revenue Tracking'!$F$13:$F$27, 'Revenue Tracking'!$H$13:$H$27, "&gt;="&amp;AP1,'Revenue Tracking'!$H$13:$H$27, "&lt;"&amp;AQ1)</f>
        <v>0</v>
      </c>
      <c r="AQ3" s="107">
        <f>SUMIFS('Revenue Tracking'!$F$13:$F$27, 'Revenue Tracking'!$H$13:$H$27, "&gt;="&amp;AQ1,'Revenue Tracking'!$H$13:$H$27, "&lt;"&amp;AR1)</f>
        <v>0</v>
      </c>
      <c r="AR3" s="107">
        <f>SUMIFS('Revenue Tracking'!$F$13:$F$27, 'Revenue Tracking'!$H$13:$H$27, "&gt;="&amp;AR1,'Revenue Tracking'!$H$13:$H$27, "&lt;"&amp;AS1)</f>
        <v>0</v>
      </c>
      <c r="AS3" s="107">
        <f>SUMIFS('Revenue Tracking'!$F$13:$F$27, 'Revenue Tracking'!$H$13:$H$27, "&gt;="&amp;AS1,'Revenue Tracking'!$H$13:$H$27, "&lt;"&amp;AT1)</f>
        <v>0</v>
      </c>
      <c r="AT3" s="107">
        <f>SUMIFS('Revenue Tracking'!$F$13:$F$27, 'Revenue Tracking'!$H$13:$H$27, "&gt;="&amp;AT1,'Revenue Tracking'!$H$13:$H$27, "&lt;"&amp;AU1)</f>
        <v>0</v>
      </c>
      <c r="AU3" s="107">
        <f>SUMIFS('Revenue Tracking'!$F$13:$F$27, 'Revenue Tracking'!$H$13:$H$27, "&gt;="&amp;AU1,'Revenue Tracking'!$H$13:$H$27, "&lt;"&amp;AV1)</f>
        <v>0</v>
      </c>
      <c r="AV3" s="107">
        <f>SUMIFS('Revenue Tracking'!$F$13:$F$27, 'Revenue Tracking'!$H$13:$H$27, "&gt;="&amp;AV1,'Revenue Tracking'!$H$13:$H$27, "&lt;"&amp;AW1)</f>
        <v>0</v>
      </c>
      <c r="AW3" s="107">
        <f>SUMIFS('Revenue Tracking'!$F$13:$F$27, 'Revenue Tracking'!$H$13:$H$27, "&gt;="&amp;AW1,'Revenue Tracking'!$H$13:$H$27, "&lt;"&amp;AX1)</f>
        <v>0</v>
      </c>
      <c r="AX3" s="107">
        <f>SUMIFS('Revenue Tracking'!$F$13:$F$27, 'Revenue Tracking'!$H$13:$H$27, "&gt;="&amp;AX1,'Revenue Tracking'!$H$13:$H$27, "&lt;"&amp;AY1)</f>
        <v>0</v>
      </c>
      <c r="AY3" s="107">
        <f>SUMIFS('Revenue Tracking'!$F$13:$F$27, 'Revenue Tracking'!$H$13:$H$27, "&gt;="&amp;AY1,'Revenue Tracking'!$H$13:$H$27, "&lt;"&amp;AZ1)</f>
        <v>0</v>
      </c>
      <c r="AZ3" s="107">
        <f>SUMIFS('Revenue Tracking'!$F$13:$F$27, 'Revenue Tracking'!$H$13:$H$27, "&gt;="&amp;AZ1,'Revenue Tracking'!$H$13:$H$27, "&lt;"&amp;BA1)</f>
        <v>0</v>
      </c>
      <c r="BA3" s="107">
        <f>SUMIFS('Revenue Tracking'!$F$13:$F$27, 'Revenue Tracking'!$H$13:$H$27, "&gt;="&amp;BA1,'Revenue Tracking'!$H$13:$H$27, "&lt;"&amp;BB1)</f>
        <v>0</v>
      </c>
      <c r="BB3" s="107">
        <f>SUMIFS('Revenue Tracking'!$F$13:$F$27, 'Revenue Tracking'!$H$13:$H$27, "&gt;="&amp;BB1,'Revenue Tracking'!$H$13:$H$27, "&lt;"&amp;BC1)</f>
        <v>0</v>
      </c>
      <c r="BC3" s="107">
        <f>SUMIFS('Revenue Tracking'!$F$13:$F$27, 'Revenue Tracking'!$H$13:$H$27, "&gt;="&amp;BC1,'Revenue Tracking'!$H$13:$H$27, "&lt;"&amp;BD1)</f>
        <v>0</v>
      </c>
      <c r="BD3" s="107">
        <f>SUMIFS('Revenue Tracking'!$F$13:$F$27, 'Revenue Tracking'!$H$13:$H$27, "&gt;="&amp;BD1,'Revenue Tracking'!$H$13:$H$27, "&lt;"&amp;BE1)</f>
        <v>0</v>
      </c>
      <c r="BE3" s="107">
        <f>SUMIFS('Revenue Tracking'!$F$13:$F$27, 'Revenue Tracking'!$H$13:$H$27, "&gt;="&amp;BE1,'Revenue Tracking'!$H$13:$H$27, "&lt;"&amp;BF1)</f>
        <v>0</v>
      </c>
      <c r="BF3" s="107">
        <f>SUMIFS('Revenue Tracking'!$F$13:$F$27, 'Revenue Tracking'!$H$13:$H$27, "&gt;="&amp;BF1,'Revenue Tracking'!$H$13:$H$27, "&lt;"&amp;BG1)</f>
        <v>0</v>
      </c>
      <c r="BG3" s="107">
        <f>SUMIFS('Revenue Tracking'!$F$13:$F$27, 'Revenue Tracking'!$H$13:$H$27, "&gt;="&amp;BG1,'Revenue Tracking'!$H$13:$H$27, "&lt;"&amp;BH1)</f>
        <v>0</v>
      </c>
      <c r="BH3" s="107">
        <f>SUMIFS('Revenue Tracking'!$F$13:$F$27, 'Revenue Tracking'!$H$13:$H$27, "&gt;="&amp;BH1,'Revenue Tracking'!$H$13:$H$27, "&lt;"&amp;BI1)</f>
        <v>0</v>
      </c>
      <c r="BI3" s="107">
        <f>SUMIFS('Revenue Tracking'!$F$13:$F$27, 'Revenue Tracking'!$H$13:$H$27, "&gt;="&amp;BI1,'Revenue Tracking'!$H$13:$H$27, "&lt;"&amp;BJ1)</f>
        <v>0</v>
      </c>
      <c r="BJ3" s="107">
        <f>SUMIFS('Revenue Tracking'!$F$13:$F$27, 'Revenue Tracking'!$H$13:$H$27, "&gt;="&amp;BJ1,'Revenue Tracking'!$H$13:$H$27, "&lt;"&amp;BK1)</f>
        <v>0</v>
      </c>
      <c r="BK3" s="107">
        <f>SUMIFS('Revenue Tracking'!$F$13:$F$27, 'Revenue Tracking'!$H$13:$H$27, "&gt;="&amp;BK1,'Revenue Tracking'!$H$13:$H$27, "&lt;"&amp;BL1)</f>
        <v>0</v>
      </c>
      <c r="BL3" s="107">
        <f>SUMIFS('Revenue Tracking'!$F$13:$F$27, 'Revenue Tracking'!$H$13:$H$27, "&gt;="&amp;BL1,'Revenue Tracking'!$H$13:$H$27, "&lt;"&amp;BM1)</f>
        <v>0</v>
      </c>
      <c r="BM3" s="107">
        <f>SUMIFS('Revenue Tracking'!$F$13:$F$27, 'Revenue Tracking'!$H$13:$H$27, "&gt;="&amp;BM1,'Revenue Tracking'!$H$13:$H$27, "&lt;"&amp;BN1)</f>
        <v>0</v>
      </c>
      <c r="BN3" s="107">
        <f>SUMIFS('Revenue Tracking'!$F$13:$F$27, 'Revenue Tracking'!$H$13:$H$27, "&gt;="&amp;BN1,'Revenue Tracking'!$H$13:$H$27, "&lt;"&amp;BO1)</f>
        <v>0</v>
      </c>
      <c r="BO3" s="107">
        <f>SUMIFS('Revenue Tracking'!$F$13:$F$27, 'Revenue Tracking'!$H$13:$H$27, "&gt;="&amp;BO1,'Revenue Tracking'!$H$13:$H$27, "&lt;"&amp;BP1)</f>
        <v>0</v>
      </c>
      <c r="BP3" s="107">
        <f>SUMIFS('Revenue Tracking'!$F$13:$F$27, 'Revenue Tracking'!$H$13:$H$27, "&gt;="&amp;BP1,'Revenue Tracking'!$H$13:$H$27, "&lt;"&amp;BQ1)</f>
        <v>0</v>
      </c>
      <c r="BQ3" s="107">
        <f>SUMIFS('Revenue Tracking'!$F$13:$F$27, 'Revenue Tracking'!$H$13:$H$27, "&gt;="&amp;BQ1,'Revenue Tracking'!$H$13:$H$27, "&lt;"&amp;BR1)</f>
        <v>0</v>
      </c>
      <c r="BR3" s="107">
        <f>SUMIFS('Revenue Tracking'!$F$13:$F$27, 'Revenue Tracking'!$H$13:$H$27, "&gt;="&amp;BR1,'Revenue Tracking'!$H$13:$H$27, "&lt;"&amp;BS1)</f>
        <v>0</v>
      </c>
      <c r="BS3" s="107">
        <f>SUMIFS('Revenue Tracking'!$F$13:$F$27, 'Revenue Tracking'!$H$13:$H$27, "&gt;="&amp;BS1,'Revenue Tracking'!$H$13:$H$27, "&lt;"&amp;BT1)</f>
        <v>0</v>
      </c>
      <c r="BT3" s="107">
        <f>SUMIFS('Revenue Tracking'!$F$13:$F$27, 'Revenue Tracking'!$H$13:$H$27, "&gt;="&amp;BT1,'Revenue Tracking'!$H$13:$H$27, "&lt;"&amp;BU1)</f>
        <v>0</v>
      </c>
      <c r="BU3" s="107">
        <f>SUMIFS('Revenue Tracking'!$F$13:$F$27, 'Revenue Tracking'!$H$13:$H$27, "&gt;="&amp;BU1,'Revenue Tracking'!$H$13:$H$27, "&lt;"&amp;BV1)</f>
        <v>0</v>
      </c>
      <c r="BV3" s="107">
        <f>SUMIFS('Revenue Tracking'!$F$13:$F$27, 'Revenue Tracking'!$H$13:$H$27, "&gt;="&amp;BV1,'Revenue Tracking'!$H$13:$H$27, "&lt;"&amp;BW1)</f>
        <v>0</v>
      </c>
      <c r="BW3" s="107">
        <f>SUMIFS('Revenue Tracking'!$F$13:$F$27, 'Revenue Tracking'!$H$13:$H$27, "&gt;="&amp;BW1,'Revenue Tracking'!$H$13:$H$27, "&lt;"&amp;BX1)</f>
        <v>0</v>
      </c>
      <c r="BX3" s="107">
        <f>SUMIFS('Revenue Tracking'!$F$13:$F$27, 'Revenue Tracking'!$H$13:$H$27, "&gt;="&amp;BX1,'Revenue Tracking'!$H$13:$H$27, "&lt;"&amp;BY1)</f>
        <v>0</v>
      </c>
      <c r="BY3" s="107">
        <f>SUMIFS('Revenue Tracking'!$F$13:$F$27, 'Revenue Tracking'!$H$13:$H$27, "&gt;="&amp;BY1,'Revenue Tracking'!$H$13:$H$27, "&lt;"&amp;BZ1)</f>
        <v>0</v>
      </c>
      <c r="BZ3" s="107">
        <f>SUMIFS('Revenue Tracking'!$F$13:$F$27, 'Revenue Tracking'!$H$13:$H$27, "&gt;="&amp;BZ1,'Revenue Tracking'!$H$13:$H$27, "&lt;"&amp;CA1)</f>
        <v>0</v>
      </c>
      <c r="CA3" s="107">
        <f>SUMIFS('Revenue Tracking'!$F$13:$F$27, 'Revenue Tracking'!$H$13:$H$27, "&gt;="&amp;CA1,'Revenue Tracking'!$H$13:$H$27, "&lt;"&amp;CB1)</f>
        <v>0</v>
      </c>
      <c r="CB3" s="107">
        <f>SUMIFS('Revenue Tracking'!$F$13:$F$27, 'Revenue Tracking'!$H$13:$H$27, "&gt;="&amp;CB1,'Revenue Tracking'!$H$13:$H$27, "&lt;"&amp;CC1)</f>
        <v>0</v>
      </c>
      <c r="CC3" s="107">
        <f>SUMIFS('Revenue Tracking'!$F$13:$F$27, 'Revenue Tracking'!$H$13:$H$27, "&gt;="&amp;CC1,'Revenue Tracking'!$H$13:$H$27, "&lt;"&amp;CD1)</f>
        <v>0</v>
      </c>
      <c r="CD3" s="107">
        <f>SUMIFS('Revenue Tracking'!$F$13:$F$27, 'Revenue Tracking'!$H$13:$H$27, "&gt;="&amp;CD1,'Revenue Tracking'!$H$13:$H$27, "&lt;"&amp;CE1)</f>
        <v>0</v>
      </c>
      <c r="CE3" s="107">
        <f>SUMIFS('Revenue Tracking'!$F$13:$F$27, 'Revenue Tracking'!$H$13:$H$27, "&gt;="&amp;CE1,'Revenue Tracking'!$H$13:$H$27, "&lt;"&amp;CF1)</f>
        <v>0</v>
      </c>
      <c r="CF3" s="107">
        <f>SUMIFS('Revenue Tracking'!$F$13:$F$27, 'Revenue Tracking'!$H$13:$H$27, "&gt;="&amp;CF1,'Revenue Tracking'!$H$13:$H$27, "&lt;"&amp;CG1)</f>
        <v>0</v>
      </c>
      <c r="CG3" s="107">
        <f>SUMIFS('Revenue Tracking'!$F$13:$F$27, 'Revenue Tracking'!$H$13:$H$27, "&gt;="&amp;CG1,'Revenue Tracking'!$H$13:$H$27, "&lt;"&amp;CH1)</f>
        <v>0</v>
      </c>
      <c r="CH3" s="107">
        <f>SUMIFS('Revenue Tracking'!$F$13:$F$27, 'Revenue Tracking'!$H$13:$H$27, "&gt;="&amp;CH1,'Revenue Tracking'!$H$13:$H$27, "&lt;"&amp;CI1)</f>
        <v>0</v>
      </c>
      <c r="CI3" s="107">
        <f>SUMIFS('Revenue Tracking'!$F$13:$F$27, 'Revenue Tracking'!$H$13:$H$27, "&gt;="&amp;CI1,'Revenue Tracking'!$H$13:$H$27, "&lt;"&amp;CJ1)</f>
        <v>0</v>
      </c>
      <c r="CJ3" s="107">
        <f>SUMIFS('Revenue Tracking'!$F$13:$F$27, 'Revenue Tracking'!$H$13:$H$27, "&gt;="&amp;CJ1,'Revenue Tracking'!$H$13:$H$27, "&lt;"&amp;CK1)</f>
        <v>0</v>
      </c>
      <c r="CK3" s="107">
        <f>SUMIFS('Revenue Tracking'!$F$13:$F$27, 'Revenue Tracking'!$H$13:$H$27, "&gt;="&amp;CK1,'Revenue Tracking'!$H$13:$H$27, "&lt;"&amp;CL1)</f>
        <v>0</v>
      </c>
      <c r="CL3" s="107">
        <f>SUMIFS('Revenue Tracking'!$F$13:$F$27, 'Revenue Tracking'!$H$13:$H$27, "&gt;="&amp;CL1,'Revenue Tracking'!$H$13:$H$27, "&lt;"&amp;CM1)</f>
        <v>0</v>
      </c>
      <c r="CM3" s="107">
        <f>SUMIFS('Revenue Tracking'!$F$13:$F$27, 'Revenue Tracking'!$H$13:$H$27, "&gt;="&amp;CM1,'Revenue Tracking'!$H$13:$H$27, "&lt;"&amp;CN1)</f>
        <v>0</v>
      </c>
      <c r="CN3" s="107">
        <f>SUMIFS('Revenue Tracking'!$F$13:$F$27, 'Revenue Tracking'!$H$13:$H$27, "&gt;="&amp;CN1,'Revenue Tracking'!$H$13:$H$27, "&lt;"&amp;CO1)</f>
        <v>0</v>
      </c>
      <c r="CO3" s="107">
        <f>SUMIFS('Revenue Tracking'!$F$13:$F$27, 'Revenue Tracking'!$H$13:$H$27, "&gt;="&amp;CO1,'Revenue Tracking'!$H$13:$H$27, "&lt;"&amp;CP1)</f>
        <v>0</v>
      </c>
      <c r="CP3" s="107">
        <f>SUMIFS('Revenue Tracking'!$F$13:$F$27, 'Revenue Tracking'!$H$13:$H$27, "&gt;="&amp;CP1,'Revenue Tracking'!$H$13:$H$27, "&lt;"&amp;CQ1)</f>
        <v>0</v>
      </c>
      <c r="CQ3" s="107">
        <f>SUMIFS('Revenue Tracking'!$F$13:$F$27, 'Revenue Tracking'!$H$13:$H$27, "&gt;="&amp;CQ1,'Revenue Tracking'!$H$13:$H$27, "&lt;"&amp;CR1)</f>
        <v>0</v>
      </c>
      <c r="CR3" s="107">
        <f>SUMIFS('Revenue Tracking'!$F$13:$F$27, 'Revenue Tracking'!$H$13:$H$27, "&gt;="&amp;CR1,'Revenue Tracking'!$H$13:$H$27, "&lt;"&amp;CS1)</f>
        <v>0</v>
      </c>
      <c r="CS3" s="107">
        <f>SUMIFS('Revenue Tracking'!$F$13:$F$27, 'Revenue Tracking'!$H$13:$H$27, "&gt;="&amp;CS1,'Revenue Tracking'!$H$13:$H$27, "&lt;"&amp;CT1)</f>
        <v>0</v>
      </c>
      <c r="CT3" s="107">
        <f>SUMIFS('Revenue Tracking'!$F$13:$F$27, 'Revenue Tracking'!$H$13:$H$27, "&gt;="&amp;CT1,'Revenue Tracking'!$H$13:$H$27, "&lt;"&amp;CU1)</f>
        <v>0</v>
      </c>
      <c r="CU3" s="107">
        <f>SUMIFS('Revenue Tracking'!$F$13:$F$27, 'Revenue Tracking'!$H$13:$H$27, "&gt;="&amp;CU1,'Revenue Tracking'!$H$13:$H$27, "&lt;"&amp;CV1)</f>
        <v>0</v>
      </c>
      <c r="CV3" s="107">
        <f>SUMIFS('Revenue Tracking'!$F$13:$F$27, 'Revenue Tracking'!$H$13:$H$27, "&gt;="&amp;CV1,'Revenue Tracking'!$H$13:$H$27, "&lt;"&amp;CW1)</f>
        <v>0</v>
      </c>
      <c r="CW3" s="107">
        <f>SUMIFS('Revenue Tracking'!$F$13:$F$27, 'Revenue Tracking'!$H$13:$H$27, "&gt;="&amp;CW1,'Revenue Tracking'!$H$13:$H$27, "&lt;"&amp;CX1)</f>
        <v>0</v>
      </c>
      <c r="CX3" s="107">
        <f>SUMIFS('Revenue Tracking'!$F$13:$F$27, 'Revenue Tracking'!$H$13:$H$27, "&gt;="&amp;CX1,'Revenue Tracking'!$H$13:$H$27, "&lt;"&amp;CY1)</f>
        <v>0</v>
      </c>
      <c r="CY3" s="107">
        <f>SUMIFS('Revenue Tracking'!$F$13:$F$27, 'Revenue Tracking'!$H$13:$H$27, "&gt;="&amp;CY1,'Revenue Tracking'!$H$13:$H$27, "&lt;"&amp;CZ1)</f>
        <v>0</v>
      </c>
      <c r="CZ3" s="107">
        <f>SUMIFS('Revenue Tracking'!$F$13:$F$27, 'Revenue Tracking'!$H$13:$H$27, "&gt;="&amp;CZ1,'Revenue Tracking'!$H$13:$H$27, "&lt;"&amp;DA1)</f>
        <v>0</v>
      </c>
      <c r="DA3" s="107">
        <f>SUMIFS('Revenue Tracking'!$F$13:$F$27, 'Revenue Tracking'!$H$13:$H$27, "&gt;="&amp;DA1,'Revenue Tracking'!$H$13:$H$27, "&lt;"&amp;DB1)</f>
        <v>0</v>
      </c>
      <c r="DB3" s="107">
        <f>SUMIFS('Revenue Tracking'!$F$13:$F$27, 'Revenue Tracking'!$H$13:$H$27, "&gt;="&amp;DB1,'Revenue Tracking'!$H$13:$H$27, "&lt;"&amp;DC1)</f>
        <v>0</v>
      </c>
      <c r="DC3" s="107">
        <f>SUMIFS('Revenue Tracking'!$F$13:$F$27, 'Revenue Tracking'!$H$13:$H$27, "&gt;="&amp;DC1,'Revenue Tracking'!$H$13:$H$27, "&lt;"&amp;DD1)</f>
        <v>0</v>
      </c>
      <c r="DD3" s="107">
        <f>SUMIFS('Revenue Tracking'!$F$13:$F$27, 'Revenue Tracking'!$H$13:$H$27, "&gt;="&amp;DD1,'Revenue Tracking'!$H$13:$H$27, "&lt;"&amp;DE1)</f>
        <v>0</v>
      </c>
      <c r="DE3" s="107">
        <f>SUMIFS('Revenue Tracking'!$F$13:$F$27, 'Revenue Tracking'!$H$13:$H$27, "&gt;="&amp;DE1,'Revenue Tracking'!$H$13:$H$27, "&lt;"&amp;DF1)</f>
        <v>0</v>
      </c>
      <c r="DF3" s="107">
        <f>SUMIFS('Revenue Tracking'!$F$13:$F$27, 'Revenue Tracking'!$H$13:$H$27, "&gt;="&amp;DF1,'Revenue Tracking'!$H$13:$H$27, "&lt;"&amp;DG1)</f>
        <v>0</v>
      </c>
      <c r="DG3" s="107">
        <f>SUMIFS('Revenue Tracking'!$F$13:$F$27, 'Revenue Tracking'!$H$13:$H$27, "&gt;="&amp;DG1,'Revenue Tracking'!$H$13:$H$27, "&lt;"&amp;DH1)</f>
        <v>0</v>
      </c>
      <c r="DH3" s="107">
        <f>SUMIFS('Revenue Tracking'!$F$13:$F$27, 'Revenue Tracking'!$H$13:$H$27, "&gt;="&amp;DH1,'Revenue Tracking'!$H$13:$H$27, "&lt;"&amp;DI1)</f>
        <v>0</v>
      </c>
      <c r="DI3" s="107">
        <f>SUMIFS('Revenue Tracking'!$F$13:$F$27, 'Revenue Tracking'!$H$13:$H$27, "&gt;="&amp;DI1,'Revenue Tracking'!$H$13:$H$27, "&lt;"&amp;DJ1)</f>
        <v>0</v>
      </c>
      <c r="DJ3" s="107">
        <f>SUMIFS('Revenue Tracking'!$F$13:$F$27, 'Revenue Tracking'!$H$13:$H$27, "&gt;="&amp;DJ1,'Revenue Tracking'!$H$13:$H$27, "&lt;"&amp;DK1)</f>
        <v>0</v>
      </c>
      <c r="DK3" s="107">
        <f>SUMIFS('Revenue Tracking'!$F$13:$F$27, 'Revenue Tracking'!$H$13:$H$27, "&gt;="&amp;DK1,'Revenue Tracking'!$H$13:$H$27, "&lt;"&amp;DL1)</f>
        <v>0</v>
      </c>
      <c r="DL3" s="107">
        <f>SUMIFS('Revenue Tracking'!$F$13:$F$27, 'Revenue Tracking'!$H$13:$H$27, "&gt;="&amp;DL1,'Revenue Tracking'!$H$13:$H$27, "&lt;"&amp;DM1)</f>
        <v>0</v>
      </c>
      <c r="DM3" s="107">
        <f>SUMIFS('Revenue Tracking'!$F$13:$F$27, 'Revenue Tracking'!$H$13:$H$27, "&gt;="&amp;DM1,'Revenue Tracking'!$H$13:$H$27, "&lt;"&amp;DN1)</f>
        <v>0</v>
      </c>
      <c r="DN3" s="107">
        <f>SUMIFS('Revenue Tracking'!$F$13:$F$27, 'Revenue Tracking'!$H$13:$H$27, "&gt;="&amp;DN1,'Revenue Tracking'!$H$13:$H$27, "&lt;"&amp;DO1)</f>
        <v>0</v>
      </c>
      <c r="DO3" s="107">
        <f>SUMIFS('Revenue Tracking'!$F$13:$F$27, 'Revenue Tracking'!$H$13:$H$27, "&gt;="&amp;DO1,'Revenue Tracking'!$H$13:$H$27, "&lt;"&amp;DP1)</f>
        <v>0</v>
      </c>
      <c r="DP3" s="107">
        <f>SUMIFS('Revenue Tracking'!$F$13:$F$27, 'Revenue Tracking'!$H$13:$H$27, "&gt;="&amp;DP1,'Revenue Tracking'!$H$13:$H$27, "&lt;"&amp;DQ1)</f>
        <v>0</v>
      </c>
      <c r="DQ3" s="107">
        <f>SUMIFS('Revenue Tracking'!$F$13:$F$27, 'Revenue Tracking'!$H$13:$H$27, "&gt;="&amp;DQ1,'Revenue Tracking'!$H$13:$H$27, "&lt;"&amp;DR1)</f>
        <v>0</v>
      </c>
      <c r="DR3" s="107">
        <f>SUMIFS('Revenue Tracking'!$F$13:$F$27, 'Revenue Tracking'!$H$13:$H$27, "&gt;="&amp;DR1,'Revenue Tracking'!$H$13:$H$27, "&lt;"&amp;DS1)</f>
        <v>0</v>
      </c>
      <c r="DS3" s="107">
        <f>SUMIFS('Revenue Tracking'!$F$13:$F$27, 'Revenue Tracking'!$H$13:$H$27, "&gt;="&amp;DS1,'Revenue Tracking'!$H$13:$H$27, "&lt;"&amp;DT1)</f>
        <v>0</v>
      </c>
      <c r="DT3" s="107">
        <f>SUMIFS('Revenue Tracking'!$F$13:$F$27, 'Revenue Tracking'!$H$13:$H$27, "&gt;="&amp;DT1,'Revenue Tracking'!$H$13:$H$27, "&lt;"&amp;DU1)</f>
        <v>0</v>
      </c>
      <c r="DU3" s="107">
        <f>SUMIFS('Revenue Tracking'!$F$13:$F$27, 'Revenue Tracking'!$H$13:$H$27, "&gt;="&amp;DU1,'Revenue Tracking'!$H$13:$H$27, "&lt;"&amp;DV1)</f>
        <v>0</v>
      </c>
      <c r="DV3" s="107">
        <f>SUMIFS('Revenue Tracking'!$F$13:$F$27, 'Revenue Tracking'!$H$13:$H$27, "&gt;="&amp;DV1,'Revenue Tracking'!$H$13:$H$27, "&lt;"&amp;DW1)</f>
        <v>0</v>
      </c>
      <c r="DW3" s="107">
        <f>SUMIFS('Revenue Tracking'!$F$13:$F$27, 'Revenue Tracking'!$H$13:$H$27, "&gt;="&amp;DW1,'Revenue Tracking'!$H$13:$H$27, "&lt;"&amp;DX1)</f>
        <v>0</v>
      </c>
      <c r="DX3" s="107">
        <f>SUMIFS('Revenue Tracking'!$F$13:$F$27, 'Revenue Tracking'!$H$13:$H$27, "&gt;="&amp;DX1,'Revenue Tracking'!$H$13:$H$27, "&lt;"&amp;DY1)</f>
        <v>0</v>
      </c>
      <c r="DY3" s="107">
        <f>SUMIFS('Revenue Tracking'!$F$13:$F$27, 'Revenue Tracking'!$H$13:$H$27, "&gt;="&amp;DY1,'Revenue Tracking'!$H$13:$H$27, "&lt;"&amp;DZ1)</f>
        <v>0</v>
      </c>
      <c r="DZ3" s="107">
        <f>SUMIFS('Revenue Tracking'!$F$13:$F$27, 'Revenue Tracking'!$H$13:$H$27, "&gt;="&amp;DZ1,'Revenue Tracking'!$H$13:$H$27, "&lt;"&amp;EA1)</f>
        <v>0</v>
      </c>
      <c r="EA3" s="107">
        <f>SUMIFS('Revenue Tracking'!$F$13:$F$27, 'Revenue Tracking'!$H$13:$H$27, "&gt;="&amp;EA1,'Revenue Tracking'!$H$13:$H$27, "&lt;"&amp;EB1)</f>
        <v>0</v>
      </c>
      <c r="EB3" s="107">
        <f>SUMIFS('Revenue Tracking'!$F$13:$F$27, 'Revenue Tracking'!$H$13:$H$27, "&gt;="&amp;EB1,'Revenue Tracking'!$H$13:$H$27, "&lt;"&amp;EC1)</f>
        <v>0</v>
      </c>
      <c r="EC3" s="107">
        <f>SUMIFS('Revenue Tracking'!$F$13:$F$27, 'Revenue Tracking'!$H$13:$H$27, "&gt;="&amp;EC1,'Revenue Tracking'!$H$13:$H$27, "&lt;"&amp;ED1)</f>
        <v>0</v>
      </c>
      <c r="ED3" s="107">
        <f>SUMIFS('Revenue Tracking'!$F$13:$F$27, 'Revenue Tracking'!$H$13:$H$27, "&gt;="&amp;ED1,'Revenue Tracking'!$H$13:$H$27, "&lt;"&amp;EE1)</f>
        <v>0</v>
      </c>
      <c r="EE3" s="107">
        <f>SUMIFS('Revenue Tracking'!$F$13:$F$27, 'Revenue Tracking'!$H$13:$H$27, "&gt;="&amp;EE1,'Revenue Tracking'!$H$13:$H$27, "&lt;"&amp;EF1)</f>
        <v>0</v>
      </c>
      <c r="EF3" s="107">
        <f>SUMIFS('Revenue Tracking'!$F$13:$F$27, 'Revenue Tracking'!$H$13:$H$27, "&gt;="&amp;EF1,'Revenue Tracking'!$H$13:$H$27, "&lt;"&amp;EG1)</f>
        <v>0</v>
      </c>
      <c r="EG3" s="107">
        <f>SUMIFS('Revenue Tracking'!$F$13:$F$27, 'Revenue Tracking'!$H$13:$H$27, "&gt;="&amp;EG1,'Revenue Tracking'!$H$13:$H$27, "&lt;"&amp;EH1)</f>
        <v>0</v>
      </c>
      <c r="EH3" s="107">
        <f>SUMIFS('Revenue Tracking'!$F$13:$F$27, 'Revenue Tracking'!$H$13:$H$27, "&gt;="&amp;EH1,'Revenue Tracking'!$H$13:$H$27, "&lt;"&amp;EI1)</f>
        <v>0</v>
      </c>
      <c r="EI3" s="107">
        <f>SUMIFS('Revenue Tracking'!$F$13:$F$27, 'Revenue Tracking'!$H$13:$H$27, "&gt;="&amp;EI1,'Revenue Tracking'!$H$13:$H$27, "&lt;"&amp;EJ1)</f>
        <v>0</v>
      </c>
      <c r="EJ3" s="107">
        <f>SUMIFS('Revenue Tracking'!$F$13:$F$27, 'Revenue Tracking'!$H$13:$H$27, "&gt;="&amp;EJ1,'Revenue Tracking'!$H$13:$H$27, "&lt;"&amp;EK1)</f>
        <v>0</v>
      </c>
      <c r="EK3" s="107">
        <f>SUMIFS('Revenue Tracking'!$F$13:$F$27, 'Revenue Tracking'!$H$13:$H$27, "&gt;="&amp;EK1,'Revenue Tracking'!$H$13:$H$27, "&lt;"&amp;EL1)</f>
        <v>0</v>
      </c>
      <c r="EL3" s="107">
        <f>SUMIFS('Revenue Tracking'!$F$13:$F$27, 'Revenue Tracking'!$H$13:$H$27, "&gt;="&amp;EL1,'Revenue Tracking'!$H$13:$H$27, "&lt;"&amp;EM1)</f>
        <v>0</v>
      </c>
      <c r="EM3" s="107">
        <f>SUMIFS('Revenue Tracking'!$F$13:$F$27, 'Revenue Tracking'!$H$13:$H$27, "&gt;="&amp;EM1,'Revenue Tracking'!$H$13:$H$27, "&lt;"&amp;EN1)</f>
        <v>0</v>
      </c>
      <c r="EN3" s="107">
        <f>SUMIFS('Revenue Tracking'!$F$13:$F$27, 'Revenue Tracking'!$H$13:$H$27, "&gt;="&amp;EN1,'Revenue Tracking'!$H$13:$H$27, "&lt;"&amp;EO1)</f>
        <v>0</v>
      </c>
      <c r="EO3" s="107">
        <f>SUMIFS('Revenue Tracking'!$F$13:$F$27, 'Revenue Tracking'!$H$13:$H$27, "&gt;="&amp;EO1,'Revenue Tracking'!$H$13:$H$27, "&lt;"&amp;EP1)</f>
        <v>0</v>
      </c>
      <c r="EP3" s="107">
        <f>SUMIFS('Revenue Tracking'!$F$13:$F$27, 'Revenue Tracking'!$H$13:$H$27, "&gt;="&amp;EP1,'Revenue Tracking'!$H$13:$H$27, "&lt;"&amp;EQ1)</f>
        <v>0</v>
      </c>
      <c r="EQ3" s="107">
        <f>SUMIFS('Revenue Tracking'!$F$13:$F$27, 'Revenue Tracking'!$H$13:$H$27, "&gt;="&amp;EQ1,'Revenue Tracking'!$H$13:$H$27, "&lt;"&amp;ER1)</f>
        <v>0</v>
      </c>
      <c r="ER3" s="107">
        <f>SUMIFS('Revenue Tracking'!$F$13:$F$27, 'Revenue Tracking'!$H$13:$H$27, "&gt;="&amp;ER1,'Revenue Tracking'!$H$13:$H$27, "&lt;"&amp;ES1)</f>
        <v>0</v>
      </c>
      <c r="ES3" s="107">
        <f>SUMIFS('Revenue Tracking'!$F$13:$F$27, 'Revenue Tracking'!$H$13:$H$27, "&gt;="&amp;ES1,'Revenue Tracking'!$H$13:$H$27, "&lt;"&amp;ET1)</f>
        <v>0</v>
      </c>
      <c r="ET3" s="107">
        <f>SUMIFS('Revenue Tracking'!$F$13:$F$27, 'Revenue Tracking'!$H$13:$H$27, "&gt;="&amp;ET1,'Revenue Tracking'!$H$13:$H$27, "&lt;"&amp;EU1)</f>
        <v>0</v>
      </c>
      <c r="EU3" s="107">
        <f>SUMIFS('Revenue Tracking'!$F$13:$F$27, 'Revenue Tracking'!$H$13:$H$27, "&gt;="&amp;EU1,'Revenue Tracking'!$H$13:$H$27, "&lt;"&amp;EV1)</f>
        <v>0</v>
      </c>
      <c r="EV3" s="107">
        <f>SUMIFS('Revenue Tracking'!$F$13:$F$27, 'Revenue Tracking'!$H$13:$H$27, "&gt;="&amp;EV1,'Revenue Tracking'!$H$13:$H$27, "&lt;"&amp;EW1)</f>
        <v>0</v>
      </c>
      <c r="EW3" s="107">
        <f>SUMIFS('Revenue Tracking'!$F$13:$F$27, 'Revenue Tracking'!$H$13:$H$27, "&gt;="&amp;EW1,'Revenue Tracking'!$H$13:$H$27, "&lt;"&amp;EX1)</f>
        <v>0</v>
      </c>
      <c r="EX3" s="107">
        <f>SUMIFS('Revenue Tracking'!$F$13:$F$27, 'Revenue Tracking'!$H$13:$H$27, "&gt;="&amp;EX1,'Revenue Tracking'!$H$13:$H$27, "&lt;"&amp;EY1)</f>
        <v>0</v>
      </c>
      <c r="EY3" s="107">
        <f>SUMIFS('Revenue Tracking'!$F$13:$F$27, 'Revenue Tracking'!$H$13:$H$27, "&gt;="&amp;EY1,'Revenue Tracking'!$H$13:$H$27, "&lt;"&amp;EZ1)</f>
        <v>0</v>
      </c>
      <c r="EZ3" s="107">
        <f>SUMIFS('Revenue Tracking'!$F$13:$F$27, 'Revenue Tracking'!$H$13:$H$27, "&gt;="&amp;EZ1,'Revenue Tracking'!$H$13:$H$27, "&lt;"&amp;FA1)</f>
        <v>0</v>
      </c>
      <c r="FA3" s="107">
        <f>SUMIFS('Revenue Tracking'!$F$13:$F$27, 'Revenue Tracking'!$H$13:$H$27, "&gt;="&amp;FA1,'Revenue Tracking'!$H$13:$H$27, "&lt;"&amp;FB1)</f>
        <v>0</v>
      </c>
      <c r="FB3" s="107">
        <f>SUMIFS('Revenue Tracking'!$F$13:$F$27, 'Revenue Tracking'!$H$13:$H$27, "&gt;="&amp;FB1,'Revenue Tracking'!$H$13:$H$27, "&lt;"&amp;FC1)</f>
        <v>0</v>
      </c>
      <c r="FC3" s="107">
        <f>SUMIFS('Revenue Tracking'!$F$13:$F$27, 'Revenue Tracking'!$H$13:$H$27, "&gt;="&amp;FC1,'Revenue Tracking'!$H$13:$H$27, "&lt;"&amp;FD1)</f>
        <v>0</v>
      </c>
      <c r="FD3" s="107">
        <f>SUMIFS('Revenue Tracking'!$F$13:$F$27, 'Revenue Tracking'!$H$13:$H$27, "&gt;="&amp;FD1,'Revenue Tracking'!$H$13:$H$27, "&lt;"&amp;FE1)</f>
        <v>0</v>
      </c>
      <c r="FE3" s="107">
        <f>SUMIFS('Revenue Tracking'!$F$13:$F$27, 'Revenue Tracking'!$H$13:$H$27, "&gt;="&amp;FE1,'Revenue Tracking'!$H$13:$H$27, "&lt;"&amp;FF1)</f>
        <v>0</v>
      </c>
      <c r="FF3" s="107">
        <f>SUMIFS('Revenue Tracking'!$F$13:$F$27, 'Revenue Tracking'!$H$13:$H$27, "&gt;="&amp;FF1,'Revenue Tracking'!$H$13:$H$27, "&lt;"&amp;FG1)</f>
        <v>0</v>
      </c>
      <c r="FG3" s="107">
        <f>SUMIFS('Revenue Tracking'!$F$13:$F$27, 'Revenue Tracking'!$H$13:$H$27, "&gt;="&amp;FG1,'Revenue Tracking'!$H$13:$H$27, "&lt;"&amp;FH1)</f>
        <v>0</v>
      </c>
      <c r="FH3" s="107">
        <f>SUMIFS('Revenue Tracking'!$F$13:$F$27, 'Revenue Tracking'!$H$13:$H$27, "&gt;="&amp;FH1,'Revenue Tracking'!$H$13:$H$27, "&lt;"&amp;FI1)</f>
        <v>0</v>
      </c>
      <c r="FI3" s="107">
        <f>SUMIFS('Revenue Tracking'!$F$13:$F$27, 'Revenue Tracking'!$H$13:$H$27, "&gt;="&amp;FI1,'Revenue Tracking'!$H$13:$H$27, "&lt;"&amp;FJ1)</f>
        <v>0</v>
      </c>
      <c r="FJ3" s="107">
        <f>SUMIFS('Revenue Tracking'!$F$13:$F$27, 'Revenue Tracking'!$H$13:$H$27, "&gt;="&amp;FJ1,'Revenue Tracking'!$H$13:$H$27, "&lt;"&amp;FK1)</f>
        <v>0</v>
      </c>
      <c r="FK3" s="107">
        <f>SUMIFS('Revenue Tracking'!$F$13:$F$27, 'Revenue Tracking'!$H$13:$H$27, "&gt;="&amp;FK1,'Revenue Tracking'!$H$13:$H$27, "&lt;"&amp;FL1)</f>
        <v>0</v>
      </c>
      <c r="FL3" s="107">
        <f>SUMIFS('Revenue Tracking'!$F$13:$F$27, 'Revenue Tracking'!$H$13:$H$27, "&gt;="&amp;FL1,'Revenue Tracking'!$H$13:$H$27, "&lt;"&amp;FM1)</f>
        <v>0</v>
      </c>
      <c r="FM3" s="107">
        <f>SUMIFS('Revenue Tracking'!$F$13:$F$27, 'Revenue Tracking'!$H$13:$H$27, "&gt;="&amp;FM1,'Revenue Tracking'!$H$13:$H$27, "&lt;"&amp;FN1)</f>
        <v>0</v>
      </c>
      <c r="FN3" s="107">
        <f>SUMIFS('Revenue Tracking'!$F$13:$F$27, 'Revenue Tracking'!$H$13:$H$27, "&gt;="&amp;FN1,'Revenue Tracking'!$H$13:$H$27, "&lt;"&amp;FO1)</f>
        <v>0</v>
      </c>
      <c r="FO3" s="107">
        <f>SUMIFS('Revenue Tracking'!$F$13:$F$27, 'Revenue Tracking'!$H$13:$H$27, "&gt;="&amp;FO1,'Revenue Tracking'!$H$13:$H$27, "&lt;"&amp;FP1)</f>
        <v>0</v>
      </c>
      <c r="FP3" s="107">
        <f>SUMIFS('Revenue Tracking'!$F$13:$F$27, 'Revenue Tracking'!$H$13:$H$27, "&gt;="&amp;FP1,'Revenue Tracking'!$H$13:$H$27, "&lt;"&amp;FQ1)</f>
        <v>0</v>
      </c>
      <c r="FQ3" s="107">
        <f>SUMIFS('Revenue Tracking'!$F$13:$F$27, 'Revenue Tracking'!$H$13:$H$27, "&gt;="&amp;FQ1,'Revenue Tracking'!$H$13:$H$27, "&lt;"&amp;FR1)</f>
        <v>0</v>
      </c>
      <c r="FR3" s="107">
        <f>SUMIFS('Revenue Tracking'!$F$13:$F$27, 'Revenue Tracking'!$H$13:$H$27, "&gt;="&amp;FR1,'Revenue Tracking'!$H$13:$H$27, "&lt;"&amp;FS1)</f>
        <v>0</v>
      </c>
      <c r="FS3" s="107">
        <f>SUMIFS('Revenue Tracking'!$F$13:$F$27, 'Revenue Tracking'!$H$13:$H$27, "&gt;="&amp;FS1,'Revenue Tracking'!$H$13:$H$27, "&lt;"&amp;FT1)</f>
        <v>0</v>
      </c>
      <c r="FT3" s="107">
        <f>SUMIFS('Revenue Tracking'!$F$13:$F$27, 'Revenue Tracking'!$H$13:$H$27, "&gt;="&amp;FT1,'Revenue Tracking'!$H$13:$H$27, "&lt;"&amp;FU1)</f>
        <v>0</v>
      </c>
      <c r="FU3" s="107">
        <f>SUMIFS('Revenue Tracking'!$F$13:$F$27, 'Revenue Tracking'!$H$13:$H$27, "&gt;="&amp;FU1,'Revenue Tracking'!$H$13:$H$27, "&lt;"&amp;FV1)</f>
        <v>0</v>
      </c>
      <c r="FV3" s="107">
        <f>SUMIFS('Revenue Tracking'!$F$13:$F$27, 'Revenue Tracking'!$H$13:$H$27, "&gt;="&amp;FV1,'Revenue Tracking'!$H$13:$H$27, "&lt;"&amp;FW1)</f>
        <v>0</v>
      </c>
      <c r="FW3" s="107">
        <f>SUMIFS('Revenue Tracking'!$F$13:$F$27, 'Revenue Tracking'!$H$13:$H$27, "&gt;="&amp;FW1,'Revenue Tracking'!$H$13:$H$27, "&lt;"&amp;FX1)</f>
        <v>0</v>
      </c>
      <c r="FX3" s="107">
        <f>SUMIFS('Revenue Tracking'!$F$13:$F$27, 'Revenue Tracking'!$H$13:$H$27, "&gt;="&amp;FX1,'Revenue Tracking'!$H$13:$H$27, "&lt;"&amp;FY1)</f>
        <v>0</v>
      </c>
      <c r="FY3" s="107">
        <f>SUMIFS('Revenue Tracking'!$F$13:$F$27, 'Revenue Tracking'!$H$13:$H$27, "&gt;="&amp;FY1,'Revenue Tracking'!$H$13:$H$27, "&lt;"&amp;FZ1)</f>
        <v>0</v>
      </c>
      <c r="FZ3" s="107">
        <f>SUMIFS('Revenue Tracking'!$F$13:$F$27, 'Revenue Tracking'!$H$13:$H$27, "&gt;="&amp;FZ1,'Revenue Tracking'!$H$13:$H$27, "&lt;"&amp;GA1)</f>
        <v>0</v>
      </c>
      <c r="GA3" s="107">
        <f>SUMIFS('Revenue Tracking'!$F$13:$F$27, 'Revenue Tracking'!$H$13:$H$27, "&gt;="&amp;GA1,'Revenue Tracking'!$H$13:$H$27, "&lt;"&amp;GB1)</f>
        <v>0</v>
      </c>
      <c r="GB3" s="107">
        <f>SUMIFS('Revenue Tracking'!$F$13:$F$27, 'Revenue Tracking'!$H$13:$H$27, "&gt;="&amp;GB1,'Revenue Tracking'!$H$13:$H$27, "&lt;"&amp;GC1)</f>
        <v>0</v>
      </c>
      <c r="GC3" s="107">
        <f>SUMIFS('Revenue Tracking'!$F$13:$F$27, 'Revenue Tracking'!$H$13:$H$27, "&gt;="&amp;GC1,'Revenue Tracking'!$H$13:$H$27, "&lt;"&amp;GD1)</f>
        <v>0</v>
      </c>
      <c r="GD3" s="107">
        <f>SUMIFS('Revenue Tracking'!$F$13:$F$27, 'Revenue Tracking'!$H$13:$H$27, "&gt;="&amp;GD1,'Revenue Tracking'!$H$13:$H$27, "&lt;"&amp;GE1)</f>
        <v>0</v>
      </c>
      <c r="GE3" s="107">
        <f>SUMIFS('Revenue Tracking'!$F$13:$F$27, 'Revenue Tracking'!$H$13:$H$27, "&gt;="&amp;GE1,'Revenue Tracking'!$H$13:$H$27, "&lt;"&amp;GF1)</f>
        <v>0</v>
      </c>
      <c r="GF3" s="107">
        <f>SUMIFS('Revenue Tracking'!$F$13:$F$27, 'Revenue Tracking'!$H$13:$H$27, "&gt;="&amp;GF1,'Revenue Tracking'!$H$13:$H$27, "&lt;"&amp;GG1)</f>
        <v>0</v>
      </c>
      <c r="GG3" s="107">
        <f>SUMIFS('Revenue Tracking'!$F$13:$F$27, 'Revenue Tracking'!$H$13:$H$27, "&gt;="&amp;GG1,'Revenue Tracking'!$H$13:$H$27, "&lt;"&amp;GH1)</f>
        <v>0</v>
      </c>
      <c r="GH3" s="107">
        <f>SUMIFS('Revenue Tracking'!$F$13:$F$27, 'Revenue Tracking'!$H$13:$H$27, "&gt;="&amp;GH1,'Revenue Tracking'!$H$13:$H$27, "&lt;"&amp;GI1)</f>
        <v>0</v>
      </c>
      <c r="GI3" s="107">
        <f>SUMIFS('Revenue Tracking'!$F$13:$F$27, 'Revenue Tracking'!$H$13:$H$27, "&gt;="&amp;GI1,'Revenue Tracking'!$H$13:$H$27, "&lt;"&amp;GJ1)</f>
        <v>0</v>
      </c>
      <c r="GJ3" s="107">
        <f>SUMIFS('Revenue Tracking'!$F$13:$F$27, 'Revenue Tracking'!$H$13:$H$27, "&gt;="&amp;GJ1,'Revenue Tracking'!$H$13:$H$27, "&lt;"&amp;GK1)</f>
        <v>0</v>
      </c>
      <c r="GK3" s="107">
        <f>SUMIFS('Revenue Tracking'!$F$13:$F$27, 'Revenue Tracking'!$H$13:$H$27, "&gt;="&amp;GK1,'Revenue Tracking'!$H$13:$H$27, "&lt;"&amp;GL1)</f>
        <v>0</v>
      </c>
      <c r="GL3" s="107">
        <f>SUMIFS('Revenue Tracking'!$F$13:$F$27, 'Revenue Tracking'!$H$13:$H$27, "&gt;="&amp;GL1,'Revenue Tracking'!$H$13:$H$27, "&lt;"&amp;GM1)</f>
        <v>0</v>
      </c>
      <c r="GM3" s="107">
        <f>SUMIFS('Revenue Tracking'!$F$13:$F$27, 'Revenue Tracking'!$H$13:$H$27, "&gt;="&amp;GM1,'Revenue Tracking'!$H$13:$H$27, "&lt;"&amp;GN1)</f>
        <v>0</v>
      </c>
      <c r="GN3" s="107">
        <f>SUMIFS('Revenue Tracking'!$F$13:$F$27, 'Revenue Tracking'!$H$13:$H$27, "&gt;="&amp;GN1,'Revenue Tracking'!$H$13:$H$27, "&lt;"&amp;GO1)</f>
        <v>0</v>
      </c>
      <c r="GO3" s="107">
        <f>SUMIFS('Revenue Tracking'!$F$13:$F$27, 'Revenue Tracking'!$H$13:$H$27, "&gt;="&amp;GO1,'Revenue Tracking'!$H$13:$H$27, "&lt;"&amp;GP1)</f>
        <v>0</v>
      </c>
      <c r="GP3" s="107">
        <f>SUMIFS('Revenue Tracking'!$F$13:$F$27, 'Revenue Tracking'!$H$13:$H$27, "&gt;="&amp;GP1,'Revenue Tracking'!$H$13:$H$27, "&lt;"&amp;GQ1)</f>
        <v>0</v>
      </c>
      <c r="GQ3" s="107">
        <f>SUMIFS('Revenue Tracking'!$F$13:$F$27, 'Revenue Tracking'!$H$13:$H$27, "&gt;="&amp;GQ1,'Revenue Tracking'!$H$13:$H$27, "&lt;"&amp;GR1)</f>
        <v>0</v>
      </c>
      <c r="GR3" s="107">
        <f>SUMIFS('Revenue Tracking'!$F$13:$F$27, 'Revenue Tracking'!$H$13:$H$27, "&gt;="&amp;GR1,'Revenue Tracking'!$H$13:$H$27, "&lt;"&amp;GS1)</f>
        <v>0</v>
      </c>
      <c r="GS3" s="107">
        <f>SUMIFS('Revenue Tracking'!$F$13:$F$27, 'Revenue Tracking'!$H$13:$H$27, "&gt;="&amp;GS1,'Revenue Tracking'!$H$13:$H$27, "&lt;"&amp;GT1)</f>
        <v>0</v>
      </c>
      <c r="GT3" s="107">
        <f>SUMIFS('Revenue Tracking'!$F$13:$F$27, 'Revenue Tracking'!$H$13:$H$27, "&gt;="&amp;GT1,'Revenue Tracking'!$H$13:$H$27, "&lt;"&amp;GU1)</f>
        <v>0</v>
      </c>
      <c r="GU3" s="107">
        <f>SUMIFS('Revenue Tracking'!$F$13:$F$27, 'Revenue Tracking'!$H$13:$H$27, "&gt;="&amp;GU1,'Revenue Tracking'!$H$13:$H$27, "&lt;"&amp;GV1)</f>
        <v>0</v>
      </c>
      <c r="GV3" s="107">
        <f>SUMIFS('Revenue Tracking'!$F$13:$F$27, 'Revenue Tracking'!$H$13:$H$27, "&gt;="&amp;GV1,'Revenue Tracking'!$H$13:$H$27, "&lt;"&amp;GW1)</f>
        <v>0</v>
      </c>
      <c r="GW3" s="107">
        <f>SUMIFS('Revenue Tracking'!$F$13:$F$27, 'Revenue Tracking'!$H$13:$H$27, "&gt;="&amp;GW1,'Revenue Tracking'!$H$13:$H$27, "&lt;"&amp;GX1)</f>
        <v>0</v>
      </c>
      <c r="GX3" s="107">
        <f>SUMIFS('Revenue Tracking'!$F$13:$F$27, 'Revenue Tracking'!$H$13:$H$27, "&gt;="&amp;GX1,'Revenue Tracking'!$H$13:$H$27, "&lt;"&amp;GY1)</f>
        <v>0</v>
      </c>
      <c r="GY3" s="107">
        <f>SUMIFS('Revenue Tracking'!$F$13:$F$27, 'Revenue Tracking'!$H$13:$H$27, "&gt;="&amp;GY1,'Revenue Tracking'!$H$13:$H$27, "&lt;"&amp;GZ1)</f>
        <v>0</v>
      </c>
      <c r="GZ3" s="107">
        <f>SUMIFS('Revenue Tracking'!$F$13:$F$27, 'Revenue Tracking'!$H$13:$H$27, "&gt;="&amp;GZ1,'Revenue Tracking'!$H$13:$H$27, "&lt;"&amp;HA1)</f>
        <v>0</v>
      </c>
      <c r="HA3" s="107">
        <f>SUMIFS('Revenue Tracking'!$F$13:$F$27, 'Revenue Tracking'!$H$13:$H$27, "&gt;="&amp;HA1,'Revenue Tracking'!$H$13:$H$27, "&lt;"&amp;HB1)</f>
        <v>0</v>
      </c>
      <c r="HB3" s="107">
        <f>SUMIFS('Revenue Tracking'!$F$13:$F$27, 'Revenue Tracking'!$H$13:$H$27, "&gt;="&amp;HB1,'Revenue Tracking'!$H$13:$H$27, "&lt;"&amp;HC1)</f>
        <v>0</v>
      </c>
      <c r="HC3" s="107">
        <f>SUMIFS('Revenue Tracking'!$F$13:$F$27, 'Revenue Tracking'!$H$13:$H$27, "&gt;="&amp;HC1,'Revenue Tracking'!$H$13:$H$27, "&lt;"&amp;HD1)</f>
        <v>0</v>
      </c>
      <c r="HD3" s="107">
        <f>SUMIFS('Revenue Tracking'!$F$13:$F$27, 'Revenue Tracking'!$H$13:$H$27, "&gt;="&amp;HD1,'Revenue Tracking'!$H$13:$H$27, "&lt;"&amp;HE1)</f>
        <v>0</v>
      </c>
      <c r="HE3" s="107">
        <f>SUMIFS('Revenue Tracking'!$F$13:$F$27, 'Revenue Tracking'!$H$13:$H$27, "&gt;="&amp;HE1,'Revenue Tracking'!$H$13:$H$27, "&lt;"&amp;HF1)</f>
        <v>0</v>
      </c>
      <c r="HF3" s="107">
        <f>SUMIFS('Revenue Tracking'!$F$13:$F$27, 'Revenue Tracking'!$H$13:$H$27, "&gt;="&amp;HF1,'Revenue Tracking'!$H$13:$H$27, "&lt;"&amp;HG1)</f>
        <v>0</v>
      </c>
      <c r="HG3" s="107">
        <f>SUMIFS('Revenue Tracking'!$F$13:$F$27, 'Revenue Tracking'!$H$13:$H$27, "&gt;="&amp;HG1,'Revenue Tracking'!$H$13:$H$27, "&lt;"&amp;HH1)</f>
        <v>0</v>
      </c>
      <c r="HH3" s="107">
        <f>SUMIFS('Revenue Tracking'!$F$13:$F$27, 'Revenue Tracking'!$H$13:$H$27, "&gt;="&amp;HH1,'Revenue Tracking'!$H$13:$H$27, "&lt;"&amp;HI1)</f>
        <v>0</v>
      </c>
      <c r="HI3" s="107">
        <f>SUMIFS('Revenue Tracking'!$F$13:$F$27, 'Revenue Tracking'!$H$13:$H$27, "&gt;="&amp;HI1,'Revenue Tracking'!$H$13:$H$27, "&lt;"&amp;HJ1)</f>
        <v>0</v>
      </c>
      <c r="HJ3" s="107">
        <f>SUMIFS('Revenue Tracking'!$F$13:$F$27, 'Revenue Tracking'!$H$13:$H$27, "&gt;="&amp;HJ1,'Revenue Tracking'!$H$13:$H$27, "&lt;"&amp;HK1)</f>
        <v>0</v>
      </c>
      <c r="HK3" s="107">
        <f>SUMIFS('Revenue Tracking'!$F$13:$F$27, 'Revenue Tracking'!$H$13:$H$27, "&gt;="&amp;HK1,'Revenue Tracking'!$H$13:$H$27, "&lt;"&amp;HL1)</f>
        <v>0</v>
      </c>
      <c r="HL3" s="107">
        <f>SUMIFS('Revenue Tracking'!$F$13:$F$27, 'Revenue Tracking'!$H$13:$H$27, "&gt;="&amp;HL1,'Revenue Tracking'!$H$13:$H$27, "&lt;"&amp;HM1)</f>
        <v>0</v>
      </c>
      <c r="HM3" s="107">
        <f>SUMIFS('Revenue Tracking'!$F$13:$F$27, 'Revenue Tracking'!$H$13:$H$27, "&gt;="&amp;HM1,'Revenue Tracking'!$H$13:$H$27, "&lt;"&amp;HN1)</f>
        <v>0</v>
      </c>
      <c r="HN3" s="107">
        <f>SUMIFS('Revenue Tracking'!$F$13:$F$27, 'Revenue Tracking'!$H$13:$H$27, "&gt;="&amp;HN1,'Revenue Tracking'!$H$13:$H$27, "&lt;"&amp;HO1)</f>
        <v>0</v>
      </c>
      <c r="HO3" s="107">
        <f>SUMIFS('Revenue Tracking'!$F$13:$F$27, 'Revenue Tracking'!$H$13:$H$27, "&gt;="&amp;HO1,'Revenue Tracking'!$H$13:$H$27, "&lt;"&amp;HP1)</f>
        <v>0</v>
      </c>
      <c r="HP3" s="107">
        <f>SUMIFS('Revenue Tracking'!$F$13:$F$27, 'Revenue Tracking'!$H$13:$H$27, "&gt;="&amp;HP1,'Revenue Tracking'!$H$13:$H$27, "&lt;"&amp;HQ1)</f>
        <v>0</v>
      </c>
      <c r="HQ3" s="107">
        <f>SUMIFS('Revenue Tracking'!$F$13:$F$27, 'Revenue Tracking'!$H$13:$H$27, "&gt;="&amp;HQ1,'Revenue Tracking'!$H$13:$H$27, "&lt;"&amp;HR1)</f>
        <v>0</v>
      </c>
      <c r="HR3" s="107">
        <f>SUMIFS('Revenue Tracking'!$F$13:$F$27, 'Revenue Tracking'!$H$13:$H$27, "&gt;="&amp;HR1,'Revenue Tracking'!$H$13:$H$27, "&lt;"&amp;HS1)</f>
        <v>0</v>
      </c>
      <c r="HS3" s="107">
        <f>SUMIFS('Revenue Tracking'!$F$13:$F$27, 'Revenue Tracking'!$H$13:$H$27, "&gt;="&amp;HS1,'Revenue Tracking'!$H$13:$H$27, "&lt;"&amp;HT1)</f>
        <v>0</v>
      </c>
      <c r="HT3" s="107">
        <f>SUMIFS('Revenue Tracking'!$F$13:$F$27, 'Revenue Tracking'!$H$13:$H$27, "&gt;="&amp;HT1,'Revenue Tracking'!$H$13:$H$27, "&lt;"&amp;HU1)</f>
        <v>0</v>
      </c>
      <c r="HU3" s="107">
        <f>SUMIFS('Revenue Tracking'!$F$13:$F$27, 'Revenue Tracking'!$H$13:$H$27, "&gt;="&amp;HU1,'Revenue Tracking'!$H$13:$H$27, "&lt;"&amp;HV1)</f>
        <v>0</v>
      </c>
      <c r="HV3" s="107">
        <f>SUMIFS('Revenue Tracking'!$F$13:$F$27, 'Revenue Tracking'!$H$13:$H$27, "&gt;="&amp;HV1,'Revenue Tracking'!$H$13:$H$27, "&lt;"&amp;HW1)</f>
        <v>0</v>
      </c>
      <c r="HW3" s="107">
        <f>SUMIFS('Revenue Tracking'!$F$13:$F$27, 'Revenue Tracking'!$H$13:$H$27, "&gt;="&amp;HW1,'Revenue Tracking'!$H$13:$H$27, "&lt;"&amp;HX1)</f>
        <v>0</v>
      </c>
      <c r="HX3" s="107">
        <f>SUMIFS('Revenue Tracking'!$F$13:$F$27, 'Revenue Tracking'!$H$13:$H$27, "&gt;="&amp;HX1,'Revenue Tracking'!$H$13:$H$27, "&lt;"&amp;HY1)</f>
        <v>0</v>
      </c>
      <c r="HY3" s="107">
        <f>SUMIFS('Revenue Tracking'!$F$13:$F$27, 'Revenue Tracking'!$H$13:$H$27, "&gt;="&amp;HY1,'Revenue Tracking'!$H$13:$H$27, "&lt;"&amp;HZ1)</f>
        <v>0</v>
      </c>
      <c r="HZ3" s="107">
        <f>SUMIFS('Revenue Tracking'!$F$13:$F$27, 'Revenue Tracking'!$H$13:$H$27, "&gt;="&amp;HZ1,'Revenue Tracking'!$H$13:$H$27, "&lt;"&amp;IA1)</f>
        <v>0</v>
      </c>
      <c r="IA3" s="107">
        <f>SUMIFS('Revenue Tracking'!$F$13:$F$27, 'Revenue Tracking'!$H$13:$H$27, "&gt;="&amp;IA1,'Revenue Tracking'!$H$13:$H$27, "&lt;"&amp;IB1)</f>
        <v>0</v>
      </c>
      <c r="IB3" s="107">
        <f>SUMIFS('Revenue Tracking'!$F$13:$F$27, 'Revenue Tracking'!$H$13:$H$27, "&gt;="&amp;IB1,'Revenue Tracking'!$H$13:$H$27, "&lt;"&amp;IC1)</f>
        <v>0</v>
      </c>
      <c r="IC3" s="107">
        <f>SUMIFS('Revenue Tracking'!$F$13:$F$27, 'Revenue Tracking'!$H$13:$H$27, "&gt;="&amp;IC1,'Revenue Tracking'!$H$13:$H$27, "&lt;"&amp;ID1)</f>
        <v>0</v>
      </c>
      <c r="ID3" s="107">
        <f>SUMIFS('Revenue Tracking'!$F$13:$F$27, 'Revenue Tracking'!$H$13:$H$27, "&gt;="&amp;ID1,'Revenue Tracking'!$H$13:$H$27, "&lt;"&amp;IE1)</f>
        <v>0</v>
      </c>
      <c r="IE3" s="107">
        <f>SUMIFS('Revenue Tracking'!$F$13:$F$27, 'Revenue Tracking'!$H$13:$H$27, "&gt;="&amp;IE1,'Revenue Tracking'!$H$13:$H$27, "&lt;"&amp;IF1)</f>
        <v>0</v>
      </c>
      <c r="IF3" s="107">
        <f>SUMIFS('Revenue Tracking'!$F$13:$F$27, 'Revenue Tracking'!$H$13:$H$27, "&gt;="&amp;IF1,'Revenue Tracking'!$H$13:$H$27, "&lt;"&amp;IG1)</f>
        <v>0</v>
      </c>
      <c r="IG3" s="107">
        <f>SUMIFS('Revenue Tracking'!$F$13:$F$27, 'Revenue Tracking'!$H$13:$H$27, "&gt;="&amp;IG1,'Revenue Tracking'!$H$13:$H$27, "&lt;"&amp;IH1)</f>
        <v>0</v>
      </c>
      <c r="IH3" s="107">
        <f>SUMIFS('Revenue Tracking'!$F$13:$F$27, 'Revenue Tracking'!$H$13:$H$27, "&gt;="&amp;IH1,'Revenue Tracking'!$H$13:$H$27, "&lt;"&amp;II1)</f>
        <v>0</v>
      </c>
      <c r="II3" s="107">
        <f>SUMIFS('Revenue Tracking'!$F$13:$F$27, 'Revenue Tracking'!$H$13:$H$27, "&gt;="&amp;II1,'Revenue Tracking'!$H$13:$H$27, "&lt;"&amp;IJ1)</f>
        <v>0</v>
      </c>
      <c r="IJ3" s="107">
        <f>SUMIFS('Revenue Tracking'!$F$13:$F$27, 'Revenue Tracking'!$H$13:$H$27, "&gt;="&amp;IJ1,'Revenue Tracking'!$H$13:$H$27, "&lt;"&amp;IK1)</f>
        <v>0</v>
      </c>
      <c r="IK3" s="107">
        <f>SUMIFS('Revenue Tracking'!$F$13:$F$27, 'Revenue Tracking'!$H$13:$H$27, "&gt;="&amp;IK1,'Revenue Tracking'!$H$13:$H$27, "&lt;"&amp;IL1)</f>
        <v>0</v>
      </c>
      <c r="IL3" s="107">
        <f>SUMIFS('Revenue Tracking'!$F$13:$F$27, 'Revenue Tracking'!$H$13:$H$27, "&gt;="&amp;IL1,'Revenue Tracking'!$H$13:$H$27, "&lt;"&amp;IM1)</f>
        <v>0</v>
      </c>
      <c r="IM3" s="107">
        <f>SUMIFS('Revenue Tracking'!$F$13:$F$27, 'Revenue Tracking'!$H$13:$H$27, "&gt;="&amp;IM1,'Revenue Tracking'!$H$13:$H$27, "&lt;"&amp;IN1)</f>
        <v>0</v>
      </c>
      <c r="IN3" s="107">
        <f>SUMIFS('Revenue Tracking'!$F$13:$F$27, 'Revenue Tracking'!$H$13:$H$27, "&gt;="&amp;IN1,'Revenue Tracking'!$H$13:$H$27, "&lt;"&amp;IO1)</f>
        <v>0</v>
      </c>
      <c r="IO3" s="107">
        <f>SUMIFS('Revenue Tracking'!$F$13:$F$27, 'Revenue Tracking'!$H$13:$H$27, "&gt;="&amp;IO1,'Revenue Tracking'!$H$13:$H$27, "&lt;"&amp;IP1)</f>
        <v>0</v>
      </c>
      <c r="IP3" s="107">
        <f>SUMIFS('Revenue Tracking'!$F$13:$F$27, 'Revenue Tracking'!$H$13:$H$27, "&gt;="&amp;IP1,'Revenue Tracking'!$H$13:$H$27, "&lt;"&amp;IQ1)</f>
        <v>0</v>
      </c>
      <c r="IQ3" s="107">
        <f>SUMIFS('Revenue Tracking'!$F$13:$F$27, 'Revenue Tracking'!$H$13:$H$27, "&gt;="&amp;IQ1,'Revenue Tracking'!$H$13:$H$27, "&lt;"&amp;IR1)</f>
        <v>0</v>
      </c>
      <c r="IR3" s="107">
        <f>SUMIFS('Revenue Tracking'!$F$13:$F$27, 'Revenue Tracking'!$H$13:$H$27, "&gt;="&amp;IR1,'Revenue Tracking'!$H$13:$H$27, "&lt;"&amp;IS1)</f>
        <v>0</v>
      </c>
      <c r="IS3" s="107">
        <f>SUMIFS('Revenue Tracking'!$F$13:$F$27, 'Revenue Tracking'!$H$13:$H$27, "&gt;="&amp;IS1,'Revenue Tracking'!$H$13:$H$27, "&lt;"&amp;IT1)</f>
        <v>0</v>
      </c>
      <c r="IT3" s="107">
        <f>SUMIFS('Revenue Tracking'!$F$13:$F$27, 'Revenue Tracking'!$H$13:$H$27, "&gt;="&amp;IT1,'Revenue Tracking'!$H$13:$H$27, "&lt;"&amp;IU1)</f>
        <v>0</v>
      </c>
      <c r="IU3" s="107">
        <f>SUMIFS('Revenue Tracking'!$F$13:$F$27, 'Revenue Tracking'!$H$13:$H$27, "&gt;="&amp;IU1,'Revenue Tracking'!$H$13:$H$27, "&lt;"&amp;IV1)</f>
        <v>0</v>
      </c>
      <c r="IV3" s="107">
        <f>SUMIFS('Revenue Tracking'!$F$13:$F$27, 'Revenue Tracking'!$H$13:$H$27, "&gt;="&amp;IV1,'Revenue Tracking'!$H$13:$H$27, "&lt;"&amp;IW1)</f>
        <v>0</v>
      </c>
      <c r="IW3" s="107">
        <f>SUMIFS('Revenue Tracking'!$F$13:$F$27, 'Revenue Tracking'!$H$13:$H$27, "&gt;="&amp;IW1,'Revenue Tracking'!$H$13:$H$27, "&lt;"&amp;IX1)</f>
        <v>0</v>
      </c>
      <c r="IX3" s="107">
        <f>SUMIFS('Revenue Tracking'!$F$13:$F$27, 'Revenue Tracking'!$H$13:$H$27, "&gt;="&amp;IX1,'Revenue Tracking'!$H$13:$H$27, "&lt;"&amp;IY1)</f>
        <v>0</v>
      </c>
      <c r="IY3" s="107">
        <f>SUMIFS('Revenue Tracking'!$F$13:$F$27, 'Revenue Tracking'!$H$13:$H$27, "&gt;="&amp;IY1,'Revenue Tracking'!$H$13:$H$27, "&lt;"&amp;IZ1)</f>
        <v>0</v>
      </c>
      <c r="IZ3" s="107">
        <f>SUMIFS('Revenue Tracking'!$F$13:$F$27, 'Revenue Tracking'!$H$13:$H$27, "&gt;="&amp;IZ1,'Revenue Tracking'!$H$13:$H$27, "&lt;"&amp;JA1)</f>
        <v>0</v>
      </c>
      <c r="JA3" s="107">
        <f>SUMIFS('Revenue Tracking'!$F$13:$F$27, 'Revenue Tracking'!$H$13:$H$27, "&gt;="&amp;JA1,'Revenue Tracking'!$H$13:$H$27, "&lt;"&amp;JB1)</f>
        <v>0</v>
      </c>
      <c r="JB3" s="107">
        <f>SUMIFS('Revenue Tracking'!$F$13:$F$27, 'Revenue Tracking'!$H$13:$H$27, "&gt;="&amp;JB1,'Revenue Tracking'!$H$13:$H$27, "&lt;"&amp;JC1)</f>
        <v>0</v>
      </c>
      <c r="JC3" s="107">
        <f>SUMIFS('Revenue Tracking'!$F$13:$F$27, 'Revenue Tracking'!$H$13:$H$27, "&gt;="&amp;JC1,'Revenue Tracking'!$H$13:$H$27, "&lt;"&amp;JD1)</f>
        <v>0</v>
      </c>
      <c r="JD3" s="107">
        <f>SUMIFS('Revenue Tracking'!$F$13:$F$27, 'Revenue Tracking'!$H$13:$H$27, "&gt;="&amp;JD1,'Revenue Tracking'!$H$13:$H$27, "&lt;"&amp;JE1)</f>
        <v>0</v>
      </c>
      <c r="JE3" s="107">
        <f>SUMIFS('Revenue Tracking'!$F$13:$F$27, 'Revenue Tracking'!$H$13:$H$27, "&gt;="&amp;JE1,'Revenue Tracking'!$H$13:$H$27, "&lt;"&amp;JF1)</f>
        <v>0</v>
      </c>
      <c r="JF3" s="107">
        <f>SUMIFS('Revenue Tracking'!$F$13:$F$27, 'Revenue Tracking'!$H$13:$H$27, "&gt;="&amp;JF1,'Revenue Tracking'!$H$13:$H$27, "&lt;"&amp;JG1)</f>
        <v>0</v>
      </c>
      <c r="JG3" s="107">
        <f>SUMIFS('Revenue Tracking'!$F$13:$F$27, 'Revenue Tracking'!$H$13:$H$27, "&gt;="&amp;JG1,'Revenue Tracking'!$H$13:$H$27, "&lt;"&amp;JH1)</f>
        <v>0</v>
      </c>
      <c r="JH3" s="107">
        <f>SUMIFS('Revenue Tracking'!$F$13:$F$27, 'Revenue Tracking'!$H$13:$H$27, "&gt;="&amp;JH1,'Revenue Tracking'!$H$13:$H$27, "&lt;"&amp;JI1)</f>
        <v>0</v>
      </c>
      <c r="JI3" s="107">
        <f>SUMIFS('Revenue Tracking'!$F$13:$F$27, 'Revenue Tracking'!$H$13:$H$27, "&gt;="&amp;JI1,'Revenue Tracking'!$H$13:$H$27, "&lt;"&amp;JJ1)</f>
        <v>0</v>
      </c>
      <c r="JJ3" s="107">
        <f>SUMIFS('Revenue Tracking'!$F$13:$F$27, 'Revenue Tracking'!$H$13:$H$27, "&gt;="&amp;JJ1,'Revenue Tracking'!$H$13:$H$27, "&lt;"&amp;JK1)</f>
        <v>0</v>
      </c>
      <c r="JK3" s="107">
        <f>SUMIFS('Revenue Tracking'!$F$13:$F$27, 'Revenue Tracking'!$H$13:$H$27, "&gt;="&amp;JK1,'Revenue Tracking'!$H$13:$H$27, "&lt;"&amp;JL1)</f>
        <v>0</v>
      </c>
      <c r="JL3" s="107">
        <f>SUMIFS('Revenue Tracking'!$F$13:$F$27, 'Revenue Tracking'!$H$13:$H$27, "&gt;="&amp;JL1,'Revenue Tracking'!$H$13:$H$27, "&lt;"&amp;JM1)</f>
        <v>0</v>
      </c>
      <c r="JM3" s="107">
        <f>SUMIFS('Revenue Tracking'!$F$13:$F$27, 'Revenue Tracking'!$H$13:$H$27, "&gt;="&amp;JM1,'Revenue Tracking'!$H$13:$H$27, "&lt;"&amp;JN1)</f>
        <v>0</v>
      </c>
      <c r="JN3" s="107">
        <f>SUMIFS('Revenue Tracking'!$F$13:$F$27, 'Revenue Tracking'!$H$13:$H$27, "&gt;="&amp;JN1,'Revenue Tracking'!$H$13:$H$27, "&lt;"&amp;JO1)</f>
        <v>0</v>
      </c>
      <c r="JO3" s="107">
        <f>SUMIFS('Revenue Tracking'!$F$13:$F$27, 'Revenue Tracking'!$H$13:$H$27, "&gt;="&amp;JO1,'Revenue Tracking'!$H$13:$H$27, "&lt;"&amp;JP1)</f>
        <v>0</v>
      </c>
      <c r="JP3" s="107">
        <f>SUMIFS('Revenue Tracking'!$F$13:$F$27, 'Revenue Tracking'!$H$13:$H$27, "&gt;="&amp;JP1,'Revenue Tracking'!$H$13:$H$27, "&lt;"&amp;JQ1)</f>
        <v>0</v>
      </c>
      <c r="JQ3" s="107">
        <f>SUMIFS('Revenue Tracking'!$F$13:$F$27, 'Revenue Tracking'!$H$13:$H$27, "&gt;="&amp;JQ1,'Revenue Tracking'!$H$13:$H$27, "&lt;"&amp;JR1)</f>
        <v>0</v>
      </c>
      <c r="JR3" s="107">
        <f>SUMIFS('Revenue Tracking'!$F$13:$F$27, 'Revenue Tracking'!$H$13:$H$27, "&gt;="&amp;JR1,'Revenue Tracking'!$H$13:$H$27, "&lt;"&amp;JS1)</f>
        <v>0</v>
      </c>
      <c r="JS3" s="107">
        <f>SUMIFS('Revenue Tracking'!$F$13:$F$27, 'Revenue Tracking'!$H$13:$H$27, "&gt;="&amp;JS1,'Revenue Tracking'!$H$13:$H$27, "&lt;"&amp;JT1)</f>
        <v>0</v>
      </c>
      <c r="JT3" s="107">
        <f>SUMIFS('Revenue Tracking'!$F$13:$F$27, 'Revenue Tracking'!$H$13:$H$27, "&gt;="&amp;JT1,'Revenue Tracking'!$H$13:$H$27, "&lt;"&amp;JU1)</f>
        <v>0</v>
      </c>
      <c r="JU3" s="107">
        <f>SUMIFS('Revenue Tracking'!$F$13:$F$27, 'Revenue Tracking'!$H$13:$H$27, "&gt;="&amp;JU1,'Revenue Tracking'!$H$13:$H$27, "&lt;"&amp;JV1)</f>
        <v>0</v>
      </c>
      <c r="JV3" s="107">
        <f>SUMIFS('Revenue Tracking'!$F$13:$F$27, 'Revenue Tracking'!$H$13:$H$27, "&gt;="&amp;JV1,'Revenue Tracking'!$H$13:$H$27, "&lt;"&amp;JW1)</f>
        <v>0</v>
      </c>
      <c r="JW3" s="107">
        <f>SUMIFS('Revenue Tracking'!$F$13:$F$27, 'Revenue Tracking'!$H$13:$H$27, "&gt;="&amp;JW1,'Revenue Tracking'!$H$13:$H$27, "&lt;"&amp;JX1)</f>
        <v>0</v>
      </c>
      <c r="JX3" s="107">
        <f>SUMIFS('Revenue Tracking'!$F$13:$F$27, 'Revenue Tracking'!$H$13:$H$27, "&gt;="&amp;JX1,'Revenue Tracking'!$H$13:$H$27, "&lt;"&amp;JY1)</f>
        <v>0</v>
      </c>
      <c r="JY3" s="107">
        <f>SUMIFS('Revenue Tracking'!$F$13:$F$27, 'Revenue Tracking'!$H$13:$H$27, "&gt;="&amp;JY1,'Revenue Tracking'!$H$13:$H$27, "&lt;"&amp;JZ1)</f>
        <v>0</v>
      </c>
      <c r="JZ3" s="107">
        <f>SUMIFS('Revenue Tracking'!$F$13:$F$27, 'Revenue Tracking'!$H$13:$H$27, "&gt;="&amp;JZ1,'Revenue Tracking'!$H$13:$H$27, "&lt;"&amp;KA1)</f>
        <v>0</v>
      </c>
      <c r="KA3" s="107">
        <f>SUMIFS('Revenue Tracking'!$F$13:$F$27, 'Revenue Tracking'!$H$13:$H$27, "&gt;="&amp;KA1,'Revenue Tracking'!$H$13:$H$27, "&lt;"&amp;KB1)</f>
        <v>0</v>
      </c>
      <c r="KB3" s="107">
        <f>SUMIFS('Revenue Tracking'!$F$13:$F$27, 'Revenue Tracking'!$H$13:$H$27, "&gt;="&amp;KB1,'Revenue Tracking'!$H$13:$H$27, "&lt;"&amp;KC1)</f>
        <v>0</v>
      </c>
      <c r="KC3" s="107">
        <f>SUMIFS('Revenue Tracking'!$F$13:$F$27, 'Revenue Tracking'!$H$13:$H$27, "&gt;="&amp;KC1,'Revenue Tracking'!$H$13:$H$27, "&lt;"&amp;KD1)</f>
        <v>0</v>
      </c>
      <c r="KD3" s="107">
        <f>SUMIFS('Revenue Tracking'!$F$13:$F$27, 'Revenue Tracking'!$H$13:$H$27, "&gt;="&amp;KD1,'Revenue Tracking'!$H$13:$H$27, "&lt;"&amp;KE1)</f>
        <v>0</v>
      </c>
      <c r="KE3" s="107">
        <f>SUMIFS('Revenue Tracking'!$F$13:$F$27, 'Revenue Tracking'!$H$13:$H$27, "&gt;="&amp;KE1,'Revenue Tracking'!$H$13:$H$27, "&lt;"&amp;KF1)</f>
        <v>0</v>
      </c>
      <c r="KF3" s="107">
        <f>SUMIFS('Revenue Tracking'!$F$13:$F$27, 'Revenue Tracking'!$H$13:$H$27, "&gt;="&amp;KF1,'Revenue Tracking'!$H$13:$H$27, "&lt;"&amp;#REF!)</f>
        <v>0</v>
      </c>
    </row>
    <row r="4" spans="1:770">
      <c r="A4" s="801"/>
      <c r="B4" s="104" t="s">
        <v>525</v>
      </c>
      <c r="C4" s="105"/>
      <c r="D4" s="105"/>
      <c r="E4" s="106"/>
      <c r="F4" s="107">
        <f>F3</f>
        <v>0</v>
      </c>
      <c r="G4" s="107">
        <f>F4+G3</f>
        <v>0</v>
      </c>
      <c r="H4" s="107">
        <f>G4+H3</f>
        <v>0</v>
      </c>
      <c r="I4" s="107">
        <f t="shared" ref="I4:BT4" si="5">H4+I3</f>
        <v>0</v>
      </c>
      <c r="J4" s="107">
        <f t="shared" si="5"/>
        <v>0</v>
      </c>
      <c r="K4" s="107">
        <f t="shared" si="5"/>
        <v>0</v>
      </c>
      <c r="L4" s="107">
        <f t="shared" si="5"/>
        <v>0</v>
      </c>
      <c r="M4" s="107">
        <f t="shared" si="5"/>
        <v>0</v>
      </c>
      <c r="N4" s="107">
        <f t="shared" si="5"/>
        <v>58084.447500000002</v>
      </c>
      <c r="O4" s="107">
        <f t="shared" si="5"/>
        <v>1135808.8655000001</v>
      </c>
      <c r="P4" s="107">
        <f t="shared" si="5"/>
        <v>1321679.0975000001</v>
      </c>
      <c r="Q4" s="107">
        <f t="shared" si="5"/>
        <v>1725485.7825000002</v>
      </c>
      <c r="R4" s="107">
        <f t="shared" si="5"/>
        <v>2480583.6000000006</v>
      </c>
      <c r="S4" s="107">
        <f t="shared" si="5"/>
        <v>2628284.5094958344</v>
      </c>
      <c r="T4" s="107">
        <f t="shared" si="5"/>
        <v>2757361.0594958342</v>
      </c>
      <c r="U4" s="107">
        <f t="shared" si="5"/>
        <v>2757361.0594958342</v>
      </c>
      <c r="V4" s="107">
        <f t="shared" si="5"/>
        <v>2757361.0594958342</v>
      </c>
      <c r="W4" s="107">
        <f t="shared" si="5"/>
        <v>2757361.0594958342</v>
      </c>
      <c r="X4" s="107">
        <f t="shared" si="5"/>
        <v>2757361.0594958342</v>
      </c>
      <c r="Y4" s="107">
        <f t="shared" si="5"/>
        <v>2757361.0594958342</v>
      </c>
      <c r="Z4" s="107">
        <f t="shared" si="5"/>
        <v>2757361.0594958342</v>
      </c>
      <c r="AA4" s="107">
        <f t="shared" si="5"/>
        <v>2757361.0594958342</v>
      </c>
      <c r="AB4" s="107">
        <f t="shared" si="5"/>
        <v>2757361.0594958342</v>
      </c>
      <c r="AC4" s="107">
        <f t="shared" si="5"/>
        <v>2757361.0594958342</v>
      </c>
      <c r="AD4" s="107">
        <f>AC4+AD3</f>
        <v>2757361.0594958342</v>
      </c>
      <c r="AE4" s="107">
        <f t="shared" si="5"/>
        <v>2757361.0594958342</v>
      </c>
      <c r="AF4" s="107">
        <f t="shared" si="5"/>
        <v>2757361.0594958342</v>
      </c>
      <c r="AG4" s="107">
        <f t="shared" si="5"/>
        <v>2820054.919495834</v>
      </c>
      <c r="AH4" s="107">
        <f t="shared" si="5"/>
        <v>2820054.919495834</v>
      </c>
      <c r="AI4" s="107">
        <f t="shared" si="5"/>
        <v>2820054.919495834</v>
      </c>
      <c r="AJ4" s="107">
        <f t="shared" si="5"/>
        <v>2820054.919495834</v>
      </c>
      <c r="AK4" s="107">
        <f t="shared" si="5"/>
        <v>2820054.919495834</v>
      </c>
      <c r="AL4" s="107">
        <f t="shared" si="5"/>
        <v>2820054.919495834</v>
      </c>
      <c r="AM4" s="107">
        <f t="shared" si="5"/>
        <v>2820054.919495834</v>
      </c>
      <c r="AN4" s="107">
        <f t="shared" si="5"/>
        <v>2820054.919495834</v>
      </c>
      <c r="AO4" s="107">
        <f t="shared" si="5"/>
        <v>2820054.919495834</v>
      </c>
      <c r="AP4" s="107">
        <f t="shared" si="5"/>
        <v>2820054.919495834</v>
      </c>
      <c r="AQ4" s="107">
        <f t="shared" si="5"/>
        <v>2820054.919495834</v>
      </c>
      <c r="AR4" s="107">
        <f t="shared" si="5"/>
        <v>2820054.919495834</v>
      </c>
      <c r="AS4" s="107">
        <f t="shared" si="5"/>
        <v>2820054.919495834</v>
      </c>
      <c r="AT4" s="107">
        <f t="shared" si="5"/>
        <v>2820054.919495834</v>
      </c>
      <c r="AU4" s="107">
        <f t="shared" si="5"/>
        <v>2820054.919495834</v>
      </c>
      <c r="AV4" s="107">
        <f t="shared" si="5"/>
        <v>2820054.919495834</v>
      </c>
      <c r="AW4" s="107">
        <f t="shared" si="5"/>
        <v>2820054.919495834</v>
      </c>
      <c r="AX4" s="107">
        <f t="shared" si="5"/>
        <v>2820054.919495834</v>
      </c>
      <c r="AY4" s="107">
        <f t="shared" si="5"/>
        <v>2820054.919495834</v>
      </c>
      <c r="AZ4" s="107">
        <f t="shared" si="5"/>
        <v>2820054.919495834</v>
      </c>
      <c r="BA4" s="107">
        <f t="shared" si="5"/>
        <v>2820054.919495834</v>
      </c>
      <c r="BB4" s="107">
        <f t="shared" si="5"/>
        <v>2820054.919495834</v>
      </c>
      <c r="BC4" s="107">
        <f t="shared" si="5"/>
        <v>2820054.919495834</v>
      </c>
      <c r="BD4" s="107">
        <f t="shared" si="5"/>
        <v>2820054.919495834</v>
      </c>
      <c r="BE4" s="107">
        <f t="shared" si="5"/>
        <v>2820054.919495834</v>
      </c>
      <c r="BF4" s="107">
        <f t="shared" si="5"/>
        <v>2820054.919495834</v>
      </c>
      <c r="BG4" s="107">
        <f t="shared" si="5"/>
        <v>2820054.919495834</v>
      </c>
      <c r="BH4" s="107">
        <f t="shared" si="5"/>
        <v>2820054.919495834</v>
      </c>
      <c r="BI4" s="107">
        <f t="shared" si="5"/>
        <v>2820054.919495834</v>
      </c>
      <c r="BJ4" s="107">
        <f t="shared" si="5"/>
        <v>2820054.919495834</v>
      </c>
      <c r="BK4" s="107">
        <f t="shared" si="5"/>
        <v>2820054.919495834</v>
      </c>
      <c r="BL4" s="107">
        <f t="shared" si="5"/>
        <v>2820054.919495834</v>
      </c>
      <c r="BM4" s="107">
        <f t="shared" si="5"/>
        <v>2820054.919495834</v>
      </c>
      <c r="BN4" s="107">
        <f t="shared" si="5"/>
        <v>2820054.919495834</v>
      </c>
      <c r="BO4" s="107">
        <f t="shared" si="5"/>
        <v>2820054.919495834</v>
      </c>
      <c r="BP4" s="107">
        <f t="shared" si="5"/>
        <v>2820054.919495834</v>
      </c>
      <c r="BQ4" s="107">
        <f t="shared" si="5"/>
        <v>2820054.919495834</v>
      </c>
      <c r="BR4" s="107">
        <f t="shared" si="5"/>
        <v>2820054.919495834</v>
      </c>
      <c r="BS4" s="107">
        <f t="shared" si="5"/>
        <v>2820054.919495834</v>
      </c>
      <c r="BT4" s="107">
        <f t="shared" si="5"/>
        <v>2820054.919495834</v>
      </c>
      <c r="BU4" s="107">
        <f t="shared" ref="BU4:EF4" si="6">BT4+BU3</f>
        <v>2820054.919495834</v>
      </c>
      <c r="BV4" s="107">
        <f t="shared" si="6"/>
        <v>2820054.919495834</v>
      </c>
      <c r="BW4" s="107">
        <f t="shared" si="6"/>
        <v>2820054.919495834</v>
      </c>
      <c r="BX4" s="107">
        <f t="shared" si="6"/>
        <v>2820054.919495834</v>
      </c>
      <c r="BY4" s="107">
        <f t="shared" si="6"/>
        <v>2820054.919495834</v>
      </c>
      <c r="BZ4" s="107">
        <f t="shared" si="6"/>
        <v>2820054.919495834</v>
      </c>
      <c r="CA4" s="107">
        <f t="shared" si="6"/>
        <v>2820054.919495834</v>
      </c>
      <c r="CB4" s="107">
        <f t="shared" si="6"/>
        <v>2820054.919495834</v>
      </c>
      <c r="CC4" s="107">
        <f t="shared" si="6"/>
        <v>2820054.919495834</v>
      </c>
      <c r="CD4" s="107">
        <f t="shared" si="6"/>
        <v>2820054.919495834</v>
      </c>
      <c r="CE4" s="107">
        <f t="shared" si="6"/>
        <v>2820054.919495834</v>
      </c>
      <c r="CF4" s="107">
        <f t="shared" si="6"/>
        <v>2820054.919495834</v>
      </c>
      <c r="CG4" s="107">
        <f t="shared" si="6"/>
        <v>2820054.919495834</v>
      </c>
      <c r="CH4" s="107">
        <f t="shared" si="6"/>
        <v>2820054.919495834</v>
      </c>
      <c r="CI4" s="107">
        <f t="shared" si="6"/>
        <v>2820054.919495834</v>
      </c>
      <c r="CJ4" s="107">
        <f t="shared" si="6"/>
        <v>2820054.919495834</v>
      </c>
      <c r="CK4" s="107">
        <f t="shared" si="6"/>
        <v>2820054.919495834</v>
      </c>
      <c r="CL4" s="107">
        <f t="shared" si="6"/>
        <v>2820054.919495834</v>
      </c>
      <c r="CM4" s="107">
        <f t="shared" si="6"/>
        <v>2820054.919495834</v>
      </c>
      <c r="CN4" s="107">
        <f t="shared" si="6"/>
        <v>2820054.919495834</v>
      </c>
      <c r="CO4" s="107">
        <f t="shared" si="6"/>
        <v>2820054.919495834</v>
      </c>
      <c r="CP4" s="107">
        <f t="shared" si="6"/>
        <v>2820054.919495834</v>
      </c>
      <c r="CQ4" s="107">
        <f t="shared" si="6"/>
        <v>2820054.919495834</v>
      </c>
      <c r="CR4" s="107">
        <f t="shared" si="6"/>
        <v>2820054.919495834</v>
      </c>
      <c r="CS4" s="107">
        <f t="shared" si="6"/>
        <v>2820054.919495834</v>
      </c>
      <c r="CT4" s="107">
        <f t="shared" si="6"/>
        <v>2820054.919495834</v>
      </c>
      <c r="CU4" s="107">
        <f t="shared" si="6"/>
        <v>2820054.919495834</v>
      </c>
      <c r="CV4" s="107">
        <f t="shared" si="6"/>
        <v>2820054.919495834</v>
      </c>
      <c r="CW4" s="107">
        <f t="shared" si="6"/>
        <v>2820054.919495834</v>
      </c>
      <c r="CX4" s="107">
        <f t="shared" si="6"/>
        <v>2820054.919495834</v>
      </c>
      <c r="CY4" s="107">
        <f t="shared" si="6"/>
        <v>2820054.919495834</v>
      </c>
      <c r="CZ4" s="107">
        <f t="shared" si="6"/>
        <v>2820054.919495834</v>
      </c>
      <c r="DA4" s="107">
        <f t="shared" si="6"/>
        <v>2820054.919495834</v>
      </c>
      <c r="DB4" s="107">
        <f t="shared" si="6"/>
        <v>2820054.919495834</v>
      </c>
      <c r="DC4" s="107">
        <f t="shared" si="6"/>
        <v>2820054.919495834</v>
      </c>
      <c r="DD4" s="107">
        <f t="shared" si="6"/>
        <v>2820054.919495834</v>
      </c>
      <c r="DE4" s="107">
        <f t="shared" si="6"/>
        <v>2820054.919495834</v>
      </c>
      <c r="DF4" s="107">
        <f t="shared" si="6"/>
        <v>2820054.919495834</v>
      </c>
      <c r="DG4" s="107">
        <f t="shared" si="6"/>
        <v>2820054.919495834</v>
      </c>
      <c r="DH4" s="107">
        <f t="shared" si="6"/>
        <v>2820054.919495834</v>
      </c>
      <c r="DI4" s="107">
        <f t="shared" si="6"/>
        <v>2820054.919495834</v>
      </c>
      <c r="DJ4" s="107">
        <f t="shared" si="6"/>
        <v>2820054.919495834</v>
      </c>
      <c r="DK4" s="107">
        <f t="shared" si="6"/>
        <v>2820054.919495834</v>
      </c>
      <c r="DL4" s="107">
        <f t="shared" si="6"/>
        <v>2820054.919495834</v>
      </c>
      <c r="DM4" s="107">
        <f t="shared" si="6"/>
        <v>2820054.919495834</v>
      </c>
      <c r="DN4" s="107">
        <f t="shared" si="6"/>
        <v>2820054.919495834</v>
      </c>
      <c r="DO4" s="107">
        <f t="shared" si="6"/>
        <v>2820054.919495834</v>
      </c>
      <c r="DP4" s="107">
        <f t="shared" si="6"/>
        <v>2820054.919495834</v>
      </c>
      <c r="DQ4" s="107">
        <f t="shared" si="6"/>
        <v>2820054.919495834</v>
      </c>
      <c r="DR4" s="107">
        <f t="shared" si="6"/>
        <v>2820054.919495834</v>
      </c>
      <c r="DS4" s="107">
        <f t="shared" si="6"/>
        <v>2820054.919495834</v>
      </c>
      <c r="DT4" s="107">
        <f t="shared" si="6"/>
        <v>2820054.919495834</v>
      </c>
      <c r="DU4" s="107">
        <f t="shared" si="6"/>
        <v>2820054.919495834</v>
      </c>
      <c r="DV4" s="107">
        <f t="shared" si="6"/>
        <v>2820054.919495834</v>
      </c>
      <c r="DW4" s="107">
        <f t="shared" si="6"/>
        <v>2820054.919495834</v>
      </c>
      <c r="DX4" s="107">
        <f t="shared" si="6"/>
        <v>2820054.919495834</v>
      </c>
      <c r="DY4" s="107">
        <f t="shared" si="6"/>
        <v>2820054.919495834</v>
      </c>
      <c r="DZ4" s="107">
        <f t="shared" si="6"/>
        <v>2820054.919495834</v>
      </c>
      <c r="EA4" s="107">
        <f t="shared" si="6"/>
        <v>2820054.919495834</v>
      </c>
      <c r="EB4" s="107">
        <f t="shared" si="6"/>
        <v>2820054.919495834</v>
      </c>
      <c r="EC4" s="107">
        <f t="shared" si="6"/>
        <v>2820054.919495834</v>
      </c>
      <c r="ED4" s="107">
        <f t="shared" si="6"/>
        <v>2820054.919495834</v>
      </c>
      <c r="EE4" s="107">
        <f t="shared" si="6"/>
        <v>2820054.919495834</v>
      </c>
      <c r="EF4" s="107">
        <f t="shared" si="6"/>
        <v>2820054.919495834</v>
      </c>
      <c r="EG4" s="107">
        <f t="shared" ref="EG4:GR4" si="7">EF4+EG3</f>
        <v>2820054.919495834</v>
      </c>
      <c r="EH4" s="107">
        <f t="shared" si="7"/>
        <v>2820054.919495834</v>
      </c>
      <c r="EI4" s="107">
        <f t="shared" si="7"/>
        <v>2820054.919495834</v>
      </c>
      <c r="EJ4" s="107">
        <f t="shared" si="7"/>
        <v>2820054.919495834</v>
      </c>
      <c r="EK4" s="107">
        <f t="shared" si="7"/>
        <v>2820054.919495834</v>
      </c>
      <c r="EL4" s="107">
        <f t="shared" si="7"/>
        <v>2820054.919495834</v>
      </c>
      <c r="EM4" s="107">
        <f t="shared" si="7"/>
        <v>2820054.919495834</v>
      </c>
      <c r="EN4" s="107">
        <f t="shared" si="7"/>
        <v>2820054.919495834</v>
      </c>
      <c r="EO4" s="107">
        <f t="shared" si="7"/>
        <v>2820054.919495834</v>
      </c>
      <c r="EP4" s="107">
        <f t="shared" si="7"/>
        <v>2820054.919495834</v>
      </c>
      <c r="EQ4" s="107">
        <f t="shared" si="7"/>
        <v>2820054.919495834</v>
      </c>
      <c r="ER4" s="107">
        <f t="shared" si="7"/>
        <v>2820054.919495834</v>
      </c>
      <c r="ES4" s="107">
        <f t="shared" si="7"/>
        <v>2820054.919495834</v>
      </c>
      <c r="ET4" s="107">
        <f t="shared" si="7"/>
        <v>2820054.919495834</v>
      </c>
      <c r="EU4" s="107">
        <f t="shared" si="7"/>
        <v>2820054.919495834</v>
      </c>
      <c r="EV4" s="107">
        <f t="shared" si="7"/>
        <v>2820054.919495834</v>
      </c>
      <c r="EW4" s="107">
        <f t="shared" si="7"/>
        <v>2820054.919495834</v>
      </c>
      <c r="EX4" s="107">
        <f t="shared" si="7"/>
        <v>2820054.919495834</v>
      </c>
      <c r="EY4" s="107">
        <f t="shared" si="7"/>
        <v>2820054.919495834</v>
      </c>
      <c r="EZ4" s="107">
        <f t="shared" si="7"/>
        <v>2820054.919495834</v>
      </c>
      <c r="FA4" s="107">
        <f t="shared" si="7"/>
        <v>2820054.919495834</v>
      </c>
      <c r="FB4" s="107">
        <f t="shared" si="7"/>
        <v>2820054.919495834</v>
      </c>
      <c r="FC4" s="107">
        <f t="shared" si="7"/>
        <v>2820054.919495834</v>
      </c>
      <c r="FD4" s="107">
        <f t="shared" si="7"/>
        <v>2820054.919495834</v>
      </c>
      <c r="FE4" s="107">
        <f t="shared" si="7"/>
        <v>2820054.919495834</v>
      </c>
      <c r="FF4" s="107">
        <f t="shared" si="7"/>
        <v>2820054.919495834</v>
      </c>
      <c r="FG4" s="107">
        <f t="shared" si="7"/>
        <v>2820054.919495834</v>
      </c>
      <c r="FH4" s="107">
        <f t="shared" si="7"/>
        <v>2820054.919495834</v>
      </c>
      <c r="FI4" s="107">
        <f t="shared" si="7"/>
        <v>2820054.919495834</v>
      </c>
      <c r="FJ4" s="107">
        <f t="shared" si="7"/>
        <v>2820054.919495834</v>
      </c>
      <c r="FK4" s="107">
        <f t="shared" si="7"/>
        <v>2820054.919495834</v>
      </c>
      <c r="FL4" s="107">
        <f t="shared" si="7"/>
        <v>2820054.919495834</v>
      </c>
      <c r="FM4" s="107">
        <f t="shared" si="7"/>
        <v>2820054.919495834</v>
      </c>
      <c r="FN4" s="107">
        <f t="shared" si="7"/>
        <v>2820054.919495834</v>
      </c>
      <c r="FO4" s="107">
        <f t="shared" si="7"/>
        <v>2820054.919495834</v>
      </c>
      <c r="FP4" s="107">
        <f t="shared" si="7"/>
        <v>2820054.919495834</v>
      </c>
      <c r="FQ4" s="107">
        <f t="shared" si="7"/>
        <v>2820054.919495834</v>
      </c>
      <c r="FR4" s="107">
        <f t="shared" si="7"/>
        <v>2820054.919495834</v>
      </c>
      <c r="FS4" s="107">
        <f t="shared" si="7"/>
        <v>2820054.919495834</v>
      </c>
      <c r="FT4" s="107">
        <f t="shared" si="7"/>
        <v>2820054.919495834</v>
      </c>
      <c r="FU4" s="107">
        <f t="shared" si="7"/>
        <v>2820054.919495834</v>
      </c>
      <c r="FV4" s="107">
        <f t="shared" si="7"/>
        <v>2820054.919495834</v>
      </c>
      <c r="FW4" s="107">
        <f t="shared" si="7"/>
        <v>2820054.919495834</v>
      </c>
      <c r="FX4" s="107">
        <f t="shared" si="7"/>
        <v>2820054.919495834</v>
      </c>
      <c r="FY4" s="107">
        <f t="shared" si="7"/>
        <v>2820054.919495834</v>
      </c>
      <c r="FZ4" s="107">
        <f t="shared" si="7"/>
        <v>2820054.919495834</v>
      </c>
      <c r="GA4" s="107">
        <f t="shared" si="7"/>
        <v>2820054.919495834</v>
      </c>
      <c r="GB4" s="107">
        <f t="shared" si="7"/>
        <v>2820054.919495834</v>
      </c>
      <c r="GC4" s="107">
        <f t="shared" si="7"/>
        <v>2820054.919495834</v>
      </c>
      <c r="GD4" s="107">
        <f t="shared" si="7"/>
        <v>2820054.919495834</v>
      </c>
      <c r="GE4" s="107">
        <f t="shared" si="7"/>
        <v>2820054.919495834</v>
      </c>
      <c r="GF4" s="107">
        <f t="shared" si="7"/>
        <v>2820054.919495834</v>
      </c>
      <c r="GG4" s="107">
        <f t="shared" si="7"/>
        <v>2820054.919495834</v>
      </c>
      <c r="GH4" s="107">
        <f t="shared" si="7"/>
        <v>2820054.919495834</v>
      </c>
      <c r="GI4" s="107">
        <f t="shared" si="7"/>
        <v>2820054.919495834</v>
      </c>
      <c r="GJ4" s="107">
        <f t="shared" si="7"/>
        <v>2820054.919495834</v>
      </c>
      <c r="GK4" s="107">
        <f t="shared" si="7"/>
        <v>2820054.919495834</v>
      </c>
      <c r="GL4" s="107">
        <f t="shared" si="7"/>
        <v>2820054.919495834</v>
      </c>
      <c r="GM4" s="107">
        <f t="shared" si="7"/>
        <v>2820054.919495834</v>
      </c>
      <c r="GN4" s="107">
        <f t="shared" si="7"/>
        <v>2820054.919495834</v>
      </c>
      <c r="GO4" s="107">
        <f t="shared" si="7"/>
        <v>2820054.919495834</v>
      </c>
      <c r="GP4" s="107">
        <f t="shared" si="7"/>
        <v>2820054.919495834</v>
      </c>
      <c r="GQ4" s="107">
        <f t="shared" si="7"/>
        <v>2820054.919495834</v>
      </c>
      <c r="GR4" s="107">
        <f t="shared" si="7"/>
        <v>2820054.919495834</v>
      </c>
      <c r="GS4" s="107">
        <f t="shared" ref="GS4:JD4" si="8">GR4+GS3</f>
        <v>2820054.919495834</v>
      </c>
      <c r="GT4" s="107">
        <f t="shared" si="8"/>
        <v>2820054.919495834</v>
      </c>
      <c r="GU4" s="107">
        <f t="shared" si="8"/>
        <v>2820054.919495834</v>
      </c>
      <c r="GV4" s="107">
        <f t="shared" si="8"/>
        <v>2820054.919495834</v>
      </c>
      <c r="GW4" s="107">
        <f t="shared" si="8"/>
        <v>2820054.919495834</v>
      </c>
      <c r="GX4" s="107">
        <f t="shared" si="8"/>
        <v>2820054.919495834</v>
      </c>
      <c r="GY4" s="107">
        <f t="shared" si="8"/>
        <v>2820054.919495834</v>
      </c>
      <c r="GZ4" s="107">
        <f t="shared" si="8"/>
        <v>2820054.919495834</v>
      </c>
      <c r="HA4" s="107">
        <f t="shared" si="8"/>
        <v>2820054.919495834</v>
      </c>
      <c r="HB4" s="107">
        <f t="shared" si="8"/>
        <v>2820054.919495834</v>
      </c>
      <c r="HC4" s="107">
        <f t="shared" si="8"/>
        <v>2820054.919495834</v>
      </c>
      <c r="HD4" s="107">
        <f t="shared" si="8"/>
        <v>2820054.919495834</v>
      </c>
      <c r="HE4" s="107">
        <f t="shared" si="8"/>
        <v>2820054.919495834</v>
      </c>
      <c r="HF4" s="107">
        <f t="shared" si="8"/>
        <v>2820054.919495834</v>
      </c>
      <c r="HG4" s="107">
        <f t="shared" si="8"/>
        <v>2820054.919495834</v>
      </c>
      <c r="HH4" s="107">
        <f t="shared" si="8"/>
        <v>2820054.919495834</v>
      </c>
      <c r="HI4" s="107">
        <f t="shared" si="8"/>
        <v>2820054.919495834</v>
      </c>
      <c r="HJ4" s="107">
        <f t="shared" si="8"/>
        <v>2820054.919495834</v>
      </c>
      <c r="HK4" s="107">
        <f t="shared" si="8"/>
        <v>2820054.919495834</v>
      </c>
      <c r="HL4" s="107">
        <f t="shared" si="8"/>
        <v>2820054.919495834</v>
      </c>
      <c r="HM4" s="107">
        <f t="shared" si="8"/>
        <v>2820054.919495834</v>
      </c>
      <c r="HN4" s="107">
        <f t="shared" si="8"/>
        <v>2820054.919495834</v>
      </c>
      <c r="HO4" s="107">
        <f t="shared" si="8"/>
        <v>2820054.919495834</v>
      </c>
      <c r="HP4" s="107">
        <f t="shared" si="8"/>
        <v>2820054.919495834</v>
      </c>
      <c r="HQ4" s="107">
        <f t="shared" si="8"/>
        <v>2820054.919495834</v>
      </c>
      <c r="HR4" s="107">
        <f t="shared" si="8"/>
        <v>2820054.919495834</v>
      </c>
      <c r="HS4" s="107">
        <f t="shared" si="8"/>
        <v>2820054.919495834</v>
      </c>
      <c r="HT4" s="107">
        <f t="shared" si="8"/>
        <v>2820054.919495834</v>
      </c>
      <c r="HU4" s="107">
        <f t="shared" si="8"/>
        <v>2820054.919495834</v>
      </c>
      <c r="HV4" s="107">
        <f t="shared" si="8"/>
        <v>2820054.919495834</v>
      </c>
      <c r="HW4" s="107">
        <f t="shared" si="8"/>
        <v>2820054.919495834</v>
      </c>
      <c r="HX4" s="107">
        <f t="shared" si="8"/>
        <v>2820054.919495834</v>
      </c>
      <c r="HY4" s="107">
        <f t="shared" si="8"/>
        <v>2820054.919495834</v>
      </c>
      <c r="HZ4" s="107">
        <f t="shared" si="8"/>
        <v>2820054.919495834</v>
      </c>
      <c r="IA4" s="107">
        <f t="shared" si="8"/>
        <v>2820054.919495834</v>
      </c>
      <c r="IB4" s="107">
        <f t="shared" si="8"/>
        <v>2820054.919495834</v>
      </c>
      <c r="IC4" s="107">
        <f t="shared" si="8"/>
        <v>2820054.919495834</v>
      </c>
      <c r="ID4" s="107">
        <f t="shared" si="8"/>
        <v>2820054.919495834</v>
      </c>
      <c r="IE4" s="107">
        <f t="shared" si="8"/>
        <v>2820054.919495834</v>
      </c>
      <c r="IF4" s="107">
        <f t="shared" si="8"/>
        <v>2820054.919495834</v>
      </c>
      <c r="IG4" s="107">
        <f t="shared" si="8"/>
        <v>2820054.919495834</v>
      </c>
      <c r="IH4" s="107">
        <f t="shared" si="8"/>
        <v>2820054.919495834</v>
      </c>
      <c r="II4" s="107">
        <f t="shared" si="8"/>
        <v>2820054.919495834</v>
      </c>
      <c r="IJ4" s="107">
        <f t="shared" si="8"/>
        <v>2820054.919495834</v>
      </c>
      <c r="IK4" s="107">
        <f t="shared" si="8"/>
        <v>2820054.919495834</v>
      </c>
      <c r="IL4" s="107">
        <f t="shared" si="8"/>
        <v>2820054.919495834</v>
      </c>
      <c r="IM4" s="107">
        <f t="shared" si="8"/>
        <v>2820054.919495834</v>
      </c>
      <c r="IN4" s="107">
        <f t="shared" si="8"/>
        <v>2820054.919495834</v>
      </c>
      <c r="IO4" s="107">
        <f t="shared" si="8"/>
        <v>2820054.919495834</v>
      </c>
      <c r="IP4" s="107">
        <f t="shared" si="8"/>
        <v>2820054.919495834</v>
      </c>
      <c r="IQ4" s="107">
        <f t="shared" si="8"/>
        <v>2820054.919495834</v>
      </c>
      <c r="IR4" s="107">
        <f t="shared" si="8"/>
        <v>2820054.919495834</v>
      </c>
      <c r="IS4" s="107">
        <f t="shared" si="8"/>
        <v>2820054.919495834</v>
      </c>
      <c r="IT4" s="107">
        <f t="shared" si="8"/>
        <v>2820054.919495834</v>
      </c>
      <c r="IU4" s="107">
        <f t="shared" si="8"/>
        <v>2820054.919495834</v>
      </c>
      <c r="IV4" s="107">
        <f t="shared" si="8"/>
        <v>2820054.919495834</v>
      </c>
      <c r="IW4" s="107">
        <f t="shared" si="8"/>
        <v>2820054.919495834</v>
      </c>
      <c r="IX4" s="107">
        <f t="shared" si="8"/>
        <v>2820054.919495834</v>
      </c>
      <c r="IY4" s="107">
        <f t="shared" si="8"/>
        <v>2820054.919495834</v>
      </c>
      <c r="IZ4" s="107">
        <f t="shared" si="8"/>
        <v>2820054.919495834</v>
      </c>
      <c r="JA4" s="107">
        <f t="shared" si="8"/>
        <v>2820054.919495834</v>
      </c>
      <c r="JB4" s="107">
        <f t="shared" si="8"/>
        <v>2820054.919495834</v>
      </c>
      <c r="JC4" s="107">
        <f t="shared" si="8"/>
        <v>2820054.919495834</v>
      </c>
      <c r="JD4" s="107">
        <f t="shared" si="8"/>
        <v>2820054.919495834</v>
      </c>
      <c r="JE4" s="107">
        <f t="shared" ref="JE4:KF4" si="9">JD4+JE3</f>
        <v>2820054.919495834</v>
      </c>
      <c r="JF4" s="107">
        <f t="shared" si="9"/>
        <v>2820054.919495834</v>
      </c>
      <c r="JG4" s="107">
        <f t="shared" si="9"/>
        <v>2820054.919495834</v>
      </c>
      <c r="JH4" s="107">
        <f t="shared" si="9"/>
        <v>2820054.919495834</v>
      </c>
      <c r="JI4" s="107">
        <f t="shared" si="9"/>
        <v>2820054.919495834</v>
      </c>
      <c r="JJ4" s="107">
        <f t="shared" si="9"/>
        <v>2820054.919495834</v>
      </c>
      <c r="JK4" s="107">
        <f t="shared" si="9"/>
        <v>2820054.919495834</v>
      </c>
      <c r="JL4" s="107">
        <f t="shared" si="9"/>
        <v>2820054.919495834</v>
      </c>
      <c r="JM4" s="107">
        <f t="shared" si="9"/>
        <v>2820054.919495834</v>
      </c>
      <c r="JN4" s="107">
        <f t="shared" si="9"/>
        <v>2820054.919495834</v>
      </c>
      <c r="JO4" s="107">
        <f t="shared" si="9"/>
        <v>2820054.919495834</v>
      </c>
      <c r="JP4" s="107">
        <f t="shared" si="9"/>
        <v>2820054.919495834</v>
      </c>
      <c r="JQ4" s="107">
        <f t="shared" si="9"/>
        <v>2820054.919495834</v>
      </c>
      <c r="JR4" s="107">
        <f t="shared" si="9"/>
        <v>2820054.919495834</v>
      </c>
      <c r="JS4" s="107">
        <f t="shared" si="9"/>
        <v>2820054.919495834</v>
      </c>
      <c r="JT4" s="107">
        <f t="shared" si="9"/>
        <v>2820054.919495834</v>
      </c>
      <c r="JU4" s="107">
        <f t="shared" si="9"/>
        <v>2820054.919495834</v>
      </c>
      <c r="JV4" s="107">
        <f t="shared" si="9"/>
        <v>2820054.919495834</v>
      </c>
      <c r="JW4" s="107">
        <f t="shared" si="9"/>
        <v>2820054.919495834</v>
      </c>
      <c r="JX4" s="107">
        <f t="shared" si="9"/>
        <v>2820054.919495834</v>
      </c>
      <c r="JY4" s="107">
        <f t="shared" si="9"/>
        <v>2820054.919495834</v>
      </c>
      <c r="JZ4" s="107">
        <f t="shared" si="9"/>
        <v>2820054.919495834</v>
      </c>
      <c r="KA4" s="107">
        <f t="shared" si="9"/>
        <v>2820054.919495834</v>
      </c>
      <c r="KB4" s="107">
        <f t="shared" si="9"/>
        <v>2820054.919495834</v>
      </c>
      <c r="KC4" s="107">
        <f t="shared" si="9"/>
        <v>2820054.919495834</v>
      </c>
      <c r="KD4" s="107">
        <f t="shared" si="9"/>
        <v>2820054.919495834</v>
      </c>
      <c r="KE4" s="107">
        <f t="shared" si="9"/>
        <v>2820054.919495834</v>
      </c>
      <c r="KF4" s="107">
        <f t="shared" si="9"/>
        <v>2820054.919495834</v>
      </c>
    </row>
    <row r="5" spans="1:770" s="112" customFormat="1">
      <c r="A5" s="801"/>
      <c r="B5" s="108" t="s">
        <v>232</v>
      </c>
      <c r="C5" s="109">
        <f>'Revenue Tracking'!D5</f>
        <v>2278170.85</v>
      </c>
      <c r="D5" s="109">
        <f>SUM(F5:KF5)</f>
        <v>2278170.85</v>
      </c>
      <c r="E5" s="106"/>
      <c r="F5" s="110">
        <f>SUMIFS('Expenditure Breakdown'!$G$6:$G$193, 'Expenditure Breakdown'!$H$6:$H$193, "&gt;="&amp;F1,'Expenditure Breakdown'!$H$6:$H$193, "&lt;"&amp;G1)</f>
        <v>0</v>
      </c>
      <c r="G5" s="110">
        <f>SUMIFS('Expenditure Breakdown'!$G$6:$G$193, 'Expenditure Breakdown'!$H$6:$H$193, "&gt;="&amp;G1,'Expenditure Breakdown'!$H$6:$H$193, "&lt;"&amp;H1)</f>
        <v>0</v>
      </c>
      <c r="H5" s="110">
        <f>SUMIFS('Expenditure Breakdown'!$G$6:$G$193, 'Expenditure Breakdown'!$H$6:$H$193, "&gt;="&amp;H1,'Expenditure Breakdown'!$H$6:$H$193, "&lt;"&amp;I1)</f>
        <v>0</v>
      </c>
      <c r="I5" s="110">
        <f>SUMIFS('Expenditure Breakdown'!$G$6:$G$193, 'Expenditure Breakdown'!$H$6:$H$193, "&gt;="&amp;I1,'Expenditure Breakdown'!$H$6:$H$193, "&lt;"&amp;J1)</f>
        <v>0</v>
      </c>
      <c r="J5" s="110">
        <f>SUMIFS('Expenditure Breakdown'!$G$6:$G$193, 'Expenditure Breakdown'!$H$6:$H$193, "&gt;="&amp;J1,'Expenditure Breakdown'!$H$6:$H$193, "&lt;"&amp;K1)</f>
        <v>0</v>
      </c>
      <c r="K5" s="110">
        <f>SUMIFS('Expenditure Breakdown'!$G$6:$G$193, 'Expenditure Breakdown'!$H$6:$H$193, "&gt;="&amp;K1,'Expenditure Breakdown'!$H$6:$H$193, "&lt;"&amp;L1)</f>
        <v>0</v>
      </c>
      <c r="L5" s="110">
        <f>SUMIFS('Expenditure Breakdown'!$G$6:$G$193, 'Expenditure Breakdown'!$H$6:$H$193, "&gt;="&amp;L1,'Expenditure Breakdown'!$H$6:$H$193, "&lt;"&amp;M1)</f>
        <v>0</v>
      </c>
      <c r="M5" s="110">
        <f>SUMIFS('Expenditure Breakdown'!$G$6:$G$193, 'Expenditure Breakdown'!$H$6:$H$193, "&gt;="&amp;M1,'Expenditure Breakdown'!$H$6:$H$193, "&lt;"&amp;N1)</f>
        <v>0</v>
      </c>
      <c r="N5" s="110">
        <f>SUMIFS('Expenditure Breakdown'!$G$6:$G$193, 'Expenditure Breakdown'!$H$6:$H$193, "&gt;="&amp;N1,'Expenditure Breakdown'!$H$6:$H$193, "&lt;"&amp;O1)</f>
        <v>0</v>
      </c>
      <c r="O5" s="110">
        <f>SUMIFS('Expenditure Breakdown'!$G$6:$G$193, 'Expenditure Breakdown'!$H$6:$H$193, "&gt;="&amp;O1,'Expenditure Breakdown'!$H$6:$H$193, "&lt;"&amp;P1)</f>
        <v>0</v>
      </c>
      <c r="P5" s="110">
        <f>SUMIFS('Expenditure Breakdown'!$G$6:$G$193, 'Expenditure Breakdown'!$H$6:$H$193, "&gt;="&amp;P1,'Expenditure Breakdown'!$H$6:$H$193, "&lt;"&amp;Q1)</f>
        <v>0</v>
      </c>
      <c r="Q5" s="110">
        <f>SUMIFS('Expenditure Breakdown'!$G$6:$G$193, 'Expenditure Breakdown'!$H$6:$H$193, "&gt;="&amp;Q1,'Expenditure Breakdown'!$H$6:$H$193, "&lt;"&amp;R1)</f>
        <v>0</v>
      </c>
      <c r="R5" s="110">
        <f>SUMIFS('Expenditure Breakdown'!$G$6:$G$193, 'Expenditure Breakdown'!$H$6:$H$193, "&gt;="&amp;R1,'Expenditure Breakdown'!$H$6:$H$193, "&lt;"&amp;S1)</f>
        <v>792658.9</v>
      </c>
      <c r="S5" s="110">
        <f>SUMIFS('Expenditure Breakdown'!$G$6:$G$193, 'Expenditure Breakdown'!$H$6:$H$193, "&gt;="&amp;S1,'Expenditure Breakdown'!$H$6:$H$193, "&lt;"&amp;T1)</f>
        <v>165325</v>
      </c>
      <c r="T5" s="110">
        <f>SUMIFS('Expenditure Breakdown'!$G$6:$G$193, 'Expenditure Breakdown'!$H$6:$H$193, "&gt;="&amp;T1,'Expenditure Breakdown'!$H$6:$H$193, "&lt;"&amp;U1)</f>
        <v>305306.74</v>
      </c>
      <c r="U5" s="110">
        <f>SUMIFS('Expenditure Breakdown'!$G$6:$G$193, 'Expenditure Breakdown'!$H$6:$H$193, "&gt;="&amp;U1,'Expenditure Breakdown'!$H$6:$H$193, "&lt;"&amp;V1)</f>
        <v>0</v>
      </c>
      <c r="V5" s="110">
        <f>SUMIFS('Expenditure Breakdown'!$G$6:$G$193, 'Expenditure Breakdown'!$H$6:$H$193, "&gt;="&amp;V1,'Expenditure Breakdown'!$H$6:$H$193, "&lt;"&amp;W1)</f>
        <v>453520</v>
      </c>
      <c r="W5" s="110">
        <f>SUMIFS('Expenditure Breakdown'!$G$6:$G$193, 'Expenditure Breakdown'!$H$6:$H$193, "&gt;="&amp;W1,'Expenditure Breakdown'!$H$6:$H$193, "&lt;"&amp;X1)</f>
        <v>0</v>
      </c>
      <c r="X5" s="110">
        <f>SUMIFS('Expenditure Breakdown'!$G$6:$G$193, 'Expenditure Breakdown'!$H$6:$H$193, "&gt;="&amp;X1,'Expenditure Breakdown'!$H$6:$H$193, "&lt;"&amp;Y1)</f>
        <v>0</v>
      </c>
      <c r="Y5" s="110">
        <f>SUMIFS('Expenditure Breakdown'!$G$6:$G$193, 'Expenditure Breakdown'!$H$6:$H$193, "&gt;="&amp;Y1,'Expenditure Breakdown'!$H$6:$H$193, "&lt;"&amp;Z1)</f>
        <v>561360.21</v>
      </c>
      <c r="Z5" s="110">
        <f>SUMIFS('Expenditure Breakdown'!$G$6:$G$193, 'Expenditure Breakdown'!$H$6:$H$193, "&gt;="&amp;Z1,'Expenditure Breakdown'!$H$6:$H$193, "&lt;"&amp;AA1)</f>
        <v>0</v>
      </c>
      <c r="AA5" s="110">
        <f>SUMIFS('Expenditure Breakdown'!$G$6:$G$193, 'Expenditure Breakdown'!$H$6:$H$193, "&gt;="&amp;AA1,'Expenditure Breakdown'!$H$6:$H$193, "&lt;"&amp;AB1)</f>
        <v>0</v>
      </c>
      <c r="AB5" s="110">
        <f>SUMIFS('Expenditure Breakdown'!$G$6:$G$193, 'Expenditure Breakdown'!$H$6:$H$193, "&gt;="&amp;AB1,'Expenditure Breakdown'!$H$6:$H$193, "&lt;"&amp;AC1)</f>
        <v>0</v>
      </c>
      <c r="AC5" s="110">
        <f>SUMIFS('Expenditure Breakdown'!$G$6:$G$193, 'Expenditure Breakdown'!$H$6:$H$193, "&gt;="&amp;AC1,'Expenditure Breakdown'!$H$6:$H$193, "&lt;"&amp;AD1)</f>
        <v>0</v>
      </c>
      <c r="AD5" s="110">
        <f>SUMIFS('Expenditure Breakdown'!$G$6:$G$193, 'Expenditure Breakdown'!$H$6:$H$193, "&gt;="&amp;AD1,'Expenditure Breakdown'!$H$6:$H$193, "&lt;"&amp;AE1)</f>
        <v>0</v>
      </c>
      <c r="AE5" s="110">
        <f>SUMIFS('Expenditure Breakdown'!$G$6:$G$193, 'Expenditure Breakdown'!$H$6:$H$193, "&gt;="&amp;AE1,'Expenditure Breakdown'!$H$6:$H$193, "&lt;"&amp;AF1)</f>
        <v>0</v>
      </c>
      <c r="AF5" s="110">
        <f>SUMIFS('Expenditure Breakdown'!$G$6:$G$193, 'Expenditure Breakdown'!$H$6:$H$193, "&gt;="&amp;AF1,'Expenditure Breakdown'!$H$6:$H$193, "&lt;"&amp;AG1)</f>
        <v>0</v>
      </c>
      <c r="AG5" s="110">
        <f>SUMIFS('Expenditure Breakdown'!$G$6:$G$193, 'Expenditure Breakdown'!$H$6:$H$193, "&gt;="&amp;AG1,'Expenditure Breakdown'!$H$6:$H$193, "&lt;"&amp;AH1)</f>
        <v>0</v>
      </c>
      <c r="AH5" s="110">
        <f>SUMIFS('Expenditure Breakdown'!$G$6:$G$193, 'Expenditure Breakdown'!$H$6:$H$193, "&gt;="&amp;AH1,'Expenditure Breakdown'!$H$6:$H$193, "&lt;"&amp;AI1)</f>
        <v>0</v>
      </c>
      <c r="AI5" s="110">
        <f>SUMIFS('Expenditure Breakdown'!$G$6:$G$193, 'Expenditure Breakdown'!$H$6:$H$193, "&gt;="&amp;AI1,'Expenditure Breakdown'!$H$6:$H$193, "&lt;"&amp;AJ1)</f>
        <v>0</v>
      </c>
      <c r="AJ5" s="110">
        <f>SUMIFS('Expenditure Breakdown'!$G$6:$G$193, 'Expenditure Breakdown'!$H$6:$H$193, "&gt;="&amp;AJ1,'Expenditure Breakdown'!$H$6:$H$193, "&lt;"&amp;AK1)</f>
        <v>0</v>
      </c>
      <c r="AK5" s="110">
        <f>SUMIFS('Expenditure Breakdown'!$G$6:$G$193, 'Expenditure Breakdown'!$H$6:$H$193, "&gt;="&amp;AK1,'Expenditure Breakdown'!$H$6:$H$193, "&lt;"&amp;AL1)</f>
        <v>0</v>
      </c>
      <c r="AL5" s="110">
        <f>SUMIFS('Expenditure Breakdown'!$G$6:$G$193, 'Expenditure Breakdown'!$H$6:$H$193, "&gt;="&amp;AL1,'Expenditure Breakdown'!$H$6:$H$193, "&lt;"&amp;AM1)</f>
        <v>0</v>
      </c>
      <c r="AM5" s="110">
        <f>SUMIFS('Expenditure Breakdown'!$G$6:$G$193, 'Expenditure Breakdown'!$H$6:$H$193, "&gt;="&amp;AM1,'Expenditure Breakdown'!$H$6:$H$193, "&lt;"&amp;AN1)</f>
        <v>0</v>
      </c>
      <c r="AN5" s="110">
        <f>SUMIFS('Expenditure Breakdown'!$G$6:$G$193, 'Expenditure Breakdown'!$H$6:$H$193, "&gt;="&amp;AN1,'Expenditure Breakdown'!$H$6:$H$193, "&lt;"&amp;AO1)</f>
        <v>0</v>
      </c>
      <c r="AO5" s="110">
        <f>SUMIFS('Expenditure Breakdown'!$G$6:$G$193, 'Expenditure Breakdown'!$H$6:$H$193, "&gt;="&amp;AO1,'Expenditure Breakdown'!$H$6:$H$193, "&lt;"&amp;AP1)</f>
        <v>0</v>
      </c>
      <c r="AP5" s="110">
        <f>SUMIFS('Expenditure Breakdown'!$G$6:$G$193, 'Expenditure Breakdown'!$H$6:$H$193, "&gt;="&amp;AP1,'Expenditure Breakdown'!$H$6:$H$193, "&lt;"&amp;AQ1)</f>
        <v>0</v>
      </c>
      <c r="AQ5" s="110">
        <f>SUMIFS('Expenditure Breakdown'!$G$6:$G$193, 'Expenditure Breakdown'!$H$6:$H$193, "&gt;="&amp;AQ1,'Expenditure Breakdown'!$H$6:$H$193, "&lt;"&amp;AR1)</f>
        <v>0</v>
      </c>
      <c r="AR5" s="110">
        <f>SUMIFS('Expenditure Breakdown'!$G$6:$G$193, 'Expenditure Breakdown'!$H$6:$H$193, "&gt;="&amp;AR1,'Expenditure Breakdown'!$H$6:$H$193, "&lt;"&amp;AS1)</f>
        <v>0</v>
      </c>
      <c r="AS5" s="110">
        <f>SUMIFS('Expenditure Breakdown'!$G$6:$G$193, 'Expenditure Breakdown'!$H$6:$H$193, "&gt;="&amp;AS1,'Expenditure Breakdown'!$H$6:$H$193, "&lt;"&amp;AT1)</f>
        <v>0</v>
      </c>
      <c r="AT5" s="110">
        <f>SUMIFS('Expenditure Breakdown'!$G$6:$G$193, 'Expenditure Breakdown'!$H$6:$H$193, "&gt;="&amp;AT1,'Expenditure Breakdown'!$H$6:$H$193, "&lt;"&amp;AU1)</f>
        <v>0</v>
      </c>
      <c r="AU5" s="110">
        <f>SUMIFS('Expenditure Breakdown'!$G$6:$G$193, 'Expenditure Breakdown'!$H$6:$H$193, "&gt;="&amp;AU1,'Expenditure Breakdown'!$H$6:$H$193, "&lt;"&amp;AV1)</f>
        <v>0</v>
      </c>
      <c r="AV5" s="110">
        <f>SUMIFS('Expenditure Breakdown'!$G$6:$G$193, 'Expenditure Breakdown'!$H$6:$H$193, "&gt;="&amp;AV1,'Expenditure Breakdown'!$H$6:$H$193, "&lt;"&amp;AW1)</f>
        <v>0</v>
      </c>
      <c r="AW5" s="110">
        <f>SUMIFS('Expenditure Breakdown'!$G$6:$G$193, 'Expenditure Breakdown'!$H$6:$H$193, "&gt;="&amp;AW1,'Expenditure Breakdown'!$H$6:$H$193, "&lt;"&amp;AX1)</f>
        <v>0</v>
      </c>
      <c r="AX5" s="110">
        <f>SUMIFS('Expenditure Breakdown'!$G$6:$G$193, 'Expenditure Breakdown'!$H$6:$H$193, "&gt;="&amp;AX1,'Expenditure Breakdown'!$H$6:$H$193, "&lt;"&amp;AY1)</f>
        <v>0</v>
      </c>
      <c r="AY5" s="110">
        <f>SUMIFS('Expenditure Breakdown'!$G$6:$G$193, 'Expenditure Breakdown'!$H$6:$H$193, "&gt;="&amp;AY1,'Expenditure Breakdown'!$H$6:$H$193, "&lt;"&amp;AZ1)</f>
        <v>0</v>
      </c>
      <c r="AZ5" s="110">
        <f>SUMIFS('Expenditure Breakdown'!$G$6:$G$193, 'Expenditure Breakdown'!$H$6:$H$193, "&gt;="&amp;AZ1,'Expenditure Breakdown'!$H$6:$H$193, "&lt;"&amp;BA1)</f>
        <v>0</v>
      </c>
      <c r="BA5" s="110">
        <f>SUMIFS('Expenditure Breakdown'!$G$6:$G$193, 'Expenditure Breakdown'!$H$6:$H$193, "&gt;="&amp;BA1,'Expenditure Breakdown'!$H$6:$H$193, "&lt;"&amp;BB1)</f>
        <v>0</v>
      </c>
      <c r="BB5" s="110">
        <f>SUMIFS('Expenditure Breakdown'!$G$6:$G$193, 'Expenditure Breakdown'!$H$6:$H$193, "&gt;="&amp;BB1,'Expenditure Breakdown'!$H$6:$H$193, "&lt;"&amp;BC1)</f>
        <v>0</v>
      </c>
      <c r="BC5" s="110">
        <f>SUMIFS('Expenditure Breakdown'!$G$6:$G$193, 'Expenditure Breakdown'!$H$6:$H$193, "&gt;="&amp;BC1,'Expenditure Breakdown'!$H$6:$H$193, "&lt;"&amp;BD1)</f>
        <v>0</v>
      </c>
      <c r="BD5" s="110">
        <f>SUMIFS('Expenditure Breakdown'!$G$6:$G$193, 'Expenditure Breakdown'!$H$6:$H$193, "&gt;="&amp;BD1,'Expenditure Breakdown'!$H$6:$H$193, "&lt;"&amp;BE1)</f>
        <v>0</v>
      </c>
      <c r="BE5" s="110">
        <f>SUMIFS('Expenditure Breakdown'!$G$6:$G$193, 'Expenditure Breakdown'!$H$6:$H$193, "&gt;="&amp;BE1,'Expenditure Breakdown'!$H$6:$H$193, "&lt;"&amp;BF1)</f>
        <v>0</v>
      </c>
      <c r="BF5" s="110">
        <f>SUMIFS('Expenditure Breakdown'!$G$6:$G$193, 'Expenditure Breakdown'!$H$6:$H$193, "&gt;="&amp;BF1,'Expenditure Breakdown'!$H$6:$H$193, "&lt;"&amp;BG1)</f>
        <v>0</v>
      </c>
      <c r="BG5" s="110">
        <f>SUMIFS('Expenditure Breakdown'!$G$6:$G$193, 'Expenditure Breakdown'!$H$6:$H$193, "&gt;="&amp;BG1,'Expenditure Breakdown'!$H$6:$H$193, "&lt;"&amp;BH1)</f>
        <v>0</v>
      </c>
      <c r="BH5" s="110">
        <f>SUMIFS('Expenditure Breakdown'!$G$6:$G$193, 'Expenditure Breakdown'!$H$6:$H$193, "&gt;="&amp;BH1,'Expenditure Breakdown'!$H$6:$H$193, "&lt;"&amp;BI1)</f>
        <v>0</v>
      </c>
      <c r="BI5" s="110">
        <f>SUMIFS('Expenditure Breakdown'!$G$6:$G$193, 'Expenditure Breakdown'!$H$6:$H$193, "&gt;="&amp;BI1,'Expenditure Breakdown'!$H$6:$H$193, "&lt;"&amp;BJ1)</f>
        <v>0</v>
      </c>
      <c r="BJ5" s="110">
        <f>SUMIFS('Expenditure Breakdown'!$G$6:$G$193, 'Expenditure Breakdown'!$H$6:$H$193, "&gt;="&amp;BJ1,'Expenditure Breakdown'!$H$6:$H$193, "&lt;"&amp;BK1)</f>
        <v>0</v>
      </c>
      <c r="BK5" s="110">
        <f>SUMIFS('Expenditure Breakdown'!$G$6:$G$193, 'Expenditure Breakdown'!$H$6:$H$193, "&gt;="&amp;BK1,'Expenditure Breakdown'!$H$6:$H$193, "&lt;"&amp;BL1)</f>
        <v>0</v>
      </c>
      <c r="BL5" s="110">
        <f>SUMIFS('Expenditure Breakdown'!$G$6:$G$193, 'Expenditure Breakdown'!$H$6:$H$193, "&gt;="&amp;BL1,'Expenditure Breakdown'!$H$6:$H$193, "&lt;"&amp;BM1)</f>
        <v>0</v>
      </c>
      <c r="BM5" s="110">
        <f>SUMIFS('Expenditure Breakdown'!$G$6:$G$193, 'Expenditure Breakdown'!$H$6:$H$193, "&gt;="&amp;BM1,'Expenditure Breakdown'!$H$6:$H$193, "&lt;"&amp;BN1)</f>
        <v>0</v>
      </c>
      <c r="BN5" s="110">
        <f>SUMIFS('Expenditure Breakdown'!$G$6:$G$193, 'Expenditure Breakdown'!$H$6:$H$193, "&gt;="&amp;BN1,'Expenditure Breakdown'!$H$6:$H$193, "&lt;"&amp;BO1)</f>
        <v>0</v>
      </c>
      <c r="BO5" s="110">
        <f>SUMIFS('Expenditure Breakdown'!$G$6:$G$193, 'Expenditure Breakdown'!$H$6:$H$193, "&gt;="&amp;BO1,'Expenditure Breakdown'!$H$6:$H$193, "&lt;"&amp;BP1)</f>
        <v>0</v>
      </c>
      <c r="BP5" s="110">
        <f>SUMIFS('Expenditure Breakdown'!$G$6:$G$193, 'Expenditure Breakdown'!$H$6:$H$193, "&gt;="&amp;BP1,'Expenditure Breakdown'!$H$6:$H$193, "&lt;"&amp;BQ1)</f>
        <v>0</v>
      </c>
      <c r="BQ5" s="110">
        <f>SUMIFS('Expenditure Breakdown'!$G$6:$G$193, 'Expenditure Breakdown'!$H$6:$H$193, "&gt;="&amp;BQ1,'Expenditure Breakdown'!$H$6:$H$193, "&lt;"&amp;BR1)</f>
        <v>0</v>
      </c>
      <c r="BR5" s="110">
        <f>SUMIFS('Expenditure Breakdown'!$G$6:$G$193, 'Expenditure Breakdown'!$H$6:$H$193, "&gt;="&amp;BR1,'Expenditure Breakdown'!$H$6:$H$193, "&lt;"&amp;BS1)</f>
        <v>0</v>
      </c>
      <c r="BS5" s="110">
        <f>SUMIFS('Expenditure Breakdown'!$G$6:$G$193, 'Expenditure Breakdown'!$H$6:$H$193, "&gt;="&amp;BS1,'Expenditure Breakdown'!$H$6:$H$193, "&lt;"&amp;BT1)</f>
        <v>0</v>
      </c>
      <c r="BT5" s="110">
        <f>SUMIFS('Expenditure Breakdown'!$G$6:$G$193, 'Expenditure Breakdown'!$H$6:$H$193, "&gt;="&amp;BT1,'Expenditure Breakdown'!$H$6:$H$193, "&lt;"&amp;BU1)</f>
        <v>0</v>
      </c>
      <c r="BU5" s="110">
        <f>SUMIFS('Expenditure Breakdown'!$G$6:$G$193, 'Expenditure Breakdown'!$H$6:$H$193, "&gt;="&amp;BU1,'Expenditure Breakdown'!$H$6:$H$193, "&lt;"&amp;BV1)</f>
        <v>0</v>
      </c>
      <c r="BV5" s="110">
        <f>SUMIFS('Expenditure Breakdown'!$G$6:$G$193, 'Expenditure Breakdown'!$H$6:$H$193, "&gt;="&amp;BV1,'Expenditure Breakdown'!$H$6:$H$193, "&lt;"&amp;BW1)</f>
        <v>0</v>
      </c>
      <c r="BW5" s="110">
        <f>SUMIFS('Expenditure Breakdown'!$G$6:$G$193, 'Expenditure Breakdown'!$H$6:$H$193, "&gt;="&amp;BW1,'Expenditure Breakdown'!$H$6:$H$193, "&lt;"&amp;BX1)</f>
        <v>0</v>
      </c>
      <c r="BX5" s="110">
        <f>SUMIFS('Expenditure Breakdown'!$G$6:$G$193, 'Expenditure Breakdown'!$H$6:$H$193, "&gt;="&amp;BX1,'Expenditure Breakdown'!$H$6:$H$193, "&lt;"&amp;BY1)</f>
        <v>0</v>
      </c>
      <c r="BY5" s="110">
        <f>SUMIFS('Expenditure Breakdown'!$G$6:$G$193, 'Expenditure Breakdown'!$H$6:$H$193, "&gt;="&amp;BY1,'Expenditure Breakdown'!$H$6:$H$193, "&lt;"&amp;BZ1)</f>
        <v>0</v>
      </c>
      <c r="BZ5" s="110">
        <f>SUMIFS('Expenditure Breakdown'!$G$6:$G$193, 'Expenditure Breakdown'!$H$6:$H$193, "&gt;="&amp;BZ1,'Expenditure Breakdown'!$H$6:$H$193, "&lt;"&amp;CA1)</f>
        <v>0</v>
      </c>
      <c r="CA5" s="110">
        <f>SUMIFS('Expenditure Breakdown'!$G$6:$G$193, 'Expenditure Breakdown'!$H$6:$H$193, "&gt;="&amp;CA1,'Expenditure Breakdown'!$H$6:$H$193, "&lt;"&amp;CB1)</f>
        <v>0</v>
      </c>
      <c r="CB5" s="110">
        <f>SUMIFS('Expenditure Breakdown'!$G$6:$G$193, 'Expenditure Breakdown'!$H$6:$H$193, "&gt;="&amp;CB1,'Expenditure Breakdown'!$H$6:$H$193, "&lt;"&amp;CC1)</f>
        <v>0</v>
      </c>
      <c r="CC5" s="110">
        <f>SUMIFS('Expenditure Breakdown'!$G$6:$G$193, 'Expenditure Breakdown'!$H$6:$H$193, "&gt;="&amp;CC1,'Expenditure Breakdown'!$H$6:$H$193, "&lt;"&amp;CD1)</f>
        <v>0</v>
      </c>
      <c r="CD5" s="110">
        <f>SUMIFS('Expenditure Breakdown'!$G$6:$G$193, 'Expenditure Breakdown'!$H$6:$H$193, "&gt;="&amp;CD1,'Expenditure Breakdown'!$H$6:$H$193, "&lt;"&amp;CE1)</f>
        <v>0</v>
      </c>
      <c r="CE5" s="110">
        <f>SUMIFS('Expenditure Breakdown'!$G$6:$G$193, 'Expenditure Breakdown'!$H$6:$H$193, "&gt;="&amp;CE1,'Expenditure Breakdown'!$H$6:$H$193, "&lt;"&amp;CF1)</f>
        <v>0</v>
      </c>
      <c r="CF5" s="110">
        <f>SUMIFS('Expenditure Breakdown'!$G$6:$G$193, 'Expenditure Breakdown'!$H$6:$H$193, "&gt;="&amp;CF1,'Expenditure Breakdown'!$H$6:$H$193, "&lt;"&amp;CG1)</f>
        <v>0</v>
      </c>
      <c r="CG5" s="110">
        <f>SUMIFS('Expenditure Breakdown'!$G$6:$G$193, 'Expenditure Breakdown'!$H$6:$H$193, "&gt;="&amp;CG1,'Expenditure Breakdown'!$H$6:$H$193, "&lt;"&amp;CH1)</f>
        <v>0</v>
      </c>
      <c r="CH5" s="110">
        <f>SUMIFS('Expenditure Breakdown'!$G$6:$G$193, 'Expenditure Breakdown'!$H$6:$H$193, "&gt;="&amp;CH1,'Expenditure Breakdown'!$H$6:$H$193, "&lt;"&amp;CI1)</f>
        <v>0</v>
      </c>
      <c r="CI5" s="110">
        <f>SUMIFS('Expenditure Breakdown'!$G$6:$G$193, 'Expenditure Breakdown'!$H$6:$H$193, "&gt;="&amp;CI1,'Expenditure Breakdown'!$H$6:$H$193, "&lt;"&amp;CJ1)</f>
        <v>0</v>
      </c>
      <c r="CJ5" s="110">
        <f>SUMIFS('Expenditure Breakdown'!$G$6:$G$193, 'Expenditure Breakdown'!$H$6:$H$193, "&gt;="&amp;CJ1,'Expenditure Breakdown'!$H$6:$H$193, "&lt;"&amp;CK1)</f>
        <v>0</v>
      </c>
      <c r="CK5" s="110">
        <f>SUMIFS('Expenditure Breakdown'!$G$6:$G$193, 'Expenditure Breakdown'!$H$6:$H$193, "&gt;="&amp;CK1,'Expenditure Breakdown'!$H$6:$H$193, "&lt;"&amp;CL1)</f>
        <v>0</v>
      </c>
      <c r="CL5" s="110">
        <f>SUMIFS('Expenditure Breakdown'!$G$6:$G$193, 'Expenditure Breakdown'!$H$6:$H$193, "&gt;="&amp;CL1,'Expenditure Breakdown'!$H$6:$H$193, "&lt;"&amp;CM1)</f>
        <v>0</v>
      </c>
      <c r="CM5" s="110">
        <f>SUMIFS('Expenditure Breakdown'!$G$6:$G$193, 'Expenditure Breakdown'!$H$6:$H$193, "&gt;="&amp;CM1,'Expenditure Breakdown'!$H$6:$H$193, "&lt;"&amp;CN1)</f>
        <v>0</v>
      </c>
      <c r="CN5" s="110">
        <f>SUMIFS('Expenditure Breakdown'!$G$6:$G$193, 'Expenditure Breakdown'!$H$6:$H$193, "&gt;="&amp;CN1,'Expenditure Breakdown'!$H$6:$H$193, "&lt;"&amp;CO1)</f>
        <v>0</v>
      </c>
      <c r="CO5" s="110">
        <f>SUMIFS('Expenditure Breakdown'!$G$6:$G$193, 'Expenditure Breakdown'!$H$6:$H$193, "&gt;="&amp;CO1,'Expenditure Breakdown'!$H$6:$H$193, "&lt;"&amp;CP1)</f>
        <v>0</v>
      </c>
      <c r="CP5" s="110">
        <f>SUMIFS('Expenditure Breakdown'!$G$6:$G$193, 'Expenditure Breakdown'!$H$6:$H$193, "&gt;="&amp;CP1,'Expenditure Breakdown'!$H$6:$H$193, "&lt;"&amp;CQ1)</f>
        <v>0</v>
      </c>
      <c r="CQ5" s="110">
        <f>SUMIFS('Expenditure Breakdown'!$G$6:$G$193, 'Expenditure Breakdown'!$H$6:$H$193, "&gt;="&amp;CQ1,'Expenditure Breakdown'!$H$6:$H$193, "&lt;"&amp;CR1)</f>
        <v>0</v>
      </c>
      <c r="CR5" s="110">
        <f>SUMIFS('Expenditure Breakdown'!$G$6:$G$193, 'Expenditure Breakdown'!$H$6:$H$193, "&gt;="&amp;CR1,'Expenditure Breakdown'!$H$6:$H$193, "&lt;"&amp;CS1)</f>
        <v>0</v>
      </c>
      <c r="CS5" s="110">
        <f>SUMIFS('Expenditure Breakdown'!$G$6:$G$193, 'Expenditure Breakdown'!$H$6:$H$193, "&gt;="&amp;CS1,'Expenditure Breakdown'!$H$6:$H$193, "&lt;"&amp;CT1)</f>
        <v>0</v>
      </c>
      <c r="CT5" s="110">
        <f>SUMIFS('Expenditure Breakdown'!$G$6:$G$193, 'Expenditure Breakdown'!$H$6:$H$193, "&gt;="&amp;CT1,'Expenditure Breakdown'!$H$6:$H$193, "&lt;"&amp;CU1)</f>
        <v>0</v>
      </c>
      <c r="CU5" s="110">
        <f>SUMIFS('Expenditure Breakdown'!$G$6:$G$193, 'Expenditure Breakdown'!$H$6:$H$193, "&gt;="&amp;CU1,'Expenditure Breakdown'!$H$6:$H$193, "&lt;"&amp;CV1)</f>
        <v>0</v>
      </c>
      <c r="CV5" s="110">
        <f>SUMIFS('Expenditure Breakdown'!$G$6:$G$193, 'Expenditure Breakdown'!$H$6:$H$193, "&gt;="&amp;CV1,'Expenditure Breakdown'!$H$6:$H$193, "&lt;"&amp;CW1)</f>
        <v>0</v>
      </c>
      <c r="CW5" s="110">
        <f>SUMIFS('Expenditure Breakdown'!$G$6:$G$193, 'Expenditure Breakdown'!$H$6:$H$193, "&gt;="&amp;CW1,'Expenditure Breakdown'!$H$6:$H$193, "&lt;"&amp;CX1)</f>
        <v>0</v>
      </c>
      <c r="CX5" s="110">
        <f>SUMIFS('Expenditure Breakdown'!$G$6:$G$193, 'Expenditure Breakdown'!$H$6:$H$193, "&gt;="&amp;CX1,'Expenditure Breakdown'!$H$6:$H$193, "&lt;"&amp;CY1)</f>
        <v>0</v>
      </c>
      <c r="CY5" s="110">
        <f>SUMIFS('Expenditure Breakdown'!$G$6:$G$193, 'Expenditure Breakdown'!$H$6:$H$193, "&gt;="&amp;CY1,'Expenditure Breakdown'!$H$6:$H$193, "&lt;"&amp;CZ1)</f>
        <v>0</v>
      </c>
      <c r="CZ5" s="110">
        <f>SUMIFS('Expenditure Breakdown'!$G$6:$G$193, 'Expenditure Breakdown'!$H$6:$H$193, "&gt;="&amp;CZ1,'Expenditure Breakdown'!$H$6:$H$193, "&lt;"&amp;DA1)</f>
        <v>0</v>
      </c>
      <c r="DA5" s="110">
        <f>SUMIFS('Expenditure Breakdown'!$G$6:$G$193, 'Expenditure Breakdown'!$H$6:$H$193, "&gt;="&amp;DA1,'Expenditure Breakdown'!$H$6:$H$193, "&lt;"&amp;DB1)</f>
        <v>0</v>
      </c>
      <c r="DB5" s="110">
        <f>SUMIFS('Expenditure Breakdown'!$G$6:$G$193, 'Expenditure Breakdown'!$H$6:$H$193, "&gt;="&amp;DB1,'Expenditure Breakdown'!$H$6:$H$193, "&lt;"&amp;DC1)</f>
        <v>0</v>
      </c>
      <c r="DC5" s="110">
        <f>SUMIFS('Expenditure Breakdown'!$G$6:$G$193, 'Expenditure Breakdown'!$H$6:$H$193, "&gt;="&amp;DC1,'Expenditure Breakdown'!$H$6:$H$193, "&lt;"&amp;DD1)</f>
        <v>0</v>
      </c>
      <c r="DD5" s="110">
        <f>SUMIFS('Expenditure Breakdown'!$G$6:$G$193, 'Expenditure Breakdown'!$H$6:$H$193, "&gt;="&amp;DD1,'Expenditure Breakdown'!$H$6:$H$193, "&lt;"&amp;DE1)</f>
        <v>0</v>
      </c>
      <c r="DE5" s="110">
        <f>SUMIFS('Expenditure Breakdown'!$G$6:$G$193, 'Expenditure Breakdown'!$H$6:$H$193, "&gt;="&amp;DE1,'Expenditure Breakdown'!$H$6:$H$193, "&lt;"&amp;DF1)</f>
        <v>0</v>
      </c>
      <c r="DF5" s="110">
        <f>SUMIFS('Expenditure Breakdown'!$G$6:$G$193, 'Expenditure Breakdown'!$H$6:$H$193, "&gt;="&amp;DF1,'Expenditure Breakdown'!$H$6:$H$193, "&lt;"&amp;DG1)</f>
        <v>0</v>
      </c>
      <c r="DG5" s="110">
        <f>SUMIFS('Expenditure Breakdown'!$G$6:$G$193, 'Expenditure Breakdown'!$H$6:$H$193, "&gt;="&amp;DG1,'Expenditure Breakdown'!$H$6:$H$193, "&lt;"&amp;DH1)</f>
        <v>0</v>
      </c>
      <c r="DH5" s="110">
        <f>SUMIFS('Expenditure Breakdown'!$G$6:$G$193, 'Expenditure Breakdown'!$H$6:$H$193, "&gt;="&amp;DH1,'Expenditure Breakdown'!$H$6:$H$193, "&lt;"&amp;DI1)</f>
        <v>0</v>
      </c>
      <c r="DI5" s="110">
        <f>SUMIFS('Expenditure Breakdown'!$G$6:$G$193, 'Expenditure Breakdown'!$H$6:$H$193, "&gt;="&amp;DI1,'Expenditure Breakdown'!$H$6:$H$193, "&lt;"&amp;DJ1)</f>
        <v>0</v>
      </c>
      <c r="DJ5" s="110">
        <f>SUMIFS('Expenditure Breakdown'!$G$6:$G$193, 'Expenditure Breakdown'!$H$6:$H$193, "&gt;="&amp;DJ1,'Expenditure Breakdown'!$H$6:$H$193, "&lt;"&amp;DK1)</f>
        <v>0</v>
      </c>
      <c r="DK5" s="110">
        <f>SUMIFS('Expenditure Breakdown'!$G$6:$G$193, 'Expenditure Breakdown'!$H$6:$H$193, "&gt;="&amp;DK1,'Expenditure Breakdown'!$H$6:$H$193, "&lt;"&amp;DL1)</f>
        <v>0</v>
      </c>
      <c r="DL5" s="110">
        <f>SUMIFS('Expenditure Breakdown'!$G$6:$G$193, 'Expenditure Breakdown'!$H$6:$H$193, "&gt;="&amp;DL1,'Expenditure Breakdown'!$H$6:$H$193, "&lt;"&amp;DM1)</f>
        <v>0</v>
      </c>
      <c r="DM5" s="110">
        <f>SUMIFS('Expenditure Breakdown'!$G$6:$G$193, 'Expenditure Breakdown'!$H$6:$H$193, "&gt;="&amp;DM1,'Expenditure Breakdown'!$H$6:$H$193, "&lt;"&amp;DN1)</f>
        <v>0</v>
      </c>
      <c r="DN5" s="110">
        <f>SUMIFS('Expenditure Breakdown'!$G$6:$G$193, 'Expenditure Breakdown'!$H$6:$H$193, "&gt;="&amp;DN1,'Expenditure Breakdown'!$H$6:$H$193, "&lt;"&amp;DO1)</f>
        <v>0</v>
      </c>
      <c r="DO5" s="110">
        <f>SUMIFS('Expenditure Breakdown'!$G$6:$G$193, 'Expenditure Breakdown'!$H$6:$H$193, "&gt;="&amp;DO1,'Expenditure Breakdown'!$H$6:$H$193, "&lt;"&amp;DP1)</f>
        <v>0</v>
      </c>
      <c r="DP5" s="110">
        <f>SUMIFS('Expenditure Breakdown'!$G$6:$G$193, 'Expenditure Breakdown'!$H$6:$H$193, "&gt;="&amp;DP1,'Expenditure Breakdown'!$H$6:$H$193, "&lt;"&amp;DQ1)</f>
        <v>0</v>
      </c>
      <c r="DQ5" s="110">
        <f>SUMIFS('Expenditure Breakdown'!$G$6:$G$193, 'Expenditure Breakdown'!$H$6:$H$193, "&gt;="&amp;DQ1,'Expenditure Breakdown'!$H$6:$H$193, "&lt;"&amp;DR1)</f>
        <v>0</v>
      </c>
      <c r="DR5" s="110">
        <f>SUMIFS('Expenditure Breakdown'!$G$6:$G$193, 'Expenditure Breakdown'!$H$6:$H$193, "&gt;="&amp;DR1,'Expenditure Breakdown'!$H$6:$H$193, "&lt;"&amp;DS1)</f>
        <v>0</v>
      </c>
      <c r="DS5" s="110">
        <f>SUMIFS('Expenditure Breakdown'!$G$6:$G$193, 'Expenditure Breakdown'!$H$6:$H$193, "&gt;="&amp;DS1,'Expenditure Breakdown'!$H$6:$H$193, "&lt;"&amp;DT1)</f>
        <v>0</v>
      </c>
      <c r="DT5" s="110">
        <f>SUMIFS('Expenditure Breakdown'!$G$6:$G$193, 'Expenditure Breakdown'!$H$6:$H$193, "&gt;="&amp;DT1,'Expenditure Breakdown'!$H$6:$H$193, "&lt;"&amp;DU1)</f>
        <v>0</v>
      </c>
      <c r="DU5" s="110">
        <f>SUMIFS('Expenditure Breakdown'!$G$6:$G$193, 'Expenditure Breakdown'!$H$6:$H$193, "&gt;="&amp;DU1,'Expenditure Breakdown'!$H$6:$H$193, "&lt;"&amp;DV1)</f>
        <v>0</v>
      </c>
      <c r="DV5" s="110">
        <f>SUMIFS('Expenditure Breakdown'!$G$6:$G$193, 'Expenditure Breakdown'!$H$6:$H$193, "&gt;="&amp;DV1,'Expenditure Breakdown'!$H$6:$H$193, "&lt;"&amp;DW1)</f>
        <v>0</v>
      </c>
      <c r="DW5" s="110">
        <f>SUMIFS('Expenditure Breakdown'!$G$6:$G$193, 'Expenditure Breakdown'!$H$6:$H$193, "&gt;="&amp;DW1,'Expenditure Breakdown'!$H$6:$H$193, "&lt;"&amp;DX1)</f>
        <v>0</v>
      </c>
      <c r="DX5" s="110">
        <f>SUMIFS('Expenditure Breakdown'!$G$6:$G$193, 'Expenditure Breakdown'!$H$6:$H$193, "&gt;="&amp;DX1,'Expenditure Breakdown'!$H$6:$H$193, "&lt;"&amp;DY1)</f>
        <v>0</v>
      </c>
      <c r="DY5" s="110">
        <f>SUMIFS('Expenditure Breakdown'!$G$6:$G$193, 'Expenditure Breakdown'!$H$6:$H$193, "&gt;="&amp;DY1,'Expenditure Breakdown'!$H$6:$H$193, "&lt;"&amp;DZ1)</f>
        <v>0</v>
      </c>
      <c r="DZ5" s="110">
        <f>SUMIFS('Expenditure Breakdown'!$G$6:$G$193, 'Expenditure Breakdown'!$H$6:$H$193, "&gt;="&amp;DZ1,'Expenditure Breakdown'!$H$6:$H$193, "&lt;"&amp;EA1)</f>
        <v>0</v>
      </c>
      <c r="EA5" s="110">
        <f>SUMIFS('Expenditure Breakdown'!$G$6:$G$193, 'Expenditure Breakdown'!$H$6:$H$193, "&gt;="&amp;EA1,'Expenditure Breakdown'!$H$6:$H$193, "&lt;"&amp;EB1)</f>
        <v>0</v>
      </c>
      <c r="EB5" s="110">
        <f>SUMIFS('Expenditure Breakdown'!$G$6:$G$193, 'Expenditure Breakdown'!$H$6:$H$193, "&gt;="&amp;EB1,'Expenditure Breakdown'!$H$6:$H$193, "&lt;"&amp;EC1)</f>
        <v>0</v>
      </c>
      <c r="EC5" s="110">
        <f>SUMIFS('Expenditure Breakdown'!$G$6:$G$193, 'Expenditure Breakdown'!$H$6:$H$193, "&gt;="&amp;EC1,'Expenditure Breakdown'!$H$6:$H$193, "&lt;"&amp;ED1)</f>
        <v>0</v>
      </c>
      <c r="ED5" s="110">
        <f>SUMIFS('Expenditure Breakdown'!$G$6:$G$193, 'Expenditure Breakdown'!$H$6:$H$193, "&gt;="&amp;ED1,'Expenditure Breakdown'!$H$6:$H$193, "&lt;"&amp;EE1)</f>
        <v>0</v>
      </c>
      <c r="EE5" s="110">
        <f>SUMIFS('Expenditure Breakdown'!$G$6:$G$193, 'Expenditure Breakdown'!$H$6:$H$193, "&gt;="&amp;EE1,'Expenditure Breakdown'!$H$6:$H$193, "&lt;"&amp;EF1)</f>
        <v>0</v>
      </c>
      <c r="EF5" s="110">
        <f>SUMIFS('Expenditure Breakdown'!$G$6:$G$193, 'Expenditure Breakdown'!$H$6:$H$193, "&gt;="&amp;EF1,'Expenditure Breakdown'!$H$6:$H$193, "&lt;"&amp;EG1)</f>
        <v>0</v>
      </c>
      <c r="EG5" s="110">
        <f>SUMIFS('Expenditure Breakdown'!$G$6:$G$193, 'Expenditure Breakdown'!$H$6:$H$193, "&gt;="&amp;EG1,'Expenditure Breakdown'!$H$6:$H$193, "&lt;"&amp;EH1)</f>
        <v>0</v>
      </c>
      <c r="EH5" s="110">
        <f>SUMIFS('Expenditure Breakdown'!$G$6:$G$193, 'Expenditure Breakdown'!$H$6:$H$193, "&gt;="&amp;EH1,'Expenditure Breakdown'!$H$6:$H$193, "&lt;"&amp;EI1)</f>
        <v>0</v>
      </c>
      <c r="EI5" s="110">
        <f>SUMIFS('Expenditure Breakdown'!$G$6:$G$193, 'Expenditure Breakdown'!$H$6:$H$193, "&gt;="&amp;EI1,'Expenditure Breakdown'!$H$6:$H$193, "&lt;"&amp;EJ1)</f>
        <v>0</v>
      </c>
      <c r="EJ5" s="110">
        <f>SUMIFS('Expenditure Breakdown'!$G$6:$G$193, 'Expenditure Breakdown'!$H$6:$H$193, "&gt;="&amp;EJ1,'Expenditure Breakdown'!$H$6:$H$193, "&lt;"&amp;EK1)</f>
        <v>0</v>
      </c>
      <c r="EK5" s="110">
        <f>SUMIFS('Expenditure Breakdown'!$G$6:$G$193, 'Expenditure Breakdown'!$H$6:$H$193, "&gt;="&amp;EK1,'Expenditure Breakdown'!$H$6:$H$193, "&lt;"&amp;EL1)</f>
        <v>0</v>
      </c>
      <c r="EL5" s="110">
        <f>SUMIFS('Expenditure Breakdown'!$G$6:$G$193, 'Expenditure Breakdown'!$H$6:$H$193, "&gt;="&amp;EL1,'Expenditure Breakdown'!$H$6:$H$193, "&lt;"&amp;EM1)</f>
        <v>0</v>
      </c>
      <c r="EM5" s="110">
        <f>SUMIFS('Expenditure Breakdown'!$G$6:$G$193, 'Expenditure Breakdown'!$H$6:$H$193, "&gt;="&amp;EM1,'Expenditure Breakdown'!$H$6:$H$193, "&lt;"&amp;EN1)</f>
        <v>0</v>
      </c>
      <c r="EN5" s="110">
        <f>SUMIFS('Expenditure Breakdown'!$G$6:$G$193, 'Expenditure Breakdown'!$H$6:$H$193, "&gt;="&amp;EN1,'Expenditure Breakdown'!$H$6:$H$193, "&lt;"&amp;EO1)</f>
        <v>0</v>
      </c>
      <c r="EO5" s="110">
        <f>SUMIFS('Expenditure Breakdown'!$G$6:$G$193, 'Expenditure Breakdown'!$H$6:$H$193, "&gt;="&amp;EO1,'Expenditure Breakdown'!$H$6:$H$193, "&lt;"&amp;EP1)</f>
        <v>0</v>
      </c>
      <c r="EP5" s="110">
        <f>SUMIFS('Expenditure Breakdown'!$G$6:$G$193, 'Expenditure Breakdown'!$H$6:$H$193, "&gt;="&amp;EP1,'Expenditure Breakdown'!$H$6:$H$193, "&lt;"&amp;EQ1)</f>
        <v>0</v>
      </c>
      <c r="EQ5" s="110">
        <f>SUMIFS('Expenditure Breakdown'!$G$6:$G$193, 'Expenditure Breakdown'!$H$6:$H$193, "&gt;="&amp;EQ1,'Expenditure Breakdown'!$H$6:$H$193, "&lt;"&amp;ER1)</f>
        <v>0</v>
      </c>
      <c r="ER5" s="110">
        <f>SUMIFS('Expenditure Breakdown'!$G$6:$G$193, 'Expenditure Breakdown'!$H$6:$H$193, "&gt;="&amp;ER1,'Expenditure Breakdown'!$H$6:$H$193, "&lt;"&amp;ES1)</f>
        <v>0</v>
      </c>
      <c r="ES5" s="110">
        <f>SUMIFS('Expenditure Breakdown'!$G$6:$G$193, 'Expenditure Breakdown'!$H$6:$H$193, "&gt;="&amp;ES1,'Expenditure Breakdown'!$H$6:$H$193, "&lt;"&amp;ET1)</f>
        <v>0</v>
      </c>
      <c r="ET5" s="110">
        <f>SUMIFS('Expenditure Breakdown'!$G$6:$G$193, 'Expenditure Breakdown'!$H$6:$H$193, "&gt;="&amp;ET1,'Expenditure Breakdown'!$H$6:$H$193, "&lt;"&amp;EU1)</f>
        <v>0</v>
      </c>
      <c r="EU5" s="110">
        <f>SUMIFS('Expenditure Breakdown'!$G$6:$G$193, 'Expenditure Breakdown'!$H$6:$H$193, "&gt;="&amp;EU1,'Expenditure Breakdown'!$H$6:$H$193, "&lt;"&amp;EV1)</f>
        <v>0</v>
      </c>
      <c r="EV5" s="110">
        <f>SUMIFS('Expenditure Breakdown'!$G$6:$G$193, 'Expenditure Breakdown'!$H$6:$H$193, "&gt;="&amp;EV1,'Expenditure Breakdown'!$H$6:$H$193, "&lt;"&amp;EW1)</f>
        <v>0</v>
      </c>
      <c r="EW5" s="110">
        <f>SUMIFS('Expenditure Breakdown'!$G$6:$G$193, 'Expenditure Breakdown'!$H$6:$H$193, "&gt;="&amp;EW1,'Expenditure Breakdown'!$H$6:$H$193, "&lt;"&amp;EX1)</f>
        <v>0</v>
      </c>
      <c r="EX5" s="110">
        <f>SUMIFS('Expenditure Breakdown'!$G$6:$G$193, 'Expenditure Breakdown'!$H$6:$H$193, "&gt;="&amp;EX1,'Expenditure Breakdown'!$H$6:$H$193, "&lt;"&amp;EY1)</f>
        <v>0</v>
      </c>
      <c r="EY5" s="110">
        <f>SUMIFS('Expenditure Breakdown'!$G$6:$G$193, 'Expenditure Breakdown'!$H$6:$H$193, "&gt;="&amp;EY1,'Expenditure Breakdown'!$H$6:$H$193, "&lt;"&amp;EZ1)</f>
        <v>0</v>
      </c>
      <c r="EZ5" s="110">
        <f>SUMIFS('Expenditure Breakdown'!$G$6:$G$193, 'Expenditure Breakdown'!$H$6:$H$193, "&gt;="&amp;EZ1,'Expenditure Breakdown'!$H$6:$H$193, "&lt;"&amp;FA1)</f>
        <v>0</v>
      </c>
      <c r="FA5" s="110">
        <f>SUMIFS('Expenditure Breakdown'!$G$6:$G$193, 'Expenditure Breakdown'!$H$6:$H$193, "&gt;="&amp;FA1,'Expenditure Breakdown'!$H$6:$H$193, "&lt;"&amp;FB1)</f>
        <v>0</v>
      </c>
      <c r="FB5" s="110">
        <f>SUMIFS('Expenditure Breakdown'!$G$6:$G$193, 'Expenditure Breakdown'!$H$6:$H$193, "&gt;="&amp;FB1,'Expenditure Breakdown'!$H$6:$H$193, "&lt;"&amp;FC1)</f>
        <v>0</v>
      </c>
      <c r="FC5" s="110">
        <f>SUMIFS('Expenditure Breakdown'!$G$6:$G$193, 'Expenditure Breakdown'!$H$6:$H$193, "&gt;="&amp;FC1,'Expenditure Breakdown'!$H$6:$H$193, "&lt;"&amp;FD1)</f>
        <v>0</v>
      </c>
      <c r="FD5" s="110">
        <f>SUMIFS('Expenditure Breakdown'!$G$6:$G$193, 'Expenditure Breakdown'!$H$6:$H$193, "&gt;="&amp;FD1,'Expenditure Breakdown'!$H$6:$H$193, "&lt;"&amp;FE1)</f>
        <v>0</v>
      </c>
      <c r="FE5" s="110">
        <f>SUMIFS('Expenditure Breakdown'!$G$6:$G$193, 'Expenditure Breakdown'!$H$6:$H$193, "&gt;="&amp;FE1,'Expenditure Breakdown'!$H$6:$H$193, "&lt;"&amp;FF1)</f>
        <v>0</v>
      </c>
      <c r="FF5" s="110">
        <f>SUMIFS('Expenditure Breakdown'!$G$6:$G$193, 'Expenditure Breakdown'!$H$6:$H$193, "&gt;="&amp;FF1,'Expenditure Breakdown'!$H$6:$H$193, "&lt;"&amp;FG1)</f>
        <v>0</v>
      </c>
      <c r="FG5" s="110">
        <f>SUMIFS('Expenditure Breakdown'!$G$6:$G$193, 'Expenditure Breakdown'!$H$6:$H$193, "&gt;="&amp;FG1,'Expenditure Breakdown'!$H$6:$H$193, "&lt;"&amp;FH1)</f>
        <v>0</v>
      </c>
      <c r="FH5" s="110">
        <f>SUMIFS('Expenditure Breakdown'!$G$6:$G$193, 'Expenditure Breakdown'!$H$6:$H$193, "&gt;="&amp;FH1,'Expenditure Breakdown'!$H$6:$H$193, "&lt;"&amp;FI1)</f>
        <v>0</v>
      </c>
      <c r="FI5" s="110">
        <f>SUMIFS('Expenditure Breakdown'!$G$6:$G$193, 'Expenditure Breakdown'!$H$6:$H$193, "&gt;="&amp;FI1,'Expenditure Breakdown'!$H$6:$H$193, "&lt;"&amp;FJ1)</f>
        <v>0</v>
      </c>
      <c r="FJ5" s="110">
        <f>SUMIFS('Expenditure Breakdown'!$G$6:$G$193, 'Expenditure Breakdown'!$H$6:$H$193, "&gt;="&amp;FJ1,'Expenditure Breakdown'!$H$6:$H$193, "&lt;"&amp;FK1)</f>
        <v>0</v>
      </c>
      <c r="FK5" s="110">
        <f>SUMIFS('Expenditure Breakdown'!$G$6:$G$193, 'Expenditure Breakdown'!$H$6:$H$193, "&gt;="&amp;FK1,'Expenditure Breakdown'!$H$6:$H$193, "&lt;"&amp;FL1)</f>
        <v>0</v>
      </c>
      <c r="FL5" s="110">
        <f>SUMIFS('Expenditure Breakdown'!$G$6:$G$193, 'Expenditure Breakdown'!$H$6:$H$193, "&gt;="&amp;FL1,'Expenditure Breakdown'!$H$6:$H$193, "&lt;"&amp;FM1)</f>
        <v>0</v>
      </c>
      <c r="FM5" s="110">
        <f>SUMIFS('Expenditure Breakdown'!$G$6:$G$193, 'Expenditure Breakdown'!$H$6:$H$193, "&gt;="&amp;FM1,'Expenditure Breakdown'!$H$6:$H$193, "&lt;"&amp;FN1)</f>
        <v>0</v>
      </c>
      <c r="FN5" s="110">
        <f>SUMIFS('Expenditure Breakdown'!$G$6:$G$193, 'Expenditure Breakdown'!$H$6:$H$193, "&gt;="&amp;FN1,'Expenditure Breakdown'!$H$6:$H$193, "&lt;"&amp;FO1)</f>
        <v>0</v>
      </c>
      <c r="FO5" s="110">
        <f>SUMIFS('Expenditure Breakdown'!$G$6:$G$193, 'Expenditure Breakdown'!$H$6:$H$193, "&gt;="&amp;FO1,'Expenditure Breakdown'!$H$6:$H$193, "&lt;"&amp;FP1)</f>
        <v>0</v>
      </c>
      <c r="FP5" s="110">
        <f>SUMIFS('Expenditure Breakdown'!$G$6:$G$193, 'Expenditure Breakdown'!$H$6:$H$193, "&gt;="&amp;FP1,'Expenditure Breakdown'!$H$6:$H$193, "&lt;"&amp;FQ1)</f>
        <v>0</v>
      </c>
      <c r="FQ5" s="110">
        <f>SUMIFS('Expenditure Breakdown'!$G$6:$G$193, 'Expenditure Breakdown'!$H$6:$H$193, "&gt;="&amp;FQ1,'Expenditure Breakdown'!$H$6:$H$193, "&lt;"&amp;FR1)</f>
        <v>0</v>
      </c>
      <c r="FR5" s="110">
        <f>SUMIFS('Expenditure Breakdown'!$G$6:$G$193, 'Expenditure Breakdown'!$H$6:$H$193, "&gt;="&amp;FR1,'Expenditure Breakdown'!$H$6:$H$193, "&lt;"&amp;FS1)</f>
        <v>0</v>
      </c>
      <c r="FS5" s="110">
        <f>SUMIFS('Expenditure Breakdown'!$G$6:$G$193, 'Expenditure Breakdown'!$H$6:$H$193, "&gt;="&amp;FS1,'Expenditure Breakdown'!$H$6:$H$193, "&lt;"&amp;FT1)</f>
        <v>0</v>
      </c>
      <c r="FT5" s="110">
        <f>SUMIFS('Expenditure Breakdown'!$G$6:$G$193, 'Expenditure Breakdown'!$H$6:$H$193, "&gt;="&amp;FT1,'Expenditure Breakdown'!$H$6:$H$193, "&lt;"&amp;FU1)</f>
        <v>0</v>
      </c>
      <c r="FU5" s="110">
        <f>SUMIFS('Expenditure Breakdown'!$G$6:$G$193, 'Expenditure Breakdown'!$H$6:$H$193, "&gt;="&amp;FU1,'Expenditure Breakdown'!$H$6:$H$193, "&lt;"&amp;FV1)</f>
        <v>0</v>
      </c>
      <c r="FV5" s="110">
        <f>SUMIFS('Expenditure Breakdown'!$G$6:$G$193, 'Expenditure Breakdown'!$H$6:$H$193, "&gt;="&amp;FV1,'Expenditure Breakdown'!$H$6:$H$193, "&lt;"&amp;FW1)</f>
        <v>0</v>
      </c>
      <c r="FW5" s="110">
        <f>SUMIFS('Expenditure Breakdown'!$G$6:$G$193, 'Expenditure Breakdown'!$H$6:$H$193, "&gt;="&amp;FW1,'Expenditure Breakdown'!$H$6:$H$193, "&lt;"&amp;FX1)</f>
        <v>0</v>
      </c>
      <c r="FX5" s="110">
        <f>SUMIFS('Expenditure Breakdown'!$G$6:$G$193, 'Expenditure Breakdown'!$H$6:$H$193, "&gt;="&amp;FX1,'Expenditure Breakdown'!$H$6:$H$193, "&lt;"&amp;FY1)</f>
        <v>0</v>
      </c>
      <c r="FY5" s="110">
        <f>SUMIFS('Expenditure Breakdown'!$G$6:$G$193, 'Expenditure Breakdown'!$H$6:$H$193, "&gt;="&amp;FY1,'Expenditure Breakdown'!$H$6:$H$193, "&lt;"&amp;FZ1)</f>
        <v>0</v>
      </c>
      <c r="FZ5" s="110">
        <f>SUMIFS('Expenditure Breakdown'!$G$6:$G$193, 'Expenditure Breakdown'!$H$6:$H$193, "&gt;="&amp;FZ1,'Expenditure Breakdown'!$H$6:$H$193, "&lt;"&amp;GA1)</f>
        <v>0</v>
      </c>
      <c r="GA5" s="110">
        <f>SUMIFS('Expenditure Breakdown'!$G$6:$G$193, 'Expenditure Breakdown'!$H$6:$H$193, "&gt;="&amp;GA1,'Expenditure Breakdown'!$H$6:$H$193, "&lt;"&amp;GB1)</f>
        <v>0</v>
      </c>
      <c r="GB5" s="110">
        <f>SUMIFS('Expenditure Breakdown'!$G$6:$G$193, 'Expenditure Breakdown'!$H$6:$H$193, "&gt;="&amp;GB1,'Expenditure Breakdown'!$H$6:$H$193, "&lt;"&amp;GC1)</f>
        <v>0</v>
      </c>
      <c r="GC5" s="110">
        <f>SUMIFS('Expenditure Breakdown'!$G$6:$G$193, 'Expenditure Breakdown'!$H$6:$H$193, "&gt;="&amp;GC1,'Expenditure Breakdown'!$H$6:$H$193, "&lt;"&amp;GD1)</f>
        <v>0</v>
      </c>
      <c r="GD5" s="110">
        <f>SUMIFS('Expenditure Breakdown'!$G$6:$G$193, 'Expenditure Breakdown'!$H$6:$H$193, "&gt;="&amp;GD1,'Expenditure Breakdown'!$H$6:$H$193, "&lt;"&amp;GE1)</f>
        <v>0</v>
      </c>
      <c r="GE5" s="110">
        <f>SUMIFS('Expenditure Breakdown'!$G$6:$G$193, 'Expenditure Breakdown'!$H$6:$H$193, "&gt;="&amp;GE1,'Expenditure Breakdown'!$H$6:$H$193, "&lt;"&amp;GF1)</f>
        <v>0</v>
      </c>
      <c r="GF5" s="110">
        <f>SUMIFS('Expenditure Breakdown'!$G$6:$G$193, 'Expenditure Breakdown'!$H$6:$H$193, "&gt;="&amp;GF1,'Expenditure Breakdown'!$H$6:$H$193, "&lt;"&amp;GG1)</f>
        <v>0</v>
      </c>
      <c r="GG5" s="110">
        <f>SUMIFS('Expenditure Breakdown'!$G$6:$G$193, 'Expenditure Breakdown'!$H$6:$H$193, "&gt;="&amp;GG1,'Expenditure Breakdown'!$H$6:$H$193, "&lt;"&amp;GH1)</f>
        <v>0</v>
      </c>
      <c r="GH5" s="110">
        <f>SUMIFS('Expenditure Breakdown'!$G$6:$G$193, 'Expenditure Breakdown'!$H$6:$H$193, "&gt;="&amp;GH1,'Expenditure Breakdown'!$H$6:$H$193, "&lt;"&amp;GI1)</f>
        <v>0</v>
      </c>
      <c r="GI5" s="110">
        <f>SUMIFS('Expenditure Breakdown'!$G$6:$G$193, 'Expenditure Breakdown'!$H$6:$H$193, "&gt;="&amp;GI1,'Expenditure Breakdown'!$H$6:$H$193, "&lt;"&amp;GJ1)</f>
        <v>0</v>
      </c>
      <c r="GJ5" s="110">
        <f>SUMIFS('Expenditure Breakdown'!$G$6:$G$193, 'Expenditure Breakdown'!$H$6:$H$193, "&gt;="&amp;GJ1,'Expenditure Breakdown'!$H$6:$H$193, "&lt;"&amp;GK1)</f>
        <v>0</v>
      </c>
      <c r="GK5" s="110">
        <f>SUMIFS('Expenditure Breakdown'!$G$6:$G$193, 'Expenditure Breakdown'!$H$6:$H$193, "&gt;="&amp;GK1,'Expenditure Breakdown'!$H$6:$H$193, "&lt;"&amp;GL1)</f>
        <v>0</v>
      </c>
      <c r="GL5" s="110">
        <f>SUMIFS('Expenditure Breakdown'!$G$6:$G$193, 'Expenditure Breakdown'!$H$6:$H$193, "&gt;="&amp;GL1,'Expenditure Breakdown'!$H$6:$H$193, "&lt;"&amp;GM1)</f>
        <v>0</v>
      </c>
      <c r="GM5" s="110">
        <f>SUMIFS('Expenditure Breakdown'!$G$6:$G$193, 'Expenditure Breakdown'!$H$6:$H$193, "&gt;="&amp;GM1,'Expenditure Breakdown'!$H$6:$H$193, "&lt;"&amp;GN1)</f>
        <v>0</v>
      </c>
      <c r="GN5" s="110">
        <f>SUMIFS('Expenditure Breakdown'!$G$6:$G$193, 'Expenditure Breakdown'!$H$6:$H$193, "&gt;="&amp;GN1,'Expenditure Breakdown'!$H$6:$H$193, "&lt;"&amp;GO1)</f>
        <v>0</v>
      </c>
      <c r="GO5" s="110">
        <f>SUMIFS('Expenditure Breakdown'!$G$6:$G$193, 'Expenditure Breakdown'!$H$6:$H$193, "&gt;="&amp;GO1,'Expenditure Breakdown'!$H$6:$H$193, "&lt;"&amp;GP1)</f>
        <v>0</v>
      </c>
      <c r="GP5" s="110">
        <f>SUMIFS('Expenditure Breakdown'!$G$6:$G$193, 'Expenditure Breakdown'!$H$6:$H$193, "&gt;="&amp;GP1,'Expenditure Breakdown'!$H$6:$H$193, "&lt;"&amp;GQ1)</f>
        <v>0</v>
      </c>
      <c r="GQ5" s="110">
        <f>SUMIFS('Expenditure Breakdown'!$G$6:$G$193, 'Expenditure Breakdown'!$H$6:$H$193, "&gt;="&amp;GQ1,'Expenditure Breakdown'!$H$6:$H$193, "&lt;"&amp;GR1)</f>
        <v>0</v>
      </c>
      <c r="GR5" s="110">
        <f>SUMIFS('Expenditure Breakdown'!$G$6:$G$193, 'Expenditure Breakdown'!$H$6:$H$193, "&gt;="&amp;GR1,'Expenditure Breakdown'!$H$6:$H$193, "&lt;"&amp;GS1)</f>
        <v>0</v>
      </c>
      <c r="GS5" s="110">
        <f>SUMIFS('Expenditure Breakdown'!$G$6:$G$193, 'Expenditure Breakdown'!$H$6:$H$193, "&gt;="&amp;GS1,'Expenditure Breakdown'!$H$6:$H$193, "&lt;"&amp;GT1)</f>
        <v>0</v>
      </c>
      <c r="GT5" s="110">
        <f>SUMIFS('Expenditure Breakdown'!$G$6:$G$193, 'Expenditure Breakdown'!$H$6:$H$193, "&gt;="&amp;GT1,'Expenditure Breakdown'!$H$6:$H$193, "&lt;"&amp;GU1)</f>
        <v>0</v>
      </c>
      <c r="GU5" s="110">
        <f>SUMIFS('Expenditure Breakdown'!$G$6:$G$193, 'Expenditure Breakdown'!$H$6:$H$193, "&gt;="&amp;GU1,'Expenditure Breakdown'!$H$6:$H$193, "&lt;"&amp;GV1)</f>
        <v>0</v>
      </c>
      <c r="GV5" s="110">
        <f>SUMIFS('Expenditure Breakdown'!$G$6:$G$193, 'Expenditure Breakdown'!$H$6:$H$193, "&gt;="&amp;GV1,'Expenditure Breakdown'!$H$6:$H$193, "&lt;"&amp;GW1)</f>
        <v>0</v>
      </c>
      <c r="GW5" s="110">
        <f>SUMIFS('Expenditure Breakdown'!$G$6:$G$193, 'Expenditure Breakdown'!$H$6:$H$193, "&gt;="&amp;GW1,'Expenditure Breakdown'!$H$6:$H$193, "&lt;"&amp;GX1)</f>
        <v>0</v>
      </c>
      <c r="GX5" s="110">
        <f>SUMIFS('Expenditure Breakdown'!$G$6:$G$193, 'Expenditure Breakdown'!$H$6:$H$193, "&gt;="&amp;GX1,'Expenditure Breakdown'!$H$6:$H$193, "&lt;"&amp;GY1)</f>
        <v>0</v>
      </c>
      <c r="GY5" s="110">
        <f>SUMIFS('Expenditure Breakdown'!$G$6:$G$193, 'Expenditure Breakdown'!$H$6:$H$193, "&gt;="&amp;GY1,'Expenditure Breakdown'!$H$6:$H$193, "&lt;"&amp;GZ1)</f>
        <v>0</v>
      </c>
      <c r="GZ5" s="110">
        <f>SUMIFS('Expenditure Breakdown'!$G$6:$G$193, 'Expenditure Breakdown'!$H$6:$H$193, "&gt;="&amp;GZ1,'Expenditure Breakdown'!$H$6:$H$193, "&lt;"&amp;HA1)</f>
        <v>0</v>
      </c>
      <c r="HA5" s="110">
        <f>SUMIFS('Expenditure Breakdown'!$G$6:$G$193, 'Expenditure Breakdown'!$H$6:$H$193, "&gt;="&amp;HA1,'Expenditure Breakdown'!$H$6:$H$193, "&lt;"&amp;HB1)</f>
        <v>0</v>
      </c>
      <c r="HB5" s="110">
        <f>SUMIFS('Expenditure Breakdown'!$G$6:$G$193, 'Expenditure Breakdown'!$H$6:$H$193, "&gt;="&amp;HB1,'Expenditure Breakdown'!$H$6:$H$193, "&lt;"&amp;HC1)</f>
        <v>0</v>
      </c>
      <c r="HC5" s="110">
        <f>SUMIFS('Expenditure Breakdown'!$G$6:$G$193, 'Expenditure Breakdown'!$H$6:$H$193, "&gt;="&amp;HC1,'Expenditure Breakdown'!$H$6:$H$193, "&lt;"&amp;HD1)</f>
        <v>0</v>
      </c>
      <c r="HD5" s="110">
        <f>SUMIFS('Expenditure Breakdown'!$G$6:$G$193, 'Expenditure Breakdown'!$H$6:$H$193, "&gt;="&amp;HD1,'Expenditure Breakdown'!$H$6:$H$193, "&lt;"&amp;HE1)</f>
        <v>0</v>
      </c>
      <c r="HE5" s="110">
        <f>SUMIFS('Expenditure Breakdown'!$G$6:$G$193, 'Expenditure Breakdown'!$H$6:$H$193, "&gt;="&amp;HE1,'Expenditure Breakdown'!$H$6:$H$193, "&lt;"&amp;HF1)</f>
        <v>0</v>
      </c>
      <c r="HF5" s="110">
        <f>SUMIFS('Expenditure Breakdown'!$G$6:$G$193, 'Expenditure Breakdown'!$H$6:$H$193, "&gt;="&amp;HF1,'Expenditure Breakdown'!$H$6:$H$193, "&lt;"&amp;HG1)</f>
        <v>0</v>
      </c>
      <c r="HG5" s="110">
        <f>SUMIFS('Expenditure Breakdown'!$G$6:$G$193, 'Expenditure Breakdown'!$H$6:$H$193, "&gt;="&amp;HG1,'Expenditure Breakdown'!$H$6:$H$193, "&lt;"&amp;HH1)</f>
        <v>0</v>
      </c>
      <c r="HH5" s="110">
        <f>SUMIFS('Expenditure Breakdown'!$G$6:$G$193, 'Expenditure Breakdown'!$H$6:$H$193, "&gt;="&amp;HH1,'Expenditure Breakdown'!$H$6:$H$193, "&lt;"&amp;HI1)</f>
        <v>0</v>
      </c>
      <c r="HI5" s="110">
        <f>SUMIFS('Expenditure Breakdown'!$G$6:$G$193, 'Expenditure Breakdown'!$H$6:$H$193, "&gt;="&amp;HI1,'Expenditure Breakdown'!$H$6:$H$193, "&lt;"&amp;HJ1)</f>
        <v>0</v>
      </c>
      <c r="HJ5" s="110">
        <f>SUMIFS('Expenditure Breakdown'!$G$6:$G$193, 'Expenditure Breakdown'!$H$6:$H$193, "&gt;="&amp;HJ1,'Expenditure Breakdown'!$H$6:$H$193, "&lt;"&amp;HK1)</f>
        <v>0</v>
      </c>
      <c r="HK5" s="110">
        <f>SUMIFS('Expenditure Breakdown'!$G$6:$G$193, 'Expenditure Breakdown'!$H$6:$H$193, "&gt;="&amp;HK1,'Expenditure Breakdown'!$H$6:$H$193, "&lt;"&amp;HL1)</f>
        <v>0</v>
      </c>
      <c r="HL5" s="110">
        <f>SUMIFS('Expenditure Breakdown'!$G$6:$G$193, 'Expenditure Breakdown'!$H$6:$H$193, "&gt;="&amp;HL1,'Expenditure Breakdown'!$H$6:$H$193, "&lt;"&amp;HM1)</f>
        <v>0</v>
      </c>
      <c r="HM5" s="110">
        <f>SUMIFS('Expenditure Breakdown'!$G$6:$G$193, 'Expenditure Breakdown'!$H$6:$H$193, "&gt;="&amp;HM1,'Expenditure Breakdown'!$H$6:$H$193, "&lt;"&amp;HN1)</f>
        <v>0</v>
      </c>
      <c r="HN5" s="110">
        <f>SUMIFS('Expenditure Breakdown'!$G$6:$G$193, 'Expenditure Breakdown'!$H$6:$H$193, "&gt;="&amp;HN1,'Expenditure Breakdown'!$H$6:$H$193, "&lt;"&amp;HO1)</f>
        <v>0</v>
      </c>
      <c r="HO5" s="110">
        <f>SUMIFS('Expenditure Breakdown'!$G$6:$G$193, 'Expenditure Breakdown'!$H$6:$H$193, "&gt;="&amp;HO1,'Expenditure Breakdown'!$H$6:$H$193, "&lt;"&amp;HP1)</f>
        <v>0</v>
      </c>
      <c r="HP5" s="110">
        <f>SUMIFS('Expenditure Breakdown'!$G$6:$G$193, 'Expenditure Breakdown'!$H$6:$H$193, "&gt;="&amp;HP1,'Expenditure Breakdown'!$H$6:$H$193, "&lt;"&amp;HQ1)</f>
        <v>0</v>
      </c>
      <c r="HQ5" s="110">
        <f>SUMIFS('Expenditure Breakdown'!$G$6:$G$193, 'Expenditure Breakdown'!$H$6:$H$193, "&gt;="&amp;HQ1,'Expenditure Breakdown'!$H$6:$H$193, "&lt;"&amp;HR1)</f>
        <v>0</v>
      </c>
      <c r="HR5" s="110">
        <f>SUMIFS('Expenditure Breakdown'!$G$6:$G$193, 'Expenditure Breakdown'!$H$6:$H$193, "&gt;="&amp;HR1,'Expenditure Breakdown'!$H$6:$H$193, "&lt;"&amp;HS1)</f>
        <v>0</v>
      </c>
      <c r="HS5" s="110">
        <f>SUMIFS('Expenditure Breakdown'!$G$6:$G$193, 'Expenditure Breakdown'!$H$6:$H$193, "&gt;="&amp;HS1,'Expenditure Breakdown'!$H$6:$H$193, "&lt;"&amp;HT1)</f>
        <v>0</v>
      </c>
      <c r="HT5" s="110">
        <f>SUMIFS('Expenditure Breakdown'!$G$6:$G$193, 'Expenditure Breakdown'!$H$6:$H$193, "&gt;="&amp;HT1,'Expenditure Breakdown'!$H$6:$H$193, "&lt;"&amp;HU1)</f>
        <v>0</v>
      </c>
      <c r="HU5" s="110">
        <f>SUMIFS('Expenditure Breakdown'!$G$6:$G$193, 'Expenditure Breakdown'!$H$6:$H$193, "&gt;="&amp;HU1,'Expenditure Breakdown'!$H$6:$H$193, "&lt;"&amp;HV1)</f>
        <v>0</v>
      </c>
      <c r="HV5" s="110">
        <f>SUMIFS('Expenditure Breakdown'!$G$6:$G$193, 'Expenditure Breakdown'!$H$6:$H$193, "&gt;="&amp;HV1,'Expenditure Breakdown'!$H$6:$H$193, "&lt;"&amp;HW1)</f>
        <v>0</v>
      </c>
      <c r="HW5" s="110">
        <f>SUMIFS('Expenditure Breakdown'!$G$6:$G$193, 'Expenditure Breakdown'!$H$6:$H$193, "&gt;="&amp;HW1,'Expenditure Breakdown'!$H$6:$H$193, "&lt;"&amp;HX1)</f>
        <v>0</v>
      </c>
      <c r="HX5" s="110">
        <f>SUMIFS('Expenditure Breakdown'!$G$6:$G$193, 'Expenditure Breakdown'!$H$6:$H$193, "&gt;="&amp;HX1,'Expenditure Breakdown'!$H$6:$H$193, "&lt;"&amp;HY1)</f>
        <v>0</v>
      </c>
      <c r="HY5" s="110">
        <f>SUMIFS('Expenditure Breakdown'!$G$6:$G$193, 'Expenditure Breakdown'!$H$6:$H$193, "&gt;="&amp;HY1,'Expenditure Breakdown'!$H$6:$H$193, "&lt;"&amp;HZ1)</f>
        <v>0</v>
      </c>
      <c r="HZ5" s="110">
        <f>SUMIFS('Expenditure Breakdown'!$G$6:$G$193, 'Expenditure Breakdown'!$H$6:$H$193, "&gt;="&amp;HZ1,'Expenditure Breakdown'!$H$6:$H$193, "&lt;"&amp;IA1)</f>
        <v>0</v>
      </c>
      <c r="IA5" s="110">
        <f>SUMIFS('Expenditure Breakdown'!$G$6:$G$193, 'Expenditure Breakdown'!$H$6:$H$193, "&gt;="&amp;IA1,'Expenditure Breakdown'!$H$6:$H$193, "&lt;"&amp;IB1)</f>
        <v>0</v>
      </c>
      <c r="IB5" s="110">
        <f>SUMIFS('Expenditure Breakdown'!$G$6:$G$193, 'Expenditure Breakdown'!$H$6:$H$193, "&gt;="&amp;IB1,'Expenditure Breakdown'!$H$6:$H$193, "&lt;"&amp;IC1)</f>
        <v>0</v>
      </c>
      <c r="IC5" s="110">
        <f>SUMIFS('Expenditure Breakdown'!$G$6:$G$193, 'Expenditure Breakdown'!$H$6:$H$193, "&gt;="&amp;IC1,'Expenditure Breakdown'!$H$6:$H$193, "&lt;"&amp;ID1)</f>
        <v>0</v>
      </c>
      <c r="ID5" s="110">
        <f>SUMIFS('Expenditure Breakdown'!$G$6:$G$193, 'Expenditure Breakdown'!$H$6:$H$193, "&gt;="&amp;ID1,'Expenditure Breakdown'!$H$6:$H$193, "&lt;"&amp;IE1)</f>
        <v>0</v>
      </c>
      <c r="IE5" s="110">
        <f>SUMIFS('Expenditure Breakdown'!$G$6:$G$193, 'Expenditure Breakdown'!$H$6:$H$193, "&gt;="&amp;IE1,'Expenditure Breakdown'!$H$6:$H$193, "&lt;"&amp;IF1)</f>
        <v>0</v>
      </c>
      <c r="IF5" s="110">
        <f>SUMIFS('Expenditure Breakdown'!$G$6:$G$193, 'Expenditure Breakdown'!$H$6:$H$193, "&gt;="&amp;IF1,'Expenditure Breakdown'!$H$6:$H$193, "&lt;"&amp;IG1)</f>
        <v>0</v>
      </c>
      <c r="IG5" s="110">
        <f>SUMIFS('Expenditure Breakdown'!$G$6:$G$193, 'Expenditure Breakdown'!$H$6:$H$193, "&gt;="&amp;IG1,'Expenditure Breakdown'!$H$6:$H$193, "&lt;"&amp;IH1)</f>
        <v>0</v>
      </c>
      <c r="IH5" s="110">
        <f>SUMIFS('Expenditure Breakdown'!$G$6:$G$193, 'Expenditure Breakdown'!$H$6:$H$193, "&gt;="&amp;IH1,'Expenditure Breakdown'!$H$6:$H$193, "&lt;"&amp;II1)</f>
        <v>0</v>
      </c>
      <c r="II5" s="110">
        <f>SUMIFS('Expenditure Breakdown'!$G$6:$G$193, 'Expenditure Breakdown'!$H$6:$H$193, "&gt;="&amp;II1,'Expenditure Breakdown'!$H$6:$H$193, "&lt;"&amp;IJ1)</f>
        <v>0</v>
      </c>
      <c r="IJ5" s="110">
        <f>SUMIFS('Expenditure Breakdown'!$G$6:$G$193, 'Expenditure Breakdown'!$H$6:$H$193, "&gt;="&amp;IJ1,'Expenditure Breakdown'!$H$6:$H$193, "&lt;"&amp;IK1)</f>
        <v>0</v>
      </c>
      <c r="IK5" s="110">
        <f>SUMIFS('Expenditure Breakdown'!$G$6:$G$193, 'Expenditure Breakdown'!$H$6:$H$193, "&gt;="&amp;IK1,'Expenditure Breakdown'!$H$6:$H$193, "&lt;"&amp;IL1)</f>
        <v>0</v>
      </c>
      <c r="IL5" s="110">
        <f>SUMIFS('Expenditure Breakdown'!$G$6:$G$193, 'Expenditure Breakdown'!$H$6:$H$193, "&gt;="&amp;IL1,'Expenditure Breakdown'!$H$6:$H$193, "&lt;"&amp;IM1)</f>
        <v>0</v>
      </c>
      <c r="IM5" s="110">
        <f>SUMIFS('Expenditure Breakdown'!$G$6:$G$193, 'Expenditure Breakdown'!$H$6:$H$193, "&gt;="&amp;IM1,'Expenditure Breakdown'!$H$6:$H$193, "&lt;"&amp;IN1)</f>
        <v>0</v>
      </c>
      <c r="IN5" s="110">
        <f>SUMIFS('Expenditure Breakdown'!$G$6:$G$193, 'Expenditure Breakdown'!$H$6:$H$193, "&gt;="&amp;IN1,'Expenditure Breakdown'!$H$6:$H$193, "&lt;"&amp;IO1)</f>
        <v>0</v>
      </c>
      <c r="IO5" s="110">
        <f>SUMIFS('Expenditure Breakdown'!$G$6:$G$193, 'Expenditure Breakdown'!$H$6:$H$193, "&gt;="&amp;IO1,'Expenditure Breakdown'!$H$6:$H$193, "&lt;"&amp;IP1)</f>
        <v>0</v>
      </c>
      <c r="IP5" s="110">
        <f>SUMIFS('Expenditure Breakdown'!$G$6:$G$193, 'Expenditure Breakdown'!$H$6:$H$193, "&gt;="&amp;IP1,'Expenditure Breakdown'!$H$6:$H$193, "&lt;"&amp;IQ1)</f>
        <v>0</v>
      </c>
      <c r="IQ5" s="110">
        <f>SUMIFS('Expenditure Breakdown'!$G$6:$G$193, 'Expenditure Breakdown'!$H$6:$H$193, "&gt;="&amp;IQ1,'Expenditure Breakdown'!$H$6:$H$193, "&lt;"&amp;IR1)</f>
        <v>0</v>
      </c>
      <c r="IR5" s="110">
        <f>SUMIFS('Expenditure Breakdown'!$G$6:$G$193, 'Expenditure Breakdown'!$H$6:$H$193, "&gt;="&amp;IR1,'Expenditure Breakdown'!$H$6:$H$193, "&lt;"&amp;IS1)</f>
        <v>0</v>
      </c>
      <c r="IS5" s="110">
        <f>SUMIFS('Expenditure Breakdown'!$G$6:$G$193, 'Expenditure Breakdown'!$H$6:$H$193, "&gt;="&amp;IS1,'Expenditure Breakdown'!$H$6:$H$193, "&lt;"&amp;IT1)</f>
        <v>0</v>
      </c>
      <c r="IT5" s="110">
        <f>SUMIFS('Expenditure Breakdown'!$G$6:$G$193, 'Expenditure Breakdown'!$H$6:$H$193, "&gt;="&amp;IT1,'Expenditure Breakdown'!$H$6:$H$193, "&lt;"&amp;IU1)</f>
        <v>0</v>
      </c>
      <c r="IU5" s="110">
        <f>SUMIFS('Expenditure Breakdown'!$G$6:$G$193, 'Expenditure Breakdown'!$H$6:$H$193, "&gt;="&amp;IU1,'Expenditure Breakdown'!$H$6:$H$193, "&lt;"&amp;IV1)</f>
        <v>0</v>
      </c>
      <c r="IV5" s="110">
        <f>SUMIFS('Expenditure Breakdown'!$G$6:$G$193, 'Expenditure Breakdown'!$H$6:$H$193, "&gt;="&amp;IV1,'Expenditure Breakdown'!$H$6:$H$193, "&lt;"&amp;IW1)</f>
        <v>0</v>
      </c>
      <c r="IW5" s="110">
        <f>SUMIFS('Expenditure Breakdown'!$G$6:$G$193, 'Expenditure Breakdown'!$H$6:$H$193, "&gt;="&amp;IW1,'Expenditure Breakdown'!$H$6:$H$193, "&lt;"&amp;IX1)</f>
        <v>0</v>
      </c>
      <c r="IX5" s="110">
        <f>SUMIFS('Expenditure Breakdown'!$G$6:$G$193, 'Expenditure Breakdown'!$H$6:$H$193, "&gt;="&amp;IX1,'Expenditure Breakdown'!$H$6:$H$193, "&lt;"&amp;IY1)</f>
        <v>0</v>
      </c>
      <c r="IY5" s="110">
        <f>SUMIFS('Expenditure Breakdown'!$G$6:$G$193, 'Expenditure Breakdown'!$H$6:$H$193, "&gt;="&amp;IY1,'Expenditure Breakdown'!$H$6:$H$193, "&lt;"&amp;IZ1)</f>
        <v>0</v>
      </c>
      <c r="IZ5" s="110">
        <f>SUMIFS('Expenditure Breakdown'!$G$6:$G$193, 'Expenditure Breakdown'!$H$6:$H$193, "&gt;="&amp;IZ1,'Expenditure Breakdown'!$H$6:$H$193, "&lt;"&amp;JA1)</f>
        <v>0</v>
      </c>
      <c r="JA5" s="110">
        <f>SUMIFS('Expenditure Breakdown'!$G$6:$G$193, 'Expenditure Breakdown'!$H$6:$H$193, "&gt;="&amp;JA1,'Expenditure Breakdown'!$H$6:$H$193, "&lt;"&amp;JB1)</f>
        <v>0</v>
      </c>
      <c r="JB5" s="110">
        <f>SUMIFS('Expenditure Breakdown'!$G$6:$G$193, 'Expenditure Breakdown'!$H$6:$H$193, "&gt;="&amp;JB1,'Expenditure Breakdown'!$H$6:$H$193, "&lt;"&amp;JC1)</f>
        <v>0</v>
      </c>
      <c r="JC5" s="110">
        <f>SUMIFS('Expenditure Breakdown'!$G$6:$G$193, 'Expenditure Breakdown'!$H$6:$H$193, "&gt;="&amp;JC1,'Expenditure Breakdown'!$H$6:$H$193, "&lt;"&amp;JD1)</f>
        <v>0</v>
      </c>
      <c r="JD5" s="110">
        <f>SUMIFS('Expenditure Breakdown'!$G$6:$G$193, 'Expenditure Breakdown'!$H$6:$H$193, "&gt;="&amp;JD1,'Expenditure Breakdown'!$H$6:$H$193, "&lt;"&amp;JE1)</f>
        <v>0</v>
      </c>
      <c r="JE5" s="110">
        <f>SUMIFS('Expenditure Breakdown'!$G$6:$G$193, 'Expenditure Breakdown'!$H$6:$H$193, "&gt;="&amp;JE1,'Expenditure Breakdown'!$H$6:$H$193, "&lt;"&amp;JF1)</f>
        <v>0</v>
      </c>
      <c r="JF5" s="110">
        <f>SUMIFS('Expenditure Breakdown'!$G$6:$G$193, 'Expenditure Breakdown'!$H$6:$H$193, "&gt;="&amp;JF1,'Expenditure Breakdown'!$H$6:$H$193, "&lt;"&amp;JG1)</f>
        <v>0</v>
      </c>
      <c r="JG5" s="110">
        <f>SUMIFS('Expenditure Breakdown'!$G$6:$G$193, 'Expenditure Breakdown'!$H$6:$H$193, "&gt;="&amp;JG1,'Expenditure Breakdown'!$H$6:$H$193, "&lt;"&amp;JH1)</f>
        <v>0</v>
      </c>
      <c r="JH5" s="110">
        <f>SUMIFS('Expenditure Breakdown'!$G$6:$G$193, 'Expenditure Breakdown'!$H$6:$H$193, "&gt;="&amp;JH1,'Expenditure Breakdown'!$H$6:$H$193, "&lt;"&amp;JI1)</f>
        <v>0</v>
      </c>
      <c r="JI5" s="110">
        <f>SUMIFS('Expenditure Breakdown'!$G$6:$G$193, 'Expenditure Breakdown'!$H$6:$H$193, "&gt;="&amp;JI1,'Expenditure Breakdown'!$H$6:$H$193, "&lt;"&amp;JJ1)</f>
        <v>0</v>
      </c>
      <c r="JJ5" s="110">
        <f>SUMIFS('Expenditure Breakdown'!$G$6:$G$193, 'Expenditure Breakdown'!$H$6:$H$193, "&gt;="&amp;JJ1,'Expenditure Breakdown'!$H$6:$H$193, "&lt;"&amp;JK1)</f>
        <v>0</v>
      </c>
      <c r="JK5" s="110">
        <f>SUMIFS('Expenditure Breakdown'!$G$6:$G$193, 'Expenditure Breakdown'!$H$6:$H$193, "&gt;="&amp;JK1,'Expenditure Breakdown'!$H$6:$H$193, "&lt;"&amp;JL1)</f>
        <v>0</v>
      </c>
      <c r="JL5" s="110">
        <f>SUMIFS('Expenditure Breakdown'!$G$6:$G$193, 'Expenditure Breakdown'!$H$6:$H$193, "&gt;="&amp;JL1,'Expenditure Breakdown'!$H$6:$H$193, "&lt;"&amp;JM1)</f>
        <v>0</v>
      </c>
      <c r="JM5" s="110">
        <f>SUMIFS('Expenditure Breakdown'!$G$6:$G$193, 'Expenditure Breakdown'!$H$6:$H$193, "&gt;="&amp;JM1,'Expenditure Breakdown'!$H$6:$H$193, "&lt;"&amp;JN1)</f>
        <v>0</v>
      </c>
      <c r="JN5" s="110">
        <f>SUMIFS('Expenditure Breakdown'!$G$6:$G$193, 'Expenditure Breakdown'!$H$6:$H$193, "&gt;="&amp;JN1,'Expenditure Breakdown'!$H$6:$H$193, "&lt;"&amp;JO1)</f>
        <v>0</v>
      </c>
      <c r="JO5" s="110">
        <f>SUMIFS('Expenditure Breakdown'!$G$6:$G$193, 'Expenditure Breakdown'!$H$6:$H$193, "&gt;="&amp;JO1,'Expenditure Breakdown'!$H$6:$H$193, "&lt;"&amp;JP1)</f>
        <v>0</v>
      </c>
      <c r="JP5" s="110">
        <f>SUMIFS('Expenditure Breakdown'!$G$6:$G$193, 'Expenditure Breakdown'!$H$6:$H$193, "&gt;="&amp;JP1,'Expenditure Breakdown'!$H$6:$H$193, "&lt;"&amp;JQ1)</f>
        <v>0</v>
      </c>
      <c r="JQ5" s="110">
        <f>SUMIFS('Expenditure Breakdown'!$G$6:$G$193, 'Expenditure Breakdown'!$H$6:$H$193, "&gt;="&amp;JQ1,'Expenditure Breakdown'!$H$6:$H$193, "&lt;"&amp;JR1)</f>
        <v>0</v>
      </c>
      <c r="JR5" s="110">
        <f>SUMIFS('Expenditure Breakdown'!$G$6:$G$193, 'Expenditure Breakdown'!$H$6:$H$193, "&gt;="&amp;JR1,'Expenditure Breakdown'!$H$6:$H$193, "&lt;"&amp;JS1)</f>
        <v>0</v>
      </c>
      <c r="JS5" s="110">
        <f>SUMIFS('Expenditure Breakdown'!$G$6:$G$193, 'Expenditure Breakdown'!$H$6:$H$193, "&gt;="&amp;JS1,'Expenditure Breakdown'!$H$6:$H$193, "&lt;"&amp;JT1)</f>
        <v>0</v>
      </c>
      <c r="JT5" s="110">
        <f>SUMIFS('Expenditure Breakdown'!$G$6:$G$193, 'Expenditure Breakdown'!$H$6:$H$193, "&gt;="&amp;JT1,'Expenditure Breakdown'!$H$6:$H$193, "&lt;"&amp;JU1)</f>
        <v>0</v>
      </c>
      <c r="JU5" s="110">
        <f>SUMIFS('Expenditure Breakdown'!$G$6:$G$193, 'Expenditure Breakdown'!$H$6:$H$193, "&gt;="&amp;JU1,'Expenditure Breakdown'!$H$6:$H$193, "&lt;"&amp;JV1)</f>
        <v>0</v>
      </c>
      <c r="JV5" s="110">
        <f>SUMIFS('Expenditure Breakdown'!$G$6:$G$193, 'Expenditure Breakdown'!$H$6:$H$193, "&gt;="&amp;JV1,'Expenditure Breakdown'!$H$6:$H$193, "&lt;"&amp;JW1)</f>
        <v>0</v>
      </c>
      <c r="JW5" s="110">
        <f>SUMIFS('Expenditure Breakdown'!$G$6:$G$193, 'Expenditure Breakdown'!$H$6:$H$193, "&gt;="&amp;JW1,'Expenditure Breakdown'!$H$6:$H$193, "&lt;"&amp;JX1)</f>
        <v>0</v>
      </c>
      <c r="JX5" s="110">
        <f>SUMIFS('Expenditure Breakdown'!$G$6:$G$193, 'Expenditure Breakdown'!$H$6:$H$193, "&gt;="&amp;JX1,'Expenditure Breakdown'!$H$6:$H$193, "&lt;"&amp;JY1)</f>
        <v>0</v>
      </c>
      <c r="JY5" s="110">
        <f>SUMIFS('Expenditure Breakdown'!$G$6:$G$193, 'Expenditure Breakdown'!$H$6:$H$193, "&gt;="&amp;JY1,'Expenditure Breakdown'!$H$6:$H$193, "&lt;"&amp;JZ1)</f>
        <v>0</v>
      </c>
      <c r="JZ5" s="110">
        <f>SUMIFS('Expenditure Breakdown'!$G$6:$G$193, 'Expenditure Breakdown'!$H$6:$H$193, "&gt;="&amp;JZ1,'Expenditure Breakdown'!$H$6:$H$193, "&lt;"&amp;KA1)</f>
        <v>0</v>
      </c>
      <c r="KA5" s="110">
        <f>SUMIFS('Expenditure Breakdown'!$G$6:$G$193, 'Expenditure Breakdown'!$H$6:$H$193, "&gt;="&amp;KA1,'Expenditure Breakdown'!$H$6:$H$193, "&lt;"&amp;KB1)</f>
        <v>0</v>
      </c>
      <c r="KB5" s="110">
        <f>SUMIFS('Expenditure Breakdown'!$G$6:$G$193, 'Expenditure Breakdown'!$H$6:$H$193, "&gt;="&amp;KB1,'Expenditure Breakdown'!$H$6:$H$193, "&lt;"&amp;KC1)</f>
        <v>0</v>
      </c>
      <c r="KC5" s="110">
        <f>SUMIFS('Expenditure Breakdown'!$G$6:$G$193, 'Expenditure Breakdown'!$H$6:$H$193, "&gt;="&amp;KC1,'Expenditure Breakdown'!$H$6:$H$193, "&lt;"&amp;KD1)</f>
        <v>0</v>
      </c>
      <c r="KD5" s="110">
        <f>SUMIFS('Expenditure Breakdown'!$G$6:$G$193, 'Expenditure Breakdown'!$H$6:$H$193, "&gt;="&amp;KD1,'Expenditure Breakdown'!$H$6:$H$193, "&lt;"&amp;KE1)</f>
        <v>0</v>
      </c>
      <c r="KE5" s="110">
        <f>SUMIFS('Expenditure Breakdown'!$G$6:$G$193, 'Expenditure Breakdown'!$H$6:$H$193, "&gt;="&amp;KE1,'Expenditure Breakdown'!$H$6:$H$193, "&lt;"&amp;KF1)</f>
        <v>0</v>
      </c>
      <c r="KF5" s="110">
        <f>SUMIFS('Expenditure Breakdown'!$G$6:$G$193, 'Expenditure Breakdown'!$H$6:$H$193, "&gt;="&amp;KF1,'Expenditure Breakdown'!$H$6:$H$193, "&lt;"&amp;#REF!)</f>
        <v>0</v>
      </c>
      <c r="KG5" s="100"/>
      <c r="KH5" s="111"/>
      <c r="KI5" s="111"/>
    </row>
    <row r="6" spans="1:770" s="112" customFormat="1">
      <c r="A6" s="801"/>
      <c r="B6" s="108" t="s">
        <v>526</v>
      </c>
      <c r="C6" s="109"/>
      <c r="D6" s="109"/>
      <c r="E6" s="106"/>
      <c r="F6" s="110">
        <f>F5</f>
        <v>0</v>
      </c>
      <c r="G6" s="110">
        <f>F6+G5</f>
        <v>0</v>
      </c>
      <c r="H6" s="110">
        <f>G6+H5</f>
        <v>0</v>
      </c>
      <c r="I6" s="110">
        <f t="shared" ref="I6:BT6" si="10">H6+I5</f>
        <v>0</v>
      </c>
      <c r="J6" s="110">
        <f t="shared" si="10"/>
        <v>0</v>
      </c>
      <c r="K6" s="110">
        <f t="shared" si="10"/>
        <v>0</v>
      </c>
      <c r="L6" s="110">
        <f t="shared" si="10"/>
        <v>0</v>
      </c>
      <c r="M6" s="110">
        <f t="shared" si="10"/>
        <v>0</v>
      </c>
      <c r="N6" s="110">
        <f t="shared" si="10"/>
        <v>0</v>
      </c>
      <c r="O6" s="110">
        <f t="shared" si="10"/>
        <v>0</v>
      </c>
      <c r="P6" s="110">
        <f t="shared" si="10"/>
        <v>0</v>
      </c>
      <c r="Q6" s="110">
        <f t="shared" si="10"/>
        <v>0</v>
      </c>
      <c r="R6" s="110">
        <f t="shared" si="10"/>
        <v>792658.9</v>
      </c>
      <c r="S6" s="110">
        <f t="shared" si="10"/>
        <v>957983.9</v>
      </c>
      <c r="T6" s="110">
        <f t="shared" si="10"/>
        <v>1263290.6400000001</v>
      </c>
      <c r="U6" s="110">
        <f t="shared" si="10"/>
        <v>1263290.6400000001</v>
      </c>
      <c r="V6" s="110">
        <f t="shared" si="10"/>
        <v>1716810.6400000001</v>
      </c>
      <c r="W6" s="110">
        <f t="shared" si="10"/>
        <v>1716810.6400000001</v>
      </c>
      <c r="X6" s="110">
        <f t="shared" si="10"/>
        <v>1716810.6400000001</v>
      </c>
      <c r="Y6" s="110">
        <f t="shared" si="10"/>
        <v>2278170.85</v>
      </c>
      <c r="Z6" s="110">
        <f t="shared" si="10"/>
        <v>2278170.85</v>
      </c>
      <c r="AA6" s="110">
        <f t="shared" si="10"/>
        <v>2278170.85</v>
      </c>
      <c r="AB6" s="110">
        <f t="shared" si="10"/>
        <v>2278170.85</v>
      </c>
      <c r="AC6" s="110">
        <f t="shared" si="10"/>
        <v>2278170.85</v>
      </c>
      <c r="AD6" s="110">
        <f>AC6+AD5</f>
        <v>2278170.85</v>
      </c>
      <c r="AE6" s="110">
        <f t="shared" si="10"/>
        <v>2278170.85</v>
      </c>
      <c r="AF6" s="110">
        <f t="shared" si="10"/>
        <v>2278170.85</v>
      </c>
      <c r="AG6" s="110">
        <f t="shared" si="10"/>
        <v>2278170.85</v>
      </c>
      <c r="AH6" s="110">
        <f t="shared" si="10"/>
        <v>2278170.85</v>
      </c>
      <c r="AI6" s="110">
        <f t="shared" si="10"/>
        <v>2278170.85</v>
      </c>
      <c r="AJ6" s="110">
        <f t="shared" si="10"/>
        <v>2278170.85</v>
      </c>
      <c r="AK6" s="110">
        <f t="shared" si="10"/>
        <v>2278170.85</v>
      </c>
      <c r="AL6" s="110">
        <f t="shared" si="10"/>
        <v>2278170.85</v>
      </c>
      <c r="AM6" s="110">
        <f t="shared" si="10"/>
        <v>2278170.85</v>
      </c>
      <c r="AN6" s="110">
        <f t="shared" si="10"/>
        <v>2278170.85</v>
      </c>
      <c r="AO6" s="110">
        <f t="shared" si="10"/>
        <v>2278170.85</v>
      </c>
      <c r="AP6" s="110">
        <f t="shared" si="10"/>
        <v>2278170.85</v>
      </c>
      <c r="AQ6" s="110">
        <f t="shared" si="10"/>
        <v>2278170.85</v>
      </c>
      <c r="AR6" s="110">
        <f t="shared" si="10"/>
        <v>2278170.85</v>
      </c>
      <c r="AS6" s="110">
        <f t="shared" si="10"/>
        <v>2278170.85</v>
      </c>
      <c r="AT6" s="110">
        <f t="shared" si="10"/>
        <v>2278170.85</v>
      </c>
      <c r="AU6" s="110">
        <f t="shared" si="10"/>
        <v>2278170.85</v>
      </c>
      <c r="AV6" s="110">
        <f t="shared" si="10"/>
        <v>2278170.85</v>
      </c>
      <c r="AW6" s="110">
        <f t="shared" si="10"/>
        <v>2278170.85</v>
      </c>
      <c r="AX6" s="110">
        <f t="shared" si="10"/>
        <v>2278170.85</v>
      </c>
      <c r="AY6" s="110">
        <f t="shared" si="10"/>
        <v>2278170.85</v>
      </c>
      <c r="AZ6" s="110">
        <f t="shared" si="10"/>
        <v>2278170.85</v>
      </c>
      <c r="BA6" s="110">
        <f t="shared" si="10"/>
        <v>2278170.85</v>
      </c>
      <c r="BB6" s="110">
        <f t="shared" si="10"/>
        <v>2278170.85</v>
      </c>
      <c r="BC6" s="110">
        <f t="shared" si="10"/>
        <v>2278170.85</v>
      </c>
      <c r="BD6" s="110">
        <f t="shared" si="10"/>
        <v>2278170.85</v>
      </c>
      <c r="BE6" s="110">
        <f t="shared" si="10"/>
        <v>2278170.85</v>
      </c>
      <c r="BF6" s="110">
        <f t="shared" si="10"/>
        <v>2278170.85</v>
      </c>
      <c r="BG6" s="110">
        <f t="shared" si="10"/>
        <v>2278170.85</v>
      </c>
      <c r="BH6" s="110">
        <f t="shared" si="10"/>
        <v>2278170.85</v>
      </c>
      <c r="BI6" s="110">
        <f t="shared" si="10"/>
        <v>2278170.85</v>
      </c>
      <c r="BJ6" s="110">
        <f t="shared" si="10"/>
        <v>2278170.85</v>
      </c>
      <c r="BK6" s="110">
        <f t="shared" si="10"/>
        <v>2278170.85</v>
      </c>
      <c r="BL6" s="110">
        <f t="shared" si="10"/>
        <v>2278170.85</v>
      </c>
      <c r="BM6" s="110">
        <f t="shared" si="10"/>
        <v>2278170.85</v>
      </c>
      <c r="BN6" s="110">
        <f t="shared" si="10"/>
        <v>2278170.85</v>
      </c>
      <c r="BO6" s="110">
        <f t="shared" si="10"/>
        <v>2278170.85</v>
      </c>
      <c r="BP6" s="110">
        <f t="shared" si="10"/>
        <v>2278170.85</v>
      </c>
      <c r="BQ6" s="110">
        <f t="shared" si="10"/>
        <v>2278170.85</v>
      </c>
      <c r="BR6" s="110">
        <f t="shared" si="10"/>
        <v>2278170.85</v>
      </c>
      <c r="BS6" s="110">
        <f t="shared" si="10"/>
        <v>2278170.85</v>
      </c>
      <c r="BT6" s="110">
        <f t="shared" si="10"/>
        <v>2278170.85</v>
      </c>
      <c r="BU6" s="110">
        <f t="shared" ref="BU6:EF6" si="11">BT6+BU5</f>
        <v>2278170.85</v>
      </c>
      <c r="BV6" s="110">
        <f t="shared" si="11"/>
        <v>2278170.85</v>
      </c>
      <c r="BW6" s="110">
        <f t="shared" si="11"/>
        <v>2278170.85</v>
      </c>
      <c r="BX6" s="110">
        <f t="shared" si="11"/>
        <v>2278170.85</v>
      </c>
      <c r="BY6" s="110">
        <f t="shared" si="11"/>
        <v>2278170.85</v>
      </c>
      <c r="BZ6" s="110">
        <f t="shared" si="11"/>
        <v>2278170.85</v>
      </c>
      <c r="CA6" s="110">
        <f t="shared" si="11"/>
        <v>2278170.85</v>
      </c>
      <c r="CB6" s="110">
        <f t="shared" si="11"/>
        <v>2278170.85</v>
      </c>
      <c r="CC6" s="110">
        <f t="shared" si="11"/>
        <v>2278170.85</v>
      </c>
      <c r="CD6" s="110">
        <f t="shared" si="11"/>
        <v>2278170.85</v>
      </c>
      <c r="CE6" s="110">
        <f t="shared" si="11"/>
        <v>2278170.85</v>
      </c>
      <c r="CF6" s="110">
        <f t="shared" si="11"/>
        <v>2278170.85</v>
      </c>
      <c r="CG6" s="110">
        <f t="shared" si="11"/>
        <v>2278170.85</v>
      </c>
      <c r="CH6" s="110">
        <f t="shared" si="11"/>
        <v>2278170.85</v>
      </c>
      <c r="CI6" s="110">
        <f t="shared" si="11"/>
        <v>2278170.85</v>
      </c>
      <c r="CJ6" s="110">
        <f t="shared" si="11"/>
        <v>2278170.85</v>
      </c>
      <c r="CK6" s="110">
        <f t="shared" si="11"/>
        <v>2278170.85</v>
      </c>
      <c r="CL6" s="110">
        <f t="shared" si="11"/>
        <v>2278170.85</v>
      </c>
      <c r="CM6" s="110">
        <f t="shared" si="11"/>
        <v>2278170.85</v>
      </c>
      <c r="CN6" s="110">
        <f t="shared" si="11"/>
        <v>2278170.85</v>
      </c>
      <c r="CO6" s="110">
        <f t="shared" si="11"/>
        <v>2278170.85</v>
      </c>
      <c r="CP6" s="110">
        <f t="shared" si="11"/>
        <v>2278170.85</v>
      </c>
      <c r="CQ6" s="110">
        <f t="shared" si="11"/>
        <v>2278170.85</v>
      </c>
      <c r="CR6" s="110">
        <f t="shared" si="11"/>
        <v>2278170.85</v>
      </c>
      <c r="CS6" s="110">
        <f t="shared" si="11"/>
        <v>2278170.85</v>
      </c>
      <c r="CT6" s="110">
        <f t="shared" si="11"/>
        <v>2278170.85</v>
      </c>
      <c r="CU6" s="110">
        <f t="shared" si="11"/>
        <v>2278170.85</v>
      </c>
      <c r="CV6" s="110">
        <f t="shared" si="11"/>
        <v>2278170.85</v>
      </c>
      <c r="CW6" s="110">
        <f t="shared" si="11"/>
        <v>2278170.85</v>
      </c>
      <c r="CX6" s="110">
        <f t="shared" si="11"/>
        <v>2278170.85</v>
      </c>
      <c r="CY6" s="110">
        <f t="shared" si="11"/>
        <v>2278170.85</v>
      </c>
      <c r="CZ6" s="110">
        <f t="shared" si="11"/>
        <v>2278170.85</v>
      </c>
      <c r="DA6" s="110">
        <f t="shared" si="11"/>
        <v>2278170.85</v>
      </c>
      <c r="DB6" s="110">
        <f t="shared" si="11"/>
        <v>2278170.85</v>
      </c>
      <c r="DC6" s="110">
        <f t="shared" si="11"/>
        <v>2278170.85</v>
      </c>
      <c r="DD6" s="110">
        <f t="shared" si="11"/>
        <v>2278170.85</v>
      </c>
      <c r="DE6" s="110">
        <f t="shared" si="11"/>
        <v>2278170.85</v>
      </c>
      <c r="DF6" s="110">
        <f t="shared" si="11"/>
        <v>2278170.85</v>
      </c>
      <c r="DG6" s="110">
        <f t="shared" si="11"/>
        <v>2278170.85</v>
      </c>
      <c r="DH6" s="110">
        <f t="shared" si="11"/>
        <v>2278170.85</v>
      </c>
      <c r="DI6" s="110">
        <f t="shared" si="11"/>
        <v>2278170.85</v>
      </c>
      <c r="DJ6" s="110">
        <f t="shared" si="11"/>
        <v>2278170.85</v>
      </c>
      <c r="DK6" s="110">
        <f t="shared" si="11"/>
        <v>2278170.85</v>
      </c>
      <c r="DL6" s="110">
        <f t="shared" si="11"/>
        <v>2278170.85</v>
      </c>
      <c r="DM6" s="110">
        <f t="shared" si="11"/>
        <v>2278170.85</v>
      </c>
      <c r="DN6" s="110">
        <f t="shared" si="11"/>
        <v>2278170.85</v>
      </c>
      <c r="DO6" s="110">
        <f t="shared" si="11"/>
        <v>2278170.85</v>
      </c>
      <c r="DP6" s="110">
        <f t="shared" si="11"/>
        <v>2278170.85</v>
      </c>
      <c r="DQ6" s="110">
        <f t="shared" si="11"/>
        <v>2278170.85</v>
      </c>
      <c r="DR6" s="110">
        <f t="shared" si="11"/>
        <v>2278170.85</v>
      </c>
      <c r="DS6" s="110">
        <f t="shared" si="11"/>
        <v>2278170.85</v>
      </c>
      <c r="DT6" s="110">
        <f t="shared" si="11"/>
        <v>2278170.85</v>
      </c>
      <c r="DU6" s="110">
        <f t="shared" si="11"/>
        <v>2278170.85</v>
      </c>
      <c r="DV6" s="110">
        <f t="shared" si="11"/>
        <v>2278170.85</v>
      </c>
      <c r="DW6" s="110">
        <f t="shared" si="11"/>
        <v>2278170.85</v>
      </c>
      <c r="DX6" s="110">
        <f t="shared" si="11"/>
        <v>2278170.85</v>
      </c>
      <c r="DY6" s="110">
        <f t="shared" si="11"/>
        <v>2278170.85</v>
      </c>
      <c r="DZ6" s="110">
        <f t="shared" si="11"/>
        <v>2278170.85</v>
      </c>
      <c r="EA6" s="110">
        <f t="shared" si="11"/>
        <v>2278170.85</v>
      </c>
      <c r="EB6" s="110">
        <f t="shared" si="11"/>
        <v>2278170.85</v>
      </c>
      <c r="EC6" s="110">
        <f t="shared" si="11"/>
        <v>2278170.85</v>
      </c>
      <c r="ED6" s="110">
        <f t="shared" si="11"/>
        <v>2278170.85</v>
      </c>
      <c r="EE6" s="110">
        <f t="shared" si="11"/>
        <v>2278170.85</v>
      </c>
      <c r="EF6" s="110">
        <f t="shared" si="11"/>
        <v>2278170.85</v>
      </c>
      <c r="EG6" s="110">
        <f t="shared" ref="EG6:GR6" si="12">EF6+EG5</f>
        <v>2278170.85</v>
      </c>
      <c r="EH6" s="110">
        <f t="shared" si="12"/>
        <v>2278170.85</v>
      </c>
      <c r="EI6" s="110">
        <f t="shared" si="12"/>
        <v>2278170.85</v>
      </c>
      <c r="EJ6" s="110">
        <f t="shared" si="12"/>
        <v>2278170.85</v>
      </c>
      <c r="EK6" s="110">
        <f t="shared" si="12"/>
        <v>2278170.85</v>
      </c>
      <c r="EL6" s="110">
        <f t="shared" si="12"/>
        <v>2278170.85</v>
      </c>
      <c r="EM6" s="110">
        <f t="shared" si="12"/>
        <v>2278170.85</v>
      </c>
      <c r="EN6" s="110">
        <f t="shared" si="12"/>
        <v>2278170.85</v>
      </c>
      <c r="EO6" s="110">
        <f t="shared" si="12"/>
        <v>2278170.85</v>
      </c>
      <c r="EP6" s="110">
        <f t="shared" si="12"/>
        <v>2278170.85</v>
      </c>
      <c r="EQ6" s="110">
        <f t="shared" si="12"/>
        <v>2278170.85</v>
      </c>
      <c r="ER6" s="110">
        <f t="shared" si="12"/>
        <v>2278170.85</v>
      </c>
      <c r="ES6" s="110">
        <f t="shared" si="12"/>
        <v>2278170.85</v>
      </c>
      <c r="ET6" s="110">
        <f t="shared" si="12"/>
        <v>2278170.85</v>
      </c>
      <c r="EU6" s="110">
        <f t="shared" si="12"/>
        <v>2278170.85</v>
      </c>
      <c r="EV6" s="110">
        <f t="shared" si="12"/>
        <v>2278170.85</v>
      </c>
      <c r="EW6" s="110">
        <f t="shared" si="12"/>
        <v>2278170.85</v>
      </c>
      <c r="EX6" s="110">
        <f t="shared" si="12"/>
        <v>2278170.85</v>
      </c>
      <c r="EY6" s="110">
        <f t="shared" si="12"/>
        <v>2278170.85</v>
      </c>
      <c r="EZ6" s="110">
        <f t="shared" si="12"/>
        <v>2278170.85</v>
      </c>
      <c r="FA6" s="110">
        <f t="shared" si="12"/>
        <v>2278170.85</v>
      </c>
      <c r="FB6" s="110">
        <f t="shared" si="12"/>
        <v>2278170.85</v>
      </c>
      <c r="FC6" s="110">
        <f t="shared" si="12"/>
        <v>2278170.85</v>
      </c>
      <c r="FD6" s="110">
        <f t="shared" si="12"/>
        <v>2278170.85</v>
      </c>
      <c r="FE6" s="110">
        <f t="shared" si="12"/>
        <v>2278170.85</v>
      </c>
      <c r="FF6" s="110">
        <f t="shared" si="12"/>
        <v>2278170.85</v>
      </c>
      <c r="FG6" s="110">
        <f t="shared" si="12"/>
        <v>2278170.85</v>
      </c>
      <c r="FH6" s="110">
        <f t="shared" si="12"/>
        <v>2278170.85</v>
      </c>
      <c r="FI6" s="110">
        <f t="shared" si="12"/>
        <v>2278170.85</v>
      </c>
      <c r="FJ6" s="110">
        <f t="shared" si="12"/>
        <v>2278170.85</v>
      </c>
      <c r="FK6" s="110">
        <f t="shared" si="12"/>
        <v>2278170.85</v>
      </c>
      <c r="FL6" s="110">
        <f t="shared" si="12"/>
        <v>2278170.85</v>
      </c>
      <c r="FM6" s="110">
        <f t="shared" si="12"/>
        <v>2278170.85</v>
      </c>
      <c r="FN6" s="110">
        <f t="shared" si="12"/>
        <v>2278170.85</v>
      </c>
      <c r="FO6" s="110">
        <f t="shared" si="12"/>
        <v>2278170.85</v>
      </c>
      <c r="FP6" s="110">
        <f t="shared" si="12"/>
        <v>2278170.85</v>
      </c>
      <c r="FQ6" s="110">
        <f t="shared" si="12"/>
        <v>2278170.85</v>
      </c>
      <c r="FR6" s="110">
        <f t="shared" si="12"/>
        <v>2278170.85</v>
      </c>
      <c r="FS6" s="110">
        <f t="shared" si="12"/>
        <v>2278170.85</v>
      </c>
      <c r="FT6" s="110">
        <f t="shared" si="12"/>
        <v>2278170.85</v>
      </c>
      <c r="FU6" s="110">
        <f t="shared" si="12"/>
        <v>2278170.85</v>
      </c>
      <c r="FV6" s="110">
        <f t="shared" si="12"/>
        <v>2278170.85</v>
      </c>
      <c r="FW6" s="110">
        <f t="shared" si="12"/>
        <v>2278170.85</v>
      </c>
      <c r="FX6" s="110">
        <f t="shared" si="12"/>
        <v>2278170.85</v>
      </c>
      <c r="FY6" s="110">
        <f t="shared" si="12"/>
        <v>2278170.85</v>
      </c>
      <c r="FZ6" s="110">
        <f t="shared" si="12"/>
        <v>2278170.85</v>
      </c>
      <c r="GA6" s="110">
        <f t="shared" si="12"/>
        <v>2278170.85</v>
      </c>
      <c r="GB6" s="110">
        <f t="shared" si="12"/>
        <v>2278170.85</v>
      </c>
      <c r="GC6" s="110">
        <f t="shared" si="12"/>
        <v>2278170.85</v>
      </c>
      <c r="GD6" s="110">
        <f t="shared" si="12"/>
        <v>2278170.85</v>
      </c>
      <c r="GE6" s="110">
        <f t="shared" si="12"/>
        <v>2278170.85</v>
      </c>
      <c r="GF6" s="110">
        <f t="shared" si="12"/>
        <v>2278170.85</v>
      </c>
      <c r="GG6" s="110">
        <f t="shared" si="12"/>
        <v>2278170.85</v>
      </c>
      <c r="GH6" s="110">
        <f t="shared" si="12"/>
        <v>2278170.85</v>
      </c>
      <c r="GI6" s="110">
        <f t="shared" si="12"/>
        <v>2278170.85</v>
      </c>
      <c r="GJ6" s="110">
        <f t="shared" si="12"/>
        <v>2278170.85</v>
      </c>
      <c r="GK6" s="110">
        <f t="shared" si="12"/>
        <v>2278170.85</v>
      </c>
      <c r="GL6" s="110">
        <f t="shared" si="12"/>
        <v>2278170.85</v>
      </c>
      <c r="GM6" s="110">
        <f t="shared" si="12"/>
        <v>2278170.85</v>
      </c>
      <c r="GN6" s="110">
        <f t="shared" si="12"/>
        <v>2278170.85</v>
      </c>
      <c r="GO6" s="110">
        <f t="shared" si="12"/>
        <v>2278170.85</v>
      </c>
      <c r="GP6" s="110">
        <f t="shared" si="12"/>
        <v>2278170.85</v>
      </c>
      <c r="GQ6" s="110">
        <f t="shared" si="12"/>
        <v>2278170.85</v>
      </c>
      <c r="GR6" s="110">
        <f t="shared" si="12"/>
        <v>2278170.85</v>
      </c>
      <c r="GS6" s="110">
        <f t="shared" ref="GS6:JD6" si="13">GR6+GS5</f>
        <v>2278170.85</v>
      </c>
      <c r="GT6" s="110">
        <f t="shared" si="13"/>
        <v>2278170.85</v>
      </c>
      <c r="GU6" s="110">
        <f t="shared" si="13"/>
        <v>2278170.85</v>
      </c>
      <c r="GV6" s="110">
        <f t="shared" si="13"/>
        <v>2278170.85</v>
      </c>
      <c r="GW6" s="110">
        <f t="shared" si="13"/>
        <v>2278170.85</v>
      </c>
      <c r="GX6" s="110">
        <f t="shared" si="13"/>
        <v>2278170.85</v>
      </c>
      <c r="GY6" s="110">
        <f t="shared" si="13"/>
        <v>2278170.85</v>
      </c>
      <c r="GZ6" s="110">
        <f t="shared" si="13"/>
        <v>2278170.85</v>
      </c>
      <c r="HA6" s="110">
        <f t="shared" si="13"/>
        <v>2278170.85</v>
      </c>
      <c r="HB6" s="110">
        <f t="shared" si="13"/>
        <v>2278170.85</v>
      </c>
      <c r="HC6" s="110">
        <f t="shared" si="13"/>
        <v>2278170.85</v>
      </c>
      <c r="HD6" s="110">
        <f t="shared" si="13"/>
        <v>2278170.85</v>
      </c>
      <c r="HE6" s="110">
        <f t="shared" si="13"/>
        <v>2278170.85</v>
      </c>
      <c r="HF6" s="110">
        <f t="shared" si="13"/>
        <v>2278170.85</v>
      </c>
      <c r="HG6" s="110">
        <f t="shared" si="13"/>
        <v>2278170.85</v>
      </c>
      <c r="HH6" s="110">
        <f t="shared" si="13"/>
        <v>2278170.85</v>
      </c>
      <c r="HI6" s="110">
        <f t="shared" si="13"/>
        <v>2278170.85</v>
      </c>
      <c r="HJ6" s="110">
        <f t="shared" si="13"/>
        <v>2278170.85</v>
      </c>
      <c r="HK6" s="110">
        <f t="shared" si="13"/>
        <v>2278170.85</v>
      </c>
      <c r="HL6" s="110">
        <f t="shared" si="13"/>
        <v>2278170.85</v>
      </c>
      <c r="HM6" s="110">
        <f t="shared" si="13"/>
        <v>2278170.85</v>
      </c>
      <c r="HN6" s="110">
        <f t="shared" si="13"/>
        <v>2278170.85</v>
      </c>
      <c r="HO6" s="110">
        <f t="shared" si="13"/>
        <v>2278170.85</v>
      </c>
      <c r="HP6" s="110">
        <f t="shared" si="13"/>
        <v>2278170.85</v>
      </c>
      <c r="HQ6" s="110">
        <f t="shared" si="13"/>
        <v>2278170.85</v>
      </c>
      <c r="HR6" s="110">
        <f t="shared" si="13"/>
        <v>2278170.85</v>
      </c>
      <c r="HS6" s="110">
        <f t="shared" si="13"/>
        <v>2278170.85</v>
      </c>
      <c r="HT6" s="110">
        <f t="shared" si="13"/>
        <v>2278170.85</v>
      </c>
      <c r="HU6" s="110">
        <f t="shared" si="13"/>
        <v>2278170.85</v>
      </c>
      <c r="HV6" s="110">
        <f t="shared" si="13"/>
        <v>2278170.85</v>
      </c>
      <c r="HW6" s="110">
        <f t="shared" si="13"/>
        <v>2278170.85</v>
      </c>
      <c r="HX6" s="110">
        <f t="shared" si="13"/>
        <v>2278170.85</v>
      </c>
      <c r="HY6" s="110">
        <f t="shared" si="13"/>
        <v>2278170.85</v>
      </c>
      <c r="HZ6" s="110">
        <f t="shared" si="13"/>
        <v>2278170.85</v>
      </c>
      <c r="IA6" s="110">
        <f t="shared" si="13"/>
        <v>2278170.85</v>
      </c>
      <c r="IB6" s="110">
        <f t="shared" si="13"/>
        <v>2278170.85</v>
      </c>
      <c r="IC6" s="110">
        <f t="shared" si="13"/>
        <v>2278170.85</v>
      </c>
      <c r="ID6" s="110">
        <f t="shared" si="13"/>
        <v>2278170.85</v>
      </c>
      <c r="IE6" s="110">
        <f t="shared" si="13"/>
        <v>2278170.85</v>
      </c>
      <c r="IF6" s="110">
        <f t="shared" si="13"/>
        <v>2278170.85</v>
      </c>
      <c r="IG6" s="110">
        <f t="shared" si="13"/>
        <v>2278170.85</v>
      </c>
      <c r="IH6" s="110">
        <f t="shared" si="13"/>
        <v>2278170.85</v>
      </c>
      <c r="II6" s="110">
        <f t="shared" si="13"/>
        <v>2278170.85</v>
      </c>
      <c r="IJ6" s="110">
        <f t="shared" si="13"/>
        <v>2278170.85</v>
      </c>
      <c r="IK6" s="110">
        <f t="shared" si="13"/>
        <v>2278170.85</v>
      </c>
      <c r="IL6" s="110">
        <f t="shared" si="13"/>
        <v>2278170.85</v>
      </c>
      <c r="IM6" s="110">
        <f t="shared" si="13"/>
        <v>2278170.85</v>
      </c>
      <c r="IN6" s="110">
        <f t="shared" si="13"/>
        <v>2278170.85</v>
      </c>
      <c r="IO6" s="110">
        <f t="shared" si="13"/>
        <v>2278170.85</v>
      </c>
      <c r="IP6" s="110">
        <f t="shared" si="13"/>
        <v>2278170.85</v>
      </c>
      <c r="IQ6" s="110">
        <f t="shared" si="13"/>
        <v>2278170.85</v>
      </c>
      <c r="IR6" s="110">
        <f t="shared" si="13"/>
        <v>2278170.85</v>
      </c>
      <c r="IS6" s="110">
        <f t="shared" si="13"/>
        <v>2278170.85</v>
      </c>
      <c r="IT6" s="110">
        <f t="shared" si="13"/>
        <v>2278170.85</v>
      </c>
      <c r="IU6" s="110">
        <f t="shared" si="13"/>
        <v>2278170.85</v>
      </c>
      <c r="IV6" s="110">
        <f t="shared" si="13"/>
        <v>2278170.85</v>
      </c>
      <c r="IW6" s="110">
        <f t="shared" si="13"/>
        <v>2278170.85</v>
      </c>
      <c r="IX6" s="110">
        <f t="shared" si="13"/>
        <v>2278170.85</v>
      </c>
      <c r="IY6" s="110">
        <f t="shared" si="13"/>
        <v>2278170.85</v>
      </c>
      <c r="IZ6" s="110">
        <f t="shared" si="13"/>
        <v>2278170.85</v>
      </c>
      <c r="JA6" s="110">
        <f t="shared" si="13"/>
        <v>2278170.85</v>
      </c>
      <c r="JB6" s="110">
        <f t="shared" si="13"/>
        <v>2278170.85</v>
      </c>
      <c r="JC6" s="110">
        <f t="shared" si="13"/>
        <v>2278170.85</v>
      </c>
      <c r="JD6" s="110">
        <f t="shared" si="13"/>
        <v>2278170.85</v>
      </c>
      <c r="JE6" s="110">
        <f t="shared" ref="JE6:KF6" si="14">JD6+JE5</f>
        <v>2278170.85</v>
      </c>
      <c r="JF6" s="110">
        <f t="shared" si="14"/>
        <v>2278170.85</v>
      </c>
      <c r="JG6" s="110">
        <f t="shared" si="14"/>
        <v>2278170.85</v>
      </c>
      <c r="JH6" s="110">
        <f t="shared" si="14"/>
        <v>2278170.85</v>
      </c>
      <c r="JI6" s="110">
        <f t="shared" si="14"/>
        <v>2278170.85</v>
      </c>
      <c r="JJ6" s="110">
        <f t="shared" si="14"/>
        <v>2278170.85</v>
      </c>
      <c r="JK6" s="110">
        <f t="shared" si="14"/>
        <v>2278170.85</v>
      </c>
      <c r="JL6" s="110">
        <f t="shared" si="14"/>
        <v>2278170.85</v>
      </c>
      <c r="JM6" s="110">
        <f t="shared" si="14"/>
        <v>2278170.85</v>
      </c>
      <c r="JN6" s="110">
        <f t="shared" si="14"/>
        <v>2278170.85</v>
      </c>
      <c r="JO6" s="110">
        <f t="shared" si="14"/>
        <v>2278170.85</v>
      </c>
      <c r="JP6" s="110">
        <f t="shared" si="14"/>
        <v>2278170.85</v>
      </c>
      <c r="JQ6" s="110">
        <f t="shared" si="14"/>
        <v>2278170.85</v>
      </c>
      <c r="JR6" s="110">
        <f t="shared" si="14"/>
        <v>2278170.85</v>
      </c>
      <c r="JS6" s="110">
        <f t="shared" si="14"/>
        <v>2278170.85</v>
      </c>
      <c r="JT6" s="110">
        <f t="shared" si="14"/>
        <v>2278170.85</v>
      </c>
      <c r="JU6" s="110">
        <f t="shared" si="14"/>
        <v>2278170.85</v>
      </c>
      <c r="JV6" s="110">
        <f t="shared" si="14"/>
        <v>2278170.85</v>
      </c>
      <c r="JW6" s="110">
        <f t="shared" si="14"/>
        <v>2278170.85</v>
      </c>
      <c r="JX6" s="110">
        <f t="shared" si="14"/>
        <v>2278170.85</v>
      </c>
      <c r="JY6" s="110">
        <f t="shared" si="14"/>
        <v>2278170.85</v>
      </c>
      <c r="JZ6" s="110">
        <f t="shared" si="14"/>
        <v>2278170.85</v>
      </c>
      <c r="KA6" s="110">
        <f t="shared" si="14"/>
        <v>2278170.85</v>
      </c>
      <c r="KB6" s="110">
        <f t="shared" si="14"/>
        <v>2278170.85</v>
      </c>
      <c r="KC6" s="110">
        <f t="shared" si="14"/>
        <v>2278170.85</v>
      </c>
      <c r="KD6" s="110">
        <f t="shared" si="14"/>
        <v>2278170.85</v>
      </c>
      <c r="KE6" s="110">
        <f t="shared" si="14"/>
        <v>2278170.85</v>
      </c>
      <c r="KF6" s="110">
        <f t="shared" si="14"/>
        <v>2278170.85</v>
      </c>
      <c r="KG6" s="100"/>
      <c r="KH6" s="111"/>
    </row>
    <row r="7" spans="1:770">
      <c r="A7" s="801"/>
      <c r="B7" s="113" t="s">
        <v>527</v>
      </c>
      <c r="C7" s="114"/>
      <c r="D7" s="114"/>
      <c r="E7" s="115"/>
      <c r="F7" s="116">
        <f t="shared" ref="F7:H7" si="15">F4-F6</f>
        <v>0</v>
      </c>
      <c r="G7" s="116">
        <f t="shared" si="15"/>
        <v>0</v>
      </c>
      <c r="H7" s="116">
        <f t="shared" si="15"/>
        <v>0</v>
      </c>
      <c r="I7" s="116">
        <f t="shared" ref="I7:BT7" si="16">I4-I6</f>
        <v>0</v>
      </c>
      <c r="J7" s="116">
        <f t="shared" si="16"/>
        <v>0</v>
      </c>
      <c r="K7" s="116">
        <f t="shared" si="16"/>
        <v>0</v>
      </c>
      <c r="L7" s="116">
        <f t="shared" si="16"/>
        <v>0</v>
      </c>
      <c r="M7" s="116">
        <f t="shared" si="16"/>
        <v>0</v>
      </c>
      <c r="N7" s="116">
        <f t="shared" si="16"/>
        <v>58084.447500000002</v>
      </c>
      <c r="O7" s="116">
        <f t="shared" si="16"/>
        <v>1135808.8655000001</v>
      </c>
      <c r="P7" s="116">
        <f t="shared" si="16"/>
        <v>1321679.0975000001</v>
      </c>
      <c r="Q7" s="116">
        <f t="shared" si="16"/>
        <v>1725485.7825000002</v>
      </c>
      <c r="R7" s="116">
        <f t="shared" si="16"/>
        <v>1687924.7000000007</v>
      </c>
      <c r="S7" s="116">
        <f t="shared" si="16"/>
        <v>1670300.6094958344</v>
      </c>
      <c r="T7" s="116">
        <f t="shared" si="16"/>
        <v>1494070.419495834</v>
      </c>
      <c r="U7" s="116">
        <f t="shared" si="16"/>
        <v>1494070.419495834</v>
      </c>
      <c r="V7" s="116">
        <f t="shared" si="16"/>
        <v>1040550.419495834</v>
      </c>
      <c r="W7" s="116">
        <f t="shared" si="16"/>
        <v>1040550.419495834</v>
      </c>
      <c r="X7" s="116">
        <f t="shared" si="16"/>
        <v>1040550.419495834</v>
      </c>
      <c r="Y7" s="116">
        <f t="shared" si="16"/>
        <v>479190.20949583407</v>
      </c>
      <c r="Z7" s="116">
        <f t="shared" si="16"/>
        <v>479190.20949583407</v>
      </c>
      <c r="AA7" s="116">
        <f t="shared" si="16"/>
        <v>479190.20949583407</v>
      </c>
      <c r="AB7" s="116">
        <f t="shared" si="16"/>
        <v>479190.20949583407</v>
      </c>
      <c r="AC7" s="116">
        <f t="shared" si="16"/>
        <v>479190.20949583407</v>
      </c>
      <c r="AD7" s="116">
        <f t="shared" si="16"/>
        <v>479190.20949583407</v>
      </c>
      <c r="AE7" s="116">
        <f t="shared" si="16"/>
        <v>479190.20949583407</v>
      </c>
      <c r="AF7" s="116">
        <f t="shared" si="16"/>
        <v>479190.20949583407</v>
      </c>
      <c r="AG7" s="116">
        <f t="shared" si="16"/>
        <v>541884.06949583394</v>
      </c>
      <c r="AH7" s="116">
        <f t="shared" si="16"/>
        <v>541884.06949583394</v>
      </c>
      <c r="AI7" s="116">
        <f t="shared" si="16"/>
        <v>541884.06949583394</v>
      </c>
      <c r="AJ7" s="116">
        <f t="shared" si="16"/>
        <v>541884.06949583394</v>
      </c>
      <c r="AK7" s="116">
        <f t="shared" si="16"/>
        <v>541884.06949583394</v>
      </c>
      <c r="AL7" s="116">
        <f t="shared" si="16"/>
        <v>541884.06949583394</v>
      </c>
      <c r="AM7" s="116">
        <f t="shared" si="16"/>
        <v>541884.06949583394</v>
      </c>
      <c r="AN7" s="116">
        <f t="shared" si="16"/>
        <v>541884.06949583394</v>
      </c>
      <c r="AO7" s="116">
        <f t="shared" si="16"/>
        <v>541884.06949583394</v>
      </c>
      <c r="AP7" s="116">
        <f t="shared" si="16"/>
        <v>541884.06949583394</v>
      </c>
      <c r="AQ7" s="116">
        <f t="shared" si="16"/>
        <v>541884.06949583394</v>
      </c>
      <c r="AR7" s="116">
        <f t="shared" si="16"/>
        <v>541884.06949583394</v>
      </c>
      <c r="AS7" s="116">
        <f t="shared" si="16"/>
        <v>541884.06949583394</v>
      </c>
      <c r="AT7" s="116">
        <f t="shared" si="16"/>
        <v>541884.06949583394</v>
      </c>
      <c r="AU7" s="116">
        <f t="shared" si="16"/>
        <v>541884.06949583394</v>
      </c>
      <c r="AV7" s="116">
        <f t="shared" si="16"/>
        <v>541884.06949583394</v>
      </c>
      <c r="AW7" s="116">
        <f t="shared" si="16"/>
        <v>541884.06949583394</v>
      </c>
      <c r="AX7" s="116">
        <f t="shared" si="16"/>
        <v>541884.06949583394</v>
      </c>
      <c r="AY7" s="116">
        <f t="shared" si="16"/>
        <v>541884.06949583394</v>
      </c>
      <c r="AZ7" s="116">
        <f t="shared" si="16"/>
        <v>541884.06949583394</v>
      </c>
      <c r="BA7" s="116">
        <f t="shared" si="16"/>
        <v>541884.06949583394</v>
      </c>
      <c r="BB7" s="116">
        <f t="shared" si="16"/>
        <v>541884.06949583394</v>
      </c>
      <c r="BC7" s="116">
        <f t="shared" si="16"/>
        <v>541884.06949583394</v>
      </c>
      <c r="BD7" s="116">
        <f t="shared" si="16"/>
        <v>541884.06949583394</v>
      </c>
      <c r="BE7" s="116">
        <f t="shared" si="16"/>
        <v>541884.06949583394</v>
      </c>
      <c r="BF7" s="116">
        <f t="shared" si="16"/>
        <v>541884.06949583394</v>
      </c>
      <c r="BG7" s="116">
        <f t="shared" si="16"/>
        <v>541884.06949583394</v>
      </c>
      <c r="BH7" s="116">
        <f t="shared" si="16"/>
        <v>541884.06949583394</v>
      </c>
      <c r="BI7" s="116">
        <f t="shared" si="16"/>
        <v>541884.06949583394</v>
      </c>
      <c r="BJ7" s="116">
        <f t="shared" si="16"/>
        <v>541884.06949583394</v>
      </c>
      <c r="BK7" s="116">
        <f t="shared" si="16"/>
        <v>541884.06949583394</v>
      </c>
      <c r="BL7" s="116">
        <f t="shared" si="16"/>
        <v>541884.06949583394</v>
      </c>
      <c r="BM7" s="116">
        <f t="shared" si="16"/>
        <v>541884.06949583394</v>
      </c>
      <c r="BN7" s="116">
        <f t="shared" si="16"/>
        <v>541884.06949583394</v>
      </c>
      <c r="BO7" s="116">
        <f t="shared" si="16"/>
        <v>541884.06949583394</v>
      </c>
      <c r="BP7" s="116">
        <f t="shared" si="16"/>
        <v>541884.06949583394</v>
      </c>
      <c r="BQ7" s="116">
        <f t="shared" si="16"/>
        <v>541884.06949583394</v>
      </c>
      <c r="BR7" s="116">
        <f t="shared" si="16"/>
        <v>541884.06949583394</v>
      </c>
      <c r="BS7" s="116">
        <f t="shared" si="16"/>
        <v>541884.06949583394</v>
      </c>
      <c r="BT7" s="116">
        <f t="shared" si="16"/>
        <v>541884.06949583394</v>
      </c>
      <c r="BU7" s="116">
        <f t="shared" ref="BU7:EF7" si="17">BU4-BU6</f>
        <v>541884.06949583394</v>
      </c>
      <c r="BV7" s="116">
        <f t="shared" si="17"/>
        <v>541884.06949583394</v>
      </c>
      <c r="BW7" s="116">
        <f t="shared" si="17"/>
        <v>541884.06949583394</v>
      </c>
      <c r="BX7" s="116">
        <f t="shared" si="17"/>
        <v>541884.06949583394</v>
      </c>
      <c r="BY7" s="116">
        <f t="shared" si="17"/>
        <v>541884.06949583394</v>
      </c>
      <c r="BZ7" s="116">
        <f t="shared" si="17"/>
        <v>541884.06949583394</v>
      </c>
      <c r="CA7" s="116">
        <f t="shared" si="17"/>
        <v>541884.06949583394</v>
      </c>
      <c r="CB7" s="116">
        <f t="shared" si="17"/>
        <v>541884.06949583394</v>
      </c>
      <c r="CC7" s="116">
        <f t="shared" si="17"/>
        <v>541884.06949583394</v>
      </c>
      <c r="CD7" s="116">
        <f t="shared" si="17"/>
        <v>541884.06949583394</v>
      </c>
      <c r="CE7" s="116">
        <f t="shared" si="17"/>
        <v>541884.06949583394</v>
      </c>
      <c r="CF7" s="116">
        <f t="shared" si="17"/>
        <v>541884.06949583394</v>
      </c>
      <c r="CG7" s="116">
        <f t="shared" si="17"/>
        <v>541884.06949583394</v>
      </c>
      <c r="CH7" s="116">
        <f t="shared" si="17"/>
        <v>541884.06949583394</v>
      </c>
      <c r="CI7" s="116">
        <f t="shared" si="17"/>
        <v>541884.06949583394</v>
      </c>
      <c r="CJ7" s="116">
        <f t="shared" si="17"/>
        <v>541884.06949583394</v>
      </c>
      <c r="CK7" s="116">
        <f t="shared" si="17"/>
        <v>541884.06949583394</v>
      </c>
      <c r="CL7" s="116">
        <f t="shared" si="17"/>
        <v>541884.06949583394</v>
      </c>
      <c r="CM7" s="116">
        <f t="shared" si="17"/>
        <v>541884.06949583394</v>
      </c>
      <c r="CN7" s="116">
        <f t="shared" si="17"/>
        <v>541884.06949583394</v>
      </c>
      <c r="CO7" s="116">
        <f t="shared" si="17"/>
        <v>541884.06949583394</v>
      </c>
      <c r="CP7" s="116">
        <f t="shared" si="17"/>
        <v>541884.06949583394</v>
      </c>
      <c r="CQ7" s="116">
        <f t="shared" si="17"/>
        <v>541884.06949583394</v>
      </c>
      <c r="CR7" s="116">
        <f t="shared" si="17"/>
        <v>541884.06949583394</v>
      </c>
      <c r="CS7" s="116">
        <f t="shared" si="17"/>
        <v>541884.06949583394</v>
      </c>
      <c r="CT7" s="116">
        <f t="shared" si="17"/>
        <v>541884.06949583394</v>
      </c>
      <c r="CU7" s="116">
        <f t="shared" si="17"/>
        <v>541884.06949583394</v>
      </c>
      <c r="CV7" s="116">
        <f t="shared" si="17"/>
        <v>541884.06949583394</v>
      </c>
      <c r="CW7" s="116">
        <f t="shared" si="17"/>
        <v>541884.06949583394</v>
      </c>
      <c r="CX7" s="116">
        <f t="shared" si="17"/>
        <v>541884.06949583394</v>
      </c>
      <c r="CY7" s="116">
        <f t="shared" si="17"/>
        <v>541884.06949583394</v>
      </c>
      <c r="CZ7" s="116">
        <f t="shared" si="17"/>
        <v>541884.06949583394</v>
      </c>
      <c r="DA7" s="116">
        <f t="shared" si="17"/>
        <v>541884.06949583394</v>
      </c>
      <c r="DB7" s="116">
        <f t="shared" si="17"/>
        <v>541884.06949583394</v>
      </c>
      <c r="DC7" s="116">
        <f t="shared" si="17"/>
        <v>541884.06949583394</v>
      </c>
      <c r="DD7" s="116">
        <f t="shared" si="17"/>
        <v>541884.06949583394</v>
      </c>
      <c r="DE7" s="116">
        <f t="shared" si="17"/>
        <v>541884.06949583394</v>
      </c>
      <c r="DF7" s="116">
        <f t="shared" si="17"/>
        <v>541884.06949583394</v>
      </c>
      <c r="DG7" s="116">
        <f t="shared" si="17"/>
        <v>541884.06949583394</v>
      </c>
      <c r="DH7" s="116">
        <f t="shared" si="17"/>
        <v>541884.06949583394</v>
      </c>
      <c r="DI7" s="116">
        <f t="shared" si="17"/>
        <v>541884.06949583394</v>
      </c>
      <c r="DJ7" s="116">
        <f t="shared" si="17"/>
        <v>541884.06949583394</v>
      </c>
      <c r="DK7" s="116">
        <f t="shared" si="17"/>
        <v>541884.06949583394</v>
      </c>
      <c r="DL7" s="116">
        <f t="shared" si="17"/>
        <v>541884.06949583394</v>
      </c>
      <c r="DM7" s="116">
        <f t="shared" si="17"/>
        <v>541884.06949583394</v>
      </c>
      <c r="DN7" s="116">
        <f t="shared" si="17"/>
        <v>541884.06949583394</v>
      </c>
      <c r="DO7" s="116">
        <f t="shared" si="17"/>
        <v>541884.06949583394</v>
      </c>
      <c r="DP7" s="116">
        <f t="shared" si="17"/>
        <v>541884.06949583394</v>
      </c>
      <c r="DQ7" s="116">
        <f t="shared" si="17"/>
        <v>541884.06949583394</v>
      </c>
      <c r="DR7" s="116">
        <f t="shared" si="17"/>
        <v>541884.06949583394</v>
      </c>
      <c r="DS7" s="116">
        <f t="shared" si="17"/>
        <v>541884.06949583394</v>
      </c>
      <c r="DT7" s="116">
        <f t="shared" si="17"/>
        <v>541884.06949583394</v>
      </c>
      <c r="DU7" s="116">
        <f t="shared" si="17"/>
        <v>541884.06949583394</v>
      </c>
      <c r="DV7" s="116">
        <f t="shared" si="17"/>
        <v>541884.06949583394</v>
      </c>
      <c r="DW7" s="116">
        <f t="shared" si="17"/>
        <v>541884.06949583394</v>
      </c>
      <c r="DX7" s="116">
        <f t="shared" si="17"/>
        <v>541884.06949583394</v>
      </c>
      <c r="DY7" s="116">
        <f t="shared" si="17"/>
        <v>541884.06949583394</v>
      </c>
      <c r="DZ7" s="116">
        <f t="shared" si="17"/>
        <v>541884.06949583394</v>
      </c>
      <c r="EA7" s="116">
        <f t="shared" si="17"/>
        <v>541884.06949583394</v>
      </c>
      <c r="EB7" s="116">
        <f t="shared" si="17"/>
        <v>541884.06949583394</v>
      </c>
      <c r="EC7" s="116">
        <f t="shared" si="17"/>
        <v>541884.06949583394</v>
      </c>
      <c r="ED7" s="116">
        <f t="shared" si="17"/>
        <v>541884.06949583394</v>
      </c>
      <c r="EE7" s="116">
        <f t="shared" si="17"/>
        <v>541884.06949583394</v>
      </c>
      <c r="EF7" s="116">
        <f t="shared" si="17"/>
        <v>541884.06949583394</v>
      </c>
      <c r="EG7" s="116">
        <f t="shared" ref="EG7:GR7" si="18">EG4-EG6</f>
        <v>541884.06949583394</v>
      </c>
      <c r="EH7" s="116">
        <f t="shared" si="18"/>
        <v>541884.06949583394</v>
      </c>
      <c r="EI7" s="116">
        <f t="shared" si="18"/>
        <v>541884.06949583394</v>
      </c>
      <c r="EJ7" s="116">
        <f t="shared" si="18"/>
        <v>541884.06949583394</v>
      </c>
      <c r="EK7" s="116">
        <f t="shared" si="18"/>
        <v>541884.06949583394</v>
      </c>
      <c r="EL7" s="116">
        <f t="shared" si="18"/>
        <v>541884.06949583394</v>
      </c>
      <c r="EM7" s="116">
        <f t="shared" si="18"/>
        <v>541884.06949583394</v>
      </c>
      <c r="EN7" s="116">
        <f t="shared" si="18"/>
        <v>541884.06949583394</v>
      </c>
      <c r="EO7" s="116">
        <f t="shared" si="18"/>
        <v>541884.06949583394</v>
      </c>
      <c r="EP7" s="116">
        <f t="shared" si="18"/>
        <v>541884.06949583394</v>
      </c>
      <c r="EQ7" s="116">
        <f t="shared" si="18"/>
        <v>541884.06949583394</v>
      </c>
      <c r="ER7" s="116">
        <f t="shared" si="18"/>
        <v>541884.06949583394</v>
      </c>
      <c r="ES7" s="116">
        <f t="shared" si="18"/>
        <v>541884.06949583394</v>
      </c>
      <c r="ET7" s="116">
        <f t="shared" si="18"/>
        <v>541884.06949583394</v>
      </c>
      <c r="EU7" s="116">
        <f t="shared" si="18"/>
        <v>541884.06949583394</v>
      </c>
      <c r="EV7" s="116">
        <f t="shared" si="18"/>
        <v>541884.06949583394</v>
      </c>
      <c r="EW7" s="116">
        <f t="shared" si="18"/>
        <v>541884.06949583394</v>
      </c>
      <c r="EX7" s="116">
        <f t="shared" si="18"/>
        <v>541884.06949583394</v>
      </c>
      <c r="EY7" s="116">
        <f t="shared" si="18"/>
        <v>541884.06949583394</v>
      </c>
      <c r="EZ7" s="116">
        <f t="shared" si="18"/>
        <v>541884.06949583394</v>
      </c>
      <c r="FA7" s="116">
        <f t="shared" si="18"/>
        <v>541884.06949583394</v>
      </c>
      <c r="FB7" s="116">
        <f t="shared" si="18"/>
        <v>541884.06949583394</v>
      </c>
      <c r="FC7" s="116">
        <f t="shared" si="18"/>
        <v>541884.06949583394</v>
      </c>
      <c r="FD7" s="116">
        <f t="shared" si="18"/>
        <v>541884.06949583394</v>
      </c>
      <c r="FE7" s="116">
        <f t="shared" si="18"/>
        <v>541884.06949583394</v>
      </c>
      <c r="FF7" s="116">
        <f t="shared" si="18"/>
        <v>541884.06949583394</v>
      </c>
      <c r="FG7" s="116">
        <f t="shared" si="18"/>
        <v>541884.06949583394</v>
      </c>
      <c r="FH7" s="116">
        <f t="shared" si="18"/>
        <v>541884.06949583394</v>
      </c>
      <c r="FI7" s="116">
        <f t="shared" si="18"/>
        <v>541884.06949583394</v>
      </c>
      <c r="FJ7" s="116">
        <f t="shared" si="18"/>
        <v>541884.06949583394</v>
      </c>
      <c r="FK7" s="116">
        <f t="shared" si="18"/>
        <v>541884.06949583394</v>
      </c>
      <c r="FL7" s="116">
        <f t="shared" si="18"/>
        <v>541884.06949583394</v>
      </c>
      <c r="FM7" s="116">
        <f t="shared" si="18"/>
        <v>541884.06949583394</v>
      </c>
      <c r="FN7" s="116">
        <f t="shared" si="18"/>
        <v>541884.06949583394</v>
      </c>
      <c r="FO7" s="116">
        <f t="shared" si="18"/>
        <v>541884.06949583394</v>
      </c>
      <c r="FP7" s="116">
        <f t="shared" si="18"/>
        <v>541884.06949583394</v>
      </c>
      <c r="FQ7" s="116">
        <f t="shared" si="18"/>
        <v>541884.06949583394</v>
      </c>
      <c r="FR7" s="116">
        <f t="shared" si="18"/>
        <v>541884.06949583394</v>
      </c>
      <c r="FS7" s="116">
        <f t="shared" si="18"/>
        <v>541884.06949583394</v>
      </c>
      <c r="FT7" s="116">
        <f t="shared" si="18"/>
        <v>541884.06949583394</v>
      </c>
      <c r="FU7" s="116">
        <f t="shared" si="18"/>
        <v>541884.06949583394</v>
      </c>
      <c r="FV7" s="116">
        <f t="shared" si="18"/>
        <v>541884.06949583394</v>
      </c>
      <c r="FW7" s="116">
        <f t="shared" si="18"/>
        <v>541884.06949583394</v>
      </c>
      <c r="FX7" s="116">
        <f t="shared" si="18"/>
        <v>541884.06949583394</v>
      </c>
      <c r="FY7" s="116">
        <f t="shared" si="18"/>
        <v>541884.06949583394</v>
      </c>
      <c r="FZ7" s="116">
        <f t="shared" si="18"/>
        <v>541884.06949583394</v>
      </c>
      <c r="GA7" s="116">
        <f t="shared" si="18"/>
        <v>541884.06949583394</v>
      </c>
      <c r="GB7" s="116">
        <f t="shared" si="18"/>
        <v>541884.06949583394</v>
      </c>
      <c r="GC7" s="116">
        <f t="shared" si="18"/>
        <v>541884.06949583394</v>
      </c>
      <c r="GD7" s="116">
        <f t="shared" si="18"/>
        <v>541884.06949583394</v>
      </c>
      <c r="GE7" s="116">
        <f t="shared" si="18"/>
        <v>541884.06949583394</v>
      </c>
      <c r="GF7" s="116">
        <f t="shared" si="18"/>
        <v>541884.06949583394</v>
      </c>
      <c r="GG7" s="116">
        <f t="shared" si="18"/>
        <v>541884.06949583394</v>
      </c>
      <c r="GH7" s="116">
        <f t="shared" si="18"/>
        <v>541884.06949583394</v>
      </c>
      <c r="GI7" s="116">
        <f t="shared" si="18"/>
        <v>541884.06949583394</v>
      </c>
      <c r="GJ7" s="116">
        <f t="shared" si="18"/>
        <v>541884.06949583394</v>
      </c>
      <c r="GK7" s="116">
        <f t="shared" si="18"/>
        <v>541884.06949583394</v>
      </c>
      <c r="GL7" s="116">
        <f t="shared" si="18"/>
        <v>541884.06949583394</v>
      </c>
      <c r="GM7" s="116">
        <f t="shared" si="18"/>
        <v>541884.06949583394</v>
      </c>
      <c r="GN7" s="116">
        <f t="shared" si="18"/>
        <v>541884.06949583394</v>
      </c>
      <c r="GO7" s="116">
        <f t="shared" si="18"/>
        <v>541884.06949583394</v>
      </c>
      <c r="GP7" s="116">
        <f t="shared" si="18"/>
        <v>541884.06949583394</v>
      </c>
      <c r="GQ7" s="116">
        <f t="shared" si="18"/>
        <v>541884.06949583394</v>
      </c>
      <c r="GR7" s="116">
        <f t="shared" si="18"/>
        <v>541884.06949583394</v>
      </c>
      <c r="GS7" s="116">
        <f t="shared" ref="GS7:JD7" si="19">GS4-GS6</f>
        <v>541884.06949583394</v>
      </c>
      <c r="GT7" s="116">
        <f t="shared" si="19"/>
        <v>541884.06949583394</v>
      </c>
      <c r="GU7" s="116">
        <f t="shared" si="19"/>
        <v>541884.06949583394</v>
      </c>
      <c r="GV7" s="116">
        <f t="shared" si="19"/>
        <v>541884.06949583394</v>
      </c>
      <c r="GW7" s="116">
        <f t="shared" si="19"/>
        <v>541884.06949583394</v>
      </c>
      <c r="GX7" s="116">
        <f t="shared" si="19"/>
        <v>541884.06949583394</v>
      </c>
      <c r="GY7" s="116">
        <f t="shared" si="19"/>
        <v>541884.06949583394</v>
      </c>
      <c r="GZ7" s="116">
        <f t="shared" si="19"/>
        <v>541884.06949583394</v>
      </c>
      <c r="HA7" s="116">
        <f t="shared" si="19"/>
        <v>541884.06949583394</v>
      </c>
      <c r="HB7" s="116">
        <f t="shared" si="19"/>
        <v>541884.06949583394</v>
      </c>
      <c r="HC7" s="116">
        <f t="shared" si="19"/>
        <v>541884.06949583394</v>
      </c>
      <c r="HD7" s="116">
        <f t="shared" si="19"/>
        <v>541884.06949583394</v>
      </c>
      <c r="HE7" s="116">
        <f t="shared" si="19"/>
        <v>541884.06949583394</v>
      </c>
      <c r="HF7" s="116">
        <f t="shared" si="19"/>
        <v>541884.06949583394</v>
      </c>
      <c r="HG7" s="116">
        <f t="shared" si="19"/>
        <v>541884.06949583394</v>
      </c>
      <c r="HH7" s="116">
        <f t="shared" si="19"/>
        <v>541884.06949583394</v>
      </c>
      <c r="HI7" s="116">
        <f t="shared" si="19"/>
        <v>541884.06949583394</v>
      </c>
      <c r="HJ7" s="116">
        <f t="shared" si="19"/>
        <v>541884.06949583394</v>
      </c>
      <c r="HK7" s="116">
        <f t="shared" si="19"/>
        <v>541884.06949583394</v>
      </c>
      <c r="HL7" s="116">
        <f t="shared" si="19"/>
        <v>541884.06949583394</v>
      </c>
      <c r="HM7" s="116">
        <f t="shared" si="19"/>
        <v>541884.06949583394</v>
      </c>
      <c r="HN7" s="116">
        <f t="shared" si="19"/>
        <v>541884.06949583394</v>
      </c>
      <c r="HO7" s="116">
        <f t="shared" si="19"/>
        <v>541884.06949583394</v>
      </c>
      <c r="HP7" s="116">
        <f t="shared" si="19"/>
        <v>541884.06949583394</v>
      </c>
      <c r="HQ7" s="116">
        <f t="shared" si="19"/>
        <v>541884.06949583394</v>
      </c>
      <c r="HR7" s="116">
        <f t="shared" si="19"/>
        <v>541884.06949583394</v>
      </c>
      <c r="HS7" s="116">
        <f t="shared" si="19"/>
        <v>541884.06949583394</v>
      </c>
      <c r="HT7" s="116">
        <f t="shared" si="19"/>
        <v>541884.06949583394</v>
      </c>
      <c r="HU7" s="116">
        <f t="shared" si="19"/>
        <v>541884.06949583394</v>
      </c>
      <c r="HV7" s="116">
        <f t="shared" si="19"/>
        <v>541884.06949583394</v>
      </c>
      <c r="HW7" s="116">
        <f t="shared" si="19"/>
        <v>541884.06949583394</v>
      </c>
      <c r="HX7" s="116">
        <f t="shared" si="19"/>
        <v>541884.06949583394</v>
      </c>
      <c r="HY7" s="116">
        <f t="shared" si="19"/>
        <v>541884.06949583394</v>
      </c>
      <c r="HZ7" s="116">
        <f t="shared" si="19"/>
        <v>541884.06949583394</v>
      </c>
      <c r="IA7" s="116">
        <f t="shared" si="19"/>
        <v>541884.06949583394</v>
      </c>
      <c r="IB7" s="116">
        <f t="shared" si="19"/>
        <v>541884.06949583394</v>
      </c>
      <c r="IC7" s="116">
        <f t="shared" si="19"/>
        <v>541884.06949583394</v>
      </c>
      <c r="ID7" s="116">
        <f t="shared" si="19"/>
        <v>541884.06949583394</v>
      </c>
      <c r="IE7" s="116">
        <f t="shared" si="19"/>
        <v>541884.06949583394</v>
      </c>
      <c r="IF7" s="116">
        <f t="shared" si="19"/>
        <v>541884.06949583394</v>
      </c>
      <c r="IG7" s="116">
        <f t="shared" si="19"/>
        <v>541884.06949583394</v>
      </c>
      <c r="IH7" s="116">
        <f t="shared" si="19"/>
        <v>541884.06949583394</v>
      </c>
      <c r="II7" s="116">
        <f t="shared" si="19"/>
        <v>541884.06949583394</v>
      </c>
      <c r="IJ7" s="116">
        <f t="shared" si="19"/>
        <v>541884.06949583394</v>
      </c>
      <c r="IK7" s="116">
        <f t="shared" si="19"/>
        <v>541884.06949583394</v>
      </c>
      <c r="IL7" s="116">
        <f t="shared" si="19"/>
        <v>541884.06949583394</v>
      </c>
      <c r="IM7" s="116">
        <f t="shared" si="19"/>
        <v>541884.06949583394</v>
      </c>
      <c r="IN7" s="116">
        <f t="shared" si="19"/>
        <v>541884.06949583394</v>
      </c>
      <c r="IO7" s="116">
        <f t="shared" si="19"/>
        <v>541884.06949583394</v>
      </c>
      <c r="IP7" s="116">
        <f t="shared" si="19"/>
        <v>541884.06949583394</v>
      </c>
      <c r="IQ7" s="116">
        <f t="shared" si="19"/>
        <v>541884.06949583394</v>
      </c>
      <c r="IR7" s="116">
        <f t="shared" si="19"/>
        <v>541884.06949583394</v>
      </c>
      <c r="IS7" s="116">
        <f t="shared" si="19"/>
        <v>541884.06949583394</v>
      </c>
      <c r="IT7" s="116">
        <f t="shared" si="19"/>
        <v>541884.06949583394</v>
      </c>
      <c r="IU7" s="116">
        <f t="shared" si="19"/>
        <v>541884.06949583394</v>
      </c>
      <c r="IV7" s="116">
        <f t="shared" si="19"/>
        <v>541884.06949583394</v>
      </c>
      <c r="IW7" s="116">
        <f t="shared" si="19"/>
        <v>541884.06949583394</v>
      </c>
      <c r="IX7" s="116">
        <f t="shared" si="19"/>
        <v>541884.06949583394</v>
      </c>
      <c r="IY7" s="116">
        <f t="shared" si="19"/>
        <v>541884.06949583394</v>
      </c>
      <c r="IZ7" s="116">
        <f t="shared" si="19"/>
        <v>541884.06949583394</v>
      </c>
      <c r="JA7" s="116">
        <f t="shared" si="19"/>
        <v>541884.06949583394</v>
      </c>
      <c r="JB7" s="116">
        <f t="shared" si="19"/>
        <v>541884.06949583394</v>
      </c>
      <c r="JC7" s="116">
        <f t="shared" si="19"/>
        <v>541884.06949583394</v>
      </c>
      <c r="JD7" s="116">
        <f t="shared" si="19"/>
        <v>541884.06949583394</v>
      </c>
      <c r="JE7" s="116">
        <f t="shared" ref="JE7:KF7" si="20">JE4-JE6</f>
        <v>541884.06949583394</v>
      </c>
      <c r="JF7" s="116">
        <f t="shared" si="20"/>
        <v>541884.06949583394</v>
      </c>
      <c r="JG7" s="116">
        <f t="shared" si="20"/>
        <v>541884.06949583394</v>
      </c>
      <c r="JH7" s="116">
        <f t="shared" si="20"/>
        <v>541884.06949583394</v>
      </c>
      <c r="JI7" s="116">
        <f t="shared" si="20"/>
        <v>541884.06949583394</v>
      </c>
      <c r="JJ7" s="116">
        <f t="shared" si="20"/>
        <v>541884.06949583394</v>
      </c>
      <c r="JK7" s="116">
        <f t="shared" si="20"/>
        <v>541884.06949583394</v>
      </c>
      <c r="JL7" s="116">
        <f t="shared" si="20"/>
        <v>541884.06949583394</v>
      </c>
      <c r="JM7" s="116">
        <f t="shared" si="20"/>
        <v>541884.06949583394</v>
      </c>
      <c r="JN7" s="116">
        <f t="shared" si="20"/>
        <v>541884.06949583394</v>
      </c>
      <c r="JO7" s="116">
        <f t="shared" si="20"/>
        <v>541884.06949583394</v>
      </c>
      <c r="JP7" s="116">
        <f t="shared" si="20"/>
        <v>541884.06949583394</v>
      </c>
      <c r="JQ7" s="116">
        <f t="shared" si="20"/>
        <v>541884.06949583394</v>
      </c>
      <c r="JR7" s="116">
        <f t="shared" si="20"/>
        <v>541884.06949583394</v>
      </c>
      <c r="JS7" s="116">
        <f t="shared" si="20"/>
        <v>541884.06949583394</v>
      </c>
      <c r="JT7" s="116">
        <f t="shared" si="20"/>
        <v>541884.06949583394</v>
      </c>
      <c r="JU7" s="116">
        <f t="shared" si="20"/>
        <v>541884.06949583394</v>
      </c>
      <c r="JV7" s="116">
        <f t="shared" si="20"/>
        <v>541884.06949583394</v>
      </c>
      <c r="JW7" s="116">
        <f t="shared" si="20"/>
        <v>541884.06949583394</v>
      </c>
      <c r="JX7" s="116">
        <f t="shared" si="20"/>
        <v>541884.06949583394</v>
      </c>
      <c r="JY7" s="116">
        <f t="shared" si="20"/>
        <v>541884.06949583394</v>
      </c>
      <c r="JZ7" s="116">
        <f t="shared" si="20"/>
        <v>541884.06949583394</v>
      </c>
      <c r="KA7" s="116">
        <f t="shared" si="20"/>
        <v>541884.06949583394</v>
      </c>
      <c r="KB7" s="116">
        <f t="shared" si="20"/>
        <v>541884.06949583394</v>
      </c>
      <c r="KC7" s="116">
        <f t="shared" si="20"/>
        <v>541884.06949583394</v>
      </c>
      <c r="KD7" s="116">
        <f t="shared" si="20"/>
        <v>541884.06949583394</v>
      </c>
      <c r="KE7" s="116">
        <f t="shared" si="20"/>
        <v>541884.06949583394</v>
      </c>
      <c r="KF7" s="116">
        <f t="shared" si="20"/>
        <v>541884.06949583394</v>
      </c>
    </row>
    <row r="8" spans="1:770" s="100" customFormat="1">
      <c r="A8" s="800" t="s">
        <v>222</v>
      </c>
      <c r="B8" s="101"/>
      <c r="C8" s="102" t="s">
        <v>302</v>
      </c>
      <c r="D8" s="102" t="s">
        <v>302</v>
      </c>
      <c r="E8" s="102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  <c r="AB8" s="117"/>
      <c r="AC8" s="117"/>
      <c r="AD8" s="117"/>
      <c r="AE8" s="117"/>
      <c r="AF8" s="117"/>
      <c r="AG8" s="117"/>
      <c r="AH8" s="117"/>
      <c r="AI8" s="117"/>
      <c r="AJ8" s="117"/>
      <c r="AK8" s="117"/>
      <c r="AL8" s="117"/>
      <c r="AM8" s="117"/>
      <c r="AN8" s="117"/>
      <c r="AO8" s="117"/>
      <c r="AP8" s="117"/>
      <c r="AQ8" s="117"/>
      <c r="AR8" s="117"/>
      <c r="AS8" s="117"/>
      <c r="AT8" s="117"/>
      <c r="AU8" s="117"/>
      <c r="AV8" s="117"/>
      <c r="AW8" s="117"/>
      <c r="AX8" s="117"/>
      <c r="AY8" s="117"/>
      <c r="AZ8" s="117"/>
      <c r="BA8" s="117"/>
      <c r="BB8" s="117"/>
      <c r="BC8" s="117"/>
      <c r="BD8" s="117"/>
      <c r="BE8" s="117"/>
      <c r="BF8" s="117"/>
      <c r="BG8" s="117"/>
      <c r="BH8" s="117"/>
      <c r="BI8" s="117"/>
      <c r="BJ8" s="117"/>
      <c r="BK8" s="117"/>
      <c r="BL8" s="117"/>
      <c r="BM8" s="117"/>
      <c r="BN8" s="117"/>
      <c r="BO8" s="117"/>
      <c r="BP8" s="117"/>
      <c r="BQ8" s="117"/>
      <c r="BR8" s="117"/>
      <c r="BS8" s="117"/>
      <c r="BT8" s="117"/>
      <c r="BU8" s="117"/>
      <c r="BV8" s="117"/>
      <c r="BW8" s="117"/>
      <c r="BX8" s="117"/>
      <c r="BY8" s="117"/>
      <c r="BZ8" s="117"/>
      <c r="CA8" s="117"/>
      <c r="CB8" s="117"/>
      <c r="CC8" s="117"/>
      <c r="CD8" s="117"/>
      <c r="CE8" s="117"/>
      <c r="CF8" s="117"/>
      <c r="CG8" s="117"/>
      <c r="CH8" s="117"/>
      <c r="CI8" s="117"/>
      <c r="CJ8" s="117"/>
      <c r="CK8" s="117"/>
      <c r="CL8" s="117"/>
      <c r="CM8" s="117"/>
      <c r="CN8" s="117"/>
      <c r="CO8" s="117"/>
      <c r="CP8" s="117"/>
      <c r="CQ8" s="117"/>
      <c r="CR8" s="117"/>
      <c r="CS8" s="117"/>
      <c r="CT8" s="117"/>
      <c r="CU8" s="117"/>
      <c r="CV8" s="117"/>
      <c r="CW8" s="117"/>
      <c r="CX8" s="117"/>
      <c r="CY8" s="117"/>
      <c r="CZ8" s="117"/>
      <c r="DA8" s="117"/>
      <c r="DB8" s="117"/>
      <c r="DC8" s="117"/>
      <c r="DD8" s="117"/>
      <c r="DE8" s="117"/>
      <c r="DF8" s="117"/>
      <c r="DG8" s="117"/>
      <c r="DH8" s="117"/>
      <c r="DI8" s="117"/>
      <c r="DJ8" s="117"/>
      <c r="DK8" s="117"/>
      <c r="DL8" s="117"/>
      <c r="DM8" s="117"/>
      <c r="DN8" s="117"/>
      <c r="DO8" s="117"/>
      <c r="DP8" s="117"/>
      <c r="DQ8" s="117"/>
      <c r="DR8" s="117"/>
      <c r="DS8" s="117"/>
      <c r="DT8" s="117"/>
      <c r="DU8" s="117"/>
      <c r="DV8" s="117"/>
      <c r="DW8" s="117"/>
      <c r="DX8" s="117"/>
      <c r="DY8" s="117"/>
      <c r="DZ8" s="117"/>
      <c r="EA8" s="117"/>
      <c r="EB8" s="117"/>
      <c r="EC8" s="117"/>
      <c r="ED8" s="117"/>
      <c r="EE8" s="117"/>
      <c r="EF8" s="117"/>
      <c r="EG8" s="117"/>
      <c r="EH8" s="117"/>
      <c r="EI8" s="117"/>
      <c r="EJ8" s="117"/>
      <c r="EK8" s="117"/>
      <c r="EL8" s="117"/>
      <c r="EM8" s="117"/>
      <c r="EN8" s="117"/>
      <c r="EO8" s="117"/>
      <c r="EP8" s="117"/>
      <c r="EQ8" s="117"/>
      <c r="ER8" s="117"/>
      <c r="ES8" s="117"/>
      <c r="ET8" s="117"/>
      <c r="EU8" s="117"/>
      <c r="EV8" s="117"/>
      <c r="EW8" s="117"/>
      <c r="EX8" s="117"/>
      <c r="EY8" s="117"/>
      <c r="EZ8" s="117"/>
      <c r="FA8" s="117"/>
      <c r="FB8" s="117"/>
      <c r="FC8" s="117"/>
      <c r="FD8" s="117"/>
      <c r="FE8" s="117"/>
      <c r="FF8" s="117"/>
      <c r="FG8" s="117"/>
      <c r="FH8" s="117"/>
      <c r="FI8" s="117"/>
      <c r="FJ8" s="117"/>
      <c r="FK8" s="117"/>
      <c r="FL8" s="117"/>
      <c r="FM8" s="117"/>
      <c r="FN8" s="117"/>
      <c r="FO8" s="117"/>
      <c r="FP8" s="117"/>
      <c r="FQ8" s="117"/>
      <c r="FR8" s="117"/>
      <c r="FS8" s="117"/>
      <c r="FT8" s="117"/>
      <c r="FU8" s="117"/>
      <c r="FV8" s="117"/>
      <c r="FW8" s="117"/>
      <c r="FX8" s="117"/>
      <c r="FY8" s="117"/>
      <c r="FZ8" s="117"/>
      <c r="GA8" s="117"/>
      <c r="GB8" s="117"/>
      <c r="GC8" s="117"/>
      <c r="GD8" s="117"/>
      <c r="GE8" s="117"/>
      <c r="GF8" s="117"/>
      <c r="GG8" s="117"/>
      <c r="GH8" s="117"/>
      <c r="GI8" s="117"/>
      <c r="GJ8" s="117"/>
      <c r="GK8" s="117"/>
      <c r="GL8" s="117"/>
      <c r="GM8" s="117"/>
      <c r="GN8" s="117"/>
      <c r="GO8" s="117"/>
      <c r="GP8" s="117"/>
      <c r="GQ8" s="117"/>
      <c r="GR8" s="117"/>
      <c r="GS8" s="117"/>
      <c r="GT8" s="117"/>
      <c r="GU8" s="117"/>
      <c r="GV8" s="117"/>
      <c r="GW8" s="117"/>
      <c r="GX8" s="117"/>
      <c r="GY8" s="117"/>
      <c r="GZ8" s="117"/>
      <c r="HA8" s="117"/>
      <c r="HB8" s="117"/>
      <c r="HC8" s="117"/>
      <c r="HD8" s="117"/>
      <c r="HE8" s="117"/>
      <c r="HF8" s="117"/>
      <c r="HG8" s="117"/>
      <c r="HH8" s="117"/>
      <c r="HI8" s="117"/>
      <c r="HJ8" s="117"/>
      <c r="HK8" s="117"/>
      <c r="HL8" s="117"/>
      <c r="HM8" s="117"/>
      <c r="HN8" s="117"/>
      <c r="HO8" s="117"/>
      <c r="HP8" s="117"/>
      <c r="HQ8" s="117"/>
      <c r="HR8" s="117"/>
      <c r="HS8" s="117"/>
      <c r="HT8" s="117"/>
      <c r="HU8" s="117"/>
      <c r="HV8" s="117"/>
      <c r="HW8" s="117"/>
      <c r="HX8" s="117"/>
      <c r="HY8" s="117"/>
      <c r="HZ8" s="117"/>
      <c r="IA8" s="117"/>
      <c r="IB8" s="117"/>
      <c r="IC8" s="117"/>
      <c r="ID8" s="117"/>
      <c r="IE8" s="117"/>
      <c r="IF8" s="117"/>
      <c r="IG8" s="117"/>
      <c r="IH8" s="117"/>
      <c r="II8" s="117"/>
      <c r="IJ8" s="117"/>
      <c r="IK8" s="117"/>
      <c r="IL8" s="117"/>
      <c r="IM8" s="117"/>
      <c r="IN8" s="117"/>
      <c r="IO8" s="117"/>
      <c r="IP8" s="117"/>
      <c r="IQ8" s="117"/>
      <c r="IR8" s="117"/>
      <c r="IS8" s="117"/>
      <c r="IT8" s="117"/>
      <c r="IU8" s="117"/>
      <c r="IV8" s="117"/>
      <c r="IW8" s="117"/>
      <c r="IX8" s="117"/>
      <c r="IY8" s="117"/>
      <c r="IZ8" s="117"/>
      <c r="JA8" s="117"/>
      <c r="JB8" s="117"/>
      <c r="JC8" s="117"/>
      <c r="JD8" s="117"/>
      <c r="JE8" s="117"/>
      <c r="JF8" s="117"/>
      <c r="JG8" s="117"/>
      <c r="JH8" s="117"/>
      <c r="JI8" s="117"/>
      <c r="JJ8" s="117"/>
      <c r="JK8" s="117"/>
      <c r="JL8" s="117"/>
      <c r="JM8" s="117"/>
      <c r="JN8" s="117"/>
      <c r="JO8" s="117"/>
      <c r="JP8" s="117"/>
      <c r="JQ8" s="117"/>
      <c r="JR8" s="117"/>
      <c r="JS8" s="117"/>
      <c r="JT8" s="117"/>
      <c r="JU8" s="117"/>
      <c r="JV8" s="117"/>
      <c r="JW8" s="117"/>
      <c r="JX8" s="117"/>
      <c r="JY8" s="117"/>
      <c r="JZ8" s="117"/>
      <c r="KA8" s="117"/>
      <c r="KB8" s="117"/>
      <c r="KC8" s="117"/>
      <c r="KD8" s="117"/>
      <c r="KE8" s="117"/>
      <c r="KF8" s="117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801"/>
      <c r="B9" s="118" t="s">
        <v>528</v>
      </c>
      <c r="C9" s="119">
        <f>'Revenue Tracking'!F4</f>
        <v>2820054.9194958336</v>
      </c>
      <c r="D9" s="119">
        <f>SUM(F9:KF9)</f>
        <v>2820054.9194958336</v>
      </c>
      <c r="E9" s="106"/>
      <c r="F9" s="120">
        <f>SUMIFS('Revenue Tracking'!$F$13:$F$27, 'Revenue Tracking'!$P$13:$P$27, "&gt;="&amp;F1,'Revenue Tracking'!$P$13:$P$27, "&lt;"&amp;G1)</f>
        <v>0</v>
      </c>
      <c r="G9" s="120">
        <f>SUMIFS('Revenue Tracking'!$F$13:$F$27, 'Revenue Tracking'!$P$13:$P$27, "&gt;="&amp;G1,'Revenue Tracking'!$P$13:$P$27, "&lt;"&amp;H1)</f>
        <v>0</v>
      </c>
      <c r="H9" s="120">
        <f>SUMIFS('Revenue Tracking'!$F$13:$F$27, 'Revenue Tracking'!$P$13:$P$27, "&gt;="&amp;H1,'Revenue Tracking'!$P$13:$P$27, "&lt;"&amp;I1)</f>
        <v>0</v>
      </c>
      <c r="I9" s="120">
        <f>SUMIFS('Revenue Tracking'!$F$13:$F$27, 'Revenue Tracking'!$P$13:$P$27, "&gt;="&amp;I1,'Revenue Tracking'!$P$13:$P$27, "&lt;"&amp;J1)</f>
        <v>0</v>
      </c>
      <c r="J9" s="120">
        <f>SUMIFS('Revenue Tracking'!$F$13:$F$27, 'Revenue Tracking'!$P$13:$P$27, "&gt;="&amp;J1,'Revenue Tracking'!$P$13:$P$27, "&lt;"&amp;K1)</f>
        <v>0</v>
      </c>
      <c r="K9" s="120">
        <f>SUMIFS('Revenue Tracking'!$F$13:$F$27, 'Revenue Tracking'!$P$13:$P$27, "&gt;="&amp;K1,'Revenue Tracking'!$P$13:$P$27, "&lt;"&amp;L1)</f>
        <v>0</v>
      </c>
      <c r="L9" s="120">
        <f>SUMIFS('Revenue Tracking'!$F$13:$F$27, 'Revenue Tracking'!$P$13:$P$27, "&gt;="&amp;L1,'Revenue Tracking'!$P$13:$P$27, "&lt;"&amp;M1)</f>
        <v>0</v>
      </c>
      <c r="M9" s="120">
        <f>SUMIFS('Revenue Tracking'!$F$13:$F$27, 'Revenue Tracking'!$P$13:$P$27, "&gt;="&amp;M1,'Revenue Tracking'!$P$13:$P$27, "&lt;"&amp;N1)</f>
        <v>0</v>
      </c>
      <c r="N9" s="120">
        <f>SUMIFS('Revenue Tracking'!$F$13:$F$27, 'Revenue Tracking'!$P$13:$P$27, "&gt;="&amp;N1,'Revenue Tracking'!$P$13:$P$27, "&lt;"&amp;O1)</f>
        <v>0</v>
      </c>
      <c r="O9" s="120">
        <f>SUMIFS('Revenue Tracking'!$F$13:$F$27, 'Revenue Tracking'!$P$13:$P$27, "&gt;="&amp;O1,'Revenue Tracking'!$P$13:$P$27, "&lt;"&amp;P1)</f>
        <v>290422.23750000005</v>
      </c>
      <c r="P9" s="120">
        <f>SUMIFS('Revenue Tracking'!$F$13:$F$27, 'Revenue Tracking'!$P$13:$P$27, "&gt;="&amp;P1,'Revenue Tracking'!$P$13:$P$27, "&lt;"&amp;Q1)</f>
        <v>1603130.7175000003</v>
      </c>
      <c r="Q9" s="120">
        <f>SUMIFS('Revenue Tracking'!$F$13:$F$27, 'Revenue Tracking'!$P$13:$P$27, "&gt;="&amp;Q1,'Revenue Tracking'!$P$13:$P$27, "&lt;"&amp;R1)</f>
        <v>0</v>
      </c>
      <c r="R9" s="120">
        <f>SUMIFS('Revenue Tracking'!$F$13:$F$27, 'Revenue Tracking'!$P$13:$P$27, "&gt;="&amp;R1,'Revenue Tracking'!$P$13:$P$27, "&lt;"&amp;S1)</f>
        <v>0</v>
      </c>
      <c r="S9" s="120">
        <f>SUMIFS('Revenue Tracking'!$F$13:$F$27, 'Revenue Tracking'!$P$13:$P$27, "&gt;="&amp;S1,'Revenue Tracking'!$P$13:$P$27, "&lt;"&amp;T1)</f>
        <v>0</v>
      </c>
      <c r="T9" s="120">
        <f>SUMIFS('Revenue Tracking'!$F$13:$F$27, 'Revenue Tracking'!$P$13:$P$27, "&gt;="&amp;T1,'Revenue Tracking'!$P$13:$P$27, "&lt;"&amp;U1)</f>
        <v>551507.59449583385</v>
      </c>
      <c r="U9" s="120">
        <f>SUMIFS('Revenue Tracking'!$F$13:$F$27, 'Revenue Tracking'!$P$13:$P$27, "&gt;="&amp;U1,'Revenue Tracking'!$P$13:$P$27, "&lt;"&amp;V1)</f>
        <v>0</v>
      </c>
      <c r="V9" s="120">
        <f>SUMIFS('Revenue Tracking'!$F$13:$F$27, 'Revenue Tracking'!$P$13:$P$27, "&gt;="&amp;V1,'Revenue Tracking'!$P$13:$P$27, "&lt;"&amp;W1)</f>
        <v>0</v>
      </c>
      <c r="W9" s="120">
        <f>SUMIFS('Revenue Tracking'!$F$13:$F$27, 'Revenue Tracking'!$P$13:$P$27, "&gt;="&amp;W1,'Revenue Tracking'!$P$13:$P$27, "&lt;"&amp;X1)</f>
        <v>0</v>
      </c>
      <c r="X9" s="120">
        <f>SUMIFS('Revenue Tracking'!$F$13:$F$27, 'Revenue Tracking'!$P$13:$P$27, "&gt;="&amp;X1,'Revenue Tracking'!$P$13:$P$27, "&lt;"&amp;Y1)</f>
        <v>0</v>
      </c>
      <c r="Y9" s="120">
        <f>SUMIFS('Revenue Tracking'!$F$13:$F$27, 'Revenue Tracking'!$P$13:$P$27, "&gt;="&amp;Y1,'Revenue Tracking'!$P$13:$P$27, "&lt;"&amp;Z1)</f>
        <v>0</v>
      </c>
      <c r="Z9" s="120">
        <f>SUMIFS('Revenue Tracking'!$F$13:$F$27, 'Revenue Tracking'!$P$13:$P$27, "&gt;="&amp;Z1,'Revenue Tracking'!$P$13:$P$27, "&lt;"&amp;AA1)</f>
        <v>0</v>
      </c>
      <c r="AA9" s="120">
        <f>SUMIFS('Revenue Tracking'!$F$13:$F$27, 'Revenue Tracking'!$P$13:$P$27, "&gt;="&amp;AA1,'Revenue Tracking'!$P$13:$P$27, "&lt;"&amp;AB1)</f>
        <v>0</v>
      </c>
      <c r="AB9" s="120">
        <f>SUMIFS('Revenue Tracking'!$F$13:$F$27, 'Revenue Tracking'!$P$13:$P$27, "&gt;="&amp;AB1,'Revenue Tracking'!$P$13:$P$27, "&lt;"&amp;AC1)</f>
        <v>0</v>
      </c>
      <c r="AC9" s="120">
        <f>SUMIFS('Revenue Tracking'!$F$13:$F$27, 'Revenue Tracking'!$P$13:$P$27, "&gt;="&amp;AC1,'Revenue Tracking'!$P$13:$P$27, "&lt;"&amp;AD1)</f>
        <v>0</v>
      </c>
      <c r="AD9" s="120">
        <f>SUMIFS('Revenue Tracking'!$F$13:$F$27, 'Revenue Tracking'!$P$13:$P$27, "&gt;="&amp;AD1,'Revenue Tracking'!$P$13:$P$27, "&lt;"&amp;AE1)</f>
        <v>0</v>
      </c>
      <c r="AE9" s="120">
        <f>SUMIFS('Revenue Tracking'!$F$13:$F$27, 'Revenue Tracking'!$P$13:$P$27, "&gt;="&amp;AE1,'Revenue Tracking'!$P$13:$P$27, "&lt;"&amp;AF1)</f>
        <v>0</v>
      </c>
      <c r="AF9" s="120">
        <f>SUMIFS('Revenue Tracking'!$F$13:$F$27, 'Revenue Tracking'!$P$13:$P$27, "&gt;="&amp;AF1,'Revenue Tracking'!$P$13:$P$27, "&lt;"&amp;AG1)</f>
        <v>312300.51</v>
      </c>
      <c r="AG9" s="120">
        <f>SUMIFS('Revenue Tracking'!$F$13:$F$27, 'Revenue Tracking'!$P$13:$P$27, "&gt;="&amp;AG1,'Revenue Tracking'!$P$13:$P$27, "&lt;"&amp;AH1)</f>
        <v>0</v>
      </c>
      <c r="AH9" s="120">
        <f>SUMIFS('Revenue Tracking'!$F$13:$F$27, 'Revenue Tracking'!$P$13:$P$27, "&gt;="&amp;AH1,'Revenue Tracking'!$P$13:$P$27, "&lt;"&amp;AI1)</f>
        <v>0</v>
      </c>
      <c r="AI9" s="120">
        <f>SUMIFS('Revenue Tracking'!$F$13:$F$27, 'Revenue Tracking'!$P$13:$P$27, "&gt;="&amp;AI1,'Revenue Tracking'!$P$13:$P$27, "&lt;"&amp;AJ1)</f>
        <v>0</v>
      </c>
      <c r="AJ9" s="120">
        <f>SUMIFS('Revenue Tracking'!$F$13:$F$27, 'Revenue Tracking'!$P$13:$P$27, "&gt;="&amp;AJ1,'Revenue Tracking'!$P$13:$P$27, "&lt;"&amp;AK1)</f>
        <v>0</v>
      </c>
      <c r="AK9" s="120">
        <f>SUMIFS('Revenue Tracking'!$F$13:$F$27, 'Revenue Tracking'!$P$13:$P$27, "&gt;="&amp;AK1,'Revenue Tracking'!$P$13:$P$27, "&lt;"&amp;AL1)</f>
        <v>0</v>
      </c>
      <c r="AL9" s="120">
        <f>SUMIFS('Revenue Tracking'!$F$13:$F$27, 'Revenue Tracking'!$P$13:$P$27, "&gt;="&amp;AL1,'Revenue Tracking'!$P$13:$P$27, "&lt;"&amp;AM1)</f>
        <v>0</v>
      </c>
      <c r="AM9" s="120">
        <f>SUMIFS('Revenue Tracking'!$F$13:$F$27, 'Revenue Tracking'!$P$13:$P$27, "&gt;="&amp;AM1,'Revenue Tracking'!$P$13:$P$27, "&lt;"&amp;AN1)</f>
        <v>0</v>
      </c>
      <c r="AN9" s="120">
        <f>SUMIFS('Revenue Tracking'!$F$13:$F$27, 'Revenue Tracking'!$P$13:$P$27, "&gt;="&amp;AN1,'Revenue Tracking'!$P$13:$P$27, "&lt;"&amp;AO1)</f>
        <v>0</v>
      </c>
      <c r="AO9" s="120">
        <f>SUMIFS('Revenue Tracking'!$F$13:$F$27, 'Revenue Tracking'!$P$13:$P$27, "&gt;="&amp;AO1,'Revenue Tracking'!$P$13:$P$27, "&lt;"&amp;AP1)</f>
        <v>0</v>
      </c>
      <c r="AP9" s="120">
        <f>SUMIFS('Revenue Tracking'!$F$13:$F$27, 'Revenue Tracking'!$P$13:$P$27, "&gt;="&amp;AP1,'Revenue Tracking'!$P$13:$P$27, "&lt;"&amp;AQ1)</f>
        <v>0</v>
      </c>
      <c r="AQ9" s="120">
        <f>SUMIFS('Revenue Tracking'!$F$13:$F$27, 'Revenue Tracking'!$P$13:$P$27, "&gt;="&amp;AQ1,'Revenue Tracking'!$P$13:$P$27, "&lt;"&amp;AR1)</f>
        <v>0</v>
      </c>
      <c r="AR9" s="120">
        <f>SUMIFS('Revenue Tracking'!$F$13:$F$27, 'Revenue Tracking'!$P$13:$P$27, "&gt;="&amp;AR1,'Revenue Tracking'!$P$13:$P$27, "&lt;"&amp;AS1)</f>
        <v>0</v>
      </c>
      <c r="AS9" s="120">
        <f>SUMIFS('Revenue Tracking'!$F$13:$F$27, 'Revenue Tracking'!$P$13:$P$27, "&gt;="&amp;AS1,'Revenue Tracking'!$P$13:$P$27, "&lt;"&amp;AT1)</f>
        <v>62693.86</v>
      </c>
      <c r="AT9" s="120">
        <f>SUMIFS('Revenue Tracking'!$F$13:$F$27, 'Revenue Tracking'!$P$13:$P$27, "&gt;="&amp;AT1,'Revenue Tracking'!$P$13:$P$27, "&lt;"&amp;AU1)</f>
        <v>0</v>
      </c>
      <c r="AU9" s="120">
        <f>SUMIFS('Revenue Tracking'!$F$13:$F$27, 'Revenue Tracking'!$P$13:$P$27, "&gt;="&amp;AU1,'Revenue Tracking'!$P$13:$P$27, "&lt;"&amp;AV1)</f>
        <v>0</v>
      </c>
      <c r="AV9" s="120">
        <f>SUMIFS('Revenue Tracking'!$F$13:$F$27, 'Revenue Tracking'!$P$13:$P$27, "&gt;="&amp;AV1,'Revenue Tracking'!$P$13:$P$27, "&lt;"&amp;AW1)</f>
        <v>0</v>
      </c>
      <c r="AW9" s="120">
        <f>SUMIFS('Revenue Tracking'!$F$13:$F$27, 'Revenue Tracking'!$P$13:$P$27, "&gt;="&amp;AW1,'Revenue Tracking'!$P$13:$P$27, "&lt;"&amp;AX1)</f>
        <v>0</v>
      </c>
      <c r="AX9" s="120">
        <f>SUMIFS('Revenue Tracking'!$F$13:$F$27, 'Revenue Tracking'!$P$13:$P$27, "&gt;="&amp;AX1,'Revenue Tracking'!$P$13:$P$27, "&lt;"&amp;AY1)</f>
        <v>0</v>
      </c>
      <c r="AY9" s="120">
        <f>SUMIFS('Revenue Tracking'!$F$13:$F$27, 'Revenue Tracking'!$P$13:$P$27, "&gt;="&amp;AY1,'Revenue Tracking'!$P$13:$P$27, "&lt;"&amp;AZ1)</f>
        <v>0</v>
      </c>
      <c r="AZ9" s="120">
        <f>SUMIFS('Revenue Tracking'!$F$13:$F$27, 'Revenue Tracking'!$P$13:$P$27, "&gt;="&amp;AZ1,'Revenue Tracking'!$P$13:$P$27, "&lt;"&amp;BA1)</f>
        <v>0</v>
      </c>
      <c r="BA9" s="120">
        <f>SUMIFS('Revenue Tracking'!$F$13:$F$27, 'Revenue Tracking'!$P$13:$P$27, "&gt;="&amp;BA1,'Revenue Tracking'!$P$13:$P$27, "&lt;"&amp;BB1)</f>
        <v>0</v>
      </c>
      <c r="BB9" s="120">
        <f>SUMIFS('Revenue Tracking'!$F$13:$F$27, 'Revenue Tracking'!$P$13:$P$27, "&gt;="&amp;BB1,'Revenue Tracking'!$P$13:$P$27, "&lt;"&amp;BC1)</f>
        <v>0</v>
      </c>
      <c r="BC9" s="120">
        <f>SUMIFS('Revenue Tracking'!$F$13:$F$27, 'Revenue Tracking'!$P$13:$P$27, "&gt;="&amp;BC1,'Revenue Tracking'!$P$13:$P$27, "&lt;"&amp;BD1)</f>
        <v>0</v>
      </c>
      <c r="BD9" s="120">
        <f>SUMIFS('Revenue Tracking'!$F$13:$F$27, 'Revenue Tracking'!$P$13:$P$27, "&gt;="&amp;BD1,'Revenue Tracking'!$P$13:$P$27, "&lt;"&amp;BE1)</f>
        <v>0</v>
      </c>
      <c r="BE9" s="120">
        <f>SUMIFS('Revenue Tracking'!$F$13:$F$27, 'Revenue Tracking'!$P$13:$P$27, "&gt;="&amp;BE1,'Revenue Tracking'!$P$13:$P$27, "&lt;"&amp;BF1)</f>
        <v>0</v>
      </c>
      <c r="BF9" s="120">
        <f>SUMIFS('Revenue Tracking'!$F$13:$F$27, 'Revenue Tracking'!$P$13:$P$27, "&gt;="&amp;BF1,'Revenue Tracking'!$P$13:$P$27, "&lt;"&amp;BG1)</f>
        <v>0</v>
      </c>
      <c r="BG9" s="120">
        <f>SUMIFS('Revenue Tracking'!$F$13:$F$27, 'Revenue Tracking'!$P$13:$P$27, "&gt;="&amp;BG1,'Revenue Tracking'!$P$13:$P$27, "&lt;"&amp;BH1)</f>
        <v>0</v>
      </c>
      <c r="BH9" s="120">
        <f>SUMIFS('Revenue Tracking'!$F$13:$F$27, 'Revenue Tracking'!$P$13:$P$27, "&gt;="&amp;BH1,'Revenue Tracking'!$P$13:$P$27, "&lt;"&amp;BI1)</f>
        <v>0</v>
      </c>
      <c r="BI9" s="120">
        <f>SUMIFS('Revenue Tracking'!$F$13:$F$27, 'Revenue Tracking'!$P$13:$P$27, "&gt;="&amp;BI1,'Revenue Tracking'!$P$13:$P$27, "&lt;"&amp;BJ1)</f>
        <v>0</v>
      </c>
      <c r="BJ9" s="120">
        <f>SUMIFS('Revenue Tracking'!$F$13:$F$27, 'Revenue Tracking'!$P$13:$P$27, "&gt;="&amp;BJ1,'Revenue Tracking'!$P$13:$P$27, "&lt;"&amp;BK1)</f>
        <v>0</v>
      </c>
      <c r="BK9" s="120">
        <f>SUMIFS('Revenue Tracking'!$F$13:$F$27, 'Revenue Tracking'!$P$13:$P$27, "&gt;="&amp;BK1,'Revenue Tracking'!$P$13:$P$27, "&lt;"&amp;BL1)</f>
        <v>0</v>
      </c>
      <c r="BL9" s="120">
        <f>SUMIFS('Revenue Tracking'!$F$13:$F$27, 'Revenue Tracking'!$P$13:$P$27, "&gt;="&amp;BL1,'Revenue Tracking'!$P$13:$P$27, "&lt;"&amp;BM1)</f>
        <v>0</v>
      </c>
      <c r="BM9" s="120">
        <f>SUMIFS('Revenue Tracking'!$F$13:$F$27, 'Revenue Tracking'!$P$13:$P$27, "&gt;="&amp;BM1,'Revenue Tracking'!$P$13:$P$27, "&lt;"&amp;BN1)</f>
        <v>0</v>
      </c>
      <c r="BN9" s="120">
        <f>SUMIFS('Revenue Tracking'!$F$13:$F$27, 'Revenue Tracking'!$P$13:$P$27, "&gt;="&amp;BN1,'Revenue Tracking'!$P$13:$P$27, "&lt;"&amp;BO1)</f>
        <v>0</v>
      </c>
      <c r="BO9" s="120">
        <f>SUMIFS('Revenue Tracking'!$F$13:$F$27, 'Revenue Tracking'!$P$13:$P$27, "&gt;="&amp;BO1,'Revenue Tracking'!$P$13:$P$27, "&lt;"&amp;BP1)</f>
        <v>0</v>
      </c>
      <c r="BP9" s="120">
        <f>SUMIFS('Revenue Tracking'!$F$13:$F$27, 'Revenue Tracking'!$P$13:$P$27, "&gt;="&amp;BP1,'Revenue Tracking'!$P$13:$P$27, "&lt;"&amp;BQ1)</f>
        <v>0</v>
      </c>
      <c r="BQ9" s="120">
        <f>SUMIFS('Revenue Tracking'!$F$13:$F$27, 'Revenue Tracking'!$P$13:$P$27, "&gt;="&amp;BQ1,'Revenue Tracking'!$P$13:$P$27, "&lt;"&amp;BR1)</f>
        <v>0</v>
      </c>
      <c r="BR9" s="120">
        <f>SUMIFS('Revenue Tracking'!$F$13:$F$27, 'Revenue Tracking'!$P$13:$P$27, "&gt;="&amp;BR1,'Revenue Tracking'!$P$13:$P$27, "&lt;"&amp;BS1)</f>
        <v>0</v>
      </c>
      <c r="BS9" s="120">
        <f>SUMIFS('Revenue Tracking'!$F$13:$F$27, 'Revenue Tracking'!$P$13:$P$27, "&gt;="&amp;BS1,'Revenue Tracking'!$P$13:$P$27, "&lt;"&amp;BT1)</f>
        <v>0</v>
      </c>
      <c r="BT9" s="120">
        <f>SUMIFS('Revenue Tracking'!$F$13:$F$27, 'Revenue Tracking'!$P$13:$P$27, "&gt;="&amp;BT1,'Revenue Tracking'!$P$13:$P$27, "&lt;"&amp;BU1)</f>
        <v>0</v>
      </c>
      <c r="BU9" s="120">
        <f>SUMIFS('Revenue Tracking'!$F$13:$F$27, 'Revenue Tracking'!$P$13:$P$27, "&gt;="&amp;BU1,'Revenue Tracking'!$P$13:$P$27, "&lt;"&amp;BV1)</f>
        <v>0</v>
      </c>
      <c r="BV9" s="120">
        <f>SUMIFS('Revenue Tracking'!$F$13:$F$27, 'Revenue Tracking'!$P$13:$P$27, "&gt;="&amp;BV1,'Revenue Tracking'!$P$13:$P$27, "&lt;"&amp;BW1)</f>
        <v>0</v>
      </c>
      <c r="BW9" s="120">
        <f>SUMIFS('Revenue Tracking'!$F$13:$F$27, 'Revenue Tracking'!$P$13:$P$27, "&gt;="&amp;BW1,'Revenue Tracking'!$P$13:$P$27, "&lt;"&amp;BX1)</f>
        <v>0</v>
      </c>
      <c r="BX9" s="120">
        <f>SUMIFS('Revenue Tracking'!$F$13:$F$27, 'Revenue Tracking'!$P$13:$P$27, "&gt;="&amp;BX1,'Revenue Tracking'!$P$13:$P$27, "&lt;"&amp;BY1)</f>
        <v>0</v>
      </c>
      <c r="BY9" s="120">
        <f>SUMIFS('Revenue Tracking'!$F$13:$F$27, 'Revenue Tracking'!$P$13:$P$27, "&gt;="&amp;BY1,'Revenue Tracking'!$P$13:$P$27, "&lt;"&amp;BZ1)</f>
        <v>0</v>
      </c>
      <c r="BZ9" s="120">
        <f>SUMIFS('Revenue Tracking'!$F$13:$F$27, 'Revenue Tracking'!$P$13:$P$27, "&gt;="&amp;BZ1,'Revenue Tracking'!$P$13:$P$27, "&lt;"&amp;CA1)</f>
        <v>0</v>
      </c>
      <c r="CA9" s="120">
        <f>SUMIFS('Revenue Tracking'!$F$13:$F$27, 'Revenue Tracking'!$P$13:$P$27, "&gt;="&amp;CA1,'Revenue Tracking'!$P$13:$P$27, "&lt;"&amp;CB1)</f>
        <v>0</v>
      </c>
      <c r="CB9" s="120">
        <f>SUMIFS('Revenue Tracking'!$F$13:$F$27, 'Revenue Tracking'!$P$13:$P$27, "&gt;="&amp;CB1,'Revenue Tracking'!$P$13:$P$27, "&lt;"&amp;CC1)</f>
        <v>0</v>
      </c>
      <c r="CC9" s="120">
        <f>SUMIFS('Revenue Tracking'!$F$13:$F$27, 'Revenue Tracking'!$P$13:$P$27, "&gt;="&amp;CC1,'Revenue Tracking'!$P$13:$P$27, "&lt;"&amp;CD1)</f>
        <v>0</v>
      </c>
      <c r="CD9" s="120">
        <f>SUMIFS('Revenue Tracking'!$F$13:$F$27, 'Revenue Tracking'!$P$13:$P$27, "&gt;="&amp;CD1,'Revenue Tracking'!$P$13:$P$27, "&lt;"&amp;CE1)</f>
        <v>0</v>
      </c>
      <c r="CE9" s="120">
        <f>SUMIFS('Revenue Tracking'!$F$13:$F$27, 'Revenue Tracking'!$P$13:$P$27, "&gt;="&amp;CE1,'Revenue Tracking'!$P$13:$P$27, "&lt;"&amp;CF1)</f>
        <v>0</v>
      </c>
      <c r="CF9" s="120">
        <f>SUMIFS('Revenue Tracking'!$F$13:$F$27, 'Revenue Tracking'!$P$13:$P$27, "&gt;="&amp;CF1,'Revenue Tracking'!$P$13:$P$27, "&lt;"&amp;CG1)</f>
        <v>0</v>
      </c>
      <c r="CG9" s="120">
        <f>SUMIFS('Revenue Tracking'!$F$13:$F$27, 'Revenue Tracking'!$P$13:$P$27, "&gt;="&amp;CG1,'Revenue Tracking'!$P$13:$P$27, "&lt;"&amp;CH1)</f>
        <v>0</v>
      </c>
      <c r="CH9" s="120">
        <f>SUMIFS('Revenue Tracking'!$F$13:$F$27, 'Revenue Tracking'!$P$13:$P$27, "&gt;="&amp;CH1,'Revenue Tracking'!$P$13:$P$27, "&lt;"&amp;CI1)</f>
        <v>0</v>
      </c>
      <c r="CI9" s="120">
        <f>SUMIFS('Revenue Tracking'!$F$13:$F$27, 'Revenue Tracking'!$P$13:$P$27, "&gt;="&amp;CI1,'Revenue Tracking'!$P$13:$P$27, "&lt;"&amp;CJ1)</f>
        <v>0</v>
      </c>
      <c r="CJ9" s="120">
        <f>SUMIFS('Revenue Tracking'!$F$13:$F$27, 'Revenue Tracking'!$P$13:$P$27, "&gt;="&amp;CJ1,'Revenue Tracking'!$P$13:$P$27, "&lt;"&amp;CK1)</f>
        <v>0</v>
      </c>
      <c r="CK9" s="120">
        <f>SUMIFS('Revenue Tracking'!$F$13:$F$27, 'Revenue Tracking'!$P$13:$P$27, "&gt;="&amp;CK1,'Revenue Tracking'!$P$13:$P$27, "&lt;"&amp;CL1)</f>
        <v>0</v>
      </c>
      <c r="CL9" s="120">
        <f>SUMIFS('Revenue Tracking'!$F$13:$F$27, 'Revenue Tracking'!$P$13:$P$27, "&gt;="&amp;CL1,'Revenue Tracking'!$P$13:$P$27, "&lt;"&amp;CM1)</f>
        <v>0</v>
      </c>
      <c r="CM9" s="120">
        <f>SUMIFS('Revenue Tracking'!$F$13:$F$27, 'Revenue Tracking'!$P$13:$P$27, "&gt;="&amp;CM1,'Revenue Tracking'!$P$13:$P$27, "&lt;"&amp;CN1)</f>
        <v>0</v>
      </c>
      <c r="CN9" s="120">
        <f>SUMIFS('Revenue Tracking'!$F$13:$F$27, 'Revenue Tracking'!$P$13:$P$27, "&gt;="&amp;CN1,'Revenue Tracking'!$P$13:$P$27, "&lt;"&amp;CO1)</f>
        <v>0</v>
      </c>
      <c r="CO9" s="120">
        <f>SUMIFS('Revenue Tracking'!$F$13:$F$27, 'Revenue Tracking'!$P$13:$P$27, "&gt;="&amp;CO1,'Revenue Tracking'!$P$13:$P$27, "&lt;"&amp;CP1)</f>
        <v>0</v>
      </c>
      <c r="CP9" s="120">
        <f>SUMIFS('Revenue Tracking'!$F$13:$F$27, 'Revenue Tracking'!$P$13:$P$27, "&gt;="&amp;CP1,'Revenue Tracking'!$P$13:$P$27, "&lt;"&amp;CQ1)</f>
        <v>0</v>
      </c>
      <c r="CQ9" s="120">
        <f>SUMIFS('Revenue Tracking'!$F$13:$F$27, 'Revenue Tracking'!$P$13:$P$27, "&gt;="&amp;CQ1,'Revenue Tracking'!$P$13:$P$27, "&lt;"&amp;CR1)</f>
        <v>0</v>
      </c>
      <c r="CR9" s="120">
        <f>SUMIFS('Revenue Tracking'!$F$13:$F$27, 'Revenue Tracking'!$P$13:$P$27, "&gt;="&amp;CR1,'Revenue Tracking'!$P$13:$P$27, "&lt;"&amp;CS1)</f>
        <v>0</v>
      </c>
      <c r="CS9" s="120">
        <f>SUMIFS('Revenue Tracking'!$F$13:$F$27, 'Revenue Tracking'!$P$13:$P$27, "&gt;="&amp;CS1,'Revenue Tracking'!$P$13:$P$27, "&lt;"&amp;CT1)</f>
        <v>0</v>
      </c>
      <c r="CT9" s="120">
        <f>SUMIFS('Revenue Tracking'!$F$13:$F$27, 'Revenue Tracking'!$P$13:$P$27, "&gt;="&amp;CT1,'Revenue Tracking'!$P$13:$P$27, "&lt;"&amp;CU1)</f>
        <v>0</v>
      </c>
      <c r="CU9" s="120">
        <f>SUMIFS('Revenue Tracking'!$F$13:$F$27, 'Revenue Tracking'!$P$13:$P$27, "&gt;="&amp;CU1,'Revenue Tracking'!$P$13:$P$27, "&lt;"&amp;CV1)</f>
        <v>0</v>
      </c>
      <c r="CV9" s="120">
        <f>SUMIFS('Revenue Tracking'!$F$13:$F$27, 'Revenue Tracking'!$P$13:$P$27, "&gt;="&amp;CV1,'Revenue Tracking'!$P$13:$P$27, "&lt;"&amp;CW1)</f>
        <v>0</v>
      </c>
      <c r="CW9" s="120">
        <f>SUMIFS('Revenue Tracking'!$F$13:$F$27, 'Revenue Tracking'!$P$13:$P$27, "&gt;="&amp;CW1,'Revenue Tracking'!$P$13:$P$27, "&lt;"&amp;CX1)</f>
        <v>0</v>
      </c>
      <c r="CX9" s="120">
        <f>SUMIFS('Revenue Tracking'!$F$13:$F$27, 'Revenue Tracking'!$P$13:$P$27, "&gt;="&amp;CX1,'Revenue Tracking'!$P$13:$P$27, "&lt;"&amp;CY1)</f>
        <v>0</v>
      </c>
      <c r="CY9" s="120">
        <f>SUMIFS('Revenue Tracking'!$F$13:$F$27, 'Revenue Tracking'!$P$13:$P$27, "&gt;="&amp;CY1,'Revenue Tracking'!$P$13:$P$27, "&lt;"&amp;CZ1)</f>
        <v>0</v>
      </c>
      <c r="CZ9" s="120">
        <f>SUMIFS('Revenue Tracking'!$F$13:$F$27, 'Revenue Tracking'!$P$13:$P$27, "&gt;="&amp;CZ1,'Revenue Tracking'!$P$13:$P$27, "&lt;"&amp;DA1)</f>
        <v>0</v>
      </c>
      <c r="DA9" s="120">
        <f>SUMIFS('Revenue Tracking'!$F$13:$F$27, 'Revenue Tracking'!$P$13:$P$27, "&gt;="&amp;DA1,'Revenue Tracking'!$P$13:$P$27, "&lt;"&amp;DB1)</f>
        <v>0</v>
      </c>
      <c r="DB9" s="120">
        <f>SUMIFS('Revenue Tracking'!$F$13:$F$27, 'Revenue Tracking'!$P$13:$P$27, "&gt;="&amp;DB1,'Revenue Tracking'!$P$13:$P$27, "&lt;"&amp;DC1)</f>
        <v>0</v>
      </c>
      <c r="DC9" s="120">
        <f>SUMIFS('Revenue Tracking'!$F$13:$F$27, 'Revenue Tracking'!$P$13:$P$27, "&gt;="&amp;DC1,'Revenue Tracking'!$P$13:$P$27, "&lt;"&amp;DD1)</f>
        <v>0</v>
      </c>
      <c r="DD9" s="120">
        <f>SUMIFS('Revenue Tracking'!$F$13:$F$27, 'Revenue Tracking'!$P$13:$P$27, "&gt;="&amp;DD1,'Revenue Tracking'!$P$13:$P$27, "&lt;"&amp;DE1)</f>
        <v>0</v>
      </c>
      <c r="DE9" s="120">
        <f>SUMIFS('Revenue Tracking'!$F$13:$F$27, 'Revenue Tracking'!$P$13:$P$27, "&gt;="&amp;DE1,'Revenue Tracking'!$P$13:$P$27, "&lt;"&amp;DF1)</f>
        <v>0</v>
      </c>
      <c r="DF9" s="120">
        <f>SUMIFS('Revenue Tracking'!$F$13:$F$27, 'Revenue Tracking'!$P$13:$P$27, "&gt;="&amp;DF1,'Revenue Tracking'!$P$13:$P$27, "&lt;"&amp;DG1)</f>
        <v>0</v>
      </c>
      <c r="DG9" s="120">
        <f>SUMIFS('Revenue Tracking'!$F$13:$F$27, 'Revenue Tracking'!$P$13:$P$27, "&gt;="&amp;DG1,'Revenue Tracking'!$P$13:$P$27, "&lt;"&amp;DH1)</f>
        <v>0</v>
      </c>
      <c r="DH9" s="120">
        <f>SUMIFS('Revenue Tracking'!$F$13:$F$27, 'Revenue Tracking'!$P$13:$P$27, "&gt;="&amp;DH1,'Revenue Tracking'!$P$13:$P$27, "&lt;"&amp;DI1)</f>
        <v>0</v>
      </c>
      <c r="DI9" s="120">
        <f>SUMIFS('Revenue Tracking'!$F$13:$F$27, 'Revenue Tracking'!$P$13:$P$27, "&gt;="&amp;DI1,'Revenue Tracking'!$P$13:$P$27, "&lt;"&amp;DJ1)</f>
        <v>0</v>
      </c>
      <c r="DJ9" s="120">
        <f>SUMIFS('Revenue Tracking'!$F$13:$F$27, 'Revenue Tracking'!$P$13:$P$27, "&gt;="&amp;DJ1,'Revenue Tracking'!$P$13:$P$27, "&lt;"&amp;DK1)</f>
        <v>0</v>
      </c>
      <c r="DK9" s="120">
        <f>SUMIFS('Revenue Tracking'!$F$13:$F$27, 'Revenue Tracking'!$P$13:$P$27, "&gt;="&amp;DK1,'Revenue Tracking'!$P$13:$P$27, "&lt;"&amp;DL1)</f>
        <v>0</v>
      </c>
      <c r="DL9" s="120">
        <f>SUMIFS('Revenue Tracking'!$F$13:$F$27, 'Revenue Tracking'!$P$13:$P$27, "&gt;="&amp;DL1,'Revenue Tracking'!$P$13:$P$27, "&lt;"&amp;DM1)</f>
        <v>0</v>
      </c>
      <c r="DM9" s="120">
        <f>SUMIFS('Revenue Tracking'!$F$13:$F$27, 'Revenue Tracking'!$P$13:$P$27, "&gt;="&amp;DM1,'Revenue Tracking'!$P$13:$P$27, "&lt;"&amp;DN1)</f>
        <v>0</v>
      </c>
      <c r="DN9" s="120">
        <f>SUMIFS('Revenue Tracking'!$F$13:$F$27, 'Revenue Tracking'!$P$13:$P$27, "&gt;="&amp;DN1,'Revenue Tracking'!$P$13:$P$27, "&lt;"&amp;DO1)</f>
        <v>0</v>
      </c>
      <c r="DO9" s="120">
        <f>SUMIFS('Revenue Tracking'!$F$13:$F$27, 'Revenue Tracking'!$P$13:$P$27, "&gt;="&amp;DO1,'Revenue Tracking'!$P$13:$P$27, "&lt;"&amp;DP1)</f>
        <v>0</v>
      </c>
      <c r="DP9" s="120">
        <f>SUMIFS('Revenue Tracking'!$F$13:$F$27, 'Revenue Tracking'!$P$13:$P$27, "&gt;="&amp;DP1,'Revenue Tracking'!$P$13:$P$27, "&lt;"&amp;DQ1)</f>
        <v>0</v>
      </c>
      <c r="DQ9" s="120">
        <f>SUMIFS('Revenue Tracking'!$F$13:$F$27, 'Revenue Tracking'!$P$13:$P$27, "&gt;="&amp;DQ1,'Revenue Tracking'!$P$13:$P$27, "&lt;"&amp;DR1)</f>
        <v>0</v>
      </c>
      <c r="DR9" s="120">
        <f>SUMIFS('Revenue Tracking'!$F$13:$F$27, 'Revenue Tracking'!$P$13:$P$27, "&gt;="&amp;DR1,'Revenue Tracking'!$P$13:$P$27, "&lt;"&amp;DS1)</f>
        <v>0</v>
      </c>
      <c r="DS9" s="120">
        <f>SUMIFS('Revenue Tracking'!$F$13:$F$27, 'Revenue Tracking'!$P$13:$P$27, "&gt;="&amp;DS1,'Revenue Tracking'!$P$13:$P$27, "&lt;"&amp;DT1)</f>
        <v>0</v>
      </c>
      <c r="DT9" s="120">
        <f>SUMIFS('Revenue Tracking'!$F$13:$F$27, 'Revenue Tracking'!$P$13:$P$27, "&gt;="&amp;DT1,'Revenue Tracking'!$P$13:$P$27, "&lt;"&amp;DU1)</f>
        <v>0</v>
      </c>
      <c r="DU9" s="120">
        <f>SUMIFS('Revenue Tracking'!$F$13:$F$27, 'Revenue Tracking'!$P$13:$P$27, "&gt;="&amp;DU1,'Revenue Tracking'!$P$13:$P$27, "&lt;"&amp;DV1)</f>
        <v>0</v>
      </c>
      <c r="DV9" s="120">
        <f>SUMIFS('Revenue Tracking'!$F$13:$F$27, 'Revenue Tracking'!$P$13:$P$27, "&gt;="&amp;DV1,'Revenue Tracking'!$P$13:$P$27, "&lt;"&amp;DW1)</f>
        <v>0</v>
      </c>
      <c r="DW9" s="120">
        <f>SUMIFS('Revenue Tracking'!$F$13:$F$27, 'Revenue Tracking'!$P$13:$P$27, "&gt;="&amp;DW1,'Revenue Tracking'!$P$13:$P$27, "&lt;"&amp;DX1)</f>
        <v>0</v>
      </c>
      <c r="DX9" s="120">
        <f>SUMIFS('Revenue Tracking'!$F$13:$F$27, 'Revenue Tracking'!$P$13:$P$27, "&gt;="&amp;DX1,'Revenue Tracking'!$P$13:$P$27, "&lt;"&amp;DY1)</f>
        <v>0</v>
      </c>
      <c r="DY9" s="120">
        <f>SUMIFS('Revenue Tracking'!$F$13:$F$27, 'Revenue Tracking'!$P$13:$P$27, "&gt;="&amp;DY1,'Revenue Tracking'!$P$13:$P$27, "&lt;"&amp;DZ1)</f>
        <v>0</v>
      </c>
      <c r="DZ9" s="120">
        <f>SUMIFS('Revenue Tracking'!$F$13:$F$27, 'Revenue Tracking'!$P$13:$P$27, "&gt;="&amp;DZ1,'Revenue Tracking'!$P$13:$P$27, "&lt;"&amp;EA1)</f>
        <v>0</v>
      </c>
      <c r="EA9" s="120">
        <f>SUMIFS('Revenue Tracking'!$F$13:$F$27, 'Revenue Tracking'!$P$13:$P$27, "&gt;="&amp;EA1,'Revenue Tracking'!$P$13:$P$27, "&lt;"&amp;EB1)</f>
        <v>0</v>
      </c>
      <c r="EB9" s="120">
        <f>SUMIFS('Revenue Tracking'!$F$13:$F$27, 'Revenue Tracking'!$P$13:$P$27, "&gt;="&amp;EB1,'Revenue Tracking'!$P$13:$P$27, "&lt;"&amp;EC1)</f>
        <v>0</v>
      </c>
      <c r="EC9" s="120">
        <f>SUMIFS('Revenue Tracking'!$F$13:$F$27, 'Revenue Tracking'!$P$13:$P$27, "&gt;="&amp;EC1,'Revenue Tracking'!$P$13:$P$27, "&lt;"&amp;ED1)</f>
        <v>0</v>
      </c>
      <c r="ED9" s="120">
        <f>SUMIFS('Revenue Tracking'!$F$13:$F$27, 'Revenue Tracking'!$P$13:$P$27, "&gt;="&amp;ED1,'Revenue Tracking'!$P$13:$P$27, "&lt;"&amp;EE1)</f>
        <v>0</v>
      </c>
      <c r="EE9" s="120">
        <f>SUMIFS('Revenue Tracking'!$F$13:$F$27, 'Revenue Tracking'!$P$13:$P$27, "&gt;="&amp;EE1,'Revenue Tracking'!$P$13:$P$27, "&lt;"&amp;EF1)</f>
        <v>0</v>
      </c>
      <c r="EF9" s="120">
        <f>SUMIFS('Revenue Tracking'!$F$13:$F$27, 'Revenue Tracking'!$P$13:$P$27, "&gt;="&amp;EF1,'Revenue Tracking'!$P$13:$P$27, "&lt;"&amp;EG1)</f>
        <v>0</v>
      </c>
      <c r="EG9" s="120">
        <f>SUMIFS('Revenue Tracking'!$F$13:$F$27, 'Revenue Tracking'!$P$13:$P$27, "&gt;="&amp;EG1,'Revenue Tracking'!$P$13:$P$27, "&lt;"&amp;EH1)</f>
        <v>0</v>
      </c>
      <c r="EH9" s="120">
        <f>SUMIFS('Revenue Tracking'!$F$13:$F$27, 'Revenue Tracking'!$P$13:$P$27, "&gt;="&amp;EH1,'Revenue Tracking'!$P$13:$P$27, "&lt;"&amp;EI1)</f>
        <v>0</v>
      </c>
      <c r="EI9" s="120">
        <f>SUMIFS('Revenue Tracking'!$F$13:$F$27, 'Revenue Tracking'!$P$13:$P$27, "&gt;="&amp;EI1,'Revenue Tracking'!$P$13:$P$27, "&lt;"&amp;EJ1)</f>
        <v>0</v>
      </c>
      <c r="EJ9" s="120">
        <f>SUMIFS('Revenue Tracking'!$F$13:$F$27, 'Revenue Tracking'!$P$13:$P$27, "&gt;="&amp;EJ1,'Revenue Tracking'!$P$13:$P$27, "&lt;"&amp;EK1)</f>
        <v>0</v>
      </c>
      <c r="EK9" s="120">
        <f>SUMIFS('Revenue Tracking'!$F$13:$F$27, 'Revenue Tracking'!$P$13:$P$27, "&gt;="&amp;EK1,'Revenue Tracking'!$P$13:$P$27, "&lt;"&amp;EL1)</f>
        <v>0</v>
      </c>
      <c r="EL9" s="120">
        <f>SUMIFS('Revenue Tracking'!$F$13:$F$27, 'Revenue Tracking'!$P$13:$P$27, "&gt;="&amp;EL1,'Revenue Tracking'!$P$13:$P$27, "&lt;"&amp;EM1)</f>
        <v>0</v>
      </c>
      <c r="EM9" s="120">
        <f>SUMIFS('Revenue Tracking'!$F$13:$F$27, 'Revenue Tracking'!$P$13:$P$27, "&gt;="&amp;EM1,'Revenue Tracking'!$P$13:$P$27, "&lt;"&amp;EN1)</f>
        <v>0</v>
      </c>
      <c r="EN9" s="120">
        <f>SUMIFS('Revenue Tracking'!$F$13:$F$27, 'Revenue Tracking'!$P$13:$P$27, "&gt;="&amp;EN1,'Revenue Tracking'!$P$13:$P$27, "&lt;"&amp;EO1)</f>
        <v>0</v>
      </c>
      <c r="EO9" s="120">
        <f>SUMIFS('Revenue Tracking'!$F$13:$F$27, 'Revenue Tracking'!$P$13:$P$27, "&gt;="&amp;EO1,'Revenue Tracking'!$P$13:$P$27, "&lt;"&amp;EP1)</f>
        <v>0</v>
      </c>
      <c r="EP9" s="120">
        <f>SUMIFS('Revenue Tracking'!$F$13:$F$27, 'Revenue Tracking'!$P$13:$P$27, "&gt;="&amp;EP1,'Revenue Tracking'!$P$13:$P$27, "&lt;"&amp;EQ1)</f>
        <v>0</v>
      </c>
      <c r="EQ9" s="120">
        <f>SUMIFS('Revenue Tracking'!$F$13:$F$27, 'Revenue Tracking'!$P$13:$P$27, "&gt;="&amp;EQ1,'Revenue Tracking'!$P$13:$P$27, "&lt;"&amp;ER1)</f>
        <v>0</v>
      </c>
      <c r="ER9" s="120">
        <f>SUMIFS('Revenue Tracking'!$F$13:$F$27, 'Revenue Tracking'!$P$13:$P$27, "&gt;="&amp;ER1,'Revenue Tracking'!$P$13:$P$27, "&lt;"&amp;ES1)</f>
        <v>0</v>
      </c>
      <c r="ES9" s="120">
        <f>SUMIFS('Revenue Tracking'!$F$13:$F$27, 'Revenue Tracking'!$P$13:$P$27, "&gt;="&amp;ES1,'Revenue Tracking'!$P$13:$P$27, "&lt;"&amp;ET1)</f>
        <v>0</v>
      </c>
      <c r="ET9" s="120">
        <f>SUMIFS('Revenue Tracking'!$F$13:$F$27, 'Revenue Tracking'!$P$13:$P$27, "&gt;="&amp;ET1,'Revenue Tracking'!$P$13:$P$27, "&lt;"&amp;EU1)</f>
        <v>0</v>
      </c>
      <c r="EU9" s="120">
        <f>SUMIFS('Revenue Tracking'!$F$13:$F$27, 'Revenue Tracking'!$P$13:$P$27, "&gt;="&amp;EU1,'Revenue Tracking'!$P$13:$P$27, "&lt;"&amp;EV1)</f>
        <v>0</v>
      </c>
      <c r="EV9" s="120">
        <f>SUMIFS('Revenue Tracking'!$F$13:$F$27, 'Revenue Tracking'!$P$13:$P$27, "&gt;="&amp;EV1,'Revenue Tracking'!$P$13:$P$27, "&lt;"&amp;EW1)</f>
        <v>0</v>
      </c>
      <c r="EW9" s="120">
        <f>SUMIFS('Revenue Tracking'!$F$13:$F$27, 'Revenue Tracking'!$P$13:$P$27, "&gt;="&amp;EW1,'Revenue Tracking'!$P$13:$P$27, "&lt;"&amp;EX1)</f>
        <v>0</v>
      </c>
      <c r="EX9" s="120">
        <f>SUMIFS('Revenue Tracking'!$F$13:$F$27, 'Revenue Tracking'!$P$13:$P$27, "&gt;="&amp;EX1,'Revenue Tracking'!$P$13:$P$27, "&lt;"&amp;EY1)</f>
        <v>0</v>
      </c>
      <c r="EY9" s="120">
        <f>SUMIFS('Revenue Tracking'!$F$13:$F$27, 'Revenue Tracking'!$P$13:$P$27, "&gt;="&amp;EY1,'Revenue Tracking'!$P$13:$P$27, "&lt;"&amp;EZ1)</f>
        <v>0</v>
      </c>
      <c r="EZ9" s="120">
        <f>SUMIFS('Revenue Tracking'!$F$13:$F$27, 'Revenue Tracking'!$P$13:$P$27, "&gt;="&amp;EZ1,'Revenue Tracking'!$P$13:$P$27, "&lt;"&amp;FA1)</f>
        <v>0</v>
      </c>
      <c r="FA9" s="120">
        <f>SUMIFS('Revenue Tracking'!$F$13:$F$27, 'Revenue Tracking'!$P$13:$P$27, "&gt;="&amp;FA1,'Revenue Tracking'!$P$13:$P$27, "&lt;"&amp;FB1)</f>
        <v>0</v>
      </c>
      <c r="FB9" s="120">
        <f>SUMIFS('Revenue Tracking'!$F$13:$F$27, 'Revenue Tracking'!$P$13:$P$27, "&gt;="&amp;FB1,'Revenue Tracking'!$P$13:$P$27, "&lt;"&amp;FC1)</f>
        <v>0</v>
      </c>
      <c r="FC9" s="120">
        <f>SUMIFS('Revenue Tracking'!$F$13:$F$27, 'Revenue Tracking'!$P$13:$P$27, "&gt;="&amp;FC1,'Revenue Tracking'!$P$13:$P$27, "&lt;"&amp;FD1)</f>
        <v>0</v>
      </c>
      <c r="FD9" s="120">
        <f>SUMIFS('Revenue Tracking'!$F$13:$F$27, 'Revenue Tracking'!$P$13:$P$27, "&gt;="&amp;FD1,'Revenue Tracking'!$P$13:$P$27, "&lt;"&amp;FE1)</f>
        <v>0</v>
      </c>
      <c r="FE9" s="120">
        <f>SUMIFS('Revenue Tracking'!$F$13:$F$27, 'Revenue Tracking'!$P$13:$P$27, "&gt;="&amp;FE1,'Revenue Tracking'!$P$13:$P$27, "&lt;"&amp;FF1)</f>
        <v>0</v>
      </c>
      <c r="FF9" s="120">
        <f>SUMIFS('Revenue Tracking'!$F$13:$F$27, 'Revenue Tracking'!$P$13:$P$27, "&gt;="&amp;FF1,'Revenue Tracking'!$P$13:$P$27, "&lt;"&amp;FG1)</f>
        <v>0</v>
      </c>
      <c r="FG9" s="120">
        <f>SUMIFS('Revenue Tracking'!$F$13:$F$27, 'Revenue Tracking'!$P$13:$P$27, "&gt;="&amp;FG1,'Revenue Tracking'!$P$13:$P$27, "&lt;"&amp;FH1)</f>
        <v>0</v>
      </c>
      <c r="FH9" s="120">
        <f>SUMIFS('Revenue Tracking'!$F$13:$F$27, 'Revenue Tracking'!$P$13:$P$27, "&gt;="&amp;FH1,'Revenue Tracking'!$P$13:$P$27, "&lt;"&amp;FI1)</f>
        <v>0</v>
      </c>
      <c r="FI9" s="120">
        <f>SUMIFS('Revenue Tracking'!$F$13:$F$27, 'Revenue Tracking'!$P$13:$P$27, "&gt;="&amp;FI1,'Revenue Tracking'!$P$13:$P$27, "&lt;"&amp;FJ1)</f>
        <v>0</v>
      </c>
      <c r="FJ9" s="120">
        <f>SUMIFS('Revenue Tracking'!$F$13:$F$27, 'Revenue Tracking'!$P$13:$P$27, "&gt;="&amp;FJ1,'Revenue Tracking'!$P$13:$P$27, "&lt;"&amp;FK1)</f>
        <v>0</v>
      </c>
      <c r="FK9" s="120">
        <f>SUMIFS('Revenue Tracking'!$F$13:$F$27, 'Revenue Tracking'!$P$13:$P$27, "&gt;="&amp;FK1,'Revenue Tracking'!$P$13:$P$27, "&lt;"&amp;FL1)</f>
        <v>0</v>
      </c>
      <c r="FL9" s="120">
        <f>SUMIFS('Revenue Tracking'!$F$13:$F$27, 'Revenue Tracking'!$P$13:$P$27, "&gt;="&amp;FL1,'Revenue Tracking'!$P$13:$P$27, "&lt;"&amp;FM1)</f>
        <v>0</v>
      </c>
      <c r="FM9" s="120">
        <f>SUMIFS('Revenue Tracking'!$F$13:$F$27, 'Revenue Tracking'!$P$13:$P$27, "&gt;="&amp;FM1,'Revenue Tracking'!$P$13:$P$27, "&lt;"&amp;FN1)</f>
        <v>0</v>
      </c>
      <c r="FN9" s="120">
        <f>SUMIFS('Revenue Tracking'!$F$13:$F$27, 'Revenue Tracking'!$P$13:$P$27, "&gt;="&amp;FN1,'Revenue Tracking'!$P$13:$P$27, "&lt;"&amp;FO1)</f>
        <v>0</v>
      </c>
      <c r="FO9" s="120">
        <f>SUMIFS('Revenue Tracking'!$F$13:$F$27, 'Revenue Tracking'!$P$13:$P$27, "&gt;="&amp;FO1,'Revenue Tracking'!$P$13:$P$27, "&lt;"&amp;FP1)</f>
        <v>0</v>
      </c>
      <c r="FP9" s="120">
        <f>SUMIFS('Revenue Tracking'!$F$13:$F$27, 'Revenue Tracking'!$P$13:$P$27, "&gt;="&amp;FP1,'Revenue Tracking'!$P$13:$P$27, "&lt;"&amp;FQ1)</f>
        <v>0</v>
      </c>
      <c r="FQ9" s="120">
        <f>SUMIFS('Revenue Tracking'!$F$13:$F$27, 'Revenue Tracking'!$P$13:$P$27, "&gt;="&amp;FQ1,'Revenue Tracking'!$P$13:$P$27, "&lt;"&amp;FR1)</f>
        <v>0</v>
      </c>
      <c r="FR9" s="120">
        <f>SUMIFS('Revenue Tracking'!$F$13:$F$27, 'Revenue Tracking'!$P$13:$P$27, "&gt;="&amp;FR1,'Revenue Tracking'!$P$13:$P$27, "&lt;"&amp;FS1)</f>
        <v>0</v>
      </c>
      <c r="FS9" s="120">
        <f>SUMIFS('Revenue Tracking'!$F$13:$F$27, 'Revenue Tracking'!$P$13:$P$27, "&gt;="&amp;FS1,'Revenue Tracking'!$P$13:$P$27, "&lt;"&amp;FT1)</f>
        <v>0</v>
      </c>
      <c r="FT9" s="120">
        <f>SUMIFS('Revenue Tracking'!$F$13:$F$27, 'Revenue Tracking'!$P$13:$P$27, "&gt;="&amp;FT1,'Revenue Tracking'!$P$13:$P$27, "&lt;"&amp;FU1)</f>
        <v>0</v>
      </c>
      <c r="FU9" s="120">
        <f>SUMIFS('Revenue Tracking'!$F$13:$F$27, 'Revenue Tracking'!$P$13:$P$27, "&gt;="&amp;FU1,'Revenue Tracking'!$P$13:$P$27, "&lt;"&amp;FV1)</f>
        <v>0</v>
      </c>
      <c r="FV9" s="120">
        <f>SUMIFS('Revenue Tracking'!$F$13:$F$27, 'Revenue Tracking'!$P$13:$P$27, "&gt;="&amp;FV1,'Revenue Tracking'!$P$13:$P$27, "&lt;"&amp;FW1)</f>
        <v>0</v>
      </c>
      <c r="FW9" s="120">
        <f>SUMIFS('Revenue Tracking'!$F$13:$F$27, 'Revenue Tracking'!$P$13:$P$27, "&gt;="&amp;FW1,'Revenue Tracking'!$P$13:$P$27, "&lt;"&amp;FX1)</f>
        <v>0</v>
      </c>
      <c r="FX9" s="120">
        <f>SUMIFS('Revenue Tracking'!$F$13:$F$27, 'Revenue Tracking'!$P$13:$P$27, "&gt;="&amp;FX1,'Revenue Tracking'!$P$13:$P$27, "&lt;"&amp;FY1)</f>
        <v>0</v>
      </c>
      <c r="FY9" s="120">
        <f>SUMIFS('Revenue Tracking'!$F$13:$F$27, 'Revenue Tracking'!$P$13:$P$27, "&gt;="&amp;FY1,'Revenue Tracking'!$P$13:$P$27, "&lt;"&amp;FZ1)</f>
        <v>0</v>
      </c>
      <c r="FZ9" s="120">
        <f>SUMIFS('Revenue Tracking'!$F$13:$F$27, 'Revenue Tracking'!$P$13:$P$27, "&gt;="&amp;FZ1,'Revenue Tracking'!$P$13:$P$27, "&lt;"&amp;GA1)</f>
        <v>0</v>
      </c>
      <c r="GA9" s="120">
        <f>SUMIFS('Revenue Tracking'!$F$13:$F$27, 'Revenue Tracking'!$P$13:$P$27, "&gt;="&amp;GA1,'Revenue Tracking'!$P$13:$P$27, "&lt;"&amp;GB1)</f>
        <v>0</v>
      </c>
      <c r="GB9" s="120">
        <f>SUMIFS('Revenue Tracking'!$F$13:$F$27, 'Revenue Tracking'!$P$13:$P$27, "&gt;="&amp;GB1,'Revenue Tracking'!$P$13:$P$27, "&lt;"&amp;GC1)</f>
        <v>0</v>
      </c>
      <c r="GC9" s="120">
        <f>SUMIFS('Revenue Tracking'!$F$13:$F$27, 'Revenue Tracking'!$P$13:$P$27, "&gt;="&amp;GC1,'Revenue Tracking'!$P$13:$P$27, "&lt;"&amp;GD1)</f>
        <v>0</v>
      </c>
      <c r="GD9" s="120">
        <f>SUMIFS('Revenue Tracking'!$F$13:$F$27, 'Revenue Tracking'!$P$13:$P$27, "&gt;="&amp;GD1,'Revenue Tracking'!$P$13:$P$27, "&lt;"&amp;GE1)</f>
        <v>0</v>
      </c>
      <c r="GE9" s="120">
        <f>SUMIFS('Revenue Tracking'!$F$13:$F$27, 'Revenue Tracking'!$P$13:$P$27, "&gt;="&amp;GE1,'Revenue Tracking'!$P$13:$P$27, "&lt;"&amp;GF1)</f>
        <v>0</v>
      </c>
      <c r="GF9" s="120">
        <f>SUMIFS('Revenue Tracking'!$F$13:$F$27, 'Revenue Tracking'!$P$13:$P$27, "&gt;="&amp;GF1,'Revenue Tracking'!$P$13:$P$27, "&lt;"&amp;GG1)</f>
        <v>0</v>
      </c>
      <c r="GG9" s="120">
        <f>SUMIFS('Revenue Tracking'!$F$13:$F$27, 'Revenue Tracking'!$P$13:$P$27, "&gt;="&amp;GG1,'Revenue Tracking'!$P$13:$P$27, "&lt;"&amp;GH1)</f>
        <v>0</v>
      </c>
      <c r="GH9" s="120">
        <f>SUMIFS('Revenue Tracking'!$F$13:$F$27, 'Revenue Tracking'!$P$13:$P$27, "&gt;="&amp;GH1,'Revenue Tracking'!$P$13:$P$27, "&lt;"&amp;GI1)</f>
        <v>0</v>
      </c>
      <c r="GI9" s="120">
        <f>SUMIFS('Revenue Tracking'!$F$13:$F$27, 'Revenue Tracking'!$P$13:$P$27, "&gt;="&amp;GI1,'Revenue Tracking'!$P$13:$P$27, "&lt;"&amp;GJ1)</f>
        <v>0</v>
      </c>
      <c r="GJ9" s="120">
        <f>SUMIFS('Revenue Tracking'!$F$13:$F$27, 'Revenue Tracking'!$P$13:$P$27, "&gt;="&amp;GJ1,'Revenue Tracking'!$P$13:$P$27, "&lt;"&amp;GK1)</f>
        <v>0</v>
      </c>
      <c r="GK9" s="120">
        <f>SUMIFS('Revenue Tracking'!$F$13:$F$27, 'Revenue Tracking'!$P$13:$P$27, "&gt;="&amp;GK1,'Revenue Tracking'!$P$13:$P$27, "&lt;"&amp;GL1)</f>
        <v>0</v>
      </c>
      <c r="GL9" s="120">
        <f>SUMIFS('Revenue Tracking'!$F$13:$F$27, 'Revenue Tracking'!$P$13:$P$27, "&gt;="&amp;GL1,'Revenue Tracking'!$P$13:$P$27, "&lt;"&amp;GM1)</f>
        <v>0</v>
      </c>
      <c r="GM9" s="120">
        <f>SUMIFS('Revenue Tracking'!$F$13:$F$27, 'Revenue Tracking'!$P$13:$P$27, "&gt;="&amp;GM1,'Revenue Tracking'!$P$13:$P$27, "&lt;"&amp;GN1)</f>
        <v>0</v>
      </c>
      <c r="GN9" s="120">
        <f>SUMIFS('Revenue Tracking'!$F$13:$F$27, 'Revenue Tracking'!$P$13:$P$27, "&gt;="&amp;GN1,'Revenue Tracking'!$P$13:$P$27, "&lt;"&amp;GO1)</f>
        <v>0</v>
      </c>
      <c r="GO9" s="120">
        <f>SUMIFS('Revenue Tracking'!$F$13:$F$27, 'Revenue Tracking'!$P$13:$P$27, "&gt;="&amp;GO1,'Revenue Tracking'!$P$13:$P$27, "&lt;"&amp;GP1)</f>
        <v>0</v>
      </c>
      <c r="GP9" s="120">
        <f>SUMIFS('Revenue Tracking'!$F$13:$F$27, 'Revenue Tracking'!$P$13:$P$27, "&gt;="&amp;GP1,'Revenue Tracking'!$P$13:$P$27, "&lt;"&amp;GQ1)</f>
        <v>0</v>
      </c>
      <c r="GQ9" s="120">
        <f>SUMIFS('Revenue Tracking'!$F$13:$F$27, 'Revenue Tracking'!$P$13:$P$27, "&gt;="&amp;GQ1,'Revenue Tracking'!$P$13:$P$27, "&lt;"&amp;GR1)</f>
        <v>0</v>
      </c>
      <c r="GR9" s="120">
        <f>SUMIFS('Revenue Tracking'!$F$13:$F$27, 'Revenue Tracking'!$P$13:$P$27, "&gt;="&amp;GR1,'Revenue Tracking'!$P$13:$P$27, "&lt;"&amp;GS1)</f>
        <v>0</v>
      </c>
      <c r="GS9" s="120">
        <f>SUMIFS('Revenue Tracking'!$F$13:$F$27, 'Revenue Tracking'!$P$13:$P$27, "&gt;="&amp;GS1,'Revenue Tracking'!$P$13:$P$27, "&lt;"&amp;GT1)</f>
        <v>0</v>
      </c>
      <c r="GT9" s="120">
        <f>SUMIFS('Revenue Tracking'!$F$13:$F$27, 'Revenue Tracking'!$P$13:$P$27, "&gt;="&amp;GT1,'Revenue Tracking'!$P$13:$P$27, "&lt;"&amp;GU1)</f>
        <v>0</v>
      </c>
      <c r="GU9" s="120">
        <f>SUMIFS('Revenue Tracking'!$F$13:$F$27, 'Revenue Tracking'!$P$13:$P$27, "&gt;="&amp;GU1,'Revenue Tracking'!$P$13:$P$27, "&lt;"&amp;GV1)</f>
        <v>0</v>
      </c>
      <c r="GV9" s="120">
        <f>SUMIFS('Revenue Tracking'!$F$13:$F$27, 'Revenue Tracking'!$P$13:$P$27, "&gt;="&amp;GV1,'Revenue Tracking'!$P$13:$P$27, "&lt;"&amp;GW1)</f>
        <v>0</v>
      </c>
      <c r="GW9" s="120">
        <f>SUMIFS('Revenue Tracking'!$F$13:$F$27, 'Revenue Tracking'!$P$13:$P$27, "&gt;="&amp;GW1,'Revenue Tracking'!$P$13:$P$27, "&lt;"&amp;GX1)</f>
        <v>0</v>
      </c>
      <c r="GX9" s="120">
        <f>SUMIFS('Revenue Tracking'!$F$13:$F$27, 'Revenue Tracking'!$P$13:$P$27, "&gt;="&amp;GX1,'Revenue Tracking'!$P$13:$P$27, "&lt;"&amp;GY1)</f>
        <v>0</v>
      </c>
      <c r="GY9" s="120">
        <f>SUMIFS('Revenue Tracking'!$F$13:$F$27, 'Revenue Tracking'!$P$13:$P$27, "&gt;="&amp;GY1,'Revenue Tracking'!$P$13:$P$27, "&lt;"&amp;GZ1)</f>
        <v>0</v>
      </c>
      <c r="GZ9" s="120">
        <f>SUMIFS('Revenue Tracking'!$F$13:$F$27, 'Revenue Tracking'!$P$13:$P$27, "&gt;="&amp;GZ1,'Revenue Tracking'!$P$13:$P$27, "&lt;"&amp;HA1)</f>
        <v>0</v>
      </c>
      <c r="HA9" s="120">
        <f>SUMIFS('Revenue Tracking'!$F$13:$F$27, 'Revenue Tracking'!$P$13:$P$27, "&gt;="&amp;HA1,'Revenue Tracking'!$P$13:$P$27, "&lt;"&amp;HB1)</f>
        <v>0</v>
      </c>
      <c r="HB9" s="120">
        <f>SUMIFS('Revenue Tracking'!$F$13:$F$27, 'Revenue Tracking'!$P$13:$P$27, "&gt;="&amp;HB1,'Revenue Tracking'!$P$13:$P$27, "&lt;"&amp;HC1)</f>
        <v>0</v>
      </c>
      <c r="HC9" s="120">
        <f>SUMIFS('Revenue Tracking'!$F$13:$F$27, 'Revenue Tracking'!$P$13:$P$27, "&gt;="&amp;HC1,'Revenue Tracking'!$P$13:$P$27, "&lt;"&amp;HD1)</f>
        <v>0</v>
      </c>
      <c r="HD9" s="120">
        <f>SUMIFS('Revenue Tracking'!$F$13:$F$27, 'Revenue Tracking'!$P$13:$P$27, "&gt;="&amp;HD1,'Revenue Tracking'!$P$13:$P$27, "&lt;"&amp;HE1)</f>
        <v>0</v>
      </c>
      <c r="HE9" s="120">
        <f>SUMIFS('Revenue Tracking'!$F$13:$F$27, 'Revenue Tracking'!$P$13:$P$27, "&gt;="&amp;HE1,'Revenue Tracking'!$P$13:$P$27, "&lt;"&amp;HF1)</f>
        <v>0</v>
      </c>
      <c r="HF9" s="120">
        <f>SUMIFS('Revenue Tracking'!$F$13:$F$27, 'Revenue Tracking'!$P$13:$P$27, "&gt;="&amp;HF1,'Revenue Tracking'!$P$13:$P$27, "&lt;"&amp;HG1)</f>
        <v>0</v>
      </c>
      <c r="HG9" s="120">
        <f>SUMIFS('Revenue Tracking'!$F$13:$F$27, 'Revenue Tracking'!$P$13:$P$27, "&gt;="&amp;HG1,'Revenue Tracking'!$P$13:$P$27, "&lt;"&amp;HH1)</f>
        <v>0</v>
      </c>
      <c r="HH9" s="120">
        <f>SUMIFS('Revenue Tracking'!$F$13:$F$27, 'Revenue Tracking'!$P$13:$P$27, "&gt;="&amp;HH1,'Revenue Tracking'!$P$13:$P$27, "&lt;"&amp;HI1)</f>
        <v>0</v>
      </c>
      <c r="HI9" s="120">
        <f>SUMIFS('Revenue Tracking'!$F$13:$F$27, 'Revenue Tracking'!$P$13:$P$27, "&gt;="&amp;HI1,'Revenue Tracking'!$P$13:$P$27, "&lt;"&amp;HJ1)</f>
        <v>0</v>
      </c>
      <c r="HJ9" s="120">
        <f>SUMIFS('Revenue Tracking'!$F$13:$F$27, 'Revenue Tracking'!$P$13:$P$27, "&gt;="&amp;HJ1,'Revenue Tracking'!$P$13:$P$27, "&lt;"&amp;HK1)</f>
        <v>0</v>
      </c>
      <c r="HK9" s="120">
        <f>SUMIFS('Revenue Tracking'!$F$13:$F$27, 'Revenue Tracking'!$P$13:$P$27, "&gt;="&amp;HK1,'Revenue Tracking'!$P$13:$P$27, "&lt;"&amp;HL1)</f>
        <v>0</v>
      </c>
      <c r="HL9" s="120">
        <f>SUMIFS('Revenue Tracking'!$F$13:$F$27, 'Revenue Tracking'!$P$13:$P$27, "&gt;="&amp;HL1,'Revenue Tracking'!$P$13:$P$27, "&lt;"&amp;HM1)</f>
        <v>0</v>
      </c>
      <c r="HM9" s="120">
        <f>SUMIFS('Revenue Tracking'!$F$13:$F$27, 'Revenue Tracking'!$P$13:$P$27, "&gt;="&amp;HM1,'Revenue Tracking'!$P$13:$P$27, "&lt;"&amp;HN1)</f>
        <v>0</v>
      </c>
      <c r="HN9" s="120">
        <f>SUMIFS('Revenue Tracking'!$F$13:$F$27, 'Revenue Tracking'!$P$13:$P$27, "&gt;="&amp;HN1,'Revenue Tracking'!$P$13:$P$27, "&lt;"&amp;HO1)</f>
        <v>0</v>
      </c>
      <c r="HO9" s="120">
        <f>SUMIFS('Revenue Tracking'!$F$13:$F$27, 'Revenue Tracking'!$P$13:$P$27, "&gt;="&amp;HO1,'Revenue Tracking'!$P$13:$P$27, "&lt;"&amp;HP1)</f>
        <v>0</v>
      </c>
      <c r="HP9" s="120">
        <f>SUMIFS('Revenue Tracking'!$F$13:$F$27, 'Revenue Tracking'!$P$13:$P$27, "&gt;="&amp;HP1,'Revenue Tracking'!$P$13:$P$27, "&lt;"&amp;HQ1)</f>
        <v>0</v>
      </c>
      <c r="HQ9" s="120">
        <f>SUMIFS('Revenue Tracking'!$F$13:$F$27, 'Revenue Tracking'!$P$13:$P$27, "&gt;="&amp;HQ1,'Revenue Tracking'!$P$13:$P$27, "&lt;"&amp;HR1)</f>
        <v>0</v>
      </c>
      <c r="HR9" s="120">
        <f>SUMIFS('Revenue Tracking'!$F$13:$F$27, 'Revenue Tracking'!$P$13:$P$27, "&gt;="&amp;HR1,'Revenue Tracking'!$P$13:$P$27, "&lt;"&amp;HS1)</f>
        <v>0</v>
      </c>
      <c r="HS9" s="120">
        <f>SUMIFS('Revenue Tracking'!$F$13:$F$27, 'Revenue Tracking'!$P$13:$P$27, "&gt;="&amp;HS1,'Revenue Tracking'!$P$13:$P$27, "&lt;"&amp;HT1)</f>
        <v>0</v>
      </c>
      <c r="HT9" s="120">
        <f>SUMIFS('Revenue Tracking'!$F$13:$F$27, 'Revenue Tracking'!$P$13:$P$27, "&gt;="&amp;HT1,'Revenue Tracking'!$P$13:$P$27, "&lt;"&amp;HU1)</f>
        <v>0</v>
      </c>
      <c r="HU9" s="120">
        <f>SUMIFS('Revenue Tracking'!$F$13:$F$27, 'Revenue Tracking'!$P$13:$P$27, "&gt;="&amp;HU1,'Revenue Tracking'!$P$13:$P$27, "&lt;"&amp;HV1)</f>
        <v>0</v>
      </c>
      <c r="HV9" s="120">
        <f>SUMIFS('Revenue Tracking'!$F$13:$F$27, 'Revenue Tracking'!$P$13:$P$27, "&gt;="&amp;HV1,'Revenue Tracking'!$P$13:$P$27, "&lt;"&amp;HW1)</f>
        <v>0</v>
      </c>
      <c r="HW9" s="120">
        <f>SUMIFS('Revenue Tracking'!$F$13:$F$27, 'Revenue Tracking'!$P$13:$P$27, "&gt;="&amp;HW1,'Revenue Tracking'!$P$13:$P$27, "&lt;"&amp;HX1)</f>
        <v>0</v>
      </c>
      <c r="HX9" s="120">
        <f>SUMIFS('Revenue Tracking'!$F$13:$F$27, 'Revenue Tracking'!$P$13:$P$27, "&gt;="&amp;HX1,'Revenue Tracking'!$P$13:$P$27, "&lt;"&amp;HY1)</f>
        <v>0</v>
      </c>
      <c r="HY9" s="120">
        <f>SUMIFS('Revenue Tracking'!$F$13:$F$27, 'Revenue Tracking'!$P$13:$P$27, "&gt;="&amp;HY1,'Revenue Tracking'!$P$13:$P$27, "&lt;"&amp;HZ1)</f>
        <v>0</v>
      </c>
      <c r="HZ9" s="120">
        <f>SUMIFS('Revenue Tracking'!$F$13:$F$27, 'Revenue Tracking'!$P$13:$P$27, "&gt;="&amp;HZ1,'Revenue Tracking'!$P$13:$P$27, "&lt;"&amp;IA1)</f>
        <v>0</v>
      </c>
      <c r="IA9" s="120">
        <f>SUMIFS('Revenue Tracking'!$F$13:$F$27, 'Revenue Tracking'!$P$13:$P$27, "&gt;="&amp;IA1,'Revenue Tracking'!$P$13:$P$27, "&lt;"&amp;IB1)</f>
        <v>0</v>
      </c>
      <c r="IB9" s="120">
        <f>SUMIFS('Revenue Tracking'!$F$13:$F$27, 'Revenue Tracking'!$P$13:$P$27, "&gt;="&amp;IB1,'Revenue Tracking'!$P$13:$P$27, "&lt;"&amp;IC1)</f>
        <v>0</v>
      </c>
      <c r="IC9" s="120">
        <f>SUMIFS('Revenue Tracking'!$F$13:$F$27, 'Revenue Tracking'!$P$13:$P$27, "&gt;="&amp;IC1,'Revenue Tracking'!$P$13:$P$27, "&lt;"&amp;ID1)</f>
        <v>0</v>
      </c>
      <c r="ID9" s="120">
        <f>SUMIFS('Revenue Tracking'!$F$13:$F$27, 'Revenue Tracking'!$P$13:$P$27, "&gt;="&amp;ID1,'Revenue Tracking'!$P$13:$P$27, "&lt;"&amp;IE1)</f>
        <v>0</v>
      </c>
      <c r="IE9" s="120">
        <f>SUMIFS('Revenue Tracking'!$F$13:$F$27, 'Revenue Tracking'!$P$13:$P$27, "&gt;="&amp;IE1,'Revenue Tracking'!$P$13:$P$27, "&lt;"&amp;IF1)</f>
        <v>0</v>
      </c>
      <c r="IF9" s="120">
        <f>SUMIFS('Revenue Tracking'!$F$13:$F$27, 'Revenue Tracking'!$P$13:$P$27, "&gt;="&amp;IF1,'Revenue Tracking'!$P$13:$P$27, "&lt;"&amp;IG1)</f>
        <v>0</v>
      </c>
      <c r="IG9" s="120">
        <f>SUMIFS('Revenue Tracking'!$F$13:$F$27, 'Revenue Tracking'!$P$13:$P$27, "&gt;="&amp;IG1,'Revenue Tracking'!$P$13:$P$27, "&lt;"&amp;IH1)</f>
        <v>0</v>
      </c>
      <c r="IH9" s="120">
        <f>SUMIFS('Revenue Tracking'!$F$13:$F$27, 'Revenue Tracking'!$P$13:$P$27, "&gt;="&amp;IH1,'Revenue Tracking'!$P$13:$P$27, "&lt;"&amp;II1)</f>
        <v>0</v>
      </c>
      <c r="II9" s="120">
        <f>SUMIFS('Revenue Tracking'!$F$13:$F$27, 'Revenue Tracking'!$P$13:$P$27, "&gt;="&amp;II1,'Revenue Tracking'!$P$13:$P$27, "&lt;"&amp;IJ1)</f>
        <v>0</v>
      </c>
      <c r="IJ9" s="120">
        <f>SUMIFS('Revenue Tracking'!$F$13:$F$27, 'Revenue Tracking'!$P$13:$P$27, "&gt;="&amp;IJ1,'Revenue Tracking'!$P$13:$P$27, "&lt;"&amp;IK1)</f>
        <v>0</v>
      </c>
      <c r="IK9" s="120">
        <f>SUMIFS('Revenue Tracking'!$F$13:$F$27, 'Revenue Tracking'!$P$13:$P$27, "&gt;="&amp;IK1,'Revenue Tracking'!$P$13:$P$27, "&lt;"&amp;IL1)</f>
        <v>0</v>
      </c>
      <c r="IL9" s="120">
        <f>SUMIFS('Revenue Tracking'!$F$13:$F$27, 'Revenue Tracking'!$P$13:$P$27, "&gt;="&amp;IL1,'Revenue Tracking'!$P$13:$P$27, "&lt;"&amp;IM1)</f>
        <v>0</v>
      </c>
      <c r="IM9" s="120">
        <f>SUMIFS('Revenue Tracking'!$F$13:$F$27, 'Revenue Tracking'!$P$13:$P$27, "&gt;="&amp;IM1,'Revenue Tracking'!$P$13:$P$27, "&lt;"&amp;IN1)</f>
        <v>0</v>
      </c>
      <c r="IN9" s="120">
        <f>SUMIFS('Revenue Tracking'!$F$13:$F$27, 'Revenue Tracking'!$P$13:$P$27, "&gt;="&amp;IN1,'Revenue Tracking'!$P$13:$P$27, "&lt;"&amp;IO1)</f>
        <v>0</v>
      </c>
      <c r="IO9" s="120">
        <f>SUMIFS('Revenue Tracking'!$F$13:$F$27, 'Revenue Tracking'!$P$13:$P$27, "&gt;="&amp;IO1,'Revenue Tracking'!$P$13:$P$27, "&lt;"&amp;IP1)</f>
        <v>0</v>
      </c>
      <c r="IP9" s="120">
        <f>SUMIFS('Revenue Tracking'!$F$13:$F$27, 'Revenue Tracking'!$P$13:$P$27, "&gt;="&amp;IP1,'Revenue Tracking'!$P$13:$P$27, "&lt;"&amp;IQ1)</f>
        <v>0</v>
      </c>
      <c r="IQ9" s="120">
        <f>SUMIFS('Revenue Tracking'!$F$13:$F$27, 'Revenue Tracking'!$P$13:$P$27, "&gt;="&amp;IQ1,'Revenue Tracking'!$P$13:$P$27, "&lt;"&amp;IR1)</f>
        <v>0</v>
      </c>
      <c r="IR9" s="120">
        <f>SUMIFS('Revenue Tracking'!$F$13:$F$27, 'Revenue Tracking'!$P$13:$P$27, "&gt;="&amp;IR1,'Revenue Tracking'!$P$13:$P$27, "&lt;"&amp;IS1)</f>
        <v>0</v>
      </c>
      <c r="IS9" s="120">
        <f>SUMIFS('Revenue Tracking'!$F$13:$F$27, 'Revenue Tracking'!$P$13:$P$27, "&gt;="&amp;IS1,'Revenue Tracking'!$P$13:$P$27, "&lt;"&amp;IT1)</f>
        <v>0</v>
      </c>
      <c r="IT9" s="120">
        <f>SUMIFS('Revenue Tracking'!$F$13:$F$27, 'Revenue Tracking'!$P$13:$P$27, "&gt;="&amp;IT1,'Revenue Tracking'!$P$13:$P$27, "&lt;"&amp;IU1)</f>
        <v>0</v>
      </c>
      <c r="IU9" s="120">
        <f>SUMIFS('Revenue Tracking'!$F$13:$F$27, 'Revenue Tracking'!$P$13:$P$27, "&gt;="&amp;IU1,'Revenue Tracking'!$P$13:$P$27, "&lt;"&amp;IV1)</f>
        <v>0</v>
      </c>
      <c r="IV9" s="120">
        <f>SUMIFS('Revenue Tracking'!$F$13:$F$27, 'Revenue Tracking'!$P$13:$P$27, "&gt;="&amp;IV1,'Revenue Tracking'!$P$13:$P$27, "&lt;"&amp;IW1)</f>
        <v>0</v>
      </c>
      <c r="IW9" s="120">
        <f>SUMIFS('Revenue Tracking'!$F$13:$F$27, 'Revenue Tracking'!$P$13:$P$27, "&gt;="&amp;IW1,'Revenue Tracking'!$P$13:$P$27, "&lt;"&amp;IX1)</f>
        <v>0</v>
      </c>
      <c r="IX9" s="120">
        <f>SUMIFS('Revenue Tracking'!$F$13:$F$27, 'Revenue Tracking'!$P$13:$P$27, "&gt;="&amp;IX1,'Revenue Tracking'!$P$13:$P$27, "&lt;"&amp;IY1)</f>
        <v>0</v>
      </c>
      <c r="IY9" s="120">
        <f>SUMIFS('Revenue Tracking'!$F$13:$F$27, 'Revenue Tracking'!$P$13:$P$27, "&gt;="&amp;IY1,'Revenue Tracking'!$P$13:$P$27, "&lt;"&amp;IZ1)</f>
        <v>0</v>
      </c>
      <c r="IZ9" s="120">
        <f>SUMIFS('Revenue Tracking'!$F$13:$F$27, 'Revenue Tracking'!$P$13:$P$27, "&gt;="&amp;IZ1,'Revenue Tracking'!$P$13:$P$27, "&lt;"&amp;JA1)</f>
        <v>0</v>
      </c>
      <c r="JA9" s="120">
        <f>SUMIFS('Revenue Tracking'!$F$13:$F$27, 'Revenue Tracking'!$P$13:$P$27, "&gt;="&amp;JA1,'Revenue Tracking'!$P$13:$P$27, "&lt;"&amp;JB1)</f>
        <v>0</v>
      </c>
      <c r="JB9" s="120">
        <f>SUMIFS('Revenue Tracking'!$F$13:$F$27, 'Revenue Tracking'!$P$13:$P$27, "&gt;="&amp;JB1,'Revenue Tracking'!$P$13:$P$27, "&lt;"&amp;JC1)</f>
        <v>0</v>
      </c>
      <c r="JC9" s="120">
        <f>SUMIFS('Revenue Tracking'!$F$13:$F$27, 'Revenue Tracking'!$P$13:$P$27, "&gt;="&amp;JC1,'Revenue Tracking'!$P$13:$P$27, "&lt;"&amp;JD1)</f>
        <v>0</v>
      </c>
      <c r="JD9" s="120">
        <f>SUMIFS('Revenue Tracking'!$F$13:$F$27, 'Revenue Tracking'!$P$13:$P$27, "&gt;="&amp;JD1,'Revenue Tracking'!$P$13:$P$27, "&lt;"&amp;JE1)</f>
        <v>0</v>
      </c>
      <c r="JE9" s="120">
        <f>SUMIFS('Revenue Tracking'!$F$13:$F$27, 'Revenue Tracking'!$P$13:$P$27, "&gt;="&amp;JE1,'Revenue Tracking'!$P$13:$P$27, "&lt;"&amp;JF1)</f>
        <v>0</v>
      </c>
      <c r="JF9" s="120">
        <f>SUMIFS('Revenue Tracking'!$F$13:$F$27, 'Revenue Tracking'!$P$13:$P$27, "&gt;="&amp;JF1,'Revenue Tracking'!$P$13:$P$27, "&lt;"&amp;JG1)</f>
        <v>0</v>
      </c>
      <c r="JG9" s="120">
        <f>SUMIFS('Revenue Tracking'!$F$13:$F$27, 'Revenue Tracking'!$P$13:$P$27, "&gt;="&amp;JG1,'Revenue Tracking'!$P$13:$P$27, "&lt;"&amp;JH1)</f>
        <v>0</v>
      </c>
      <c r="JH9" s="120">
        <f>SUMIFS('Revenue Tracking'!$F$13:$F$27, 'Revenue Tracking'!$P$13:$P$27, "&gt;="&amp;JH1,'Revenue Tracking'!$P$13:$P$27, "&lt;"&amp;JI1)</f>
        <v>0</v>
      </c>
      <c r="JI9" s="120">
        <f>SUMIFS('Revenue Tracking'!$F$13:$F$27, 'Revenue Tracking'!$P$13:$P$27, "&gt;="&amp;JI1,'Revenue Tracking'!$P$13:$P$27, "&lt;"&amp;JJ1)</f>
        <v>0</v>
      </c>
      <c r="JJ9" s="120">
        <f>SUMIFS('Revenue Tracking'!$F$13:$F$27, 'Revenue Tracking'!$P$13:$P$27, "&gt;="&amp;JJ1,'Revenue Tracking'!$P$13:$P$27, "&lt;"&amp;JK1)</f>
        <v>0</v>
      </c>
      <c r="JK9" s="120">
        <f>SUMIFS('Revenue Tracking'!$F$13:$F$27, 'Revenue Tracking'!$P$13:$P$27, "&gt;="&amp;JK1,'Revenue Tracking'!$P$13:$P$27, "&lt;"&amp;JL1)</f>
        <v>0</v>
      </c>
      <c r="JL9" s="120">
        <f>SUMIFS('Revenue Tracking'!$F$13:$F$27, 'Revenue Tracking'!$P$13:$P$27, "&gt;="&amp;JL1,'Revenue Tracking'!$P$13:$P$27, "&lt;"&amp;JM1)</f>
        <v>0</v>
      </c>
      <c r="JM9" s="120">
        <f>SUMIFS('Revenue Tracking'!$F$13:$F$27, 'Revenue Tracking'!$P$13:$P$27, "&gt;="&amp;JM1,'Revenue Tracking'!$P$13:$P$27, "&lt;"&amp;JN1)</f>
        <v>0</v>
      </c>
      <c r="JN9" s="120">
        <f>SUMIFS('Revenue Tracking'!$F$13:$F$27, 'Revenue Tracking'!$P$13:$P$27, "&gt;="&amp;JN1,'Revenue Tracking'!$P$13:$P$27, "&lt;"&amp;JO1)</f>
        <v>0</v>
      </c>
      <c r="JO9" s="120">
        <f>SUMIFS('Revenue Tracking'!$F$13:$F$27, 'Revenue Tracking'!$P$13:$P$27, "&gt;="&amp;JO1,'Revenue Tracking'!$P$13:$P$27, "&lt;"&amp;JP1)</f>
        <v>0</v>
      </c>
      <c r="JP9" s="120">
        <f>SUMIFS('Revenue Tracking'!$F$13:$F$27, 'Revenue Tracking'!$P$13:$P$27, "&gt;="&amp;JP1,'Revenue Tracking'!$P$13:$P$27, "&lt;"&amp;JQ1)</f>
        <v>0</v>
      </c>
      <c r="JQ9" s="120">
        <f>SUMIFS('Revenue Tracking'!$F$13:$F$27, 'Revenue Tracking'!$P$13:$P$27, "&gt;="&amp;JQ1,'Revenue Tracking'!$P$13:$P$27, "&lt;"&amp;JR1)</f>
        <v>0</v>
      </c>
      <c r="JR9" s="120">
        <f>SUMIFS('Revenue Tracking'!$F$13:$F$27, 'Revenue Tracking'!$P$13:$P$27, "&gt;="&amp;JR1,'Revenue Tracking'!$P$13:$P$27, "&lt;"&amp;JS1)</f>
        <v>0</v>
      </c>
      <c r="JS9" s="120">
        <f>SUMIFS('Revenue Tracking'!$F$13:$F$27, 'Revenue Tracking'!$P$13:$P$27, "&gt;="&amp;JS1,'Revenue Tracking'!$P$13:$P$27, "&lt;"&amp;JT1)</f>
        <v>0</v>
      </c>
      <c r="JT9" s="120">
        <f>SUMIFS('Revenue Tracking'!$F$13:$F$27, 'Revenue Tracking'!$P$13:$P$27, "&gt;="&amp;JT1,'Revenue Tracking'!$P$13:$P$27, "&lt;"&amp;JU1)</f>
        <v>0</v>
      </c>
      <c r="JU9" s="120">
        <f>SUMIFS('Revenue Tracking'!$F$13:$F$27, 'Revenue Tracking'!$P$13:$P$27, "&gt;="&amp;JU1,'Revenue Tracking'!$P$13:$P$27, "&lt;"&amp;JV1)</f>
        <v>0</v>
      </c>
      <c r="JV9" s="120">
        <f>SUMIFS('Revenue Tracking'!$F$13:$F$27, 'Revenue Tracking'!$P$13:$P$27, "&gt;="&amp;JV1,'Revenue Tracking'!$P$13:$P$27, "&lt;"&amp;JW1)</f>
        <v>0</v>
      </c>
      <c r="JW9" s="120">
        <f>SUMIFS('Revenue Tracking'!$F$13:$F$27, 'Revenue Tracking'!$P$13:$P$27, "&gt;="&amp;JW1,'Revenue Tracking'!$P$13:$P$27, "&lt;"&amp;JX1)</f>
        <v>0</v>
      </c>
      <c r="JX9" s="120">
        <f>SUMIFS('Revenue Tracking'!$F$13:$F$27, 'Revenue Tracking'!$P$13:$P$27, "&gt;="&amp;JX1,'Revenue Tracking'!$P$13:$P$27, "&lt;"&amp;JY1)</f>
        <v>0</v>
      </c>
      <c r="JY9" s="120">
        <f>SUMIFS('Revenue Tracking'!$F$13:$F$27, 'Revenue Tracking'!$P$13:$P$27, "&gt;="&amp;JY1,'Revenue Tracking'!$P$13:$P$27, "&lt;"&amp;JZ1)</f>
        <v>0</v>
      </c>
      <c r="JZ9" s="120">
        <f>SUMIFS('Revenue Tracking'!$F$13:$F$27, 'Revenue Tracking'!$P$13:$P$27, "&gt;="&amp;JZ1,'Revenue Tracking'!$P$13:$P$27, "&lt;"&amp;KA1)</f>
        <v>0</v>
      </c>
      <c r="KA9" s="120">
        <f>SUMIFS('Revenue Tracking'!$F$13:$F$27, 'Revenue Tracking'!$P$13:$P$27, "&gt;="&amp;KA1,'Revenue Tracking'!$P$13:$P$27, "&lt;"&amp;KB1)</f>
        <v>0</v>
      </c>
      <c r="KB9" s="120">
        <f>SUMIFS('Revenue Tracking'!$F$13:$F$27, 'Revenue Tracking'!$P$13:$P$27, "&gt;="&amp;KB1,'Revenue Tracking'!$P$13:$P$27, "&lt;"&amp;KC1)</f>
        <v>0</v>
      </c>
      <c r="KC9" s="120">
        <f>SUMIFS('Revenue Tracking'!$F$13:$F$27, 'Revenue Tracking'!$P$13:$P$27, "&gt;="&amp;KC1,'Revenue Tracking'!$P$13:$P$27, "&lt;"&amp;KD1)</f>
        <v>0</v>
      </c>
      <c r="KD9" s="120">
        <f>SUMIFS('Revenue Tracking'!$F$13:$F$27, 'Revenue Tracking'!$P$13:$P$27, "&gt;="&amp;KD1,'Revenue Tracking'!$P$13:$P$27, "&lt;"&amp;KE1)</f>
        <v>0</v>
      </c>
      <c r="KE9" s="120">
        <f>SUMIFS('Revenue Tracking'!$F$13:$F$27, 'Revenue Tracking'!$P$13:$P$27, "&gt;="&amp;KE1,'Revenue Tracking'!$P$13:$P$27, "&lt;"&amp;KF1)</f>
        <v>0</v>
      </c>
      <c r="KF9" s="120">
        <f>SUMIFS('Revenue Tracking'!$F$13:$F$27, 'Revenue Tracking'!$P$13:$P$27, "&gt;="&amp;KF1,'Revenue Tracking'!$P$13:$P$27, "&lt;"&amp;#REF!)</f>
        <v>0</v>
      </c>
    </row>
    <row r="10" spans="1:770">
      <c r="A10" s="801"/>
      <c r="B10" s="118" t="s">
        <v>529</v>
      </c>
      <c r="C10" s="119"/>
      <c r="D10" s="119"/>
      <c r="E10" s="106"/>
      <c r="F10" s="120">
        <f>F9</f>
        <v>0</v>
      </c>
      <c r="G10" s="120">
        <f>F10+G9</f>
        <v>0</v>
      </c>
      <c r="H10" s="120">
        <f>G10+H9</f>
        <v>0</v>
      </c>
      <c r="I10" s="120">
        <f t="shared" ref="I10:BT10" si="21">H10+I9</f>
        <v>0</v>
      </c>
      <c r="J10" s="120">
        <f t="shared" si="21"/>
        <v>0</v>
      </c>
      <c r="K10" s="120">
        <f t="shared" si="21"/>
        <v>0</v>
      </c>
      <c r="L10" s="120">
        <f t="shared" si="21"/>
        <v>0</v>
      </c>
      <c r="M10" s="120">
        <f t="shared" si="21"/>
        <v>0</v>
      </c>
      <c r="N10" s="120">
        <f t="shared" si="21"/>
        <v>0</v>
      </c>
      <c r="O10" s="120">
        <f t="shared" si="21"/>
        <v>290422.23750000005</v>
      </c>
      <c r="P10" s="120">
        <f t="shared" si="21"/>
        <v>1893552.9550000003</v>
      </c>
      <c r="Q10" s="120">
        <f t="shared" si="21"/>
        <v>1893552.9550000003</v>
      </c>
      <c r="R10" s="120">
        <f t="shared" si="21"/>
        <v>1893552.9550000003</v>
      </c>
      <c r="S10" s="120">
        <f t="shared" si="21"/>
        <v>1893552.9550000003</v>
      </c>
      <c r="T10" s="120">
        <f t="shared" si="21"/>
        <v>2445060.5494958339</v>
      </c>
      <c r="U10" s="120">
        <f t="shared" si="21"/>
        <v>2445060.5494958339</v>
      </c>
      <c r="V10" s="120">
        <f t="shared" si="21"/>
        <v>2445060.5494958339</v>
      </c>
      <c r="W10" s="120">
        <f t="shared" si="21"/>
        <v>2445060.5494958339</v>
      </c>
      <c r="X10" s="120">
        <f t="shared" si="21"/>
        <v>2445060.5494958339</v>
      </c>
      <c r="Y10" s="120">
        <f t="shared" si="21"/>
        <v>2445060.5494958339</v>
      </c>
      <c r="Z10" s="120">
        <f t="shared" si="21"/>
        <v>2445060.5494958339</v>
      </c>
      <c r="AA10" s="120">
        <f t="shared" si="21"/>
        <v>2445060.5494958339</v>
      </c>
      <c r="AB10" s="120">
        <f t="shared" si="21"/>
        <v>2445060.5494958339</v>
      </c>
      <c r="AC10" s="120">
        <f t="shared" si="21"/>
        <v>2445060.5494958339</v>
      </c>
      <c r="AD10" s="120">
        <f>AC10+AD9</f>
        <v>2445060.5494958339</v>
      </c>
      <c r="AE10" s="120">
        <f t="shared" si="21"/>
        <v>2445060.5494958339</v>
      </c>
      <c r="AF10" s="120">
        <f t="shared" si="21"/>
        <v>2757361.0594958337</v>
      </c>
      <c r="AG10" s="120">
        <f t="shared" si="21"/>
        <v>2757361.0594958337</v>
      </c>
      <c r="AH10" s="120">
        <f t="shared" si="21"/>
        <v>2757361.0594958337</v>
      </c>
      <c r="AI10" s="120">
        <f t="shared" si="21"/>
        <v>2757361.0594958337</v>
      </c>
      <c r="AJ10" s="120">
        <f t="shared" si="21"/>
        <v>2757361.0594958337</v>
      </c>
      <c r="AK10" s="120">
        <f t="shared" si="21"/>
        <v>2757361.0594958337</v>
      </c>
      <c r="AL10" s="120">
        <f t="shared" si="21"/>
        <v>2757361.0594958337</v>
      </c>
      <c r="AM10" s="120">
        <f t="shared" si="21"/>
        <v>2757361.0594958337</v>
      </c>
      <c r="AN10" s="120">
        <f t="shared" si="21"/>
        <v>2757361.0594958337</v>
      </c>
      <c r="AO10" s="120">
        <f t="shared" si="21"/>
        <v>2757361.0594958337</v>
      </c>
      <c r="AP10" s="120">
        <f t="shared" si="21"/>
        <v>2757361.0594958337</v>
      </c>
      <c r="AQ10" s="120">
        <f t="shared" si="21"/>
        <v>2757361.0594958337</v>
      </c>
      <c r="AR10" s="120">
        <f t="shared" si="21"/>
        <v>2757361.0594958337</v>
      </c>
      <c r="AS10" s="120">
        <f t="shared" si="21"/>
        <v>2820054.9194958336</v>
      </c>
      <c r="AT10" s="120">
        <f t="shared" si="21"/>
        <v>2820054.9194958336</v>
      </c>
      <c r="AU10" s="120">
        <f t="shared" si="21"/>
        <v>2820054.9194958336</v>
      </c>
      <c r="AV10" s="120">
        <f t="shared" si="21"/>
        <v>2820054.9194958336</v>
      </c>
      <c r="AW10" s="120">
        <f t="shared" si="21"/>
        <v>2820054.9194958336</v>
      </c>
      <c r="AX10" s="120">
        <f t="shared" si="21"/>
        <v>2820054.9194958336</v>
      </c>
      <c r="AY10" s="120">
        <f t="shared" si="21"/>
        <v>2820054.9194958336</v>
      </c>
      <c r="AZ10" s="120">
        <f t="shared" si="21"/>
        <v>2820054.9194958336</v>
      </c>
      <c r="BA10" s="120">
        <f t="shared" si="21"/>
        <v>2820054.9194958336</v>
      </c>
      <c r="BB10" s="120">
        <f t="shared" si="21"/>
        <v>2820054.9194958336</v>
      </c>
      <c r="BC10" s="120">
        <f t="shared" si="21"/>
        <v>2820054.9194958336</v>
      </c>
      <c r="BD10" s="120">
        <f t="shared" si="21"/>
        <v>2820054.9194958336</v>
      </c>
      <c r="BE10" s="120">
        <f t="shared" si="21"/>
        <v>2820054.9194958336</v>
      </c>
      <c r="BF10" s="120">
        <f t="shared" si="21"/>
        <v>2820054.9194958336</v>
      </c>
      <c r="BG10" s="120">
        <f t="shared" si="21"/>
        <v>2820054.9194958336</v>
      </c>
      <c r="BH10" s="120">
        <f t="shared" si="21"/>
        <v>2820054.9194958336</v>
      </c>
      <c r="BI10" s="120">
        <f t="shared" si="21"/>
        <v>2820054.9194958336</v>
      </c>
      <c r="BJ10" s="120">
        <f t="shared" si="21"/>
        <v>2820054.9194958336</v>
      </c>
      <c r="BK10" s="120">
        <f t="shared" si="21"/>
        <v>2820054.9194958336</v>
      </c>
      <c r="BL10" s="120">
        <f t="shared" si="21"/>
        <v>2820054.9194958336</v>
      </c>
      <c r="BM10" s="120">
        <f t="shared" si="21"/>
        <v>2820054.9194958336</v>
      </c>
      <c r="BN10" s="120">
        <f t="shared" si="21"/>
        <v>2820054.9194958336</v>
      </c>
      <c r="BO10" s="120">
        <f t="shared" si="21"/>
        <v>2820054.9194958336</v>
      </c>
      <c r="BP10" s="120">
        <f t="shared" si="21"/>
        <v>2820054.9194958336</v>
      </c>
      <c r="BQ10" s="120">
        <f t="shared" si="21"/>
        <v>2820054.9194958336</v>
      </c>
      <c r="BR10" s="120">
        <f t="shared" si="21"/>
        <v>2820054.9194958336</v>
      </c>
      <c r="BS10" s="120">
        <f t="shared" si="21"/>
        <v>2820054.9194958336</v>
      </c>
      <c r="BT10" s="120">
        <f t="shared" si="21"/>
        <v>2820054.9194958336</v>
      </c>
      <c r="BU10" s="120">
        <f t="shared" ref="BU10:EF10" si="22">BT10+BU9</f>
        <v>2820054.9194958336</v>
      </c>
      <c r="BV10" s="120">
        <f t="shared" si="22"/>
        <v>2820054.9194958336</v>
      </c>
      <c r="BW10" s="120">
        <f t="shared" si="22"/>
        <v>2820054.9194958336</v>
      </c>
      <c r="BX10" s="120">
        <f t="shared" si="22"/>
        <v>2820054.9194958336</v>
      </c>
      <c r="BY10" s="120">
        <f t="shared" si="22"/>
        <v>2820054.9194958336</v>
      </c>
      <c r="BZ10" s="120">
        <f t="shared" si="22"/>
        <v>2820054.9194958336</v>
      </c>
      <c r="CA10" s="120">
        <f t="shared" si="22"/>
        <v>2820054.9194958336</v>
      </c>
      <c r="CB10" s="120">
        <f t="shared" si="22"/>
        <v>2820054.9194958336</v>
      </c>
      <c r="CC10" s="120">
        <f t="shared" si="22"/>
        <v>2820054.9194958336</v>
      </c>
      <c r="CD10" s="120">
        <f t="shared" si="22"/>
        <v>2820054.9194958336</v>
      </c>
      <c r="CE10" s="120">
        <f t="shared" si="22"/>
        <v>2820054.9194958336</v>
      </c>
      <c r="CF10" s="120">
        <f t="shared" si="22"/>
        <v>2820054.9194958336</v>
      </c>
      <c r="CG10" s="120">
        <f t="shared" si="22"/>
        <v>2820054.9194958336</v>
      </c>
      <c r="CH10" s="120">
        <f t="shared" si="22"/>
        <v>2820054.9194958336</v>
      </c>
      <c r="CI10" s="120">
        <f t="shared" si="22"/>
        <v>2820054.9194958336</v>
      </c>
      <c r="CJ10" s="120">
        <f t="shared" si="22"/>
        <v>2820054.9194958336</v>
      </c>
      <c r="CK10" s="120">
        <f t="shared" si="22"/>
        <v>2820054.9194958336</v>
      </c>
      <c r="CL10" s="120">
        <f t="shared" si="22"/>
        <v>2820054.9194958336</v>
      </c>
      <c r="CM10" s="120">
        <f t="shared" si="22"/>
        <v>2820054.9194958336</v>
      </c>
      <c r="CN10" s="120">
        <f t="shared" si="22"/>
        <v>2820054.9194958336</v>
      </c>
      <c r="CO10" s="120">
        <f t="shared" si="22"/>
        <v>2820054.9194958336</v>
      </c>
      <c r="CP10" s="120">
        <f t="shared" si="22"/>
        <v>2820054.9194958336</v>
      </c>
      <c r="CQ10" s="120">
        <f t="shared" si="22"/>
        <v>2820054.9194958336</v>
      </c>
      <c r="CR10" s="120">
        <f t="shared" si="22"/>
        <v>2820054.9194958336</v>
      </c>
      <c r="CS10" s="120">
        <f t="shared" si="22"/>
        <v>2820054.9194958336</v>
      </c>
      <c r="CT10" s="120">
        <f t="shared" si="22"/>
        <v>2820054.9194958336</v>
      </c>
      <c r="CU10" s="120">
        <f t="shared" si="22"/>
        <v>2820054.9194958336</v>
      </c>
      <c r="CV10" s="120">
        <f t="shared" si="22"/>
        <v>2820054.9194958336</v>
      </c>
      <c r="CW10" s="120">
        <f t="shared" si="22"/>
        <v>2820054.9194958336</v>
      </c>
      <c r="CX10" s="120">
        <f t="shared" si="22"/>
        <v>2820054.9194958336</v>
      </c>
      <c r="CY10" s="120">
        <f t="shared" si="22"/>
        <v>2820054.9194958336</v>
      </c>
      <c r="CZ10" s="120">
        <f t="shared" si="22"/>
        <v>2820054.9194958336</v>
      </c>
      <c r="DA10" s="120">
        <f t="shared" si="22"/>
        <v>2820054.9194958336</v>
      </c>
      <c r="DB10" s="120">
        <f t="shared" si="22"/>
        <v>2820054.9194958336</v>
      </c>
      <c r="DC10" s="120">
        <f t="shared" si="22"/>
        <v>2820054.9194958336</v>
      </c>
      <c r="DD10" s="120">
        <f t="shared" si="22"/>
        <v>2820054.9194958336</v>
      </c>
      <c r="DE10" s="120">
        <f t="shared" si="22"/>
        <v>2820054.9194958336</v>
      </c>
      <c r="DF10" s="120">
        <f t="shared" si="22"/>
        <v>2820054.9194958336</v>
      </c>
      <c r="DG10" s="120">
        <f t="shared" si="22"/>
        <v>2820054.9194958336</v>
      </c>
      <c r="DH10" s="120">
        <f t="shared" si="22"/>
        <v>2820054.9194958336</v>
      </c>
      <c r="DI10" s="120">
        <f t="shared" si="22"/>
        <v>2820054.9194958336</v>
      </c>
      <c r="DJ10" s="120">
        <f t="shared" si="22"/>
        <v>2820054.9194958336</v>
      </c>
      <c r="DK10" s="120">
        <f t="shared" si="22"/>
        <v>2820054.9194958336</v>
      </c>
      <c r="DL10" s="120">
        <f t="shared" si="22"/>
        <v>2820054.9194958336</v>
      </c>
      <c r="DM10" s="120">
        <f t="shared" si="22"/>
        <v>2820054.9194958336</v>
      </c>
      <c r="DN10" s="120">
        <f t="shared" si="22"/>
        <v>2820054.9194958336</v>
      </c>
      <c r="DO10" s="120">
        <f t="shared" si="22"/>
        <v>2820054.9194958336</v>
      </c>
      <c r="DP10" s="120">
        <f t="shared" si="22"/>
        <v>2820054.9194958336</v>
      </c>
      <c r="DQ10" s="120">
        <f t="shared" si="22"/>
        <v>2820054.9194958336</v>
      </c>
      <c r="DR10" s="120">
        <f t="shared" si="22"/>
        <v>2820054.9194958336</v>
      </c>
      <c r="DS10" s="120">
        <f t="shared" si="22"/>
        <v>2820054.9194958336</v>
      </c>
      <c r="DT10" s="120">
        <f t="shared" si="22"/>
        <v>2820054.9194958336</v>
      </c>
      <c r="DU10" s="120">
        <f t="shared" si="22"/>
        <v>2820054.9194958336</v>
      </c>
      <c r="DV10" s="120">
        <f t="shared" si="22"/>
        <v>2820054.9194958336</v>
      </c>
      <c r="DW10" s="120">
        <f t="shared" si="22"/>
        <v>2820054.9194958336</v>
      </c>
      <c r="DX10" s="120">
        <f t="shared" si="22"/>
        <v>2820054.9194958336</v>
      </c>
      <c r="DY10" s="120">
        <f t="shared" si="22"/>
        <v>2820054.9194958336</v>
      </c>
      <c r="DZ10" s="120">
        <f t="shared" si="22"/>
        <v>2820054.9194958336</v>
      </c>
      <c r="EA10" s="120">
        <f t="shared" si="22"/>
        <v>2820054.9194958336</v>
      </c>
      <c r="EB10" s="120">
        <f t="shared" si="22"/>
        <v>2820054.9194958336</v>
      </c>
      <c r="EC10" s="120">
        <f t="shared" si="22"/>
        <v>2820054.9194958336</v>
      </c>
      <c r="ED10" s="120">
        <f t="shared" si="22"/>
        <v>2820054.9194958336</v>
      </c>
      <c r="EE10" s="120">
        <f t="shared" si="22"/>
        <v>2820054.9194958336</v>
      </c>
      <c r="EF10" s="120">
        <f t="shared" si="22"/>
        <v>2820054.9194958336</v>
      </c>
      <c r="EG10" s="120">
        <f t="shared" ref="EG10:GR10" si="23">EF10+EG9</f>
        <v>2820054.9194958336</v>
      </c>
      <c r="EH10" s="120">
        <f t="shared" si="23"/>
        <v>2820054.9194958336</v>
      </c>
      <c r="EI10" s="120">
        <f t="shared" si="23"/>
        <v>2820054.9194958336</v>
      </c>
      <c r="EJ10" s="120">
        <f t="shared" si="23"/>
        <v>2820054.9194958336</v>
      </c>
      <c r="EK10" s="120">
        <f t="shared" si="23"/>
        <v>2820054.9194958336</v>
      </c>
      <c r="EL10" s="120">
        <f t="shared" si="23"/>
        <v>2820054.9194958336</v>
      </c>
      <c r="EM10" s="120">
        <f t="shared" si="23"/>
        <v>2820054.9194958336</v>
      </c>
      <c r="EN10" s="120">
        <f t="shared" si="23"/>
        <v>2820054.9194958336</v>
      </c>
      <c r="EO10" s="120">
        <f t="shared" si="23"/>
        <v>2820054.9194958336</v>
      </c>
      <c r="EP10" s="120">
        <f t="shared" si="23"/>
        <v>2820054.9194958336</v>
      </c>
      <c r="EQ10" s="120">
        <f t="shared" si="23"/>
        <v>2820054.9194958336</v>
      </c>
      <c r="ER10" s="120">
        <f t="shared" si="23"/>
        <v>2820054.9194958336</v>
      </c>
      <c r="ES10" s="120">
        <f t="shared" si="23"/>
        <v>2820054.9194958336</v>
      </c>
      <c r="ET10" s="120">
        <f t="shared" si="23"/>
        <v>2820054.9194958336</v>
      </c>
      <c r="EU10" s="120">
        <f t="shared" si="23"/>
        <v>2820054.9194958336</v>
      </c>
      <c r="EV10" s="120">
        <f t="shared" si="23"/>
        <v>2820054.9194958336</v>
      </c>
      <c r="EW10" s="120">
        <f t="shared" si="23"/>
        <v>2820054.9194958336</v>
      </c>
      <c r="EX10" s="120">
        <f t="shared" si="23"/>
        <v>2820054.9194958336</v>
      </c>
      <c r="EY10" s="120">
        <f t="shared" si="23"/>
        <v>2820054.9194958336</v>
      </c>
      <c r="EZ10" s="120">
        <f t="shared" si="23"/>
        <v>2820054.9194958336</v>
      </c>
      <c r="FA10" s="120">
        <f t="shared" si="23"/>
        <v>2820054.9194958336</v>
      </c>
      <c r="FB10" s="120">
        <f t="shared" si="23"/>
        <v>2820054.9194958336</v>
      </c>
      <c r="FC10" s="120">
        <f t="shared" si="23"/>
        <v>2820054.9194958336</v>
      </c>
      <c r="FD10" s="120">
        <f t="shared" si="23"/>
        <v>2820054.9194958336</v>
      </c>
      <c r="FE10" s="120">
        <f t="shared" si="23"/>
        <v>2820054.9194958336</v>
      </c>
      <c r="FF10" s="120">
        <f t="shared" si="23"/>
        <v>2820054.9194958336</v>
      </c>
      <c r="FG10" s="120">
        <f t="shared" si="23"/>
        <v>2820054.9194958336</v>
      </c>
      <c r="FH10" s="120">
        <f t="shared" si="23"/>
        <v>2820054.9194958336</v>
      </c>
      <c r="FI10" s="120">
        <f t="shared" si="23"/>
        <v>2820054.9194958336</v>
      </c>
      <c r="FJ10" s="120">
        <f t="shared" si="23"/>
        <v>2820054.9194958336</v>
      </c>
      <c r="FK10" s="120">
        <f t="shared" si="23"/>
        <v>2820054.9194958336</v>
      </c>
      <c r="FL10" s="120">
        <f t="shared" si="23"/>
        <v>2820054.9194958336</v>
      </c>
      <c r="FM10" s="120">
        <f t="shared" si="23"/>
        <v>2820054.9194958336</v>
      </c>
      <c r="FN10" s="120">
        <f t="shared" si="23"/>
        <v>2820054.9194958336</v>
      </c>
      <c r="FO10" s="120">
        <f t="shared" si="23"/>
        <v>2820054.9194958336</v>
      </c>
      <c r="FP10" s="120">
        <f t="shared" si="23"/>
        <v>2820054.9194958336</v>
      </c>
      <c r="FQ10" s="120">
        <f t="shared" si="23"/>
        <v>2820054.9194958336</v>
      </c>
      <c r="FR10" s="120">
        <f t="shared" si="23"/>
        <v>2820054.9194958336</v>
      </c>
      <c r="FS10" s="120">
        <f t="shared" si="23"/>
        <v>2820054.9194958336</v>
      </c>
      <c r="FT10" s="120">
        <f t="shared" si="23"/>
        <v>2820054.9194958336</v>
      </c>
      <c r="FU10" s="120">
        <f t="shared" si="23"/>
        <v>2820054.9194958336</v>
      </c>
      <c r="FV10" s="120">
        <f t="shared" si="23"/>
        <v>2820054.9194958336</v>
      </c>
      <c r="FW10" s="120">
        <f t="shared" si="23"/>
        <v>2820054.9194958336</v>
      </c>
      <c r="FX10" s="120">
        <f t="shared" si="23"/>
        <v>2820054.9194958336</v>
      </c>
      <c r="FY10" s="120">
        <f t="shared" si="23"/>
        <v>2820054.9194958336</v>
      </c>
      <c r="FZ10" s="120">
        <f t="shared" si="23"/>
        <v>2820054.9194958336</v>
      </c>
      <c r="GA10" s="120">
        <f t="shared" si="23"/>
        <v>2820054.9194958336</v>
      </c>
      <c r="GB10" s="120">
        <f t="shared" si="23"/>
        <v>2820054.9194958336</v>
      </c>
      <c r="GC10" s="120">
        <f t="shared" si="23"/>
        <v>2820054.9194958336</v>
      </c>
      <c r="GD10" s="120">
        <f t="shared" si="23"/>
        <v>2820054.9194958336</v>
      </c>
      <c r="GE10" s="120">
        <f t="shared" si="23"/>
        <v>2820054.9194958336</v>
      </c>
      <c r="GF10" s="120">
        <f t="shared" si="23"/>
        <v>2820054.9194958336</v>
      </c>
      <c r="GG10" s="120">
        <f t="shared" si="23"/>
        <v>2820054.9194958336</v>
      </c>
      <c r="GH10" s="120">
        <f t="shared" si="23"/>
        <v>2820054.9194958336</v>
      </c>
      <c r="GI10" s="120">
        <f t="shared" si="23"/>
        <v>2820054.9194958336</v>
      </c>
      <c r="GJ10" s="120">
        <f t="shared" si="23"/>
        <v>2820054.9194958336</v>
      </c>
      <c r="GK10" s="120">
        <f t="shared" si="23"/>
        <v>2820054.9194958336</v>
      </c>
      <c r="GL10" s="120">
        <f t="shared" si="23"/>
        <v>2820054.9194958336</v>
      </c>
      <c r="GM10" s="120">
        <f t="shared" si="23"/>
        <v>2820054.9194958336</v>
      </c>
      <c r="GN10" s="120">
        <f t="shared" si="23"/>
        <v>2820054.9194958336</v>
      </c>
      <c r="GO10" s="120">
        <f t="shared" si="23"/>
        <v>2820054.9194958336</v>
      </c>
      <c r="GP10" s="120">
        <f t="shared" si="23"/>
        <v>2820054.9194958336</v>
      </c>
      <c r="GQ10" s="120">
        <f t="shared" si="23"/>
        <v>2820054.9194958336</v>
      </c>
      <c r="GR10" s="120">
        <f t="shared" si="23"/>
        <v>2820054.9194958336</v>
      </c>
      <c r="GS10" s="120">
        <f t="shared" ref="GS10:JD10" si="24">GR10+GS9</f>
        <v>2820054.9194958336</v>
      </c>
      <c r="GT10" s="120">
        <f t="shared" si="24"/>
        <v>2820054.9194958336</v>
      </c>
      <c r="GU10" s="120">
        <f t="shared" si="24"/>
        <v>2820054.9194958336</v>
      </c>
      <c r="GV10" s="120">
        <f t="shared" si="24"/>
        <v>2820054.9194958336</v>
      </c>
      <c r="GW10" s="120">
        <f t="shared" si="24"/>
        <v>2820054.9194958336</v>
      </c>
      <c r="GX10" s="120">
        <f t="shared" si="24"/>
        <v>2820054.9194958336</v>
      </c>
      <c r="GY10" s="120">
        <f t="shared" si="24"/>
        <v>2820054.9194958336</v>
      </c>
      <c r="GZ10" s="120">
        <f t="shared" si="24"/>
        <v>2820054.9194958336</v>
      </c>
      <c r="HA10" s="120">
        <f t="shared" si="24"/>
        <v>2820054.9194958336</v>
      </c>
      <c r="HB10" s="120">
        <f t="shared" si="24"/>
        <v>2820054.9194958336</v>
      </c>
      <c r="HC10" s="120">
        <f t="shared" si="24"/>
        <v>2820054.9194958336</v>
      </c>
      <c r="HD10" s="120">
        <f t="shared" si="24"/>
        <v>2820054.9194958336</v>
      </c>
      <c r="HE10" s="120">
        <f t="shared" si="24"/>
        <v>2820054.9194958336</v>
      </c>
      <c r="HF10" s="120">
        <f t="shared" si="24"/>
        <v>2820054.9194958336</v>
      </c>
      <c r="HG10" s="120">
        <f t="shared" si="24"/>
        <v>2820054.9194958336</v>
      </c>
      <c r="HH10" s="120">
        <f t="shared" si="24"/>
        <v>2820054.9194958336</v>
      </c>
      <c r="HI10" s="120">
        <f t="shared" si="24"/>
        <v>2820054.9194958336</v>
      </c>
      <c r="HJ10" s="120">
        <f t="shared" si="24"/>
        <v>2820054.9194958336</v>
      </c>
      <c r="HK10" s="120">
        <f t="shared" si="24"/>
        <v>2820054.9194958336</v>
      </c>
      <c r="HL10" s="120">
        <f t="shared" si="24"/>
        <v>2820054.9194958336</v>
      </c>
      <c r="HM10" s="120">
        <f t="shared" si="24"/>
        <v>2820054.9194958336</v>
      </c>
      <c r="HN10" s="120">
        <f t="shared" si="24"/>
        <v>2820054.9194958336</v>
      </c>
      <c r="HO10" s="120">
        <f t="shared" si="24"/>
        <v>2820054.9194958336</v>
      </c>
      <c r="HP10" s="120">
        <f t="shared" si="24"/>
        <v>2820054.9194958336</v>
      </c>
      <c r="HQ10" s="120">
        <f t="shared" si="24"/>
        <v>2820054.9194958336</v>
      </c>
      <c r="HR10" s="120">
        <f t="shared" si="24"/>
        <v>2820054.9194958336</v>
      </c>
      <c r="HS10" s="120">
        <f t="shared" si="24"/>
        <v>2820054.9194958336</v>
      </c>
      <c r="HT10" s="120">
        <f t="shared" si="24"/>
        <v>2820054.9194958336</v>
      </c>
      <c r="HU10" s="120">
        <f t="shared" si="24"/>
        <v>2820054.9194958336</v>
      </c>
      <c r="HV10" s="120">
        <f t="shared" si="24"/>
        <v>2820054.9194958336</v>
      </c>
      <c r="HW10" s="120">
        <f t="shared" si="24"/>
        <v>2820054.9194958336</v>
      </c>
      <c r="HX10" s="120">
        <f t="shared" si="24"/>
        <v>2820054.9194958336</v>
      </c>
      <c r="HY10" s="120">
        <f t="shared" si="24"/>
        <v>2820054.9194958336</v>
      </c>
      <c r="HZ10" s="120">
        <f t="shared" si="24"/>
        <v>2820054.9194958336</v>
      </c>
      <c r="IA10" s="120">
        <f t="shared" si="24"/>
        <v>2820054.9194958336</v>
      </c>
      <c r="IB10" s="120">
        <f t="shared" si="24"/>
        <v>2820054.9194958336</v>
      </c>
      <c r="IC10" s="120">
        <f t="shared" si="24"/>
        <v>2820054.9194958336</v>
      </c>
      <c r="ID10" s="120">
        <f t="shared" si="24"/>
        <v>2820054.9194958336</v>
      </c>
      <c r="IE10" s="120">
        <f t="shared" si="24"/>
        <v>2820054.9194958336</v>
      </c>
      <c r="IF10" s="120">
        <f t="shared" si="24"/>
        <v>2820054.9194958336</v>
      </c>
      <c r="IG10" s="120">
        <f t="shared" si="24"/>
        <v>2820054.9194958336</v>
      </c>
      <c r="IH10" s="120">
        <f t="shared" si="24"/>
        <v>2820054.9194958336</v>
      </c>
      <c r="II10" s="120">
        <f t="shared" si="24"/>
        <v>2820054.9194958336</v>
      </c>
      <c r="IJ10" s="120">
        <f t="shared" si="24"/>
        <v>2820054.9194958336</v>
      </c>
      <c r="IK10" s="120">
        <f t="shared" si="24"/>
        <v>2820054.9194958336</v>
      </c>
      <c r="IL10" s="120">
        <f t="shared" si="24"/>
        <v>2820054.9194958336</v>
      </c>
      <c r="IM10" s="120">
        <f t="shared" si="24"/>
        <v>2820054.9194958336</v>
      </c>
      <c r="IN10" s="120">
        <f t="shared" si="24"/>
        <v>2820054.9194958336</v>
      </c>
      <c r="IO10" s="120">
        <f t="shared" si="24"/>
        <v>2820054.9194958336</v>
      </c>
      <c r="IP10" s="120">
        <f t="shared" si="24"/>
        <v>2820054.9194958336</v>
      </c>
      <c r="IQ10" s="120">
        <f t="shared" si="24"/>
        <v>2820054.9194958336</v>
      </c>
      <c r="IR10" s="120">
        <f t="shared" si="24"/>
        <v>2820054.9194958336</v>
      </c>
      <c r="IS10" s="120">
        <f t="shared" si="24"/>
        <v>2820054.9194958336</v>
      </c>
      <c r="IT10" s="120">
        <f t="shared" si="24"/>
        <v>2820054.9194958336</v>
      </c>
      <c r="IU10" s="120">
        <f t="shared" si="24"/>
        <v>2820054.9194958336</v>
      </c>
      <c r="IV10" s="120">
        <f t="shared" si="24"/>
        <v>2820054.9194958336</v>
      </c>
      <c r="IW10" s="120">
        <f t="shared" si="24"/>
        <v>2820054.9194958336</v>
      </c>
      <c r="IX10" s="120">
        <f t="shared" si="24"/>
        <v>2820054.9194958336</v>
      </c>
      <c r="IY10" s="120">
        <f t="shared" si="24"/>
        <v>2820054.9194958336</v>
      </c>
      <c r="IZ10" s="120">
        <f t="shared" si="24"/>
        <v>2820054.9194958336</v>
      </c>
      <c r="JA10" s="120">
        <f t="shared" si="24"/>
        <v>2820054.9194958336</v>
      </c>
      <c r="JB10" s="120">
        <f t="shared" si="24"/>
        <v>2820054.9194958336</v>
      </c>
      <c r="JC10" s="120">
        <f t="shared" si="24"/>
        <v>2820054.9194958336</v>
      </c>
      <c r="JD10" s="120">
        <f t="shared" si="24"/>
        <v>2820054.9194958336</v>
      </c>
      <c r="JE10" s="120">
        <f t="shared" ref="JE10:KF10" si="25">JD10+JE9</f>
        <v>2820054.9194958336</v>
      </c>
      <c r="JF10" s="120">
        <f t="shared" si="25"/>
        <v>2820054.9194958336</v>
      </c>
      <c r="JG10" s="120">
        <f t="shared" si="25"/>
        <v>2820054.9194958336</v>
      </c>
      <c r="JH10" s="120">
        <f t="shared" si="25"/>
        <v>2820054.9194958336</v>
      </c>
      <c r="JI10" s="120">
        <f t="shared" si="25"/>
        <v>2820054.9194958336</v>
      </c>
      <c r="JJ10" s="120">
        <f t="shared" si="25"/>
        <v>2820054.9194958336</v>
      </c>
      <c r="JK10" s="120">
        <f t="shared" si="25"/>
        <v>2820054.9194958336</v>
      </c>
      <c r="JL10" s="120">
        <f t="shared" si="25"/>
        <v>2820054.9194958336</v>
      </c>
      <c r="JM10" s="120">
        <f t="shared" si="25"/>
        <v>2820054.9194958336</v>
      </c>
      <c r="JN10" s="120">
        <f t="shared" si="25"/>
        <v>2820054.9194958336</v>
      </c>
      <c r="JO10" s="120">
        <f t="shared" si="25"/>
        <v>2820054.9194958336</v>
      </c>
      <c r="JP10" s="120">
        <f t="shared" si="25"/>
        <v>2820054.9194958336</v>
      </c>
      <c r="JQ10" s="120">
        <f t="shared" si="25"/>
        <v>2820054.9194958336</v>
      </c>
      <c r="JR10" s="120">
        <f t="shared" si="25"/>
        <v>2820054.9194958336</v>
      </c>
      <c r="JS10" s="120">
        <f t="shared" si="25"/>
        <v>2820054.9194958336</v>
      </c>
      <c r="JT10" s="120">
        <f t="shared" si="25"/>
        <v>2820054.9194958336</v>
      </c>
      <c r="JU10" s="120">
        <f t="shared" si="25"/>
        <v>2820054.9194958336</v>
      </c>
      <c r="JV10" s="120">
        <f t="shared" si="25"/>
        <v>2820054.9194958336</v>
      </c>
      <c r="JW10" s="120">
        <f t="shared" si="25"/>
        <v>2820054.9194958336</v>
      </c>
      <c r="JX10" s="120">
        <f t="shared" si="25"/>
        <v>2820054.9194958336</v>
      </c>
      <c r="JY10" s="120">
        <f t="shared" si="25"/>
        <v>2820054.9194958336</v>
      </c>
      <c r="JZ10" s="120">
        <f t="shared" si="25"/>
        <v>2820054.9194958336</v>
      </c>
      <c r="KA10" s="120">
        <f t="shared" si="25"/>
        <v>2820054.9194958336</v>
      </c>
      <c r="KB10" s="120">
        <f t="shared" si="25"/>
        <v>2820054.9194958336</v>
      </c>
      <c r="KC10" s="120">
        <f t="shared" si="25"/>
        <v>2820054.9194958336</v>
      </c>
      <c r="KD10" s="120">
        <f t="shared" si="25"/>
        <v>2820054.9194958336</v>
      </c>
      <c r="KE10" s="120">
        <f t="shared" si="25"/>
        <v>2820054.9194958336</v>
      </c>
      <c r="KF10" s="120">
        <f t="shared" si="25"/>
        <v>2820054.9194958336</v>
      </c>
    </row>
    <row r="11" spans="1:770" s="112" customFormat="1">
      <c r="A11" s="801"/>
      <c r="B11" s="121" t="s">
        <v>530</v>
      </c>
      <c r="C11" s="122">
        <f>'Revenue Tracking'!F5</f>
        <v>2684846.6775000002</v>
      </c>
      <c r="D11" s="122">
        <f>SUM(F11:KF11)</f>
        <v>2677596.6775000007</v>
      </c>
      <c r="E11" s="106"/>
      <c r="F11" s="123">
        <f>SUMIFS('Expenditure Breakdown'!$Q$6:$Q$193, 'Expenditure Breakdown'!$W$6:$W$193, "&gt;="&amp;F1,'Expenditure Breakdown'!$W$6:$W$193, "&lt;"&amp;G1)</f>
        <v>0</v>
      </c>
      <c r="G11" s="123">
        <f>SUMIFS('Expenditure Breakdown'!$Q$6:$Q$193, 'Expenditure Breakdown'!$W$6:$W$193, "&gt;="&amp;G1,'Expenditure Breakdown'!$W$6:$W$193, "&lt;"&amp;H1)</f>
        <v>0</v>
      </c>
      <c r="H11" s="123">
        <f>SUMIFS('Expenditure Breakdown'!$Q$6:$Q$193, 'Expenditure Breakdown'!$W$6:$W$193, "&gt;="&amp;H1,'Expenditure Breakdown'!$W$6:$W$193, "&lt;"&amp;I1)</f>
        <v>0</v>
      </c>
      <c r="I11" s="123">
        <f>SUMIFS('Expenditure Breakdown'!$Q$6:$Q$193, 'Expenditure Breakdown'!$W$6:$W$193, "&gt;="&amp;I1,'Expenditure Breakdown'!$W$6:$W$193, "&lt;"&amp;J1)</f>
        <v>0</v>
      </c>
      <c r="J11" s="123">
        <f>SUMIFS('Expenditure Breakdown'!$Q$6:$Q$193, 'Expenditure Breakdown'!$W$6:$W$193, "&gt;="&amp;J1,'Expenditure Breakdown'!$W$6:$W$193, "&lt;"&amp;K1)</f>
        <v>0</v>
      </c>
      <c r="K11" s="123">
        <f>SUMIFS('Expenditure Breakdown'!$Q$6:$Q$193, 'Expenditure Breakdown'!$W$6:$W$193, "&gt;="&amp;K1,'Expenditure Breakdown'!$W$6:$W$193, "&lt;"&amp;L1)</f>
        <v>0</v>
      </c>
      <c r="L11" s="123">
        <f>SUMIFS('Expenditure Breakdown'!$Q$6:$Q$193, 'Expenditure Breakdown'!$W$6:$W$193, "&gt;="&amp;L1,'Expenditure Breakdown'!$W$6:$W$193, "&lt;"&amp;M1)</f>
        <v>0</v>
      </c>
      <c r="M11" s="123">
        <f>SUMIFS('Expenditure Breakdown'!$Q$6:$Q$193, 'Expenditure Breakdown'!$W$6:$W$193, "&gt;="&amp;M1,'Expenditure Breakdown'!$W$6:$W$193, "&lt;"&amp;N1)</f>
        <v>6000</v>
      </c>
      <c r="N11" s="123">
        <f>SUMIFS('Expenditure Breakdown'!$Q$6:$Q$193, 'Expenditure Breakdown'!$W$6:$W$193, "&gt;="&amp;N1,'Expenditure Breakdown'!$W$6:$W$193, "&lt;"&amp;O1)</f>
        <v>112885.63800000002</v>
      </c>
      <c r="O11" s="123">
        <f>SUMIFS('Expenditure Breakdown'!$Q$6:$Q$193, 'Expenditure Breakdown'!$W$6:$W$193, "&gt;="&amp;O1,'Expenditure Breakdown'!$W$6:$W$193, "&lt;"&amp;P1)</f>
        <v>204164.66700000002</v>
      </c>
      <c r="P11" s="123">
        <f>SUMIFS('Expenditure Breakdown'!$Q$6:$Q$193, 'Expenditure Breakdown'!$W$6:$W$193, "&gt;="&amp;P1,'Expenditure Breakdown'!$W$6:$W$193, "&lt;"&amp;Q1)</f>
        <v>29867.095000000001</v>
      </c>
      <c r="Q11" s="123">
        <f>SUMIFS('Expenditure Breakdown'!$Q$6:$Q$193, 'Expenditure Breakdown'!$W$6:$W$193, "&gt;="&amp;Q1,'Expenditure Breakdown'!$W$6:$W$193, "&lt;"&amp;R1)</f>
        <v>70989.17</v>
      </c>
      <c r="R11" s="123">
        <f>SUMIFS('Expenditure Breakdown'!$Q$6:$Q$193, 'Expenditure Breakdown'!$W$6:$W$193, "&gt;="&amp;R1,'Expenditure Breakdown'!$W$6:$W$193, "&lt;"&amp;S1)</f>
        <v>79201</v>
      </c>
      <c r="S11" s="123">
        <f>SUMIFS('Expenditure Breakdown'!$Q$6:$Q$193, 'Expenditure Breakdown'!$W$6:$W$193, "&gt;="&amp;S1,'Expenditure Breakdown'!$W$6:$W$193, "&lt;"&amp;T1)</f>
        <v>273251.47500000003</v>
      </c>
      <c r="T11" s="123">
        <f>SUMIFS('Expenditure Breakdown'!$Q$6:$Q$193, 'Expenditure Breakdown'!$W$6:$W$193, "&gt;="&amp;T1,'Expenditure Breakdown'!$W$6:$W$193, "&lt;"&amp;U1)</f>
        <v>622205.6590000001</v>
      </c>
      <c r="U11" s="123">
        <f>SUMIFS('Expenditure Breakdown'!$Q$6:$Q$193, 'Expenditure Breakdown'!$W$6:$W$193, "&gt;="&amp;U1,'Expenditure Breakdown'!$W$6:$W$193, "&lt;"&amp;V1)</f>
        <v>18524.73</v>
      </c>
      <c r="V11" s="123">
        <f>SUMIFS('Expenditure Breakdown'!$Q$6:$Q$193, 'Expenditure Breakdown'!$W$6:$W$193, "&gt;="&amp;V1,'Expenditure Breakdown'!$W$6:$W$193, "&lt;"&amp;W1)</f>
        <v>877756.79800000018</v>
      </c>
      <c r="W11" s="123">
        <f>SUMIFS('Expenditure Breakdown'!$Q$6:$Q$193, 'Expenditure Breakdown'!$W$6:$W$193, "&gt;="&amp;W1,'Expenditure Breakdown'!$W$6:$W$193, "&lt;"&amp;X1)</f>
        <v>307.94</v>
      </c>
      <c r="X11" s="123">
        <f>SUMIFS('Expenditure Breakdown'!$Q$6:$Q$193, 'Expenditure Breakdown'!$W$6:$W$193, "&gt;="&amp;X1,'Expenditure Breakdown'!$W$6:$W$193, "&lt;"&amp;Y1)</f>
        <v>22773.54</v>
      </c>
      <c r="Y11" s="123">
        <f>SUMIFS('Expenditure Breakdown'!$Q$6:$Q$193, 'Expenditure Breakdown'!$W$6:$W$193, "&gt;="&amp;Y1,'Expenditure Breakdown'!$W$6:$W$193, "&lt;"&amp;Z1)</f>
        <v>75600</v>
      </c>
      <c r="Z11" s="123">
        <f>SUMIFS('Expenditure Breakdown'!$Q$6:$Q$193, 'Expenditure Breakdown'!$W$6:$W$193, "&gt;="&amp;Z1,'Expenditure Breakdown'!$W$6:$W$193, "&lt;"&amp;AA1)</f>
        <v>73287.5</v>
      </c>
      <c r="AA11" s="123">
        <f>SUMIFS('Expenditure Breakdown'!$Q$6:$Q$193, 'Expenditure Breakdown'!$W$6:$W$193, "&gt;="&amp;AA1,'Expenditure Breakdown'!$W$6:$W$193, "&lt;"&amp;AB1)</f>
        <v>7599.0040000000017</v>
      </c>
      <c r="AB11" s="123">
        <f>SUMIFS('Expenditure Breakdown'!$Q$6:$Q$193, 'Expenditure Breakdown'!$W$6:$W$193, "&gt;="&amp;AB1,'Expenditure Breakdown'!$W$6:$W$193, "&lt;"&amp;AC1)</f>
        <v>79884.25</v>
      </c>
      <c r="AC11" s="123">
        <f>SUMIFS('Expenditure Breakdown'!$Q$6:$Q$193, 'Expenditure Breakdown'!$W$6:$W$193, "&gt;="&amp;AC1,'Expenditure Breakdown'!$W$6:$W$193, "&lt;"&amp;AD1)</f>
        <v>19200</v>
      </c>
      <c r="AD11" s="123">
        <f>SUMIFS('Expenditure Breakdown'!$Q$6:$Q$193, 'Expenditure Breakdown'!$W$6:$W$193, "&gt;="&amp;AD1,'Expenditure Breakdown'!$W$6:$W$193, "&lt;"&amp;AE1)</f>
        <v>11573</v>
      </c>
      <c r="AE11" s="123">
        <f>SUMIFS('Expenditure Breakdown'!$Q$6:$Q$193, 'Expenditure Breakdown'!$W$6:$W$193, "&gt;="&amp;AE1,'Expenditure Breakdown'!$W$6:$W$193, "&lt;"&amp;AF1)</f>
        <v>89025.211500000005</v>
      </c>
      <c r="AF11" s="123">
        <f>SUMIFS('Expenditure Breakdown'!$Q$6:$Q$193, 'Expenditure Breakdown'!$W$6:$W$193, "&gt;="&amp;AF1,'Expenditure Breakdown'!$W$6:$W$193, "&lt;"&amp;AG1)</f>
        <v>3500</v>
      </c>
      <c r="AG11" s="123">
        <f>SUMIFS('Expenditure Breakdown'!$Q$6:$Q$193, 'Expenditure Breakdown'!$W$6:$W$193, "&gt;="&amp;AG1,'Expenditure Breakdown'!$W$6:$W$193, "&lt;"&amp;AH1)</f>
        <v>0</v>
      </c>
      <c r="AH11" s="123">
        <f>SUMIFS('Expenditure Breakdown'!$Q$6:$Q$193, 'Expenditure Breakdown'!$W$6:$W$193, "&gt;="&amp;AH1,'Expenditure Breakdown'!$W$6:$W$193, "&lt;"&amp;AI1)</f>
        <v>0</v>
      </c>
      <c r="AI11" s="123">
        <f>SUMIFS('Expenditure Breakdown'!$Q$6:$Q$193, 'Expenditure Breakdown'!$W$6:$W$193, "&gt;="&amp;AI1,'Expenditure Breakdown'!$W$6:$W$193, "&lt;"&amp;AJ1)</f>
        <v>0</v>
      </c>
      <c r="AJ11" s="123">
        <f>SUMIFS('Expenditure Breakdown'!$Q$6:$Q$193, 'Expenditure Breakdown'!$W$6:$W$193, "&gt;="&amp;AJ1,'Expenditure Breakdown'!$W$6:$W$193, "&lt;"&amp;AK1)</f>
        <v>0</v>
      </c>
      <c r="AK11" s="123">
        <f>SUMIFS('Expenditure Breakdown'!$Q$6:$Q$193, 'Expenditure Breakdown'!$W$6:$W$193, "&gt;="&amp;AK1,'Expenditure Breakdown'!$W$6:$W$193, "&lt;"&amp;AL1)</f>
        <v>0</v>
      </c>
      <c r="AL11" s="123">
        <f>SUMIFS('Expenditure Breakdown'!$Q$6:$Q$193, 'Expenditure Breakdown'!$W$6:$W$193, "&gt;="&amp;AL1,'Expenditure Breakdown'!$W$6:$W$193, "&lt;"&amp;AM1)</f>
        <v>0</v>
      </c>
      <c r="AM11" s="123">
        <f>SUMIFS('Expenditure Breakdown'!$Q$6:$Q$193, 'Expenditure Breakdown'!$W$6:$W$193, "&gt;="&amp;AM1,'Expenditure Breakdown'!$W$6:$W$193, "&lt;"&amp;AN1)</f>
        <v>0</v>
      </c>
      <c r="AN11" s="123">
        <f>SUMIFS('Expenditure Breakdown'!$Q$6:$Q$193, 'Expenditure Breakdown'!$W$6:$W$193, "&gt;="&amp;AN1,'Expenditure Breakdown'!$W$6:$W$193, "&lt;"&amp;AO1)</f>
        <v>0</v>
      </c>
      <c r="AO11" s="123">
        <f>SUMIFS('Expenditure Breakdown'!$Q$6:$Q$193, 'Expenditure Breakdown'!$W$6:$W$193, "&gt;="&amp;AO1,'Expenditure Breakdown'!$W$6:$W$193, "&lt;"&amp;AP1)</f>
        <v>0</v>
      </c>
      <c r="AP11" s="123">
        <f>SUMIFS('Expenditure Breakdown'!$Q$6:$Q$193, 'Expenditure Breakdown'!$W$6:$W$193, "&gt;="&amp;AP1,'Expenditure Breakdown'!$W$6:$W$193, "&lt;"&amp;AQ1)</f>
        <v>0</v>
      </c>
      <c r="AQ11" s="123">
        <f>SUMIFS('Expenditure Breakdown'!$Q$6:$Q$193, 'Expenditure Breakdown'!$W$6:$W$193, "&gt;="&amp;AQ1,'Expenditure Breakdown'!$W$6:$W$193, "&lt;"&amp;AR1)</f>
        <v>0</v>
      </c>
      <c r="AR11" s="123">
        <f>SUMIFS('Expenditure Breakdown'!$Q$6:$Q$193, 'Expenditure Breakdown'!$W$6:$W$193, "&gt;="&amp;AR1,'Expenditure Breakdown'!$W$6:$W$193, "&lt;"&amp;AS1)</f>
        <v>0</v>
      </c>
      <c r="AS11" s="123">
        <f>SUMIFS('Expenditure Breakdown'!$Q$6:$Q$193, 'Expenditure Breakdown'!$W$6:$W$193, "&gt;="&amp;AS1,'Expenditure Breakdown'!$W$6:$W$193, "&lt;"&amp;AT1)</f>
        <v>0</v>
      </c>
      <c r="AT11" s="123">
        <f>SUMIFS('Expenditure Breakdown'!$Q$6:$Q$193, 'Expenditure Breakdown'!$W$6:$W$193, "&gt;="&amp;AT1,'Expenditure Breakdown'!$W$6:$W$193, "&lt;"&amp;AU1)</f>
        <v>0</v>
      </c>
      <c r="AU11" s="123">
        <f>SUMIFS('Expenditure Breakdown'!$Q$6:$Q$193, 'Expenditure Breakdown'!$W$6:$W$193, "&gt;="&amp;AU1,'Expenditure Breakdown'!$W$6:$W$193, "&lt;"&amp;AV1)</f>
        <v>0</v>
      </c>
      <c r="AV11" s="123">
        <f>SUMIFS('Expenditure Breakdown'!$Q$6:$Q$193, 'Expenditure Breakdown'!$W$6:$W$193, "&gt;="&amp;AV1,'Expenditure Breakdown'!$W$6:$W$193, "&lt;"&amp;AW1)</f>
        <v>0</v>
      </c>
      <c r="AW11" s="123">
        <f>SUMIFS('Expenditure Breakdown'!$Q$6:$Q$193, 'Expenditure Breakdown'!$W$6:$W$193, "&gt;="&amp;AW1,'Expenditure Breakdown'!$W$6:$W$193, "&lt;"&amp;AX1)</f>
        <v>0</v>
      </c>
      <c r="AX11" s="123">
        <f>SUMIFS('Expenditure Breakdown'!$Q$6:$Q$193, 'Expenditure Breakdown'!$W$6:$W$193, "&gt;="&amp;AX1,'Expenditure Breakdown'!$W$6:$W$193, "&lt;"&amp;AY1)</f>
        <v>0</v>
      </c>
      <c r="AY11" s="123">
        <f>SUMIFS('Expenditure Breakdown'!$Q$6:$Q$193, 'Expenditure Breakdown'!$W$6:$W$193, "&gt;="&amp;AY1,'Expenditure Breakdown'!$W$6:$W$193, "&lt;"&amp;AZ1)</f>
        <v>0</v>
      </c>
      <c r="AZ11" s="123">
        <f>SUMIFS('Expenditure Breakdown'!$Q$6:$Q$193, 'Expenditure Breakdown'!$W$6:$W$193, "&gt;="&amp;AZ1,'Expenditure Breakdown'!$W$6:$W$193, "&lt;"&amp;BA1)</f>
        <v>0</v>
      </c>
      <c r="BA11" s="123">
        <f>SUMIFS('Expenditure Breakdown'!$Q$6:$Q$193, 'Expenditure Breakdown'!$W$6:$W$193, "&gt;="&amp;BA1,'Expenditure Breakdown'!$W$6:$W$193, "&lt;"&amp;BB1)</f>
        <v>0</v>
      </c>
      <c r="BB11" s="123">
        <f>SUMIFS('Expenditure Breakdown'!$Q$6:$Q$193, 'Expenditure Breakdown'!$W$6:$W$193, "&gt;="&amp;BB1,'Expenditure Breakdown'!$W$6:$W$193, "&lt;"&amp;BC1)</f>
        <v>0</v>
      </c>
      <c r="BC11" s="123">
        <f>SUMIFS('Expenditure Breakdown'!$Q$6:$Q$193, 'Expenditure Breakdown'!$W$6:$W$193, "&gt;="&amp;BC1,'Expenditure Breakdown'!$W$6:$W$193, "&lt;"&amp;BD1)</f>
        <v>0</v>
      </c>
      <c r="BD11" s="123">
        <f>SUMIFS('Expenditure Breakdown'!$Q$6:$Q$193, 'Expenditure Breakdown'!$W$6:$W$193, "&gt;="&amp;BD1,'Expenditure Breakdown'!$W$6:$W$193, "&lt;"&amp;BE1)</f>
        <v>0</v>
      </c>
      <c r="BE11" s="123">
        <f>SUMIFS('Expenditure Breakdown'!$Q$6:$Q$193, 'Expenditure Breakdown'!$W$6:$W$193, "&gt;="&amp;BE1,'Expenditure Breakdown'!$W$6:$W$193, "&lt;"&amp;BF1)</f>
        <v>0</v>
      </c>
      <c r="BF11" s="123">
        <f>SUMIFS('Expenditure Breakdown'!$Q$6:$Q$193, 'Expenditure Breakdown'!$W$6:$W$193, "&gt;="&amp;BF1,'Expenditure Breakdown'!$W$6:$W$193, "&lt;"&amp;BG1)</f>
        <v>0</v>
      </c>
      <c r="BG11" s="123">
        <f>SUMIFS('Expenditure Breakdown'!$Q$6:$Q$193, 'Expenditure Breakdown'!$W$6:$W$193, "&gt;="&amp;BG1,'Expenditure Breakdown'!$W$6:$W$193, "&lt;"&amp;BH1)</f>
        <v>0</v>
      </c>
      <c r="BH11" s="123">
        <f>SUMIFS('Expenditure Breakdown'!$Q$6:$Q$193, 'Expenditure Breakdown'!$W$6:$W$193, "&gt;="&amp;BH1,'Expenditure Breakdown'!$W$6:$W$193, "&lt;"&amp;BI1)</f>
        <v>0</v>
      </c>
      <c r="BI11" s="123">
        <f>SUMIFS('Expenditure Breakdown'!$Q$6:$Q$193, 'Expenditure Breakdown'!$W$6:$W$193, "&gt;="&amp;BI1,'Expenditure Breakdown'!$W$6:$W$193, "&lt;"&amp;BJ1)</f>
        <v>0</v>
      </c>
      <c r="BJ11" s="123">
        <f>SUMIFS('Expenditure Breakdown'!$Q$6:$Q$193, 'Expenditure Breakdown'!$W$6:$W$193, "&gt;="&amp;BJ1,'Expenditure Breakdown'!$W$6:$W$193, "&lt;"&amp;BK1)</f>
        <v>0</v>
      </c>
      <c r="BK11" s="123">
        <f>SUMIFS('Expenditure Breakdown'!$Q$6:$Q$193, 'Expenditure Breakdown'!$W$6:$W$193, "&gt;="&amp;BK1,'Expenditure Breakdown'!$W$6:$W$193, "&lt;"&amp;BL1)</f>
        <v>0</v>
      </c>
      <c r="BL11" s="123">
        <f>SUMIFS('Expenditure Breakdown'!$Q$6:$Q$193, 'Expenditure Breakdown'!$W$6:$W$193, "&gt;="&amp;BL1,'Expenditure Breakdown'!$W$6:$W$193, "&lt;"&amp;BM1)</f>
        <v>0</v>
      </c>
      <c r="BM11" s="123">
        <f>SUMIFS('Expenditure Breakdown'!$Q$6:$Q$193, 'Expenditure Breakdown'!$W$6:$W$193, "&gt;="&amp;BM1,'Expenditure Breakdown'!$W$6:$W$193, "&lt;"&amp;BN1)</f>
        <v>0</v>
      </c>
      <c r="BN11" s="123">
        <f>SUMIFS('Expenditure Breakdown'!$Q$6:$Q$193, 'Expenditure Breakdown'!$W$6:$W$193, "&gt;="&amp;BN1,'Expenditure Breakdown'!$W$6:$W$193, "&lt;"&amp;BO1)</f>
        <v>0</v>
      </c>
      <c r="BO11" s="123">
        <f>SUMIFS('Expenditure Breakdown'!$Q$6:$Q$193, 'Expenditure Breakdown'!$W$6:$W$193, "&gt;="&amp;BO1,'Expenditure Breakdown'!$W$6:$W$193, "&lt;"&amp;BP1)</f>
        <v>0</v>
      </c>
      <c r="BP11" s="123">
        <f>SUMIFS('Expenditure Breakdown'!$Q$6:$Q$193, 'Expenditure Breakdown'!$W$6:$W$193, "&gt;="&amp;BP1,'Expenditure Breakdown'!$W$6:$W$193, "&lt;"&amp;BQ1)</f>
        <v>0</v>
      </c>
      <c r="BQ11" s="123">
        <f>SUMIFS('Expenditure Breakdown'!$Q$6:$Q$193, 'Expenditure Breakdown'!$W$6:$W$193, "&gt;="&amp;BQ1,'Expenditure Breakdown'!$W$6:$W$193, "&lt;"&amp;BR1)</f>
        <v>0</v>
      </c>
      <c r="BR11" s="123">
        <f>SUMIFS('Expenditure Breakdown'!$Q$6:$Q$193, 'Expenditure Breakdown'!$W$6:$W$193, "&gt;="&amp;BR1,'Expenditure Breakdown'!$W$6:$W$193, "&lt;"&amp;BS1)</f>
        <v>0</v>
      </c>
      <c r="BS11" s="123">
        <f>SUMIFS('Expenditure Breakdown'!$Q$6:$Q$193, 'Expenditure Breakdown'!$W$6:$W$193, "&gt;="&amp;BS1,'Expenditure Breakdown'!$W$6:$W$193, "&lt;"&amp;BT1)</f>
        <v>0</v>
      </c>
      <c r="BT11" s="123">
        <f>SUMIFS('Expenditure Breakdown'!$Q$6:$Q$193, 'Expenditure Breakdown'!$W$6:$W$193, "&gt;="&amp;BT1,'Expenditure Breakdown'!$W$6:$W$193, "&lt;"&amp;BU1)</f>
        <v>0</v>
      </c>
      <c r="BU11" s="123">
        <f>SUMIFS('Expenditure Breakdown'!$Q$6:$Q$193, 'Expenditure Breakdown'!$W$6:$W$193, "&gt;="&amp;BU1,'Expenditure Breakdown'!$W$6:$W$193, "&lt;"&amp;BV1)</f>
        <v>0</v>
      </c>
      <c r="BV11" s="123">
        <f>SUMIFS('Expenditure Breakdown'!$Q$6:$Q$193, 'Expenditure Breakdown'!$W$6:$W$193, "&gt;="&amp;BV1,'Expenditure Breakdown'!$W$6:$W$193, "&lt;"&amp;BW1)</f>
        <v>0</v>
      </c>
      <c r="BW11" s="123">
        <f>SUMIFS('Expenditure Breakdown'!$Q$6:$Q$193, 'Expenditure Breakdown'!$W$6:$W$193, "&gt;="&amp;BW1,'Expenditure Breakdown'!$W$6:$W$193, "&lt;"&amp;BX1)</f>
        <v>0</v>
      </c>
      <c r="BX11" s="123">
        <f>SUMIFS('Expenditure Breakdown'!$Q$6:$Q$193, 'Expenditure Breakdown'!$W$6:$W$193, "&gt;="&amp;BX1,'Expenditure Breakdown'!$W$6:$W$193, "&lt;"&amp;BY1)</f>
        <v>0</v>
      </c>
      <c r="BY11" s="123">
        <f>SUMIFS('Expenditure Breakdown'!$Q$6:$Q$193, 'Expenditure Breakdown'!$W$6:$W$193, "&gt;="&amp;BY1,'Expenditure Breakdown'!$W$6:$W$193, "&lt;"&amp;BZ1)</f>
        <v>0</v>
      </c>
      <c r="BZ11" s="123">
        <f>SUMIFS('Expenditure Breakdown'!$Q$6:$Q$193, 'Expenditure Breakdown'!$W$6:$W$193, "&gt;="&amp;BZ1,'Expenditure Breakdown'!$W$6:$W$193, "&lt;"&amp;CA1)</f>
        <v>0</v>
      </c>
      <c r="CA11" s="123">
        <f>SUMIFS('Expenditure Breakdown'!$Q$6:$Q$193, 'Expenditure Breakdown'!$W$6:$W$193, "&gt;="&amp;CA1,'Expenditure Breakdown'!$W$6:$W$193, "&lt;"&amp;CB1)</f>
        <v>0</v>
      </c>
      <c r="CB11" s="123">
        <f>SUMIFS('Expenditure Breakdown'!$Q$6:$Q$193, 'Expenditure Breakdown'!$W$6:$W$193, "&gt;="&amp;CB1,'Expenditure Breakdown'!$W$6:$W$193, "&lt;"&amp;CC1)</f>
        <v>0</v>
      </c>
      <c r="CC11" s="123">
        <f>SUMIFS('Expenditure Breakdown'!$Q$6:$Q$193, 'Expenditure Breakdown'!$W$6:$W$193, "&gt;="&amp;CC1,'Expenditure Breakdown'!$W$6:$W$193, "&lt;"&amp;CD1)</f>
        <v>0</v>
      </c>
      <c r="CD11" s="123">
        <f>SUMIFS('Expenditure Breakdown'!$Q$6:$Q$193, 'Expenditure Breakdown'!$W$6:$W$193, "&gt;="&amp;CD1,'Expenditure Breakdown'!$W$6:$W$193, "&lt;"&amp;CE1)</f>
        <v>0</v>
      </c>
      <c r="CE11" s="123">
        <f>SUMIFS('Expenditure Breakdown'!$Q$6:$Q$193, 'Expenditure Breakdown'!$W$6:$W$193, "&gt;="&amp;CE1,'Expenditure Breakdown'!$W$6:$W$193, "&lt;"&amp;CF1)</f>
        <v>0</v>
      </c>
      <c r="CF11" s="123">
        <f>SUMIFS('Expenditure Breakdown'!$Q$6:$Q$193, 'Expenditure Breakdown'!$W$6:$W$193, "&gt;="&amp;CF1,'Expenditure Breakdown'!$W$6:$W$193, "&lt;"&amp;CG1)</f>
        <v>0</v>
      </c>
      <c r="CG11" s="123">
        <f>SUMIFS('Expenditure Breakdown'!$Q$6:$Q$193, 'Expenditure Breakdown'!$W$6:$W$193, "&gt;="&amp;CG1,'Expenditure Breakdown'!$W$6:$W$193, "&lt;"&amp;CH1)</f>
        <v>0</v>
      </c>
      <c r="CH11" s="123">
        <f>SUMIFS('Expenditure Breakdown'!$Q$6:$Q$193, 'Expenditure Breakdown'!$W$6:$W$193, "&gt;="&amp;CH1,'Expenditure Breakdown'!$W$6:$W$193, "&lt;"&amp;CI1)</f>
        <v>0</v>
      </c>
      <c r="CI11" s="123">
        <f>SUMIFS('Expenditure Breakdown'!$Q$6:$Q$193, 'Expenditure Breakdown'!$W$6:$W$193, "&gt;="&amp;CI1,'Expenditure Breakdown'!$W$6:$W$193, "&lt;"&amp;CJ1)</f>
        <v>0</v>
      </c>
      <c r="CJ11" s="123">
        <f>SUMIFS('Expenditure Breakdown'!$Q$6:$Q$193, 'Expenditure Breakdown'!$W$6:$W$193, "&gt;="&amp;CJ1,'Expenditure Breakdown'!$W$6:$W$193, "&lt;"&amp;CK1)</f>
        <v>0</v>
      </c>
      <c r="CK11" s="123">
        <f>SUMIFS('Expenditure Breakdown'!$Q$6:$Q$193, 'Expenditure Breakdown'!$W$6:$W$193, "&gt;="&amp;CK1,'Expenditure Breakdown'!$W$6:$W$193, "&lt;"&amp;CL1)</f>
        <v>0</v>
      </c>
      <c r="CL11" s="123">
        <f>SUMIFS('Expenditure Breakdown'!$Q$6:$Q$193, 'Expenditure Breakdown'!$W$6:$W$193, "&gt;="&amp;CL1,'Expenditure Breakdown'!$W$6:$W$193, "&lt;"&amp;CM1)</f>
        <v>0</v>
      </c>
      <c r="CM11" s="123">
        <f>SUMIFS('Expenditure Breakdown'!$Q$6:$Q$193, 'Expenditure Breakdown'!$W$6:$W$193, "&gt;="&amp;CM1,'Expenditure Breakdown'!$W$6:$W$193, "&lt;"&amp;CN1)</f>
        <v>0</v>
      </c>
      <c r="CN11" s="123">
        <f>SUMIFS('Expenditure Breakdown'!$Q$6:$Q$193, 'Expenditure Breakdown'!$W$6:$W$193, "&gt;="&amp;CN1,'Expenditure Breakdown'!$W$6:$W$193, "&lt;"&amp;CO1)</f>
        <v>0</v>
      </c>
      <c r="CO11" s="123">
        <f>SUMIFS('Expenditure Breakdown'!$Q$6:$Q$193, 'Expenditure Breakdown'!$W$6:$W$193, "&gt;="&amp;CO1,'Expenditure Breakdown'!$W$6:$W$193, "&lt;"&amp;CP1)</f>
        <v>0</v>
      </c>
      <c r="CP11" s="123">
        <f>SUMIFS('Expenditure Breakdown'!$Q$6:$Q$193, 'Expenditure Breakdown'!$W$6:$W$193, "&gt;="&amp;CP1,'Expenditure Breakdown'!$W$6:$W$193, "&lt;"&amp;CQ1)</f>
        <v>0</v>
      </c>
      <c r="CQ11" s="123">
        <f>SUMIFS('Expenditure Breakdown'!$Q$6:$Q$193, 'Expenditure Breakdown'!$W$6:$W$193, "&gt;="&amp;CQ1,'Expenditure Breakdown'!$W$6:$W$193, "&lt;"&amp;CR1)</f>
        <v>0</v>
      </c>
      <c r="CR11" s="123">
        <f>SUMIFS('Expenditure Breakdown'!$Q$6:$Q$193, 'Expenditure Breakdown'!$W$6:$W$193, "&gt;="&amp;CR1,'Expenditure Breakdown'!$W$6:$W$193, "&lt;"&amp;CS1)</f>
        <v>0</v>
      </c>
      <c r="CS11" s="123">
        <f>SUMIFS('Expenditure Breakdown'!$Q$6:$Q$193, 'Expenditure Breakdown'!$W$6:$W$193, "&gt;="&amp;CS1,'Expenditure Breakdown'!$W$6:$W$193, "&lt;"&amp;CT1)</f>
        <v>0</v>
      </c>
      <c r="CT11" s="123">
        <f>SUMIFS('Expenditure Breakdown'!$Q$6:$Q$193, 'Expenditure Breakdown'!$W$6:$W$193, "&gt;="&amp;CT1,'Expenditure Breakdown'!$W$6:$W$193, "&lt;"&amp;CU1)</f>
        <v>0</v>
      </c>
      <c r="CU11" s="123">
        <f>SUMIFS('Expenditure Breakdown'!$Q$6:$Q$193, 'Expenditure Breakdown'!$W$6:$W$193, "&gt;="&amp;CU1,'Expenditure Breakdown'!$W$6:$W$193, "&lt;"&amp;CV1)</f>
        <v>0</v>
      </c>
      <c r="CV11" s="123">
        <f>SUMIFS('Expenditure Breakdown'!$Q$6:$Q$193, 'Expenditure Breakdown'!$W$6:$W$193, "&gt;="&amp;CV1,'Expenditure Breakdown'!$W$6:$W$193, "&lt;"&amp;CW1)</f>
        <v>0</v>
      </c>
      <c r="CW11" s="123">
        <f>SUMIFS('Expenditure Breakdown'!$Q$6:$Q$193, 'Expenditure Breakdown'!$W$6:$W$193, "&gt;="&amp;CW1,'Expenditure Breakdown'!$W$6:$W$193, "&lt;"&amp;CX1)</f>
        <v>0</v>
      </c>
      <c r="CX11" s="123">
        <f>SUMIFS('Expenditure Breakdown'!$Q$6:$Q$193, 'Expenditure Breakdown'!$W$6:$W$193, "&gt;="&amp;CX1,'Expenditure Breakdown'!$W$6:$W$193, "&lt;"&amp;CY1)</f>
        <v>0</v>
      </c>
      <c r="CY11" s="123">
        <f>SUMIFS('Expenditure Breakdown'!$Q$6:$Q$193, 'Expenditure Breakdown'!$W$6:$W$193, "&gt;="&amp;CY1,'Expenditure Breakdown'!$W$6:$W$193, "&lt;"&amp;CZ1)</f>
        <v>0</v>
      </c>
      <c r="CZ11" s="123">
        <f>SUMIFS('Expenditure Breakdown'!$Q$6:$Q$193, 'Expenditure Breakdown'!$W$6:$W$193, "&gt;="&amp;CZ1,'Expenditure Breakdown'!$W$6:$W$193, "&lt;"&amp;DA1)</f>
        <v>0</v>
      </c>
      <c r="DA11" s="123">
        <f>SUMIFS('Expenditure Breakdown'!$Q$6:$Q$193, 'Expenditure Breakdown'!$W$6:$W$193, "&gt;="&amp;DA1,'Expenditure Breakdown'!$W$6:$W$193, "&lt;"&amp;DB1)</f>
        <v>0</v>
      </c>
      <c r="DB11" s="123">
        <f>SUMIFS('Expenditure Breakdown'!$Q$6:$Q$193, 'Expenditure Breakdown'!$W$6:$W$193, "&gt;="&amp;DB1,'Expenditure Breakdown'!$W$6:$W$193, "&lt;"&amp;DC1)</f>
        <v>0</v>
      </c>
      <c r="DC11" s="123">
        <f>SUMIFS('Expenditure Breakdown'!$Q$6:$Q$193, 'Expenditure Breakdown'!$W$6:$W$193, "&gt;="&amp;DC1,'Expenditure Breakdown'!$W$6:$W$193, "&lt;"&amp;DD1)</f>
        <v>0</v>
      </c>
      <c r="DD11" s="123">
        <f>SUMIFS('Expenditure Breakdown'!$Q$6:$Q$193, 'Expenditure Breakdown'!$W$6:$W$193, "&gt;="&amp;DD1,'Expenditure Breakdown'!$W$6:$W$193, "&lt;"&amp;DE1)</f>
        <v>0</v>
      </c>
      <c r="DE11" s="123">
        <f>SUMIFS('Expenditure Breakdown'!$Q$6:$Q$193, 'Expenditure Breakdown'!$W$6:$W$193, "&gt;="&amp;DE1,'Expenditure Breakdown'!$W$6:$W$193, "&lt;"&amp;DF1)</f>
        <v>0</v>
      </c>
      <c r="DF11" s="123">
        <f>SUMIFS('Expenditure Breakdown'!$Q$6:$Q$193, 'Expenditure Breakdown'!$W$6:$W$193, "&gt;="&amp;DF1,'Expenditure Breakdown'!$W$6:$W$193, "&lt;"&amp;DG1)</f>
        <v>0</v>
      </c>
      <c r="DG11" s="123">
        <f>SUMIFS('Expenditure Breakdown'!$Q$6:$Q$193, 'Expenditure Breakdown'!$W$6:$W$193, "&gt;="&amp;DG1,'Expenditure Breakdown'!$W$6:$W$193, "&lt;"&amp;DH1)</f>
        <v>0</v>
      </c>
      <c r="DH11" s="123">
        <f>SUMIFS('Expenditure Breakdown'!$Q$6:$Q$193, 'Expenditure Breakdown'!$W$6:$W$193, "&gt;="&amp;DH1,'Expenditure Breakdown'!$W$6:$W$193, "&lt;"&amp;DI1)</f>
        <v>0</v>
      </c>
      <c r="DI11" s="123">
        <f>SUMIFS('Expenditure Breakdown'!$Q$6:$Q$193, 'Expenditure Breakdown'!$W$6:$W$193, "&gt;="&amp;DI1,'Expenditure Breakdown'!$W$6:$W$193, "&lt;"&amp;DJ1)</f>
        <v>0</v>
      </c>
      <c r="DJ11" s="123">
        <f>SUMIFS('Expenditure Breakdown'!$Q$6:$Q$193, 'Expenditure Breakdown'!$W$6:$W$193, "&gt;="&amp;DJ1,'Expenditure Breakdown'!$W$6:$W$193, "&lt;"&amp;DK1)</f>
        <v>0</v>
      </c>
      <c r="DK11" s="123">
        <f>SUMIFS('Expenditure Breakdown'!$Q$6:$Q$193, 'Expenditure Breakdown'!$W$6:$W$193, "&gt;="&amp;DK1,'Expenditure Breakdown'!$W$6:$W$193, "&lt;"&amp;DL1)</f>
        <v>0</v>
      </c>
      <c r="DL11" s="123">
        <f>SUMIFS('Expenditure Breakdown'!$Q$6:$Q$193, 'Expenditure Breakdown'!$W$6:$W$193, "&gt;="&amp;DL1,'Expenditure Breakdown'!$W$6:$W$193, "&lt;"&amp;DM1)</f>
        <v>0</v>
      </c>
      <c r="DM11" s="123">
        <f>SUMIFS('Expenditure Breakdown'!$Q$6:$Q$193, 'Expenditure Breakdown'!$W$6:$W$193, "&gt;="&amp;DM1,'Expenditure Breakdown'!$W$6:$W$193, "&lt;"&amp;DN1)</f>
        <v>0</v>
      </c>
      <c r="DN11" s="123">
        <f>SUMIFS('Expenditure Breakdown'!$Q$6:$Q$193, 'Expenditure Breakdown'!$W$6:$W$193, "&gt;="&amp;DN1,'Expenditure Breakdown'!$W$6:$W$193, "&lt;"&amp;DO1)</f>
        <v>0</v>
      </c>
      <c r="DO11" s="123">
        <f>SUMIFS('Expenditure Breakdown'!$Q$6:$Q$193, 'Expenditure Breakdown'!$W$6:$W$193, "&gt;="&amp;DO1,'Expenditure Breakdown'!$W$6:$W$193, "&lt;"&amp;DP1)</f>
        <v>0</v>
      </c>
      <c r="DP11" s="123">
        <f>SUMIFS('Expenditure Breakdown'!$Q$6:$Q$193, 'Expenditure Breakdown'!$W$6:$W$193, "&gt;="&amp;DP1,'Expenditure Breakdown'!$W$6:$W$193, "&lt;"&amp;DQ1)</f>
        <v>0</v>
      </c>
      <c r="DQ11" s="123">
        <f>SUMIFS('Expenditure Breakdown'!$Q$6:$Q$193, 'Expenditure Breakdown'!$W$6:$W$193, "&gt;="&amp;DQ1,'Expenditure Breakdown'!$W$6:$W$193, "&lt;"&amp;DR1)</f>
        <v>0</v>
      </c>
      <c r="DR11" s="123">
        <f>SUMIFS('Expenditure Breakdown'!$Q$6:$Q$193, 'Expenditure Breakdown'!$W$6:$W$193, "&gt;="&amp;DR1,'Expenditure Breakdown'!$W$6:$W$193, "&lt;"&amp;DS1)</f>
        <v>0</v>
      </c>
      <c r="DS11" s="123">
        <f>SUMIFS('Expenditure Breakdown'!$Q$6:$Q$193, 'Expenditure Breakdown'!$W$6:$W$193, "&gt;="&amp;DS1,'Expenditure Breakdown'!$W$6:$W$193, "&lt;"&amp;DT1)</f>
        <v>0</v>
      </c>
      <c r="DT11" s="123">
        <f>SUMIFS('Expenditure Breakdown'!$Q$6:$Q$193, 'Expenditure Breakdown'!$W$6:$W$193, "&gt;="&amp;DT1,'Expenditure Breakdown'!$W$6:$W$193, "&lt;"&amp;DU1)</f>
        <v>0</v>
      </c>
      <c r="DU11" s="123">
        <f>SUMIFS('Expenditure Breakdown'!$Q$6:$Q$193, 'Expenditure Breakdown'!$W$6:$W$193, "&gt;="&amp;DU1,'Expenditure Breakdown'!$W$6:$W$193, "&lt;"&amp;DV1)</f>
        <v>0</v>
      </c>
      <c r="DV11" s="123">
        <f>SUMIFS('Expenditure Breakdown'!$Q$6:$Q$193, 'Expenditure Breakdown'!$W$6:$W$193, "&gt;="&amp;DV1,'Expenditure Breakdown'!$W$6:$W$193, "&lt;"&amp;DW1)</f>
        <v>0</v>
      </c>
      <c r="DW11" s="123">
        <f>SUMIFS('Expenditure Breakdown'!$Q$6:$Q$193, 'Expenditure Breakdown'!$W$6:$W$193, "&gt;="&amp;DW1,'Expenditure Breakdown'!$W$6:$W$193, "&lt;"&amp;DX1)</f>
        <v>0</v>
      </c>
      <c r="DX11" s="123">
        <f>SUMIFS('Expenditure Breakdown'!$Q$6:$Q$193, 'Expenditure Breakdown'!$W$6:$W$193, "&gt;="&amp;DX1,'Expenditure Breakdown'!$W$6:$W$193, "&lt;"&amp;DY1)</f>
        <v>0</v>
      </c>
      <c r="DY11" s="123">
        <f>SUMIFS('Expenditure Breakdown'!$Q$6:$Q$193, 'Expenditure Breakdown'!$W$6:$W$193, "&gt;="&amp;DY1,'Expenditure Breakdown'!$W$6:$W$193, "&lt;"&amp;DZ1)</f>
        <v>0</v>
      </c>
      <c r="DZ11" s="123">
        <f>SUMIFS('Expenditure Breakdown'!$Q$6:$Q$193, 'Expenditure Breakdown'!$W$6:$W$193, "&gt;="&amp;DZ1,'Expenditure Breakdown'!$W$6:$W$193, "&lt;"&amp;EA1)</f>
        <v>0</v>
      </c>
      <c r="EA11" s="123">
        <f>SUMIFS('Expenditure Breakdown'!$Q$6:$Q$193, 'Expenditure Breakdown'!$W$6:$W$193, "&gt;="&amp;EA1,'Expenditure Breakdown'!$W$6:$W$193, "&lt;"&amp;EB1)</f>
        <v>0</v>
      </c>
      <c r="EB11" s="123">
        <f>SUMIFS('Expenditure Breakdown'!$Q$6:$Q$193, 'Expenditure Breakdown'!$W$6:$W$193, "&gt;="&amp;EB1,'Expenditure Breakdown'!$W$6:$W$193, "&lt;"&amp;EC1)</f>
        <v>0</v>
      </c>
      <c r="EC11" s="123">
        <f>SUMIFS('Expenditure Breakdown'!$Q$6:$Q$193, 'Expenditure Breakdown'!$W$6:$W$193, "&gt;="&amp;EC1,'Expenditure Breakdown'!$W$6:$W$193, "&lt;"&amp;ED1)</f>
        <v>0</v>
      </c>
      <c r="ED11" s="123">
        <f>SUMIFS('Expenditure Breakdown'!$Q$6:$Q$193, 'Expenditure Breakdown'!$W$6:$W$193, "&gt;="&amp;ED1,'Expenditure Breakdown'!$W$6:$W$193, "&lt;"&amp;EE1)</f>
        <v>0</v>
      </c>
      <c r="EE11" s="123">
        <f>SUMIFS('Expenditure Breakdown'!$Q$6:$Q$193, 'Expenditure Breakdown'!$W$6:$W$193, "&gt;="&amp;EE1,'Expenditure Breakdown'!$W$6:$W$193, "&lt;"&amp;EF1)</f>
        <v>0</v>
      </c>
      <c r="EF11" s="123">
        <f>SUMIFS('Expenditure Breakdown'!$Q$6:$Q$193, 'Expenditure Breakdown'!$W$6:$W$193, "&gt;="&amp;EF1,'Expenditure Breakdown'!$W$6:$W$193, "&lt;"&amp;EG1)</f>
        <v>0</v>
      </c>
      <c r="EG11" s="123">
        <f>SUMIFS('Expenditure Breakdown'!$Q$6:$Q$193, 'Expenditure Breakdown'!$W$6:$W$193, "&gt;="&amp;EG1,'Expenditure Breakdown'!$W$6:$W$193, "&lt;"&amp;EH1)</f>
        <v>0</v>
      </c>
      <c r="EH11" s="123">
        <f>SUMIFS('Expenditure Breakdown'!$Q$6:$Q$193, 'Expenditure Breakdown'!$W$6:$W$193, "&gt;="&amp;EH1,'Expenditure Breakdown'!$W$6:$W$193, "&lt;"&amp;EI1)</f>
        <v>0</v>
      </c>
      <c r="EI11" s="123">
        <f>SUMIFS('Expenditure Breakdown'!$Q$6:$Q$193, 'Expenditure Breakdown'!$W$6:$W$193, "&gt;="&amp;EI1,'Expenditure Breakdown'!$W$6:$W$193, "&lt;"&amp;EJ1)</f>
        <v>0</v>
      </c>
      <c r="EJ11" s="123">
        <f>SUMIFS('Expenditure Breakdown'!$Q$6:$Q$193, 'Expenditure Breakdown'!$W$6:$W$193, "&gt;="&amp;EJ1,'Expenditure Breakdown'!$W$6:$W$193, "&lt;"&amp;EK1)</f>
        <v>0</v>
      </c>
      <c r="EK11" s="123">
        <f>SUMIFS('Expenditure Breakdown'!$Q$6:$Q$193, 'Expenditure Breakdown'!$W$6:$W$193, "&gt;="&amp;EK1,'Expenditure Breakdown'!$W$6:$W$193, "&lt;"&amp;EL1)</f>
        <v>0</v>
      </c>
      <c r="EL11" s="123">
        <f>SUMIFS('Expenditure Breakdown'!$Q$6:$Q$193, 'Expenditure Breakdown'!$W$6:$W$193, "&gt;="&amp;EL1,'Expenditure Breakdown'!$W$6:$W$193, "&lt;"&amp;EM1)</f>
        <v>0</v>
      </c>
      <c r="EM11" s="123">
        <f>SUMIFS('Expenditure Breakdown'!$Q$6:$Q$193, 'Expenditure Breakdown'!$W$6:$W$193, "&gt;="&amp;EM1,'Expenditure Breakdown'!$W$6:$W$193, "&lt;"&amp;EN1)</f>
        <v>0</v>
      </c>
      <c r="EN11" s="123">
        <f>SUMIFS('Expenditure Breakdown'!$Q$6:$Q$193, 'Expenditure Breakdown'!$W$6:$W$193, "&gt;="&amp;EN1,'Expenditure Breakdown'!$W$6:$W$193, "&lt;"&amp;EO1)</f>
        <v>0</v>
      </c>
      <c r="EO11" s="123">
        <f>SUMIFS('Expenditure Breakdown'!$Q$6:$Q$193, 'Expenditure Breakdown'!$W$6:$W$193, "&gt;="&amp;EO1,'Expenditure Breakdown'!$W$6:$W$193, "&lt;"&amp;EP1)</f>
        <v>0</v>
      </c>
      <c r="EP11" s="123">
        <f>SUMIFS('Expenditure Breakdown'!$Q$6:$Q$193, 'Expenditure Breakdown'!$W$6:$W$193, "&gt;="&amp;EP1,'Expenditure Breakdown'!$W$6:$W$193, "&lt;"&amp;EQ1)</f>
        <v>0</v>
      </c>
      <c r="EQ11" s="123">
        <f>SUMIFS('Expenditure Breakdown'!$Q$6:$Q$193, 'Expenditure Breakdown'!$W$6:$W$193, "&gt;="&amp;EQ1,'Expenditure Breakdown'!$W$6:$W$193, "&lt;"&amp;ER1)</f>
        <v>0</v>
      </c>
      <c r="ER11" s="123">
        <f>SUMIFS('Expenditure Breakdown'!$Q$6:$Q$193, 'Expenditure Breakdown'!$W$6:$W$193, "&gt;="&amp;ER1,'Expenditure Breakdown'!$W$6:$W$193, "&lt;"&amp;ES1)</f>
        <v>0</v>
      </c>
      <c r="ES11" s="123">
        <f>SUMIFS('Expenditure Breakdown'!$Q$6:$Q$193, 'Expenditure Breakdown'!$W$6:$W$193, "&gt;="&amp;ES1,'Expenditure Breakdown'!$W$6:$W$193, "&lt;"&amp;ET1)</f>
        <v>0</v>
      </c>
      <c r="ET11" s="123">
        <f>SUMIFS('Expenditure Breakdown'!$Q$6:$Q$193, 'Expenditure Breakdown'!$W$6:$W$193, "&gt;="&amp;ET1,'Expenditure Breakdown'!$W$6:$W$193, "&lt;"&amp;EU1)</f>
        <v>0</v>
      </c>
      <c r="EU11" s="123">
        <f>SUMIFS('Expenditure Breakdown'!$Q$6:$Q$193, 'Expenditure Breakdown'!$W$6:$W$193, "&gt;="&amp;EU1,'Expenditure Breakdown'!$W$6:$W$193, "&lt;"&amp;EV1)</f>
        <v>0</v>
      </c>
      <c r="EV11" s="123">
        <f>SUMIFS('Expenditure Breakdown'!$Q$6:$Q$193, 'Expenditure Breakdown'!$W$6:$W$193, "&gt;="&amp;EV1,'Expenditure Breakdown'!$W$6:$W$193, "&lt;"&amp;EW1)</f>
        <v>0</v>
      </c>
      <c r="EW11" s="123">
        <f>SUMIFS('Expenditure Breakdown'!$Q$6:$Q$193, 'Expenditure Breakdown'!$W$6:$W$193, "&gt;="&amp;EW1,'Expenditure Breakdown'!$W$6:$W$193, "&lt;"&amp;EX1)</f>
        <v>0</v>
      </c>
      <c r="EX11" s="123">
        <f>SUMIFS('Expenditure Breakdown'!$Q$6:$Q$193, 'Expenditure Breakdown'!$W$6:$W$193, "&gt;="&amp;EX1,'Expenditure Breakdown'!$W$6:$W$193, "&lt;"&amp;EY1)</f>
        <v>0</v>
      </c>
      <c r="EY11" s="123">
        <f>SUMIFS('Expenditure Breakdown'!$Q$6:$Q$193, 'Expenditure Breakdown'!$W$6:$W$193, "&gt;="&amp;EY1,'Expenditure Breakdown'!$W$6:$W$193, "&lt;"&amp;EZ1)</f>
        <v>0</v>
      </c>
      <c r="EZ11" s="123">
        <f>SUMIFS('Expenditure Breakdown'!$Q$6:$Q$193, 'Expenditure Breakdown'!$W$6:$W$193, "&gt;="&amp;EZ1,'Expenditure Breakdown'!$W$6:$W$193, "&lt;"&amp;FA1)</f>
        <v>0</v>
      </c>
      <c r="FA11" s="123">
        <f>SUMIFS('Expenditure Breakdown'!$Q$6:$Q$193, 'Expenditure Breakdown'!$W$6:$W$193, "&gt;="&amp;FA1,'Expenditure Breakdown'!$W$6:$W$193, "&lt;"&amp;FB1)</f>
        <v>0</v>
      </c>
      <c r="FB11" s="123">
        <f>SUMIFS('Expenditure Breakdown'!$Q$6:$Q$193, 'Expenditure Breakdown'!$W$6:$W$193, "&gt;="&amp;FB1,'Expenditure Breakdown'!$W$6:$W$193, "&lt;"&amp;FC1)</f>
        <v>0</v>
      </c>
      <c r="FC11" s="123">
        <f>SUMIFS('Expenditure Breakdown'!$Q$6:$Q$193, 'Expenditure Breakdown'!$W$6:$W$193, "&gt;="&amp;FC1,'Expenditure Breakdown'!$W$6:$W$193, "&lt;"&amp;FD1)</f>
        <v>0</v>
      </c>
      <c r="FD11" s="123">
        <f>SUMIFS('Expenditure Breakdown'!$Q$6:$Q$193, 'Expenditure Breakdown'!$W$6:$W$193, "&gt;="&amp;FD1,'Expenditure Breakdown'!$W$6:$W$193, "&lt;"&amp;FE1)</f>
        <v>0</v>
      </c>
      <c r="FE11" s="123">
        <f>SUMIFS('Expenditure Breakdown'!$Q$6:$Q$193, 'Expenditure Breakdown'!$W$6:$W$193, "&gt;="&amp;FE1,'Expenditure Breakdown'!$W$6:$W$193, "&lt;"&amp;FF1)</f>
        <v>0</v>
      </c>
      <c r="FF11" s="123">
        <f>SUMIFS('Expenditure Breakdown'!$Q$6:$Q$193, 'Expenditure Breakdown'!$W$6:$W$193, "&gt;="&amp;FF1,'Expenditure Breakdown'!$W$6:$W$193, "&lt;"&amp;FG1)</f>
        <v>0</v>
      </c>
      <c r="FG11" s="123">
        <f>SUMIFS('Expenditure Breakdown'!$Q$6:$Q$193, 'Expenditure Breakdown'!$W$6:$W$193, "&gt;="&amp;FG1,'Expenditure Breakdown'!$W$6:$W$193, "&lt;"&amp;FH1)</f>
        <v>0</v>
      </c>
      <c r="FH11" s="123">
        <f>SUMIFS('Expenditure Breakdown'!$Q$6:$Q$193, 'Expenditure Breakdown'!$W$6:$W$193, "&gt;="&amp;FH1,'Expenditure Breakdown'!$W$6:$W$193, "&lt;"&amp;FI1)</f>
        <v>0</v>
      </c>
      <c r="FI11" s="123">
        <f>SUMIFS('Expenditure Breakdown'!$Q$6:$Q$193, 'Expenditure Breakdown'!$W$6:$W$193, "&gt;="&amp;FI1,'Expenditure Breakdown'!$W$6:$W$193, "&lt;"&amp;FJ1)</f>
        <v>0</v>
      </c>
      <c r="FJ11" s="123">
        <f>SUMIFS('Expenditure Breakdown'!$Q$6:$Q$193, 'Expenditure Breakdown'!$W$6:$W$193, "&gt;="&amp;FJ1,'Expenditure Breakdown'!$W$6:$W$193, "&lt;"&amp;FK1)</f>
        <v>0</v>
      </c>
      <c r="FK11" s="123">
        <f>SUMIFS('Expenditure Breakdown'!$Q$6:$Q$193, 'Expenditure Breakdown'!$W$6:$W$193, "&gt;="&amp;FK1,'Expenditure Breakdown'!$W$6:$W$193, "&lt;"&amp;FL1)</f>
        <v>0</v>
      </c>
      <c r="FL11" s="123">
        <f>SUMIFS('Expenditure Breakdown'!$Q$6:$Q$193, 'Expenditure Breakdown'!$W$6:$W$193, "&gt;="&amp;FL1,'Expenditure Breakdown'!$W$6:$W$193, "&lt;"&amp;FM1)</f>
        <v>0</v>
      </c>
      <c r="FM11" s="123">
        <f>SUMIFS('Expenditure Breakdown'!$Q$6:$Q$193, 'Expenditure Breakdown'!$W$6:$W$193, "&gt;="&amp;FM1,'Expenditure Breakdown'!$W$6:$W$193, "&lt;"&amp;FN1)</f>
        <v>0</v>
      </c>
      <c r="FN11" s="123">
        <f>SUMIFS('Expenditure Breakdown'!$Q$6:$Q$193, 'Expenditure Breakdown'!$W$6:$W$193, "&gt;="&amp;FN1,'Expenditure Breakdown'!$W$6:$W$193, "&lt;"&amp;FO1)</f>
        <v>0</v>
      </c>
      <c r="FO11" s="123">
        <f>SUMIFS('Expenditure Breakdown'!$Q$6:$Q$193, 'Expenditure Breakdown'!$W$6:$W$193, "&gt;="&amp;FO1,'Expenditure Breakdown'!$W$6:$W$193, "&lt;"&amp;FP1)</f>
        <v>0</v>
      </c>
      <c r="FP11" s="123">
        <f>SUMIFS('Expenditure Breakdown'!$Q$6:$Q$193, 'Expenditure Breakdown'!$W$6:$W$193, "&gt;="&amp;FP1,'Expenditure Breakdown'!$W$6:$W$193, "&lt;"&amp;FQ1)</f>
        <v>0</v>
      </c>
      <c r="FQ11" s="123">
        <f>SUMIFS('Expenditure Breakdown'!$Q$6:$Q$193, 'Expenditure Breakdown'!$W$6:$W$193, "&gt;="&amp;FQ1,'Expenditure Breakdown'!$W$6:$W$193, "&lt;"&amp;FR1)</f>
        <v>0</v>
      </c>
      <c r="FR11" s="123">
        <f>SUMIFS('Expenditure Breakdown'!$Q$6:$Q$193, 'Expenditure Breakdown'!$W$6:$W$193, "&gt;="&amp;FR1,'Expenditure Breakdown'!$W$6:$W$193, "&lt;"&amp;FS1)</f>
        <v>0</v>
      </c>
      <c r="FS11" s="123">
        <f>SUMIFS('Expenditure Breakdown'!$Q$6:$Q$193, 'Expenditure Breakdown'!$W$6:$W$193, "&gt;="&amp;FS1,'Expenditure Breakdown'!$W$6:$W$193, "&lt;"&amp;FT1)</f>
        <v>0</v>
      </c>
      <c r="FT11" s="123">
        <f>SUMIFS('Expenditure Breakdown'!$Q$6:$Q$193, 'Expenditure Breakdown'!$W$6:$W$193, "&gt;="&amp;FT1,'Expenditure Breakdown'!$W$6:$W$193, "&lt;"&amp;FU1)</f>
        <v>0</v>
      </c>
      <c r="FU11" s="123">
        <f>SUMIFS('Expenditure Breakdown'!$Q$6:$Q$193, 'Expenditure Breakdown'!$W$6:$W$193, "&gt;="&amp;FU1,'Expenditure Breakdown'!$W$6:$W$193, "&lt;"&amp;FV1)</f>
        <v>0</v>
      </c>
      <c r="FV11" s="123">
        <f>SUMIFS('Expenditure Breakdown'!$Q$6:$Q$193, 'Expenditure Breakdown'!$W$6:$W$193, "&gt;="&amp;FV1,'Expenditure Breakdown'!$W$6:$W$193, "&lt;"&amp;FW1)</f>
        <v>0</v>
      </c>
      <c r="FW11" s="123">
        <f>SUMIFS('Expenditure Breakdown'!$Q$6:$Q$193, 'Expenditure Breakdown'!$W$6:$W$193, "&gt;="&amp;FW1,'Expenditure Breakdown'!$W$6:$W$193, "&lt;"&amp;FX1)</f>
        <v>0</v>
      </c>
      <c r="FX11" s="123">
        <f>SUMIFS('Expenditure Breakdown'!$Q$6:$Q$193, 'Expenditure Breakdown'!$W$6:$W$193, "&gt;="&amp;FX1,'Expenditure Breakdown'!$W$6:$W$193, "&lt;"&amp;FY1)</f>
        <v>0</v>
      </c>
      <c r="FY11" s="123">
        <f>SUMIFS('Expenditure Breakdown'!$Q$6:$Q$193, 'Expenditure Breakdown'!$W$6:$W$193, "&gt;="&amp;FY1,'Expenditure Breakdown'!$W$6:$W$193, "&lt;"&amp;FZ1)</f>
        <v>0</v>
      </c>
      <c r="FZ11" s="123">
        <f>SUMIFS('Expenditure Breakdown'!$Q$6:$Q$193, 'Expenditure Breakdown'!$W$6:$W$193, "&gt;="&amp;FZ1,'Expenditure Breakdown'!$W$6:$W$193, "&lt;"&amp;GA1)</f>
        <v>0</v>
      </c>
      <c r="GA11" s="123">
        <f>SUMIFS('Expenditure Breakdown'!$Q$6:$Q$193, 'Expenditure Breakdown'!$W$6:$W$193, "&gt;="&amp;GA1,'Expenditure Breakdown'!$W$6:$W$193, "&lt;"&amp;GB1)</f>
        <v>0</v>
      </c>
      <c r="GB11" s="123">
        <f>SUMIFS('Expenditure Breakdown'!$Q$6:$Q$193, 'Expenditure Breakdown'!$W$6:$W$193, "&gt;="&amp;GB1,'Expenditure Breakdown'!$W$6:$W$193, "&lt;"&amp;GC1)</f>
        <v>0</v>
      </c>
      <c r="GC11" s="123">
        <f>SUMIFS('Expenditure Breakdown'!$Q$6:$Q$193, 'Expenditure Breakdown'!$W$6:$W$193, "&gt;="&amp;GC1,'Expenditure Breakdown'!$W$6:$W$193, "&lt;"&amp;GD1)</f>
        <v>0</v>
      </c>
      <c r="GD11" s="123">
        <f>SUMIFS('Expenditure Breakdown'!$Q$6:$Q$193, 'Expenditure Breakdown'!$W$6:$W$193, "&gt;="&amp;GD1,'Expenditure Breakdown'!$W$6:$W$193, "&lt;"&amp;GE1)</f>
        <v>0</v>
      </c>
      <c r="GE11" s="123">
        <f>SUMIFS('Expenditure Breakdown'!$Q$6:$Q$193, 'Expenditure Breakdown'!$W$6:$W$193, "&gt;="&amp;GE1,'Expenditure Breakdown'!$W$6:$W$193, "&lt;"&amp;GF1)</f>
        <v>0</v>
      </c>
      <c r="GF11" s="123">
        <f>SUMIFS('Expenditure Breakdown'!$Q$6:$Q$193, 'Expenditure Breakdown'!$W$6:$W$193, "&gt;="&amp;GF1,'Expenditure Breakdown'!$W$6:$W$193, "&lt;"&amp;GG1)</f>
        <v>0</v>
      </c>
      <c r="GG11" s="123">
        <f>SUMIFS('Expenditure Breakdown'!$Q$6:$Q$193, 'Expenditure Breakdown'!$W$6:$W$193, "&gt;="&amp;GG1,'Expenditure Breakdown'!$W$6:$W$193, "&lt;"&amp;GH1)</f>
        <v>0</v>
      </c>
      <c r="GH11" s="123">
        <f>SUMIFS('Expenditure Breakdown'!$Q$6:$Q$193, 'Expenditure Breakdown'!$W$6:$W$193, "&gt;="&amp;GH1,'Expenditure Breakdown'!$W$6:$W$193, "&lt;"&amp;GI1)</f>
        <v>0</v>
      </c>
      <c r="GI11" s="123">
        <f>SUMIFS('Expenditure Breakdown'!$Q$6:$Q$193, 'Expenditure Breakdown'!$W$6:$W$193, "&gt;="&amp;GI1,'Expenditure Breakdown'!$W$6:$W$193, "&lt;"&amp;GJ1)</f>
        <v>0</v>
      </c>
      <c r="GJ11" s="123">
        <f>SUMIFS('Expenditure Breakdown'!$Q$6:$Q$193, 'Expenditure Breakdown'!$W$6:$W$193, "&gt;="&amp;GJ1,'Expenditure Breakdown'!$W$6:$W$193, "&lt;"&amp;GK1)</f>
        <v>0</v>
      </c>
      <c r="GK11" s="123">
        <f>SUMIFS('Expenditure Breakdown'!$Q$6:$Q$193, 'Expenditure Breakdown'!$W$6:$W$193, "&gt;="&amp;GK1,'Expenditure Breakdown'!$W$6:$W$193, "&lt;"&amp;GL1)</f>
        <v>0</v>
      </c>
      <c r="GL11" s="123">
        <f>SUMIFS('Expenditure Breakdown'!$Q$6:$Q$193, 'Expenditure Breakdown'!$W$6:$W$193, "&gt;="&amp;GL1,'Expenditure Breakdown'!$W$6:$W$193, "&lt;"&amp;GM1)</f>
        <v>0</v>
      </c>
      <c r="GM11" s="123">
        <f>SUMIFS('Expenditure Breakdown'!$Q$6:$Q$193, 'Expenditure Breakdown'!$W$6:$W$193, "&gt;="&amp;GM1,'Expenditure Breakdown'!$W$6:$W$193, "&lt;"&amp;GN1)</f>
        <v>0</v>
      </c>
      <c r="GN11" s="123">
        <f>SUMIFS('Expenditure Breakdown'!$Q$6:$Q$193, 'Expenditure Breakdown'!$W$6:$W$193, "&gt;="&amp;GN1,'Expenditure Breakdown'!$W$6:$W$193, "&lt;"&amp;GO1)</f>
        <v>0</v>
      </c>
      <c r="GO11" s="123">
        <f>SUMIFS('Expenditure Breakdown'!$Q$6:$Q$193, 'Expenditure Breakdown'!$W$6:$W$193, "&gt;="&amp;GO1,'Expenditure Breakdown'!$W$6:$W$193, "&lt;"&amp;GP1)</f>
        <v>0</v>
      </c>
      <c r="GP11" s="123">
        <f>SUMIFS('Expenditure Breakdown'!$Q$6:$Q$193, 'Expenditure Breakdown'!$W$6:$W$193, "&gt;="&amp;GP1,'Expenditure Breakdown'!$W$6:$W$193, "&lt;"&amp;GQ1)</f>
        <v>0</v>
      </c>
      <c r="GQ11" s="123">
        <f>SUMIFS('Expenditure Breakdown'!$Q$6:$Q$193, 'Expenditure Breakdown'!$W$6:$W$193, "&gt;="&amp;GQ1,'Expenditure Breakdown'!$W$6:$W$193, "&lt;"&amp;GR1)</f>
        <v>0</v>
      </c>
      <c r="GR11" s="123">
        <f>SUMIFS('Expenditure Breakdown'!$Q$6:$Q$193, 'Expenditure Breakdown'!$W$6:$W$193, "&gt;="&amp;GR1,'Expenditure Breakdown'!$W$6:$W$193, "&lt;"&amp;GS1)</f>
        <v>0</v>
      </c>
      <c r="GS11" s="123">
        <f>SUMIFS('Expenditure Breakdown'!$Q$6:$Q$193, 'Expenditure Breakdown'!$W$6:$W$193, "&gt;="&amp;GS1,'Expenditure Breakdown'!$W$6:$W$193, "&lt;"&amp;GT1)</f>
        <v>0</v>
      </c>
      <c r="GT11" s="123">
        <f>SUMIFS('Expenditure Breakdown'!$Q$6:$Q$193, 'Expenditure Breakdown'!$W$6:$W$193, "&gt;="&amp;GT1,'Expenditure Breakdown'!$W$6:$W$193, "&lt;"&amp;GU1)</f>
        <v>0</v>
      </c>
      <c r="GU11" s="123">
        <f>SUMIFS('Expenditure Breakdown'!$Q$6:$Q$193, 'Expenditure Breakdown'!$W$6:$W$193, "&gt;="&amp;GU1,'Expenditure Breakdown'!$W$6:$W$193, "&lt;"&amp;GV1)</f>
        <v>0</v>
      </c>
      <c r="GV11" s="123">
        <f>SUMIFS('Expenditure Breakdown'!$Q$6:$Q$193, 'Expenditure Breakdown'!$W$6:$W$193, "&gt;="&amp;GV1,'Expenditure Breakdown'!$W$6:$W$193, "&lt;"&amp;GW1)</f>
        <v>0</v>
      </c>
      <c r="GW11" s="123">
        <f>SUMIFS('Expenditure Breakdown'!$Q$6:$Q$193, 'Expenditure Breakdown'!$W$6:$W$193, "&gt;="&amp;GW1,'Expenditure Breakdown'!$W$6:$W$193, "&lt;"&amp;GX1)</f>
        <v>0</v>
      </c>
      <c r="GX11" s="123">
        <f>SUMIFS('Expenditure Breakdown'!$Q$6:$Q$193, 'Expenditure Breakdown'!$W$6:$W$193, "&gt;="&amp;GX1,'Expenditure Breakdown'!$W$6:$W$193, "&lt;"&amp;GY1)</f>
        <v>0</v>
      </c>
      <c r="GY11" s="123">
        <f>SUMIFS('Expenditure Breakdown'!$Q$6:$Q$193, 'Expenditure Breakdown'!$W$6:$W$193, "&gt;="&amp;GY1,'Expenditure Breakdown'!$W$6:$W$193, "&lt;"&amp;GZ1)</f>
        <v>0</v>
      </c>
      <c r="GZ11" s="123">
        <f>SUMIFS('Expenditure Breakdown'!$Q$6:$Q$193, 'Expenditure Breakdown'!$W$6:$W$193, "&gt;="&amp;GZ1,'Expenditure Breakdown'!$W$6:$W$193, "&lt;"&amp;HA1)</f>
        <v>0</v>
      </c>
      <c r="HA11" s="123">
        <f>SUMIFS('Expenditure Breakdown'!$Q$6:$Q$193, 'Expenditure Breakdown'!$W$6:$W$193, "&gt;="&amp;HA1,'Expenditure Breakdown'!$W$6:$W$193, "&lt;"&amp;HB1)</f>
        <v>0</v>
      </c>
      <c r="HB11" s="123">
        <f>SUMIFS('Expenditure Breakdown'!$Q$6:$Q$193, 'Expenditure Breakdown'!$W$6:$W$193, "&gt;="&amp;HB1,'Expenditure Breakdown'!$W$6:$W$193, "&lt;"&amp;HC1)</f>
        <v>0</v>
      </c>
      <c r="HC11" s="123">
        <f>SUMIFS('Expenditure Breakdown'!$Q$6:$Q$193, 'Expenditure Breakdown'!$W$6:$W$193, "&gt;="&amp;HC1,'Expenditure Breakdown'!$W$6:$W$193, "&lt;"&amp;HD1)</f>
        <v>0</v>
      </c>
      <c r="HD11" s="123">
        <f>SUMIFS('Expenditure Breakdown'!$Q$6:$Q$193, 'Expenditure Breakdown'!$W$6:$W$193, "&gt;="&amp;HD1,'Expenditure Breakdown'!$W$6:$W$193, "&lt;"&amp;HE1)</f>
        <v>0</v>
      </c>
      <c r="HE11" s="123">
        <f>SUMIFS('Expenditure Breakdown'!$Q$6:$Q$193, 'Expenditure Breakdown'!$W$6:$W$193, "&gt;="&amp;HE1,'Expenditure Breakdown'!$W$6:$W$193, "&lt;"&amp;HF1)</f>
        <v>0</v>
      </c>
      <c r="HF11" s="123">
        <f>SUMIFS('Expenditure Breakdown'!$Q$6:$Q$193, 'Expenditure Breakdown'!$W$6:$W$193, "&gt;="&amp;HF1,'Expenditure Breakdown'!$W$6:$W$193, "&lt;"&amp;HG1)</f>
        <v>0</v>
      </c>
      <c r="HG11" s="123">
        <f>SUMIFS('Expenditure Breakdown'!$Q$6:$Q$193, 'Expenditure Breakdown'!$W$6:$W$193, "&gt;="&amp;HG1,'Expenditure Breakdown'!$W$6:$W$193, "&lt;"&amp;HH1)</f>
        <v>0</v>
      </c>
      <c r="HH11" s="123">
        <f>SUMIFS('Expenditure Breakdown'!$Q$6:$Q$193, 'Expenditure Breakdown'!$W$6:$W$193, "&gt;="&amp;HH1,'Expenditure Breakdown'!$W$6:$W$193, "&lt;"&amp;HI1)</f>
        <v>0</v>
      </c>
      <c r="HI11" s="123">
        <f>SUMIFS('Expenditure Breakdown'!$Q$6:$Q$193, 'Expenditure Breakdown'!$W$6:$W$193, "&gt;="&amp;HI1,'Expenditure Breakdown'!$W$6:$W$193, "&lt;"&amp;HJ1)</f>
        <v>0</v>
      </c>
      <c r="HJ11" s="123">
        <f>SUMIFS('Expenditure Breakdown'!$Q$6:$Q$193, 'Expenditure Breakdown'!$W$6:$W$193, "&gt;="&amp;HJ1,'Expenditure Breakdown'!$W$6:$W$193, "&lt;"&amp;HK1)</f>
        <v>0</v>
      </c>
      <c r="HK11" s="123">
        <f>SUMIFS('Expenditure Breakdown'!$Q$6:$Q$193, 'Expenditure Breakdown'!$W$6:$W$193, "&gt;="&amp;HK1,'Expenditure Breakdown'!$W$6:$W$193, "&lt;"&amp;HL1)</f>
        <v>0</v>
      </c>
      <c r="HL11" s="123">
        <f>SUMIFS('Expenditure Breakdown'!$Q$6:$Q$193, 'Expenditure Breakdown'!$W$6:$W$193, "&gt;="&amp;HL1,'Expenditure Breakdown'!$W$6:$W$193, "&lt;"&amp;HM1)</f>
        <v>0</v>
      </c>
      <c r="HM11" s="123">
        <f>SUMIFS('Expenditure Breakdown'!$Q$6:$Q$193, 'Expenditure Breakdown'!$W$6:$W$193, "&gt;="&amp;HM1,'Expenditure Breakdown'!$W$6:$W$193, "&lt;"&amp;HN1)</f>
        <v>0</v>
      </c>
      <c r="HN11" s="123">
        <f>SUMIFS('Expenditure Breakdown'!$Q$6:$Q$193, 'Expenditure Breakdown'!$W$6:$W$193, "&gt;="&amp;HN1,'Expenditure Breakdown'!$W$6:$W$193, "&lt;"&amp;HO1)</f>
        <v>0</v>
      </c>
      <c r="HO11" s="123">
        <f>SUMIFS('Expenditure Breakdown'!$Q$6:$Q$193, 'Expenditure Breakdown'!$W$6:$W$193, "&gt;="&amp;HO1,'Expenditure Breakdown'!$W$6:$W$193, "&lt;"&amp;HP1)</f>
        <v>0</v>
      </c>
      <c r="HP11" s="123">
        <f>SUMIFS('Expenditure Breakdown'!$Q$6:$Q$193, 'Expenditure Breakdown'!$W$6:$W$193, "&gt;="&amp;HP1,'Expenditure Breakdown'!$W$6:$W$193, "&lt;"&amp;HQ1)</f>
        <v>0</v>
      </c>
      <c r="HQ11" s="123">
        <f>SUMIFS('Expenditure Breakdown'!$Q$6:$Q$193, 'Expenditure Breakdown'!$W$6:$W$193, "&gt;="&amp;HQ1,'Expenditure Breakdown'!$W$6:$W$193, "&lt;"&amp;HR1)</f>
        <v>0</v>
      </c>
      <c r="HR11" s="123">
        <f>SUMIFS('Expenditure Breakdown'!$Q$6:$Q$193, 'Expenditure Breakdown'!$W$6:$W$193, "&gt;="&amp;HR1,'Expenditure Breakdown'!$W$6:$W$193, "&lt;"&amp;HS1)</f>
        <v>0</v>
      </c>
      <c r="HS11" s="123">
        <f>SUMIFS('Expenditure Breakdown'!$Q$6:$Q$193, 'Expenditure Breakdown'!$W$6:$W$193, "&gt;="&amp;HS1,'Expenditure Breakdown'!$W$6:$W$193, "&lt;"&amp;HT1)</f>
        <v>0</v>
      </c>
      <c r="HT11" s="123">
        <f>SUMIFS('Expenditure Breakdown'!$Q$6:$Q$193, 'Expenditure Breakdown'!$W$6:$W$193, "&gt;="&amp;HT1,'Expenditure Breakdown'!$W$6:$W$193, "&lt;"&amp;HU1)</f>
        <v>0</v>
      </c>
      <c r="HU11" s="123">
        <f>SUMIFS('Expenditure Breakdown'!$Q$6:$Q$193, 'Expenditure Breakdown'!$W$6:$W$193, "&gt;="&amp;HU1,'Expenditure Breakdown'!$W$6:$W$193, "&lt;"&amp;HV1)</f>
        <v>0</v>
      </c>
      <c r="HV11" s="123">
        <f>SUMIFS('Expenditure Breakdown'!$Q$6:$Q$193, 'Expenditure Breakdown'!$W$6:$W$193, "&gt;="&amp;HV1,'Expenditure Breakdown'!$W$6:$W$193, "&lt;"&amp;HW1)</f>
        <v>0</v>
      </c>
      <c r="HW11" s="123">
        <f>SUMIFS('Expenditure Breakdown'!$Q$6:$Q$193, 'Expenditure Breakdown'!$W$6:$W$193, "&gt;="&amp;HW1,'Expenditure Breakdown'!$W$6:$W$193, "&lt;"&amp;HX1)</f>
        <v>0</v>
      </c>
      <c r="HX11" s="123">
        <f>SUMIFS('Expenditure Breakdown'!$Q$6:$Q$193, 'Expenditure Breakdown'!$W$6:$W$193, "&gt;="&amp;HX1,'Expenditure Breakdown'!$W$6:$W$193, "&lt;"&amp;HY1)</f>
        <v>0</v>
      </c>
      <c r="HY11" s="123">
        <f>SUMIFS('Expenditure Breakdown'!$Q$6:$Q$193, 'Expenditure Breakdown'!$W$6:$W$193, "&gt;="&amp;HY1,'Expenditure Breakdown'!$W$6:$W$193, "&lt;"&amp;HZ1)</f>
        <v>0</v>
      </c>
      <c r="HZ11" s="123">
        <f>SUMIFS('Expenditure Breakdown'!$Q$6:$Q$193, 'Expenditure Breakdown'!$W$6:$W$193, "&gt;="&amp;HZ1,'Expenditure Breakdown'!$W$6:$W$193, "&lt;"&amp;IA1)</f>
        <v>0</v>
      </c>
      <c r="IA11" s="123">
        <f>SUMIFS('Expenditure Breakdown'!$Q$6:$Q$193, 'Expenditure Breakdown'!$W$6:$W$193, "&gt;="&amp;IA1,'Expenditure Breakdown'!$W$6:$W$193, "&lt;"&amp;IB1)</f>
        <v>0</v>
      </c>
      <c r="IB11" s="123">
        <f>SUMIFS('Expenditure Breakdown'!$Q$6:$Q$193, 'Expenditure Breakdown'!$W$6:$W$193, "&gt;="&amp;IB1,'Expenditure Breakdown'!$W$6:$W$193, "&lt;"&amp;IC1)</f>
        <v>0</v>
      </c>
      <c r="IC11" s="123">
        <f>SUMIFS('Expenditure Breakdown'!$Q$6:$Q$193, 'Expenditure Breakdown'!$W$6:$W$193, "&gt;="&amp;IC1,'Expenditure Breakdown'!$W$6:$W$193, "&lt;"&amp;ID1)</f>
        <v>0</v>
      </c>
      <c r="ID11" s="123">
        <f>SUMIFS('Expenditure Breakdown'!$Q$6:$Q$193, 'Expenditure Breakdown'!$W$6:$W$193, "&gt;="&amp;ID1,'Expenditure Breakdown'!$W$6:$W$193, "&lt;"&amp;IE1)</f>
        <v>0</v>
      </c>
      <c r="IE11" s="123">
        <f>SUMIFS('Expenditure Breakdown'!$Q$6:$Q$193, 'Expenditure Breakdown'!$W$6:$W$193, "&gt;="&amp;IE1,'Expenditure Breakdown'!$W$6:$W$193, "&lt;"&amp;IF1)</f>
        <v>0</v>
      </c>
      <c r="IF11" s="123">
        <f>SUMIFS('Expenditure Breakdown'!$Q$6:$Q$193, 'Expenditure Breakdown'!$W$6:$W$193, "&gt;="&amp;IF1,'Expenditure Breakdown'!$W$6:$W$193, "&lt;"&amp;IG1)</f>
        <v>0</v>
      </c>
      <c r="IG11" s="123">
        <f>SUMIFS('Expenditure Breakdown'!$Q$6:$Q$193, 'Expenditure Breakdown'!$W$6:$W$193, "&gt;="&amp;IG1,'Expenditure Breakdown'!$W$6:$W$193, "&lt;"&amp;IH1)</f>
        <v>0</v>
      </c>
      <c r="IH11" s="123">
        <f>SUMIFS('Expenditure Breakdown'!$Q$6:$Q$193, 'Expenditure Breakdown'!$W$6:$W$193, "&gt;="&amp;IH1,'Expenditure Breakdown'!$W$6:$W$193, "&lt;"&amp;II1)</f>
        <v>0</v>
      </c>
      <c r="II11" s="123">
        <f>SUMIFS('Expenditure Breakdown'!$Q$6:$Q$193, 'Expenditure Breakdown'!$W$6:$W$193, "&gt;="&amp;II1,'Expenditure Breakdown'!$W$6:$W$193, "&lt;"&amp;IJ1)</f>
        <v>0</v>
      </c>
      <c r="IJ11" s="123">
        <f>SUMIFS('Expenditure Breakdown'!$Q$6:$Q$193, 'Expenditure Breakdown'!$W$6:$W$193, "&gt;="&amp;IJ1,'Expenditure Breakdown'!$W$6:$W$193, "&lt;"&amp;IK1)</f>
        <v>0</v>
      </c>
      <c r="IK11" s="123">
        <f>SUMIFS('Expenditure Breakdown'!$Q$6:$Q$193, 'Expenditure Breakdown'!$W$6:$W$193, "&gt;="&amp;IK1,'Expenditure Breakdown'!$W$6:$W$193, "&lt;"&amp;IL1)</f>
        <v>0</v>
      </c>
      <c r="IL11" s="123">
        <f>SUMIFS('Expenditure Breakdown'!$Q$6:$Q$193, 'Expenditure Breakdown'!$W$6:$W$193, "&gt;="&amp;IL1,'Expenditure Breakdown'!$W$6:$W$193, "&lt;"&amp;IM1)</f>
        <v>0</v>
      </c>
      <c r="IM11" s="123">
        <f>SUMIFS('Expenditure Breakdown'!$Q$6:$Q$193, 'Expenditure Breakdown'!$W$6:$W$193, "&gt;="&amp;IM1,'Expenditure Breakdown'!$W$6:$W$193, "&lt;"&amp;IN1)</f>
        <v>0</v>
      </c>
      <c r="IN11" s="123">
        <f>SUMIFS('Expenditure Breakdown'!$Q$6:$Q$193, 'Expenditure Breakdown'!$W$6:$W$193, "&gt;="&amp;IN1,'Expenditure Breakdown'!$W$6:$W$193, "&lt;"&amp;IO1)</f>
        <v>0</v>
      </c>
      <c r="IO11" s="123">
        <f>SUMIFS('Expenditure Breakdown'!$Q$6:$Q$193, 'Expenditure Breakdown'!$W$6:$W$193, "&gt;="&amp;IO1,'Expenditure Breakdown'!$W$6:$W$193, "&lt;"&amp;IP1)</f>
        <v>0</v>
      </c>
      <c r="IP11" s="123">
        <f>SUMIFS('Expenditure Breakdown'!$Q$6:$Q$193, 'Expenditure Breakdown'!$W$6:$W$193, "&gt;="&amp;IP1,'Expenditure Breakdown'!$W$6:$W$193, "&lt;"&amp;IQ1)</f>
        <v>0</v>
      </c>
      <c r="IQ11" s="123">
        <f>SUMIFS('Expenditure Breakdown'!$Q$6:$Q$193, 'Expenditure Breakdown'!$W$6:$W$193, "&gt;="&amp;IQ1,'Expenditure Breakdown'!$W$6:$W$193, "&lt;"&amp;IR1)</f>
        <v>0</v>
      </c>
      <c r="IR11" s="123">
        <f>SUMIFS('Expenditure Breakdown'!$Q$6:$Q$193, 'Expenditure Breakdown'!$W$6:$W$193, "&gt;="&amp;IR1,'Expenditure Breakdown'!$W$6:$W$193, "&lt;"&amp;IS1)</f>
        <v>0</v>
      </c>
      <c r="IS11" s="123">
        <f>SUMIFS('Expenditure Breakdown'!$Q$6:$Q$193, 'Expenditure Breakdown'!$W$6:$W$193, "&gt;="&amp;IS1,'Expenditure Breakdown'!$W$6:$W$193, "&lt;"&amp;IT1)</f>
        <v>0</v>
      </c>
      <c r="IT11" s="123">
        <f>SUMIFS('Expenditure Breakdown'!$Q$6:$Q$193, 'Expenditure Breakdown'!$W$6:$W$193, "&gt;="&amp;IT1,'Expenditure Breakdown'!$W$6:$W$193, "&lt;"&amp;IU1)</f>
        <v>0</v>
      </c>
      <c r="IU11" s="123">
        <f>SUMIFS('Expenditure Breakdown'!$Q$6:$Q$193, 'Expenditure Breakdown'!$W$6:$W$193, "&gt;="&amp;IU1,'Expenditure Breakdown'!$W$6:$W$193, "&lt;"&amp;IV1)</f>
        <v>0</v>
      </c>
      <c r="IV11" s="123">
        <f>SUMIFS('Expenditure Breakdown'!$Q$6:$Q$193, 'Expenditure Breakdown'!$W$6:$W$193, "&gt;="&amp;IV1,'Expenditure Breakdown'!$W$6:$W$193, "&lt;"&amp;IW1)</f>
        <v>0</v>
      </c>
      <c r="IW11" s="123">
        <f>SUMIFS('Expenditure Breakdown'!$Q$6:$Q$193, 'Expenditure Breakdown'!$W$6:$W$193, "&gt;="&amp;IW1,'Expenditure Breakdown'!$W$6:$W$193, "&lt;"&amp;IX1)</f>
        <v>0</v>
      </c>
      <c r="IX11" s="123">
        <f>SUMIFS('Expenditure Breakdown'!$Q$6:$Q$193, 'Expenditure Breakdown'!$W$6:$W$193, "&gt;="&amp;IX1,'Expenditure Breakdown'!$W$6:$W$193, "&lt;"&amp;IY1)</f>
        <v>0</v>
      </c>
      <c r="IY11" s="123">
        <f>SUMIFS('Expenditure Breakdown'!$Q$6:$Q$193, 'Expenditure Breakdown'!$W$6:$W$193, "&gt;="&amp;IY1,'Expenditure Breakdown'!$W$6:$W$193, "&lt;"&amp;IZ1)</f>
        <v>0</v>
      </c>
      <c r="IZ11" s="123">
        <f>SUMIFS('Expenditure Breakdown'!$Q$6:$Q$193, 'Expenditure Breakdown'!$W$6:$W$193, "&gt;="&amp;IZ1,'Expenditure Breakdown'!$W$6:$W$193, "&lt;"&amp;JA1)</f>
        <v>0</v>
      </c>
      <c r="JA11" s="123">
        <f>SUMIFS('Expenditure Breakdown'!$Q$6:$Q$193, 'Expenditure Breakdown'!$W$6:$W$193, "&gt;="&amp;JA1,'Expenditure Breakdown'!$W$6:$W$193, "&lt;"&amp;JB1)</f>
        <v>0</v>
      </c>
      <c r="JB11" s="123">
        <f>SUMIFS('Expenditure Breakdown'!$Q$6:$Q$193, 'Expenditure Breakdown'!$W$6:$W$193, "&gt;="&amp;JB1,'Expenditure Breakdown'!$W$6:$W$193, "&lt;"&amp;JC1)</f>
        <v>0</v>
      </c>
      <c r="JC11" s="123">
        <f>SUMIFS('Expenditure Breakdown'!$Q$6:$Q$193, 'Expenditure Breakdown'!$W$6:$W$193, "&gt;="&amp;JC1,'Expenditure Breakdown'!$W$6:$W$193, "&lt;"&amp;JD1)</f>
        <v>0</v>
      </c>
      <c r="JD11" s="123">
        <f>SUMIFS('Expenditure Breakdown'!$Q$6:$Q$193, 'Expenditure Breakdown'!$W$6:$W$193, "&gt;="&amp;JD1,'Expenditure Breakdown'!$W$6:$W$193, "&lt;"&amp;JE1)</f>
        <v>0</v>
      </c>
      <c r="JE11" s="123">
        <f>SUMIFS('Expenditure Breakdown'!$Q$6:$Q$193, 'Expenditure Breakdown'!$W$6:$W$193, "&gt;="&amp;JE1,'Expenditure Breakdown'!$W$6:$W$193, "&lt;"&amp;JF1)</f>
        <v>0</v>
      </c>
      <c r="JF11" s="123">
        <f>SUMIFS('Expenditure Breakdown'!$Q$6:$Q$193, 'Expenditure Breakdown'!$W$6:$W$193, "&gt;="&amp;JF1,'Expenditure Breakdown'!$W$6:$W$193, "&lt;"&amp;JG1)</f>
        <v>0</v>
      </c>
      <c r="JG11" s="123">
        <f>SUMIFS('Expenditure Breakdown'!$Q$6:$Q$193, 'Expenditure Breakdown'!$W$6:$W$193, "&gt;="&amp;JG1,'Expenditure Breakdown'!$W$6:$W$193, "&lt;"&amp;JH1)</f>
        <v>0</v>
      </c>
      <c r="JH11" s="123">
        <f>SUMIFS('Expenditure Breakdown'!$Q$6:$Q$193, 'Expenditure Breakdown'!$W$6:$W$193, "&gt;="&amp;JH1,'Expenditure Breakdown'!$W$6:$W$193, "&lt;"&amp;JI1)</f>
        <v>0</v>
      </c>
      <c r="JI11" s="123">
        <f>SUMIFS('Expenditure Breakdown'!$Q$6:$Q$193, 'Expenditure Breakdown'!$W$6:$W$193, "&gt;="&amp;JI1,'Expenditure Breakdown'!$W$6:$W$193, "&lt;"&amp;JJ1)</f>
        <v>0</v>
      </c>
      <c r="JJ11" s="123">
        <f>SUMIFS('Expenditure Breakdown'!$Q$6:$Q$193, 'Expenditure Breakdown'!$W$6:$W$193, "&gt;="&amp;JJ1,'Expenditure Breakdown'!$W$6:$W$193, "&lt;"&amp;JK1)</f>
        <v>0</v>
      </c>
      <c r="JK11" s="123">
        <f>SUMIFS('Expenditure Breakdown'!$Q$6:$Q$193, 'Expenditure Breakdown'!$W$6:$W$193, "&gt;="&amp;JK1,'Expenditure Breakdown'!$W$6:$W$193, "&lt;"&amp;JL1)</f>
        <v>0</v>
      </c>
      <c r="JL11" s="123">
        <f>SUMIFS('Expenditure Breakdown'!$Q$6:$Q$193, 'Expenditure Breakdown'!$W$6:$W$193, "&gt;="&amp;JL1,'Expenditure Breakdown'!$W$6:$W$193, "&lt;"&amp;JM1)</f>
        <v>0</v>
      </c>
      <c r="JM11" s="123">
        <f>SUMIFS('Expenditure Breakdown'!$Q$6:$Q$193, 'Expenditure Breakdown'!$W$6:$W$193, "&gt;="&amp;JM1,'Expenditure Breakdown'!$W$6:$W$193, "&lt;"&amp;JN1)</f>
        <v>0</v>
      </c>
      <c r="JN11" s="123">
        <f>SUMIFS('Expenditure Breakdown'!$Q$6:$Q$193, 'Expenditure Breakdown'!$W$6:$W$193, "&gt;="&amp;JN1,'Expenditure Breakdown'!$W$6:$W$193, "&lt;"&amp;JO1)</f>
        <v>0</v>
      </c>
      <c r="JO11" s="123">
        <f>SUMIFS('Expenditure Breakdown'!$Q$6:$Q$193, 'Expenditure Breakdown'!$W$6:$W$193, "&gt;="&amp;JO1,'Expenditure Breakdown'!$W$6:$W$193, "&lt;"&amp;JP1)</f>
        <v>0</v>
      </c>
      <c r="JP11" s="123">
        <f>SUMIFS('Expenditure Breakdown'!$Q$6:$Q$193, 'Expenditure Breakdown'!$W$6:$W$193, "&gt;="&amp;JP1,'Expenditure Breakdown'!$W$6:$W$193, "&lt;"&amp;JQ1)</f>
        <v>0</v>
      </c>
      <c r="JQ11" s="123">
        <f>SUMIFS('Expenditure Breakdown'!$Q$6:$Q$193, 'Expenditure Breakdown'!$W$6:$W$193, "&gt;="&amp;JQ1,'Expenditure Breakdown'!$W$6:$W$193, "&lt;"&amp;JR1)</f>
        <v>0</v>
      </c>
      <c r="JR11" s="123">
        <f>SUMIFS('Expenditure Breakdown'!$Q$6:$Q$193, 'Expenditure Breakdown'!$W$6:$W$193, "&gt;="&amp;JR1,'Expenditure Breakdown'!$W$6:$W$193, "&lt;"&amp;JS1)</f>
        <v>0</v>
      </c>
      <c r="JS11" s="123">
        <f>SUMIFS('Expenditure Breakdown'!$Q$6:$Q$193, 'Expenditure Breakdown'!$W$6:$W$193, "&gt;="&amp;JS1,'Expenditure Breakdown'!$W$6:$W$193, "&lt;"&amp;JT1)</f>
        <v>0</v>
      </c>
      <c r="JT11" s="123">
        <f>SUMIFS('Expenditure Breakdown'!$Q$6:$Q$193, 'Expenditure Breakdown'!$W$6:$W$193, "&gt;="&amp;JT1,'Expenditure Breakdown'!$W$6:$W$193, "&lt;"&amp;JU1)</f>
        <v>0</v>
      </c>
      <c r="JU11" s="123">
        <f>SUMIFS('Expenditure Breakdown'!$Q$6:$Q$193, 'Expenditure Breakdown'!$W$6:$W$193, "&gt;="&amp;JU1,'Expenditure Breakdown'!$W$6:$W$193, "&lt;"&amp;JV1)</f>
        <v>0</v>
      </c>
      <c r="JV11" s="123">
        <f>SUMIFS('Expenditure Breakdown'!$Q$6:$Q$193, 'Expenditure Breakdown'!$W$6:$W$193, "&gt;="&amp;JV1,'Expenditure Breakdown'!$W$6:$W$193, "&lt;"&amp;JW1)</f>
        <v>0</v>
      </c>
      <c r="JW11" s="123">
        <f>SUMIFS('Expenditure Breakdown'!$Q$6:$Q$193, 'Expenditure Breakdown'!$W$6:$W$193, "&gt;="&amp;JW1,'Expenditure Breakdown'!$W$6:$W$193, "&lt;"&amp;JX1)</f>
        <v>0</v>
      </c>
      <c r="JX11" s="123">
        <f>SUMIFS('Expenditure Breakdown'!$Q$6:$Q$193, 'Expenditure Breakdown'!$W$6:$W$193, "&gt;="&amp;JX1,'Expenditure Breakdown'!$W$6:$W$193, "&lt;"&amp;JY1)</f>
        <v>0</v>
      </c>
      <c r="JY11" s="123">
        <f>SUMIFS('Expenditure Breakdown'!$Q$6:$Q$193, 'Expenditure Breakdown'!$W$6:$W$193, "&gt;="&amp;JY1,'Expenditure Breakdown'!$W$6:$W$193, "&lt;"&amp;JZ1)</f>
        <v>0</v>
      </c>
      <c r="JZ11" s="123">
        <f>SUMIFS('Expenditure Breakdown'!$Q$6:$Q$193, 'Expenditure Breakdown'!$W$6:$W$193, "&gt;="&amp;JZ1,'Expenditure Breakdown'!$W$6:$W$193, "&lt;"&amp;KA1)</f>
        <v>0</v>
      </c>
      <c r="KA11" s="123">
        <f>SUMIFS('Expenditure Breakdown'!$Q$6:$Q$193, 'Expenditure Breakdown'!$W$6:$W$193, "&gt;="&amp;KA1,'Expenditure Breakdown'!$W$6:$W$193, "&lt;"&amp;KB1)</f>
        <v>0</v>
      </c>
      <c r="KB11" s="123">
        <f>SUMIFS('Expenditure Breakdown'!$Q$6:$Q$193, 'Expenditure Breakdown'!$W$6:$W$193, "&gt;="&amp;KB1,'Expenditure Breakdown'!$W$6:$W$193, "&lt;"&amp;KC1)</f>
        <v>0</v>
      </c>
      <c r="KC11" s="123">
        <f>SUMIFS('Expenditure Breakdown'!$Q$6:$Q$193, 'Expenditure Breakdown'!$W$6:$W$193, "&gt;="&amp;KC1,'Expenditure Breakdown'!$W$6:$W$193, "&lt;"&amp;KD1)</f>
        <v>0</v>
      </c>
      <c r="KD11" s="123">
        <f>SUMIFS('Expenditure Breakdown'!$Q$6:$Q$193, 'Expenditure Breakdown'!$W$6:$W$193, "&gt;="&amp;KD1,'Expenditure Breakdown'!$W$6:$W$193, "&lt;"&amp;KE1)</f>
        <v>0</v>
      </c>
      <c r="KE11" s="123">
        <f>SUMIFS('Expenditure Breakdown'!$Q$6:$Q$193, 'Expenditure Breakdown'!$W$6:$W$193, "&gt;="&amp;KE1,'Expenditure Breakdown'!$W$6:$W$193, "&lt;"&amp;KF1)</f>
        <v>0</v>
      </c>
      <c r="KF11" s="123">
        <f>SUMIFS('Expenditure Breakdown'!$Q$6:$Q$193, 'Expenditure Breakdown'!$W$6:$W$193, "&gt;="&amp;KF1,'Expenditure Breakdown'!$W$6:$W$193, "&lt;"&amp;#REF!)</f>
        <v>0</v>
      </c>
      <c r="KG11" s="100"/>
      <c r="KH11" s="111"/>
      <c r="KI11" s="111"/>
    </row>
    <row r="12" spans="1:770" s="112" customFormat="1">
      <c r="A12" s="801"/>
      <c r="B12" s="121" t="s">
        <v>531</v>
      </c>
      <c r="C12" s="122"/>
      <c r="D12" s="122"/>
      <c r="E12" s="106"/>
      <c r="F12" s="123">
        <f>F11</f>
        <v>0</v>
      </c>
      <c r="G12" s="123">
        <f>F12+G11</f>
        <v>0</v>
      </c>
      <c r="H12" s="123">
        <f>G12+H11</f>
        <v>0</v>
      </c>
      <c r="I12" s="123">
        <f t="shared" ref="I12:BT12" si="26">H12+I11</f>
        <v>0</v>
      </c>
      <c r="J12" s="123">
        <f t="shared" si="26"/>
        <v>0</v>
      </c>
      <c r="K12" s="123">
        <f t="shared" si="26"/>
        <v>0</v>
      </c>
      <c r="L12" s="123">
        <f t="shared" si="26"/>
        <v>0</v>
      </c>
      <c r="M12" s="123">
        <f t="shared" si="26"/>
        <v>6000</v>
      </c>
      <c r="N12" s="123">
        <f t="shared" si="26"/>
        <v>118885.63800000002</v>
      </c>
      <c r="O12" s="123">
        <f t="shared" si="26"/>
        <v>323050.30500000005</v>
      </c>
      <c r="P12" s="123">
        <f t="shared" si="26"/>
        <v>352917.4</v>
      </c>
      <c r="Q12" s="123">
        <f t="shared" si="26"/>
        <v>423906.57</v>
      </c>
      <c r="R12" s="123">
        <f t="shared" si="26"/>
        <v>503107.57</v>
      </c>
      <c r="S12" s="123">
        <f t="shared" si="26"/>
        <v>776359.04500000004</v>
      </c>
      <c r="T12" s="123">
        <f t="shared" si="26"/>
        <v>1398564.7040000001</v>
      </c>
      <c r="U12" s="123">
        <f t="shared" si="26"/>
        <v>1417089.4340000001</v>
      </c>
      <c r="V12" s="123">
        <f t="shared" si="26"/>
        <v>2294846.2320000003</v>
      </c>
      <c r="W12" s="123">
        <f t="shared" si="26"/>
        <v>2295154.1720000003</v>
      </c>
      <c r="X12" s="123">
        <f t="shared" si="26"/>
        <v>2317927.7120000003</v>
      </c>
      <c r="Y12" s="123">
        <f t="shared" si="26"/>
        <v>2393527.7120000003</v>
      </c>
      <c r="Z12" s="123">
        <f t="shared" si="26"/>
        <v>2466815.2120000003</v>
      </c>
      <c r="AA12" s="123">
        <f t="shared" si="26"/>
        <v>2474414.2160000005</v>
      </c>
      <c r="AB12" s="123">
        <f t="shared" si="26"/>
        <v>2554298.4660000005</v>
      </c>
      <c r="AC12" s="123">
        <f t="shared" si="26"/>
        <v>2573498.4660000005</v>
      </c>
      <c r="AD12" s="123">
        <f>AC12+AD11</f>
        <v>2585071.4660000005</v>
      </c>
      <c r="AE12" s="123">
        <f t="shared" si="26"/>
        <v>2674096.6775000007</v>
      </c>
      <c r="AF12" s="123">
        <f t="shared" si="26"/>
        <v>2677596.6775000007</v>
      </c>
      <c r="AG12" s="123">
        <f t="shared" si="26"/>
        <v>2677596.6775000007</v>
      </c>
      <c r="AH12" s="123">
        <f t="shared" si="26"/>
        <v>2677596.6775000007</v>
      </c>
      <c r="AI12" s="123">
        <f t="shared" si="26"/>
        <v>2677596.6775000007</v>
      </c>
      <c r="AJ12" s="123">
        <f t="shared" si="26"/>
        <v>2677596.6775000007</v>
      </c>
      <c r="AK12" s="123">
        <f t="shared" si="26"/>
        <v>2677596.6775000007</v>
      </c>
      <c r="AL12" s="123">
        <f t="shared" si="26"/>
        <v>2677596.6775000007</v>
      </c>
      <c r="AM12" s="123">
        <f t="shared" si="26"/>
        <v>2677596.6775000007</v>
      </c>
      <c r="AN12" s="123">
        <f t="shared" si="26"/>
        <v>2677596.6775000007</v>
      </c>
      <c r="AO12" s="123">
        <f t="shared" si="26"/>
        <v>2677596.6775000007</v>
      </c>
      <c r="AP12" s="123">
        <f t="shared" si="26"/>
        <v>2677596.6775000007</v>
      </c>
      <c r="AQ12" s="123">
        <f t="shared" si="26"/>
        <v>2677596.6775000007</v>
      </c>
      <c r="AR12" s="123">
        <f t="shared" si="26"/>
        <v>2677596.6775000007</v>
      </c>
      <c r="AS12" s="123">
        <f t="shared" si="26"/>
        <v>2677596.6775000007</v>
      </c>
      <c r="AT12" s="123">
        <f t="shared" si="26"/>
        <v>2677596.6775000007</v>
      </c>
      <c r="AU12" s="123">
        <f t="shared" si="26"/>
        <v>2677596.6775000007</v>
      </c>
      <c r="AV12" s="123">
        <f t="shared" si="26"/>
        <v>2677596.6775000007</v>
      </c>
      <c r="AW12" s="123">
        <f t="shared" si="26"/>
        <v>2677596.6775000007</v>
      </c>
      <c r="AX12" s="123">
        <f t="shared" si="26"/>
        <v>2677596.6775000007</v>
      </c>
      <c r="AY12" s="123">
        <f t="shared" si="26"/>
        <v>2677596.6775000007</v>
      </c>
      <c r="AZ12" s="123">
        <f t="shared" si="26"/>
        <v>2677596.6775000007</v>
      </c>
      <c r="BA12" s="123">
        <f t="shared" si="26"/>
        <v>2677596.6775000007</v>
      </c>
      <c r="BB12" s="123">
        <f t="shared" si="26"/>
        <v>2677596.6775000007</v>
      </c>
      <c r="BC12" s="123">
        <f t="shared" si="26"/>
        <v>2677596.6775000007</v>
      </c>
      <c r="BD12" s="123">
        <f t="shared" si="26"/>
        <v>2677596.6775000007</v>
      </c>
      <c r="BE12" s="123">
        <f t="shared" si="26"/>
        <v>2677596.6775000007</v>
      </c>
      <c r="BF12" s="123">
        <f t="shared" si="26"/>
        <v>2677596.6775000007</v>
      </c>
      <c r="BG12" s="123">
        <f t="shared" si="26"/>
        <v>2677596.6775000007</v>
      </c>
      <c r="BH12" s="123">
        <f t="shared" si="26"/>
        <v>2677596.6775000007</v>
      </c>
      <c r="BI12" s="123">
        <f t="shared" si="26"/>
        <v>2677596.6775000007</v>
      </c>
      <c r="BJ12" s="123">
        <f t="shared" si="26"/>
        <v>2677596.6775000007</v>
      </c>
      <c r="BK12" s="123">
        <f t="shared" si="26"/>
        <v>2677596.6775000007</v>
      </c>
      <c r="BL12" s="123">
        <f t="shared" si="26"/>
        <v>2677596.6775000007</v>
      </c>
      <c r="BM12" s="123">
        <f t="shared" si="26"/>
        <v>2677596.6775000007</v>
      </c>
      <c r="BN12" s="123">
        <f t="shared" si="26"/>
        <v>2677596.6775000007</v>
      </c>
      <c r="BO12" s="123">
        <f t="shared" si="26"/>
        <v>2677596.6775000007</v>
      </c>
      <c r="BP12" s="123">
        <f t="shared" si="26"/>
        <v>2677596.6775000007</v>
      </c>
      <c r="BQ12" s="123">
        <f t="shared" si="26"/>
        <v>2677596.6775000007</v>
      </c>
      <c r="BR12" s="123">
        <f t="shared" si="26"/>
        <v>2677596.6775000007</v>
      </c>
      <c r="BS12" s="123">
        <f t="shared" si="26"/>
        <v>2677596.6775000007</v>
      </c>
      <c r="BT12" s="123">
        <f t="shared" si="26"/>
        <v>2677596.6775000007</v>
      </c>
      <c r="BU12" s="123">
        <f t="shared" ref="BU12:EF12" si="27">BT12+BU11</f>
        <v>2677596.6775000007</v>
      </c>
      <c r="BV12" s="123">
        <f t="shared" si="27"/>
        <v>2677596.6775000007</v>
      </c>
      <c r="BW12" s="123">
        <f t="shared" si="27"/>
        <v>2677596.6775000007</v>
      </c>
      <c r="BX12" s="123">
        <f t="shared" si="27"/>
        <v>2677596.6775000007</v>
      </c>
      <c r="BY12" s="123">
        <f t="shared" si="27"/>
        <v>2677596.6775000007</v>
      </c>
      <c r="BZ12" s="123">
        <f t="shared" si="27"/>
        <v>2677596.6775000007</v>
      </c>
      <c r="CA12" s="123">
        <f t="shared" si="27"/>
        <v>2677596.6775000007</v>
      </c>
      <c r="CB12" s="123">
        <f t="shared" si="27"/>
        <v>2677596.6775000007</v>
      </c>
      <c r="CC12" s="123">
        <f t="shared" si="27"/>
        <v>2677596.6775000007</v>
      </c>
      <c r="CD12" s="123">
        <f t="shared" si="27"/>
        <v>2677596.6775000007</v>
      </c>
      <c r="CE12" s="123">
        <f t="shared" si="27"/>
        <v>2677596.6775000007</v>
      </c>
      <c r="CF12" s="123">
        <f t="shared" si="27"/>
        <v>2677596.6775000007</v>
      </c>
      <c r="CG12" s="123">
        <f t="shared" si="27"/>
        <v>2677596.6775000007</v>
      </c>
      <c r="CH12" s="123">
        <f t="shared" si="27"/>
        <v>2677596.6775000007</v>
      </c>
      <c r="CI12" s="123">
        <f t="shared" si="27"/>
        <v>2677596.6775000007</v>
      </c>
      <c r="CJ12" s="123">
        <f t="shared" si="27"/>
        <v>2677596.6775000007</v>
      </c>
      <c r="CK12" s="123">
        <f t="shared" si="27"/>
        <v>2677596.6775000007</v>
      </c>
      <c r="CL12" s="123">
        <f t="shared" si="27"/>
        <v>2677596.6775000007</v>
      </c>
      <c r="CM12" s="123">
        <f t="shared" si="27"/>
        <v>2677596.6775000007</v>
      </c>
      <c r="CN12" s="123">
        <f t="shared" si="27"/>
        <v>2677596.6775000007</v>
      </c>
      <c r="CO12" s="123">
        <f t="shared" si="27"/>
        <v>2677596.6775000007</v>
      </c>
      <c r="CP12" s="123">
        <f t="shared" si="27"/>
        <v>2677596.6775000007</v>
      </c>
      <c r="CQ12" s="123">
        <f t="shared" si="27"/>
        <v>2677596.6775000007</v>
      </c>
      <c r="CR12" s="123">
        <f t="shared" si="27"/>
        <v>2677596.6775000007</v>
      </c>
      <c r="CS12" s="123">
        <f t="shared" si="27"/>
        <v>2677596.6775000007</v>
      </c>
      <c r="CT12" s="123">
        <f t="shared" si="27"/>
        <v>2677596.6775000007</v>
      </c>
      <c r="CU12" s="123">
        <f t="shared" si="27"/>
        <v>2677596.6775000007</v>
      </c>
      <c r="CV12" s="123">
        <f t="shared" si="27"/>
        <v>2677596.6775000007</v>
      </c>
      <c r="CW12" s="123">
        <f t="shared" si="27"/>
        <v>2677596.6775000007</v>
      </c>
      <c r="CX12" s="123">
        <f t="shared" si="27"/>
        <v>2677596.6775000007</v>
      </c>
      <c r="CY12" s="123">
        <f t="shared" si="27"/>
        <v>2677596.6775000007</v>
      </c>
      <c r="CZ12" s="123">
        <f t="shared" si="27"/>
        <v>2677596.6775000007</v>
      </c>
      <c r="DA12" s="123">
        <f t="shared" si="27"/>
        <v>2677596.6775000007</v>
      </c>
      <c r="DB12" s="123">
        <f t="shared" si="27"/>
        <v>2677596.6775000007</v>
      </c>
      <c r="DC12" s="123">
        <f t="shared" si="27"/>
        <v>2677596.6775000007</v>
      </c>
      <c r="DD12" s="123">
        <f t="shared" si="27"/>
        <v>2677596.6775000007</v>
      </c>
      <c r="DE12" s="123">
        <f t="shared" si="27"/>
        <v>2677596.6775000007</v>
      </c>
      <c r="DF12" s="123">
        <f t="shared" si="27"/>
        <v>2677596.6775000007</v>
      </c>
      <c r="DG12" s="123">
        <f t="shared" si="27"/>
        <v>2677596.6775000007</v>
      </c>
      <c r="DH12" s="123">
        <f t="shared" si="27"/>
        <v>2677596.6775000007</v>
      </c>
      <c r="DI12" s="123">
        <f t="shared" si="27"/>
        <v>2677596.6775000007</v>
      </c>
      <c r="DJ12" s="123">
        <f t="shared" si="27"/>
        <v>2677596.6775000007</v>
      </c>
      <c r="DK12" s="123">
        <f t="shared" si="27"/>
        <v>2677596.6775000007</v>
      </c>
      <c r="DL12" s="123">
        <f t="shared" si="27"/>
        <v>2677596.6775000007</v>
      </c>
      <c r="DM12" s="123">
        <f t="shared" si="27"/>
        <v>2677596.6775000007</v>
      </c>
      <c r="DN12" s="123">
        <f t="shared" si="27"/>
        <v>2677596.6775000007</v>
      </c>
      <c r="DO12" s="123">
        <f t="shared" si="27"/>
        <v>2677596.6775000007</v>
      </c>
      <c r="DP12" s="123">
        <f t="shared" si="27"/>
        <v>2677596.6775000007</v>
      </c>
      <c r="DQ12" s="123">
        <f t="shared" si="27"/>
        <v>2677596.6775000007</v>
      </c>
      <c r="DR12" s="123">
        <f t="shared" si="27"/>
        <v>2677596.6775000007</v>
      </c>
      <c r="DS12" s="123">
        <f t="shared" si="27"/>
        <v>2677596.6775000007</v>
      </c>
      <c r="DT12" s="123">
        <f t="shared" si="27"/>
        <v>2677596.6775000007</v>
      </c>
      <c r="DU12" s="123">
        <f t="shared" si="27"/>
        <v>2677596.6775000007</v>
      </c>
      <c r="DV12" s="123">
        <f t="shared" si="27"/>
        <v>2677596.6775000007</v>
      </c>
      <c r="DW12" s="123">
        <f t="shared" si="27"/>
        <v>2677596.6775000007</v>
      </c>
      <c r="DX12" s="123">
        <f t="shared" si="27"/>
        <v>2677596.6775000007</v>
      </c>
      <c r="DY12" s="123">
        <f t="shared" si="27"/>
        <v>2677596.6775000007</v>
      </c>
      <c r="DZ12" s="123">
        <f t="shared" si="27"/>
        <v>2677596.6775000007</v>
      </c>
      <c r="EA12" s="123">
        <f t="shared" si="27"/>
        <v>2677596.6775000007</v>
      </c>
      <c r="EB12" s="123">
        <f t="shared" si="27"/>
        <v>2677596.6775000007</v>
      </c>
      <c r="EC12" s="123">
        <f t="shared" si="27"/>
        <v>2677596.6775000007</v>
      </c>
      <c r="ED12" s="123">
        <f t="shared" si="27"/>
        <v>2677596.6775000007</v>
      </c>
      <c r="EE12" s="123">
        <f t="shared" si="27"/>
        <v>2677596.6775000007</v>
      </c>
      <c r="EF12" s="123">
        <f t="shared" si="27"/>
        <v>2677596.6775000007</v>
      </c>
      <c r="EG12" s="123">
        <f t="shared" ref="EG12:GR12" si="28">EF12+EG11</f>
        <v>2677596.6775000007</v>
      </c>
      <c r="EH12" s="123">
        <f t="shared" si="28"/>
        <v>2677596.6775000007</v>
      </c>
      <c r="EI12" s="123">
        <f t="shared" si="28"/>
        <v>2677596.6775000007</v>
      </c>
      <c r="EJ12" s="123">
        <f t="shared" si="28"/>
        <v>2677596.6775000007</v>
      </c>
      <c r="EK12" s="123">
        <f t="shared" si="28"/>
        <v>2677596.6775000007</v>
      </c>
      <c r="EL12" s="123">
        <f t="shared" si="28"/>
        <v>2677596.6775000007</v>
      </c>
      <c r="EM12" s="123">
        <f t="shared" si="28"/>
        <v>2677596.6775000007</v>
      </c>
      <c r="EN12" s="123">
        <f t="shared" si="28"/>
        <v>2677596.6775000007</v>
      </c>
      <c r="EO12" s="123">
        <f t="shared" si="28"/>
        <v>2677596.6775000007</v>
      </c>
      <c r="EP12" s="123">
        <f t="shared" si="28"/>
        <v>2677596.6775000007</v>
      </c>
      <c r="EQ12" s="123">
        <f t="shared" si="28"/>
        <v>2677596.6775000007</v>
      </c>
      <c r="ER12" s="123">
        <f t="shared" si="28"/>
        <v>2677596.6775000007</v>
      </c>
      <c r="ES12" s="123">
        <f t="shared" si="28"/>
        <v>2677596.6775000007</v>
      </c>
      <c r="ET12" s="123">
        <f t="shared" si="28"/>
        <v>2677596.6775000007</v>
      </c>
      <c r="EU12" s="123">
        <f t="shared" si="28"/>
        <v>2677596.6775000007</v>
      </c>
      <c r="EV12" s="123">
        <f t="shared" si="28"/>
        <v>2677596.6775000007</v>
      </c>
      <c r="EW12" s="123">
        <f t="shared" si="28"/>
        <v>2677596.6775000007</v>
      </c>
      <c r="EX12" s="123">
        <f t="shared" si="28"/>
        <v>2677596.6775000007</v>
      </c>
      <c r="EY12" s="123">
        <f t="shared" si="28"/>
        <v>2677596.6775000007</v>
      </c>
      <c r="EZ12" s="123">
        <f t="shared" si="28"/>
        <v>2677596.6775000007</v>
      </c>
      <c r="FA12" s="123">
        <f t="shared" si="28"/>
        <v>2677596.6775000007</v>
      </c>
      <c r="FB12" s="123">
        <f t="shared" si="28"/>
        <v>2677596.6775000007</v>
      </c>
      <c r="FC12" s="123">
        <f t="shared" si="28"/>
        <v>2677596.6775000007</v>
      </c>
      <c r="FD12" s="123">
        <f t="shared" si="28"/>
        <v>2677596.6775000007</v>
      </c>
      <c r="FE12" s="123">
        <f t="shared" si="28"/>
        <v>2677596.6775000007</v>
      </c>
      <c r="FF12" s="123">
        <f t="shared" si="28"/>
        <v>2677596.6775000007</v>
      </c>
      <c r="FG12" s="123">
        <f t="shared" si="28"/>
        <v>2677596.6775000007</v>
      </c>
      <c r="FH12" s="123">
        <f t="shared" si="28"/>
        <v>2677596.6775000007</v>
      </c>
      <c r="FI12" s="123">
        <f t="shared" si="28"/>
        <v>2677596.6775000007</v>
      </c>
      <c r="FJ12" s="123">
        <f t="shared" si="28"/>
        <v>2677596.6775000007</v>
      </c>
      <c r="FK12" s="123">
        <f t="shared" si="28"/>
        <v>2677596.6775000007</v>
      </c>
      <c r="FL12" s="123">
        <f t="shared" si="28"/>
        <v>2677596.6775000007</v>
      </c>
      <c r="FM12" s="123">
        <f t="shared" si="28"/>
        <v>2677596.6775000007</v>
      </c>
      <c r="FN12" s="123">
        <f t="shared" si="28"/>
        <v>2677596.6775000007</v>
      </c>
      <c r="FO12" s="123">
        <f t="shared" si="28"/>
        <v>2677596.6775000007</v>
      </c>
      <c r="FP12" s="123">
        <f t="shared" si="28"/>
        <v>2677596.6775000007</v>
      </c>
      <c r="FQ12" s="123">
        <f t="shared" si="28"/>
        <v>2677596.6775000007</v>
      </c>
      <c r="FR12" s="123">
        <f t="shared" si="28"/>
        <v>2677596.6775000007</v>
      </c>
      <c r="FS12" s="123">
        <f t="shared" si="28"/>
        <v>2677596.6775000007</v>
      </c>
      <c r="FT12" s="123">
        <f t="shared" si="28"/>
        <v>2677596.6775000007</v>
      </c>
      <c r="FU12" s="123">
        <f t="shared" si="28"/>
        <v>2677596.6775000007</v>
      </c>
      <c r="FV12" s="123">
        <f t="shared" si="28"/>
        <v>2677596.6775000007</v>
      </c>
      <c r="FW12" s="123">
        <f t="shared" si="28"/>
        <v>2677596.6775000007</v>
      </c>
      <c r="FX12" s="123">
        <f t="shared" si="28"/>
        <v>2677596.6775000007</v>
      </c>
      <c r="FY12" s="123">
        <f t="shared" si="28"/>
        <v>2677596.6775000007</v>
      </c>
      <c r="FZ12" s="123">
        <f t="shared" si="28"/>
        <v>2677596.6775000007</v>
      </c>
      <c r="GA12" s="123">
        <f t="shared" si="28"/>
        <v>2677596.6775000007</v>
      </c>
      <c r="GB12" s="123">
        <f t="shared" si="28"/>
        <v>2677596.6775000007</v>
      </c>
      <c r="GC12" s="123">
        <f t="shared" si="28"/>
        <v>2677596.6775000007</v>
      </c>
      <c r="GD12" s="123">
        <f t="shared" si="28"/>
        <v>2677596.6775000007</v>
      </c>
      <c r="GE12" s="123">
        <f t="shared" si="28"/>
        <v>2677596.6775000007</v>
      </c>
      <c r="GF12" s="123">
        <f t="shared" si="28"/>
        <v>2677596.6775000007</v>
      </c>
      <c r="GG12" s="123">
        <f t="shared" si="28"/>
        <v>2677596.6775000007</v>
      </c>
      <c r="GH12" s="123">
        <f t="shared" si="28"/>
        <v>2677596.6775000007</v>
      </c>
      <c r="GI12" s="123">
        <f t="shared" si="28"/>
        <v>2677596.6775000007</v>
      </c>
      <c r="GJ12" s="123">
        <f t="shared" si="28"/>
        <v>2677596.6775000007</v>
      </c>
      <c r="GK12" s="123">
        <f t="shared" si="28"/>
        <v>2677596.6775000007</v>
      </c>
      <c r="GL12" s="123">
        <f t="shared" si="28"/>
        <v>2677596.6775000007</v>
      </c>
      <c r="GM12" s="123">
        <f t="shared" si="28"/>
        <v>2677596.6775000007</v>
      </c>
      <c r="GN12" s="123">
        <f t="shared" si="28"/>
        <v>2677596.6775000007</v>
      </c>
      <c r="GO12" s="123">
        <f t="shared" si="28"/>
        <v>2677596.6775000007</v>
      </c>
      <c r="GP12" s="123">
        <f t="shared" si="28"/>
        <v>2677596.6775000007</v>
      </c>
      <c r="GQ12" s="123">
        <f t="shared" si="28"/>
        <v>2677596.6775000007</v>
      </c>
      <c r="GR12" s="123">
        <f t="shared" si="28"/>
        <v>2677596.6775000007</v>
      </c>
      <c r="GS12" s="123">
        <f t="shared" ref="GS12:JD12" si="29">GR12+GS11</f>
        <v>2677596.6775000007</v>
      </c>
      <c r="GT12" s="123">
        <f t="shared" si="29"/>
        <v>2677596.6775000007</v>
      </c>
      <c r="GU12" s="123">
        <f t="shared" si="29"/>
        <v>2677596.6775000007</v>
      </c>
      <c r="GV12" s="123">
        <f t="shared" si="29"/>
        <v>2677596.6775000007</v>
      </c>
      <c r="GW12" s="123">
        <f t="shared" si="29"/>
        <v>2677596.6775000007</v>
      </c>
      <c r="GX12" s="123">
        <f t="shared" si="29"/>
        <v>2677596.6775000007</v>
      </c>
      <c r="GY12" s="123">
        <f t="shared" si="29"/>
        <v>2677596.6775000007</v>
      </c>
      <c r="GZ12" s="123">
        <f t="shared" si="29"/>
        <v>2677596.6775000007</v>
      </c>
      <c r="HA12" s="123">
        <f t="shared" si="29"/>
        <v>2677596.6775000007</v>
      </c>
      <c r="HB12" s="123">
        <f t="shared" si="29"/>
        <v>2677596.6775000007</v>
      </c>
      <c r="HC12" s="123">
        <f t="shared" si="29"/>
        <v>2677596.6775000007</v>
      </c>
      <c r="HD12" s="123">
        <f t="shared" si="29"/>
        <v>2677596.6775000007</v>
      </c>
      <c r="HE12" s="123">
        <f t="shared" si="29"/>
        <v>2677596.6775000007</v>
      </c>
      <c r="HF12" s="123">
        <f t="shared" si="29"/>
        <v>2677596.6775000007</v>
      </c>
      <c r="HG12" s="123">
        <f t="shared" si="29"/>
        <v>2677596.6775000007</v>
      </c>
      <c r="HH12" s="123">
        <f t="shared" si="29"/>
        <v>2677596.6775000007</v>
      </c>
      <c r="HI12" s="123">
        <f t="shared" si="29"/>
        <v>2677596.6775000007</v>
      </c>
      <c r="HJ12" s="123">
        <f t="shared" si="29"/>
        <v>2677596.6775000007</v>
      </c>
      <c r="HK12" s="123">
        <f t="shared" si="29"/>
        <v>2677596.6775000007</v>
      </c>
      <c r="HL12" s="123">
        <f t="shared" si="29"/>
        <v>2677596.6775000007</v>
      </c>
      <c r="HM12" s="123">
        <f t="shared" si="29"/>
        <v>2677596.6775000007</v>
      </c>
      <c r="HN12" s="123">
        <f t="shared" si="29"/>
        <v>2677596.6775000007</v>
      </c>
      <c r="HO12" s="123">
        <f t="shared" si="29"/>
        <v>2677596.6775000007</v>
      </c>
      <c r="HP12" s="123">
        <f t="shared" si="29"/>
        <v>2677596.6775000007</v>
      </c>
      <c r="HQ12" s="123">
        <f t="shared" si="29"/>
        <v>2677596.6775000007</v>
      </c>
      <c r="HR12" s="123">
        <f t="shared" si="29"/>
        <v>2677596.6775000007</v>
      </c>
      <c r="HS12" s="123">
        <f t="shared" si="29"/>
        <v>2677596.6775000007</v>
      </c>
      <c r="HT12" s="123">
        <f t="shared" si="29"/>
        <v>2677596.6775000007</v>
      </c>
      <c r="HU12" s="123">
        <f t="shared" si="29"/>
        <v>2677596.6775000007</v>
      </c>
      <c r="HV12" s="123">
        <f t="shared" si="29"/>
        <v>2677596.6775000007</v>
      </c>
      <c r="HW12" s="123">
        <f t="shared" si="29"/>
        <v>2677596.6775000007</v>
      </c>
      <c r="HX12" s="123">
        <f t="shared" si="29"/>
        <v>2677596.6775000007</v>
      </c>
      <c r="HY12" s="123">
        <f t="shared" si="29"/>
        <v>2677596.6775000007</v>
      </c>
      <c r="HZ12" s="123">
        <f t="shared" si="29"/>
        <v>2677596.6775000007</v>
      </c>
      <c r="IA12" s="123">
        <f t="shared" si="29"/>
        <v>2677596.6775000007</v>
      </c>
      <c r="IB12" s="123">
        <f t="shared" si="29"/>
        <v>2677596.6775000007</v>
      </c>
      <c r="IC12" s="123">
        <f t="shared" si="29"/>
        <v>2677596.6775000007</v>
      </c>
      <c r="ID12" s="123">
        <f t="shared" si="29"/>
        <v>2677596.6775000007</v>
      </c>
      <c r="IE12" s="123">
        <f t="shared" si="29"/>
        <v>2677596.6775000007</v>
      </c>
      <c r="IF12" s="123">
        <f t="shared" si="29"/>
        <v>2677596.6775000007</v>
      </c>
      <c r="IG12" s="123">
        <f t="shared" si="29"/>
        <v>2677596.6775000007</v>
      </c>
      <c r="IH12" s="123">
        <f t="shared" si="29"/>
        <v>2677596.6775000007</v>
      </c>
      <c r="II12" s="123">
        <f t="shared" si="29"/>
        <v>2677596.6775000007</v>
      </c>
      <c r="IJ12" s="123">
        <f t="shared" si="29"/>
        <v>2677596.6775000007</v>
      </c>
      <c r="IK12" s="123">
        <f t="shared" si="29"/>
        <v>2677596.6775000007</v>
      </c>
      <c r="IL12" s="123">
        <f t="shared" si="29"/>
        <v>2677596.6775000007</v>
      </c>
      <c r="IM12" s="123">
        <f t="shared" si="29"/>
        <v>2677596.6775000007</v>
      </c>
      <c r="IN12" s="123">
        <f t="shared" si="29"/>
        <v>2677596.6775000007</v>
      </c>
      <c r="IO12" s="123">
        <f t="shared" si="29"/>
        <v>2677596.6775000007</v>
      </c>
      <c r="IP12" s="123">
        <f t="shared" si="29"/>
        <v>2677596.6775000007</v>
      </c>
      <c r="IQ12" s="123">
        <f t="shared" si="29"/>
        <v>2677596.6775000007</v>
      </c>
      <c r="IR12" s="123">
        <f t="shared" si="29"/>
        <v>2677596.6775000007</v>
      </c>
      <c r="IS12" s="123">
        <f t="shared" si="29"/>
        <v>2677596.6775000007</v>
      </c>
      <c r="IT12" s="123">
        <f t="shared" si="29"/>
        <v>2677596.6775000007</v>
      </c>
      <c r="IU12" s="123">
        <f t="shared" si="29"/>
        <v>2677596.6775000007</v>
      </c>
      <c r="IV12" s="123">
        <f t="shared" si="29"/>
        <v>2677596.6775000007</v>
      </c>
      <c r="IW12" s="123">
        <f t="shared" si="29"/>
        <v>2677596.6775000007</v>
      </c>
      <c r="IX12" s="123">
        <f t="shared" si="29"/>
        <v>2677596.6775000007</v>
      </c>
      <c r="IY12" s="123">
        <f t="shared" si="29"/>
        <v>2677596.6775000007</v>
      </c>
      <c r="IZ12" s="123">
        <f t="shared" si="29"/>
        <v>2677596.6775000007</v>
      </c>
      <c r="JA12" s="123">
        <f t="shared" si="29"/>
        <v>2677596.6775000007</v>
      </c>
      <c r="JB12" s="123">
        <f t="shared" si="29"/>
        <v>2677596.6775000007</v>
      </c>
      <c r="JC12" s="123">
        <f t="shared" si="29"/>
        <v>2677596.6775000007</v>
      </c>
      <c r="JD12" s="123">
        <f t="shared" si="29"/>
        <v>2677596.6775000007</v>
      </c>
      <c r="JE12" s="123">
        <f t="shared" ref="JE12:KF12" si="30">JD12+JE11</f>
        <v>2677596.6775000007</v>
      </c>
      <c r="JF12" s="123">
        <f t="shared" si="30"/>
        <v>2677596.6775000007</v>
      </c>
      <c r="JG12" s="123">
        <f t="shared" si="30"/>
        <v>2677596.6775000007</v>
      </c>
      <c r="JH12" s="123">
        <f t="shared" si="30"/>
        <v>2677596.6775000007</v>
      </c>
      <c r="JI12" s="123">
        <f t="shared" si="30"/>
        <v>2677596.6775000007</v>
      </c>
      <c r="JJ12" s="123">
        <f t="shared" si="30"/>
        <v>2677596.6775000007</v>
      </c>
      <c r="JK12" s="123">
        <f t="shared" si="30"/>
        <v>2677596.6775000007</v>
      </c>
      <c r="JL12" s="123">
        <f t="shared" si="30"/>
        <v>2677596.6775000007</v>
      </c>
      <c r="JM12" s="123">
        <f t="shared" si="30"/>
        <v>2677596.6775000007</v>
      </c>
      <c r="JN12" s="123">
        <f t="shared" si="30"/>
        <v>2677596.6775000007</v>
      </c>
      <c r="JO12" s="123">
        <f t="shared" si="30"/>
        <v>2677596.6775000007</v>
      </c>
      <c r="JP12" s="123">
        <f t="shared" si="30"/>
        <v>2677596.6775000007</v>
      </c>
      <c r="JQ12" s="123">
        <f t="shared" si="30"/>
        <v>2677596.6775000007</v>
      </c>
      <c r="JR12" s="123">
        <f t="shared" si="30"/>
        <v>2677596.6775000007</v>
      </c>
      <c r="JS12" s="123">
        <f t="shared" si="30"/>
        <v>2677596.6775000007</v>
      </c>
      <c r="JT12" s="123">
        <f t="shared" si="30"/>
        <v>2677596.6775000007</v>
      </c>
      <c r="JU12" s="123">
        <f t="shared" si="30"/>
        <v>2677596.6775000007</v>
      </c>
      <c r="JV12" s="123">
        <f t="shared" si="30"/>
        <v>2677596.6775000007</v>
      </c>
      <c r="JW12" s="123">
        <f t="shared" si="30"/>
        <v>2677596.6775000007</v>
      </c>
      <c r="JX12" s="123">
        <f t="shared" si="30"/>
        <v>2677596.6775000007</v>
      </c>
      <c r="JY12" s="123">
        <f t="shared" si="30"/>
        <v>2677596.6775000007</v>
      </c>
      <c r="JZ12" s="123">
        <f t="shared" si="30"/>
        <v>2677596.6775000007</v>
      </c>
      <c r="KA12" s="123">
        <f t="shared" si="30"/>
        <v>2677596.6775000007</v>
      </c>
      <c r="KB12" s="123">
        <f t="shared" si="30"/>
        <v>2677596.6775000007</v>
      </c>
      <c r="KC12" s="123">
        <f t="shared" si="30"/>
        <v>2677596.6775000007</v>
      </c>
      <c r="KD12" s="123">
        <f t="shared" si="30"/>
        <v>2677596.6775000007</v>
      </c>
      <c r="KE12" s="123">
        <f t="shared" si="30"/>
        <v>2677596.6775000007</v>
      </c>
      <c r="KF12" s="123">
        <f t="shared" si="30"/>
        <v>2677596.6775000007</v>
      </c>
      <c r="KG12" s="100"/>
      <c r="KH12" s="111"/>
    </row>
    <row r="13" spans="1:770" s="100" customFormat="1">
      <c r="A13" s="801"/>
      <c r="E13" s="106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7"/>
      <c r="AT13" s="117"/>
      <c r="AU13" s="117"/>
      <c r="AV13" s="117"/>
      <c r="AW13" s="117"/>
      <c r="AX13" s="117"/>
      <c r="AY13" s="117"/>
      <c r="AZ13" s="117"/>
      <c r="BA13" s="117"/>
      <c r="BB13" s="117"/>
      <c r="BC13" s="117"/>
      <c r="BD13" s="117"/>
      <c r="BE13" s="117"/>
      <c r="BF13" s="117"/>
      <c r="BG13" s="117"/>
      <c r="BH13" s="117"/>
      <c r="BI13" s="117"/>
      <c r="BJ13" s="117"/>
      <c r="BK13" s="117"/>
      <c r="BL13" s="117"/>
      <c r="BM13" s="117"/>
      <c r="BN13" s="117"/>
      <c r="BO13" s="117"/>
      <c r="BP13" s="117"/>
      <c r="BQ13" s="117"/>
      <c r="BR13" s="117"/>
      <c r="BS13" s="117"/>
      <c r="BT13" s="117"/>
      <c r="BU13" s="117"/>
      <c r="BV13" s="117"/>
      <c r="BW13" s="117"/>
      <c r="BX13" s="117"/>
      <c r="BY13" s="117"/>
      <c r="BZ13" s="117"/>
      <c r="CA13" s="117"/>
      <c r="CB13" s="117"/>
      <c r="CC13" s="117"/>
      <c r="CD13" s="117"/>
      <c r="CE13" s="117"/>
      <c r="CF13" s="117"/>
      <c r="CG13" s="117"/>
      <c r="CH13" s="117"/>
      <c r="CI13" s="117"/>
      <c r="CJ13" s="117"/>
      <c r="CK13" s="117"/>
      <c r="CL13" s="117"/>
      <c r="CM13" s="117"/>
      <c r="CN13" s="117"/>
      <c r="CO13" s="117"/>
      <c r="CP13" s="117"/>
      <c r="CQ13" s="117"/>
      <c r="CR13" s="117"/>
      <c r="CS13" s="117"/>
      <c r="CT13" s="117"/>
      <c r="CU13" s="117"/>
      <c r="CV13" s="117"/>
      <c r="CW13" s="117"/>
      <c r="CX13" s="117"/>
      <c r="CY13" s="117"/>
      <c r="CZ13" s="117"/>
      <c r="DA13" s="117"/>
      <c r="DB13" s="117"/>
      <c r="DC13" s="117"/>
      <c r="DD13" s="117"/>
      <c r="DE13" s="117"/>
      <c r="DF13" s="117"/>
      <c r="DG13" s="117"/>
      <c r="DH13" s="117"/>
      <c r="DI13" s="117"/>
      <c r="DJ13" s="117"/>
      <c r="DK13" s="117"/>
      <c r="DL13" s="117"/>
      <c r="DM13" s="117"/>
      <c r="DN13" s="117"/>
      <c r="DO13" s="117"/>
      <c r="DP13" s="117"/>
      <c r="DQ13" s="117"/>
      <c r="DR13" s="117"/>
      <c r="DS13" s="117"/>
      <c r="DT13" s="117"/>
      <c r="DU13" s="117"/>
      <c r="DV13" s="117"/>
      <c r="DW13" s="117"/>
      <c r="DX13" s="117"/>
      <c r="DY13" s="117"/>
      <c r="DZ13" s="117"/>
      <c r="EA13" s="117"/>
      <c r="EB13" s="117"/>
      <c r="EC13" s="117"/>
      <c r="ED13" s="117"/>
      <c r="EE13" s="117"/>
      <c r="EF13" s="117"/>
      <c r="EG13" s="117"/>
      <c r="EH13" s="117"/>
      <c r="EI13" s="117"/>
      <c r="EJ13" s="117"/>
      <c r="EK13" s="117"/>
      <c r="EL13" s="117"/>
      <c r="EM13" s="117"/>
      <c r="EN13" s="117"/>
      <c r="EO13" s="117"/>
      <c r="EP13" s="117"/>
      <c r="EQ13" s="117"/>
      <c r="ER13" s="117"/>
      <c r="ES13" s="117"/>
      <c r="ET13" s="117"/>
      <c r="EU13" s="117"/>
      <c r="EV13" s="117"/>
      <c r="EW13" s="117"/>
      <c r="EX13" s="117"/>
      <c r="EY13" s="117"/>
      <c r="EZ13" s="117"/>
      <c r="FA13" s="117"/>
      <c r="FB13" s="117"/>
      <c r="FC13" s="117"/>
      <c r="FD13" s="117"/>
      <c r="FE13" s="117"/>
      <c r="FF13" s="117"/>
      <c r="FG13" s="117"/>
      <c r="FH13" s="117"/>
      <c r="FI13" s="117"/>
      <c r="FJ13" s="117"/>
      <c r="FK13" s="117"/>
      <c r="FL13" s="117"/>
      <c r="FM13" s="117"/>
      <c r="FN13" s="117"/>
      <c r="FO13" s="117"/>
      <c r="FP13" s="117"/>
      <c r="FQ13" s="117"/>
      <c r="FR13" s="117"/>
      <c r="FS13" s="117"/>
      <c r="FT13" s="117"/>
      <c r="FU13" s="117"/>
      <c r="FV13" s="117"/>
      <c r="FW13" s="117"/>
      <c r="FX13" s="117"/>
      <c r="FY13" s="117"/>
      <c r="FZ13" s="117"/>
      <c r="GA13" s="117"/>
      <c r="GB13" s="117"/>
      <c r="GC13" s="117"/>
      <c r="GD13" s="117"/>
      <c r="GE13" s="117"/>
      <c r="GF13" s="117"/>
      <c r="GG13" s="117"/>
      <c r="GH13" s="117"/>
      <c r="GI13" s="117"/>
      <c r="GJ13" s="117"/>
      <c r="GK13" s="117"/>
      <c r="GL13" s="117"/>
      <c r="GM13" s="117"/>
      <c r="GN13" s="117"/>
      <c r="GO13" s="117"/>
      <c r="GP13" s="117"/>
      <c r="GQ13" s="117"/>
      <c r="GR13" s="117"/>
      <c r="GS13" s="117"/>
      <c r="GT13" s="117"/>
      <c r="GU13" s="117"/>
      <c r="GV13" s="117"/>
      <c r="GW13" s="117"/>
      <c r="GX13" s="117"/>
      <c r="GY13" s="117"/>
      <c r="GZ13" s="117"/>
      <c r="HA13" s="117"/>
      <c r="HB13" s="117"/>
      <c r="HC13" s="117"/>
      <c r="HD13" s="117"/>
      <c r="HE13" s="117"/>
      <c r="HF13" s="117"/>
      <c r="HG13" s="117"/>
      <c r="HH13" s="117"/>
      <c r="HI13" s="117"/>
      <c r="HJ13" s="117"/>
      <c r="HK13" s="117"/>
      <c r="HL13" s="117"/>
      <c r="HM13" s="117"/>
      <c r="HN13" s="117"/>
      <c r="HO13" s="117"/>
      <c r="HP13" s="117"/>
      <c r="HQ13" s="117"/>
      <c r="HR13" s="117"/>
      <c r="HS13" s="117"/>
      <c r="HT13" s="117"/>
      <c r="HU13" s="117"/>
      <c r="HV13" s="117"/>
      <c r="HW13" s="117"/>
      <c r="HX13" s="117"/>
      <c r="HY13" s="117"/>
      <c r="HZ13" s="117"/>
      <c r="IA13" s="117"/>
      <c r="IB13" s="117"/>
      <c r="IC13" s="117"/>
      <c r="ID13" s="117"/>
      <c r="IE13" s="117"/>
      <c r="IF13" s="117"/>
      <c r="IG13" s="117"/>
      <c r="IH13" s="117"/>
      <c r="II13" s="117"/>
      <c r="IJ13" s="117"/>
      <c r="IK13" s="117"/>
      <c r="IL13" s="117"/>
      <c r="IM13" s="117"/>
      <c r="IN13" s="117"/>
      <c r="IO13" s="117"/>
      <c r="IP13" s="117"/>
      <c r="IQ13" s="117"/>
      <c r="IR13" s="117"/>
      <c r="IS13" s="117"/>
      <c r="IT13" s="117"/>
      <c r="IU13" s="117"/>
      <c r="IV13" s="117"/>
      <c r="IW13" s="117"/>
      <c r="IX13" s="117"/>
      <c r="IY13" s="117"/>
      <c r="IZ13" s="117"/>
      <c r="JA13" s="117"/>
      <c r="JB13" s="117"/>
      <c r="JC13" s="117"/>
      <c r="JD13" s="117"/>
      <c r="JE13" s="117"/>
      <c r="JF13" s="117"/>
      <c r="JG13" s="117"/>
      <c r="JH13" s="117"/>
      <c r="JI13" s="117"/>
      <c r="JJ13" s="117"/>
      <c r="JK13" s="117"/>
      <c r="JL13" s="117"/>
      <c r="JM13" s="117"/>
      <c r="JN13" s="117"/>
      <c r="JO13" s="117"/>
      <c r="JP13" s="117"/>
      <c r="JQ13" s="117"/>
      <c r="JR13" s="117"/>
      <c r="JS13" s="117"/>
      <c r="JT13" s="117"/>
      <c r="JU13" s="117"/>
      <c r="JV13" s="117"/>
      <c r="JW13" s="117"/>
      <c r="JX13" s="117"/>
      <c r="JY13" s="117"/>
      <c r="JZ13" s="117"/>
      <c r="KA13" s="117"/>
      <c r="KB13" s="117"/>
      <c r="KC13" s="117"/>
      <c r="KD13" s="117"/>
      <c r="KE13" s="117"/>
      <c r="KF13" s="117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801"/>
      <c r="B14" s="113" t="s">
        <v>532</v>
      </c>
      <c r="C14" s="114"/>
      <c r="D14" s="114"/>
      <c r="E14" s="115"/>
      <c r="F14" s="116">
        <f t="shared" ref="F14:H14" si="31">F10-F12</f>
        <v>0</v>
      </c>
      <c r="G14" s="116">
        <f t="shared" si="31"/>
        <v>0</v>
      </c>
      <c r="H14" s="116">
        <f t="shared" si="31"/>
        <v>0</v>
      </c>
      <c r="I14" s="116">
        <f t="shared" ref="I14:BT14" si="32">I10-I12</f>
        <v>0</v>
      </c>
      <c r="J14" s="116">
        <f t="shared" si="32"/>
        <v>0</v>
      </c>
      <c r="K14" s="116">
        <f t="shared" si="32"/>
        <v>0</v>
      </c>
      <c r="L14" s="116">
        <f t="shared" si="32"/>
        <v>0</v>
      </c>
      <c r="M14" s="116">
        <f t="shared" si="32"/>
        <v>-6000</v>
      </c>
      <c r="N14" s="116">
        <f t="shared" si="32"/>
        <v>-118885.63800000002</v>
      </c>
      <c r="O14" s="116">
        <f t="shared" si="32"/>
        <v>-32628.067500000005</v>
      </c>
      <c r="P14" s="116">
        <f t="shared" si="32"/>
        <v>1540635.5550000002</v>
      </c>
      <c r="Q14" s="116">
        <f t="shared" si="32"/>
        <v>1469646.3850000002</v>
      </c>
      <c r="R14" s="116">
        <f t="shared" si="32"/>
        <v>1390445.3850000002</v>
      </c>
      <c r="S14" s="116">
        <f t="shared" si="32"/>
        <v>1117193.9100000001</v>
      </c>
      <c r="T14" s="116">
        <f t="shared" si="32"/>
        <v>1046495.8454958338</v>
      </c>
      <c r="U14" s="116">
        <f t="shared" si="32"/>
        <v>1027971.1154958338</v>
      </c>
      <c r="V14" s="116">
        <f t="shared" si="32"/>
        <v>150214.31749583362</v>
      </c>
      <c r="W14" s="116">
        <f t="shared" si="32"/>
        <v>149906.37749583367</v>
      </c>
      <c r="X14" s="116">
        <f t="shared" si="32"/>
        <v>127132.83749583364</v>
      </c>
      <c r="Y14" s="116">
        <f t="shared" si="32"/>
        <v>51532.837495833635</v>
      </c>
      <c r="Z14" s="116">
        <f t="shared" si="32"/>
        <v>-21754.662504166365</v>
      </c>
      <c r="AA14" s="116">
        <f t="shared" si="32"/>
        <v>-29353.666504166555</v>
      </c>
      <c r="AB14" s="116">
        <f t="shared" si="32"/>
        <v>-109237.91650416655</v>
      </c>
      <c r="AC14" s="116">
        <f t="shared" si="32"/>
        <v>-128437.91650416655</v>
      </c>
      <c r="AD14" s="116">
        <f t="shared" si="32"/>
        <v>-140010.91650416655</v>
      </c>
      <c r="AE14" s="116">
        <f t="shared" si="32"/>
        <v>-229036.12800416676</v>
      </c>
      <c r="AF14" s="116">
        <f t="shared" si="32"/>
        <v>79764.381995833013</v>
      </c>
      <c r="AG14" s="116">
        <f t="shared" si="32"/>
        <v>79764.381995833013</v>
      </c>
      <c r="AH14" s="116">
        <f t="shared" si="32"/>
        <v>79764.381995833013</v>
      </c>
      <c r="AI14" s="116">
        <f t="shared" si="32"/>
        <v>79764.381995833013</v>
      </c>
      <c r="AJ14" s="116">
        <f t="shared" si="32"/>
        <v>79764.381995833013</v>
      </c>
      <c r="AK14" s="116">
        <f t="shared" si="32"/>
        <v>79764.381995833013</v>
      </c>
      <c r="AL14" s="116">
        <f t="shared" si="32"/>
        <v>79764.381995833013</v>
      </c>
      <c r="AM14" s="116">
        <f t="shared" si="32"/>
        <v>79764.381995833013</v>
      </c>
      <c r="AN14" s="116">
        <f t="shared" si="32"/>
        <v>79764.381995833013</v>
      </c>
      <c r="AO14" s="116">
        <f t="shared" si="32"/>
        <v>79764.381995833013</v>
      </c>
      <c r="AP14" s="116">
        <f t="shared" si="32"/>
        <v>79764.381995833013</v>
      </c>
      <c r="AQ14" s="116">
        <f t="shared" si="32"/>
        <v>79764.381995833013</v>
      </c>
      <c r="AR14" s="116">
        <f t="shared" si="32"/>
        <v>79764.381995833013</v>
      </c>
      <c r="AS14" s="116">
        <f t="shared" si="32"/>
        <v>142458.24199583288</v>
      </c>
      <c r="AT14" s="116">
        <f t="shared" si="32"/>
        <v>142458.24199583288</v>
      </c>
      <c r="AU14" s="116">
        <f t="shared" si="32"/>
        <v>142458.24199583288</v>
      </c>
      <c r="AV14" s="116">
        <f t="shared" si="32"/>
        <v>142458.24199583288</v>
      </c>
      <c r="AW14" s="116">
        <f t="shared" si="32"/>
        <v>142458.24199583288</v>
      </c>
      <c r="AX14" s="116">
        <f t="shared" si="32"/>
        <v>142458.24199583288</v>
      </c>
      <c r="AY14" s="116">
        <f t="shared" si="32"/>
        <v>142458.24199583288</v>
      </c>
      <c r="AZ14" s="116">
        <f t="shared" si="32"/>
        <v>142458.24199583288</v>
      </c>
      <c r="BA14" s="116">
        <f t="shared" si="32"/>
        <v>142458.24199583288</v>
      </c>
      <c r="BB14" s="116">
        <f t="shared" si="32"/>
        <v>142458.24199583288</v>
      </c>
      <c r="BC14" s="116">
        <f t="shared" si="32"/>
        <v>142458.24199583288</v>
      </c>
      <c r="BD14" s="116">
        <f t="shared" si="32"/>
        <v>142458.24199583288</v>
      </c>
      <c r="BE14" s="116">
        <f t="shared" si="32"/>
        <v>142458.24199583288</v>
      </c>
      <c r="BF14" s="116">
        <f t="shared" si="32"/>
        <v>142458.24199583288</v>
      </c>
      <c r="BG14" s="116">
        <f t="shared" si="32"/>
        <v>142458.24199583288</v>
      </c>
      <c r="BH14" s="116">
        <f t="shared" si="32"/>
        <v>142458.24199583288</v>
      </c>
      <c r="BI14" s="116">
        <f t="shared" si="32"/>
        <v>142458.24199583288</v>
      </c>
      <c r="BJ14" s="116">
        <f t="shared" si="32"/>
        <v>142458.24199583288</v>
      </c>
      <c r="BK14" s="116">
        <f t="shared" si="32"/>
        <v>142458.24199583288</v>
      </c>
      <c r="BL14" s="116">
        <f t="shared" si="32"/>
        <v>142458.24199583288</v>
      </c>
      <c r="BM14" s="116">
        <f t="shared" si="32"/>
        <v>142458.24199583288</v>
      </c>
      <c r="BN14" s="116">
        <f t="shared" si="32"/>
        <v>142458.24199583288</v>
      </c>
      <c r="BO14" s="116">
        <f t="shared" si="32"/>
        <v>142458.24199583288</v>
      </c>
      <c r="BP14" s="116">
        <f t="shared" si="32"/>
        <v>142458.24199583288</v>
      </c>
      <c r="BQ14" s="116">
        <f t="shared" si="32"/>
        <v>142458.24199583288</v>
      </c>
      <c r="BR14" s="116">
        <f t="shared" si="32"/>
        <v>142458.24199583288</v>
      </c>
      <c r="BS14" s="116">
        <f t="shared" si="32"/>
        <v>142458.24199583288</v>
      </c>
      <c r="BT14" s="116">
        <f t="shared" si="32"/>
        <v>142458.24199583288</v>
      </c>
      <c r="BU14" s="116">
        <f t="shared" ref="BU14:EF14" si="33">BU10-BU12</f>
        <v>142458.24199583288</v>
      </c>
      <c r="BV14" s="116">
        <f t="shared" si="33"/>
        <v>142458.24199583288</v>
      </c>
      <c r="BW14" s="116">
        <f t="shared" si="33"/>
        <v>142458.24199583288</v>
      </c>
      <c r="BX14" s="116">
        <f t="shared" si="33"/>
        <v>142458.24199583288</v>
      </c>
      <c r="BY14" s="116">
        <f t="shared" si="33"/>
        <v>142458.24199583288</v>
      </c>
      <c r="BZ14" s="116">
        <f t="shared" si="33"/>
        <v>142458.24199583288</v>
      </c>
      <c r="CA14" s="116">
        <f t="shared" si="33"/>
        <v>142458.24199583288</v>
      </c>
      <c r="CB14" s="116">
        <f t="shared" si="33"/>
        <v>142458.24199583288</v>
      </c>
      <c r="CC14" s="116">
        <f t="shared" si="33"/>
        <v>142458.24199583288</v>
      </c>
      <c r="CD14" s="116">
        <f t="shared" si="33"/>
        <v>142458.24199583288</v>
      </c>
      <c r="CE14" s="116">
        <f t="shared" si="33"/>
        <v>142458.24199583288</v>
      </c>
      <c r="CF14" s="116">
        <f t="shared" si="33"/>
        <v>142458.24199583288</v>
      </c>
      <c r="CG14" s="116">
        <f t="shared" si="33"/>
        <v>142458.24199583288</v>
      </c>
      <c r="CH14" s="116">
        <f t="shared" si="33"/>
        <v>142458.24199583288</v>
      </c>
      <c r="CI14" s="116">
        <f t="shared" si="33"/>
        <v>142458.24199583288</v>
      </c>
      <c r="CJ14" s="116">
        <f t="shared" si="33"/>
        <v>142458.24199583288</v>
      </c>
      <c r="CK14" s="116">
        <f t="shared" si="33"/>
        <v>142458.24199583288</v>
      </c>
      <c r="CL14" s="116">
        <f t="shared" si="33"/>
        <v>142458.24199583288</v>
      </c>
      <c r="CM14" s="116">
        <f t="shared" si="33"/>
        <v>142458.24199583288</v>
      </c>
      <c r="CN14" s="116">
        <f t="shared" si="33"/>
        <v>142458.24199583288</v>
      </c>
      <c r="CO14" s="116">
        <f t="shared" si="33"/>
        <v>142458.24199583288</v>
      </c>
      <c r="CP14" s="116">
        <f t="shared" si="33"/>
        <v>142458.24199583288</v>
      </c>
      <c r="CQ14" s="116">
        <f t="shared" si="33"/>
        <v>142458.24199583288</v>
      </c>
      <c r="CR14" s="116">
        <f t="shared" si="33"/>
        <v>142458.24199583288</v>
      </c>
      <c r="CS14" s="116">
        <f t="shared" si="33"/>
        <v>142458.24199583288</v>
      </c>
      <c r="CT14" s="116">
        <f t="shared" si="33"/>
        <v>142458.24199583288</v>
      </c>
      <c r="CU14" s="116">
        <f t="shared" si="33"/>
        <v>142458.24199583288</v>
      </c>
      <c r="CV14" s="116">
        <f t="shared" si="33"/>
        <v>142458.24199583288</v>
      </c>
      <c r="CW14" s="116">
        <f t="shared" si="33"/>
        <v>142458.24199583288</v>
      </c>
      <c r="CX14" s="116">
        <f t="shared" si="33"/>
        <v>142458.24199583288</v>
      </c>
      <c r="CY14" s="116">
        <f t="shared" si="33"/>
        <v>142458.24199583288</v>
      </c>
      <c r="CZ14" s="116">
        <f t="shared" si="33"/>
        <v>142458.24199583288</v>
      </c>
      <c r="DA14" s="116">
        <f t="shared" si="33"/>
        <v>142458.24199583288</v>
      </c>
      <c r="DB14" s="116">
        <f t="shared" si="33"/>
        <v>142458.24199583288</v>
      </c>
      <c r="DC14" s="116">
        <f t="shared" si="33"/>
        <v>142458.24199583288</v>
      </c>
      <c r="DD14" s="116">
        <f t="shared" si="33"/>
        <v>142458.24199583288</v>
      </c>
      <c r="DE14" s="116">
        <f t="shared" si="33"/>
        <v>142458.24199583288</v>
      </c>
      <c r="DF14" s="116">
        <f t="shared" si="33"/>
        <v>142458.24199583288</v>
      </c>
      <c r="DG14" s="116">
        <f t="shared" si="33"/>
        <v>142458.24199583288</v>
      </c>
      <c r="DH14" s="116">
        <f t="shared" si="33"/>
        <v>142458.24199583288</v>
      </c>
      <c r="DI14" s="116">
        <f t="shared" si="33"/>
        <v>142458.24199583288</v>
      </c>
      <c r="DJ14" s="116">
        <f t="shared" si="33"/>
        <v>142458.24199583288</v>
      </c>
      <c r="DK14" s="116">
        <f t="shared" si="33"/>
        <v>142458.24199583288</v>
      </c>
      <c r="DL14" s="116">
        <f t="shared" si="33"/>
        <v>142458.24199583288</v>
      </c>
      <c r="DM14" s="116">
        <f t="shared" si="33"/>
        <v>142458.24199583288</v>
      </c>
      <c r="DN14" s="116">
        <f t="shared" si="33"/>
        <v>142458.24199583288</v>
      </c>
      <c r="DO14" s="116">
        <f t="shared" si="33"/>
        <v>142458.24199583288</v>
      </c>
      <c r="DP14" s="116">
        <f t="shared" si="33"/>
        <v>142458.24199583288</v>
      </c>
      <c r="DQ14" s="116">
        <f t="shared" si="33"/>
        <v>142458.24199583288</v>
      </c>
      <c r="DR14" s="116">
        <f t="shared" si="33"/>
        <v>142458.24199583288</v>
      </c>
      <c r="DS14" s="116">
        <f t="shared" si="33"/>
        <v>142458.24199583288</v>
      </c>
      <c r="DT14" s="116">
        <f t="shared" si="33"/>
        <v>142458.24199583288</v>
      </c>
      <c r="DU14" s="116">
        <f t="shared" si="33"/>
        <v>142458.24199583288</v>
      </c>
      <c r="DV14" s="116">
        <f t="shared" si="33"/>
        <v>142458.24199583288</v>
      </c>
      <c r="DW14" s="116">
        <f t="shared" si="33"/>
        <v>142458.24199583288</v>
      </c>
      <c r="DX14" s="116">
        <f t="shared" si="33"/>
        <v>142458.24199583288</v>
      </c>
      <c r="DY14" s="116">
        <f t="shared" si="33"/>
        <v>142458.24199583288</v>
      </c>
      <c r="DZ14" s="116">
        <f t="shared" si="33"/>
        <v>142458.24199583288</v>
      </c>
      <c r="EA14" s="116">
        <f t="shared" si="33"/>
        <v>142458.24199583288</v>
      </c>
      <c r="EB14" s="116">
        <f t="shared" si="33"/>
        <v>142458.24199583288</v>
      </c>
      <c r="EC14" s="116">
        <f t="shared" si="33"/>
        <v>142458.24199583288</v>
      </c>
      <c r="ED14" s="116">
        <f t="shared" si="33"/>
        <v>142458.24199583288</v>
      </c>
      <c r="EE14" s="116">
        <f t="shared" si="33"/>
        <v>142458.24199583288</v>
      </c>
      <c r="EF14" s="116">
        <f t="shared" si="33"/>
        <v>142458.24199583288</v>
      </c>
      <c r="EG14" s="116">
        <f t="shared" ref="EG14:GR14" si="34">EG10-EG12</f>
        <v>142458.24199583288</v>
      </c>
      <c r="EH14" s="116">
        <f t="shared" si="34"/>
        <v>142458.24199583288</v>
      </c>
      <c r="EI14" s="116">
        <f t="shared" si="34"/>
        <v>142458.24199583288</v>
      </c>
      <c r="EJ14" s="116">
        <f t="shared" si="34"/>
        <v>142458.24199583288</v>
      </c>
      <c r="EK14" s="116">
        <f t="shared" si="34"/>
        <v>142458.24199583288</v>
      </c>
      <c r="EL14" s="116">
        <f t="shared" si="34"/>
        <v>142458.24199583288</v>
      </c>
      <c r="EM14" s="116">
        <f t="shared" si="34"/>
        <v>142458.24199583288</v>
      </c>
      <c r="EN14" s="116">
        <f t="shared" si="34"/>
        <v>142458.24199583288</v>
      </c>
      <c r="EO14" s="116">
        <f t="shared" si="34"/>
        <v>142458.24199583288</v>
      </c>
      <c r="EP14" s="116">
        <f t="shared" si="34"/>
        <v>142458.24199583288</v>
      </c>
      <c r="EQ14" s="116">
        <f t="shared" si="34"/>
        <v>142458.24199583288</v>
      </c>
      <c r="ER14" s="116">
        <f t="shared" si="34"/>
        <v>142458.24199583288</v>
      </c>
      <c r="ES14" s="116">
        <f t="shared" si="34"/>
        <v>142458.24199583288</v>
      </c>
      <c r="ET14" s="116">
        <f t="shared" si="34"/>
        <v>142458.24199583288</v>
      </c>
      <c r="EU14" s="116">
        <f t="shared" si="34"/>
        <v>142458.24199583288</v>
      </c>
      <c r="EV14" s="116">
        <f t="shared" si="34"/>
        <v>142458.24199583288</v>
      </c>
      <c r="EW14" s="116">
        <f t="shared" si="34"/>
        <v>142458.24199583288</v>
      </c>
      <c r="EX14" s="116">
        <f t="shared" si="34"/>
        <v>142458.24199583288</v>
      </c>
      <c r="EY14" s="116">
        <f t="shared" si="34"/>
        <v>142458.24199583288</v>
      </c>
      <c r="EZ14" s="116">
        <f t="shared" si="34"/>
        <v>142458.24199583288</v>
      </c>
      <c r="FA14" s="116">
        <f t="shared" si="34"/>
        <v>142458.24199583288</v>
      </c>
      <c r="FB14" s="116">
        <f t="shared" si="34"/>
        <v>142458.24199583288</v>
      </c>
      <c r="FC14" s="116">
        <f t="shared" si="34"/>
        <v>142458.24199583288</v>
      </c>
      <c r="FD14" s="116">
        <f t="shared" si="34"/>
        <v>142458.24199583288</v>
      </c>
      <c r="FE14" s="116">
        <f t="shared" si="34"/>
        <v>142458.24199583288</v>
      </c>
      <c r="FF14" s="116">
        <f t="shared" si="34"/>
        <v>142458.24199583288</v>
      </c>
      <c r="FG14" s="116">
        <f t="shared" si="34"/>
        <v>142458.24199583288</v>
      </c>
      <c r="FH14" s="116">
        <f t="shared" si="34"/>
        <v>142458.24199583288</v>
      </c>
      <c r="FI14" s="116">
        <f t="shared" si="34"/>
        <v>142458.24199583288</v>
      </c>
      <c r="FJ14" s="116">
        <f t="shared" si="34"/>
        <v>142458.24199583288</v>
      </c>
      <c r="FK14" s="116">
        <f t="shared" si="34"/>
        <v>142458.24199583288</v>
      </c>
      <c r="FL14" s="116">
        <f t="shared" si="34"/>
        <v>142458.24199583288</v>
      </c>
      <c r="FM14" s="116">
        <f t="shared" si="34"/>
        <v>142458.24199583288</v>
      </c>
      <c r="FN14" s="116">
        <f t="shared" si="34"/>
        <v>142458.24199583288</v>
      </c>
      <c r="FO14" s="116">
        <f t="shared" si="34"/>
        <v>142458.24199583288</v>
      </c>
      <c r="FP14" s="116">
        <f t="shared" si="34"/>
        <v>142458.24199583288</v>
      </c>
      <c r="FQ14" s="116">
        <f t="shared" si="34"/>
        <v>142458.24199583288</v>
      </c>
      <c r="FR14" s="116">
        <f t="shared" si="34"/>
        <v>142458.24199583288</v>
      </c>
      <c r="FS14" s="116">
        <f t="shared" si="34"/>
        <v>142458.24199583288</v>
      </c>
      <c r="FT14" s="116">
        <f t="shared" si="34"/>
        <v>142458.24199583288</v>
      </c>
      <c r="FU14" s="116">
        <f t="shared" si="34"/>
        <v>142458.24199583288</v>
      </c>
      <c r="FV14" s="116">
        <f t="shared" si="34"/>
        <v>142458.24199583288</v>
      </c>
      <c r="FW14" s="116">
        <f t="shared" si="34"/>
        <v>142458.24199583288</v>
      </c>
      <c r="FX14" s="116">
        <f t="shared" si="34"/>
        <v>142458.24199583288</v>
      </c>
      <c r="FY14" s="116">
        <f t="shared" si="34"/>
        <v>142458.24199583288</v>
      </c>
      <c r="FZ14" s="116">
        <f t="shared" si="34"/>
        <v>142458.24199583288</v>
      </c>
      <c r="GA14" s="116">
        <f t="shared" si="34"/>
        <v>142458.24199583288</v>
      </c>
      <c r="GB14" s="116">
        <f t="shared" si="34"/>
        <v>142458.24199583288</v>
      </c>
      <c r="GC14" s="116">
        <f t="shared" si="34"/>
        <v>142458.24199583288</v>
      </c>
      <c r="GD14" s="116">
        <f t="shared" si="34"/>
        <v>142458.24199583288</v>
      </c>
      <c r="GE14" s="116">
        <f t="shared" si="34"/>
        <v>142458.24199583288</v>
      </c>
      <c r="GF14" s="116">
        <f t="shared" si="34"/>
        <v>142458.24199583288</v>
      </c>
      <c r="GG14" s="116">
        <f t="shared" si="34"/>
        <v>142458.24199583288</v>
      </c>
      <c r="GH14" s="116">
        <f t="shared" si="34"/>
        <v>142458.24199583288</v>
      </c>
      <c r="GI14" s="116">
        <f t="shared" si="34"/>
        <v>142458.24199583288</v>
      </c>
      <c r="GJ14" s="116">
        <f t="shared" si="34"/>
        <v>142458.24199583288</v>
      </c>
      <c r="GK14" s="116">
        <f t="shared" si="34"/>
        <v>142458.24199583288</v>
      </c>
      <c r="GL14" s="116">
        <f t="shared" si="34"/>
        <v>142458.24199583288</v>
      </c>
      <c r="GM14" s="116">
        <f t="shared" si="34"/>
        <v>142458.24199583288</v>
      </c>
      <c r="GN14" s="116">
        <f t="shared" si="34"/>
        <v>142458.24199583288</v>
      </c>
      <c r="GO14" s="116">
        <f t="shared" si="34"/>
        <v>142458.24199583288</v>
      </c>
      <c r="GP14" s="116">
        <f t="shared" si="34"/>
        <v>142458.24199583288</v>
      </c>
      <c r="GQ14" s="116">
        <f t="shared" si="34"/>
        <v>142458.24199583288</v>
      </c>
      <c r="GR14" s="116">
        <f t="shared" si="34"/>
        <v>142458.24199583288</v>
      </c>
      <c r="GS14" s="116">
        <f t="shared" ref="GS14:JD14" si="35">GS10-GS12</f>
        <v>142458.24199583288</v>
      </c>
      <c r="GT14" s="116">
        <f t="shared" si="35"/>
        <v>142458.24199583288</v>
      </c>
      <c r="GU14" s="116">
        <f t="shared" si="35"/>
        <v>142458.24199583288</v>
      </c>
      <c r="GV14" s="116">
        <f t="shared" si="35"/>
        <v>142458.24199583288</v>
      </c>
      <c r="GW14" s="116">
        <f t="shared" si="35"/>
        <v>142458.24199583288</v>
      </c>
      <c r="GX14" s="116">
        <f t="shared" si="35"/>
        <v>142458.24199583288</v>
      </c>
      <c r="GY14" s="116">
        <f t="shared" si="35"/>
        <v>142458.24199583288</v>
      </c>
      <c r="GZ14" s="116">
        <f t="shared" si="35"/>
        <v>142458.24199583288</v>
      </c>
      <c r="HA14" s="116">
        <f t="shared" si="35"/>
        <v>142458.24199583288</v>
      </c>
      <c r="HB14" s="116">
        <f t="shared" si="35"/>
        <v>142458.24199583288</v>
      </c>
      <c r="HC14" s="116">
        <f t="shared" si="35"/>
        <v>142458.24199583288</v>
      </c>
      <c r="HD14" s="116">
        <f t="shared" si="35"/>
        <v>142458.24199583288</v>
      </c>
      <c r="HE14" s="116">
        <f t="shared" si="35"/>
        <v>142458.24199583288</v>
      </c>
      <c r="HF14" s="116">
        <f t="shared" si="35"/>
        <v>142458.24199583288</v>
      </c>
      <c r="HG14" s="116">
        <f t="shared" si="35"/>
        <v>142458.24199583288</v>
      </c>
      <c r="HH14" s="116">
        <f t="shared" si="35"/>
        <v>142458.24199583288</v>
      </c>
      <c r="HI14" s="116">
        <f t="shared" si="35"/>
        <v>142458.24199583288</v>
      </c>
      <c r="HJ14" s="116">
        <f t="shared" si="35"/>
        <v>142458.24199583288</v>
      </c>
      <c r="HK14" s="116">
        <f t="shared" si="35"/>
        <v>142458.24199583288</v>
      </c>
      <c r="HL14" s="116">
        <f t="shared" si="35"/>
        <v>142458.24199583288</v>
      </c>
      <c r="HM14" s="116">
        <f t="shared" si="35"/>
        <v>142458.24199583288</v>
      </c>
      <c r="HN14" s="116">
        <f t="shared" si="35"/>
        <v>142458.24199583288</v>
      </c>
      <c r="HO14" s="116">
        <f t="shared" si="35"/>
        <v>142458.24199583288</v>
      </c>
      <c r="HP14" s="116">
        <f t="shared" si="35"/>
        <v>142458.24199583288</v>
      </c>
      <c r="HQ14" s="116">
        <f t="shared" si="35"/>
        <v>142458.24199583288</v>
      </c>
      <c r="HR14" s="116">
        <f t="shared" si="35"/>
        <v>142458.24199583288</v>
      </c>
      <c r="HS14" s="116">
        <f t="shared" si="35"/>
        <v>142458.24199583288</v>
      </c>
      <c r="HT14" s="116">
        <f t="shared" si="35"/>
        <v>142458.24199583288</v>
      </c>
      <c r="HU14" s="116">
        <f t="shared" si="35"/>
        <v>142458.24199583288</v>
      </c>
      <c r="HV14" s="116">
        <f t="shared" si="35"/>
        <v>142458.24199583288</v>
      </c>
      <c r="HW14" s="116">
        <f t="shared" si="35"/>
        <v>142458.24199583288</v>
      </c>
      <c r="HX14" s="116">
        <f t="shared" si="35"/>
        <v>142458.24199583288</v>
      </c>
      <c r="HY14" s="116">
        <f t="shared" si="35"/>
        <v>142458.24199583288</v>
      </c>
      <c r="HZ14" s="116">
        <f t="shared" si="35"/>
        <v>142458.24199583288</v>
      </c>
      <c r="IA14" s="116">
        <f t="shared" si="35"/>
        <v>142458.24199583288</v>
      </c>
      <c r="IB14" s="116">
        <f t="shared" si="35"/>
        <v>142458.24199583288</v>
      </c>
      <c r="IC14" s="116">
        <f t="shared" si="35"/>
        <v>142458.24199583288</v>
      </c>
      <c r="ID14" s="116">
        <f t="shared" si="35"/>
        <v>142458.24199583288</v>
      </c>
      <c r="IE14" s="116">
        <f t="shared" si="35"/>
        <v>142458.24199583288</v>
      </c>
      <c r="IF14" s="116">
        <f t="shared" si="35"/>
        <v>142458.24199583288</v>
      </c>
      <c r="IG14" s="116">
        <f t="shared" si="35"/>
        <v>142458.24199583288</v>
      </c>
      <c r="IH14" s="116">
        <f t="shared" si="35"/>
        <v>142458.24199583288</v>
      </c>
      <c r="II14" s="116">
        <f t="shared" si="35"/>
        <v>142458.24199583288</v>
      </c>
      <c r="IJ14" s="116">
        <f t="shared" si="35"/>
        <v>142458.24199583288</v>
      </c>
      <c r="IK14" s="116">
        <f t="shared" si="35"/>
        <v>142458.24199583288</v>
      </c>
      <c r="IL14" s="116">
        <f t="shared" si="35"/>
        <v>142458.24199583288</v>
      </c>
      <c r="IM14" s="116">
        <f t="shared" si="35"/>
        <v>142458.24199583288</v>
      </c>
      <c r="IN14" s="116">
        <f t="shared" si="35"/>
        <v>142458.24199583288</v>
      </c>
      <c r="IO14" s="116">
        <f t="shared" si="35"/>
        <v>142458.24199583288</v>
      </c>
      <c r="IP14" s="116">
        <f t="shared" si="35"/>
        <v>142458.24199583288</v>
      </c>
      <c r="IQ14" s="116">
        <f t="shared" si="35"/>
        <v>142458.24199583288</v>
      </c>
      <c r="IR14" s="116">
        <f t="shared" si="35"/>
        <v>142458.24199583288</v>
      </c>
      <c r="IS14" s="116">
        <f t="shared" si="35"/>
        <v>142458.24199583288</v>
      </c>
      <c r="IT14" s="116">
        <f t="shared" si="35"/>
        <v>142458.24199583288</v>
      </c>
      <c r="IU14" s="116">
        <f t="shared" si="35"/>
        <v>142458.24199583288</v>
      </c>
      <c r="IV14" s="116">
        <f t="shared" si="35"/>
        <v>142458.24199583288</v>
      </c>
      <c r="IW14" s="116">
        <f t="shared" si="35"/>
        <v>142458.24199583288</v>
      </c>
      <c r="IX14" s="116">
        <f t="shared" si="35"/>
        <v>142458.24199583288</v>
      </c>
      <c r="IY14" s="116">
        <f t="shared" si="35"/>
        <v>142458.24199583288</v>
      </c>
      <c r="IZ14" s="116">
        <f t="shared" si="35"/>
        <v>142458.24199583288</v>
      </c>
      <c r="JA14" s="116">
        <f t="shared" si="35"/>
        <v>142458.24199583288</v>
      </c>
      <c r="JB14" s="116">
        <f t="shared" si="35"/>
        <v>142458.24199583288</v>
      </c>
      <c r="JC14" s="116">
        <f t="shared" si="35"/>
        <v>142458.24199583288</v>
      </c>
      <c r="JD14" s="116">
        <f t="shared" si="35"/>
        <v>142458.24199583288</v>
      </c>
      <c r="JE14" s="116">
        <f t="shared" ref="JE14:KF14" si="36">JE10-JE12</f>
        <v>142458.24199583288</v>
      </c>
      <c r="JF14" s="116">
        <f t="shared" si="36"/>
        <v>142458.24199583288</v>
      </c>
      <c r="JG14" s="116">
        <f t="shared" si="36"/>
        <v>142458.24199583288</v>
      </c>
      <c r="JH14" s="116">
        <f t="shared" si="36"/>
        <v>142458.24199583288</v>
      </c>
      <c r="JI14" s="116">
        <f t="shared" si="36"/>
        <v>142458.24199583288</v>
      </c>
      <c r="JJ14" s="116">
        <f t="shared" si="36"/>
        <v>142458.24199583288</v>
      </c>
      <c r="JK14" s="116">
        <f t="shared" si="36"/>
        <v>142458.24199583288</v>
      </c>
      <c r="JL14" s="116">
        <f t="shared" si="36"/>
        <v>142458.24199583288</v>
      </c>
      <c r="JM14" s="116">
        <f t="shared" si="36"/>
        <v>142458.24199583288</v>
      </c>
      <c r="JN14" s="116">
        <f t="shared" si="36"/>
        <v>142458.24199583288</v>
      </c>
      <c r="JO14" s="116">
        <f t="shared" si="36"/>
        <v>142458.24199583288</v>
      </c>
      <c r="JP14" s="116">
        <f t="shared" si="36"/>
        <v>142458.24199583288</v>
      </c>
      <c r="JQ14" s="116">
        <f t="shared" si="36"/>
        <v>142458.24199583288</v>
      </c>
      <c r="JR14" s="116">
        <f t="shared" si="36"/>
        <v>142458.24199583288</v>
      </c>
      <c r="JS14" s="116">
        <f t="shared" si="36"/>
        <v>142458.24199583288</v>
      </c>
      <c r="JT14" s="116">
        <f t="shared" si="36"/>
        <v>142458.24199583288</v>
      </c>
      <c r="JU14" s="116">
        <f t="shared" si="36"/>
        <v>142458.24199583288</v>
      </c>
      <c r="JV14" s="116">
        <f t="shared" si="36"/>
        <v>142458.24199583288</v>
      </c>
      <c r="JW14" s="116">
        <f t="shared" si="36"/>
        <v>142458.24199583288</v>
      </c>
      <c r="JX14" s="116">
        <f t="shared" si="36"/>
        <v>142458.24199583288</v>
      </c>
      <c r="JY14" s="116">
        <f t="shared" si="36"/>
        <v>142458.24199583288</v>
      </c>
      <c r="JZ14" s="116">
        <f t="shared" si="36"/>
        <v>142458.24199583288</v>
      </c>
      <c r="KA14" s="116">
        <f t="shared" si="36"/>
        <v>142458.24199583288</v>
      </c>
      <c r="KB14" s="116">
        <f t="shared" si="36"/>
        <v>142458.24199583288</v>
      </c>
      <c r="KC14" s="116">
        <f t="shared" si="36"/>
        <v>142458.24199583288</v>
      </c>
      <c r="KD14" s="116">
        <f t="shared" si="36"/>
        <v>142458.24199583288</v>
      </c>
      <c r="KE14" s="116">
        <f t="shared" si="36"/>
        <v>142458.24199583288</v>
      </c>
      <c r="KF14" s="116">
        <f t="shared" si="36"/>
        <v>142458.24199583288</v>
      </c>
    </row>
    <row r="15" spans="1:770" s="100" customFormat="1"/>
    <row r="16" spans="1:770" s="100" customFormat="1">
      <c r="C16" s="102" t="s">
        <v>302</v>
      </c>
      <c r="D16" s="102" t="s">
        <v>302</v>
      </c>
    </row>
    <row r="17" spans="1:292">
      <c r="A17" s="802"/>
      <c r="B17" s="104" t="s">
        <v>533</v>
      </c>
      <c r="C17" s="273">
        <f>C3-D17</f>
        <v>-211122.97597728018</v>
      </c>
      <c r="D17" s="105">
        <f>SUM(F17:KF17)</f>
        <v>2792653.9759772802</v>
      </c>
      <c r="E17" s="115"/>
      <c r="F17" s="123">
        <f>SUMIFS('Expenditure Breakdown'!$U$6:$U$193, 'Expenditure Breakdown'!$T$6:$T$193, "&gt;="&amp;F1,'Expenditure Breakdown'!$T$6:$T$193, "&lt;"&amp;G1)</f>
        <v>0</v>
      </c>
      <c r="G17" s="123">
        <f>SUMIFS('Expenditure Breakdown'!$U$6:$U$193, 'Expenditure Breakdown'!$T$6:$T$193, "&gt;="&amp;G1,'Expenditure Breakdown'!$T$6:$T$193, "&lt;"&amp;H1)</f>
        <v>0</v>
      </c>
      <c r="H17" s="123">
        <f>SUMIFS('Expenditure Breakdown'!$U$6:$U$193, 'Expenditure Breakdown'!$T$6:$T$193, "&gt;="&amp;H1,'Expenditure Breakdown'!$T$6:$T$193, "&lt;"&amp;I1)</f>
        <v>0</v>
      </c>
      <c r="I17" s="123">
        <f>SUMIFS('Expenditure Breakdown'!$U$6:$U$193, 'Expenditure Breakdown'!$T$6:$T$193, "&gt;="&amp;I1,'Expenditure Breakdown'!$T$6:$T$193, "&lt;"&amp;J1)</f>
        <v>0</v>
      </c>
      <c r="J17" s="123">
        <f>SUMIFS('Expenditure Breakdown'!$U$6:$U$193, 'Expenditure Breakdown'!$T$6:$T$193, "&gt;="&amp;J1,'Expenditure Breakdown'!$T$6:$T$193, "&lt;"&amp;K1)</f>
        <v>0</v>
      </c>
      <c r="K17" s="123">
        <f>SUMIFS('Expenditure Breakdown'!$U$6:$U$193, 'Expenditure Breakdown'!$T$6:$T$193, "&gt;="&amp;K1,'Expenditure Breakdown'!$T$6:$T$193, "&lt;"&amp;L1)</f>
        <v>0</v>
      </c>
      <c r="L17" s="123">
        <f>SUMIFS('Expenditure Breakdown'!$U$6:$U$193, 'Expenditure Breakdown'!$T$6:$T$193, "&gt;="&amp;L1,'Expenditure Breakdown'!$T$6:$T$193, "&lt;"&amp;M1)</f>
        <v>0</v>
      </c>
      <c r="M17" s="123">
        <f>SUMIFS('Expenditure Breakdown'!$U$6:$U$193, 'Expenditure Breakdown'!$T$6:$T$193, "&gt;="&amp;M1,'Expenditure Breakdown'!$T$6:$T$193, "&lt;"&amp;N1)</f>
        <v>0</v>
      </c>
      <c r="N17" s="123">
        <f>SUMIFS('Expenditure Breakdown'!$U$6:$U$193, 'Expenditure Breakdown'!$T$6:$T$193, "&gt;="&amp;N1,'Expenditure Breakdown'!$T$6:$T$193, "&lt;"&amp;O1)</f>
        <v>1304579.4081294227</v>
      </c>
      <c r="O17" s="123">
        <f>SUMIFS('Expenditure Breakdown'!$U$6:$U$193, 'Expenditure Breakdown'!$T$6:$T$193, "&gt;="&amp;O1,'Expenditure Breakdown'!$T$6:$T$193, "&lt;"&amp;P1)</f>
        <v>0</v>
      </c>
      <c r="P17" s="123">
        <f>SUMIFS('Expenditure Breakdown'!$U$6:$U$193, 'Expenditure Breakdown'!$T$6:$T$193, "&gt;="&amp;P1,'Expenditure Breakdown'!$T$6:$T$193, "&lt;"&amp;Q1)</f>
        <v>0</v>
      </c>
      <c r="Q17" s="123">
        <f>SUMIFS('Expenditure Breakdown'!$U$6:$U$193, 'Expenditure Breakdown'!$T$6:$T$193, "&gt;="&amp;Q1,'Expenditure Breakdown'!$T$6:$T$193, "&lt;"&amp;R1)</f>
        <v>0</v>
      </c>
      <c r="R17" s="123">
        <f>SUMIFS('Expenditure Breakdown'!$U$6:$U$193, 'Expenditure Breakdown'!$T$6:$T$193, "&gt;="&amp;R1,'Expenditure Breakdown'!$T$6:$T$193, "&lt;"&amp;S1)</f>
        <v>672817.95397415059</v>
      </c>
      <c r="S17" s="123">
        <f>SUMIFS('Expenditure Breakdown'!$U$6:$U$193, 'Expenditure Breakdown'!$T$6:$T$193, "&gt;="&amp;S1,'Expenditure Breakdown'!$T$6:$T$193, "&lt;"&amp;T1)</f>
        <v>0</v>
      </c>
      <c r="T17" s="123">
        <f>SUMIFS('Expenditure Breakdown'!$U$6:$U$193, 'Expenditure Breakdown'!$T$6:$T$193, "&gt;="&amp;T1,'Expenditure Breakdown'!$T$6:$T$193, "&lt;"&amp;U1)</f>
        <v>0</v>
      </c>
      <c r="U17" s="123">
        <f>SUMIFS('Expenditure Breakdown'!$U$6:$U$193, 'Expenditure Breakdown'!$T$6:$T$193, "&gt;="&amp;U1,'Expenditure Breakdown'!$T$6:$T$193, "&lt;"&amp;V1)</f>
        <v>0</v>
      </c>
      <c r="V17" s="123">
        <f>SUMIFS('Expenditure Breakdown'!$U$6:$U$193, 'Expenditure Breakdown'!$T$6:$T$193, "&gt;="&amp;V1,'Expenditure Breakdown'!$T$6:$T$193, "&lt;"&amp;W1)</f>
        <v>0</v>
      </c>
      <c r="W17" s="123">
        <f>SUMIFS('Expenditure Breakdown'!$U$6:$U$193, 'Expenditure Breakdown'!$T$6:$T$193, "&gt;="&amp;W1,'Expenditure Breakdown'!$T$6:$T$193, "&lt;"&amp;X1)</f>
        <v>614667.77245380939</v>
      </c>
      <c r="X17" s="123">
        <f>SUMIFS('Expenditure Breakdown'!$U$6:$U$193, 'Expenditure Breakdown'!$T$6:$T$193, "&gt;="&amp;X1,'Expenditure Breakdown'!$T$6:$T$193, "&lt;"&amp;Y1)</f>
        <v>0</v>
      </c>
      <c r="Y17" s="123">
        <f>SUMIFS('Expenditure Breakdown'!$U$6:$U$193, 'Expenditure Breakdown'!$T$6:$T$193, "&gt;="&amp;Y1,'Expenditure Breakdown'!$T$6:$T$193, "&lt;"&amp;Z1)</f>
        <v>0</v>
      </c>
      <c r="Z17" s="123">
        <f>SUMIFS('Expenditure Breakdown'!$U$6:$U$193, 'Expenditure Breakdown'!$T$6:$T$193, "&gt;="&amp;Z1,'Expenditure Breakdown'!$T$6:$T$193, "&lt;"&amp;AA1)</f>
        <v>0</v>
      </c>
      <c r="AA17" s="123">
        <f>SUMIFS('Expenditure Breakdown'!$U$6:$U$193, 'Expenditure Breakdown'!$T$6:$T$193, "&gt;="&amp;AA1,'Expenditure Breakdown'!$T$6:$T$193, "&lt;"&amp;AB1)</f>
        <v>135929.28881275631</v>
      </c>
      <c r="AB17" s="123">
        <f>SUMIFS('Expenditure Breakdown'!$U$6:$U$193, 'Expenditure Breakdown'!$T$6:$T$193, "&gt;="&amp;AB1,'Expenditure Breakdown'!$T$6:$T$193, "&lt;"&amp;AC1)</f>
        <v>0</v>
      </c>
      <c r="AC17" s="123">
        <f>SUMIFS('Expenditure Breakdown'!$U$6:$U$193, 'Expenditure Breakdown'!$T$6:$T$193, "&gt;="&amp;AC1,'Expenditure Breakdown'!$T$6:$T$193, "&lt;"&amp;AD1)</f>
        <v>0</v>
      </c>
      <c r="AD17" s="123">
        <f>SUMIFS('Expenditure Breakdown'!$U$6:$U$193, 'Expenditure Breakdown'!$T$6:$T$193, "&gt;="&amp;AD1,'Expenditure Breakdown'!$T$6:$T$193, "&lt;"&amp;AE1)</f>
        <v>0</v>
      </c>
      <c r="AE17" s="123">
        <f>SUMIFS('Expenditure Breakdown'!$U$6:$U$193, 'Expenditure Breakdown'!$T$6:$T$193, "&gt;="&amp;AE1,'Expenditure Breakdown'!$T$6:$T$193, "&lt;"&amp;AF1)</f>
        <v>64659.552607141311</v>
      </c>
      <c r="AF17" s="123">
        <f>SUMIFS('Expenditure Breakdown'!$U$6:$U$193, 'Expenditure Breakdown'!$T$6:$T$193, "&gt;="&amp;AF1,'Expenditure Breakdown'!$T$6:$T$193, "&lt;"&amp;AG1)</f>
        <v>0</v>
      </c>
      <c r="AG17" s="123">
        <f>SUMIFS('Expenditure Breakdown'!$U$6:$U$193, 'Expenditure Breakdown'!$T$6:$T$193, "&gt;="&amp;AG1,'Expenditure Breakdown'!$T$6:$T$193, "&lt;"&amp;AH1)</f>
        <v>0</v>
      </c>
      <c r="AH17" s="123">
        <f>SUMIFS('Expenditure Breakdown'!$U$6:$U$193, 'Expenditure Breakdown'!$T$6:$T$193, "&gt;="&amp;AH1,'Expenditure Breakdown'!$T$6:$T$193, "&lt;"&amp;AI1)</f>
        <v>0</v>
      </c>
      <c r="AI17" s="123">
        <f>SUMIFS('Expenditure Breakdown'!$U$6:$U$193, 'Expenditure Breakdown'!$T$6:$T$193, "&gt;="&amp;AI1,'Expenditure Breakdown'!$T$6:$T$193, "&lt;"&amp;AJ1)</f>
        <v>0</v>
      </c>
      <c r="AJ17" s="123">
        <f>SUMIFS('Expenditure Breakdown'!$U$6:$U$193, 'Expenditure Breakdown'!$T$6:$T$193, "&gt;="&amp;AJ1,'Expenditure Breakdown'!$T$6:$T$193, "&lt;"&amp;AK1)</f>
        <v>0</v>
      </c>
      <c r="AK17" s="123">
        <f>SUMIFS('Expenditure Breakdown'!$U$6:$U$193, 'Expenditure Breakdown'!$T$6:$T$193, "&gt;="&amp;AK1,'Expenditure Breakdown'!$T$6:$T$193, "&lt;"&amp;AL1)</f>
        <v>0</v>
      </c>
      <c r="AL17" s="123">
        <f>SUMIFS('Expenditure Breakdown'!$U$6:$U$193, 'Expenditure Breakdown'!$T$6:$T$193, "&gt;="&amp;AL1,'Expenditure Breakdown'!$T$6:$T$193, "&lt;"&amp;AM1)</f>
        <v>0</v>
      </c>
      <c r="AM17" s="123">
        <f>SUMIFS('Expenditure Breakdown'!$U$6:$U$193, 'Expenditure Breakdown'!$T$6:$T$193, "&gt;="&amp;AM1,'Expenditure Breakdown'!$T$6:$T$193, "&lt;"&amp;AN1)</f>
        <v>0</v>
      </c>
      <c r="AN17" s="123">
        <f>SUMIFS('Expenditure Breakdown'!$U$6:$U$193, 'Expenditure Breakdown'!$T$6:$T$193, "&gt;="&amp;AN1,'Expenditure Breakdown'!$T$6:$T$193, "&lt;"&amp;AO1)</f>
        <v>0</v>
      </c>
      <c r="AO17" s="123">
        <f>SUMIFS('Expenditure Breakdown'!$U$6:$U$193, 'Expenditure Breakdown'!$T$6:$T$193, "&gt;="&amp;AO1,'Expenditure Breakdown'!$T$6:$T$193, "&lt;"&amp;AP1)</f>
        <v>0</v>
      </c>
      <c r="AP17" s="123">
        <f>SUMIFS('Expenditure Breakdown'!$U$6:$U$193, 'Expenditure Breakdown'!$T$6:$T$193, "&gt;="&amp;AP1,'Expenditure Breakdown'!$T$6:$T$193, "&lt;"&amp;AQ1)</f>
        <v>0</v>
      </c>
      <c r="AQ17" s="123">
        <f>SUMIFS('Expenditure Breakdown'!$U$6:$U$193, 'Expenditure Breakdown'!$T$6:$T$193, "&gt;="&amp;AQ1,'Expenditure Breakdown'!$T$6:$T$193, "&lt;"&amp;AR1)</f>
        <v>0</v>
      </c>
      <c r="AR17" s="123">
        <f>SUMIFS('Expenditure Breakdown'!$U$6:$U$193, 'Expenditure Breakdown'!$T$6:$T$193, "&gt;="&amp;AR1,'Expenditure Breakdown'!$T$6:$T$193, "&lt;"&amp;AS1)</f>
        <v>0</v>
      </c>
      <c r="AS17" s="123">
        <f>SUMIFS('Expenditure Breakdown'!$U$6:$U$193, 'Expenditure Breakdown'!$T$6:$T$193, "&gt;="&amp;AS1,'Expenditure Breakdown'!$T$6:$T$193, "&lt;"&amp;AT1)</f>
        <v>0</v>
      </c>
      <c r="AT17" s="123">
        <f>SUMIFS('Expenditure Breakdown'!$U$6:$U$193, 'Expenditure Breakdown'!$T$6:$T$193, "&gt;="&amp;AT1,'Expenditure Breakdown'!$T$6:$T$193, "&lt;"&amp;AU1)</f>
        <v>0</v>
      </c>
      <c r="AU17" s="123">
        <f>SUMIFS('Expenditure Breakdown'!$U$6:$U$193, 'Expenditure Breakdown'!$T$6:$T$193, "&gt;="&amp;AU1,'Expenditure Breakdown'!$T$6:$T$193, "&lt;"&amp;AV1)</f>
        <v>0</v>
      </c>
      <c r="AV17" s="123">
        <f>SUMIFS('Expenditure Breakdown'!$U$6:$U$193, 'Expenditure Breakdown'!$T$6:$T$193, "&gt;="&amp;AV1,'Expenditure Breakdown'!$T$6:$T$193, "&lt;"&amp;AW1)</f>
        <v>0</v>
      </c>
      <c r="AW17" s="123">
        <f>SUMIFS('Expenditure Breakdown'!$U$6:$U$193, 'Expenditure Breakdown'!$T$6:$T$193, "&gt;="&amp;AW1,'Expenditure Breakdown'!$T$6:$T$193, "&lt;"&amp;AX1)</f>
        <v>0</v>
      </c>
      <c r="AX17" s="123">
        <f>SUMIFS('Expenditure Breakdown'!$U$6:$U$193, 'Expenditure Breakdown'!$T$6:$T$193, "&gt;="&amp;AX1,'Expenditure Breakdown'!$T$6:$T$193, "&lt;"&amp;AY1)</f>
        <v>0</v>
      </c>
      <c r="AY17" s="123">
        <f>SUMIFS('Expenditure Breakdown'!$U$6:$U$193, 'Expenditure Breakdown'!$T$6:$T$193, "&gt;="&amp;AY1,'Expenditure Breakdown'!$T$6:$T$193, "&lt;"&amp;AZ1)</f>
        <v>0</v>
      </c>
      <c r="AZ17" s="123">
        <f>SUMIFS('Expenditure Breakdown'!$U$6:$U$193, 'Expenditure Breakdown'!$T$6:$T$193, "&gt;="&amp;AZ1,'Expenditure Breakdown'!$T$6:$T$193, "&lt;"&amp;BA1)</f>
        <v>0</v>
      </c>
      <c r="BA17" s="123">
        <f>SUMIFS('Expenditure Breakdown'!$U$6:$U$193, 'Expenditure Breakdown'!$T$6:$T$193, "&gt;="&amp;BA1,'Expenditure Breakdown'!$T$6:$T$193, "&lt;"&amp;BB1)</f>
        <v>0</v>
      </c>
      <c r="BB17" s="123">
        <f>SUMIFS('Expenditure Breakdown'!$U$6:$U$193, 'Expenditure Breakdown'!$T$6:$T$193, "&gt;="&amp;BB1,'Expenditure Breakdown'!$T$6:$T$193, "&lt;"&amp;BC1)</f>
        <v>0</v>
      </c>
      <c r="BC17" s="123">
        <f>SUMIFS('Expenditure Breakdown'!$U$6:$U$193, 'Expenditure Breakdown'!$T$6:$T$193, "&gt;="&amp;BC1,'Expenditure Breakdown'!$T$6:$T$193, "&lt;"&amp;BD1)</f>
        <v>0</v>
      </c>
      <c r="BD17" s="123">
        <f>SUMIFS('Expenditure Breakdown'!$U$6:$U$193, 'Expenditure Breakdown'!$T$6:$T$193, "&gt;="&amp;BD1,'Expenditure Breakdown'!$T$6:$T$193, "&lt;"&amp;BE1)</f>
        <v>0</v>
      </c>
      <c r="BE17" s="123">
        <f>SUMIFS('Expenditure Breakdown'!$U$6:$U$193, 'Expenditure Breakdown'!$T$6:$T$193, "&gt;="&amp;BE1,'Expenditure Breakdown'!$T$6:$T$193, "&lt;"&amp;BF1)</f>
        <v>0</v>
      </c>
      <c r="BF17" s="123">
        <f>SUMIFS('Expenditure Breakdown'!$U$6:$U$193, 'Expenditure Breakdown'!$T$6:$T$193, "&gt;="&amp;BF1,'Expenditure Breakdown'!$T$6:$T$193, "&lt;"&amp;BG1)</f>
        <v>0</v>
      </c>
      <c r="BG17" s="123">
        <f>SUMIFS('Expenditure Breakdown'!$U$6:$U$193, 'Expenditure Breakdown'!$T$6:$T$193, "&gt;="&amp;BG1,'Expenditure Breakdown'!$T$6:$T$193, "&lt;"&amp;BH1)</f>
        <v>0</v>
      </c>
      <c r="BH17" s="123">
        <f>SUMIFS('Expenditure Breakdown'!$U$6:$U$193, 'Expenditure Breakdown'!$T$6:$T$193, "&gt;="&amp;BH1,'Expenditure Breakdown'!$T$6:$T$193, "&lt;"&amp;BI1)</f>
        <v>0</v>
      </c>
      <c r="BI17" s="123">
        <f>SUMIFS('Expenditure Breakdown'!$U$6:$U$193, 'Expenditure Breakdown'!$T$6:$T$193, "&gt;="&amp;BI1,'Expenditure Breakdown'!$T$6:$T$193, "&lt;"&amp;BJ1)</f>
        <v>0</v>
      </c>
      <c r="BJ17" s="123">
        <f>SUMIFS('Expenditure Breakdown'!$U$6:$U$193, 'Expenditure Breakdown'!$T$6:$T$193, "&gt;="&amp;BJ1,'Expenditure Breakdown'!$T$6:$T$193, "&lt;"&amp;BK1)</f>
        <v>0</v>
      </c>
      <c r="BK17" s="123">
        <f>SUMIFS('Expenditure Breakdown'!$U$6:$U$193, 'Expenditure Breakdown'!$T$6:$T$193, "&gt;="&amp;BK1,'Expenditure Breakdown'!$T$6:$T$193, "&lt;"&amp;BL1)</f>
        <v>0</v>
      </c>
      <c r="BL17" s="123">
        <f>SUMIFS('Expenditure Breakdown'!$U$6:$U$193, 'Expenditure Breakdown'!$T$6:$T$193, "&gt;="&amp;BL1,'Expenditure Breakdown'!$T$6:$T$193, "&lt;"&amp;BM1)</f>
        <v>0</v>
      </c>
      <c r="BM17" s="123">
        <f>SUMIFS('Expenditure Breakdown'!$U$6:$U$193, 'Expenditure Breakdown'!$T$6:$T$193, "&gt;="&amp;BM1,'Expenditure Breakdown'!$T$6:$T$193, "&lt;"&amp;BN1)</f>
        <v>0</v>
      </c>
      <c r="BN17" s="123">
        <f>SUMIFS('Expenditure Breakdown'!$U$6:$U$193, 'Expenditure Breakdown'!$T$6:$T$193, "&gt;="&amp;BN1,'Expenditure Breakdown'!$T$6:$T$193, "&lt;"&amp;BO1)</f>
        <v>0</v>
      </c>
      <c r="BO17" s="123">
        <f>SUMIFS('Expenditure Breakdown'!$U$6:$U$193, 'Expenditure Breakdown'!$T$6:$T$193, "&gt;="&amp;BO1,'Expenditure Breakdown'!$T$6:$T$193, "&lt;"&amp;BP1)</f>
        <v>0</v>
      </c>
      <c r="BP17" s="123">
        <f>SUMIFS('Expenditure Breakdown'!$U$6:$U$193, 'Expenditure Breakdown'!$T$6:$T$193, "&gt;="&amp;BP1,'Expenditure Breakdown'!$T$6:$T$193, "&lt;"&amp;BQ1)</f>
        <v>0</v>
      </c>
      <c r="BQ17" s="123">
        <f>SUMIFS('Expenditure Breakdown'!$U$6:$U$193, 'Expenditure Breakdown'!$T$6:$T$193, "&gt;="&amp;BQ1,'Expenditure Breakdown'!$T$6:$T$193, "&lt;"&amp;BR1)</f>
        <v>0</v>
      </c>
      <c r="BR17" s="123">
        <f>SUMIFS('Expenditure Breakdown'!$U$6:$U$193, 'Expenditure Breakdown'!$T$6:$T$193, "&gt;="&amp;BR1,'Expenditure Breakdown'!$T$6:$T$193, "&lt;"&amp;BS1)</f>
        <v>0</v>
      </c>
      <c r="BS17" s="123">
        <f>SUMIFS('Expenditure Breakdown'!$U$6:$U$193, 'Expenditure Breakdown'!$T$6:$T$193, "&gt;="&amp;BS1,'Expenditure Breakdown'!$T$6:$T$193, "&lt;"&amp;BT1)</f>
        <v>0</v>
      </c>
      <c r="BT17" s="123">
        <f>SUMIFS('Expenditure Breakdown'!$U$6:$U$193, 'Expenditure Breakdown'!$T$6:$T$193, "&gt;="&amp;BT1,'Expenditure Breakdown'!$T$6:$T$193, "&lt;"&amp;BU1)</f>
        <v>0</v>
      </c>
      <c r="BU17" s="123">
        <f>SUMIFS('Expenditure Breakdown'!$U$6:$U$193, 'Expenditure Breakdown'!$T$6:$T$193, "&gt;="&amp;BU1,'Expenditure Breakdown'!$T$6:$T$193, "&lt;"&amp;BV1)</f>
        <v>0</v>
      </c>
      <c r="BV17" s="123">
        <f>SUMIFS('Expenditure Breakdown'!$U$6:$U$193, 'Expenditure Breakdown'!$T$6:$T$193, "&gt;="&amp;BV1,'Expenditure Breakdown'!$T$6:$T$193, "&lt;"&amp;BW1)</f>
        <v>0</v>
      </c>
      <c r="BW17" s="123">
        <f>SUMIFS('Expenditure Breakdown'!$U$6:$U$193, 'Expenditure Breakdown'!$T$6:$T$193, "&gt;="&amp;BW1,'Expenditure Breakdown'!$T$6:$T$193, "&lt;"&amp;BX1)</f>
        <v>0</v>
      </c>
      <c r="BX17" s="123">
        <f>SUMIFS('Expenditure Breakdown'!$U$6:$U$193, 'Expenditure Breakdown'!$T$6:$T$193, "&gt;="&amp;BX1,'Expenditure Breakdown'!$T$6:$T$193, "&lt;"&amp;BY1)</f>
        <v>0</v>
      </c>
      <c r="BY17" s="123">
        <f>SUMIFS('Expenditure Breakdown'!$U$6:$U$193, 'Expenditure Breakdown'!$T$6:$T$193, "&gt;="&amp;BY1,'Expenditure Breakdown'!$T$6:$T$193, "&lt;"&amp;BZ1)</f>
        <v>0</v>
      </c>
      <c r="BZ17" s="123">
        <f>SUMIFS('Expenditure Breakdown'!$U$6:$U$193, 'Expenditure Breakdown'!$T$6:$T$193, "&gt;="&amp;BZ1,'Expenditure Breakdown'!$T$6:$T$193, "&lt;"&amp;CA1)</f>
        <v>0</v>
      </c>
      <c r="CA17" s="123">
        <f>SUMIFS('Expenditure Breakdown'!$U$6:$U$193, 'Expenditure Breakdown'!$T$6:$T$193, "&gt;="&amp;CA1,'Expenditure Breakdown'!$T$6:$T$193, "&lt;"&amp;CB1)</f>
        <v>0</v>
      </c>
      <c r="CB17" s="123">
        <f>SUMIFS('Expenditure Breakdown'!$U$6:$U$193, 'Expenditure Breakdown'!$T$6:$T$193, "&gt;="&amp;CB1,'Expenditure Breakdown'!$T$6:$T$193, "&lt;"&amp;CC1)</f>
        <v>0</v>
      </c>
      <c r="CC17" s="123">
        <f>SUMIFS('Expenditure Breakdown'!$U$6:$U$193, 'Expenditure Breakdown'!$T$6:$T$193, "&gt;="&amp;CC1,'Expenditure Breakdown'!$T$6:$T$193, "&lt;"&amp;CD1)</f>
        <v>0</v>
      </c>
      <c r="CD17" s="123">
        <f>SUMIFS('Expenditure Breakdown'!$U$6:$U$193, 'Expenditure Breakdown'!$T$6:$T$193, "&gt;="&amp;CD1,'Expenditure Breakdown'!$T$6:$T$193, "&lt;"&amp;CE1)</f>
        <v>0</v>
      </c>
      <c r="CE17" s="123">
        <f>SUMIFS('Expenditure Breakdown'!$U$6:$U$193, 'Expenditure Breakdown'!$T$6:$T$193, "&gt;="&amp;CE1,'Expenditure Breakdown'!$T$6:$T$193, "&lt;"&amp;CF1)</f>
        <v>0</v>
      </c>
      <c r="CF17" s="123">
        <f>SUMIFS('Expenditure Breakdown'!$U$6:$U$193, 'Expenditure Breakdown'!$T$6:$T$193, "&gt;="&amp;CF1,'Expenditure Breakdown'!$T$6:$T$193, "&lt;"&amp;CG1)</f>
        <v>0</v>
      </c>
      <c r="CG17" s="123">
        <f>SUMIFS('Expenditure Breakdown'!$U$6:$U$193, 'Expenditure Breakdown'!$T$6:$T$193, "&gt;="&amp;CG1,'Expenditure Breakdown'!$T$6:$T$193, "&lt;"&amp;CH1)</f>
        <v>0</v>
      </c>
      <c r="CH17" s="123">
        <f>SUMIFS('Expenditure Breakdown'!$U$6:$U$193, 'Expenditure Breakdown'!$T$6:$T$193, "&gt;="&amp;CH1,'Expenditure Breakdown'!$T$6:$T$193, "&lt;"&amp;CI1)</f>
        <v>0</v>
      </c>
      <c r="CI17" s="123">
        <f>SUMIFS('Expenditure Breakdown'!$U$6:$U$193, 'Expenditure Breakdown'!$T$6:$T$193, "&gt;="&amp;CI1,'Expenditure Breakdown'!$T$6:$T$193, "&lt;"&amp;CJ1)</f>
        <v>0</v>
      </c>
      <c r="CJ17" s="123">
        <f>SUMIFS('Expenditure Breakdown'!$U$6:$U$193, 'Expenditure Breakdown'!$T$6:$T$193, "&gt;="&amp;CJ1,'Expenditure Breakdown'!$T$6:$T$193, "&lt;"&amp;CK1)</f>
        <v>0</v>
      </c>
      <c r="CK17" s="123">
        <f>SUMIFS('Expenditure Breakdown'!$U$6:$U$193, 'Expenditure Breakdown'!$T$6:$T$193, "&gt;="&amp;CK1,'Expenditure Breakdown'!$T$6:$T$193, "&lt;"&amp;CL1)</f>
        <v>0</v>
      </c>
      <c r="CL17" s="123">
        <f>SUMIFS('Expenditure Breakdown'!$U$6:$U$193, 'Expenditure Breakdown'!$T$6:$T$193, "&gt;="&amp;CL1,'Expenditure Breakdown'!$T$6:$T$193, "&lt;"&amp;CM1)</f>
        <v>0</v>
      </c>
      <c r="CM17" s="123">
        <f>SUMIFS('Expenditure Breakdown'!$U$6:$U$193, 'Expenditure Breakdown'!$T$6:$T$193, "&gt;="&amp;CM1,'Expenditure Breakdown'!$T$6:$T$193, "&lt;"&amp;CN1)</f>
        <v>0</v>
      </c>
      <c r="CN17" s="123">
        <f>SUMIFS('Expenditure Breakdown'!$U$6:$U$193, 'Expenditure Breakdown'!$T$6:$T$193, "&gt;="&amp;CN1,'Expenditure Breakdown'!$T$6:$T$193, "&lt;"&amp;CO1)</f>
        <v>0</v>
      </c>
      <c r="CO17" s="123">
        <f>SUMIFS('Expenditure Breakdown'!$U$6:$U$193, 'Expenditure Breakdown'!$T$6:$T$193, "&gt;="&amp;CO1,'Expenditure Breakdown'!$T$6:$T$193, "&lt;"&amp;CP1)</f>
        <v>0</v>
      </c>
      <c r="CP17" s="123">
        <f>SUMIFS('Expenditure Breakdown'!$U$6:$U$193, 'Expenditure Breakdown'!$T$6:$T$193, "&gt;="&amp;CP1,'Expenditure Breakdown'!$T$6:$T$193, "&lt;"&amp;CQ1)</f>
        <v>0</v>
      </c>
      <c r="CQ17" s="123">
        <f>SUMIFS('Expenditure Breakdown'!$U$6:$U$193, 'Expenditure Breakdown'!$T$6:$T$193, "&gt;="&amp;CQ1,'Expenditure Breakdown'!$T$6:$T$193, "&lt;"&amp;CR1)</f>
        <v>0</v>
      </c>
      <c r="CR17" s="123">
        <f>SUMIFS('Expenditure Breakdown'!$U$6:$U$193, 'Expenditure Breakdown'!$T$6:$T$193, "&gt;="&amp;CR1,'Expenditure Breakdown'!$T$6:$T$193, "&lt;"&amp;CS1)</f>
        <v>0</v>
      </c>
      <c r="CS17" s="123">
        <f>SUMIFS('Expenditure Breakdown'!$U$6:$U$193, 'Expenditure Breakdown'!$T$6:$T$193, "&gt;="&amp;CS1,'Expenditure Breakdown'!$T$6:$T$193, "&lt;"&amp;CT1)</f>
        <v>0</v>
      </c>
      <c r="CT17" s="123">
        <f>SUMIFS('Expenditure Breakdown'!$U$6:$U$193, 'Expenditure Breakdown'!$T$6:$T$193, "&gt;="&amp;CT1,'Expenditure Breakdown'!$T$6:$T$193, "&lt;"&amp;CU1)</f>
        <v>0</v>
      </c>
      <c r="CU17" s="123">
        <f>SUMIFS('Expenditure Breakdown'!$U$6:$U$193, 'Expenditure Breakdown'!$T$6:$T$193, "&gt;="&amp;CU1,'Expenditure Breakdown'!$T$6:$T$193, "&lt;"&amp;CV1)</f>
        <v>0</v>
      </c>
      <c r="CV17" s="123">
        <f>SUMIFS('Expenditure Breakdown'!$U$6:$U$193, 'Expenditure Breakdown'!$T$6:$T$193, "&gt;="&amp;CV1,'Expenditure Breakdown'!$T$6:$T$193, "&lt;"&amp;CW1)</f>
        <v>0</v>
      </c>
      <c r="CW17" s="123">
        <f>SUMIFS('Expenditure Breakdown'!$U$6:$U$193, 'Expenditure Breakdown'!$T$6:$T$193, "&gt;="&amp;CW1,'Expenditure Breakdown'!$T$6:$T$193, "&lt;"&amp;CX1)</f>
        <v>0</v>
      </c>
      <c r="CX17" s="123">
        <f>SUMIFS('Expenditure Breakdown'!$U$6:$U$193, 'Expenditure Breakdown'!$T$6:$T$193, "&gt;="&amp;CX1,'Expenditure Breakdown'!$T$6:$T$193, "&lt;"&amp;CY1)</f>
        <v>0</v>
      </c>
      <c r="CY17" s="123">
        <f>SUMIFS('Expenditure Breakdown'!$U$6:$U$193, 'Expenditure Breakdown'!$T$6:$T$193, "&gt;="&amp;CY1,'Expenditure Breakdown'!$T$6:$T$193, "&lt;"&amp;CZ1)</f>
        <v>0</v>
      </c>
      <c r="CZ17" s="123">
        <f>SUMIFS('Expenditure Breakdown'!$U$6:$U$193, 'Expenditure Breakdown'!$T$6:$T$193, "&gt;="&amp;CZ1,'Expenditure Breakdown'!$T$6:$T$193, "&lt;"&amp;DA1)</f>
        <v>0</v>
      </c>
      <c r="DA17" s="123">
        <f>SUMIFS('Expenditure Breakdown'!$U$6:$U$193, 'Expenditure Breakdown'!$T$6:$T$193, "&gt;="&amp;DA1,'Expenditure Breakdown'!$T$6:$T$193, "&lt;"&amp;DB1)</f>
        <v>0</v>
      </c>
      <c r="DB17" s="123">
        <f>SUMIFS('Expenditure Breakdown'!$U$6:$U$193, 'Expenditure Breakdown'!$T$6:$T$193, "&gt;="&amp;DB1,'Expenditure Breakdown'!$T$6:$T$193, "&lt;"&amp;DC1)</f>
        <v>0</v>
      </c>
      <c r="DC17" s="123">
        <f>SUMIFS('Expenditure Breakdown'!$U$6:$U$193, 'Expenditure Breakdown'!$T$6:$T$193, "&gt;="&amp;DC1,'Expenditure Breakdown'!$T$6:$T$193, "&lt;"&amp;DD1)</f>
        <v>0</v>
      </c>
      <c r="DD17" s="123">
        <f>SUMIFS('Expenditure Breakdown'!$U$6:$U$193, 'Expenditure Breakdown'!$T$6:$T$193, "&gt;="&amp;DD1,'Expenditure Breakdown'!$T$6:$T$193, "&lt;"&amp;DE1)</f>
        <v>0</v>
      </c>
      <c r="DE17" s="123">
        <f>SUMIFS('Expenditure Breakdown'!$U$6:$U$193, 'Expenditure Breakdown'!$T$6:$T$193, "&gt;="&amp;DE1,'Expenditure Breakdown'!$T$6:$T$193, "&lt;"&amp;DF1)</f>
        <v>0</v>
      </c>
      <c r="DF17" s="123">
        <f>SUMIFS('Expenditure Breakdown'!$U$6:$U$193, 'Expenditure Breakdown'!$T$6:$T$193, "&gt;="&amp;DF1,'Expenditure Breakdown'!$T$6:$T$193, "&lt;"&amp;DG1)</f>
        <v>0</v>
      </c>
      <c r="DG17" s="123">
        <f>SUMIFS('Expenditure Breakdown'!$U$6:$U$193, 'Expenditure Breakdown'!$T$6:$T$193, "&gt;="&amp;DG1,'Expenditure Breakdown'!$T$6:$T$193, "&lt;"&amp;DH1)</f>
        <v>0</v>
      </c>
      <c r="DH17" s="123">
        <f>SUMIFS('Expenditure Breakdown'!$U$6:$U$193, 'Expenditure Breakdown'!$T$6:$T$193, "&gt;="&amp;DH1,'Expenditure Breakdown'!$T$6:$T$193, "&lt;"&amp;DI1)</f>
        <v>0</v>
      </c>
      <c r="DI17" s="123">
        <f>SUMIFS('Expenditure Breakdown'!$U$6:$U$193, 'Expenditure Breakdown'!$T$6:$T$193, "&gt;="&amp;DI1,'Expenditure Breakdown'!$T$6:$T$193, "&lt;"&amp;DJ1)</f>
        <v>0</v>
      </c>
      <c r="DJ17" s="123">
        <f>SUMIFS('Expenditure Breakdown'!$U$6:$U$193, 'Expenditure Breakdown'!$T$6:$T$193, "&gt;="&amp;DJ1,'Expenditure Breakdown'!$T$6:$T$193, "&lt;"&amp;DK1)</f>
        <v>0</v>
      </c>
      <c r="DK17" s="123">
        <f>SUMIFS('Expenditure Breakdown'!$U$6:$U$193, 'Expenditure Breakdown'!$T$6:$T$193, "&gt;="&amp;DK1,'Expenditure Breakdown'!$T$6:$T$193, "&lt;"&amp;DL1)</f>
        <v>0</v>
      </c>
      <c r="DL17" s="123">
        <f>SUMIFS('Expenditure Breakdown'!$U$6:$U$193, 'Expenditure Breakdown'!$T$6:$T$193, "&gt;="&amp;DL1,'Expenditure Breakdown'!$T$6:$T$193, "&lt;"&amp;DM1)</f>
        <v>0</v>
      </c>
      <c r="DM17" s="123">
        <f>SUMIFS('Expenditure Breakdown'!$U$6:$U$193, 'Expenditure Breakdown'!$T$6:$T$193, "&gt;="&amp;DM1,'Expenditure Breakdown'!$T$6:$T$193, "&lt;"&amp;DN1)</f>
        <v>0</v>
      </c>
      <c r="DN17" s="123">
        <f>SUMIFS('Expenditure Breakdown'!$U$6:$U$193, 'Expenditure Breakdown'!$T$6:$T$193, "&gt;="&amp;DN1,'Expenditure Breakdown'!$T$6:$T$193, "&lt;"&amp;DO1)</f>
        <v>0</v>
      </c>
      <c r="DO17" s="123">
        <f>SUMIFS('Expenditure Breakdown'!$U$6:$U$193, 'Expenditure Breakdown'!$T$6:$T$193, "&gt;="&amp;DO1,'Expenditure Breakdown'!$T$6:$T$193, "&lt;"&amp;DP1)</f>
        <v>0</v>
      </c>
      <c r="DP17" s="123">
        <f>SUMIFS('Expenditure Breakdown'!$U$6:$U$193, 'Expenditure Breakdown'!$T$6:$T$193, "&gt;="&amp;DP1,'Expenditure Breakdown'!$T$6:$T$193, "&lt;"&amp;DQ1)</f>
        <v>0</v>
      </c>
      <c r="DQ17" s="123">
        <f>SUMIFS('Expenditure Breakdown'!$U$6:$U$193, 'Expenditure Breakdown'!$T$6:$T$193, "&gt;="&amp;DQ1,'Expenditure Breakdown'!$T$6:$T$193, "&lt;"&amp;DR1)</f>
        <v>0</v>
      </c>
      <c r="DR17" s="123">
        <f>SUMIFS('Expenditure Breakdown'!$U$6:$U$193, 'Expenditure Breakdown'!$T$6:$T$193, "&gt;="&amp;DR1,'Expenditure Breakdown'!$T$6:$T$193, "&lt;"&amp;DS1)</f>
        <v>0</v>
      </c>
      <c r="DS17" s="123">
        <f>SUMIFS('Expenditure Breakdown'!$U$6:$U$193, 'Expenditure Breakdown'!$T$6:$T$193, "&gt;="&amp;DS1,'Expenditure Breakdown'!$T$6:$T$193, "&lt;"&amp;DT1)</f>
        <v>0</v>
      </c>
      <c r="DT17" s="123">
        <f>SUMIFS('Expenditure Breakdown'!$U$6:$U$193, 'Expenditure Breakdown'!$T$6:$T$193, "&gt;="&amp;DT1,'Expenditure Breakdown'!$T$6:$T$193, "&lt;"&amp;DU1)</f>
        <v>0</v>
      </c>
      <c r="DU17" s="123">
        <f>SUMIFS('Expenditure Breakdown'!$U$6:$U$193, 'Expenditure Breakdown'!$T$6:$T$193, "&gt;="&amp;DU1,'Expenditure Breakdown'!$T$6:$T$193, "&lt;"&amp;DV1)</f>
        <v>0</v>
      </c>
      <c r="DV17" s="123">
        <f>SUMIFS('Expenditure Breakdown'!$U$6:$U$193, 'Expenditure Breakdown'!$T$6:$T$193, "&gt;="&amp;DV1,'Expenditure Breakdown'!$T$6:$T$193, "&lt;"&amp;DW1)</f>
        <v>0</v>
      </c>
      <c r="DW17" s="123">
        <f>SUMIFS('Expenditure Breakdown'!$U$6:$U$193, 'Expenditure Breakdown'!$T$6:$T$193, "&gt;="&amp;DW1,'Expenditure Breakdown'!$T$6:$T$193, "&lt;"&amp;DX1)</f>
        <v>0</v>
      </c>
      <c r="DX17" s="123">
        <f>SUMIFS('Expenditure Breakdown'!$U$6:$U$193, 'Expenditure Breakdown'!$T$6:$T$193, "&gt;="&amp;DX1,'Expenditure Breakdown'!$T$6:$T$193, "&lt;"&amp;DY1)</f>
        <v>0</v>
      </c>
      <c r="DY17" s="123">
        <f>SUMIFS('Expenditure Breakdown'!$U$6:$U$193, 'Expenditure Breakdown'!$T$6:$T$193, "&gt;="&amp;DY1,'Expenditure Breakdown'!$T$6:$T$193, "&lt;"&amp;DZ1)</f>
        <v>0</v>
      </c>
      <c r="DZ17" s="123">
        <f>SUMIFS('Expenditure Breakdown'!$U$6:$U$193, 'Expenditure Breakdown'!$T$6:$T$193, "&gt;="&amp;DZ1,'Expenditure Breakdown'!$T$6:$T$193, "&lt;"&amp;EA1)</f>
        <v>0</v>
      </c>
      <c r="EA17" s="123">
        <f>SUMIFS('Expenditure Breakdown'!$U$6:$U$193, 'Expenditure Breakdown'!$T$6:$T$193, "&gt;="&amp;EA1,'Expenditure Breakdown'!$T$6:$T$193, "&lt;"&amp;EB1)</f>
        <v>0</v>
      </c>
      <c r="EB17" s="123">
        <f>SUMIFS('Expenditure Breakdown'!$U$6:$U$193, 'Expenditure Breakdown'!$T$6:$T$193, "&gt;="&amp;EB1,'Expenditure Breakdown'!$T$6:$T$193, "&lt;"&amp;EC1)</f>
        <v>0</v>
      </c>
      <c r="EC17" s="123">
        <f>SUMIFS('Expenditure Breakdown'!$U$6:$U$193, 'Expenditure Breakdown'!$T$6:$T$193, "&gt;="&amp;EC1,'Expenditure Breakdown'!$T$6:$T$193, "&lt;"&amp;ED1)</f>
        <v>0</v>
      </c>
      <c r="ED17" s="123">
        <f>SUMIFS('Expenditure Breakdown'!$U$6:$U$193, 'Expenditure Breakdown'!$T$6:$T$193, "&gt;="&amp;ED1,'Expenditure Breakdown'!$T$6:$T$193, "&lt;"&amp;EE1)</f>
        <v>0</v>
      </c>
      <c r="EE17" s="123">
        <f>SUMIFS('Expenditure Breakdown'!$U$6:$U$193, 'Expenditure Breakdown'!$T$6:$T$193, "&gt;="&amp;EE1,'Expenditure Breakdown'!$T$6:$T$193, "&lt;"&amp;EF1)</f>
        <v>0</v>
      </c>
      <c r="EF17" s="123">
        <f>SUMIFS('Expenditure Breakdown'!$U$6:$U$193, 'Expenditure Breakdown'!$T$6:$T$193, "&gt;="&amp;EF1,'Expenditure Breakdown'!$T$6:$T$193, "&lt;"&amp;EG1)</f>
        <v>0</v>
      </c>
      <c r="EG17" s="123">
        <f>SUMIFS('Expenditure Breakdown'!$U$6:$U$193, 'Expenditure Breakdown'!$T$6:$T$193, "&gt;="&amp;EG1,'Expenditure Breakdown'!$T$6:$T$193, "&lt;"&amp;EH1)</f>
        <v>0</v>
      </c>
      <c r="EH17" s="123">
        <f>SUMIFS('Expenditure Breakdown'!$U$6:$U$193, 'Expenditure Breakdown'!$T$6:$T$193, "&gt;="&amp;EH1,'Expenditure Breakdown'!$T$6:$T$193, "&lt;"&amp;EI1)</f>
        <v>0</v>
      </c>
      <c r="EI17" s="123">
        <f>SUMIFS('Expenditure Breakdown'!$U$6:$U$193, 'Expenditure Breakdown'!$T$6:$T$193, "&gt;="&amp;EI1,'Expenditure Breakdown'!$T$6:$T$193, "&lt;"&amp;EJ1)</f>
        <v>0</v>
      </c>
      <c r="EJ17" s="123">
        <f>SUMIFS('Expenditure Breakdown'!$U$6:$U$193, 'Expenditure Breakdown'!$T$6:$T$193, "&gt;="&amp;EJ1,'Expenditure Breakdown'!$T$6:$T$193, "&lt;"&amp;EK1)</f>
        <v>0</v>
      </c>
      <c r="EK17" s="123">
        <f>SUMIFS('Expenditure Breakdown'!$U$6:$U$193, 'Expenditure Breakdown'!$T$6:$T$193, "&gt;="&amp;EK1,'Expenditure Breakdown'!$T$6:$T$193, "&lt;"&amp;EL1)</f>
        <v>0</v>
      </c>
      <c r="EL17" s="123">
        <f>SUMIFS('Expenditure Breakdown'!$U$6:$U$193, 'Expenditure Breakdown'!$T$6:$T$193, "&gt;="&amp;EL1,'Expenditure Breakdown'!$T$6:$T$193, "&lt;"&amp;EM1)</f>
        <v>0</v>
      </c>
      <c r="EM17" s="123">
        <f>SUMIFS('Expenditure Breakdown'!$U$6:$U$193, 'Expenditure Breakdown'!$T$6:$T$193, "&gt;="&amp;EM1,'Expenditure Breakdown'!$T$6:$T$193, "&lt;"&amp;EN1)</f>
        <v>0</v>
      </c>
      <c r="EN17" s="123">
        <f>SUMIFS('Expenditure Breakdown'!$U$6:$U$193, 'Expenditure Breakdown'!$T$6:$T$193, "&gt;="&amp;EN1,'Expenditure Breakdown'!$T$6:$T$193, "&lt;"&amp;EO1)</f>
        <v>0</v>
      </c>
      <c r="EO17" s="123">
        <f>SUMIFS('Expenditure Breakdown'!$U$6:$U$193, 'Expenditure Breakdown'!$T$6:$T$193, "&gt;="&amp;EO1,'Expenditure Breakdown'!$T$6:$T$193, "&lt;"&amp;EP1)</f>
        <v>0</v>
      </c>
      <c r="EP17" s="123">
        <f>SUMIFS('Expenditure Breakdown'!$U$6:$U$193, 'Expenditure Breakdown'!$T$6:$T$193, "&gt;="&amp;EP1,'Expenditure Breakdown'!$T$6:$T$193, "&lt;"&amp;EQ1)</f>
        <v>0</v>
      </c>
      <c r="EQ17" s="123">
        <f>SUMIFS('Expenditure Breakdown'!$U$6:$U$193, 'Expenditure Breakdown'!$T$6:$T$193, "&gt;="&amp;EQ1,'Expenditure Breakdown'!$T$6:$T$193, "&lt;"&amp;ER1)</f>
        <v>0</v>
      </c>
      <c r="ER17" s="123">
        <f>SUMIFS('Expenditure Breakdown'!$U$6:$U$193, 'Expenditure Breakdown'!$T$6:$T$193, "&gt;="&amp;ER1,'Expenditure Breakdown'!$T$6:$T$193, "&lt;"&amp;ES1)</f>
        <v>0</v>
      </c>
      <c r="ES17" s="123">
        <f>SUMIFS('Expenditure Breakdown'!$U$6:$U$193, 'Expenditure Breakdown'!$T$6:$T$193, "&gt;="&amp;ES1,'Expenditure Breakdown'!$T$6:$T$193, "&lt;"&amp;ET1)</f>
        <v>0</v>
      </c>
      <c r="ET17" s="123">
        <f>SUMIFS('Expenditure Breakdown'!$U$6:$U$193, 'Expenditure Breakdown'!$T$6:$T$193, "&gt;="&amp;ET1,'Expenditure Breakdown'!$T$6:$T$193, "&lt;"&amp;EU1)</f>
        <v>0</v>
      </c>
      <c r="EU17" s="123">
        <f>SUMIFS('Expenditure Breakdown'!$U$6:$U$193, 'Expenditure Breakdown'!$T$6:$T$193, "&gt;="&amp;EU1,'Expenditure Breakdown'!$T$6:$T$193, "&lt;"&amp;EV1)</f>
        <v>0</v>
      </c>
      <c r="EV17" s="123">
        <f>SUMIFS('Expenditure Breakdown'!$U$6:$U$193, 'Expenditure Breakdown'!$T$6:$T$193, "&gt;="&amp;EV1,'Expenditure Breakdown'!$T$6:$T$193, "&lt;"&amp;EW1)</f>
        <v>0</v>
      </c>
      <c r="EW17" s="123">
        <f>SUMIFS('Expenditure Breakdown'!$U$6:$U$193, 'Expenditure Breakdown'!$T$6:$T$193, "&gt;="&amp;EW1,'Expenditure Breakdown'!$T$6:$T$193, "&lt;"&amp;EX1)</f>
        <v>0</v>
      </c>
      <c r="EX17" s="123">
        <f>SUMIFS('Expenditure Breakdown'!$U$6:$U$193, 'Expenditure Breakdown'!$T$6:$T$193, "&gt;="&amp;EX1,'Expenditure Breakdown'!$T$6:$T$193, "&lt;"&amp;EY1)</f>
        <v>0</v>
      </c>
      <c r="EY17" s="123">
        <f>SUMIFS('Expenditure Breakdown'!$U$6:$U$193, 'Expenditure Breakdown'!$T$6:$T$193, "&gt;="&amp;EY1,'Expenditure Breakdown'!$T$6:$T$193, "&lt;"&amp;EZ1)</f>
        <v>0</v>
      </c>
      <c r="EZ17" s="123">
        <f>SUMIFS('Expenditure Breakdown'!$U$6:$U$193, 'Expenditure Breakdown'!$T$6:$T$193, "&gt;="&amp;EZ1,'Expenditure Breakdown'!$T$6:$T$193, "&lt;"&amp;FA1)</f>
        <v>0</v>
      </c>
      <c r="FA17" s="123">
        <f>SUMIFS('Expenditure Breakdown'!$U$6:$U$193, 'Expenditure Breakdown'!$T$6:$T$193, "&gt;="&amp;FA1,'Expenditure Breakdown'!$T$6:$T$193, "&lt;"&amp;FB1)</f>
        <v>0</v>
      </c>
      <c r="FB17" s="123">
        <f>SUMIFS('Expenditure Breakdown'!$U$6:$U$193, 'Expenditure Breakdown'!$T$6:$T$193, "&gt;="&amp;FB1,'Expenditure Breakdown'!$T$6:$T$193, "&lt;"&amp;FC1)</f>
        <v>0</v>
      </c>
      <c r="FC17" s="123">
        <f>SUMIFS('Expenditure Breakdown'!$U$6:$U$193, 'Expenditure Breakdown'!$T$6:$T$193, "&gt;="&amp;FC1,'Expenditure Breakdown'!$T$6:$T$193, "&lt;"&amp;FD1)</f>
        <v>0</v>
      </c>
      <c r="FD17" s="123">
        <f>SUMIFS('Expenditure Breakdown'!$U$6:$U$193, 'Expenditure Breakdown'!$T$6:$T$193, "&gt;="&amp;FD1,'Expenditure Breakdown'!$T$6:$T$193, "&lt;"&amp;FE1)</f>
        <v>0</v>
      </c>
      <c r="FE17" s="123">
        <f>SUMIFS('Expenditure Breakdown'!$U$6:$U$193, 'Expenditure Breakdown'!$T$6:$T$193, "&gt;="&amp;FE1,'Expenditure Breakdown'!$T$6:$T$193, "&lt;"&amp;FF1)</f>
        <v>0</v>
      </c>
      <c r="FF17" s="123">
        <f>SUMIFS('Expenditure Breakdown'!$U$6:$U$193, 'Expenditure Breakdown'!$T$6:$T$193, "&gt;="&amp;FF1,'Expenditure Breakdown'!$T$6:$T$193, "&lt;"&amp;FG1)</f>
        <v>0</v>
      </c>
      <c r="FG17" s="123">
        <f>SUMIFS('Expenditure Breakdown'!$U$6:$U$193, 'Expenditure Breakdown'!$T$6:$T$193, "&gt;="&amp;FG1,'Expenditure Breakdown'!$T$6:$T$193, "&lt;"&amp;FH1)</f>
        <v>0</v>
      </c>
      <c r="FH17" s="123">
        <f>SUMIFS('Expenditure Breakdown'!$U$6:$U$193, 'Expenditure Breakdown'!$T$6:$T$193, "&gt;="&amp;FH1,'Expenditure Breakdown'!$T$6:$T$193, "&lt;"&amp;FI1)</f>
        <v>0</v>
      </c>
      <c r="FI17" s="123">
        <f>SUMIFS('Expenditure Breakdown'!$U$6:$U$193, 'Expenditure Breakdown'!$T$6:$T$193, "&gt;="&amp;FI1,'Expenditure Breakdown'!$T$6:$T$193, "&lt;"&amp;FJ1)</f>
        <v>0</v>
      </c>
      <c r="FJ17" s="123">
        <f>SUMIFS('Expenditure Breakdown'!$U$6:$U$193, 'Expenditure Breakdown'!$T$6:$T$193, "&gt;="&amp;FJ1,'Expenditure Breakdown'!$T$6:$T$193, "&lt;"&amp;FK1)</f>
        <v>0</v>
      </c>
      <c r="FK17" s="123">
        <f>SUMIFS('Expenditure Breakdown'!$U$6:$U$193, 'Expenditure Breakdown'!$T$6:$T$193, "&gt;="&amp;FK1,'Expenditure Breakdown'!$T$6:$T$193, "&lt;"&amp;FL1)</f>
        <v>0</v>
      </c>
      <c r="FL17" s="123">
        <f>SUMIFS('Expenditure Breakdown'!$U$6:$U$193, 'Expenditure Breakdown'!$T$6:$T$193, "&gt;="&amp;FL1,'Expenditure Breakdown'!$T$6:$T$193, "&lt;"&amp;FM1)</f>
        <v>0</v>
      </c>
      <c r="FM17" s="123">
        <f>SUMIFS('Expenditure Breakdown'!$U$6:$U$193, 'Expenditure Breakdown'!$T$6:$T$193, "&gt;="&amp;FM1,'Expenditure Breakdown'!$T$6:$T$193, "&lt;"&amp;FN1)</f>
        <v>0</v>
      </c>
      <c r="FN17" s="123">
        <f>SUMIFS('Expenditure Breakdown'!$U$6:$U$193, 'Expenditure Breakdown'!$T$6:$T$193, "&gt;="&amp;FN1,'Expenditure Breakdown'!$T$6:$T$193, "&lt;"&amp;FO1)</f>
        <v>0</v>
      </c>
      <c r="FO17" s="123">
        <f>SUMIFS('Expenditure Breakdown'!$U$6:$U$193, 'Expenditure Breakdown'!$T$6:$T$193, "&gt;="&amp;FO1,'Expenditure Breakdown'!$T$6:$T$193, "&lt;"&amp;FP1)</f>
        <v>0</v>
      </c>
      <c r="FP17" s="123">
        <f>SUMIFS('Expenditure Breakdown'!$U$6:$U$193, 'Expenditure Breakdown'!$T$6:$T$193, "&gt;="&amp;FP1,'Expenditure Breakdown'!$T$6:$T$193, "&lt;"&amp;FQ1)</f>
        <v>0</v>
      </c>
      <c r="FQ17" s="123">
        <f>SUMIFS('Expenditure Breakdown'!$U$6:$U$193, 'Expenditure Breakdown'!$T$6:$T$193, "&gt;="&amp;FQ1,'Expenditure Breakdown'!$T$6:$T$193, "&lt;"&amp;FR1)</f>
        <v>0</v>
      </c>
      <c r="FR17" s="123">
        <f>SUMIFS('Expenditure Breakdown'!$U$6:$U$193, 'Expenditure Breakdown'!$T$6:$T$193, "&gt;="&amp;FR1,'Expenditure Breakdown'!$T$6:$T$193, "&lt;"&amp;FS1)</f>
        <v>0</v>
      </c>
      <c r="FS17" s="123">
        <f>SUMIFS('Expenditure Breakdown'!$U$6:$U$193, 'Expenditure Breakdown'!$T$6:$T$193, "&gt;="&amp;FS1,'Expenditure Breakdown'!$T$6:$T$193, "&lt;"&amp;FT1)</f>
        <v>0</v>
      </c>
      <c r="FT17" s="123">
        <f>SUMIFS('Expenditure Breakdown'!$U$6:$U$193, 'Expenditure Breakdown'!$T$6:$T$193, "&gt;="&amp;FT1,'Expenditure Breakdown'!$T$6:$T$193, "&lt;"&amp;FU1)</f>
        <v>0</v>
      </c>
      <c r="FU17" s="123">
        <f>SUMIFS('Expenditure Breakdown'!$U$6:$U$193, 'Expenditure Breakdown'!$T$6:$T$193, "&gt;="&amp;FU1,'Expenditure Breakdown'!$T$6:$T$193, "&lt;"&amp;FV1)</f>
        <v>0</v>
      </c>
      <c r="FV17" s="123">
        <f>SUMIFS('Expenditure Breakdown'!$U$6:$U$193, 'Expenditure Breakdown'!$T$6:$T$193, "&gt;="&amp;FV1,'Expenditure Breakdown'!$T$6:$T$193, "&lt;"&amp;FW1)</f>
        <v>0</v>
      </c>
      <c r="FW17" s="123">
        <f>SUMIFS('Expenditure Breakdown'!$U$6:$U$193, 'Expenditure Breakdown'!$T$6:$T$193, "&gt;="&amp;FW1,'Expenditure Breakdown'!$T$6:$T$193, "&lt;"&amp;FX1)</f>
        <v>0</v>
      </c>
      <c r="FX17" s="123">
        <f>SUMIFS('Expenditure Breakdown'!$U$6:$U$193, 'Expenditure Breakdown'!$T$6:$T$193, "&gt;="&amp;FX1,'Expenditure Breakdown'!$T$6:$T$193, "&lt;"&amp;FY1)</f>
        <v>0</v>
      </c>
      <c r="FY17" s="123">
        <f>SUMIFS('Expenditure Breakdown'!$U$6:$U$193, 'Expenditure Breakdown'!$T$6:$T$193, "&gt;="&amp;FY1,'Expenditure Breakdown'!$T$6:$T$193, "&lt;"&amp;FZ1)</f>
        <v>0</v>
      </c>
      <c r="FZ17" s="123">
        <f>SUMIFS('Expenditure Breakdown'!$U$6:$U$193, 'Expenditure Breakdown'!$T$6:$T$193, "&gt;="&amp;FZ1,'Expenditure Breakdown'!$T$6:$T$193, "&lt;"&amp;GA1)</f>
        <v>0</v>
      </c>
      <c r="GA17" s="123">
        <f>SUMIFS('Expenditure Breakdown'!$U$6:$U$193, 'Expenditure Breakdown'!$T$6:$T$193, "&gt;="&amp;GA1,'Expenditure Breakdown'!$T$6:$T$193, "&lt;"&amp;GB1)</f>
        <v>0</v>
      </c>
      <c r="GB17" s="123">
        <f>SUMIFS('Expenditure Breakdown'!$U$6:$U$193, 'Expenditure Breakdown'!$T$6:$T$193, "&gt;="&amp;GB1,'Expenditure Breakdown'!$T$6:$T$193, "&lt;"&amp;GC1)</f>
        <v>0</v>
      </c>
      <c r="GC17" s="123">
        <f>SUMIFS('Expenditure Breakdown'!$U$6:$U$193, 'Expenditure Breakdown'!$T$6:$T$193, "&gt;="&amp;GC1,'Expenditure Breakdown'!$T$6:$T$193, "&lt;"&amp;GD1)</f>
        <v>0</v>
      </c>
      <c r="GD17" s="123">
        <f>SUMIFS('Expenditure Breakdown'!$U$6:$U$193, 'Expenditure Breakdown'!$T$6:$T$193, "&gt;="&amp;GD1,'Expenditure Breakdown'!$T$6:$T$193, "&lt;"&amp;GE1)</f>
        <v>0</v>
      </c>
      <c r="GE17" s="123">
        <f>SUMIFS('Expenditure Breakdown'!$U$6:$U$193, 'Expenditure Breakdown'!$T$6:$T$193, "&gt;="&amp;GE1,'Expenditure Breakdown'!$T$6:$T$193, "&lt;"&amp;GF1)</f>
        <v>0</v>
      </c>
      <c r="GF17" s="123">
        <f>SUMIFS('Expenditure Breakdown'!$U$6:$U$193, 'Expenditure Breakdown'!$T$6:$T$193, "&gt;="&amp;GF1,'Expenditure Breakdown'!$T$6:$T$193, "&lt;"&amp;GG1)</f>
        <v>0</v>
      </c>
      <c r="GG17" s="123">
        <f>SUMIFS('Expenditure Breakdown'!$U$6:$U$193, 'Expenditure Breakdown'!$T$6:$T$193, "&gt;="&amp;GG1,'Expenditure Breakdown'!$T$6:$T$193, "&lt;"&amp;GH1)</f>
        <v>0</v>
      </c>
      <c r="GH17" s="123">
        <f>SUMIFS('Expenditure Breakdown'!$U$6:$U$193, 'Expenditure Breakdown'!$T$6:$T$193, "&gt;="&amp;GH1,'Expenditure Breakdown'!$T$6:$T$193, "&lt;"&amp;GI1)</f>
        <v>0</v>
      </c>
      <c r="GI17" s="123">
        <f>SUMIFS('Expenditure Breakdown'!$U$6:$U$193, 'Expenditure Breakdown'!$T$6:$T$193, "&gt;="&amp;GI1,'Expenditure Breakdown'!$T$6:$T$193, "&lt;"&amp;GJ1)</f>
        <v>0</v>
      </c>
      <c r="GJ17" s="123">
        <f>SUMIFS('Expenditure Breakdown'!$U$6:$U$193, 'Expenditure Breakdown'!$T$6:$T$193, "&gt;="&amp;GJ1,'Expenditure Breakdown'!$T$6:$T$193, "&lt;"&amp;GK1)</f>
        <v>0</v>
      </c>
      <c r="GK17" s="123">
        <f>SUMIFS('Expenditure Breakdown'!$U$6:$U$193, 'Expenditure Breakdown'!$T$6:$T$193, "&gt;="&amp;GK1,'Expenditure Breakdown'!$T$6:$T$193, "&lt;"&amp;GL1)</f>
        <v>0</v>
      </c>
      <c r="GL17" s="123">
        <f>SUMIFS('Expenditure Breakdown'!$U$6:$U$193, 'Expenditure Breakdown'!$T$6:$T$193, "&gt;="&amp;GL1,'Expenditure Breakdown'!$T$6:$T$193, "&lt;"&amp;GM1)</f>
        <v>0</v>
      </c>
      <c r="GM17" s="123">
        <f>SUMIFS('Expenditure Breakdown'!$U$6:$U$193, 'Expenditure Breakdown'!$T$6:$T$193, "&gt;="&amp;GM1,'Expenditure Breakdown'!$T$6:$T$193, "&lt;"&amp;GN1)</f>
        <v>0</v>
      </c>
      <c r="GN17" s="123">
        <f>SUMIFS('Expenditure Breakdown'!$U$6:$U$193, 'Expenditure Breakdown'!$T$6:$T$193, "&gt;="&amp;GN1,'Expenditure Breakdown'!$T$6:$T$193, "&lt;"&amp;GO1)</f>
        <v>0</v>
      </c>
      <c r="GO17" s="123">
        <f>SUMIFS('Expenditure Breakdown'!$U$6:$U$193, 'Expenditure Breakdown'!$T$6:$T$193, "&gt;="&amp;GO1,'Expenditure Breakdown'!$T$6:$T$193, "&lt;"&amp;GP1)</f>
        <v>0</v>
      </c>
      <c r="GP17" s="123">
        <f>SUMIFS('Expenditure Breakdown'!$U$6:$U$193, 'Expenditure Breakdown'!$T$6:$T$193, "&gt;="&amp;GP1,'Expenditure Breakdown'!$T$6:$T$193, "&lt;"&amp;GQ1)</f>
        <v>0</v>
      </c>
      <c r="GQ17" s="123">
        <f>SUMIFS('Expenditure Breakdown'!$U$6:$U$193, 'Expenditure Breakdown'!$T$6:$T$193, "&gt;="&amp;GQ1,'Expenditure Breakdown'!$T$6:$T$193, "&lt;"&amp;GR1)</f>
        <v>0</v>
      </c>
      <c r="GR17" s="123">
        <f>SUMIFS('Expenditure Breakdown'!$U$6:$U$193, 'Expenditure Breakdown'!$T$6:$T$193, "&gt;="&amp;GR1,'Expenditure Breakdown'!$T$6:$T$193, "&lt;"&amp;GS1)</f>
        <v>0</v>
      </c>
      <c r="GS17" s="123">
        <f>SUMIFS('Expenditure Breakdown'!$U$6:$U$193, 'Expenditure Breakdown'!$T$6:$T$193, "&gt;="&amp;GS1,'Expenditure Breakdown'!$T$6:$T$193, "&lt;"&amp;GT1)</f>
        <v>0</v>
      </c>
      <c r="GT17" s="123">
        <f>SUMIFS('Expenditure Breakdown'!$U$6:$U$193, 'Expenditure Breakdown'!$T$6:$T$193, "&gt;="&amp;GT1,'Expenditure Breakdown'!$T$6:$T$193, "&lt;"&amp;GU1)</f>
        <v>0</v>
      </c>
      <c r="GU17" s="123">
        <f>SUMIFS('Expenditure Breakdown'!$U$6:$U$193, 'Expenditure Breakdown'!$T$6:$T$193, "&gt;="&amp;GU1,'Expenditure Breakdown'!$T$6:$T$193, "&lt;"&amp;GV1)</f>
        <v>0</v>
      </c>
      <c r="GV17" s="123">
        <f>SUMIFS('Expenditure Breakdown'!$U$6:$U$193, 'Expenditure Breakdown'!$T$6:$T$193, "&gt;="&amp;GV1,'Expenditure Breakdown'!$T$6:$T$193, "&lt;"&amp;GW1)</f>
        <v>0</v>
      </c>
      <c r="GW17" s="123">
        <f>SUMIFS('Expenditure Breakdown'!$U$6:$U$193, 'Expenditure Breakdown'!$T$6:$T$193, "&gt;="&amp;GW1,'Expenditure Breakdown'!$T$6:$T$193, "&lt;"&amp;GX1)</f>
        <v>0</v>
      </c>
      <c r="GX17" s="123">
        <f>SUMIFS('Expenditure Breakdown'!$U$6:$U$193, 'Expenditure Breakdown'!$T$6:$T$193, "&gt;="&amp;GX1,'Expenditure Breakdown'!$T$6:$T$193, "&lt;"&amp;GY1)</f>
        <v>0</v>
      </c>
      <c r="GY17" s="123">
        <f>SUMIFS('Expenditure Breakdown'!$U$6:$U$193, 'Expenditure Breakdown'!$T$6:$T$193, "&gt;="&amp;GY1,'Expenditure Breakdown'!$T$6:$T$193, "&lt;"&amp;GZ1)</f>
        <v>0</v>
      </c>
      <c r="GZ17" s="123">
        <f>SUMIFS('Expenditure Breakdown'!$U$6:$U$193, 'Expenditure Breakdown'!$T$6:$T$193, "&gt;="&amp;GZ1,'Expenditure Breakdown'!$T$6:$T$193, "&lt;"&amp;HA1)</f>
        <v>0</v>
      </c>
      <c r="HA17" s="123">
        <f>SUMIFS('Expenditure Breakdown'!$U$6:$U$193, 'Expenditure Breakdown'!$T$6:$T$193, "&gt;="&amp;HA1,'Expenditure Breakdown'!$T$6:$T$193, "&lt;"&amp;HB1)</f>
        <v>0</v>
      </c>
      <c r="HB17" s="123">
        <f>SUMIFS('Expenditure Breakdown'!$U$6:$U$193, 'Expenditure Breakdown'!$T$6:$T$193, "&gt;="&amp;HB1,'Expenditure Breakdown'!$T$6:$T$193, "&lt;"&amp;HC1)</f>
        <v>0</v>
      </c>
      <c r="HC17" s="123">
        <f>SUMIFS('Expenditure Breakdown'!$U$6:$U$193, 'Expenditure Breakdown'!$T$6:$T$193, "&gt;="&amp;HC1,'Expenditure Breakdown'!$T$6:$T$193, "&lt;"&amp;HD1)</f>
        <v>0</v>
      </c>
      <c r="HD17" s="123">
        <f>SUMIFS('Expenditure Breakdown'!$U$6:$U$193, 'Expenditure Breakdown'!$T$6:$T$193, "&gt;="&amp;HD1,'Expenditure Breakdown'!$T$6:$T$193, "&lt;"&amp;HE1)</f>
        <v>0</v>
      </c>
      <c r="HE17" s="123">
        <f>SUMIFS('Expenditure Breakdown'!$U$6:$U$193, 'Expenditure Breakdown'!$T$6:$T$193, "&gt;="&amp;HE1,'Expenditure Breakdown'!$T$6:$T$193, "&lt;"&amp;HF1)</f>
        <v>0</v>
      </c>
      <c r="HF17" s="123">
        <f>SUMIFS('Expenditure Breakdown'!$U$6:$U$193, 'Expenditure Breakdown'!$T$6:$T$193, "&gt;="&amp;HF1,'Expenditure Breakdown'!$T$6:$T$193, "&lt;"&amp;HG1)</f>
        <v>0</v>
      </c>
      <c r="HG17" s="123">
        <f>SUMIFS('Expenditure Breakdown'!$U$6:$U$193, 'Expenditure Breakdown'!$T$6:$T$193, "&gt;="&amp;HG1,'Expenditure Breakdown'!$T$6:$T$193, "&lt;"&amp;HH1)</f>
        <v>0</v>
      </c>
      <c r="HH17" s="123">
        <f>SUMIFS('Expenditure Breakdown'!$U$6:$U$193, 'Expenditure Breakdown'!$T$6:$T$193, "&gt;="&amp;HH1,'Expenditure Breakdown'!$T$6:$T$193, "&lt;"&amp;HI1)</f>
        <v>0</v>
      </c>
      <c r="HI17" s="123">
        <f>SUMIFS('Expenditure Breakdown'!$U$6:$U$193, 'Expenditure Breakdown'!$T$6:$T$193, "&gt;="&amp;HI1,'Expenditure Breakdown'!$T$6:$T$193, "&lt;"&amp;HJ1)</f>
        <v>0</v>
      </c>
      <c r="HJ17" s="123">
        <f>SUMIFS('Expenditure Breakdown'!$U$6:$U$193, 'Expenditure Breakdown'!$T$6:$T$193, "&gt;="&amp;HJ1,'Expenditure Breakdown'!$T$6:$T$193, "&lt;"&amp;HK1)</f>
        <v>0</v>
      </c>
      <c r="HK17" s="123">
        <f>SUMIFS('Expenditure Breakdown'!$U$6:$U$193, 'Expenditure Breakdown'!$T$6:$T$193, "&gt;="&amp;HK1,'Expenditure Breakdown'!$T$6:$T$193, "&lt;"&amp;HL1)</f>
        <v>0</v>
      </c>
      <c r="HL17" s="123">
        <f>SUMIFS('Expenditure Breakdown'!$U$6:$U$193, 'Expenditure Breakdown'!$T$6:$T$193, "&gt;="&amp;HL1,'Expenditure Breakdown'!$T$6:$T$193, "&lt;"&amp;HM1)</f>
        <v>0</v>
      </c>
      <c r="HM17" s="123">
        <f>SUMIFS('Expenditure Breakdown'!$U$6:$U$193, 'Expenditure Breakdown'!$T$6:$T$193, "&gt;="&amp;HM1,'Expenditure Breakdown'!$T$6:$T$193, "&lt;"&amp;HN1)</f>
        <v>0</v>
      </c>
      <c r="HN17" s="123">
        <f>SUMIFS('Expenditure Breakdown'!$U$6:$U$193, 'Expenditure Breakdown'!$T$6:$T$193, "&gt;="&amp;HN1,'Expenditure Breakdown'!$T$6:$T$193, "&lt;"&amp;HO1)</f>
        <v>0</v>
      </c>
      <c r="HO17" s="123">
        <f>SUMIFS('Expenditure Breakdown'!$U$6:$U$193, 'Expenditure Breakdown'!$T$6:$T$193, "&gt;="&amp;HO1,'Expenditure Breakdown'!$T$6:$T$193, "&lt;"&amp;HP1)</f>
        <v>0</v>
      </c>
      <c r="HP17" s="123">
        <f>SUMIFS('Expenditure Breakdown'!$U$6:$U$193, 'Expenditure Breakdown'!$T$6:$T$193, "&gt;="&amp;HP1,'Expenditure Breakdown'!$T$6:$T$193, "&lt;"&amp;HQ1)</f>
        <v>0</v>
      </c>
      <c r="HQ17" s="123">
        <f>SUMIFS('Expenditure Breakdown'!$U$6:$U$193, 'Expenditure Breakdown'!$T$6:$T$193, "&gt;="&amp;HQ1,'Expenditure Breakdown'!$T$6:$T$193, "&lt;"&amp;HR1)</f>
        <v>0</v>
      </c>
      <c r="HR17" s="123">
        <f>SUMIFS('Expenditure Breakdown'!$U$6:$U$193, 'Expenditure Breakdown'!$T$6:$T$193, "&gt;="&amp;HR1,'Expenditure Breakdown'!$T$6:$T$193, "&lt;"&amp;HS1)</f>
        <v>0</v>
      </c>
      <c r="HS17" s="123">
        <f>SUMIFS('Expenditure Breakdown'!$U$6:$U$193, 'Expenditure Breakdown'!$T$6:$T$193, "&gt;="&amp;HS1,'Expenditure Breakdown'!$T$6:$T$193, "&lt;"&amp;HT1)</f>
        <v>0</v>
      </c>
      <c r="HT17" s="123">
        <f>SUMIFS('Expenditure Breakdown'!$U$6:$U$193, 'Expenditure Breakdown'!$T$6:$T$193, "&gt;="&amp;HT1,'Expenditure Breakdown'!$T$6:$T$193, "&lt;"&amp;HU1)</f>
        <v>0</v>
      </c>
      <c r="HU17" s="123">
        <f>SUMIFS('Expenditure Breakdown'!$U$6:$U$193, 'Expenditure Breakdown'!$T$6:$T$193, "&gt;="&amp;HU1,'Expenditure Breakdown'!$T$6:$T$193, "&lt;"&amp;HV1)</f>
        <v>0</v>
      </c>
      <c r="HV17" s="123">
        <f>SUMIFS('Expenditure Breakdown'!$U$6:$U$193, 'Expenditure Breakdown'!$T$6:$T$193, "&gt;="&amp;HV1,'Expenditure Breakdown'!$T$6:$T$193, "&lt;"&amp;HW1)</f>
        <v>0</v>
      </c>
      <c r="HW17" s="123">
        <f>SUMIFS('Expenditure Breakdown'!$U$6:$U$193, 'Expenditure Breakdown'!$T$6:$T$193, "&gt;="&amp;HW1,'Expenditure Breakdown'!$T$6:$T$193, "&lt;"&amp;HX1)</f>
        <v>0</v>
      </c>
      <c r="HX17" s="123">
        <f>SUMIFS('Expenditure Breakdown'!$U$6:$U$193, 'Expenditure Breakdown'!$T$6:$T$193, "&gt;="&amp;HX1,'Expenditure Breakdown'!$T$6:$T$193, "&lt;"&amp;HY1)</f>
        <v>0</v>
      </c>
      <c r="HY17" s="123">
        <f>SUMIFS('Expenditure Breakdown'!$U$6:$U$193, 'Expenditure Breakdown'!$T$6:$T$193, "&gt;="&amp;HY1,'Expenditure Breakdown'!$T$6:$T$193, "&lt;"&amp;HZ1)</f>
        <v>0</v>
      </c>
      <c r="HZ17" s="123">
        <f>SUMIFS('Expenditure Breakdown'!$U$6:$U$193, 'Expenditure Breakdown'!$T$6:$T$193, "&gt;="&amp;HZ1,'Expenditure Breakdown'!$T$6:$T$193, "&lt;"&amp;IA1)</f>
        <v>0</v>
      </c>
      <c r="IA17" s="123">
        <f>SUMIFS('Expenditure Breakdown'!$U$6:$U$193, 'Expenditure Breakdown'!$T$6:$T$193, "&gt;="&amp;IA1,'Expenditure Breakdown'!$T$6:$T$193, "&lt;"&amp;IB1)</f>
        <v>0</v>
      </c>
      <c r="IB17" s="123">
        <f>SUMIFS('Expenditure Breakdown'!$U$6:$U$193, 'Expenditure Breakdown'!$T$6:$T$193, "&gt;="&amp;IB1,'Expenditure Breakdown'!$T$6:$T$193, "&lt;"&amp;IC1)</f>
        <v>0</v>
      </c>
      <c r="IC17" s="123">
        <f>SUMIFS('Expenditure Breakdown'!$U$6:$U$193, 'Expenditure Breakdown'!$T$6:$T$193, "&gt;="&amp;IC1,'Expenditure Breakdown'!$T$6:$T$193, "&lt;"&amp;ID1)</f>
        <v>0</v>
      </c>
      <c r="ID17" s="123">
        <f>SUMIFS('Expenditure Breakdown'!$U$6:$U$193, 'Expenditure Breakdown'!$T$6:$T$193, "&gt;="&amp;ID1,'Expenditure Breakdown'!$T$6:$T$193, "&lt;"&amp;IE1)</f>
        <v>0</v>
      </c>
      <c r="IE17" s="123">
        <f>SUMIFS('Expenditure Breakdown'!$U$6:$U$193, 'Expenditure Breakdown'!$T$6:$T$193, "&gt;="&amp;IE1,'Expenditure Breakdown'!$T$6:$T$193, "&lt;"&amp;IF1)</f>
        <v>0</v>
      </c>
      <c r="IF17" s="123">
        <f>SUMIFS('Expenditure Breakdown'!$U$6:$U$193, 'Expenditure Breakdown'!$T$6:$T$193, "&gt;="&amp;IF1,'Expenditure Breakdown'!$T$6:$T$193, "&lt;"&amp;IG1)</f>
        <v>0</v>
      </c>
      <c r="IG17" s="123">
        <f>SUMIFS('Expenditure Breakdown'!$U$6:$U$193, 'Expenditure Breakdown'!$T$6:$T$193, "&gt;="&amp;IG1,'Expenditure Breakdown'!$T$6:$T$193, "&lt;"&amp;IH1)</f>
        <v>0</v>
      </c>
      <c r="IH17" s="123">
        <f>SUMIFS('Expenditure Breakdown'!$U$6:$U$193, 'Expenditure Breakdown'!$T$6:$T$193, "&gt;="&amp;IH1,'Expenditure Breakdown'!$T$6:$T$193, "&lt;"&amp;II1)</f>
        <v>0</v>
      </c>
      <c r="II17" s="123">
        <f>SUMIFS('Expenditure Breakdown'!$U$6:$U$193, 'Expenditure Breakdown'!$T$6:$T$193, "&gt;="&amp;II1,'Expenditure Breakdown'!$T$6:$T$193, "&lt;"&amp;IJ1)</f>
        <v>0</v>
      </c>
      <c r="IJ17" s="123">
        <f>SUMIFS('Expenditure Breakdown'!$U$6:$U$193, 'Expenditure Breakdown'!$T$6:$T$193, "&gt;="&amp;IJ1,'Expenditure Breakdown'!$T$6:$T$193, "&lt;"&amp;IK1)</f>
        <v>0</v>
      </c>
      <c r="IK17" s="123">
        <f>SUMIFS('Expenditure Breakdown'!$U$6:$U$193, 'Expenditure Breakdown'!$T$6:$T$193, "&gt;="&amp;IK1,'Expenditure Breakdown'!$T$6:$T$193, "&lt;"&amp;IL1)</f>
        <v>0</v>
      </c>
      <c r="IL17" s="123">
        <f>SUMIFS('Expenditure Breakdown'!$U$6:$U$193, 'Expenditure Breakdown'!$T$6:$T$193, "&gt;="&amp;IL1,'Expenditure Breakdown'!$T$6:$T$193, "&lt;"&amp;IM1)</f>
        <v>0</v>
      </c>
      <c r="IM17" s="123">
        <f>SUMIFS('Expenditure Breakdown'!$U$6:$U$193, 'Expenditure Breakdown'!$T$6:$T$193, "&gt;="&amp;IM1,'Expenditure Breakdown'!$T$6:$T$193, "&lt;"&amp;IN1)</f>
        <v>0</v>
      </c>
      <c r="IN17" s="123">
        <f>SUMIFS('Expenditure Breakdown'!$U$6:$U$193, 'Expenditure Breakdown'!$T$6:$T$193, "&gt;="&amp;IN1,'Expenditure Breakdown'!$T$6:$T$193, "&lt;"&amp;IO1)</f>
        <v>0</v>
      </c>
      <c r="IO17" s="123">
        <f>SUMIFS('Expenditure Breakdown'!$U$6:$U$193, 'Expenditure Breakdown'!$T$6:$T$193, "&gt;="&amp;IO1,'Expenditure Breakdown'!$T$6:$T$193, "&lt;"&amp;IP1)</f>
        <v>0</v>
      </c>
      <c r="IP17" s="123">
        <f>SUMIFS('Expenditure Breakdown'!$U$6:$U$193, 'Expenditure Breakdown'!$T$6:$T$193, "&gt;="&amp;IP1,'Expenditure Breakdown'!$T$6:$T$193, "&lt;"&amp;IQ1)</f>
        <v>0</v>
      </c>
      <c r="IQ17" s="123">
        <f>SUMIFS('Expenditure Breakdown'!$U$6:$U$193, 'Expenditure Breakdown'!$T$6:$T$193, "&gt;="&amp;IQ1,'Expenditure Breakdown'!$T$6:$T$193, "&lt;"&amp;IR1)</f>
        <v>0</v>
      </c>
      <c r="IR17" s="123">
        <f>SUMIFS('Expenditure Breakdown'!$U$6:$U$193, 'Expenditure Breakdown'!$T$6:$T$193, "&gt;="&amp;IR1,'Expenditure Breakdown'!$T$6:$T$193, "&lt;"&amp;IS1)</f>
        <v>0</v>
      </c>
      <c r="IS17" s="123">
        <f>SUMIFS('Expenditure Breakdown'!$U$6:$U$193, 'Expenditure Breakdown'!$T$6:$T$193, "&gt;="&amp;IS1,'Expenditure Breakdown'!$T$6:$T$193, "&lt;"&amp;IT1)</f>
        <v>0</v>
      </c>
      <c r="IT17" s="123">
        <f>SUMIFS('Expenditure Breakdown'!$U$6:$U$193, 'Expenditure Breakdown'!$T$6:$T$193, "&gt;="&amp;IT1,'Expenditure Breakdown'!$T$6:$T$193, "&lt;"&amp;IU1)</f>
        <v>0</v>
      </c>
      <c r="IU17" s="123">
        <f>SUMIFS('Expenditure Breakdown'!$U$6:$U$193, 'Expenditure Breakdown'!$T$6:$T$193, "&gt;="&amp;IU1,'Expenditure Breakdown'!$T$6:$T$193, "&lt;"&amp;IV1)</f>
        <v>0</v>
      </c>
      <c r="IV17" s="123">
        <f>SUMIFS('Expenditure Breakdown'!$U$6:$U$193, 'Expenditure Breakdown'!$T$6:$T$193, "&gt;="&amp;IV1,'Expenditure Breakdown'!$T$6:$T$193, "&lt;"&amp;IW1)</f>
        <v>0</v>
      </c>
      <c r="IW17" s="123">
        <f>SUMIFS('Expenditure Breakdown'!$U$6:$U$193, 'Expenditure Breakdown'!$T$6:$T$193, "&gt;="&amp;IW1,'Expenditure Breakdown'!$T$6:$T$193, "&lt;"&amp;IX1)</f>
        <v>0</v>
      </c>
      <c r="IX17" s="123">
        <f>SUMIFS('Expenditure Breakdown'!$U$6:$U$193, 'Expenditure Breakdown'!$T$6:$T$193, "&gt;="&amp;IX1,'Expenditure Breakdown'!$T$6:$T$193, "&lt;"&amp;IY1)</f>
        <v>0</v>
      </c>
      <c r="IY17" s="123">
        <f>SUMIFS('Expenditure Breakdown'!$U$6:$U$193, 'Expenditure Breakdown'!$T$6:$T$193, "&gt;="&amp;IY1,'Expenditure Breakdown'!$T$6:$T$193, "&lt;"&amp;IZ1)</f>
        <v>0</v>
      </c>
      <c r="IZ17" s="123">
        <f>SUMIFS('Expenditure Breakdown'!$U$6:$U$193, 'Expenditure Breakdown'!$T$6:$T$193, "&gt;="&amp;IZ1,'Expenditure Breakdown'!$T$6:$T$193, "&lt;"&amp;JA1)</f>
        <v>0</v>
      </c>
      <c r="JA17" s="123">
        <f>SUMIFS('Expenditure Breakdown'!$U$6:$U$193, 'Expenditure Breakdown'!$T$6:$T$193, "&gt;="&amp;JA1,'Expenditure Breakdown'!$T$6:$T$193, "&lt;"&amp;JB1)</f>
        <v>0</v>
      </c>
      <c r="JB17" s="123">
        <f>SUMIFS('Expenditure Breakdown'!$U$6:$U$193, 'Expenditure Breakdown'!$T$6:$T$193, "&gt;="&amp;JB1,'Expenditure Breakdown'!$T$6:$T$193, "&lt;"&amp;JC1)</f>
        <v>0</v>
      </c>
      <c r="JC17" s="123">
        <f>SUMIFS('Expenditure Breakdown'!$U$6:$U$193, 'Expenditure Breakdown'!$T$6:$T$193, "&gt;="&amp;JC1,'Expenditure Breakdown'!$T$6:$T$193, "&lt;"&amp;JD1)</f>
        <v>0</v>
      </c>
      <c r="JD17" s="123">
        <f>SUMIFS('Expenditure Breakdown'!$U$6:$U$193, 'Expenditure Breakdown'!$T$6:$T$193, "&gt;="&amp;JD1,'Expenditure Breakdown'!$T$6:$T$193, "&lt;"&amp;JE1)</f>
        <v>0</v>
      </c>
      <c r="JE17" s="123">
        <f>SUMIFS('Expenditure Breakdown'!$U$6:$U$193, 'Expenditure Breakdown'!$T$6:$T$193, "&gt;="&amp;JE1,'Expenditure Breakdown'!$T$6:$T$193, "&lt;"&amp;JF1)</f>
        <v>0</v>
      </c>
      <c r="JF17" s="123">
        <f>SUMIFS('Expenditure Breakdown'!$U$6:$U$193, 'Expenditure Breakdown'!$T$6:$T$193, "&gt;="&amp;JF1,'Expenditure Breakdown'!$T$6:$T$193, "&lt;"&amp;JG1)</f>
        <v>0</v>
      </c>
      <c r="JG17" s="123">
        <f>SUMIFS('Expenditure Breakdown'!$U$6:$U$193, 'Expenditure Breakdown'!$T$6:$T$193, "&gt;="&amp;JG1,'Expenditure Breakdown'!$T$6:$T$193, "&lt;"&amp;JH1)</f>
        <v>0</v>
      </c>
      <c r="JH17" s="123">
        <f>SUMIFS('Expenditure Breakdown'!$U$6:$U$193, 'Expenditure Breakdown'!$T$6:$T$193, "&gt;="&amp;JH1,'Expenditure Breakdown'!$T$6:$T$193, "&lt;"&amp;JI1)</f>
        <v>0</v>
      </c>
      <c r="JI17" s="123">
        <f>SUMIFS('Expenditure Breakdown'!$U$6:$U$193, 'Expenditure Breakdown'!$T$6:$T$193, "&gt;="&amp;JI1,'Expenditure Breakdown'!$T$6:$T$193, "&lt;"&amp;JJ1)</f>
        <v>0</v>
      </c>
      <c r="JJ17" s="123">
        <f>SUMIFS('Expenditure Breakdown'!$U$6:$U$193, 'Expenditure Breakdown'!$T$6:$T$193, "&gt;="&amp;JJ1,'Expenditure Breakdown'!$T$6:$T$193, "&lt;"&amp;JK1)</f>
        <v>0</v>
      </c>
      <c r="JK17" s="123">
        <f>SUMIFS('Expenditure Breakdown'!$U$6:$U$193, 'Expenditure Breakdown'!$T$6:$T$193, "&gt;="&amp;JK1,'Expenditure Breakdown'!$T$6:$T$193, "&lt;"&amp;JL1)</f>
        <v>0</v>
      </c>
      <c r="JL17" s="123">
        <f>SUMIFS('Expenditure Breakdown'!$U$6:$U$193, 'Expenditure Breakdown'!$T$6:$T$193, "&gt;="&amp;JL1,'Expenditure Breakdown'!$T$6:$T$193, "&lt;"&amp;JM1)</f>
        <v>0</v>
      </c>
      <c r="JM17" s="123">
        <f>SUMIFS('Expenditure Breakdown'!$U$6:$U$193, 'Expenditure Breakdown'!$T$6:$T$193, "&gt;="&amp;JM1,'Expenditure Breakdown'!$T$6:$T$193, "&lt;"&amp;JN1)</f>
        <v>0</v>
      </c>
      <c r="JN17" s="123">
        <f>SUMIFS('Expenditure Breakdown'!$U$6:$U$193, 'Expenditure Breakdown'!$T$6:$T$193, "&gt;="&amp;JN1,'Expenditure Breakdown'!$T$6:$T$193, "&lt;"&amp;JO1)</f>
        <v>0</v>
      </c>
      <c r="JO17" s="123">
        <f>SUMIFS('Expenditure Breakdown'!$U$6:$U$193, 'Expenditure Breakdown'!$T$6:$T$193, "&gt;="&amp;JO1,'Expenditure Breakdown'!$T$6:$T$193, "&lt;"&amp;JP1)</f>
        <v>0</v>
      </c>
      <c r="JP17" s="123">
        <f>SUMIFS('Expenditure Breakdown'!$U$6:$U$193, 'Expenditure Breakdown'!$T$6:$T$193, "&gt;="&amp;JP1,'Expenditure Breakdown'!$T$6:$T$193, "&lt;"&amp;JQ1)</f>
        <v>0</v>
      </c>
      <c r="JQ17" s="123">
        <f>SUMIFS('Expenditure Breakdown'!$U$6:$U$193, 'Expenditure Breakdown'!$T$6:$T$193, "&gt;="&amp;JQ1,'Expenditure Breakdown'!$T$6:$T$193, "&lt;"&amp;JR1)</f>
        <v>0</v>
      </c>
      <c r="JR17" s="123">
        <f>SUMIFS('Expenditure Breakdown'!$U$6:$U$193, 'Expenditure Breakdown'!$T$6:$T$193, "&gt;="&amp;JR1,'Expenditure Breakdown'!$T$6:$T$193, "&lt;"&amp;JS1)</f>
        <v>0</v>
      </c>
      <c r="JS17" s="123">
        <f>SUMIFS('Expenditure Breakdown'!$U$6:$U$193, 'Expenditure Breakdown'!$T$6:$T$193, "&gt;="&amp;JS1,'Expenditure Breakdown'!$T$6:$T$193, "&lt;"&amp;JT1)</f>
        <v>0</v>
      </c>
      <c r="JT17" s="123">
        <f>SUMIFS('Expenditure Breakdown'!$U$6:$U$193, 'Expenditure Breakdown'!$T$6:$T$193, "&gt;="&amp;JT1,'Expenditure Breakdown'!$T$6:$T$193, "&lt;"&amp;JU1)</f>
        <v>0</v>
      </c>
      <c r="JU17" s="123">
        <f>SUMIFS('Expenditure Breakdown'!$U$6:$U$193, 'Expenditure Breakdown'!$T$6:$T$193, "&gt;="&amp;JU1,'Expenditure Breakdown'!$T$6:$T$193, "&lt;"&amp;JV1)</f>
        <v>0</v>
      </c>
      <c r="JV17" s="123">
        <f>SUMIFS('Expenditure Breakdown'!$U$6:$U$193, 'Expenditure Breakdown'!$T$6:$T$193, "&gt;="&amp;JV1,'Expenditure Breakdown'!$T$6:$T$193, "&lt;"&amp;JW1)</f>
        <v>0</v>
      </c>
      <c r="JW17" s="123">
        <f>SUMIFS('Expenditure Breakdown'!$U$6:$U$193, 'Expenditure Breakdown'!$T$6:$T$193, "&gt;="&amp;JW1,'Expenditure Breakdown'!$T$6:$T$193, "&lt;"&amp;JX1)</f>
        <v>0</v>
      </c>
      <c r="JX17" s="123">
        <f>SUMIFS('Expenditure Breakdown'!$U$6:$U$193, 'Expenditure Breakdown'!$T$6:$T$193, "&gt;="&amp;JX1,'Expenditure Breakdown'!$T$6:$T$193, "&lt;"&amp;JY1)</f>
        <v>0</v>
      </c>
      <c r="JY17" s="123">
        <f>SUMIFS('Expenditure Breakdown'!$U$6:$U$193, 'Expenditure Breakdown'!$T$6:$T$193, "&gt;="&amp;JY1,'Expenditure Breakdown'!$T$6:$T$193, "&lt;"&amp;JZ1)</f>
        <v>0</v>
      </c>
      <c r="JZ17" s="123">
        <f>SUMIFS('Expenditure Breakdown'!$U$6:$U$193, 'Expenditure Breakdown'!$T$6:$T$193, "&gt;="&amp;JZ1,'Expenditure Breakdown'!$T$6:$T$193, "&lt;"&amp;KA1)</f>
        <v>0</v>
      </c>
      <c r="KA17" s="123">
        <f>SUMIFS('Expenditure Breakdown'!$U$6:$U$193, 'Expenditure Breakdown'!$T$6:$T$193, "&gt;="&amp;KA1,'Expenditure Breakdown'!$T$6:$T$193, "&lt;"&amp;KB1)</f>
        <v>0</v>
      </c>
      <c r="KB17" s="123">
        <f>SUMIFS('Expenditure Breakdown'!$U$6:$U$193, 'Expenditure Breakdown'!$T$6:$T$193, "&gt;="&amp;KB1,'Expenditure Breakdown'!$T$6:$T$193, "&lt;"&amp;KC1)</f>
        <v>0</v>
      </c>
      <c r="KC17" s="123">
        <f>SUMIFS('Expenditure Breakdown'!$U$6:$U$193, 'Expenditure Breakdown'!$T$6:$T$193, "&gt;="&amp;KC1,'Expenditure Breakdown'!$T$6:$T$193, "&lt;"&amp;KD1)</f>
        <v>0</v>
      </c>
      <c r="KD17" s="123">
        <f>SUMIFS('Expenditure Breakdown'!$U$6:$U$193, 'Expenditure Breakdown'!$T$6:$T$193, "&gt;="&amp;KD1,'Expenditure Breakdown'!$T$6:$T$193, "&lt;"&amp;KE1)</f>
        <v>0</v>
      </c>
      <c r="KE17" s="123">
        <f>SUMIFS('Expenditure Breakdown'!$U$6:$U$193, 'Expenditure Breakdown'!$T$6:$T$193, "&gt;="&amp;KE1,'Expenditure Breakdown'!$T$6:$T$193, "&lt;"&amp;KF1)</f>
        <v>0</v>
      </c>
      <c r="KF17" s="123">
        <f>SUMIFS('Expenditure Breakdown'!$U$6:$U$193, 'Expenditure Breakdown'!$T$6:$T$193, "&gt;="&amp;KF1,'Expenditure Breakdown'!$T$6:$T$193, "&lt;"&amp;#REF!)</f>
        <v>0</v>
      </c>
    </row>
    <row r="18" spans="1:292">
      <c r="A18" s="802"/>
      <c r="B18" s="104" t="s">
        <v>534</v>
      </c>
      <c r="C18" s="273">
        <f>D17-D18</f>
        <v>0</v>
      </c>
      <c r="D18" s="105">
        <f>MAX(F18:KF18)</f>
        <v>2792653.9759772802</v>
      </c>
      <c r="E18" s="115"/>
      <c r="F18" s="123">
        <f>F17</f>
        <v>0</v>
      </c>
      <c r="G18" s="123">
        <f>F18+G17</f>
        <v>0</v>
      </c>
      <c r="H18" s="123">
        <f>G18+H17</f>
        <v>0</v>
      </c>
      <c r="I18" s="123">
        <f t="shared" ref="I18:BT18" si="37">H18+I17</f>
        <v>0</v>
      </c>
      <c r="J18" s="123">
        <f t="shared" si="37"/>
        <v>0</v>
      </c>
      <c r="K18" s="123">
        <f t="shared" si="37"/>
        <v>0</v>
      </c>
      <c r="L18" s="123">
        <f t="shared" si="37"/>
        <v>0</v>
      </c>
      <c r="M18" s="123">
        <f t="shared" si="37"/>
        <v>0</v>
      </c>
      <c r="N18" s="123">
        <f t="shared" si="37"/>
        <v>1304579.4081294227</v>
      </c>
      <c r="O18" s="123">
        <f t="shared" si="37"/>
        <v>1304579.4081294227</v>
      </c>
      <c r="P18" s="123">
        <f t="shared" si="37"/>
        <v>1304579.4081294227</v>
      </c>
      <c r="Q18" s="123">
        <f t="shared" si="37"/>
        <v>1304579.4081294227</v>
      </c>
      <c r="R18" s="123">
        <f t="shared" si="37"/>
        <v>1977397.3621035733</v>
      </c>
      <c r="S18" s="123">
        <f t="shared" si="37"/>
        <v>1977397.3621035733</v>
      </c>
      <c r="T18" s="123">
        <f t="shared" si="37"/>
        <v>1977397.3621035733</v>
      </c>
      <c r="U18" s="123">
        <f t="shared" si="37"/>
        <v>1977397.3621035733</v>
      </c>
      <c r="V18" s="123">
        <f t="shared" si="37"/>
        <v>1977397.3621035733</v>
      </c>
      <c r="W18" s="123">
        <f t="shared" si="37"/>
        <v>2592065.1345573827</v>
      </c>
      <c r="X18" s="123">
        <f t="shared" si="37"/>
        <v>2592065.1345573827</v>
      </c>
      <c r="Y18" s="123">
        <f t="shared" si="37"/>
        <v>2592065.1345573827</v>
      </c>
      <c r="Z18" s="123">
        <f t="shared" si="37"/>
        <v>2592065.1345573827</v>
      </c>
      <c r="AA18" s="123">
        <f t="shared" si="37"/>
        <v>2727994.4233701387</v>
      </c>
      <c r="AB18" s="123">
        <f t="shared" si="37"/>
        <v>2727994.4233701387</v>
      </c>
      <c r="AC18" s="123">
        <f t="shared" si="37"/>
        <v>2727994.4233701387</v>
      </c>
      <c r="AD18" s="123">
        <f>AC18+AD17</f>
        <v>2727994.4233701387</v>
      </c>
      <c r="AE18" s="123">
        <f t="shared" si="37"/>
        <v>2792653.9759772802</v>
      </c>
      <c r="AF18" s="123">
        <f t="shared" si="37"/>
        <v>2792653.9759772802</v>
      </c>
      <c r="AG18" s="123">
        <f t="shared" si="37"/>
        <v>2792653.9759772802</v>
      </c>
      <c r="AH18" s="123">
        <f t="shared" si="37"/>
        <v>2792653.9759772802</v>
      </c>
      <c r="AI18" s="123">
        <f t="shared" si="37"/>
        <v>2792653.9759772802</v>
      </c>
      <c r="AJ18" s="123">
        <f t="shared" si="37"/>
        <v>2792653.9759772802</v>
      </c>
      <c r="AK18" s="123">
        <f t="shared" si="37"/>
        <v>2792653.9759772802</v>
      </c>
      <c r="AL18" s="123">
        <f t="shared" si="37"/>
        <v>2792653.9759772802</v>
      </c>
      <c r="AM18" s="123">
        <f t="shared" si="37"/>
        <v>2792653.9759772802</v>
      </c>
      <c r="AN18" s="123">
        <f t="shared" si="37"/>
        <v>2792653.9759772802</v>
      </c>
      <c r="AO18" s="123">
        <f t="shared" si="37"/>
        <v>2792653.9759772802</v>
      </c>
      <c r="AP18" s="123">
        <f t="shared" si="37"/>
        <v>2792653.9759772802</v>
      </c>
      <c r="AQ18" s="123">
        <f t="shared" si="37"/>
        <v>2792653.9759772802</v>
      </c>
      <c r="AR18" s="123">
        <f t="shared" si="37"/>
        <v>2792653.9759772802</v>
      </c>
      <c r="AS18" s="123">
        <f t="shared" si="37"/>
        <v>2792653.9759772802</v>
      </c>
      <c r="AT18" s="123">
        <f t="shared" si="37"/>
        <v>2792653.9759772802</v>
      </c>
      <c r="AU18" s="123">
        <f t="shared" si="37"/>
        <v>2792653.9759772802</v>
      </c>
      <c r="AV18" s="123">
        <f t="shared" si="37"/>
        <v>2792653.9759772802</v>
      </c>
      <c r="AW18" s="123">
        <f t="shared" si="37"/>
        <v>2792653.9759772802</v>
      </c>
      <c r="AX18" s="123">
        <f t="shared" si="37"/>
        <v>2792653.9759772802</v>
      </c>
      <c r="AY18" s="123">
        <f t="shared" si="37"/>
        <v>2792653.9759772802</v>
      </c>
      <c r="AZ18" s="123">
        <f t="shared" si="37"/>
        <v>2792653.9759772802</v>
      </c>
      <c r="BA18" s="123">
        <f t="shared" si="37"/>
        <v>2792653.9759772802</v>
      </c>
      <c r="BB18" s="123">
        <f t="shared" si="37"/>
        <v>2792653.9759772802</v>
      </c>
      <c r="BC18" s="123">
        <f t="shared" si="37"/>
        <v>2792653.9759772802</v>
      </c>
      <c r="BD18" s="123">
        <f t="shared" si="37"/>
        <v>2792653.9759772802</v>
      </c>
      <c r="BE18" s="123">
        <f t="shared" si="37"/>
        <v>2792653.9759772802</v>
      </c>
      <c r="BF18" s="123">
        <f t="shared" si="37"/>
        <v>2792653.9759772802</v>
      </c>
      <c r="BG18" s="123">
        <f t="shared" si="37"/>
        <v>2792653.9759772802</v>
      </c>
      <c r="BH18" s="123">
        <f t="shared" si="37"/>
        <v>2792653.9759772802</v>
      </c>
      <c r="BI18" s="123">
        <f t="shared" si="37"/>
        <v>2792653.9759772802</v>
      </c>
      <c r="BJ18" s="123">
        <f t="shared" si="37"/>
        <v>2792653.9759772802</v>
      </c>
      <c r="BK18" s="123">
        <f t="shared" si="37"/>
        <v>2792653.9759772802</v>
      </c>
      <c r="BL18" s="123">
        <f t="shared" si="37"/>
        <v>2792653.9759772802</v>
      </c>
      <c r="BM18" s="123">
        <f t="shared" si="37"/>
        <v>2792653.9759772802</v>
      </c>
      <c r="BN18" s="123">
        <f t="shared" si="37"/>
        <v>2792653.9759772802</v>
      </c>
      <c r="BO18" s="123">
        <f t="shared" si="37"/>
        <v>2792653.9759772802</v>
      </c>
      <c r="BP18" s="123">
        <f t="shared" si="37"/>
        <v>2792653.9759772802</v>
      </c>
      <c r="BQ18" s="123">
        <f t="shared" si="37"/>
        <v>2792653.9759772802</v>
      </c>
      <c r="BR18" s="123">
        <f t="shared" si="37"/>
        <v>2792653.9759772802</v>
      </c>
      <c r="BS18" s="123">
        <f t="shared" si="37"/>
        <v>2792653.9759772802</v>
      </c>
      <c r="BT18" s="123">
        <f t="shared" si="37"/>
        <v>2792653.9759772802</v>
      </c>
      <c r="BU18" s="123">
        <f t="shared" ref="BU18:EF18" si="38">BT18+BU17</f>
        <v>2792653.9759772802</v>
      </c>
      <c r="BV18" s="123">
        <f t="shared" si="38"/>
        <v>2792653.9759772802</v>
      </c>
      <c r="BW18" s="123">
        <f t="shared" si="38"/>
        <v>2792653.9759772802</v>
      </c>
      <c r="BX18" s="123">
        <f t="shared" si="38"/>
        <v>2792653.9759772802</v>
      </c>
      <c r="BY18" s="123">
        <f t="shared" si="38"/>
        <v>2792653.9759772802</v>
      </c>
      <c r="BZ18" s="123">
        <f t="shared" si="38"/>
        <v>2792653.9759772802</v>
      </c>
      <c r="CA18" s="123">
        <f t="shared" si="38"/>
        <v>2792653.9759772802</v>
      </c>
      <c r="CB18" s="123">
        <f t="shared" si="38"/>
        <v>2792653.9759772802</v>
      </c>
      <c r="CC18" s="123">
        <f t="shared" si="38"/>
        <v>2792653.9759772802</v>
      </c>
      <c r="CD18" s="123">
        <f t="shared" si="38"/>
        <v>2792653.9759772802</v>
      </c>
      <c r="CE18" s="123">
        <f t="shared" si="38"/>
        <v>2792653.9759772802</v>
      </c>
      <c r="CF18" s="123">
        <f t="shared" si="38"/>
        <v>2792653.9759772802</v>
      </c>
      <c r="CG18" s="123">
        <f t="shared" si="38"/>
        <v>2792653.9759772802</v>
      </c>
      <c r="CH18" s="123">
        <f t="shared" si="38"/>
        <v>2792653.9759772802</v>
      </c>
      <c r="CI18" s="123">
        <f t="shared" si="38"/>
        <v>2792653.9759772802</v>
      </c>
      <c r="CJ18" s="123">
        <f t="shared" si="38"/>
        <v>2792653.9759772802</v>
      </c>
      <c r="CK18" s="123">
        <f t="shared" si="38"/>
        <v>2792653.9759772802</v>
      </c>
      <c r="CL18" s="123">
        <f t="shared" si="38"/>
        <v>2792653.9759772802</v>
      </c>
      <c r="CM18" s="123">
        <f t="shared" si="38"/>
        <v>2792653.9759772802</v>
      </c>
      <c r="CN18" s="123">
        <f t="shared" si="38"/>
        <v>2792653.9759772802</v>
      </c>
      <c r="CO18" s="123">
        <f t="shared" si="38"/>
        <v>2792653.9759772802</v>
      </c>
      <c r="CP18" s="123">
        <f t="shared" si="38"/>
        <v>2792653.9759772802</v>
      </c>
      <c r="CQ18" s="123">
        <f t="shared" si="38"/>
        <v>2792653.9759772802</v>
      </c>
      <c r="CR18" s="123">
        <f t="shared" si="38"/>
        <v>2792653.9759772802</v>
      </c>
      <c r="CS18" s="123">
        <f t="shared" si="38"/>
        <v>2792653.9759772802</v>
      </c>
      <c r="CT18" s="123">
        <f t="shared" si="38"/>
        <v>2792653.9759772802</v>
      </c>
      <c r="CU18" s="123">
        <f t="shared" si="38"/>
        <v>2792653.9759772802</v>
      </c>
      <c r="CV18" s="123">
        <f t="shared" si="38"/>
        <v>2792653.9759772802</v>
      </c>
      <c r="CW18" s="123">
        <f t="shared" si="38"/>
        <v>2792653.9759772802</v>
      </c>
      <c r="CX18" s="123">
        <f t="shared" si="38"/>
        <v>2792653.9759772802</v>
      </c>
      <c r="CY18" s="123">
        <f t="shared" si="38"/>
        <v>2792653.9759772802</v>
      </c>
      <c r="CZ18" s="123">
        <f t="shared" si="38"/>
        <v>2792653.9759772802</v>
      </c>
      <c r="DA18" s="123">
        <f t="shared" si="38"/>
        <v>2792653.9759772802</v>
      </c>
      <c r="DB18" s="123">
        <f t="shared" si="38"/>
        <v>2792653.9759772802</v>
      </c>
      <c r="DC18" s="123">
        <f t="shared" si="38"/>
        <v>2792653.9759772802</v>
      </c>
      <c r="DD18" s="123">
        <f t="shared" si="38"/>
        <v>2792653.9759772802</v>
      </c>
      <c r="DE18" s="123">
        <f t="shared" si="38"/>
        <v>2792653.9759772802</v>
      </c>
      <c r="DF18" s="123">
        <f t="shared" si="38"/>
        <v>2792653.9759772802</v>
      </c>
      <c r="DG18" s="123">
        <f t="shared" si="38"/>
        <v>2792653.9759772802</v>
      </c>
      <c r="DH18" s="123">
        <f t="shared" si="38"/>
        <v>2792653.9759772802</v>
      </c>
      <c r="DI18" s="123">
        <f t="shared" si="38"/>
        <v>2792653.9759772802</v>
      </c>
      <c r="DJ18" s="123">
        <f t="shared" si="38"/>
        <v>2792653.9759772802</v>
      </c>
      <c r="DK18" s="123">
        <f t="shared" si="38"/>
        <v>2792653.9759772802</v>
      </c>
      <c r="DL18" s="123">
        <f t="shared" si="38"/>
        <v>2792653.9759772802</v>
      </c>
      <c r="DM18" s="123">
        <f t="shared" si="38"/>
        <v>2792653.9759772802</v>
      </c>
      <c r="DN18" s="123">
        <f t="shared" si="38"/>
        <v>2792653.9759772802</v>
      </c>
      <c r="DO18" s="123">
        <f t="shared" si="38"/>
        <v>2792653.9759772802</v>
      </c>
      <c r="DP18" s="123">
        <f t="shared" si="38"/>
        <v>2792653.9759772802</v>
      </c>
      <c r="DQ18" s="123">
        <f t="shared" si="38"/>
        <v>2792653.9759772802</v>
      </c>
      <c r="DR18" s="123">
        <f t="shared" si="38"/>
        <v>2792653.9759772802</v>
      </c>
      <c r="DS18" s="123">
        <f t="shared" si="38"/>
        <v>2792653.9759772802</v>
      </c>
      <c r="DT18" s="123">
        <f t="shared" si="38"/>
        <v>2792653.9759772802</v>
      </c>
      <c r="DU18" s="123">
        <f t="shared" si="38"/>
        <v>2792653.9759772802</v>
      </c>
      <c r="DV18" s="123">
        <f t="shared" si="38"/>
        <v>2792653.9759772802</v>
      </c>
      <c r="DW18" s="123">
        <f t="shared" si="38"/>
        <v>2792653.9759772802</v>
      </c>
      <c r="DX18" s="123">
        <f t="shared" si="38"/>
        <v>2792653.9759772802</v>
      </c>
      <c r="DY18" s="123">
        <f t="shared" si="38"/>
        <v>2792653.9759772802</v>
      </c>
      <c r="DZ18" s="123">
        <f t="shared" si="38"/>
        <v>2792653.9759772802</v>
      </c>
      <c r="EA18" s="123">
        <f t="shared" si="38"/>
        <v>2792653.9759772802</v>
      </c>
      <c r="EB18" s="123">
        <f t="shared" si="38"/>
        <v>2792653.9759772802</v>
      </c>
      <c r="EC18" s="123">
        <f t="shared" si="38"/>
        <v>2792653.9759772802</v>
      </c>
      <c r="ED18" s="123">
        <f t="shared" si="38"/>
        <v>2792653.9759772802</v>
      </c>
      <c r="EE18" s="123">
        <f t="shared" si="38"/>
        <v>2792653.9759772802</v>
      </c>
      <c r="EF18" s="123">
        <f t="shared" si="38"/>
        <v>2792653.9759772802</v>
      </c>
      <c r="EG18" s="123">
        <f t="shared" ref="EG18:GR18" si="39">EF18+EG17</f>
        <v>2792653.9759772802</v>
      </c>
      <c r="EH18" s="123">
        <f t="shared" si="39"/>
        <v>2792653.9759772802</v>
      </c>
      <c r="EI18" s="123">
        <f t="shared" si="39"/>
        <v>2792653.9759772802</v>
      </c>
      <c r="EJ18" s="123">
        <f t="shared" si="39"/>
        <v>2792653.9759772802</v>
      </c>
      <c r="EK18" s="123">
        <f t="shared" si="39"/>
        <v>2792653.9759772802</v>
      </c>
      <c r="EL18" s="123">
        <f t="shared" si="39"/>
        <v>2792653.9759772802</v>
      </c>
      <c r="EM18" s="123">
        <f t="shared" si="39"/>
        <v>2792653.9759772802</v>
      </c>
      <c r="EN18" s="123">
        <f t="shared" si="39"/>
        <v>2792653.9759772802</v>
      </c>
      <c r="EO18" s="123">
        <f t="shared" si="39"/>
        <v>2792653.9759772802</v>
      </c>
      <c r="EP18" s="123">
        <f t="shared" si="39"/>
        <v>2792653.9759772802</v>
      </c>
      <c r="EQ18" s="123">
        <f t="shared" si="39"/>
        <v>2792653.9759772802</v>
      </c>
      <c r="ER18" s="123">
        <f t="shared" si="39"/>
        <v>2792653.9759772802</v>
      </c>
      <c r="ES18" s="123">
        <f t="shared" si="39"/>
        <v>2792653.9759772802</v>
      </c>
      <c r="ET18" s="123">
        <f t="shared" si="39"/>
        <v>2792653.9759772802</v>
      </c>
      <c r="EU18" s="123">
        <f t="shared" si="39"/>
        <v>2792653.9759772802</v>
      </c>
      <c r="EV18" s="123">
        <f t="shared" si="39"/>
        <v>2792653.9759772802</v>
      </c>
      <c r="EW18" s="123">
        <f t="shared" si="39"/>
        <v>2792653.9759772802</v>
      </c>
      <c r="EX18" s="123">
        <f t="shared" si="39"/>
        <v>2792653.9759772802</v>
      </c>
      <c r="EY18" s="123">
        <f t="shared" si="39"/>
        <v>2792653.9759772802</v>
      </c>
      <c r="EZ18" s="123">
        <f t="shared" si="39"/>
        <v>2792653.9759772802</v>
      </c>
      <c r="FA18" s="123">
        <f t="shared" si="39"/>
        <v>2792653.9759772802</v>
      </c>
      <c r="FB18" s="123">
        <f t="shared" si="39"/>
        <v>2792653.9759772802</v>
      </c>
      <c r="FC18" s="123">
        <f t="shared" si="39"/>
        <v>2792653.9759772802</v>
      </c>
      <c r="FD18" s="123">
        <f t="shared" si="39"/>
        <v>2792653.9759772802</v>
      </c>
      <c r="FE18" s="123">
        <f t="shared" si="39"/>
        <v>2792653.9759772802</v>
      </c>
      <c r="FF18" s="123">
        <f t="shared" si="39"/>
        <v>2792653.9759772802</v>
      </c>
      <c r="FG18" s="123">
        <f t="shared" si="39"/>
        <v>2792653.9759772802</v>
      </c>
      <c r="FH18" s="123">
        <f t="shared" si="39"/>
        <v>2792653.9759772802</v>
      </c>
      <c r="FI18" s="123">
        <f t="shared" si="39"/>
        <v>2792653.9759772802</v>
      </c>
      <c r="FJ18" s="123">
        <f t="shared" si="39"/>
        <v>2792653.9759772802</v>
      </c>
      <c r="FK18" s="123">
        <f t="shared" si="39"/>
        <v>2792653.9759772802</v>
      </c>
      <c r="FL18" s="123">
        <f t="shared" si="39"/>
        <v>2792653.9759772802</v>
      </c>
      <c r="FM18" s="123">
        <f t="shared" si="39"/>
        <v>2792653.9759772802</v>
      </c>
      <c r="FN18" s="123">
        <f t="shared" si="39"/>
        <v>2792653.9759772802</v>
      </c>
      <c r="FO18" s="123">
        <f t="shared" si="39"/>
        <v>2792653.9759772802</v>
      </c>
      <c r="FP18" s="123">
        <f t="shared" si="39"/>
        <v>2792653.9759772802</v>
      </c>
      <c r="FQ18" s="123">
        <f t="shared" si="39"/>
        <v>2792653.9759772802</v>
      </c>
      <c r="FR18" s="123">
        <f t="shared" si="39"/>
        <v>2792653.9759772802</v>
      </c>
      <c r="FS18" s="123">
        <f t="shared" si="39"/>
        <v>2792653.9759772802</v>
      </c>
      <c r="FT18" s="123">
        <f t="shared" si="39"/>
        <v>2792653.9759772802</v>
      </c>
      <c r="FU18" s="123">
        <f t="shared" si="39"/>
        <v>2792653.9759772802</v>
      </c>
      <c r="FV18" s="123">
        <f t="shared" si="39"/>
        <v>2792653.9759772802</v>
      </c>
      <c r="FW18" s="123">
        <f t="shared" si="39"/>
        <v>2792653.9759772802</v>
      </c>
      <c r="FX18" s="123">
        <f t="shared" si="39"/>
        <v>2792653.9759772802</v>
      </c>
      <c r="FY18" s="123">
        <f t="shared" si="39"/>
        <v>2792653.9759772802</v>
      </c>
      <c r="FZ18" s="123">
        <f t="shared" si="39"/>
        <v>2792653.9759772802</v>
      </c>
      <c r="GA18" s="123">
        <f t="shared" si="39"/>
        <v>2792653.9759772802</v>
      </c>
      <c r="GB18" s="123">
        <f t="shared" si="39"/>
        <v>2792653.9759772802</v>
      </c>
      <c r="GC18" s="123">
        <f t="shared" si="39"/>
        <v>2792653.9759772802</v>
      </c>
      <c r="GD18" s="123">
        <f t="shared" si="39"/>
        <v>2792653.9759772802</v>
      </c>
      <c r="GE18" s="123">
        <f t="shared" si="39"/>
        <v>2792653.9759772802</v>
      </c>
      <c r="GF18" s="123">
        <f t="shared" si="39"/>
        <v>2792653.9759772802</v>
      </c>
      <c r="GG18" s="123">
        <f t="shared" si="39"/>
        <v>2792653.9759772802</v>
      </c>
      <c r="GH18" s="123">
        <f t="shared" si="39"/>
        <v>2792653.9759772802</v>
      </c>
      <c r="GI18" s="123">
        <f t="shared" si="39"/>
        <v>2792653.9759772802</v>
      </c>
      <c r="GJ18" s="123">
        <f t="shared" si="39"/>
        <v>2792653.9759772802</v>
      </c>
      <c r="GK18" s="123">
        <f t="shared" si="39"/>
        <v>2792653.9759772802</v>
      </c>
      <c r="GL18" s="123">
        <f t="shared" si="39"/>
        <v>2792653.9759772802</v>
      </c>
      <c r="GM18" s="123">
        <f t="shared" si="39"/>
        <v>2792653.9759772802</v>
      </c>
      <c r="GN18" s="123">
        <f t="shared" si="39"/>
        <v>2792653.9759772802</v>
      </c>
      <c r="GO18" s="123">
        <f t="shared" si="39"/>
        <v>2792653.9759772802</v>
      </c>
      <c r="GP18" s="123">
        <f t="shared" si="39"/>
        <v>2792653.9759772802</v>
      </c>
      <c r="GQ18" s="123">
        <f t="shared" si="39"/>
        <v>2792653.9759772802</v>
      </c>
      <c r="GR18" s="123">
        <f t="shared" si="39"/>
        <v>2792653.9759772802</v>
      </c>
      <c r="GS18" s="123">
        <f t="shared" ref="GS18:JD18" si="40">GR18+GS17</f>
        <v>2792653.9759772802</v>
      </c>
      <c r="GT18" s="123">
        <f t="shared" si="40"/>
        <v>2792653.9759772802</v>
      </c>
      <c r="GU18" s="123">
        <f t="shared" si="40"/>
        <v>2792653.9759772802</v>
      </c>
      <c r="GV18" s="123">
        <f t="shared" si="40"/>
        <v>2792653.9759772802</v>
      </c>
      <c r="GW18" s="123">
        <f t="shared" si="40"/>
        <v>2792653.9759772802</v>
      </c>
      <c r="GX18" s="123">
        <f t="shared" si="40"/>
        <v>2792653.9759772802</v>
      </c>
      <c r="GY18" s="123">
        <f t="shared" si="40"/>
        <v>2792653.9759772802</v>
      </c>
      <c r="GZ18" s="123">
        <f t="shared" si="40"/>
        <v>2792653.9759772802</v>
      </c>
      <c r="HA18" s="123">
        <f t="shared" si="40"/>
        <v>2792653.9759772802</v>
      </c>
      <c r="HB18" s="123">
        <f t="shared" si="40"/>
        <v>2792653.9759772802</v>
      </c>
      <c r="HC18" s="123">
        <f t="shared" si="40"/>
        <v>2792653.9759772802</v>
      </c>
      <c r="HD18" s="123">
        <f t="shared" si="40"/>
        <v>2792653.9759772802</v>
      </c>
      <c r="HE18" s="123">
        <f t="shared" si="40"/>
        <v>2792653.9759772802</v>
      </c>
      <c r="HF18" s="123">
        <f t="shared" si="40"/>
        <v>2792653.9759772802</v>
      </c>
      <c r="HG18" s="123">
        <f t="shared" si="40"/>
        <v>2792653.9759772802</v>
      </c>
      <c r="HH18" s="123">
        <f t="shared" si="40"/>
        <v>2792653.9759772802</v>
      </c>
      <c r="HI18" s="123">
        <f t="shared" si="40"/>
        <v>2792653.9759772802</v>
      </c>
      <c r="HJ18" s="123">
        <f t="shared" si="40"/>
        <v>2792653.9759772802</v>
      </c>
      <c r="HK18" s="123">
        <f t="shared" si="40"/>
        <v>2792653.9759772802</v>
      </c>
      <c r="HL18" s="123">
        <f t="shared" si="40"/>
        <v>2792653.9759772802</v>
      </c>
      <c r="HM18" s="123">
        <f t="shared" si="40"/>
        <v>2792653.9759772802</v>
      </c>
      <c r="HN18" s="123">
        <f t="shared" si="40"/>
        <v>2792653.9759772802</v>
      </c>
      <c r="HO18" s="123">
        <f t="shared" si="40"/>
        <v>2792653.9759772802</v>
      </c>
      <c r="HP18" s="123">
        <f t="shared" si="40"/>
        <v>2792653.9759772802</v>
      </c>
      <c r="HQ18" s="123">
        <f t="shared" si="40"/>
        <v>2792653.9759772802</v>
      </c>
      <c r="HR18" s="123">
        <f t="shared" si="40"/>
        <v>2792653.9759772802</v>
      </c>
      <c r="HS18" s="123">
        <f t="shared" si="40"/>
        <v>2792653.9759772802</v>
      </c>
      <c r="HT18" s="123">
        <f t="shared" si="40"/>
        <v>2792653.9759772802</v>
      </c>
      <c r="HU18" s="123">
        <f t="shared" si="40"/>
        <v>2792653.9759772802</v>
      </c>
      <c r="HV18" s="123">
        <f t="shared" si="40"/>
        <v>2792653.9759772802</v>
      </c>
      <c r="HW18" s="123">
        <f t="shared" si="40"/>
        <v>2792653.9759772802</v>
      </c>
      <c r="HX18" s="123">
        <f t="shared" si="40"/>
        <v>2792653.9759772802</v>
      </c>
      <c r="HY18" s="123">
        <f t="shared" si="40"/>
        <v>2792653.9759772802</v>
      </c>
      <c r="HZ18" s="123">
        <f t="shared" si="40"/>
        <v>2792653.9759772802</v>
      </c>
      <c r="IA18" s="123">
        <f t="shared" si="40"/>
        <v>2792653.9759772802</v>
      </c>
      <c r="IB18" s="123">
        <f t="shared" si="40"/>
        <v>2792653.9759772802</v>
      </c>
      <c r="IC18" s="123">
        <f t="shared" si="40"/>
        <v>2792653.9759772802</v>
      </c>
      <c r="ID18" s="123">
        <f t="shared" si="40"/>
        <v>2792653.9759772802</v>
      </c>
      <c r="IE18" s="123">
        <f t="shared" si="40"/>
        <v>2792653.9759772802</v>
      </c>
      <c r="IF18" s="123">
        <f t="shared" si="40"/>
        <v>2792653.9759772802</v>
      </c>
      <c r="IG18" s="123">
        <f t="shared" si="40"/>
        <v>2792653.9759772802</v>
      </c>
      <c r="IH18" s="123">
        <f t="shared" si="40"/>
        <v>2792653.9759772802</v>
      </c>
      <c r="II18" s="123">
        <f t="shared" si="40"/>
        <v>2792653.9759772802</v>
      </c>
      <c r="IJ18" s="123">
        <f t="shared" si="40"/>
        <v>2792653.9759772802</v>
      </c>
      <c r="IK18" s="123">
        <f t="shared" si="40"/>
        <v>2792653.9759772802</v>
      </c>
      <c r="IL18" s="123">
        <f t="shared" si="40"/>
        <v>2792653.9759772802</v>
      </c>
      <c r="IM18" s="123">
        <f t="shared" si="40"/>
        <v>2792653.9759772802</v>
      </c>
      <c r="IN18" s="123">
        <f t="shared" si="40"/>
        <v>2792653.9759772802</v>
      </c>
      <c r="IO18" s="123">
        <f t="shared" si="40"/>
        <v>2792653.9759772802</v>
      </c>
      <c r="IP18" s="123">
        <f t="shared" si="40"/>
        <v>2792653.9759772802</v>
      </c>
      <c r="IQ18" s="123">
        <f t="shared" si="40"/>
        <v>2792653.9759772802</v>
      </c>
      <c r="IR18" s="123">
        <f t="shared" si="40"/>
        <v>2792653.9759772802</v>
      </c>
      <c r="IS18" s="123">
        <f t="shared" si="40"/>
        <v>2792653.9759772802</v>
      </c>
      <c r="IT18" s="123">
        <f t="shared" si="40"/>
        <v>2792653.9759772802</v>
      </c>
      <c r="IU18" s="123">
        <f t="shared" si="40"/>
        <v>2792653.9759772802</v>
      </c>
      <c r="IV18" s="123">
        <f t="shared" si="40"/>
        <v>2792653.9759772802</v>
      </c>
      <c r="IW18" s="123">
        <f t="shared" si="40"/>
        <v>2792653.9759772802</v>
      </c>
      <c r="IX18" s="123">
        <f t="shared" si="40"/>
        <v>2792653.9759772802</v>
      </c>
      <c r="IY18" s="123">
        <f t="shared" si="40"/>
        <v>2792653.9759772802</v>
      </c>
      <c r="IZ18" s="123">
        <f t="shared" si="40"/>
        <v>2792653.9759772802</v>
      </c>
      <c r="JA18" s="123">
        <f t="shared" si="40"/>
        <v>2792653.9759772802</v>
      </c>
      <c r="JB18" s="123">
        <f t="shared" si="40"/>
        <v>2792653.9759772802</v>
      </c>
      <c r="JC18" s="123">
        <f t="shared" si="40"/>
        <v>2792653.9759772802</v>
      </c>
      <c r="JD18" s="123">
        <f t="shared" si="40"/>
        <v>2792653.9759772802</v>
      </c>
      <c r="JE18" s="123">
        <f t="shared" ref="JE18:KF18" si="41">JD18+JE17</f>
        <v>2792653.9759772802</v>
      </c>
      <c r="JF18" s="123">
        <f t="shared" si="41"/>
        <v>2792653.9759772802</v>
      </c>
      <c r="JG18" s="123">
        <f t="shared" si="41"/>
        <v>2792653.9759772802</v>
      </c>
      <c r="JH18" s="123">
        <f t="shared" si="41"/>
        <v>2792653.9759772802</v>
      </c>
      <c r="JI18" s="123">
        <f t="shared" si="41"/>
        <v>2792653.9759772802</v>
      </c>
      <c r="JJ18" s="123">
        <f t="shared" si="41"/>
        <v>2792653.9759772802</v>
      </c>
      <c r="JK18" s="123">
        <f t="shared" si="41"/>
        <v>2792653.9759772802</v>
      </c>
      <c r="JL18" s="123">
        <f t="shared" si="41"/>
        <v>2792653.9759772802</v>
      </c>
      <c r="JM18" s="123">
        <f t="shared" si="41"/>
        <v>2792653.9759772802</v>
      </c>
      <c r="JN18" s="123">
        <f t="shared" si="41"/>
        <v>2792653.9759772802</v>
      </c>
      <c r="JO18" s="123">
        <f t="shared" si="41"/>
        <v>2792653.9759772802</v>
      </c>
      <c r="JP18" s="123">
        <f t="shared" si="41"/>
        <v>2792653.9759772802</v>
      </c>
      <c r="JQ18" s="123">
        <f t="shared" si="41"/>
        <v>2792653.9759772802</v>
      </c>
      <c r="JR18" s="123">
        <f t="shared" si="41"/>
        <v>2792653.9759772802</v>
      </c>
      <c r="JS18" s="123">
        <f t="shared" si="41"/>
        <v>2792653.9759772802</v>
      </c>
      <c r="JT18" s="123">
        <f t="shared" si="41"/>
        <v>2792653.9759772802</v>
      </c>
      <c r="JU18" s="123">
        <f t="shared" si="41"/>
        <v>2792653.9759772802</v>
      </c>
      <c r="JV18" s="123">
        <f t="shared" si="41"/>
        <v>2792653.9759772802</v>
      </c>
      <c r="JW18" s="123">
        <f t="shared" si="41"/>
        <v>2792653.9759772802</v>
      </c>
      <c r="JX18" s="123">
        <f t="shared" si="41"/>
        <v>2792653.9759772802</v>
      </c>
      <c r="JY18" s="123">
        <f t="shared" si="41"/>
        <v>2792653.9759772802</v>
      </c>
      <c r="JZ18" s="123">
        <f t="shared" si="41"/>
        <v>2792653.9759772802</v>
      </c>
      <c r="KA18" s="123">
        <f t="shared" si="41"/>
        <v>2792653.9759772802</v>
      </c>
      <c r="KB18" s="123">
        <f t="shared" si="41"/>
        <v>2792653.9759772802</v>
      </c>
      <c r="KC18" s="123">
        <f t="shared" si="41"/>
        <v>2792653.9759772802</v>
      </c>
      <c r="KD18" s="123">
        <f t="shared" si="41"/>
        <v>2792653.9759772802</v>
      </c>
      <c r="KE18" s="123">
        <f t="shared" si="41"/>
        <v>2792653.9759772802</v>
      </c>
      <c r="KF18" s="123">
        <f t="shared" si="41"/>
        <v>2792653.9759772802</v>
      </c>
    </row>
    <row r="19" spans="1:292" s="100" customFormat="1"/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B13" sqref="B13"/>
    </sheetView>
  </sheetViews>
  <sheetFormatPr defaultColWidth="12.53125" defaultRowHeight="14.25"/>
  <cols>
    <col min="1" max="1" width="39.46484375" style="267" bestFit="1" customWidth="1"/>
    <col min="2" max="2" width="17.33203125" style="268" bestFit="1" customWidth="1"/>
    <col min="3" max="3" width="14.9296875" style="267" bestFit="1" customWidth="1"/>
    <col min="4" max="5" width="13.33203125" style="267" bestFit="1" customWidth="1"/>
    <col min="6" max="6" width="4.9296875" style="267" bestFit="1" customWidth="1"/>
    <col min="7" max="7" width="13.33203125" style="267" bestFit="1" customWidth="1"/>
    <col min="8" max="8" width="12" style="267" bestFit="1" customWidth="1"/>
    <col min="9" max="10" width="14.9296875" style="267" bestFit="1" customWidth="1"/>
    <col min="11" max="11" width="11.46484375" style="267" bestFit="1" customWidth="1"/>
    <col min="12" max="12" width="6.46484375" style="267" bestFit="1" customWidth="1"/>
    <col min="13" max="13" width="14.46484375" style="267" bestFit="1" customWidth="1"/>
    <col min="14" max="14" width="13.53125" style="267" bestFit="1" customWidth="1"/>
    <col min="15" max="18" width="11.46484375" style="267" bestFit="1" customWidth="1"/>
    <col min="19" max="19" width="13.53125" style="267" bestFit="1" customWidth="1"/>
    <col min="20" max="16384" width="12.53125" style="26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17" t="s">
        <v>535</v>
      </c>
      <c r="B3" s="517" t="s">
        <v>536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17" t="s">
        <v>537</v>
      </c>
      <c r="B4" t="s">
        <v>538</v>
      </c>
      <c r="C4" s="344">
        <v>45961</v>
      </c>
      <c r="D4" s="344">
        <v>45991</v>
      </c>
      <c r="E4" s="344">
        <v>46022</v>
      </c>
      <c r="F4"/>
      <c r="G4" s="344">
        <v>46053</v>
      </c>
      <c r="H4" s="344">
        <v>46081</v>
      </c>
      <c r="I4" t="s">
        <v>539</v>
      </c>
      <c r="J4"/>
      <c r="K4"/>
      <c r="L4"/>
      <c r="M4"/>
      <c r="N4"/>
      <c r="O4"/>
      <c r="P4"/>
      <c r="Q4"/>
      <c r="R4"/>
      <c r="S4"/>
      <c r="T4"/>
    </row>
    <row r="5" spans="1:20">
      <c r="A5" s="343" t="s">
        <v>538</v>
      </c>
      <c r="B5" s="270"/>
      <c r="C5" s="270"/>
      <c r="D5" s="270"/>
      <c r="E5" s="270"/>
      <c r="F5" s="270"/>
      <c r="G5" s="270"/>
      <c r="H5" s="270"/>
      <c r="I5" s="270"/>
      <c r="J5"/>
      <c r="K5"/>
      <c r="L5"/>
      <c r="M5"/>
      <c r="N5"/>
      <c r="O5"/>
      <c r="P5"/>
      <c r="Q5"/>
      <c r="R5"/>
      <c r="S5"/>
      <c r="T5"/>
    </row>
    <row r="6" spans="1:20">
      <c r="A6" s="343" t="s">
        <v>306</v>
      </c>
      <c r="B6" s="270"/>
      <c r="C6" s="270">
        <v>637909</v>
      </c>
      <c r="D6" s="270"/>
      <c r="E6" s="270"/>
      <c r="F6" s="270">
        <v>0</v>
      </c>
      <c r="G6" s="270"/>
      <c r="H6" s="270"/>
      <c r="I6" s="270">
        <v>637909</v>
      </c>
      <c r="J6"/>
      <c r="K6"/>
      <c r="L6"/>
      <c r="M6"/>
      <c r="N6"/>
      <c r="O6"/>
      <c r="P6"/>
      <c r="Q6"/>
      <c r="R6"/>
      <c r="S6"/>
      <c r="T6"/>
    </row>
    <row r="7" spans="1:20">
      <c r="A7" s="343" t="s">
        <v>314</v>
      </c>
      <c r="B7" s="270"/>
      <c r="C7" s="270">
        <v>280682</v>
      </c>
      <c r="D7" s="270"/>
      <c r="E7" s="270"/>
      <c r="F7" s="270">
        <v>0</v>
      </c>
      <c r="G7" s="270"/>
      <c r="H7" s="270"/>
      <c r="I7" s="270">
        <v>280682</v>
      </c>
      <c r="J7"/>
      <c r="K7"/>
      <c r="L7"/>
      <c r="M7"/>
      <c r="N7"/>
      <c r="O7"/>
      <c r="P7"/>
      <c r="Q7"/>
      <c r="R7"/>
      <c r="S7"/>
      <c r="T7"/>
    </row>
    <row r="8" spans="1:20">
      <c r="A8" s="343" t="s">
        <v>325</v>
      </c>
      <c r="B8" s="270"/>
      <c r="C8" s="270">
        <v>113682</v>
      </c>
      <c r="D8" s="270"/>
      <c r="E8" s="270"/>
      <c r="F8" s="270">
        <v>0</v>
      </c>
      <c r="G8" s="270"/>
      <c r="H8" s="270"/>
      <c r="I8" s="270">
        <v>113682</v>
      </c>
      <c r="J8"/>
      <c r="K8"/>
      <c r="L8"/>
      <c r="M8"/>
      <c r="N8"/>
      <c r="O8"/>
      <c r="P8"/>
      <c r="Q8"/>
      <c r="R8"/>
      <c r="S8"/>
      <c r="T8"/>
    </row>
    <row r="9" spans="1:20">
      <c r="A9" s="343" t="s">
        <v>338</v>
      </c>
      <c r="B9" s="270"/>
      <c r="C9" s="270">
        <v>103164.57828357414</v>
      </c>
      <c r="D9" s="270"/>
      <c r="E9" s="270">
        <v>75452.926935330805</v>
      </c>
      <c r="F9" s="270">
        <v>0</v>
      </c>
      <c r="G9" s="270">
        <v>0</v>
      </c>
      <c r="H9" s="270">
        <v>5389.4970872034428</v>
      </c>
      <c r="I9" s="270">
        <v>184007.00230610836</v>
      </c>
      <c r="J9"/>
      <c r="K9"/>
      <c r="L9"/>
      <c r="M9"/>
      <c r="N9"/>
      <c r="O9"/>
      <c r="P9"/>
      <c r="Q9"/>
      <c r="R9"/>
      <c r="S9"/>
      <c r="T9"/>
    </row>
    <row r="10" spans="1:20">
      <c r="A10" s="343" t="s">
        <v>377</v>
      </c>
      <c r="B10" s="270"/>
      <c r="C10" s="270">
        <v>9890.2129776497222</v>
      </c>
      <c r="D10" s="270">
        <v>135150.32625456309</v>
      </c>
      <c r="E10" s="270"/>
      <c r="F10" s="270">
        <v>0</v>
      </c>
      <c r="G10" s="270">
        <v>23141.457934175331</v>
      </c>
      <c r="H10" s="270"/>
      <c r="I10" s="270">
        <v>168181.99716638814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3" t="s">
        <v>390</v>
      </c>
      <c r="B11" s="270">
        <v>0</v>
      </c>
      <c r="C11" s="270">
        <v>79165</v>
      </c>
      <c r="D11" s="270"/>
      <c r="E11" s="270">
        <v>221662</v>
      </c>
      <c r="F11" s="270">
        <v>0</v>
      </c>
      <c r="G11" s="270"/>
      <c r="H11" s="270">
        <v>15833</v>
      </c>
      <c r="I11" s="270">
        <v>316660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3" t="s">
        <v>395</v>
      </c>
      <c r="B12" s="270">
        <v>0</v>
      </c>
      <c r="C12" s="270"/>
      <c r="D12" s="270">
        <v>512862.34730143682</v>
      </c>
      <c r="E12" s="270">
        <v>91090.537611921041</v>
      </c>
      <c r="F12" s="270">
        <v>0</v>
      </c>
      <c r="G12" s="270">
        <v>112435.42183162016</v>
      </c>
      <c r="H12" s="270"/>
      <c r="I12" s="270">
        <v>716388.30674497806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3" t="s">
        <v>435</v>
      </c>
      <c r="B13" s="270">
        <v>0</v>
      </c>
      <c r="C13" s="270">
        <v>55235.999999999985</v>
      </c>
      <c r="D13" s="270"/>
      <c r="E13" s="270">
        <v>154660.79999999999</v>
      </c>
      <c r="F13" s="270">
        <v>0</v>
      </c>
      <c r="G13" s="270"/>
      <c r="H13" s="270">
        <v>11047.199999999999</v>
      </c>
      <c r="I13" s="270">
        <v>220944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3" t="s">
        <v>440</v>
      </c>
      <c r="B14" s="270"/>
      <c r="C14" s="270">
        <v>13282.413668283658</v>
      </c>
      <c r="D14" s="270"/>
      <c r="E14" s="270">
        <v>47232.102709807652</v>
      </c>
      <c r="F14" s="270">
        <v>0</v>
      </c>
      <c r="G14" s="270"/>
      <c r="H14" s="270">
        <v>2656.4843759464566</v>
      </c>
      <c r="I14" s="270">
        <v>63171.00075403777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3" t="s">
        <v>446</v>
      </c>
      <c r="B15" s="270"/>
      <c r="C15" s="270">
        <v>10031.395141534613</v>
      </c>
      <c r="D15" s="270"/>
      <c r="E15" s="270">
        <v>20828.37915073966</v>
      </c>
      <c r="F15" s="270"/>
      <c r="G15" s="270"/>
      <c r="H15" s="270">
        <v>1362.2268334701441</v>
      </c>
      <c r="I15" s="270">
        <v>32222.001125744417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3" t="s">
        <v>465</v>
      </c>
      <c r="B16" s="270">
        <v>0</v>
      </c>
      <c r="C16" s="270"/>
      <c r="D16" s="270"/>
      <c r="E16" s="270"/>
      <c r="F16" s="270"/>
      <c r="G16" s="270"/>
      <c r="H16" s="270">
        <v>25308</v>
      </c>
      <c r="I16" s="270">
        <v>25308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3" t="s">
        <v>469</v>
      </c>
      <c r="B17" s="270"/>
      <c r="C17" s="270">
        <v>1536.8080583803892</v>
      </c>
      <c r="D17" s="270">
        <v>1455.2804181506942</v>
      </c>
      <c r="E17" s="270">
        <v>1016.0260460104794</v>
      </c>
      <c r="F17" s="270">
        <v>0</v>
      </c>
      <c r="G17" s="270">
        <v>352.40904696082617</v>
      </c>
      <c r="H17" s="270">
        <v>500.47168798406113</v>
      </c>
      <c r="I17" s="270">
        <v>4860.9952574864501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3" t="s">
        <v>473</v>
      </c>
      <c r="B18" s="270"/>
      <c r="C18" s="270"/>
      <c r="D18" s="270">
        <v>23350</v>
      </c>
      <c r="E18" s="270">
        <v>2725</v>
      </c>
      <c r="F18" s="270"/>
      <c r="G18" s="270"/>
      <c r="H18" s="270">
        <v>2725</v>
      </c>
      <c r="I18" s="270">
        <v>28800</v>
      </c>
      <c r="J18"/>
      <c r="K18"/>
      <c r="L18"/>
      <c r="M18"/>
      <c r="N18"/>
      <c r="O18"/>
      <c r="P18"/>
      <c r="Q18"/>
      <c r="R18"/>
      <c r="S18"/>
      <c r="T18"/>
    </row>
    <row r="19" spans="1:20">
      <c r="A19" s="343" t="s">
        <v>462</v>
      </c>
      <c r="B19" s="270"/>
      <c r="C19" s="270"/>
      <c r="D19" s="270"/>
      <c r="E19" s="270"/>
      <c r="F19" s="270"/>
      <c r="G19" s="270"/>
      <c r="H19" s="270"/>
      <c r="I19" s="270"/>
      <c r="J19"/>
      <c r="K19"/>
      <c r="L19"/>
      <c r="M19"/>
      <c r="N19"/>
      <c r="O19"/>
      <c r="P19"/>
      <c r="Q19"/>
      <c r="R19"/>
      <c r="S19"/>
      <c r="T19"/>
    </row>
    <row r="20" spans="1:20">
      <c r="A20" s="343" t="s">
        <v>392</v>
      </c>
      <c r="B20" s="270"/>
      <c r="C20" s="270"/>
      <c r="D20" s="270"/>
      <c r="E20" s="270"/>
      <c r="F20" s="270"/>
      <c r="G20" s="270"/>
      <c r="H20" s="270"/>
      <c r="I20" s="270"/>
      <c r="J20"/>
      <c r="K20"/>
      <c r="L20"/>
      <c r="M20"/>
      <c r="N20"/>
      <c r="O20"/>
      <c r="P20"/>
      <c r="Q20"/>
      <c r="R20"/>
      <c r="S20"/>
      <c r="T20"/>
    </row>
    <row r="21" spans="1:20">
      <c r="A21" s="343" t="s">
        <v>539</v>
      </c>
      <c r="B21" s="270">
        <v>0</v>
      </c>
      <c r="C21" s="270">
        <v>1304579.4081294225</v>
      </c>
      <c r="D21" s="270">
        <v>672817.95397415059</v>
      </c>
      <c r="E21" s="270">
        <v>614667.77245380962</v>
      </c>
      <c r="F21" s="270">
        <v>0</v>
      </c>
      <c r="G21" s="270">
        <v>135929.28881275631</v>
      </c>
      <c r="H21" s="270">
        <v>64821.879984604107</v>
      </c>
      <c r="I21" s="270">
        <v>2792816.3033547439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Normal="100" workbookViewId="0">
      <selection activeCell="G21" sqref="G21"/>
    </sheetView>
  </sheetViews>
  <sheetFormatPr defaultColWidth="8.46484375" defaultRowHeight="14.25"/>
  <cols>
    <col min="1" max="1" width="21.59765625" bestFit="1" customWidth="1"/>
    <col min="2" max="2" width="17.33203125" style="306" bestFit="1" customWidth="1"/>
    <col min="3" max="3" width="9.46484375" style="306" bestFit="1" customWidth="1"/>
    <col min="4" max="4" width="14.9296875" style="306" bestFit="1" customWidth="1"/>
    <col min="5" max="6" width="13.33203125" style="306" bestFit="1" customWidth="1"/>
    <col min="7" max="7" width="13" style="306" bestFit="1" customWidth="1"/>
    <col min="8" max="8" width="13.33203125" style="306" bestFit="1" customWidth="1"/>
    <col min="9" max="9" width="14.9296875" style="306" bestFit="1" customWidth="1"/>
    <col min="10" max="10" width="14.9296875" bestFit="1" customWidth="1"/>
    <col min="11" max="12" width="10.46484375" bestFit="1" customWidth="1"/>
    <col min="13" max="13" width="14" bestFit="1" customWidth="1"/>
    <col min="14" max="14" width="13.53125" bestFit="1" customWidth="1"/>
    <col min="15" max="15" width="11.53125" bestFit="1" customWidth="1"/>
    <col min="16" max="16" width="10.46484375" bestFit="1" customWidth="1"/>
    <col min="17" max="18" width="11.53125" bestFit="1" customWidth="1"/>
    <col min="19" max="19" width="13.46484375" bestFit="1" customWidth="1"/>
  </cols>
  <sheetData>
    <row r="3" spans="1:9">
      <c r="A3" s="517" t="s">
        <v>540</v>
      </c>
      <c r="B3" s="517" t="s">
        <v>536</v>
      </c>
      <c r="C3"/>
      <c r="D3"/>
      <c r="E3"/>
      <c r="F3"/>
      <c r="G3"/>
      <c r="H3"/>
      <c r="I3"/>
    </row>
    <row r="4" spans="1:9">
      <c r="A4" s="517" t="s">
        <v>537</v>
      </c>
      <c r="B4" t="s">
        <v>538</v>
      </c>
      <c r="C4"/>
      <c r="D4" s="344">
        <v>45961</v>
      </c>
      <c r="E4" s="344">
        <v>45991</v>
      </c>
      <c r="F4" s="344">
        <v>46022</v>
      </c>
      <c r="G4" s="344">
        <v>46053</v>
      </c>
      <c r="H4" s="344">
        <v>46081</v>
      </c>
      <c r="I4" t="s">
        <v>539</v>
      </c>
    </row>
    <row r="5" spans="1:9">
      <c r="A5" s="343" t="s">
        <v>538</v>
      </c>
      <c r="B5" s="345"/>
      <c r="C5" s="345"/>
      <c r="D5" s="345"/>
      <c r="E5" s="345"/>
      <c r="F5" s="345"/>
      <c r="G5" s="345"/>
      <c r="H5" s="345"/>
      <c r="I5" s="345"/>
    </row>
    <row r="6" spans="1:9">
      <c r="A6" s="343" t="s">
        <v>306</v>
      </c>
      <c r="B6" s="345"/>
      <c r="C6" s="345"/>
      <c r="D6" s="345">
        <v>487812</v>
      </c>
      <c r="E6" s="345"/>
      <c r="F6" s="345"/>
      <c r="G6" s="345"/>
      <c r="H6" s="345"/>
      <c r="I6" s="345">
        <v>487812</v>
      </c>
    </row>
    <row r="7" spans="1:9">
      <c r="A7" s="343" t="s">
        <v>314</v>
      </c>
      <c r="B7" s="345"/>
      <c r="C7" s="345"/>
      <c r="D7" s="345">
        <v>174424.32000000001</v>
      </c>
      <c r="E7" s="345"/>
      <c r="F7" s="345"/>
      <c r="G7" s="345"/>
      <c r="H7" s="345"/>
      <c r="I7" s="345">
        <v>174424.32000000001</v>
      </c>
    </row>
    <row r="8" spans="1:9">
      <c r="A8" s="343" t="s">
        <v>325</v>
      </c>
      <c r="B8" s="345"/>
      <c r="C8" s="345"/>
      <c r="D8" s="345">
        <v>48031</v>
      </c>
      <c r="E8" s="345"/>
      <c r="F8" s="345"/>
      <c r="G8" s="345"/>
      <c r="H8" s="345"/>
      <c r="I8" s="345">
        <v>48031</v>
      </c>
    </row>
    <row r="9" spans="1:9">
      <c r="A9" s="343" t="s">
        <v>338</v>
      </c>
      <c r="B9" s="345"/>
      <c r="C9" s="345"/>
      <c r="D9" s="345">
        <v>110856.73</v>
      </c>
      <c r="E9" s="345"/>
      <c r="F9" s="345">
        <v>81078.844000000012</v>
      </c>
      <c r="G9" s="345">
        <v>-54600</v>
      </c>
      <c r="H9" s="345">
        <v>5791.3460000000005</v>
      </c>
      <c r="I9" s="345">
        <v>143126.92000000001</v>
      </c>
    </row>
    <row r="10" spans="1:9">
      <c r="A10" s="343" t="s">
        <v>377</v>
      </c>
      <c r="B10" s="345"/>
      <c r="C10" s="345"/>
      <c r="D10" s="345">
        <v>8598.34</v>
      </c>
      <c r="E10" s="345">
        <v>85415.11</v>
      </c>
      <c r="F10" s="345"/>
      <c r="G10" s="345">
        <v>11169</v>
      </c>
      <c r="H10" s="345"/>
      <c r="I10" s="345">
        <v>105182.45</v>
      </c>
    </row>
    <row r="11" spans="1:9">
      <c r="A11" s="343" t="s">
        <v>390</v>
      </c>
      <c r="B11" s="345">
        <v>0</v>
      </c>
      <c r="C11" s="345"/>
      <c r="D11" s="345">
        <v>97452.49</v>
      </c>
      <c r="E11" s="345"/>
      <c r="F11" s="345">
        <v>272866.97200000007</v>
      </c>
      <c r="G11" s="345"/>
      <c r="H11" s="345">
        <v>19490.498000000003</v>
      </c>
      <c r="I11" s="345">
        <v>389809.96000000008</v>
      </c>
    </row>
    <row r="12" spans="1:9">
      <c r="A12" s="343" t="s">
        <v>395</v>
      </c>
      <c r="B12" s="345">
        <v>0</v>
      </c>
      <c r="C12" s="345"/>
      <c r="D12" s="345"/>
      <c r="E12" s="345">
        <v>326377.64</v>
      </c>
      <c r="F12" s="345">
        <v>89988.38</v>
      </c>
      <c r="G12" s="345">
        <v>111075</v>
      </c>
      <c r="H12" s="345"/>
      <c r="I12" s="345">
        <v>527441.02</v>
      </c>
    </row>
    <row r="13" spans="1:9">
      <c r="A13" s="343" t="s">
        <v>435</v>
      </c>
      <c r="B13" s="345"/>
      <c r="C13" s="345"/>
      <c r="D13" s="345">
        <v>90333.5</v>
      </c>
      <c r="E13" s="345"/>
      <c r="F13" s="345">
        <v>252933.8</v>
      </c>
      <c r="G13" s="345"/>
      <c r="H13" s="345">
        <v>18066.7</v>
      </c>
      <c r="I13" s="345">
        <v>361334</v>
      </c>
    </row>
    <row r="14" spans="1:9">
      <c r="A14" s="343" t="s">
        <v>440</v>
      </c>
      <c r="B14" s="345"/>
      <c r="C14" s="345"/>
      <c r="D14" s="345">
        <v>37037.625</v>
      </c>
      <c r="E14" s="345"/>
      <c r="F14" s="345">
        <v>131705.35500000001</v>
      </c>
      <c r="G14" s="345"/>
      <c r="H14" s="345">
        <v>7407.53</v>
      </c>
      <c r="I14" s="345">
        <v>176150.51</v>
      </c>
    </row>
    <row r="15" spans="1:9">
      <c r="A15" s="343" t="s">
        <v>446</v>
      </c>
      <c r="B15" s="345"/>
      <c r="C15" s="345"/>
      <c r="D15" s="345">
        <v>42573.5</v>
      </c>
      <c r="E15" s="345"/>
      <c r="F15" s="345">
        <v>93350</v>
      </c>
      <c r="G15" s="345"/>
      <c r="H15" s="345">
        <v>6000</v>
      </c>
      <c r="I15" s="345">
        <v>141923.5</v>
      </c>
    </row>
    <row r="16" spans="1:9">
      <c r="A16" s="343" t="s">
        <v>465</v>
      </c>
      <c r="B16" s="345"/>
      <c r="C16" s="345"/>
      <c r="D16" s="345"/>
      <c r="E16" s="345"/>
      <c r="F16" s="345"/>
      <c r="G16" s="345"/>
      <c r="H16" s="345">
        <v>32269.137500000001</v>
      </c>
      <c r="I16" s="345">
        <v>32269.137500000001</v>
      </c>
    </row>
    <row r="17" spans="1:9">
      <c r="A17" s="343" t="s">
        <v>469</v>
      </c>
      <c r="B17" s="345"/>
      <c r="C17" s="345"/>
      <c r="D17" s="345">
        <v>8016.46</v>
      </c>
      <c r="E17" s="345">
        <v>10490.93</v>
      </c>
      <c r="F17" s="345">
        <v>8655.5400000000009</v>
      </c>
      <c r="G17" s="345">
        <v>3332</v>
      </c>
      <c r="H17" s="345">
        <v>3500</v>
      </c>
      <c r="I17" s="345">
        <v>33994.93</v>
      </c>
    </row>
    <row r="18" spans="1:9">
      <c r="A18" s="343" t="s">
        <v>473</v>
      </c>
      <c r="B18" s="345"/>
      <c r="C18" s="345"/>
      <c r="D18" s="345"/>
      <c r="E18" s="345">
        <v>23350</v>
      </c>
      <c r="F18" s="345">
        <v>9223.93</v>
      </c>
      <c r="G18" s="345"/>
      <c r="H18" s="345">
        <v>11573</v>
      </c>
      <c r="I18" s="345">
        <v>44146.93</v>
      </c>
    </row>
    <row r="19" spans="1:9">
      <c r="A19" s="343" t="s">
        <v>462</v>
      </c>
      <c r="B19" s="345">
        <v>0</v>
      </c>
      <c r="C19" s="345"/>
      <c r="D19" s="345"/>
      <c r="E19" s="345"/>
      <c r="F19" s="345"/>
      <c r="G19" s="345"/>
      <c r="H19" s="345"/>
      <c r="I19" s="345">
        <v>0</v>
      </c>
    </row>
    <row r="20" spans="1:9">
      <c r="A20" s="343" t="s">
        <v>392</v>
      </c>
      <c r="B20" s="345"/>
      <c r="C20" s="345"/>
      <c r="D20" s="345"/>
      <c r="E20" s="345"/>
      <c r="F20" s="345"/>
      <c r="G20" s="345"/>
      <c r="H20" s="345"/>
      <c r="I20" s="345"/>
    </row>
    <row r="21" spans="1:9">
      <c r="A21" s="343" t="s">
        <v>539</v>
      </c>
      <c r="B21" s="345">
        <v>0</v>
      </c>
      <c r="C21" s="345"/>
      <c r="D21" s="345">
        <v>1105135.9649999999</v>
      </c>
      <c r="E21" s="345">
        <v>445633.68</v>
      </c>
      <c r="F21" s="345">
        <v>939802.82100000011</v>
      </c>
      <c r="G21" s="345">
        <v>70976</v>
      </c>
      <c r="H21" s="345">
        <v>104098.2115</v>
      </c>
      <c r="I21" s="345">
        <v>2665646.6775000002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I58" sqref="I58"/>
    </sheetView>
  </sheetViews>
  <sheetFormatPr defaultColWidth="9.46484375" defaultRowHeight="12.75"/>
  <cols>
    <col min="1" max="2" width="9.46484375" style="9"/>
    <col min="3" max="3" width="13.46484375" style="9" bestFit="1" customWidth="1"/>
    <col min="4" max="5" width="9.46484375" style="9"/>
    <col min="6" max="6" width="12.53125" style="9" bestFit="1" customWidth="1"/>
    <col min="7" max="7" width="1.46484375" style="9" customWidth="1"/>
    <col min="8" max="8" width="11.46484375" style="9" bestFit="1" customWidth="1"/>
    <col min="9" max="16384" width="9.46484375" style="9"/>
  </cols>
  <sheetData>
    <row r="1" spans="3:8" ht="13.15" thickBot="1"/>
    <row r="2" spans="3:8" ht="13.15" thickBot="1">
      <c r="C2" s="19" t="s">
        <v>541</v>
      </c>
      <c r="F2" s="19" t="s">
        <v>542</v>
      </c>
    </row>
    <row r="3" spans="3:8">
      <c r="C3" s="15">
        <v>45658</v>
      </c>
      <c r="D3" s="9" t="s">
        <v>543</v>
      </c>
      <c r="F3" s="17" t="s">
        <v>88</v>
      </c>
    </row>
    <row r="4" spans="3:8">
      <c r="C4" s="15">
        <v>45737</v>
      </c>
      <c r="D4" s="9" t="s">
        <v>544</v>
      </c>
      <c r="F4" s="17" t="s">
        <v>96</v>
      </c>
    </row>
    <row r="5" spans="3:8">
      <c r="C5" s="15">
        <v>45765</v>
      </c>
      <c r="D5" s="9" t="s">
        <v>545</v>
      </c>
      <c r="F5" s="17" t="s">
        <v>546</v>
      </c>
    </row>
    <row r="6" spans="3:8" ht="13.15" thickBot="1">
      <c r="C6" s="15">
        <v>45768</v>
      </c>
      <c r="D6" s="9" t="s">
        <v>547</v>
      </c>
      <c r="F6" s="18" t="s">
        <v>548</v>
      </c>
    </row>
    <row r="7" spans="3:8">
      <c r="C7" s="15">
        <v>45774</v>
      </c>
      <c r="D7" s="9" t="s">
        <v>549</v>
      </c>
    </row>
    <row r="8" spans="3:8">
      <c r="C8" s="15">
        <v>45765</v>
      </c>
      <c r="D8" s="9" t="s">
        <v>550</v>
      </c>
    </row>
    <row r="9" spans="3:8">
      <c r="C9" s="15">
        <v>45778</v>
      </c>
      <c r="D9" s="9" t="s">
        <v>551</v>
      </c>
    </row>
    <row r="10" spans="3:8">
      <c r="C10" s="15">
        <v>45824</v>
      </c>
      <c r="D10" s="9" t="s">
        <v>552</v>
      </c>
    </row>
    <row r="11" spans="3:8">
      <c r="C11" s="15">
        <v>45878</v>
      </c>
      <c r="D11" s="9" t="s">
        <v>553</v>
      </c>
    </row>
    <row r="12" spans="3:8">
      <c r="C12" s="15">
        <v>45924</v>
      </c>
      <c r="D12" s="9" t="s">
        <v>554</v>
      </c>
    </row>
    <row r="13" spans="3:8">
      <c r="C13" s="15">
        <v>46007</v>
      </c>
      <c r="D13" s="9" t="s">
        <v>555</v>
      </c>
      <c r="F13" s="20"/>
      <c r="H13" s="9" t="s">
        <v>556</v>
      </c>
    </row>
    <row r="14" spans="3:8">
      <c r="C14" s="15">
        <v>46016</v>
      </c>
      <c r="D14" s="9" t="s">
        <v>557</v>
      </c>
    </row>
    <row r="15" spans="3:8">
      <c r="C15" s="15">
        <v>46017</v>
      </c>
      <c r="D15" s="9" t="s">
        <v>558</v>
      </c>
    </row>
    <row r="16" spans="3:8">
      <c r="C16" s="15">
        <v>46006</v>
      </c>
      <c r="D16" s="9" t="s">
        <v>559</v>
      </c>
    </row>
    <row r="17" spans="3:4">
      <c r="C17" s="15">
        <v>46007</v>
      </c>
      <c r="D17" s="9" t="s">
        <v>559</v>
      </c>
    </row>
    <row r="18" spans="3:4">
      <c r="C18" s="15">
        <v>46008</v>
      </c>
      <c r="D18" s="9" t="s">
        <v>559</v>
      </c>
    </row>
    <row r="19" spans="3:4">
      <c r="C19" s="15">
        <v>46009</v>
      </c>
      <c r="D19" s="9" t="s">
        <v>559</v>
      </c>
    </row>
    <row r="20" spans="3:4">
      <c r="C20" s="15">
        <v>46010</v>
      </c>
      <c r="D20" s="9" t="s">
        <v>559</v>
      </c>
    </row>
    <row r="21" spans="3:4">
      <c r="C21" s="15">
        <v>46011</v>
      </c>
      <c r="D21" s="9" t="s">
        <v>559</v>
      </c>
    </row>
    <row r="22" spans="3:4">
      <c r="C22" s="15">
        <v>46012</v>
      </c>
      <c r="D22" s="9" t="s">
        <v>559</v>
      </c>
    </row>
    <row r="23" spans="3:4">
      <c r="C23" s="15">
        <v>46013</v>
      </c>
      <c r="D23" s="9" t="s">
        <v>559</v>
      </c>
    </row>
    <row r="24" spans="3:4">
      <c r="C24" s="15">
        <v>46014</v>
      </c>
      <c r="D24" s="9" t="s">
        <v>559</v>
      </c>
    </row>
    <row r="25" spans="3:4">
      <c r="C25" s="15">
        <v>46015</v>
      </c>
      <c r="D25" s="9" t="s">
        <v>559</v>
      </c>
    </row>
    <row r="26" spans="3:4">
      <c r="C26" s="15">
        <v>46016</v>
      </c>
      <c r="D26" s="9" t="s">
        <v>559</v>
      </c>
    </row>
    <row r="27" spans="3:4">
      <c r="C27" s="15">
        <v>46017</v>
      </c>
      <c r="D27" s="9" t="s">
        <v>559</v>
      </c>
    </row>
    <row r="28" spans="3:4">
      <c r="C28" s="15">
        <v>46018</v>
      </c>
      <c r="D28" s="9" t="s">
        <v>559</v>
      </c>
    </row>
    <row r="29" spans="3:4">
      <c r="C29" s="15">
        <v>46019</v>
      </c>
      <c r="D29" s="9" t="s">
        <v>559</v>
      </c>
    </row>
    <row r="30" spans="3:4">
      <c r="C30" s="15">
        <v>46020</v>
      </c>
      <c r="D30" s="9" t="s">
        <v>559</v>
      </c>
    </row>
    <row r="31" spans="3:4">
      <c r="C31" s="15">
        <v>46021</v>
      </c>
      <c r="D31" s="9" t="s">
        <v>559</v>
      </c>
    </row>
    <row r="32" spans="3:4">
      <c r="C32" s="15">
        <v>46022</v>
      </c>
      <c r="D32" s="9" t="s">
        <v>559</v>
      </c>
    </row>
    <row r="33" spans="3:4">
      <c r="C33" s="15">
        <v>46023</v>
      </c>
      <c r="D33" s="9" t="s">
        <v>559</v>
      </c>
    </row>
    <row r="34" spans="3:4">
      <c r="C34" s="15">
        <v>46024</v>
      </c>
      <c r="D34" s="9" t="s">
        <v>559</v>
      </c>
    </row>
    <row r="35" spans="3:4">
      <c r="C35" s="15">
        <v>46025</v>
      </c>
      <c r="D35" s="9" t="s">
        <v>559</v>
      </c>
    </row>
    <row r="36" spans="3:4">
      <c r="C36" s="15">
        <v>46026</v>
      </c>
      <c r="D36" s="9" t="s">
        <v>559</v>
      </c>
    </row>
    <row r="37" spans="3:4">
      <c r="C37" s="15">
        <v>46027</v>
      </c>
      <c r="D37" s="9" t="s">
        <v>559</v>
      </c>
    </row>
    <row r="38" spans="3:4">
      <c r="C38" s="15">
        <v>46028</v>
      </c>
      <c r="D38" s="9" t="s">
        <v>559</v>
      </c>
    </row>
    <row r="39" spans="3:4">
      <c r="C39" s="15">
        <v>46029</v>
      </c>
      <c r="D39" s="9" t="s">
        <v>559</v>
      </c>
    </row>
    <row r="40" spans="3:4">
      <c r="C40" s="15">
        <v>46030</v>
      </c>
      <c r="D40" s="9" t="s">
        <v>559</v>
      </c>
    </row>
    <row r="41" spans="3:4">
      <c r="C41" s="15">
        <v>46031</v>
      </c>
      <c r="D41" s="9" t="s">
        <v>559</v>
      </c>
    </row>
    <row r="42" spans="3:4">
      <c r="C42" s="15">
        <v>46032</v>
      </c>
      <c r="D42" s="9" t="s">
        <v>559</v>
      </c>
    </row>
    <row r="43" spans="3:4">
      <c r="C43" s="15">
        <v>46033</v>
      </c>
      <c r="D43" s="9" t="s">
        <v>559</v>
      </c>
    </row>
    <row r="44" spans="3:4">
      <c r="C44" s="15">
        <v>46034</v>
      </c>
      <c r="D44" s="9" t="s">
        <v>559</v>
      </c>
    </row>
    <row r="45" spans="3:4">
      <c r="C45" s="15">
        <v>46035</v>
      </c>
      <c r="D45" s="9" t="s">
        <v>559</v>
      </c>
    </row>
    <row r="46" spans="3:4">
      <c r="C46" s="15">
        <v>46036</v>
      </c>
      <c r="D46" s="9" t="s">
        <v>559</v>
      </c>
    </row>
    <row r="47" spans="3:4">
      <c r="C47" s="15">
        <v>46037</v>
      </c>
      <c r="D47" s="9" t="s">
        <v>559</v>
      </c>
    </row>
    <row r="48" spans="3:4">
      <c r="C48" s="15">
        <v>46038</v>
      </c>
      <c r="D48" s="9" t="s">
        <v>559</v>
      </c>
    </row>
    <row r="49" spans="3:4">
      <c r="C49" s="15">
        <v>46102</v>
      </c>
      <c r="D49" s="9" t="s">
        <v>544</v>
      </c>
    </row>
    <row r="50" spans="3:4">
      <c r="C50" s="15">
        <v>46115</v>
      </c>
      <c r="D50" s="9" t="s">
        <v>545</v>
      </c>
    </row>
    <row r="51" spans="3:4">
      <c r="C51" s="15">
        <v>46118</v>
      </c>
      <c r="D51" s="9" t="s">
        <v>547</v>
      </c>
    </row>
    <row r="52" spans="3:4">
      <c r="C52" s="15">
        <v>46139</v>
      </c>
      <c r="D52" s="9" t="s">
        <v>549</v>
      </c>
    </row>
    <row r="53" spans="3:4">
      <c r="C53" s="15">
        <v>46143</v>
      </c>
      <c r="D53" s="9" t="s">
        <v>551</v>
      </c>
    </row>
    <row r="54" spans="3:4">
      <c r="C54" s="15">
        <v>46189</v>
      </c>
      <c r="D54" s="9" t="s">
        <v>552</v>
      </c>
    </row>
    <row r="55" spans="3:4">
      <c r="C55" s="15">
        <v>46243</v>
      </c>
      <c r="D55" s="9" t="s">
        <v>553</v>
      </c>
    </row>
    <row r="56" spans="3:4">
      <c r="C56" s="15">
        <v>46244</v>
      </c>
      <c r="D56" s="9" t="s">
        <v>560</v>
      </c>
    </row>
    <row r="57" spans="3:4">
      <c r="C57" s="15">
        <v>46289</v>
      </c>
      <c r="D57" s="9" t="s">
        <v>554</v>
      </c>
    </row>
    <row r="58" spans="3:4">
      <c r="C58" s="15">
        <v>46372</v>
      </c>
      <c r="D58" s="9" t="s">
        <v>555</v>
      </c>
    </row>
    <row r="59" spans="3:4">
      <c r="C59" s="15">
        <v>46381</v>
      </c>
      <c r="D59" s="9" t="s">
        <v>557</v>
      </c>
    </row>
    <row r="60" spans="3:4" ht="13.15" thickBot="1">
      <c r="C60" s="16">
        <v>46382</v>
      </c>
      <c r="D60" s="9" t="s">
        <v>558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E4BB9B5-52C4-4AFC-80C8-BE9A6FB13E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14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8" baseType="lpstr">
      <vt:lpstr>Certificate - Financial Close</vt:lpstr>
      <vt:lpstr>Certificate - Planning</vt:lpstr>
      <vt:lpstr>Change Register</vt:lpstr>
      <vt:lpstr>Compliance</vt:lpstr>
      <vt:lpstr>Project Plan</vt:lpstr>
      <vt:lpstr>BOQ</vt:lpstr>
      <vt:lpstr>Revenue Tracking</vt:lpstr>
      <vt:lpstr>Expenditure Tracking</vt:lpstr>
      <vt:lpstr>Expenditure Breakdown</vt:lpstr>
      <vt:lpstr>Sheet1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2026-02-19T13:38:18Z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