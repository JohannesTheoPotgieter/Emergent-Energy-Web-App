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7" documentId="13_ncr:1_{F975EBD5-B1CF-4608-BD43-94D2A8A5E877}" xr6:coauthVersionLast="47" xr6:coauthVersionMax="47" xr10:uidLastSave="{68D3E09A-C3F1-4EB0-B34B-20782C9286E5}"/>
  <bookViews>
    <workbookView xWindow="-19950" yWindow="0" windowWidth="20055" windowHeight="15585" tabRatio="797" firstSheet="7" activeTab="4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3">'Project Plan'!$B$95:$G$100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8"/>
  <pivotCaches>
    <pivotCache cacheId="182" r:id="rId17"/>
    <pivotCache cacheId="18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1" i="4" l="1"/>
  <c r="F27" i="5"/>
  <c r="F17" i="5"/>
  <c r="P26" i="5" l="1"/>
  <c r="C4" i="16"/>
  <c r="N21" i="14"/>
  <c r="N14" i="14"/>
  <c r="N14" i="13"/>
  <c r="J23" i="13"/>
  <c r="W165" i="4"/>
  <c r="W135" i="4"/>
  <c r="Q140" i="4"/>
  <c r="W140" i="4"/>
  <c r="Q53" i="4"/>
  <c r="Q102" i="4"/>
  <c r="Q103" i="4"/>
  <c r="Q85" i="4"/>
  <c r="Q84" i="4"/>
  <c r="W144" i="4"/>
  <c r="W68" i="4"/>
  <c r="W67" i="4"/>
  <c r="W128" i="4"/>
  <c r="W30" i="4"/>
  <c r="S31" i="4"/>
  <c r="S64" i="4"/>
  <c r="S128" i="4"/>
  <c r="S127" i="4"/>
  <c r="S63" i="4"/>
  <c r="S30" i="4"/>
  <c r="W35" i="4"/>
  <c r="W34" i="4"/>
  <c r="W132" i="4"/>
  <c r="W131" i="4"/>
  <c r="T135" i="4"/>
  <c r="T132" i="4"/>
  <c r="T131" i="4"/>
  <c r="T35" i="4"/>
  <c r="T34" i="4"/>
  <c r="T70" i="4"/>
  <c r="T69" i="4"/>
  <c r="T68" i="4"/>
  <c r="T67" i="4"/>
  <c r="Q115" i="4"/>
  <c r="Q114" i="4"/>
  <c r="Q113" i="4"/>
  <c r="Q112" i="4"/>
  <c r="Q111" i="4"/>
  <c r="P38" i="4"/>
  <c r="Q38" i="4"/>
  <c r="P37" i="4"/>
  <c r="Q37" i="4"/>
  <c r="P36" i="4"/>
  <c r="Q36" i="4"/>
  <c r="P35" i="4"/>
  <c r="Q35" i="4"/>
  <c r="P34" i="4"/>
  <c r="Q34" i="4"/>
  <c r="P32" i="4"/>
  <c r="P31" i="4"/>
  <c r="P29" i="4"/>
  <c r="Q29" i="4"/>
  <c r="P28" i="4"/>
  <c r="Q28" i="4"/>
  <c r="P71" i="4"/>
  <c r="Q71" i="4"/>
  <c r="P70" i="4"/>
  <c r="Q70" i="4"/>
  <c r="P69" i="4"/>
  <c r="Q69" i="4"/>
  <c r="P68" i="4"/>
  <c r="Q68" i="4"/>
  <c r="P67" i="4"/>
  <c r="Q67" i="4"/>
  <c r="P65" i="4"/>
  <c r="Q65" i="4"/>
  <c r="P64" i="4"/>
  <c r="Q64" i="4"/>
  <c r="P63" i="4"/>
  <c r="Q63" i="4"/>
  <c r="P62" i="4"/>
  <c r="Q62" i="4"/>
  <c r="P61" i="4"/>
  <c r="Q61" i="4"/>
  <c r="P135" i="4"/>
  <c r="Q135" i="4"/>
  <c r="P134" i="4"/>
  <c r="Q134" i="4"/>
  <c r="P133" i="4"/>
  <c r="Q133" i="4"/>
  <c r="P132" i="4"/>
  <c r="Q132" i="4"/>
  <c r="P131" i="4"/>
  <c r="Q131" i="4"/>
  <c r="P129" i="4"/>
  <c r="Q129" i="4"/>
  <c r="P128" i="4"/>
  <c r="Q128" i="4"/>
  <c r="P127" i="4"/>
  <c r="Q127" i="4"/>
  <c r="P126" i="4"/>
  <c r="Q126" i="4"/>
  <c r="P125" i="4"/>
  <c r="Q125" i="4"/>
  <c r="Q52" i="4"/>
  <c r="Q51" i="4"/>
  <c r="Q100" i="4"/>
  <c r="Q99" i="4"/>
  <c r="T91" i="4"/>
  <c r="K74" i="2"/>
  <c r="K67" i="2"/>
  <c r="K64" i="2"/>
  <c r="W89" i="4"/>
  <c r="W88" i="4"/>
  <c r="Q88" i="4"/>
  <c r="I40" i="2"/>
  <c r="K40" i="2"/>
  <c r="I44" i="2"/>
  <c r="K44" i="2"/>
  <c r="K42" i="2"/>
  <c r="K61" i="2"/>
  <c r="K60" i="2"/>
  <c r="I60" i="2"/>
  <c r="I52" i="2"/>
  <c r="I47" i="2"/>
  <c r="Q98" i="4"/>
  <c r="Q97" i="4"/>
  <c r="U42" i="4"/>
  <c r="Q95" i="4"/>
  <c r="Q94" i="4"/>
  <c r="X168" i="4"/>
  <c r="J23" i="3" s="1"/>
  <c r="M27" i="2"/>
  <c r="I57" i="2"/>
  <c r="K57" i="2"/>
  <c r="K43" i="2"/>
  <c r="I41" i="2"/>
  <c r="K41" i="2"/>
  <c r="I45" i="2"/>
  <c r="K45" i="2"/>
  <c r="P24" i="5"/>
  <c r="P23" i="5"/>
  <c r="P13" i="5"/>
  <c r="M47" i="2"/>
  <c r="K35" i="2"/>
  <c r="I36" i="2"/>
  <c r="K36" i="2"/>
  <c r="K30" i="2"/>
  <c r="I32" i="2"/>
  <c r="K32" i="2"/>
  <c r="I34" i="2"/>
  <c r="K34" i="2"/>
  <c r="I39" i="2"/>
  <c r="K39" i="2"/>
  <c r="I79" i="2"/>
  <c r="K79" i="2"/>
  <c r="I80" i="2"/>
  <c r="K80" i="2"/>
  <c r="K29" i="2"/>
  <c r="I31" i="2"/>
  <c r="G84" i="4"/>
  <c r="Q15" i="4"/>
  <c r="T29" i="4"/>
  <c r="W15" i="4"/>
  <c r="H14" i="5"/>
  <c r="H24" i="5"/>
  <c r="W160" i="4"/>
  <c r="I58" i="2"/>
  <c r="K58" i="2"/>
  <c r="W63" i="4"/>
  <c r="T28" i="4"/>
  <c r="H13" i="5"/>
  <c r="E20" i="2"/>
  <c r="D4" i="5"/>
  <c r="F15" i="5"/>
  <c r="F16" i="5"/>
  <c r="F18" i="5"/>
  <c r="F26" i="5"/>
  <c r="F25" i="5"/>
  <c r="F23" i="5"/>
  <c r="F22" i="5"/>
  <c r="Q16" i="4"/>
  <c r="T88" i="4"/>
  <c r="T89" i="4"/>
  <c r="O87" i="4"/>
  <c r="Q54" i="4"/>
  <c r="W62" i="4"/>
  <c r="AA39" i="4"/>
  <c r="AA40" i="4"/>
  <c r="AC28" i="4"/>
  <c r="AC27" i="4"/>
  <c r="Q7" i="4"/>
  <c r="E61" i="2"/>
  <c r="G61" i="2"/>
  <c r="G60" i="2"/>
  <c r="E57" i="2"/>
  <c r="G57" i="2"/>
  <c r="E56" i="2"/>
  <c r="E55" i="2"/>
  <c r="G56" i="2"/>
  <c r="G55" i="2"/>
  <c r="G53" i="2"/>
  <c r="E51" i="2"/>
  <c r="G51" i="2"/>
  <c r="E52" i="2"/>
  <c r="G52" i="2"/>
  <c r="E49" i="2"/>
  <c r="G49" i="2"/>
  <c r="E48" i="2"/>
  <c r="E28" i="2"/>
  <c r="G28" i="2"/>
  <c r="G27" i="2"/>
  <c r="G23" i="2"/>
  <c r="E24" i="2"/>
  <c r="G19" i="2"/>
  <c r="E14" i="2"/>
  <c r="G14" i="2"/>
  <c r="E15" i="2"/>
  <c r="E16" i="2"/>
  <c r="G16" i="2"/>
  <c r="G13" i="2"/>
  <c r="G12" i="2"/>
  <c r="M55" i="2"/>
  <c r="M86" i="2"/>
  <c r="M82" i="2"/>
  <c r="M76" i="2"/>
  <c r="M18" i="2"/>
  <c r="I18" i="2"/>
  <c r="K53" i="2"/>
  <c r="K52" i="2"/>
  <c r="M22" i="2"/>
  <c r="I56" i="2"/>
  <c r="K56" i="2"/>
  <c r="E27" i="2"/>
  <c r="G24" i="2"/>
  <c r="E50" i="2"/>
  <c r="E58" i="2"/>
  <c r="G58" i="2"/>
  <c r="G48" i="2"/>
  <c r="K28" i="2"/>
  <c r="E63" i="2"/>
  <c r="F63" i="2"/>
  <c r="G63" i="2"/>
  <c r="K20" i="2"/>
  <c r="H23" i="5"/>
  <c r="T167" i="4"/>
  <c r="T166" i="4"/>
  <c r="T156" i="4"/>
  <c r="T155" i="4"/>
  <c r="T154" i="4"/>
  <c r="T148" i="4"/>
  <c r="T147" i="4"/>
  <c r="T146" i="4"/>
  <c r="T145" i="4"/>
  <c r="T138" i="4"/>
  <c r="T137" i="4"/>
  <c r="T116" i="4"/>
  <c r="T104" i="4"/>
  <c r="T81" i="4"/>
  <c r="T59" i="4"/>
  <c r="T57" i="4"/>
  <c r="T56" i="4"/>
  <c r="T39" i="4"/>
  <c r="T25" i="4"/>
  <c r="T24" i="4"/>
  <c r="T20" i="4"/>
  <c r="T13" i="4"/>
  <c r="I14" i="2"/>
  <c r="W126" i="4"/>
  <c r="T8" i="4"/>
  <c r="Q105" i="4"/>
  <c r="Q144" i="4"/>
  <c r="Z30" i="4"/>
  <c r="Z29" i="4"/>
  <c r="AA17" i="4"/>
  <c r="D13" i="7"/>
  <c r="AA16" i="4"/>
  <c r="D12" i="7"/>
  <c r="J12" i="7"/>
  <c r="AA14" i="4"/>
  <c r="D11" i="7"/>
  <c r="Q26" i="4"/>
  <c r="Q17" i="4"/>
  <c r="Q14" i="4"/>
  <c r="Q6" i="4"/>
  <c r="J117" i="4"/>
  <c r="J105" i="4"/>
  <c r="J82" i="4"/>
  <c r="J40" i="4"/>
  <c r="G87" i="4"/>
  <c r="G86" i="4"/>
  <c r="G17" i="4"/>
  <c r="K51" i="2"/>
  <c r="T126" i="4"/>
  <c r="K50" i="2"/>
  <c r="K48" i="2"/>
  <c r="K23" i="2"/>
  <c r="I24" i="2"/>
  <c r="K19" i="2"/>
  <c r="K14" i="2"/>
  <c r="I15" i="2"/>
  <c r="K13" i="2"/>
  <c r="K12" i="2"/>
  <c r="K49" i="2"/>
  <c r="Q40" i="4"/>
  <c r="I149" i="4"/>
  <c r="F21" i="3"/>
  <c r="E32" i="4"/>
  <c r="G32" i="4"/>
  <c r="D23" i="7"/>
  <c r="G6" i="4"/>
  <c r="I6" i="4"/>
  <c r="F9" i="3"/>
  <c r="I146" i="4"/>
  <c r="AA10" i="4"/>
  <c r="AC10" i="4"/>
  <c r="D17" i="3"/>
  <c r="G115" i="4"/>
  <c r="G109" i="4"/>
  <c r="G108" i="4"/>
  <c r="G107" i="4"/>
  <c r="G106" i="4"/>
  <c r="G105" i="4"/>
  <c r="B17" i="3"/>
  <c r="T80" i="4"/>
  <c r="T79" i="4"/>
  <c r="T78" i="4"/>
  <c r="T77" i="4"/>
  <c r="T76" i="4"/>
  <c r="T75" i="4"/>
  <c r="T74" i="4"/>
  <c r="T73" i="4"/>
  <c r="T72" i="4"/>
  <c r="H15" i="5"/>
  <c r="AA12" i="4"/>
  <c r="H105" i="4"/>
  <c r="H57" i="4"/>
  <c r="H141" i="4"/>
  <c r="H142" i="4"/>
  <c r="G71" i="4"/>
  <c r="G65" i="4"/>
  <c r="G64" i="4"/>
  <c r="G63" i="4"/>
  <c r="G62" i="4"/>
  <c r="G57" i="4"/>
  <c r="H21" i="4"/>
  <c r="Q42" i="4"/>
  <c r="G28" i="4"/>
  <c r="AA13" i="4"/>
  <c r="D10" i="7"/>
  <c r="O10" i="7"/>
  <c r="AA8" i="4"/>
  <c r="D6" i="7"/>
  <c r="J6" i="7"/>
  <c r="G14" i="4"/>
  <c r="D10" i="9"/>
  <c r="D11" i="9"/>
  <c r="M11" i="2"/>
  <c r="H14" i="4"/>
  <c r="H6" i="4"/>
  <c r="H8" i="4"/>
  <c r="H26" i="4"/>
  <c r="H32" i="4"/>
  <c r="H64" i="4"/>
  <c r="H65" i="4"/>
  <c r="H71" i="4"/>
  <c r="H82" i="4"/>
  <c r="H83" i="4"/>
  <c r="H84" i="4"/>
  <c r="H86" i="4"/>
  <c r="F20" i="3"/>
  <c r="X146" i="4"/>
  <c r="J20" i="3"/>
  <c r="N20" i="3"/>
  <c r="D20" i="3"/>
  <c r="B20" i="3"/>
  <c r="O1" i="2"/>
  <c r="N1" i="2"/>
  <c r="B15" i="3"/>
  <c r="D15" i="3"/>
  <c r="D10" i="3"/>
  <c r="X73" i="4"/>
  <c r="J15" i="3"/>
  <c r="N15" i="3"/>
  <c r="I73" i="4"/>
  <c r="F15" i="3"/>
  <c r="G25" i="3"/>
  <c r="X21" i="4"/>
  <c r="J11" i="3"/>
  <c r="N11" i="3"/>
  <c r="V21" i="4"/>
  <c r="G38" i="4"/>
  <c r="I25" i="3"/>
  <c r="I168" i="4"/>
  <c r="F23" i="3"/>
  <c r="I157" i="4"/>
  <c r="F22" i="3"/>
  <c r="I139" i="4"/>
  <c r="F19" i="3"/>
  <c r="I40" i="4"/>
  <c r="F13" i="3"/>
  <c r="I21" i="4"/>
  <c r="F11" i="3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68" i="4"/>
  <c r="V73" i="4"/>
  <c r="I117" i="4"/>
  <c r="F18" i="3"/>
  <c r="Q107" i="4"/>
  <c r="Q109" i="4"/>
  <c r="Q106" i="4"/>
  <c r="Q108" i="4"/>
  <c r="G1" i="6"/>
  <c r="H1" i="6"/>
  <c r="J29" i="9"/>
  <c r="J36" i="9"/>
  <c r="D31" i="9"/>
  <c r="D30" i="9"/>
  <c r="D18" i="9"/>
  <c r="D17" i="9"/>
  <c r="H17" i="9"/>
  <c r="J23" i="9"/>
  <c r="J17" i="9"/>
  <c r="F17" i="9"/>
  <c r="F23" i="9"/>
  <c r="J9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/>
  <c r="D21" i="7"/>
  <c r="E21" i="7"/>
  <c r="D20" i="7"/>
  <c r="E20" i="7"/>
  <c r="F36" i="9"/>
  <c r="D37" i="9"/>
  <c r="D36" i="9"/>
  <c r="B31" i="9"/>
  <c r="B30" i="9"/>
  <c r="H7" i="7"/>
  <c r="H8" i="7"/>
  <c r="H9" i="7"/>
  <c r="M9" i="7"/>
  <c r="M7" i="7"/>
  <c r="M8" i="7"/>
  <c r="G26" i="4"/>
  <c r="D24" i="9"/>
  <c r="D23" i="9"/>
  <c r="H22" i="7"/>
  <c r="M20" i="7"/>
  <c r="H20" i="7"/>
  <c r="M6" i="7"/>
  <c r="H6" i="7"/>
  <c r="L29" i="7"/>
  <c r="D38" i="7"/>
  <c r="G29" i="7"/>
  <c r="D37" i="7"/>
  <c r="D15" i="10" a="1"/>
  <c r="D15" i="10"/>
  <c r="B1" i="10"/>
  <c r="L15" i="7"/>
  <c r="D36" i="7"/>
  <c r="G15" i="7"/>
  <c r="D35" i="7"/>
  <c r="Q149" i="4"/>
  <c r="X149" i="4"/>
  <c r="J21" i="3"/>
  <c r="F28" i="5"/>
  <c r="C3" i="6"/>
  <c r="E55" i="5"/>
  <c r="E56" i="5"/>
  <c r="E30" i="5"/>
  <c r="L24" i="1"/>
  <c r="M2" i="1"/>
  <c r="M3" i="1"/>
  <c r="L2" i="1"/>
  <c r="M6" i="1"/>
  <c r="M45" i="1"/>
  <c r="M37" i="1"/>
  <c r="M32" i="1"/>
  <c r="M26" i="1"/>
  <c r="M9" i="1"/>
  <c r="M7" i="1"/>
  <c r="N2" i="1"/>
  <c r="L5" i="1"/>
  <c r="L7" i="1"/>
  <c r="L39" i="1"/>
  <c r="L44" i="1"/>
  <c r="L42" i="1"/>
  <c r="L36" i="1"/>
  <c r="L32" i="1"/>
  <c r="L29" i="1"/>
  <c r="L27" i="1"/>
  <c r="L25" i="1"/>
  <c r="L23" i="1"/>
  <c r="L19" i="1"/>
  <c r="L10" i="1"/>
  <c r="L28" i="1"/>
  <c r="N36" i="1"/>
  <c r="N33" i="1"/>
  <c r="N37" i="1"/>
  <c r="N31" i="1"/>
  <c r="N43" i="1"/>
  <c r="N25" i="1"/>
  <c r="N10" i="1"/>
  <c r="N7" i="1"/>
  <c r="N4" i="1"/>
  <c r="N14" i="1"/>
  <c r="F29" i="9"/>
  <c r="H5" i="3"/>
  <c r="H106" i="4"/>
  <c r="W29" i="4"/>
  <c r="W28" i="4"/>
  <c r="T62" i="4"/>
  <c r="T127" i="4"/>
  <c r="T63" i="4"/>
  <c r="T30" i="4"/>
  <c r="T128" i="4"/>
  <c r="T64" i="4"/>
  <c r="T31" i="4"/>
  <c r="T153" i="4"/>
  <c r="T152" i="4"/>
  <c r="T129" i="4"/>
  <c r="T65" i="4"/>
  <c r="T32" i="4"/>
  <c r="J63" i="2"/>
  <c r="S70" i="2"/>
  <c r="I70" i="2"/>
  <c r="K72" i="2"/>
  <c r="K73" i="2"/>
  <c r="W31" i="4"/>
  <c r="W64" i="4"/>
  <c r="Q31" i="4"/>
  <c r="W127" i="4"/>
  <c r="H109" i="4"/>
  <c r="H115" i="4"/>
  <c r="Q32" i="4"/>
  <c r="K65" i="2"/>
  <c r="X157" i="4"/>
  <c r="W69" i="4"/>
  <c r="W36" i="4"/>
  <c r="W133" i="4"/>
  <c r="W134" i="4"/>
  <c r="H16" i="5"/>
  <c r="H26" i="5" s="1"/>
  <c r="F9" i="6"/>
  <c r="F10" i="6" s="1"/>
  <c r="G10" i="6" s="1"/>
  <c r="H10" i="6" s="1"/>
  <c r="I10" i="6" s="1"/>
  <c r="V149" i="4"/>
  <c r="V139" i="4"/>
  <c r="V6" i="4"/>
  <c r="F25" i="13"/>
  <c r="H25" i="13"/>
  <c r="G25" i="13"/>
  <c r="J25" i="13"/>
  <c r="E25" i="13"/>
  <c r="D25" i="13"/>
  <c r="I25" i="13"/>
  <c r="N32" i="1"/>
  <c r="N16" i="1"/>
  <c r="N24" i="1"/>
  <c r="N44" i="1"/>
  <c r="N35" i="1"/>
  <c r="N22" i="1"/>
  <c r="N38" i="1"/>
  <c r="N27" i="1"/>
  <c r="N5" i="1"/>
  <c r="O2" i="1"/>
  <c r="N3" i="1"/>
  <c r="N29" i="1"/>
  <c r="N28" i="1"/>
  <c r="N26" i="1"/>
  <c r="N19" i="1"/>
  <c r="N20" i="1"/>
  <c r="N9" i="1"/>
  <c r="N39" i="1"/>
  <c r="N13" i="1"/>
  <c r="N8" i="1"/>
  <c r="N42" i="1"/>
  <c r="N23" i="1"/>
  <c r="N45" i="1"/>
  <c r="N6" i="1"/>
  <c r="K15" i="2"/>
  <c r="I16" i="2"/>
  <c r="K16" i="2"/>
  <c r="N11" i="2"/>
  <c r="N11" i="1"/>
  <c r="K70" i="2"/>
  <c r="I71" i="2"/>
  <c r="K71" i="2"/>
  <c r="I1" i="6"/>
  <c r="H9" i="6"/>
  <c r="G9" i="6"/>
  <c r="M24" i="1"/>
  <c r="L9" i="1"/>
  <c r="L33" i="1"/>
  <c r="L8" i="1"/>
  <c r="L26" i="1"/>
  <c r="L35" i="1"/>
  <c r="L20" i="1"/>
  <c r="L45" i="1"/>
  <c r="L4" i="1"/>
  <c r="L14" i="1"/>
  <c r="L38" i="1"/>
  <c r="L13" i="1"/>
  <c r="L43" i="1"/>
  <c r="L3" i="1"/>
  <c r="L37" i="1"/>
  <c r="L22" i="1"/>
  <c r="L31" i="1"/>
  <c r="L6" i="1"/>
  <c r="M22" i="1"/>
  <c r="M25" i="1"/>
  <c r="M4" i="1"/>
  <c r="M33" i="1"/>
  <c r="M14" i="1"/>
  <c r="M29" i="1"/>
  <c r="M5" i="1"/>
  <c r="M44" i="1"/>
  <c r="M27" i="1"/>
  <c r="M10" i="1"/>
  <c r="M31" i="1"/>
  <c r="M16" i="1"/>
  <c r="M43" i="1"/>
  <c r="M23" i="1"/>
  <c r="M39" i="1"/>
  <c r="M20" i="1"/>
  <c r="M38" i="1"/>
  <c r="M11" i="1"/>
  <c r="L16" i="1"/>
  <c r="L11" i="1"/>
  <c r="M28" i="1"/>
  <c r="M8" i="1"/>
  <c r="M35" i="1"/>
  <c r="M19" i="1"/>
  <c r="M36" i="1"/>
  <c r="M13" i="1"/>
  <c r="M42" i="1"/>
  <c r="N18" i="2"/>
  <c r="S65" i="2"/>
  <c r="K18" i="2"/>
  <c r="J18" i="2"/>
  <c r="H23" i="9"/>
  <c r="E59" i="2"/>
  <c r="G59" i="2"/>
  <c r="E25" i="2"/>
  <c r="E22" i="2"/>
  <c r="F27" i="2"/>
  <c r="G20" i="2"/>
  <c r="G18" i="2"/>
  <c r="F18" i="2"/>
  <c r="E18" i="2"/>
  <c r="D24" i="2" a="1"/>
  <c r="D24" i="2"/>
  <c r="F24" i="5"/>
  <c r="F14" i="5"/>
  <c r="F13" i="5"/>
  <c r="F12" i="5"/>
  <c r="S19" i="2"/>
  <c r="S22" i="2"/>
  <c r="S24" i="2"/>
  <c r="I89" i="2"/>
  <c r="I84" i="2"/>
  <c r="K84" i="2"/>
  <c r="I92" i="2"/>
  <c r="K92" i="2"/>
  <c r="E79" i="2"/>
  <c r="F55" i="2"/>
  <c r="E11" i="2"/>
  <c r="K24" i="2"/>
  <c r="I66" i="2"/>
  <c r="K66" i="2"/>
  <c r="I68" i="2"/>
  <c r="K68" i="2"/>
  <c r="I69" i="2"/>
  <c r="K69" i="2"/>
  <c r="I37" i="2"/>
  <c r="K37" i="2"/>
  <c r="N47" i="2"/>
  <c r="S68" i="2"/>
  <c r="K47" i="2"/>
  <c r="G15" i="2"/>
  <c r="G11" i="2"/>
  <c r="K31" i="2"/>
  <c r="G25" i="2"/>
  <c r="G22" i="2"/>
  <c r="E47" i="2"/>
  <c r="G50" i="2"/>
  <c r="G47" i="2"/>
  <c r="H43" i="4"/>
  <c r="H42" i="4"/>
  <c r="H41" i="4"/>
  <c r="P30" i="4"/>
  <c r="Q30" i="4"/>
  <c r="D8" i="7"/>
  <c r="E8" i="7"/>
  <c r="D29" i="9"/>
  <c r="M9" i="2"/>
  <c r="H28" i="4"/>
  <c r="I14" i="4"/>
  <c r="F10" i="3"/>
  <c r="H17" i="4"/>
  <c r="H40" i="4"/>
  <c r="D29" i="7"/>
  <c r="L15" i="3"/>
  <c r="X6" i="4"/>
  <c r="J9" i="3"/>
  <c r="N9" i="3"/>
  <c r="O22" i="7"/>
  <c r="I82" i="4"/>
  <c r="F16" i="3"/>
  <c r="O26" i="7"/>
  <c r="O8" i="7"/>
  <c r="J2" i="4"/>
  <c r="J4" i="4"/>
  <c r="X40" i="4"/>
  <c r="J13" i="3"/>
  <c r="N13" i="3"/>
  <c r="X105" i="4"/>
  <c r="V40" i="4"/>
  <c r="M25" i="13"/>
  <c r="O25" i="7"/>
  <c r="J11" i="7"/>
  <c r="O11" i="7"/>
  <c r="L29" i="9"/>
  <c r="L36" i="9"/>
  <c r="H36" i="9"/>
  <c r="H29" i="9"/>
  <c r="E23" i="7"/>
  <c r="J23" i="7"/>
  <c r="L21" i="3"/>
  <c r="N21" i="3"/>
  <c r="X57" i="4"/>
  <c r="J14" i="3"/>
  <c r="W38" i="4"/>
  <c r="O12" i="7"/>
  <c r="L17" i="9"/>
  <c r="D9" i="9"/>
  <c r="L9" i="9"/>
  <c r="I105" i="4"/>
  <c r="F17" i="3"/>
  <c r="L20" i="3"/>
  <c r="W109" i="4"/>
  <c r="I57" i="4"/>
  <c r="F14" i="3"/>
  <c r="W71" i="4"/>
  <c r="J21" i="7"/>
  <c r="AA9" i="4"/>
  <c r="D7" i="7"/>
  <c r="O7" i="7"/>
  <c r="H45" i="4"/>
  <c r="E22" i="7"/>
  <c r="AA55" i="4"/>
  <c r="X82" i="4"/>
  <c r="X117" i="4"/>
  <c r="U136" i="4"/>
  <c r="X139" i="4"/>
  <c r="J19" i="3"/>
  <c r="N19" i="3"/>
  <c r="G17" i="6"/>
  <c r="H17" i="6"/>
  <c r="F17" i="6"/>
  <c r="D17" i="6" s="1"/>
  <c r="L23" i="9"/>
  <c r="J17" i="3"/>
  <c r="N17" i="3"/>
  <c r="H87" i="4"/>
  <c r="H108" i="4"/>
  <c r="H118" i="4"/>
  <c r="D9" i="7"/>
  <c r="AC12" i="4"/>
  <c r="X26" i="4"/>
  <c r="J10" i="7"/>
  <c r="O24" i="7"/>
  <c r="J7" i="7"/>
  <c r="O21" i="7"/>
  <c r="E7" i="7"/>
  <c r="X14" i="4"/>
  <c r="J22" i="3"/>
  <c r="N22" i="3"/>
  <c r="V157" i="4"/>
  <c r="H117" i="4"/>
  <c r="H62" i="4"/>
  <c r="H139" i="4"/>
  <c r="H143" i="4"/>
  <c r="O20" i="7"/>
  <c r="E6" i="7"/>
  <c r="O6" i="7"/>
  <c r="L11" i="3"/>
  <c r="I26" i="4"/>
  <c r="J20" i="7"/>
  <c r="J29" i="7"/>
  <c r="O37" i="1"/>
  <c r="O23" i="1"/>
  <c r="O5" i="1"/>
  <c r="O39" i="1"/>
  <c r="O24" i="1"/>
  <c r="O11" i="1"/>
  <c r="O36" i="1"/>
  <c r="O20" i="1"/>
  <c r="P2" i="1"/>
  <c r="O35" i="1"/>
  <c r="O3" i="1"/>
  <c r="O42" i="1"/>
  <c r="O4" i="1"/>
  <c r="O33" i="1"/>
  <c r="O13" i="1"/>
  <c r="O32" i="1"/>
  <c r="O10" i="1"/>
  <c r="O45" i="1"/>
  <c r="O16" i="1"/>
  <c r="O43" i="1"/>
  <c r="O6" i="1"/>
  <c r="O31" i="1"/>
  <c r="O14" i="1"/>
  <c r="O28" i="1"/>
  <c r="O29" i="1"/>
  <c r="O7" i="1"/>
  <c r="O38" i="1"/>
  <c r="O26" i="1"/>
  <c r="O22" i="1"/>
  <c r="O19" i="1"/>
  <c r="O8" i="1"/>
  <c r="O9" i="1"/>
  <c r="O27" i="1"/>
  <c r="O25" i="1"/>
  <c r="O44" i="1"/>
  <c r="K11" i="2"/>
  <c r="J11" i="2"/>
  <c r="J1" i="6"/>
  <c r="I9" i="6"/>
  <c r="I11" i="2"/>
  <c r="S64" i="2"/>
  <c r="H107" i="4"/>
  <c r="H63" i="4"/>
  <c r="F22" i="2"/>
  <c r="F47" i="2"/>
  <c r="E77" i="2"/>
  <c r="I25" i="2"/>
  <c r="F11" i="2"/>
  <c r="E84" i="2"/>
  <c r="G84" i="2"/>
  <c r="G79" i="2"/>
  <c r="E80" i="2"/>
  <c r="G80" i="2"/>
  <c r="E89" i="2"/>
  <c r="G89" i="2"/>
  <c r="I33" i="2"/>
  <c r="I77" i="2"/>
  <c r="J47" i="2"/>
  <c r="L13" i="3"/>
  <c r="J8" i="7"/>
  <c r="H9" i="9"/>
  <c r="H43" i="9"/>
  <c r="U118" i="4"/>
  <c r="U117" i="4"/>
  <c r="U137" i="4"/>
  <c r="D15" i="7"/>
  <c r="D34" i="7"/>
  <c r="D40" i="7"/>
  <c r="B40" i="7"/>
  <c r="AA20" i="4"/>
  <c r="AA21" i="4"/>
  <c r="AA22" i="4"/>
  <c r="D43" i="9"/>
  <c r="L9" i="3"/>
  <c r="L19" i="3"/>
  <c r="K89" i="2"/>
  <c r="N14" i="3"/>
  <c r="L14" i="3"/>
  <c r="U96" i="4"/>
  <c r="J16" i="3"/>
  <c r="L17" i="3"/>
  <c r="U57" i="4"/>
  <c r="U59" i="4"/>
  <c r="W65" i="4"/>
  <c r="W129" i="4"/>
  <c r="W32" i="4"/>
  <c r="U91" i="4"/>
  <c r="J18" i="3"/>
  <c r="U119" i="4"/>
  <c r="H125" i="4"/>
  <c r="H126" i="4"/>
  <c r="H127" i="4"/>
  <c r="V105" i="4"/>
  <c r="L43" i="9"/>
  <c r="L22" i="3"/>
  <c r="U19" i="4"/>
  <c r="J10" i="3"/>
  <c r="X2" i="4"/>
  <c r="J12" i="3"/>
  <c r="N12" i="3"/>
  <c r="U27" i="4"/>
  <c r="F12" i="3"/>
  <c r="I2" i="4"/>
  <c r="O23" i="7"/>
  <c r="O29" i="7"/>
  <c r="E9" i="7"/>
  <c r="J9" i="7"/>
  <c r="O9" i="7"/>
  <c r="O15" i="7"/>
  <c r="P37" i="1"/>
  <c r="P23" i="1"/>
  <c r="P8" i="1"/>
  <c r="P35" i="1"/>
  <c r="P19" i="1"/>
  <c r="P3" i="1"/>
  <c r="P32" i="1"/>
  <c r="P11" i="1"/>
  <c r="P43" i="1"/>
  <c r="P24" i="1"/>
  <c r="P4" i="1"/>
  <c r="P42" i="1"/>
  <c r="P20" i="1"/>
  <c r="P38" i="1"/>
  <c r="P9" i="1"/>
  <c r="P36" i="1"/>
  <c r="P7" i="1"/>
  <c r="P29" i="1"/>
  <c r="Q2" i="1"/>
  <c r="P27" i="1"/>
  <c r="P25" i="1"/>
  <c r="P22" i="1"/>
  <c r="P14" i="1"/>
  <c r="P26" i="1"/>
  <c r="P31" i="1"/>
  <c r="P16" i="1"/>
  <c r="P13" i="1"/>
  <c r="P10" i="1"/>
  <c r="P6" i="1"/>
  <c r="P45" i="1"/>
  <c r="P44" i="1"/>
  <c r="P39" i="1"/>
  <c r="P33" i="1"/>
  <c r="P28" i="1"/>
  <c r="P5" i="1"/>
  <c r="J15" i="7"/>
  <c r="K1" i="6"/>
  <c r="J9" i="6"/>
  <c r="J17" i="6"/>
  <c r="I17" i="6"/>
  <c r="K77" i="2"/>
  <c r="I83" i="2"/>
  <c r="K25" i="2"/>
  <c r="I22" i="2"/>
  <c r="H25" i="5"/>
  <c r="G77" i="2"/>
  <c r="E83" i="2"/>
  <c r="K33" i="2"/>
  <c r="E88" i="2"/>
  <c r="E92" i="2"/>
  <c r="G92" i="2"/>
  <c r="V117" i="4"/>
  <c r="V82" i="4"/>
  <c r="S20" i="2"/>
  <c r="V57" i="4"/>
  <c r="N18" i="3"/>
  <c r="L18" i="3"/>
  <c r="H11" i="6"/>
  <c r="G11" i="6"/>
  <c r="I11" i="6"/>
  <c r="J11" i="6"/>
  <c r="F11" i="6"/>
  <c r="D11" i="6" s="1"/>
  <c r="N16" i="3"/>
  <c r="L16" i="3"/>
  <c r="L12" i="3"/>
  <c r="F5" i="3"/>
  <c r="D5" i="5"/>
  <c r="N10" i="3"/>
  <c r="L10" i="3"/>
  <c r="V26" i="4"/>
  <c r="V14" i="4"/>
  <c r="U175" i="4"/>
  <c r="L1" i="6"/>
  <c r="K9" i="6"/>
  <c r="K17" i="6"/>
  <c r="Q37" i="1"/>
  <c r="Q13" i="1"/>
  <c r="Q4" i="1"/>
  <c r="Q19" i="1"/>
  <c r="R2" i="1"/>
  <c r="Q45" i="1"/>
  <c r="Q31" i="1"/>
  <c r="Q25" i="1"/>
  <c r="Q28" i="1"/>
  <c r="Q23" i="1"/>
  <c r="Q43" i="1"/>
  <c r="Q10" i="1"/>
  <c r="Q39" i="1"/>
  <c r="Q6" i="1"/>
  <c r="Q38" i="1"/>
  <c r="Q29" i="1"/>
  <c r="Q8" i="1"/>
  <c r="Q44" i="1"/>
  <c r="Q9" i="1"/>
  <c r="Q36" i="1"/>
  <c r="Q11" i="1"/>
  <c r="Q35" i="1"/>
  <c r="Q3" i="1"/>
  <c r="Q33" i="1"/>
  <c r="Q20" i="1"/>
  <c r="Q16" i="1"/>
  <c r="Q26" i="1"/>
  <c r="Q27" i="1"/>
  <c r="Q14" i="1"/>
  <c r="Q7" i="1"/>
  <c r="Q5" i="1"/>
  <c r="Q42" i="1"/>
  <c r="Q32" i="1"/>
  <c r="Q24" i="1"/>
  <c r="Q22" i="1"/>
  <c r="I59" i="2"/>
  <c r="K22" i="2"/>
  <c r="J22" i="2"/>
  <c r="N22" i="2"/>
  <c r="I38" i="2"/>
  <c r="E78" i="2"/>
  <c r="E90" i="2"/>
  <c r="G90" i="2"/>
  <c r="E91" i="2"/>
  <c r="G91" i="2"/>
  <c r="G88" i="2"/>
  <c r="G83" i="2"/>
  <c r="G82" i="2"/>
  <c r="E82" i="2"/>
  <c r="K83" i="2"/>
  <c r="I82" i="2"/>
  <c r="I78" i="2"/>
  <c r="F25" i="3"/>
  <c r="C5" i="6"/>
  <c r="D6" i="5"/>
  <c r="D7" i="5"/>
  <c r="R37" i="1"/>
  <c r="R9" i="1"/>
  <c r="S2" i="1"/>
  <c r="R44" i="1"/>
  <c r="R14" i="1"/>
  <c r="R22" i="1"/>
  <c r="R42" i="1"/>
  <c r="R11" i="1"/>
  <c r="R25" i="1"/>
  <c r="R33" i="1"/>
  <c r="R28" i="1"/>
  <c r="R10" i="1"/>
  <c r="R20" i="1"/>
  <c r="R43" i="1"/>
  <c r="R7" i="1"/>
  <c r="R39" i="1"/>
  <c r="R6" i="1"/>
  <c r="R35" i="1"/>
  <c r="R4" i="1"/>
  <c r="R29" i="1"/>
  <c r="R3" i="1"/>
  <c r="R16" i="1"/>
  <c r="R13" i="1"/>
  <c r="R8" i="1"/>
  <c r="R5" i="1"/>
  <c r="R26" i="1"/>
  <c r="R27" i="1"/>
  <c r="R23" i="1"/>
  <c r="R45" i="1"/>
  <c r="R38" i="1"/>
  <c r="R36" i="1"/>
  <c r="R32" i="1"/>
  <c r="R19" i="1"/>
  <c r="R31" i="1"/>
  <c r="R24" i="1"/>
  <c r="M1" i="6"/>
  <c r="L9" i="6"/>
  <c r="L17" i="6"/>
  <c r="K11" i="6"/>
  <c r="K78" i="2"/>
  <c r="I76" i="2"/>
  <c r="I87" i="2"/>
  <c r="N82" i="2"/>
  <c r="K82" i="2"/>
  <c r="J82" i="2"/>
  <c r="S72" i="2"/>
  <c r="S66" i="2"/>
  <c r="F82" i="2"/>
  <c r="H38" i="4"/>
  <c r="G78" i="2"/>
  <c r="E76" i="2"/>
  <c r="E87" i="2"/>
  <c r="K38" i="2"/>
  <c r="I27" i="2"/>
  <c r="K59" i="2"/>
  <c r="I55" i="2"/>
  <c r="L11" i="6"/>
  <c r="S36" i="1"/>
  <c r="S25" i="1"/>
  <c r="S19" i="1"/>
  <c r="S42" i="1"/>
  <c r="S27" i="1"/>
  <c r="S8" i="1"/>
  <c r="S33" i="1"/>
  <c r="T2" i="1"/>
  <c r="S13" i="1"/>
  <c r="S44" i="1"/>
  <c r="S23" i="1"/>
  <c r="S39" i="1"/>
  <c r="S10" i="1"/>
  <c r="S45" i="1"/>
  <c r="S35" i="1"/>
  <c r="S32" i="1"/>
  <c r="S16" i="1"/>
  <c r="S3" i="1"/>
  <c r="S29" i="1"/>
  <c r="S14" i="1"/>
  <c r="S38" i="1"/>
  <c r="S11" i="1"/>
  <c r="S31" i="1"/>
  <c r="S9" i="1"/>
  <c r="S37" i="1"/>
  <c r="S20" i="1"/>
  <c r="S5" i="1"/>
  <c r="S6" i="1"/>
  <c r="S28" i="1"/>
  <c r="S24" i="1"/>
  <c r="S26" i="1"/>
  <c r="S22" i="1"/>
  <c r="S43" i="1"/>
  <c r="S4" i="1"/>
  <c r="S7" i="1"/>
  <c r="N1" i="6"/>
  <c r="M11" i="6"/>
  <c r="N27" i="2"/>
  <c r="S67" i="2"/>
  <c r="K27" i="2"/>
  <c r="J27" i="2"/>
  <c r="F9" i="2"/>
  <c r="G76" i="2"/>
  <c r="F76" i="2"/>
  <c r="N55" i="2"/>
  <c r="S69" i="2"/>
  <c r="K55" i="2"/>
  <c r="J55" i="2"/>
  <c r="E86" i="2"/>
  <c r="G87" i="2"/>
  <c r="G86" i="2"/>
  <c r="K87" i="2"/>
  <c r="J9" i="2"/>
  <c r="N76" i="2"/>
  <c r="K76" i="2"/>
  <c r="T31" i="1"/>
  <c r="T20" i="1"/>
  <c r="U2" i="1"/>
  <c r="T39" i="1"/>
  <c r="T9" i="1"/>
  <c r="T16" i="1"/>
  <c r="T35" i="1"/>
  <c r="T5" i="1"/>
  <c r="T44" i="1"/>
  <c r="T23" i="1"/>
  <c r="T13" i="1"/>
  <c r="T25" i="1"/>
  <c r="T10" i="1"/>
  <c r="T4" i="1"/>
  <c r="T6" i="1"/>
  <c r="T42" i="1"/>
  <c r="T3" i="1"/>
  <c r="T43" i="1"/>
  <c r="T22" i="1"/>
  <c r="T24" i="1"/>
  <c r="T27" i="1"/>
  <c r="T29" i="1"/>
  <c r="T11" i="1"/>
  <c r="T32" i="1"/>
  <c r="T19" i="1"/>
  <c r="T26" i="1"/>
  <c r="T38" i="1"/>
  <c r="T8" i="1"/>
  <c r="T36" i="1"/>
  <c r="T33" i="1"/>
  <c r="T45" i="1"/>
  <c r="T37" i="1"/>
  <c r="T14" i="1"/>
  <c r="T7" i="1"/>
  <c r="T28" i="1"/>
  <c r="O1" i="6"/>
  <c r="N9" i="6"/>
  <c r="N17" i="6"/>
  <c r="N11" i="6"/>
  <c r="M17" i="6"/>
  <c r="F86" i="2"/>
  <c r="M9" i="6"/>
  <c r="J76" i="2"/>
  <c r="S71" i="2"/>
  <c r="I88" i="2"/>
  <c r="P1" i="6"/>
  <c r="O11" i="6"/>
  <c r="O9" i="6"/>
  <c r="O17" i="6"/>
  <c r="U37" i="1"/>
  <c r="U23" i="1"/>
  <c r="U19" i="1"/>
  <c r="U31" i="1"/>
  <c r="U6" i="1"/>
  <c r="U45" i="1"/>
  <c r="U28" i="1"/>
  <c r="U11" i="1"/>
  <c r="U32" i="1"/>
  <c r="U9" i="1"/>
  <c r="U29" i="1"/>
  <c r="U5" i="1"/>
  <c r="U26" i="1"/>
  <c r="U16" i="1"/>
  <c r="U25" i="1"/>
  <c r="U3" i="1"/>
  <c r="U22" i="1"/>
  <c r="U44" i="1"/>
  <c r="U13" i="1"/>
  <c r="U43" i="1"/>
  <c r="U10" i="1"/>
  <c r="U42" i="1"/>
  <c r="U8" i="1"/>
  <c r="U27" i="1"/>
  <c r="U24" i="1"/>
  <c r="U7" i="1"/>
  <c r="U4" i="1"/>
  <c r="V2" i="1"/>
  <c r="U39" i="1"/>
  <c r="U38" i="1"/>
  <c r="U36" i="1"/>
  <c r="U35" i="1"/>
  <c r="U33" i="1"/>
  <c r="U20" i="1"/>
  <c r="U14" i="1"/>
  <c r="I90" i="2"/>
  <c r="K90" i="2"/>
  <c r="K91" i="2"/>
  <c r="H149" i="4"/>
  <c r="K88" i="2"/>
  <c r="Q1" i="6"/>
  <c r="P9" i="6"/>
  <c r="P17" i="6"/>
  <c r="P11" i="6"/>
  <c r="V31" i="1"/>
  <c r="V16" i="1"/>
  <c r="V26" i="1"/>
  <c r="V44" i="1"/>
  <c r="V25" i="1"/>
  <c r="V19" i="1"/>
  <c r="V38" i="1"/>
  <c r="V20" i="1"/>
  <c r="V28" i="1"/>
  <c r="V43" i="1"/>
  <c r="V9" i="1"/>
  <c r="V35" i="1"/>
  <c r="V8" i="1"/>
  <c r="V29" i="1"/>
  <c r="V24" i="1"/>
  <c r="V27" i="1"/>
  <c r="V4" i="1"/>
  <c r="V36" i="1"/>
  <c r="V13" i="1"/>
  <c r="V39" i="1"/>
  <c r="V6" i="1"/>
  <c r="V37" i="1"/>
  <c r="V3" i="1"/>
  <c r="V32" i="1"/>
  <c r="V22" i="1"/>
  <c r="V7" i="1"/>
  <c r="V5" i="1"/>
  <c r="V10" i="1"/>
  <c r="V42" i="1"/>
  <c r="V45" i="1"/>
  <c r="V33" i="1"/>
  <c r="V23" i="1"/>
  <c r="W2" i="1"/>
  <c r="V14" i="1"/>
  <c r="V11" i="1"/>
  <c r="N86" i="2"/>
  <c r="N9" i="2"/>
  <c r="K86" i="2"/>
  <c r="I86" i="2"/>
  <c r="H150" i="4"/>
  <c r="M5" i="6"/>
  <c r="H152" i="4"/>
  <c r="H157" i="4"/>
  <c r="I5" i="6"/>
  <c r="H153" i="4"/>
  <c r="H151" i="4"/>
  <c r="O5" i="6"/>
  <c r="N5" i="6"/>
  <c r="P5" i="6"/>
  <c r="H5" i="6"/>
  <c r="F5" i="6"/>
  <c r="F6" i="6"/>
  <c r="G5" i="6"/>
  <c r="R1" i="6"/>
  <c r="Q17" i="6"/>
  <c r="Q9" i="6"/>
  <c r="J5" i="6"/>
  <c r="W37" i="1"/>
  <c r="W23" i="1"/>
  <c r="W7" i="1"/>
  <c r="W36" i="1"/>
  <c r="W20" i="1"/>
  <c r="X2" i="1"/>
  <c r="W44" i="1"/>
  <c r="W26" i="1"/>
  <c r="W11" i="1"/>
  <c r="W35" i="1"/>
  <c r="W19" i="1"/>
  <c r="W32" i="1"/>
  <c r="W10" i="1"/>
  <c r="W31" i="1"/>
  <c r="W8" i="1"/>
  <c r="W28" i="1"/>
  <c r="W9" i="1"/>
  <c r="W25" i="1"/>
  <c r="W24" i="1"/>
  <c r="W22" i="1"/>
  <c r="W33" i="1"/>
  <c r="W3" i="1"/>
  <c r="W13" i="1"/>
  <c r="W6" i="1"/>
  <c r="W45" i="1"/>
  <c r="W16" i="1"/>
  <c r="W14" i="1"/>
  <c r="W43" i="1"/>
  <c r="W5" i="1"/>
  <c r="W42" i="1"/>
  <c r="W39" i="1"/>
  <c r="W38" i="1"/>
  <c r="W29" i="1"/>
  <c r="W4" i="1"/>
  <c r="W27" i="1"/>
  <c r="L5" i="6"/>
  <c r="J86" i="2"/>
  <c r="S73" i="2"/>
  <c r="K5" i="6"/>
  <c r="X37" i="1"/>
  <c r="X23" i="1"/>
  <c r="X4" i="1"/>
  <c r="X32" i="1"/>
  <c r="X13" i="1"/>
  <c r="X35" i="1"/>
  <c r="X16" i="1"/>
  <c r="X43" i="1"/>
  <c r="X24" i="1"/>
  <c r="X9" i="1"/>
  <c r="X39" i="1"/>
  <c r="X20" i="1"/>
  <c r="X38" i="1"/>
  <c r="X19" i="1"/>
  <c r="X25" i="1"/>
  <c r="X45" i="1"/>
  <c r="X10" i="1"/>
  <c r="X44" i="1"/>
  <c r="X8" i="1"/>
  <c r="X42" i="1"/>
  <c r="X6" i="1"/>
  <c r="X33" i="1"/>
  <c r="X5" i="1"/>
  <c r="X29" i="1"/>
  <c r="X27" i="1"/>
  <c r="X26" i="1"/>
  <c r="X22" i="1"/>
  <c r="Y2" i="1"/>
  <c r="X11" i="1"/>
  <c r="X7" i="1"/>
  <c r="X3" i="1"/>
  <c r="X14" i="1"/>
  <c r="X36" i="1"/>
  <c r="X31" i="1"/>
  <c r="X28" i="1"/>
  <c r="Q11" i="6"/>
  <c r="S1" i="6"/>
  <c r="R17" i="6"/>
  <c r="Q5" i="6"/>
  <c r="G6" i="6"/>
  <c r="R5" i="6"/>
  <c r="R9" i="6"/>
  <c r="Y37" i="1"/>
  <c r="Y16" i="1"/>
  <c r="Z2" i="1"/>
  <c r="Y45" i="1"/>
  <c r="Y27" i="1"/>
  <c r="Y10" i="1"/>
  <c r="Y44" i="1"/>
  <c r="Y23" i="1"/>
  <c r="Y26" i="1"/>
  <c r="Y29" i="1"/>
  <c r="Y6" i="1"/>
  <c r="Y20" i="1"/>
  <c r="Y4" i="1"/>
  <c r="Y43" i="1"/>
  <c r="Y19" i="1"/>
  <c r="Y3" i="1"/>
  <c r="Y39" i="1"/>
  <c r="Y5" i="1"/>
  <c r="Y36" i="1"/>
  <c r="Y13" i="1"/>
  <c r="Y33" i="1"/>
  <c r="Y35" i="1"/>
  <c r="Y8" i="1"/>
  <c r="Y24" i="1"/>
  <c r="Y32" i="1"/>
  <c r="Y25" i="1"/>
  <c r="Y14" i="1"/>
  <c r="Y11" i="1"/>
  <c r="Y7" i="1"/>
  <c r="Y9" i="1"/>
  <c r="Y28" i="1"/>
  <c r="Y22" i="1"/>
  <c r="Y42" i="1"/>
  <c r="Y31" i="1"/>
  <c r="Y38" i="1"/>
  <c r="R11" i="6"/>
  <c r="T1" i="6"/>
  <c r="S17" i="6"/>
  <c r="S9" i="6"/>
  <c r="S11" i="6"/>
  <c r="S5" i="6"/>
  <c r="H6" i="6"/>
  <c r="Z37" i="1"/>
  <c r="Z16" i="1"/>
  <c r="AA2" i="1"/>
  <c r="Z42" i="1"/>
  <c r="Z20" i="1"/>
  <c r="Z26" i="1"/>
  <c r="Z35" i="1"/>
  <c r="Z10" i="1"/>
  <c r="Z33" i="1"/>
  <c r="Z8" i="1"/>
  <c r="Z32" i="1"/>
  <c r="Z6" i="1"/>
  <c r="Z29" i="1"/>
  <c r="Z5" i="1"/>
  <c r="Z36" i="1"/>
  <c r="Z3" i="1"/>
  <c r="Z27" i="1"/>
  <c r="Z4" i="1"/>
  <c r="Z25" i="1"/>
  <c r="Z22" i="1"/>
  <c r="Z23" i="1"/>
  <c r="Z7" i="1"/>
  <c r="Z44" i="1"/>
  <c r="Z39" i="1"/>
  <c r="Z38" i="1"/>
  <c r="Z31" i="1"/>
  <c r="Z19" i="1"/>
  <c r="Z14" i="1"/>
  <c r="Z13" i="1"/>
  <c r="Z11" i="1"/>
  <c r="Z28" i="1"/>
  <c r="Z9" i="1"/>
  <c r="Z45" i="1"/>
  <c r="Z24" i="1"/>
  <c r="Z43" i="1"/>
  <c r="U1" i="6"/>
  <c r="T9" i="6"/>
  <c r="T17" i="6"/>
  <c r="T11" i="6"/>
  <c r="T5" i="6"/>
  <c r="I6" i="6"/>
  <c r="AA29" i="1"/>
  <c r="AA6" i="1"/>
  <c r="AA25" i="1"/>
  <c r="AA44" i="1"/>
  <c r="AA9" i="1"/>
  <c r="AA23" i="1"/>
  <c r="AA45" i="1"/>
  <c r="AA20" i="1"/>
  <c r="AA14" i="1"/>
  <c r="AA37" i="1"/>
  <c r="AB2" i="1"/>
  <c r="AA32" i="1"/>
  <c r="AA24" i="1"/>
  <c r="AA31" i="1"/>
  <c r="AA4" i="1"/>
  <c r="AA26" i="1"/>
  <c r="AA7" i="1"/>
  <c r="AA10" i="1"/>
  <c r="AA8" i="1"/>
  <c r="AA33" i="1"/>
  <c r="AA22" i="1"/>
  <c r="AA39" i="1"/>
  <c r="AA5" i="1"/>
  <c r="AA35" i="1"/>
  <c r="AA19" i="1"/>
  <c r="AA27" i="1"/>
  <c r="AA36" i="1"/>
  <c r="AA42" i="1"/>
  <c r="AA28" i="1"/>
  <c r="AA13" i="1"/>
  <c r="AA3" i="1"/>
  <c r="AA43" i="1"/>
  <c r="AA38" i="1"/>
  <c r="AA16" i="1"/>
  <c r="AA11" i="1"/>
  <c r="V1" i="6"/>
  <c r="U9" i="6"/>
  <c r="U17" i="6"/>
  <c r="U11" i="6"/>
  <c r="J6" i="6"/>
  <c r="V9" i="6"/>
  <c r="W1" i="6"/>
  <c r="V17" i="6"/>
  <c r="V11" i="6"/>
  <c r="U5" i="6"/>
  <c r="AB29" i="1"/>
  <c r="AB4" i="1"/>
  <c r="AB10" i="1"/>
  <c r="AB36" i="1"/>
  <c r="AB9" i="1"/>
  <c r="AB44" i="1"/>
  <c r="AB14" i="1"/>
  <c r="AB26" i="1"/>
  <c r="AB23" i="1"/>
  <c r="AB43" i="1"/>
  <c r="AB22" i="1"/>
  <c r="AC2" i="1"/>
  <c r="AB39" i="1"/>
  <c r="AB25" i="1"/>
  <c r="AB19" i="1"/>
  <c r="AB16" i="1"/>
  <c r="AB37" i="1"/>
  <c r="AB7" i="1"/>
  <c r="AB32" i="1"/>
  <c r="AB35" i="1"/>
  <c r="AB5" i="1"/>
  <c r="AB27" i="1"/>
  <c r="AB24" i="1"/>
  <c r="AB6" i="1"/>
  <c r="AB20" i="1"/>
  <c r="AB45" i="1"/>
  <c r="AB8" i="1"/>
  <c r="AB42" i="1"/>
  <c r="AB38" i="1"/>
  <c r="AB33" i="1"/>
  <c r="AB31" i="1"/>
  <c r="AB3" i="1"/>
  <c r="AB13" i="1"/>
  <c r="AB28" i="1"/>
  <c r="AB11" i="1"/>
  <c r="K6" i="6"/>
  <c r="V5" i="6"/>
  <c r="AC37" i="1"/>
  <c r="AC23" i="1"/>
  <c r="AD2" i="1"/>
  <c r="AC45" i="1"/>
  <c r="AC28" i="1"/>
  <c r="AC9" i="1"/>
  <c r="AC27" i="1"/>
  <c r="AC13" i="1"/>
  <c r="AC33" i="1"/>
  <c r="AC14" i="1"/>
  <c r="AC31" i="1"/>
  <c r="AC7" i="1"/>
  <c r="AC29" i="1"/>
  <c r="AC6" i="1"/>
  <c r="AC39" i="1"/>
  <c r="AC5" i="1"/>
  <c r="AC36" i="1"/>
  <c r="AC3" i="1"/>
  <c r="AC8" i="1"/>
  <c r="AC35" i="1"/>
  <c r="AC10" i="1"/>
  <c r="AC32" i="1"/>
  <c r="AC25" i="1"/>
  <c r="AC19" i="1"/>
  <c r="AC16" i="1"/>
  <c r="AC11" i="1"/>
  <c r="AC44" i="1"/>
  <c r="AC4" i="1"/>
  <c r="AC42" i="1"/>
  <c r="AC43" i="1"/>
  <c r="AC38" i="1"/>
  <c r="AC26" i="1"/>
  <c r="AC24" i="1"/>
  <c r="AC22" i="1"/>
  <c r="AC20" i="1"/>
  <c r="X1" i="6"/>
  <c r="L6" i="6"/>
  <c r="W5" i="6"/>
  <c r="X9" i="6"/>
  <c r="Y1" i="6"/>
  <c r="X17" i="6"/>
  <c r="W11" i="6"/>
  <c r="AD29" i="1"/>
  <c r="AD13" i="1"/>
  <c r="AD27" i="1"/>
  <c r="AD37" i="1"/>
  <c r="AD22" i="1"/>
  <c r="AD19" i="1"/>
  <c r="AD44" i="1"/>
  <c r="AD6" i="1"/>
  <c r="AD35" i="1"/>
  <c r="AD8" i="1"/>
  <c r="AD42" i="1"/>
  <c r="AD16" i="1"/>
  <c r="AD38" i="1"/>
  <c r="AD14" i="1"/>
  <c r="AD33" i="1"/>
  <c r="AD25" i="1"/>
  <c r="AD28" i="1"/>
  <c r="AD3" i="1"/>
  <c r="AD26" i="1"/>
  <c r="AD4" i="1"/>
  <c r="AD24" i="1"/>
  <c r="AD32" i="1"/>
  <c r="AD10" i="1"/>
  <c r="AE2" i="1"/>
  <c r="AD11" i="1"/>
  <c r="AD9" i="1"/>
  <c r="AD5" i="1"/>
  <c r="AD7" i="1"/>
  <c r="AD45" i="1"/>
  <c r="AD43" i="1"/>
  <c r="AD36" i="1"/>
  <c r="AD23" i="1"/>
  <c r="AD20" i="1"/>
  <c r="AD39" i="1"/>
  <c r="AD31" i="1"/>
  <c r="W17" i="6"/>
  <c r="W9" i="6"/>
  <c r="M6" i="6"/>
  <c r="AE37" i="1"/>
  <c r="AE23" i="1"/>
  <c r="AE13" i="1"/>
  <c r="AE36" i="1"/>
  <c r="AE20" i="1"/>
  <c r="AF2" i="1"/>
  <c r="AE28" i="1"/>
  <c r="AE5" i="1"/>
  <c r="AE45" i="1"/>
  <c r="AE26" i="1"/>
  <c r="AE6" i="1"/>
  <c r="AE43" i="1"/>
  <c r="AE24" i="1"/>
  <c r="AE8" i="1"/>
  <c r="AE42" i="1"/>
  <c r="AE22" i="1"/>
  <c r="AE27" i="1"/>
  <c r="AE4" i="1"/>
  <c r="AE44" i="1"/>
  <c r="AE3" i="1"/>
  <c r="AE14" i="1"/>
  <c r="AE38" i="1"/>
  <c r="AE31" i="1"/>
  <c r="AE29" i="1"/>
  <c r="AE25" i="1"/>
  <c r="AE11" i="1"/>
  <c r="AE9" i="1"/>
  <c r="AE7" i="1"/>
  <c r="AE10" i="1"/>
  <c r="AE39" i="1"/>
  <c r="AE19" i="1"/>
  <c r="AE16" i="1"/>
  <c r="AE35" i="1"/>
  <c r="AE33" i="1"/>
  <c r="AE32" i="1"/>
  <c r="X5" i="6"/>
  <c r="X11" i="6"/>
  <c r="Z1" i="6"/>
  <c r="Y9" i="6"/>
  <c r="Y17" i="6"/>
  <c r="Y11" i="6"/>
  <c r="Y5" i="6"/>
  <c r="N6" i="6"/>
  <c r="AF37" i="1"/>
  <c r="AF23" i="1"/>
  <c r="AF5" i="1"/>
  <c r="AF32" i="1"/>
  <c r="AF13" i="1"/>
  <c r="AF38" i="1"/>
  <c r="AF20" i="1"/>
  <c r="AF11" i="1"/>
  <c r="AF31" i="1"/>
  <c r="AF6" i="1"/>
  <c r="AF28" i="1"/>
  <c r="AF14" i="1"/>
  <c r="AF27" i="1"/>
  <c r="AF3" i="1"/>
  <c r="AF44" i="1"/>
  <c r="AF19" i="1"/>
  <c r="AF42" i="1"/>
  <c r="AF10" i="1"/>
  <c r="AF36" i="1"/>
  <c r="AF39" i="1"/>
  <c r="AF8" i="1"/>
  <c r="AF33" i="1"/>
  <c r="AF29" i="1"/>
  <c r="AF26" i="1"/>
  <c r="AF25" i="1"/>
  <c r="AF22" i="1"/>
  <c r="AF24" i="1"/>
  <c r="AF16" i="1"/>
  <c r="AG2" i="1"/>
  <c r="AF7" i="1"/>
  <c r="AF45" i="1"/>
  <c r="AF4" i="1"/>
  <c r="AF35" i="1"/>
  <c r="AF9" i="1"/>
  <c r="AF43" i="1"/>
  <c r="AA1" i="6"/>
  <c r="Z9" i="6"/>
  <c r="Z17" i="6"/>
  <c r="O6" i="6"/>
  <c r="Z5" i="6"/>
  <c r="AG37" i="1"/>
  <c r="AG16" i="1"/>
  <c r="AG14" i="1"/>
  <c r="AG45" i="1"/>
  <c r="AG28" i="1"/>
  <c r="AG25" i="1"/>
  <c r="AG31" i="1"/>
  <c r="AG4" i="1"/>
  <c r="AG38" i="1"/>
  <c r="AH2" i="1"/>
  <c r="AG35" i="1"/>
  <c r="AG13" i="1"/>
  <c r="AG33" i="1"/>
  <c r="AG10" i="1"/>
  <c r="AG39" i="1"/>
  <c r="AG3" i="1"/>
  <c r="AG32" i="1"/>
  <c r="AG5" i="1"/>
  <c r="AG29" i="1"/>
  <c r="AG9" i="1"/>
  <c r="AG20" i="1"/>
  <c r="AG44" i="1"/>
  <c r="AG23" i="1"/>
  <c r="AG43" i="1"/>
  <c r="AG11" i="1"/>
  <c r="AG42" i="1"/>
  <c r="AG7" i="1"/>
  <c r="AG6" i="1"/>
  <c r="AG36" i="1"/>
  <c r="AG26" i="1"/>
  <c r="AG24" i="1"/>
  <c r="AG22" i="1"/>
  <c r="AG19" i="1"/>
  <c r="AG27" i="1"/>
  <c r="AG8" i="1"/>
  <c r="Z11" i="6"/>
  <c r="AB1" i="6"/>
  <c r="AA5" i="6"/>
  <c r="P6" i="6"/>
  <c r="AH37" i="1"/>
  <c r="AH9" i="1"/>
  <c r="AI2" i="1"/>
  <c r="AH42" i="1"/>
  <c r="AH11" i="1"/>
  <c r="AH22" i="1"/>
  <c r="AH38" i="1"/>
  <c r="AH7" i="1"/>
  <c r="AH23" i="1"/>
  <c r="AH45" i="1"/>
  <c r="AH13" i="1"/>
  <c r="AH3" i="1"/>
  <c r="AH43" i="1"/>
  <c r="AH8" i="1"/>
  <c r="AH39" i="1"/>
  <c r="AH6" i="1"/>
  <c r="AH31" i="1"/>
  <c r="AH4" i="1"/>
  <c r="AH16" i="1"/>
  <c r="AH14" i="1"/>
  <c r="AH32" i="1"/>
  <c r="AH28" i="1"/>
  <c r="AH29" i="1"/>
  <c r="AH26" i="1"/>
  <c r="AH24" i="1"/>
  <c r="AH36" i="1"/>
  <c r="AH44" i="1"/>
  <c r="AH20" i="1"/>
  <c r="AH27" i="1"/>
  <c r="AH35" i="1"/>
  <c r="AH33" i="1"/>
  <c r="AH19" i="1"/>
  <c r="AH25" i="1"/>
  <c r="AH10" i="1"/>
  <c r="AH5" i="1"/>
  <c r="AC1" i="6"/>
  <c r="AB9" i="6"/>
  <c r="AB17" i="6"/>
  <c r="AB11" i="6"/>
  <c r="AA11" i="6"/>
  <c r="AA17" i="6"/>
  <c r="AA9" i="6"/>
  <c r="Q6" i="6"/>
  <c r="AD1" i="6"/>
  <c r="AC17" i="6"/>
  <c r="AC9" i="6"/>
  <c r="AB5" i="6"/>
  <c r="AI32" i="1"/>
  <c r="AI14" i="1"/>
  <c r="AI6" i="1"/>
  <c r="AI31" i="1"/>
  <c r="AI9" i="1"/>
  <c r="AI19" i="1"/>
  <c r="AI29" i="1"/>
  <c r="AJ2" i="1"/>
  <c r="AI33" i="1"/>
  <c r="AI13" i="1"/>
  <c r="AI25" i="1"/>
  <c r="AI8" i="1"/>
  <c r="AI45" i="1"/>
  <c r="AI23" i="1"/>
  <c r="AI4" i="1"/>
  <c r="AI28" i="1"/>
  <c r="AI44" i="1"/>
  <c r="AI7" i="1"/>
  <c r="AI43" i="1"/>
  <c r="AI5" i="1"/>
  <c r="AI36" i="1"/>
  <c r="AI27" i="1"/>
  <c r="AI20" i="1"/>
  <c r="AI11" i="1"/>
  <c r="AI24" i="1"/>
  <c r="AI26" i="1"/>
  <c r="AI22" i="1"/>
  <c r="AI10" i="1"/>
  <c r="AI37" i="1"/>
  <c r="AI3" i="1"/>
  <c r="AI16" i="1"/>
  <c r="AI39" i="1"/>
  <c r="AI35" i="1"/>
  <c r="AI42" i="1"/>
  <c r="AI38" i="1"/>
  <c r="R6" i="6"/>
  <c r="AC5" i="6"/>
  <c r="AJ44" i="1"/>
  <c r="AJ8" i="1"/>
  <c r="AJ24" i="1"/>
  <c r="AJ23" i="1"/>
  <c r="AJ19" i="1"/>
  <c r="AJ36" i="1"/>
  <c r="AJ6" i="1"/>
  <c r="AJ7" i="1"/>
  <c r="AJ29" i="1"/>
  <c r="AJ39" i="1"/>
  <c r="AJ25" i="1"/>
  <c r="AJ32" i="1"/>
  <c r="AJ20" i="1"/>
  <c r="AJ28" i="1"/>
  <c r="AJ31" i="1"/>
  <c r="AJ3" i="1"/>
  <c r="AJ38" i="1"/>
  <c r="AJ14" i="1"/>
  <c r="AJ33" i="1"/>
  <c r="AJ37" i="1"/>
  <c r="AJ42" i="1"/>
  <c r="AK2" i="1"/>
  <c r="AJ27" i="1"/>
  <c r="AJ22" i="1"/>
  <c r="AJ26" i="1"/>
  <c r="AJ16" i="1"/>
  <c r="AJ43" i="1"/>
  <c r="AJ35" i="1"/>
  <c r="AJ4" i="1"/>
  <c r="AJ9" i="1"/>
  <c r="AJ13" i="1"/>
  <c r="AJ10" i="1"/>
  <c r="AJ11" i="1"/>
  <c r="AJ45" i="1"/>
  <c r="AJ5" i="1"/>
  <c r="AC11" i="6"/>
  <c r="AE1" i="6"/>
  <c r="AD9" i="6"/>
  <c r="AD17" i="6"/>
  <c r="AD11" i="6"/>
  <c r="AD5" i="6"/>
  <c r="S6" i="6"/>
  <c r="AK37" i="1"/>
  <c r="AK23" i="1"/>
  <c r="AK4" i="1"/>
  <c r="AK45" i="1"/>
  <c r="AK28" i="1"/>
  <c r="AK7" i="1"/>
  <c r="AK31" i="1"/>
  <c r="AK9" i="1"/>
  <c r="AK43" i="1"/>
  <c r="AK24" i="1"/>
  <c r="AK8" i="1"/>
  <c r="AK39" i="1"/>
  <c r="AK20" i="1"/>
  <c r="AK38" i="1"/>
  <c r="AK19" i="1"/>
  <c r="AK35" i="1"/>
  <c r="AK3" i="1"/>
  <c r="AK32" i="1"/>
  <c r="AK13" i="1"/>
  <c r="AK29" i="1"/>
  <c r="AK6" i="1"/>
  <c r="AK22" i="1"/>
  <c r="AK14" i="1"/>
  <c r="AK11" i="1"/>
  <c r="AK5" i="1"/>
  <c r="AK44" i="1"/>
  <c r="AL2" i="1"/>
  <c r="AK36" i="1"/>
  <c r="AK42" i="1"/>
  <c r="AK10" i="1"/>
  <c r="AK33" i="1"/>
  <c r="AK27" i="1"/>
  <c r="AK26" i="1"/>
  <c r="AK25" i="1"/>
  <c r="AK16" i="1"/>
  <c r="AF1" i="6"/>
  <c r="AE17" i="6"/>
  <c r="AE9" i="6"/>
  <c r="T6" i="6"/>
  <c r="AE5" i="6"/>
  <c r="AE11" i="6"/>
  <c r="AL33" i="1"/>
  <c r="AL42" i="1"/>
  <c r="AL32" i="1"/>
  <c r="AL8" i="1"/>
  <c r="AL38" i="1"/>
  <c r="AM2" i="1"/>
  <c r="AL4" i="1"/>
  <c r="AL43" i="1"/>
  <c r="AL16" i="1"/>
  <c r="AL37" i="1"/>
  <c r="AL10" i="1"/>
  <c r="AL45" i="1"/>
  <c r="AL35" i="1"/>
  <c r="AL3" i="1"/>
  <c r="AL20" i="1"/>
  <c r="AL13" i="1"/>
  <c r="AL24" i="1"/>
  <c r="AL19" i="1"/>
  <c r="AL36" i="1"/>
  <c r="AL22" i="1"/>
  <c r="AL39" i="1"/>
  <c r="AL14" i="1"/>
  <c r="AL11" i="1"/>
  <c r="AL9" i="1"/>
  <c r="AL5" i="1"/>
  <c r="AL7" i="1"/>
  <c r="AL44" i="1"/>
  <c r="AL28" i="1"/>
  <c r="AL6" i="1"/>
  <c r="AL25" i="1"/>
  <c r="AL31" i="1"/>
  <c r="AL26" i="1"/>
  <c r="AL29" i="1"/>
  <c r="AL27" i="1"/>
  <c r="AL23" i="1"/>
  <c r="AG1" i="6"/>
  <c r="AF17" i="6"/>
  <c r="U6" i="6"/>
  <c r="AM39" i="1"/>
  <c r="AM25" i="1"/>
  <c r="AM11" i="1"/>
  <c r="AM35" i="1"/>
  <c r="AM13" i="1"/>
  <c r="AM19" i="1"/>
  <c r="AM38" i="1"/>
  <c r="AM22" i="1"/>
  <c r="AN2" i="1"/>
  <c r="AM36" i="1"/>
  <c r="AM10" i="1"/>
  <c r="AM33" i="1"/>
  <c r="AM8" i="1"/>
  <c r="AM27" i="1"/>
  <c r="AM16" i="1"/>
  <c r="AM24" i="1"/>
  <c r="AM45" i="1"/>
  <c r="AM23" i="1"/>
  <c r="AM42" i="1"/>
  <c r="AM9" i="1"/>
  <c r="AM37" i="1"/>
  <c r="AM7" i="1"/>
  <c r="AM32" i="1"/>
  <c r="AM5" i="1"/>
  <c r="AM31" i="1"/>
  <c r="AM29" i="1"/>
  <c r="AM28" i="1"/>
  <c r="AM20" i="1"/>
  <c r="AM6" i="1"/>
  <c r="AM3" i="1"/>
  <c r="AM26" i="1"/>
  <c r="AM4" i="1"/>
  <c r="AM44" i="1"/>
  <c r="AM43" i="1"/>
  <c r="AM14" i="1"/>
  <c r="AF5" i="6"/>
  <c r="AF11" i="6"/>
  <c r="AH1" i="6"/>
  <c r="AG5" i="6"/>
  <c r="AG9" i="6"/>
  <c r="AG11" i="6"/>
  <c r="AF9" i="6"/>
  <c r="V6" i="6"/>
  <c r="AN39" i="1"/>
  <c r="AN25" i="1"/>
  <c r="AN13" i="1"/>
  <c r="AN31" i="1"/>
  <c r="AN11" i="1"/>
  <c r="AN29" i="1"/>
  <c r="AN7" i="1"/>
  <c r="AN45" i="1"/>
  <c r="AN27" i="1"/>
  <c r="AN8" i="1"/>
  <c r="AN44" i="1"/>
  <c r="AN26" i="1"/>
  <c r="AO2" i="1"/>
  <c r="AN23" i="1"/>
  <c r="AN43" i="1"/>
  <c r="AN20" i="1"/>
  <c r="AN42" i="1"/>
  <c r="AN19" i="1"/>
  <c r="AN22" i="1"/>
  <c r="AN16" i="1"/>
  <c r="AN14" i="1"/>
  <c r="AN9" i="1"/>
  <c r="AN37" i="1"/>
  <c r="AN38" i="1"/>
  <c r="AN5" i="1"/>
  <c r="AN10" i="1"/>
  <c r="AN36" i="1"/>
  <c r="AN3" i="1"/>
  <c r="AN6" i="1"/>
  <c r="AN32" i="1"/>
  <c r="AN28" i="1"/>
  <c r="AN4" i="1"/>
  <c r="AN35" i="1"/>
  <c r="AN33" i="1"/>
  <c r="AN24" i="1"/>
  <c r="AI1" i="6"/>
  <c r="AH9" i="6"/>
  <c r="AH17" i="6"/>
  <c r="AH11" i="6"/>
  <c r="AH5" i="6"/>
  <c r="AG17" i="6"/>
  <c r="W6" i="6"/>
  <c r="AO39" i="1"/>
  <c r="AO44" i="1"/>
  <c r="AO27" i="1"/>
  <c r="AO4" i="1"/>
  <c r="AO38" i="1"/>
  <c r="AO28" i="1"/>
  <c r="AO7" i="1"/>
  <c r="AO36" i="1"/>
  <c r="AO26" i="1"/>
  <c r="AO11" i="1"/>
  <c r="AO35" i="1"/>
  <c r="AO20" i="1"/>
  <c r="AO14" i="1"/>
  <c r="AO31" i="1"/>
  <c r="AO43" i="1"/>
  <c r="AO13" i="1"/>
  <c r="AO42" i="1"/>
  <c r="AO10" i="1"/>
  <c r="AO29" i="1"/>
  <c r="AO19" i="1"/>
  <c r="AO16" i="1"/>
  <c r="AO22" i="1"/>
  <c r="AP2" i="1"/>
  <c r="AO25" i="1"/>
  <c r="AO23" i="1"/>
  <c r="AO6" i="1"/>
  <c r="AO3" i="1"/>
  <c r="AO24" i="1"/>
  <c r="AO8" i="1"/>
  <c r="AO45" i="1"/>
  <c r="AO37" i="1"/>
  <c r="AO5" i="1"/>
  <c r="AO33" i="1"/>
  <c r="AO32" i="1"/>
  <c r="AO9" i="1"/>
  <c r="AJ1" i="6"/>
  <c r="AI9" i="6"/>
  <c r="AI17" i="6"/>
  <c r="AI11" i="6"/>
  <c r="AI5" i="6"/>
  <c r="X6" i="6"/>
  <c r="AK1" i="6"/>
  <c r="AJ9" i="6"/>
  <c r="AP43" i="1"/>
  <c r="AP13" i="1"/>
  <c r="AP24" i="1"/>
  <c r="AP35" i="1"/>
  <c r="AP5" i="1"/>
  <c r="AP3" i="1"/>
  <c r="AP32" i="1"/>
  <c r="AP31" i="1"/>
  <c r="AP29" i="1"/>
  <c r="AP28" i="1"/>
  <c r="AP45" i="1"/>
  <c r="AP9" i="1"/>
  <c r="AP20" i="1"/>
  <c r="AP42" i="1"/>
  <c r="AP7" i="1"/>
  <c r="AP39" i="1"/>
  <c r="AP6" i="1"/>
  <c r="AP4" i="1"/>
  <c r="AP26" i="1"/>
  <c r="AP44" i="1"/>
  <c r="AP22" i="1"/>
  <c r="AP27" i="1"/>
  <c r="AP38" i="1"/>
  <c r="AP19" i="1"/>
  <c r="AP37" i="1"/>
  <c r="AP25" i="1"/>
  <c r="AP33" i="1"/>
  <c r="AQ2" i="1"/>
  <c r="AP36" i="1"/>
  <c r="AP23" i="1"/>
  <c r="AP16" i="1"/>
  <c r="AP14" i="1"/>
  <c r="AP11" i="1"/>
  <c r="AP10" i="1"/>
  <c r="AP8" i="1"/>
  <c r="Y6" i="6"/>
  <c r="AL1" i="6"/>
  <c r="AK9" i="6"/>
  <c r="AJ5" i="6"/>
  <c r="AQ42" i="1"/>
  <c r="AQ26" i="1"/>
  <c r="AQ16" i="1"/>
  <c r="AQ32" i="1"/>
  <c r="AQ20" i="1"/>
  <c r="AQ45" i="1"/>
  <c r="AQ28" i="1"/>
  <c r="AQ13" i="1"/>
  <c r="AQ44" i="1"/>
  <c r="AQ24" i="1"/>
  <c r="AQ10" i="1"/>
  <c r="AQ19" i="1"/>
  <c r="AQ5" i="1"/>
  <c r="AQ38" i="1"/>
  <c r="AQ25" i="1"/>
  <c r="AQ36" i="1"/>
  <c r="AQ23" i="1"/>
  <c r="AQ39" i="1"/>
  <c r="AQ37" i="1"/>
  <c r="AQ35" i="1"/>
  <c r="AQ8" i="1"/>
  <c r="AQ31" i="1"/>
  <c r="AQ3" i="1"/>
  <c r="AQ22" i="1"/>
  <c r="AQ6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9" i="1"/>
  <c r="AQ33" i="1"/>
  <c r="AQ11" i="1"/>
  <c r="AQ27" i="1"/>
  <c r="AQ4" i="1"/>
  <c r="AQ7" i="1"/>
  <c r="AQ43" i="1"/>
  <c r="AQ14" i="1"/>
  <c r="AQ29" i="1"/>
  <c r="AJ11" i="6"/>
  <c r="AJ17" i="6"/>
  <c r="Z6" i="6"/>
  <c r="AK5" i="6"/>
  <c r="AK11" i="6"/>
  <c r="AK17" i="6"/>
  <c r="AM1" i="6"/>
  <c r="AL9" i="6"/>
  <c r="AL17" i="6"/>
  <c r="AL11" i="6"/>
  <c r="AL5" i="6"/>
  <c r="AA6" i="6"/>
  <c r="AN1" i="6"/>
  <c r="AM9" i="6"/>
  <c r="AM17" i="6"/>
  <c r="AM11" i="6"/>
  <c r="AB6" i="6"/>
  <c r="AO1" i="6"/>
  <c r="AN9" i="6"/>
  <c r="AN11" i="6"/>
  <c r="AM5" i="6"/>
  <c r="AC6" i="6"/>
  <c r="AN17" i="6"/>
  <c r="AP1" i="6"/>
  <c r="AO17" i="6"/>
  <c r="AN5" i="6"/>
  <c r="AD6" i="6"/>
  <c r="AO5" i="6"/>
  <c r="AQ1" i="6"/>
  <c r="AP11" i="6"/>
  <c r="AO9" i="6"/>
  <c r="AO11" i="6"/>
  <c r="AE6" i="6"/>
  <c r="AR1" i="6"/>
  <c r="AQ11" i="6"/>
  <c r="AQ9" i="6"/>
  <c r="AQ17" i="6"/>
  <c r="AQ5" i="6"/>
  <c r="AP5" i="6"/>
  <c r="AP17" i="6"/>
  <c r="AP9" i="6"/>
  <c r="AF6" i="6"/>
  <c r="AS1" i="6"/>
  <c r="AR9" i="6"/>
  <c r="AR17" i="6"/>
  <c r="AR11" i="6"/>
  <c r="AR5" i="6"/>
  <c r="AG6" i="6"/>
  <c r="AT1" i="6"/>
  <c r="AS5" i="6"/>
  <c r="AH6" i="6"/>
  <c r="AU1" i="6"/>
  <c r="AT9" i="6"/>
  <c r="AS11" i="6"/>
  <c r="AS17" i="6"/>
  <c r="AS9" i="6"/>
  <c r="AI6" i="6"/>
  <c r="AT17" i="6"/>
  <c r="AT5" i="6"/>
  <c r="AT11" i="6"/>
  <c r="AV1" i="6"/>
  <c r="AU9" i="6"/>
  <c r="AU17" i="6"/>
  <c r="AU11" i="6"/>
  <c r="AJ6" i="6"/>
  <c r="AW1" i="6"/>
  <c r="AV17" i="6"/>
  <c r="AV11" i="6"/>
  <c r="AV5" i="6"/>
  <c r="AU5" i="6"/>
  <c r="AK6" i="6"/>
  <c r="AX1" i="6"/>
  <c r="AW9" i="6"/>
  <c r="AW17" i="6"/>
  <c r="AW11" i="6"/>
  <c r="AW5" i="6"/>
  <c r="AV9" i="6"/>
  <c r="AL6" i="6"/>
  <c r="AY1" i="6"/>
  <c r="AX9" i="6"/>
  <c r="AX17" i="6"/>
  <c r="AM6" i="6"/>
  <c r="AZ1" i="6"/>
  <c r="AY9" i="6"/>
  <c r="AY17" i="6"/>
  <c r="AY11" i="6"/>
  <c r="AY5" i="6"/>
  <c r="AX5" i="6"/>
  <c r="AX11" i="6"/>
  <c r="AN6" i="6"/>
  <c r="BA1" i="6"/>
  <c r="AZ9" i="6"/>
  <c r="AZ17" i="6"/>
  <c r="AZ11" i="6"/>
  <c r="AZ5" i="6"/>
  <c r="AO6" i="6"/>
  <c r="BB1" i="6"/>
  <c r="BA9" i="6"/>
  <c r="BA17" i="6"/>
  <c r="BA11" i="6"/>
  <c r="BA5" i="6"/>
  <c r="AP6" i="6"/>
  <c r="BC1" i="6"/>
  <c r="AQ6" i="6"/>
  <c r="BD1" i="6"/>
  <c r="BC17" i="6"/>
  <c r="BB9" i="6"/>
  <c r="BB5" i="6"/>
  <c r="BB11" i="6"/>
  <c r="BB17" i="6"/>
  <c r="AR6" i="6"/>
  <c r="BC9" i="6"/>
  <c r="BC5" i="6"/>
  <c r="BC11" i="6"/>
  <c r="BE1" i="6"/>
  <c r="BD9" i="6"/>
  <c r="AS6" i="6"/>
  <c r="BD5" i="6"/>
  <c r="BD11" i="6"/>
  <c r="BD17" i="6"/>
  <c r="BF1" i="6"/>
  <c r="BE17" i="6"/>
  <c r="BE9" i="6"/>
  <c r="BE11" i="6"/>
  <c r="BE5" i="6"/>
  <c r="AT6" i="6"/>
  <c r="BG1" i="6"/>
  <c r="BF17" i="6"/>
  <c r="BF11" i="6"/>
  <c r="AU6" i="6"/>
  <c r="BH1" i="6"/>
  <c r="BG9" i="6"/>
  <c r="BG17" i="6"/>
  <c r="BG11" i="6"/>
  <c r="BG5" i="6"/>
  <c r="BF9" i="6"/>
  <c r="BF5" i="6"/>
  <c r="AV6" i="6"/>
  <c r="BI1" i="6"/>
  <c r="BH17" i="6"/>
  <c r="BH11" i="6"/>
  <c r="BH5" i="6"/>
  <c r="AW6" i="6"/>
  <c r="BJ1" i="6"/>
  <c r="BI9" i="6"/>
  <c r="BI17" i="6"/>
  <c r="BI11" i="6"/>
  <c r="BI5" i="6"/>
  <c r="BH9" i="6"/>
  <c r="AX6" i="6"/>
  <c r="BK1" i="6"/>
  <c r="BJ9" i="6"/>
  <c r="BJ17" i="6"/>
  <c r="BJ11" i="6"/>
  <c r="BJ5" i="6"/>
  <c r="AY6" i="6"/>
  <c r="BL1" i="6"/>
  <c r="AZ6" i="6"/>
  <c r="BM1" i="6"/>
  <c r="BL17" i="6"/>
  <c r="BL11" i="6"/>
  <c r="BL5" i="6"/>
  <c r="BK5" i="6"/>
  <c r="BK11" i="6"/>
  <c r="BK17" i="6"/>
  <c r="BK9" i="6"/>
  <c r="BA6" i="6"/>
  <c r="BN1" i="6"/>
  <c r="BM17" i="6"/>
  <c r="BL9" i="6"/>
  <c r="BB6" i="6"/>
  <c r="BM5" i="6"/>
  <c r="BO1" i="6"/>
  <c r="BN9" i="6"/>
  <c r="BN17" i="6"/>
  <c r="BM9" i="6"/>
  <c r="BM11" i="6"/>
  <c r="BC6" i="6"/>
  <c r="BP1" i="6"/>
  <c r="BO17" i="6"/>
  <c r="BO11" i="6"/>
  <c r="BO5" i="6"/>
  <c r="BN5" i="6"/>
  <c r="BN11" i="6"/>
  <c r="BD6" i="6"/>
  <c r="BQ1" i="6"/>
  <c r="BP17" i="6"/>
  <c r="BP9" i="6"/>
  <c r="BO9" i="6"/>
  <c r="BE6" i="6"/>
  <c r="BP5" i="6"/>
  <c r="BP11" i="6"/>
  <c r="BR1" i="6"/>
  <c r="BQ9" i="6"/>
  <c r="BQ17" i="6"/>
  <c r="BQ11" i="6"/>
  <c r="BQ5" i="6"/>
  <c r="BF6" i="6"/>
  <c r="BS1" i="6"/>
  <c r="BR9" i="6"/>
  <c r="BR17" i="6"/>
  <c r="BR11" i="6"/>
  <c r="BR5" i="6"/>
  <c r="BG6" i="6"/>
  <c r="BT1" i="6"/>
  <c r="BS17" i="6"/>
  <c r="BH6" i="6"/>
  <c r="BT9" i="6"/>
  <c r="BU1" i="6"/>
  <c r="BT5" i="6"/>
  <c r="BT17" i="6"/>
  <c r="BT11" i="6"/>
  <c r="BS9" i="6"/>
  <c r="BS5" i="6"/>
  <c r="BS11" i="6"/>
  <c r="BI6" i="6"/>
  <c r="BV1" i="6"/>
  <c r="BU9" i="6"/>
  <c r="BU17" i="6"/>
  <c r="BJ6" i="6"/>
  <c r="BW1" i="6"/>
  <c r="BV5" i="6"/>
  <c r="BU5" i="6"/>
  <c r="BU11" i="6"/>
  <c r="BK6" i="6"/>
  <c r="BV11" i="6"/>
  <c r="BV17" i="6"/>
  <c r="BX1" i="6"/>
  <c r="BW17" i="6"/>
  <c r="BW11" i="6"/>
  <c r="BW5" i="6"/>
  <c r="BL6" i="6"/>
  <c r="BY1" i="6"/>
  <c r="BX9" i="6"/>
  <c r="BX17" i="6"/>
  <c r="BX11" i="6"/>
  <c r="BW9" i="6"/>
  <c r="BM6" i="6"/>
  <c r="BZ1" i="6"/>
  <c r="BY9" i="6"/>
  <c r="BY17" i="6"/>
  <c r="BY11" i="6"/>
  <c r="BX5" i="6"/>
  <c r="BN6" i="6"/>
  <c r="BY5" i="6"/>
  <c r="CA1" i="6"/>
  <c r="BZ17" i="6"/>
  <c r="BZ5" i="6"/>
  <c r="BO6" i="6"/>
  <c r="BZ11" i="6"/>
  <c r="CB1" i="6"/>
  <c r="CA17" i="6"/>
  <c r="CA9" i="6"/>
  <c r="CA5" i="6"/>
  <c r="BZ9" i="6"/>
  <c r="BP6" i="6"/>
  <c r="CA11" i="6"/>
  <c r="CC1" i="6"/>
  <c r="CB17" i="6"/>
  <c r="CB11" i="6"/>
  <c r="CB5" i="6"/>
  <c r="BQ6" i="6"/>
  <c r="CD1" i="6"/>
  <c r="CC17" i="6"/>
  <c r="CC9" i="6"/>
  <c r="CB9" i="6"/>
  <c r="BR6" i="6"/>
  <c r="CC5" i="6"/>
  <c r="CC11" i="6"/>
  <c r="CE1" i="6"/>
  <c r="CD9" i="6"/>
  <c r="CD17" i="6"/>
  <c r="CD11" i="6"/>
  <c r="CD5" i="6"/>
  <c r="BS6" i="6"/>
  <c r="CF1" i="6"/>
  <c r="CE9" i="6"/>
  <c r="CE17" i="6"/>
  <c r="CE11" i="6"/>
  <c r="BT6" i="6"/>
  <c r="CG1" i="6"/>
  <c r="CF17" i="6"/>
  <c r="CF11" i="6"/>
  <c r="CE5" i="6"/>
  <c r="BU6" i="6"/>
  <c r="CH1" i="6"/>
  <c r="CG9" i="6"/>
  <c r="CG17" i="6"/>
  <c r="CG11" i="6"/>
  <c r="CG5" i="6"/>
  <c r="CF5" i="6"/>
  <c r="CF9" i="6"/>
  <c r="BV6" i="6"/>
  <c r="CI1" i="6"/>
  <c r="CH11" i="6"/>
  <c r="CH17" i="6"/>
  <c r="BW6" i="6"/>
  <c r="CH5" i="6"/>
  <c r="CJ1" i="6"/>
  <c r="CI9" i="6"/>
  <c r="CI17" i="6"/>
  <c r="CH9" i="6"/>
  <c r="BX6" i="6"/>
  <c r="CK1" i="6"/>
  <c r="CJ9" i="6"/>
  <c r="CJ17" i="6"/>
  <c r="CJ11" i="6"/>
  <c r="CJ5" i="6"/>
  <c r="CI5" i="6"/>
  <c r="CI11" i="6"/>
  <c r="BY6" i="6"/>
  <c r="CL1" i="6"/>
  <c r="CK9" i="6"/>
  <c r="CK17" i="6"/>
  <c r="CK11" i="6"/>
  <c r="CK5" i="6"/>
  <c r="BZ6" i="6"/>
  <c r="CM1" i="6"/>
  <c r="CL9" i="6"/>
  <c r="CL17" i="6"/>
  <c r="CL11" i="6"/>
  <c r="CL5" i="6"/>
  <c r="CA6" i="6"/>
  <c r="CN1" i="6"/>
  <c r="CM9" i="6"/>
  <c r="CM17" i="6"/>
  <c r="CM11" i="6"/>
  <c r="CM5" i="6"/>
  <c r="CB6" i="6"/>
  <c r="CO1" i="6"/>
  <c r="CN9" i="6"/>
  <c r="CN17" i="6"/>
  <c r="CC6" i="6"/>
  <c r="CP1" i="6"/>
  <c r="CO17" i="6"/>
  <c r="CO11" i="6"/>
  <c r="CN5" i="6"/>
  <c r="CN11" i="6"/>
  <c r="CD6" i="6"/>
  <c r="CP9" i="6"/>
  <c r="CP17" i="6"/>
  <c r="CP11" i="6"/>
  <c r="CP5" i="6"/>
  <c r="CO9" i="6"/>
  <c r="CO5" i="6"/>
  <c r="CE6" i="6"/>
  <c r="D5" i="6"/>
  <c r="CF6" i="6"/>
  <c r="CG6" i="6"/>
  <c r="CH6" i="6"/>
  <c r="CI6" i="6"/>
  <c r="CJ6" i="6"/>
  <c r="CK6" i="6"/>
  <c r="CL6" i="6"/>
  <c r="CM6" i="6"/>
  <c r="CN6" i="6"/>
  <c r="CO6" i="6"/>
  <c r="CP6" i="6"/>
  <c r="C17" i="6" l="1"/>
  <c r="F18" i="6"/>
  <c r="AH3" i="6"/>
  <c r="AN3" i="6"/>
  <c r="AW3" i="6"/>
  <c r="BE3" i="6"/>
  <c r="CD3" i="6"/>
  <c r="BO3" i="6"/>
  <c r="BS3" i="6"/>
  <c r="G3" i="6"/>
  <c r="W3" i="6"/>
  <c r="N3" i="6"/>
  <c r="CA3" i="6"/>
  <c r="M3" i="6"/>
  <c r="AF3" i="6"/>
  <c r="AT3" i="6"/>
  <c r="CG3" i="6"/>
  <c r="BH3" i="6"/>
  <c r="CJ3" i="6"/>
  <c r="AZ3" i="6"/>
  <c r="BP3" i="6"/>
  <c r="CM3" i="6"/>
  <c r="BQ3" i="6"/>
  <c r="CH3" i="6"/>
  <c r="CN3" i="6"/>
  <c r="L3" i="6"/>
  <c r="U3" i="6"/>
  <c r="AG3" i="6"/>
  <c r="AL3" i="6"/>
  <c r="CF3" i="6"/>
  <c r="T3" i="6"/>
  <c r="BF3" i="6"/>
  <c r="AI3" i="6"/>
  <c r="AJ3" i="6"/>
  <c r="BX3" i="6"/>
  <c r="CC3" i="6"/>
  <c r="BY3" i="6"/>
  <c r="AA3" i="6"/>
  <c r="BL3" i="6"/>
  <c r="CI3" i="6"/>
  <c r="CP3" i="6"/>
  <c r="BT3" i="6"/>
  <c r="V3" i="6"/>
  <c r="CB3" i="6"/>
  <c r="BK3" i="6"/>
  <c r="AP3" i="6"/>
  <c r="BB3" i="6"/>
  <c r="AD3" i="6"/>
  <c r="AR3" i="6"/>
  <c r="AU3" i="6"/>
  <c r="BC3" i="6"/>
  <c r="BW3" i="6"/>
  <c r="BA3" i="6"/>
  <c r="S3" i="6"/>
  <c r="R3" i="6"/>
  <c r="CL3" i="6"/>
  <c r="BU3" i="6"/>
  <c r="O3" i="6"/>
  <c r="AE3" i="6"/>
  <c r="AV3" i="6"/>
  <c r="AM3" i="6"/>
  <c r="AC3" i="6"/>
  <c r="BI3" i="6"/>
  <c r="CO3" i="6"/>
  <c r="F3" i="6"/>
  <c r="F4" i="6" s="1"/>
  <c r="F7" i="6" s="1"/>
  <c r="P3" i="6"/>
  <c r="AS3" i="6"/>
  <c r="BZ3" i="6"/>
  <c r="BM3" i="6"/>
  <c r="BR3" i="6"/>
  <c r="AO3" i="6"/>
  <c r="H3" i="6"/>
  <c r="Q3" i="6"/>
  <c r="Y3" i="6"/>
  <c r="BN3" i="6"/>
  <c r="CK3" i="6"/>
  <c r="J3" i="6"/>
  <c r="X3" i="6"/>
  <c r="AB3" i="6"/>
  <c r="AX3" i="6"/>
  <c r="K3" i="6"/>
  <c r="Z3" i="6"/>
  <c r="AY3" i="6"/>
  <c r="BD3" i="6"/>
  <c r="BG3" i="6"/>
  <c r="AQ3" i="6"/>
  <c r="CE3" i="6"/>
  <c r="I3" i="6"/>
  <c r="AK3" i="6"/>
  <c r="BJ3" i="6"/>
  <c r="BV9" i="6"/>
  <c r="D9" i="6" s="1"/>
  <c r="J10" i="6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3" i="6"/>
  <c r="F30" i="5"/>
  <c r="J5" i="3"/>
  <c r="L23" i="3"/>
  <c r="L5" i="3" s="1"/>
  <c r="N23" i="3"/>
  <c r="N5" i="3" s="1"/>
  <c r="F12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G4" i="6"/>
  <c r="D3" i="6"/>
  <c r="BV10" i="6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F4" i="5"/>
  <c r="C9" i="6" s="1"/>
  <c r="F56" i="5"/>
  <c r="H4" i="6"/>
  <c r="G7" i="6"/>
  <c r="F5" i="5"/>
  <c r="H25" i="3"/>
  <c r="F14" i="6"/>
  <c r="G12" i="6"/>
  <c r="J25" i="3"/>
  <c r="D18" i="6" l="1"/>
  <c r="C18" i="6" s="1"/>
  <c r="H7" i="6"/>
  <c r="I4" i="6"/>
  <c r="F53" i="5"/>
  <c r="F54" i="5"/>
  <c r="F52" i="5"/>
  <c r="F50" i="5"/>
  <c r="F51" i="5"/>
  <c r="G14" i="6"/>
  <c r="H12" i="6"/>
  <c r="F6" i="5"/>
  <c r="F7" i="5" s="1"/>
  <c r="C11" i="6"/>
  <c r="F55" i="5" l="1"/>
  <c r="I7" i="6"/>
  <c r="J4" i="6"/>
  <c r="H14" i="6"/>
  <c r="I12" i="6"/>
  <c r="J7" i="6" l="1"/>
  <c r="K4" i="6"/>
  <c r="I14" i="6"/>
  <c r="J12" i="6"/>
  <c r="L4" i="6" l="1"/>
  <c r="K7" i="6"/>
  <c r="K12" i="6"/>
  <c r="J14" i="6"/>
  <c r="L7" i="6" l="1"/>
  <c r="M4" i="6"/>
  <c r="K14" i="6"/>
  <c r="L12" i="6"/>
  <c r="M7" i="6" l="1"/>
  <c r="N4" i="6"/>
  <c r="M12" i="6"/>
  <c r="L14" i="6"/>
  <c r="N7" i="6" l="1"/>
  <c r="O4" i="6"/>
  <c r="M14" i="6"/>
  <c r="N12" i="6"/>
  <c r="O7" i="6" l="1"/>
  <c r="P4" i="6"/>
  <c r="O12" i="6"/>
  <c r="N14" i="6"/>
  <c r="Q4" i="6" l="1"/>
  <c r="P7" i="6"/>
  <c r="O14" i="6"/>
  <c r="P12" i="6"/>
  <c r="Q7" i="6" l="1"/>
  <c r="R4" i="6"/>
  <c r="P14" i="6"/>
  <c r="Q12" i="6"/>
  <c r="S4" i="6" l="1"/>
  <c r="R7" i="6"/>
  <c r="R12" i="6"/>
  <c r="Q14" i="6"/>
  <c r="T4" i="6" l="1"/>
  <c r="S7" i="6"/>
  <c r="S12" i="6"/>
  <c r="R14" i="6"/>
  <c r="T7" i="6" l="1"/>
  <c r="U4" i="6"/>
  <c r="S14" i="6"/>
  <c r="T12" i="6"/>
  <c r="V4" i="6" l="1"/>
  <c r="U7" i="6"/>
  <c r="T14" i="6"/>
  <c r="U12" i="6"/>
  <c r="V7" i="6" l="1"/>
  <c r="W4" i="6"/>
  <c r="U14" i="6"/>
  <c r="V12" i="6"/>
  <c r="X4" i="6" l="1"/>
  <c r="W7" i="6"/>
  <c r="W12" i="6"/>
  <c r="V14" i="6"/>
  <c r="X7" i="6" l="1"/>
  <c r="Y4" i="6"/>
  <c r="X12" i="6"/>
  <c r="W14" i="6"/>
  <c r="Y7" i="6" l="1"/>
  <c r="Z4" i="6"/>
  <c r="X14" i="6"/>
  <c r="Y12" i="6"/>
  <c r="AA4" i="6" l="1"/>
  <c r="Z7" i="6"/>
  <c r="Z12" i="6"/>
  <c r="Y14" i="6"/>
  <c r="AA7" i="6" l="1"/>
  <c r="AB4" i="6"/>
  <c r="Z14" i="6"/>
  <c r="AA12" i="6"/>
  <c r="AB7" i="6" l="1"/>
  <c r="AC4" i="6"/>
  <c r="AA14" i="6"/>
  <c r="AB12" i="6"/>
  <c r="AC7" i="6" l="1"/>
  <c r="AD4" i="6"/>
  <c r="AB14" i="6"/>
  <c r="AC12" i="6"/>
  <c r="AD7" i="6" l="1"/>
  <c r="AE4" i="6"/>
  <c r="AD12" i="6"/>
  <c r="AC14" i="6"/>
  <c r="AF4" i="6" l="1"/>
  <c r="AE7" i="6"/>
  <c r="AD14" i="6"/>
  <c r="AE12" i="6"/>
  <c r="AF7" i="6" l="1"/>
  <c r="AG4" i="6"/>
  <c r="AE14" i="6"/>
  <c r="AF12" i="6"/>
  <c r="AH4" i="6" l="1"/>
  <c r="AG7" i="6"/>
  <c r="AF14" i="6"/>
  <c r="AG12" i="6"/>
  <c r="AI4" i="6" l="1"/>
  <c r="AH7" i="6"/>
  <c r="AH12" i="6"/>
  <c r="AG14" i="6"/>
  <c r="AJ4" i="6" l="1"/>
  <c r="AI7" i="6"/>
  <c r="AH14" i="6"/>
  <c r="AI12" i="6"/>
  <c r="AK4" i="6" l="1"/>
  <c r="AJ7" i="6"/>
  <c r="AI14" i="6"/>
  <c r="AJ12" i="6"/>
  <c r="AK7" i="6" l="1"/>
  <c r="AL4" i="6"/>
  <c r="AK12" i="6"/>
  <c r="AJ14" i="6"/>
  <c r="AM4" i="6" l="1"/>
  <c r="AL7" i="6"/>
  <c r="AL12" i="6"/>
  <c r="AK14" i="6"/>
  <c r="AM7" i="6" l="1"/>
  <c r="AN4" i="6"/>
  <c r="AL14" i="6"/>
  <c r="AM12" i="6"/>
  <c r="AO4" i="6" l="1"/>
  <c r="AN7" i="6"/>
  <c r="AN12" i="6"/>
  <c r="AM14" i="6"/>
  <c r="AO7" i="6" l="1"/>
  <c r="AP4" i="6"/>
  <c r="AO12" i="6"/>
  <c r="AN14" i="6"/>
  <c r="AP7" i="6" l="1"/>
  <c r="AQ4" i="6"/>
  <c r="AO14" i="6"/>
  <c r="AP12" i="6"/>
  <c r="AR4" i="6" l="1"/>
  <c r="AQ7" i="6"/>
  <c r="AQ12" i="6"/>
  <c r="AP14" i="6"/>
  <c r="AR7" i="6" l="1"/>
  <c r="AS4" i="6"/>
  <c r="AR12" i="6"/>
  <c r="AQ14" i="6"/>
  <c r="AS7" i="6" l="1"/>
  <c r="AT4" i="6"/>
  <c r="AR14" i="6"/>
  <c r="AS12" i="6"/>
  <c r="AU4" i="6" l="1"/>
  <c r="AT7" i="6"/>
  <c r="AT12" i="6"/>
  <c r="AS14" i="6"/>
  <c r="AU7" i="6" l="1"/>
  <c r="AV4" i="6"/>
  <c r="AT14" i="6"/>
  <c r="AU12" i="6"/>
  <c r="AW4" i="6" l="1"/>
  <c r="AV7" i="6"/>
  <c r="AV12" i="6"/>
  <c r="AU14" i="6"/>
  <c r="AW7" i="6" l="1"/>
  <c r="AX4" i="6"/>
  <c r="AV14" i="6"/>
  <c r="AW12" i="6"/>
  <c r="AY4" i="6" l="1"/>
  <c r="AX7" i="6"/>
  <c r="AX12" i="6"/>
  <c r="AW14" i="6"/>
  <c r="AZ4" i="6" l="1"/>
  <c r="AY7" i="6"/>
  <c r="AX14" i="6"/>
  <c r="AY12" i="6"/>
  <c r="AZ7" i="6" l="1"/>
  <c r="BA4" i="6"/>
  <c r="AZ12" i="6"/>
  <c r="AY14" i="6"/>
  <c r="BA7" i="6" l="1"/>
  <c r="BB4" i="6"/>
  <c r="BA12" i="6"/>
  <c r="AZ14" i="6"/>
  <c r="BC4" i="6" l="1"/>
  <c r="BB7" i="6"/>
  <c r="BB12" i="6"/>
  <c r="BA14" i="6"/>
  <c r="BC7" i="6" l="1"/>
  <c r="BD4" i="6"/>
  <c r="BB14" i="6"/>
  <c r="BC12" i="6"/>
  <c r="BD7" i="6" l="1"/>
  <c r="BE4" i="6"/>
  <c r="BC14" i="6"/>
  <c r="BD12" i="6"/>
  <c r="BE7" i="6" l="1"/>
  <c r="BF4" i="6"/>
  <c r="BE12" i="6"/>
  <c r="BD14" i="6"/>
  <c r="BG4" i="6" l="1"/>
  <c r="BF7" i="6"/>
  <c r="BE14" i="6"/>
  <c r="BF12" i="6"/>
  <c r="BH4" i="6" l="1"/>
  <c r="BG7" i="6"/>
  <c r="BG12" i="6"/>
  <c r="BF14" i="6"/>
  <c r="BH7" i="6" l="1"/>
  <c r="BI4" i="6"/>
  <c r="BH12" i="6"/>
  <c r="BG14" i="6"/>
  <c r="BJ4" i="6" l="1"/>
  <c r="BI7" i="6"/>
  <c r="BI12" i="6"/>
  <c r="BH14" i="6"/>
  <c r="BK4" i="6" l="1"/>
  <c r="BJ7" i="6"/>
  <c r="BJ12" i="6"/>
  <c r="BI14" i="6"/>
  <c r="BK7" i="6" l="1"/>
  <c r="BL4" i="6"/>
  <c r="BK12" i="6"/>
  <c r="BJ14" i="6"/>
  <c r="BL7" i="6" l="1"/>
  <c r="BM4" i="6"/>
  <c r="BL12" i="6"/>
  <c r="BK14" i="6"/>
  <c r="BM7" i="6" l="1"/>
  <c r="BN4" i="6"/>
  <c r="BM12" i="6"/>
  <c r="BL14" i="6"/>
  <c r="BO4" i="6" l="1"/>
  <c r="BN7" i="6"/>
  <c r="BM14" i="6"/>
  <c r="BN12" i="6"/>
  <c r="BO7" i="6" l="1"/>
  <c r="BP4" i="6"/>
  <c r="BO12" i="6"/>
  <c r="BN14" i="6"/>
  <c r="BP7" i="6" l="1"/>
  <c r="BQ4" i="6"/>
  <c r="BO14" i="6"/>
  <c r="BP12" i="6"/>
  <c r="BQ7" i="6" l="1"/>
  <c r="BR4" i="6"/>
  <c r="BQ12" i="6"/>
  <c r="BP14" i="6"/>
  <c r="BS4" i="6" l="1"/>
  <c r="BR7" i="6"/>
  <c r="BQ14" i="6"/>
  <c r="BR12" i="6"/>
  <c r="BS7" i="6" l="1"/>
  <c r="BT4" i="6"/>
  <c r="BS12" i="6"/>
  <c r="BR14" i="6"/>
  <c r="BT7" i="6" l="1"/>
  <c r="BU4" i="6"/>
  <c r="BT12" i="6"/>
  <c r="BS14" i="6"/>
  <c r="BV4" i="6" l="1"/>
  <c r="BU7" i="6"/>
  <c r="BU12" i="6"/>
  <c r="BT14" i="6"/>
  <c r="BW4" i="6" l="1"/>
  <c r="BV7" i="6"/>
  <c r="BV12" i="6"/>
  <c r="BU14" i="6"/>
  <c r="BW7" i="6" l="1"/>
  <c r="BX4" i="6"/>
  <c r="BW12" i="6"/>
  <c r="BV14" i="6"/>
  <c r="BY4" i="6" l="1"/>
  <c r="BX7" i="6"/>
  <c r="BX12" i="6"/>
  <c r="BW14" i="6"/>
  <c r="BY7" i="6" l="1"/>
  <c r="BZ4" i="6"/>
  <c r="BY12" i="6"/>
  <c r="BX14" i="6"/>
  <c r="CA4" i="6" l="1"/>
  <c r="BZ7" i="6"/>
  <c r="BY14" i="6"/>
  <c r="BZ12" i="6"/>
  <c r="CB4" i="6" l="1"/>
  <c r="CA7" i="6"/>
  <c r="CA12" i="6"/>
  <c r="BZ14" i="6"/>
  <c r="CC4" i="6" l="1"/>
  <c r="CB7" i="6"/>
  <c r="CB12" i="6"/>
  <c r="CA14" i="6"/>
  <c r="CD4" i="6" l="1"/>
  <c r="CC7" i="6"/>
  <c r="CB14" i="6"/>
  <c r="CC12" i="6"/>
  <c r="CE4" i="6" l="1"/>
  <c r="CD7" i="6"/>
  <c r="CD12" i="6"/>
  <c r="CC14" i="6"/>
  <c r="CE7" i="6" l="1"/>
  <c r="CF4" i="6"/>
  <c r="CE12" i="6"/>
  <c r="CD14" i="6"/>
  <c r="CF7" i="6" l="1"/>
  <c r="CG4" i="6"/>
  <c r="CF12" i="6"/>
  <c r="CE14" i="6"/>
  <c r="CG7" i="6" l="1"/>
  <c r="CH4" i="6"/>
  <c r="CG12" i="6"/>
  <c r="CF14" i="6"/>
  <c r="CH7" i="6" l="1"/>
  <c r="CI4" i="6"/>
  <c r="CH12" i="6"/>
  <c r="CG14" i="6"/>
  <c r="CI7" i="6" l="1"/>
  <c r="CJ4" i="6"/>
  <c r="CH14" i="6"/>
  <c r="CI12" i="6"/>
  <c r="CK4" i="6" l="1"/>
  <c r="CJ7" i="6"/>
  <c r="CJ12" i="6"/>
  <c r="CI14" i="6"/>
  <c r="CL4" i="6" l="1"/>
  <c r="CK7" i="6"/>
  <c r="CK12" i="6"/>
  <c r="CJ14" i="6"/>
  <c r="CM4" i="6" l="1"/>
  <c r="CL7" i="6"/>
  <c r="CK14" i="6"/>
  <c r="CL12" i="6"/>
  <c r="CM7" i="6" l="1"/>
  <c r="CN4" i="6"/>
  <c r="CL14" i="6"/>
  <c r="CM12" i="6"/>
  <c r="CN7" i="6" l="1"/>
  <c r="CO4" i="6"/>
  <c r="CN12" i="6"/>
  <c r="CM14" i="6"/>
  <c r="CO7" i="6" l="1"/>
  <c r="CP4" i="6"/>
  <c r="CP7" i="6" s="1"/>
  <c r="CO12" i="6"/>
  <c r="CN14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tc={0F301398-C97B-4E91-8B1A-33DFE9F49D41}</author>
  </authors>
  <commentList>
    <comment ref="P25" authorId="0" shapeId="0" xr:uid="{0F301398-C97B-4E91-8B1A-33DFE9F49D41}">
      <text>
        <t>[Threaded comment]
Your version of Excel allows you to read this threaded comment; however, any edits to it will get removed if the file is opened in a newer version of Excel. Learn more: https://go.microsoft.com/fwlink/?linkid=870924
Comment:
    @Johannes Potgieter was this received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tc={08943962-51D1-4FB2-BAE2-83BA4694061F}</author>
    <author>tc={8F532836-670F-426D-8A6A-488D5B4B9078}</author>
    <author>tc={51F7E1F9-5563-472A-9C94-F2698D7D33AA}</author>
    <author>tc={4EDC8D79-46C8-4C9D-8959-77CD7EC6042D}</author>
  </authors>
  <commentList>
    <comment ref="Y55" authorId="0" shapeId="0" xr:uid="{08943962-51D1-4FB2-BAE2-83BA469406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this must be captured under Mega Park, this specific one is not for Trident Steel GP.  </t>
      </text>
    </comment>
    <comment ref="W95" authorId="1" shapeId="0" xr:uid="{8F532836-670F-426D-8A6A-488D5B4B907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8" authorId="2" shapeId="0" xr:uid="{51F7E1F9-5563-472A-9C94-F2698D7D33A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9" authorId="3" shapeId="0" xr:uid="{4EDC8D79-46C8-4C9D-8959-77CD7EC6042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<sst xmlns="http://schemas.openxmlformats.org/spreadsheetml/2006/main" count="1099" uniqueCount="692">
  <si>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</si>
  <si>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</si>
  <si>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</si>
  <si>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</si>
  <si>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</si>
  <si>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</si>
  <si>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</si>
  <si>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</si>
  <si>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</si>
  <si>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</si>
  <si>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</si>
  <si>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</si>
  <si>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</si>
  <si>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</si>
  <si>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</si>
  <si>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</si>
  <si>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</si>
  <si>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</si>
  <si>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</si>
  <si>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</si>
  <si>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</si>
  <si>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</si>
  <si>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</si>
  <si>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</si>
  <si>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</si>
  <si>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</si>
  <si>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</si>
  <si>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</si>
  <si>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</si>
  <si>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</si>
  <si>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</si>
  <si>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</si>
  <si>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</si>
  <si>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</si>
  <si>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</si>
  <si>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</si>
  <si>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</si>
  <si>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</si>
  <si>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</si>
  <si>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</si>
  <si>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</si>
  <si>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</si>
  <si>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</si>
  <si>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</si>
  <si>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</si>
  <si>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</si>
  <si>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</si>
  <si>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</si>
  <si>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</si>
  <si>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</si>
  <si>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</si>
  <si>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</si>
  <si>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</si>
  <si>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</si>
  <si>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</si>
  <si>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</si>
  <si>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</si>
  <si>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</si>
  <si>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</si>
  <si>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</si>
  <si>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</si>
  <si>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</si>
  <si>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</si>
  <si>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</si>
  <si>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</si>
  <si>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</si>
  <si>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</si>
  <si>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</si>
  <si>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</si>
  <si>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</si>
  <si>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</si>
  <si>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</si>
  <si>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</si>
  <si>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</si>
  <si>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</si>
  <si>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</si>
  <si>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</si>
  <si>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</si>
  <si>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</si>
  <si>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</si>
  <si>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</si>
  <si>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</si>
  <si>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</si>
  <si>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</si>
  <si>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</si>
  <si>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</si>
  <si>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</si>
  <si>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</si>
  <si>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</si>
  <si>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</si>
  <si>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</si>
  <si>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</si>
  <si>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</si>
  <si>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</si>
  <si>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</si>
  <si>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</si>
  <si>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</si>
  <si>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</si>
  <si>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</si>
  <si>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</si>
  <si>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</si>
  <si>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Trident Steel GP</t>
  </si>
  <si>
    <t>PROJECT SIZE (kWp)</t>
  </si>
  <si>
    <t>PROJECT DEVELOPER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</si>
  <si>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</si>
  <si>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</si>
  <si>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</si>
  <si>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</si>
  <si>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</si>
  <si>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</si>
  <si>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</si>
  <si>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</si>
  <si>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</si>
  <si>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</si>
  <si>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</si>
  <si>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</si>
  <si>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</si>
  <si>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</si>
  <si>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</si>
  <si>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</si>
  <si>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</si>
  <si>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</si>
  <si>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</si>
  <si>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</si>
  <si>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</si>
  <si>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</si>
  <si>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</si>
  <si>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</si>
  <si>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TSS - Roof Assessment</t>
  </si>
  <si>
    <t>2.2</t>
  </si>
  <si>
    <t>CPD1 - Roof Assessment</t>
  </si>
  <si>
    <t>Roof Replacement - Paul</t>
  </si>
  <si>
    <t>3.1</t>
  </si>
  <si>
    <t>Activity Start Date</t>
  </si>
  <si>
    <t>3.2</t>
  </si>
  <si>
    <t>First Phase</t>
  </si>
  <si>
    <t>3.3</t>
  </si>
  <si>
    <t>Second Phase</t>
  </si>
  <si>
    <t>AC Installation</t>
  </si>
  <si>
    <t>4.1</t>
  </si>
  <si>
    <t>Inverters delivered - TSS &amp; CPD</t>
  </si>
  <si>
    <t>4.2</t>
  </si>
  <si>
    <t>Steel Structure - TSS</t>
  </si>
  <si>
    <t>4.3</t>
  </si>
  <si>
    <t>Steel Structure - CPD</t>
  </si>
  <si>
    <t>4.4</t>
  </si>
  <si>
    <t>Mounting Inverters - TSS</t>
  </si>
  <si>
    <t>4.5</t>
  </si>
  <si>
    <t>Mounting Inverters - CPD1</t>
  </si>
  <si>
    <t>4.6</t>
  </si>
  <si>
    <t>Mounting Cable Trays - TSS</t>
  </si>
  <si>
    <t>4.7</t>
  </si>
  <si>
    <t>Mounting Cable Trays - CPD</t>
  </si>
  <si>
    <t>4.8</t>
  </si>
  <si>
    <t>Solar DB Lead Time - TSS &amp; CPD</t>
  </si>
  <si>
    <t>4.9</t>
  </si>
  <si>
    <t>Installing Solar DB - TSS</t>
  </si>
  <si>
    <t>4.10</t>
  </si>
  <si>
    <t>Installing Solar DB - CPD</t>
  </si>
  <si>
    <t>4.11</t>
  </si>
  <si>
    <t>AC Cabling (DB to Inverter) - TSS</t>
  </si>
  <si>
    <t>4.12</t>
  </si>
  <si>
    <t>AC Cabling (DB to Inverter) - CPD</t>
  </si>
  <si>
    <t>4.13</t>
  </si>
  <si>
    <t>AC Cabling (DB to Tie In) - TSS</t>
  </si>
  <si>
    <t>4.14</t>
  </si>
  <si>
    <t>AC Cabling (DB to Tie In) - CPD</t>
  </si>
  <si>
    <t>4.15</t>
  </si>
  <si>
    <t>Tie In Breaker Installation - TSS</t>
  </si>
  <si>
    <t>4.16</t>
  </si>
  <si>
    <t>Tie In Breaker Installation - CPD</t>
  </si>
  <si>
    <t>4.17</t>
  </si>
  <si>
    <t>AC Commissioning - TSS</t>
  </si>
  <si>
    <t>4.18</t>
  </si>
  <si>
    <t>AC Commissioning - CPD</t>
  </si>
  <si>
    <t>DC Works - TSS</t>
  </si>
  <si>
    <t>5.1</t>
  </si>
  <si>
    <t>Mounting Structure Delivered</t>
  </si>
  <si>
    <t>Optimiser Delivery early Dec</t>
  </si>
  <si>
    <t>5.2</t>
  </si>
  <si>
    <t>DC Cable Delivered</t>
  </si>
  <si>
    <t>5.3</t>
  </si>
  <si>
    <t>TSS - Module Delivery</t>
  </si>
  <si>
    <t>5.4</t>
  </si>
  <si>
    <t>TSS - Mounting Structure installation</t>
  </si>
  <si>
    <t>5.5</t>
  </si>
  <si>
    <t>TSS - Module Lifting</t>
  </si>
  <si>
    <t>5.6</t>
  </si>
  <si>
    <t>TSS - Module Mounting</t>
  </si>
  <si>
    <t>1400 on 11 Mar of 1400</t>
  </si>
  <si>
    <t>DC Works - CPD1</t>
  </si>
  <si>
    <t>6.1</t>
  </si>
  <si>
    <t>6.2</t>
  </si>
  <si>
    <t>6.3</t>
  </si>
  <si>
    <t>CPD1 - Module Delivery</t>
  </si>
  <si>
    <t>6.4</t>
  </si>
  <si>
    <t>CPD1 - Mounting Structure installation</t>
  </si>
  <si>
    <t>6.5</t>
  </si>
  <si>
    <t>CPD1 - Module Lifting</t>
  </si>
  <si>
    <t>6.6</t>
  </si>
  <si>
    <t>CPD1 - Module Mounting</t>
  </si>
  <si>
    <t>1483 on 17 Mar of 1800</t>
  </si>
  <si>
    <t>Extras</t>
  </si>
  <si>
    <t>7.1</t>
  </si>
  <si>
    <t>TSS - Fixed Anchor Point &amp; Lifeline Approvals</t>
  </si>
  <si>
    <t>7.2</t>
  </si>
  <si>
    <t>TSS - Fixed Anchor Point &amp; Lifeline Installation</t>
  </si>
  <si>
    <t>Awaiting Mauro to feedback, contact he said he'll advise tomorrow latest - 03/07/25</t>
  </si>
  <si>
    <t>7.3</t>
  </si>
  <si>
    <t>TSS - Fixed Anchor Point &amp; Lifeline Sign Off</t>
  </si>
  <si>
    <t>7.4</t>
  </si>
  <si>
    <t>CPD1 - Fixed Anchor Point &amp; Lifeline Approvals</t>
  </si>
  <si>
    <t>7.5</t>
  </si>
  <si>
    <t>CPD1 - Fixed Anchor Point &amp; Lifeline Installation</t>
  </si>
  <si>
    <t>7.6</t>
  </si>
  <si>
    <t>CPD1 - Fixed Anchor Point &amp; Lifeline Sign Off</t>
  </si>
  <si>
    <t>7.7</t>
  </si>
  <si>
    <t>TSS - Walkway Installation</t>
  </si>
  <si>
    <t>Pending sign off, works completed.</t>
  </si>
  <si>
    <t>7.8</t>
  </si>
  <si>
    <t>CPD1 - Walkway Installation</t>
  </si>
  <si>
    <t>7.9</t>
  </si>
  <si>
    <t>TSS - Waterpoint Installation</t>
  </si>
  <si>
    <t xml:space="preserve">Awaiting LOG for the Subby to submit for approval then commence works </t>
  </si>
  <si>
    <t>7.10</t>
  </si>
  <si>
    <t>CPD1 - Waterpoint Installation</t>
  </si>
  <si>
    <t>7.11</t>
  </si>
  <si>
    <t>MV Metering</t>
  </si>
  <si>
    <t>Commissioning</t>
  </si>
  <si>
    <t>8.1</t>
  </si>
  <si>
    <t>TSS - Practical Completion</t>
  </si>
  <si>
    <t>8.2</t>
  </si>
  <si>
    <t>TSS - Commissioning</t>
  </si>
  <si>
    <t>8.3</t>
  </si>
  <si>
    <t>CPD1 - Commissioning</t>
  </si>
  <si>
    <t>8.4</t>
  </si>
  <si>
    <t>CPD1 - Practical Completion</t>
  </si>
  <si>
    <t>QA Inspections</t>
  </si>
  <si>
    <t>9.1</t>
  </si>
  <si>
    <t>TSS - Red-Team Inspection &amp; Snag Completion</t>
  </si>
  <si>
    <t>9.2</t>
  </si>
  <si>
    <t>CPD1 - Red-Team Inspection &amp; Snag Completion</t>
  </si>
  <si>
    <t>Project Closure</t>
  </si>
  <si>
    <t>10.1</t>
  </si>
  <si>
    <t>Equipment serial numbers</t>
  </si>
  <si>
    <t>10.2</t>
  </si>
  <si>
    <t>Client Snag completion</t>
  </si>
  <si>
    <t>10.3</t>
  </si>
  <si>
    <t>System Performance Monitoring</t>
  </si>
  <si>
    <t>10.4</t>
  </si>
  <si>
    <t>Handover documentation</t>
  </si>
  <si>
    <t>10.5</t>
  </si>
  <si>
    <t>Handover to Client</t>
  </si>
  <si>
    <t>10.6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</si>
  <si>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</si>
  <si>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</si>
  <si>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</si>
  <si>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</si>
  <si>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</si>
  <si>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</si>
  <si>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</si>
  <si>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</si>
  <si>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</si>
  <si>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</si>
  <si>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</si>
  <si>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</si>
  <si>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</si>
  <si>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 TSS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</si>
  <si>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</si>
  <si>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</si>
  <si>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</si>
  <si>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</si>
  <si>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</si>
  <si>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</si>
  <si>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</si>
  <si>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</si>
  <si>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004644</t>
  </si>
  <si>
    <t>Delivery of Inverters</t>
  </si>
  <si>
    <t>004648</t>
  </si>
  <si>
    <t>Receipt of solar panels on site</t>
  </si>
  <si>
    <t>Delivery of Panels</t>
  </si>
  <si>
    <t>004657</t>
  </si>
  <si>
    <t>Receipt of inverters of site</t>
  </si>
  <si>
    <t>Practical Completion</t>
  </si>
  <si>
    <t>004697</t>
  </si>
  <si>
    <t>All provisional test successfully finalised</t>
  </si>
  <si>
    <t>Handover Partial</t>
  </si>
  <si>
    <t>All documentation provided</t>
  </si>
  <si>
    <t>-</t>
  </si>
  <si>
    <t>PAYMENT MILESTONE CDP</t>
  </si>
  <si>
    <t>004631</t>
  </si>
  <si>
    <t>004649</t>
  </si>
  <si>
    <t>004658</t>
  </si>
  <si>
    <t>004696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</si>
  <si>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</si>
  <si>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</si>
  <si>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</si>
  <si>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</si>
  <si>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</si>
  <si>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</si>
  <si>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</si>
  <si>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</si>
  <si>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</si>
  <si>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PAYMENT MILESTONE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</si>
  <si>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</si>
  <si>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</si>
  <si>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</si>
  <si>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</si>
  <si>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</si>
  <si>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</si>
  <si>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</si>
  <si>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</si>
  <si>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</si>
  <si>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</si>
  <si>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</si>
  <si>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</si>
  <si>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</si>
  <si>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</si>
  <si>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</si>
  <si>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</si>
  <si>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</si>
  <si>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</si>
  <si>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</si>
  <si>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</si>
  <si>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</si>
  <si>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</si>
  <si>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</si>
  <si>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</si>
  <si>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</si>
  <si>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</si>
  <si>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</si>
  <si>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</si>
  <si>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</si>
  <si>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</si>
  <si>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</si>
  <si>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</si>
  <si>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</si>
  <si>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</si>
  <si>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</si>
  <si>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</si>
  <si>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</si>
  <si>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</si>
  <si>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</si>
  <si>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</si>
  <si>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</si>
  <si>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</si>
  <si>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</si>
  <si>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</si>
  <si>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</si>
  <si>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</si>
  <si>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</si>
  <si>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</si>
  <si>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</si>
  <si>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</si>
  <si>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</si>
  <si>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</si>
  <si>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</si>
  <si>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</si>
  <si>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Jinko 580W</t>
  </si>
  <si>
    <t>1. Panels</t>
  </si>
  <si>
    <t>Jinko 585W - TSS (1400)</t>
  </si>
  <si>
    <t>Menlo Inv IN0002290</t>
  </si>
  <si>
    <t>Menlo quote</t>
  </si>
  <si>
    <t>Jinko 585W - CPD1 (1804)</t>
  </si>
  <si>
    <t>Menlo Inv IN0002363</t>
  </si>
  <si>
    <t>BUDGET - Solar</t>
  </si>
  <si>
    <t>Installer Allocation</t>
  </si>
  <si>
    <t>Module delivery to site</t>
  </si>
  <si>
    <t>AC Equipment</t>
  </si>
  <si>
    <t>DC Equipment</t>
  </si>
  <si>
    <t xml:space="preserve">Storage </t>
  </si>
  <si>
    <t>Supply Chain - Inv SCO05052</t>
  </si>
  <si>
    <t xml:space="preserve">TC: Added cost </t>
  </si>
  <si>
    <t>AC Labour</t>
  </si>
  <si>
    <t>Supply Chain - SCO05164</t>
  </si>
  <si>
    <t>DC Labour</t>
  </si>
  <si>
    <t>Offloading</t>
  </si>
  <si>
    <t>Inverters</t>
  </si>
  <si>
    <t>SolarEdge 100kW</t>
  </si>
  <si>
    <t>2. Inverters</t>
  </si>
  <si>
    <t>PO3553-TSD-20250121 - RV Approved</t>
  </si>
  <si>
    <t>HERHOLDT'S - INV995250</t>
  </si>
  <si>
    <t>Herholdts quote</t>
  </si>
  <si>
    <t>Roof Access/Scaffolding</t>
  </si>
  <si>
    <t>Solar Edge Synergy unit</t>
  </si>
  <si>
    <t>S1200 Optimiser - TSS</t>
  </si>
  <si>
    <t>PO3554-TSD-20250121</t>
  </si>
  <si>
    <t>HERHOLDT'S - INV987265</t>
  </si>
  <si>
    <t>Storage</t>
  </si>
  <si>
    <t>S1200 Optimiser</t>
  </si>
  <si>
    <t>S1200 Optimiser - CPD1</t>
  </si>
  <si>
    <t>Delivery early Dec Herholdts quote</t>
  </si>
  <si>
    <t>Telehandler</t>
  </si>
  <si>
    <t>Spare Optimizer 1200W/80V</t>
  </si>
  <si>
    <t>PO4193-TSG-20250804 - RV Approved</t>
  </si>
  <si>
    <t>Herholdts - INV1113245</t>
  </si>
  <si>
    <t>Other</t>
  </si>
  <si>
    <t>Mounting Structures</t>
  </si>
  <si>
    <t>IBR Roof</t>
  </si>
  <si>
    <t>3. Mounting Structures</t>
  </si>
  <si>
    <t>PO3465-TRID-20241115 - RV Approved</t>
  </si>
  <si>
    <t>SCHLETTER - INV1261</t>
  </si>
  <si>
    <t>Less 15%</t>
  </si>
  <si>
    <t>[SM: Target Installation Price]</t>
  </si>
  <si>
    <t>Delivery</t>
  </si>
  <si>
    <t>R/Wp</t>
  </si>
  <si>
    <t>MS Top Up - Trunking Incl - Schletter</t>
  </si>
  <si>
    <t>PO3774-TSG-20250328 - RV Approved</t>
  </si>
  <si>
    <t>Schletter - INV1643</t>
  </si>
  <si>
    <t>Installer Price</t>
  </si>
  <si>
    <t xml:space="preserve">DC Cable </t>
  </si>
  <si>
    <t>4. DC Equipment</t>
  </si>
  <si>
    <t>DC Cable Budget</t>
  </si>
  <si>
    <t>DC Cable Tray</t>
  </si>
  <si>
    <t>Deposit - TSS</t>
  </si>
  <si>
    <t>PO3527-TSG-20241212</t>
  </si>
  <si>
    <t>Cosmic Sun CS_TRS_001</t>
  </si>
  <si>
    <t>All AC &amp; DC Equipment Onsite</t>
  </si>
  <si>
    <t>Cosmic Sun CS_TRS_003</t>
  </si>
  <si>
    <t>Pracitcal Completion - TSS</t>
  </si>
  <si>
    <t>Site Fully Commissioned - TSS</t>
  </si>
  <si>
    <t>Trenching</t>
  </si>
  <si>
    <t>Earth Cable</t>
  </si>
  <si>
    <t>Retention</t>
  </si>
  <si>
    <t>Cosmic Sun CS_TRS_013</t>
  </si>
  <si>
    <t>CPD1</t>
  </si>
  <si>
    <t>Deposit - CPD1</t>
  </si>
  <si>
    <t>Cosmic Sun CS_TRS_010</t>
  </si>
  <si>
    <t>Site Fully Commissioned</t>
  </si>
  <si>
    <t>Earth clamp</t>
  </si>
  <si>
    <t>Cosmic Sun CS_TRS_012</t>
  </si>
  <si>
    <t>Monitoring</t>
  </si>
  <si>
    <t>SolarEdge Gateway</t>
  </si>
  <si>
    <t>5. Monitoring</t>
  </si>
  <si>
    <t>SolarEdge Energy Meter</t>
  </si>
  <si>
    <t>Comms DB</t>
  </si>
  <si>
    <t>CTs &amp; Router: TSS &amp; CPD - AccuEnergy</t>
  </si>
  <si>
    <t>PO3565-TSG-20250127 - RV Approved</t>
  </si>
  <si>
    <t>Accuenergy - Inv ASAI-004650</t>
  </si>
  <si>
    <t>Fibre run</t>
  </si>
  <si>
    <t xml:space="preserve">Revenue Grade Meter - Techsitter </t>
  </si>
  <si>
    <t>Matriarch INV-3710</t>
  </si>
  <si>
    <t>Generator Integration SEDG</t>
  </si>
  <si>
    <t>Fibre - Volkirk Deposit</t>
  </si>
  <si>
    <t>PO3696-TSG-20250226 - RV Approved</t>
  </si>
  <si>
    <t>Volkirk Fibre INV0001116</t>
  </si>
  <si>
    <t>Fibre - Volkirk - Balance</t>
  </si>
  <si>
    <t>Volkirk Fibre - INV0001138</t>
  </si>
  <si>
    <t>Janitza UMG 604 pro (MV Metering)</t>
  </si>
  <si>
    <t>Solar Edge PPC-DG</t>
  </si>
  <si>
    <t>24V PSU</t>
  </si>
  <si>
    <t>PO3648-TSG-20250211 - RV Approved</t>
  </si>
  <si>
    <t>Accuenergy - Inv ASAI-004783</t>
  </si>
  <si>
    <t>Janitza UMG 604 (moved from Trident PE)</t>
  </si>
  <si>
    <t>Harmonius Technical Inv: INV21620</t>
  </si>
  <si>
    <t>Shipping of Janitza</t>
  </si>
  <si>
    <t>DSV Inv: 180121124</t>
  </si>
  <si>
    <t>Janitza UMG 604 - Harmonious</t>
  </si>
  <si>
    <t>PO3738-TSG-20250312 - RV Approved</t>
  </si>
  <si>
    <t>Harmonius Technical QU100577</t>
  </si>
  <si>
    <t>Delivery of Janitza</t>
  </si>
  <si>
    <t>DSV Inv:  180121124</t>
  </si>
  <si>
    <t>Fibre - Volkirk : Main Sub - Deposit</t>
  </si>
  <si>
    <t>PO3752-TSG-20250317 - RV Approved</t>
  </si>
  <si>
    <t>Volkirk Properties INV0001127</t>
  </si>
  <si>
    <t>Fibre - Volkirk : Main Sub - Balance</t>
  </si>
  <si>
    <t>Volkirk Properties INV0001139</t>
  </si>
  <si>
    <t>SE Hark EMS Package - Herholdts</t>
  </si>
  <si>
    <t>PO3952-TSG-20250523 - RV Approved</t>
  </si>
  <si>
    <t>Herholdts - INV1071481</t>
  </si>
  <si>
    <t>Commisioning - Solar Edge Hours</t>
  </si>
  <si>
    <t>PO3861-TSG-20250509 - RV Approved</t>
  </si>
  <si>
    <t>Herholdts - INV1058643</t>
  </si>
  <si>
    <t>Fiber - Gensets</t>
  </si>
  <si>
    <t>PO4074-TSG-20250630 - RV Approved</t>
  </si>
  <si>
    <t>VP Fibre - INV0001201</t>
  </si>
  <si>
    <t>Project Kick Off</t>
  </si>
  <si>
    <t>6. AC Equipment</t>
  </si>
  <si>
    <t>DB Board Fast Track Fee</t>
  </si>
  <si>
    <t>PO3612-TRID-20210131 - RV Approved</t>
  </si>
  <si>
    <t>CS_TRS_002</t>
  </si>
  <si>
    <t>VO - AC Cable : Cosmic Sun</t>
  </si>
  <si>
    <t>PO3675-TSG-20250219 - RV Approved</t>
  </si>
  <si>
    <t>Cosmic Sun CS_TRS_005</t>
  </si>
  <si>
    <t>AC Installation Complete</t>
  </si>
  <si>
    <t>Commissioning Complete</t>
  </si>
  <si>
    <t>Handover Document Complete</t>
  </si>
  <si>
    <t>End of Defects Period</t>
  </si>
  <si>
    <t>Battery Systems</t>
  </si>
  <si>
    <t xml:space="preserve">Product Add On </t>
  </si>
  <si>
    <t>Inverter cages (1 close to TSS transformer, 1 at CPD1)</t>
  </si>
  <si>
    <t xml:space="preserve">8. Product Add On </t>
  </si>
  <si>
    <t>RUT Power Supply - AccuEnergy</t>
  </si>
  <si>
    <t>PO3858-TSG-20250508</t>
  </si>
  <si>
    <t>ASAI - 005420</t>
  </si>
  <si>
    <t xml:space="preserve">Team lost power supply somehow. </t>
  </si>
  <si>
    <t>Permanent anchors and temporary/permanent lifelines</t>
  </si>
  <si>
    <t>Plug point Fibre and Comms at Sub - Cosmic Sun</t>
  </si>
  <si>
    <t>PO3939-TSG-20250520 - RV Approved</t>
  </si>
  <si>
    <t>Cosmic Sun: CS_TRS_011</t>
  </si>
  <si>
    <t>Walkways</t>
  </si>
  <si>
    <t>Permanent Anchor Points - ATS Africa</t>
  </si>
  <si>
    <t>PO3803-TSG-20250414 - RV Approved</t>
  </si>
  <si>
    <t>ATS AFRICA - INV-0386</t>
  </si>
  <si>
    <t>Water Points</t>
  </si>
  <si>
    <t>Walkways- Cosmic Sun = 120m</t>
  </si>
  <si>
    <t>PO3676-TSG-20250219 - RV Approved</t>
  </si>
  <si>
    <t>Cosmic Sun CS_TRS_006</t>
  </si>
  <si>
    <t>Cat Ladders</t>
  </si>
  <si>
    <t>Walkways - Onvlee</t>
  </si>
  <si>
    <t>PO3697-TSG-20250226 - RV Approved</t>
  </si>
  <si>
    <t>Onvlee PO-3697-TSG-20250226</t>
  </si>
  <si>
    <t>Must place order before 25 Nov, delivery must be set for 4 Dec - Cash payment</t>
  </si>
  <si>
    <t>Walkways Fastners</t>
  </si>
  <si>
    <t xml:space="preserve">Delivery </t>
  </si>
  <si>
    <t>Cat6 Cable - Cosmic Sun</t>
  </si>
  <si>
    <t>PO4086-TSG-20250702 - RV Approved</t>
  </si>
  <si>
    <t>Cosmic Sun CS_TRS_014</t>
  </si>
  <si>
    <t>Lifting &amp; Rigging</t>
  </si>
  <si>
    <t>Additional Courier</t>
  </si>
  <si>
    <t>PO3923-TSG-20250516 - RV Approved</t>
  </si>
  <si>
    <t>Supply Chain - INV SCO05026</t>
  </si>
  <si>
    <t>Temp Fence Transport &amp; Labour</t>
  </si>
  <si>
    <t>PO3552-TRID-20250121 - RV Approved</t>
  </si>
  <si>
    <t>Supply Chain Optimiser Inv SCO04728</t>
  </si>
  <si>
    <t>Waterpoints - Deposit</t>
  </si>
  <si>
    <t>PO3621-TSG-20250205 - RV Approved</t>
  </si>
  <si>
    <t>Plumbryt INV 3621-250314/01</t>
  </si>
  <si>
    <t>Waterpoints - Balance</t>
  </si>
  <si>
    <t>MV Shutdown</t>
  </si>
  <si>
    <t>VO - Inverter Stands, Fence works: Cosmic Sun</t>
  </si>
  <si>
    <t>PO3661-TSG-20250214 - RV Approved</t>
  </si>
  <si>
    <t>Cosmic Sun CS_TRS_004</t>
  </si>
  <si>
    <t>Cosmic Sun CS_TRS_007</t>
  </si>
  <si>
    <t>MV Metering - Malaysian Swittchgear</t>
  </si>
  <si>
    <t>PO3725-TSG-20250306 - RV Approved</t>
  </si>
  <si>
    <t>Malaysian Inv SJ-11558</t>
  </si>
  <si>
    <t>Domestic Transport</t>
  </si>
  <si>
    <t>PO3865-TSG-20250509 - RV Approved</t>
  </si>
  <si>
    <t>Supply Chain - INV SCO05008</t>
  </si>
  <si>
    <t>Walkways Mount Kits Top Up - Onvlee</t>
  </si>
  <si>
    <t>PO3914-TSG-20250515 - RV Approved</t>
  </si>
  <si>
    <t>Onvlee INV01050372</t>
  </si>
  <si>
    <t>Walkways Mount Kits Top Up Delivery - Onvlee</t>
  </si>
  <si>
    <t>Only services to be capture below, products above</t>
  </si>
  <si>
    <t>AC &amp; DC Installation</t>
  </si>
  <si>
    <t>9. AC &amp; DC installation</t>
  </si>
  <si>
    <t>Cosmic Sun CS_TRS_008</t>
  </si>
  <si>
    <t>Cosmic Sun CS_TRS_009</t>
  </si>
  <si>
    <t>Site Logistics</t>
  </si>
  <si>
    <t>10. Site Logistics</t>
  </si>
  <si>
    <t xml:space="preserve">Security - Jan </t>
  </si>
  <si>
    <t>PO3582-TSG-20250129 - RV Approved</t>
  </si>
  <si>
    <t>Infantry - INV-2558</t>
  </si>
  <si>
    <t>Security - April</t>
  </si>
  <si>
    <t>PO3810-TSG-20250416 - RV Approved</t>
  </si>
  <si>
    <t>Infantry - INV-2759</t>
  </si>
  <si>
    <t>Security - Feb</t>
  </si>
  <si>
    <t>PO3583-TSG-20250129 - RV Approved</t>
  </si>
  <si>
    <t>Infantry - INV-2559</t>
  </si>
  <si>
    <t>Security - Mar</t>
  </si>
  <si>
    <t>PO3710-TSG-20250303 - RV Approved</t>
  </si>
  <si>
    <t>Infantry - INV-2670</t>
  </si>
  <si>
    <t>Deposit -TSS</t>
  </si>
  <si>
    <t>Scaffolding</t>
  </si>
  <si>
    <t>On site security</t>
  </si>
  <si>
    <t>Due Dilligence</t>
  </si>
  <si>
    <t>Electrical PrEng sign off</t>
  </si>
  <si>
    <t>11. Due Dilligence</t>
  </si>
  <si>
    <t>Sunspot E024</t>
  </si>
  <si>
    <t>Travel to site</t>
  </si>
  <si>
    <t>Structural sign off</t>
  </si>
  <si>
    <t>L&amp;B Consulting Inv: 1617</t>
  </si>
  <si>
    <t>Grid Study - Outside of CoCT</t>
  </si>
  <si>
    <t>PO3689-TSG-20250220 - RV Approved</t>
  </si>
  <si>
    <t>Okusha Engineering Inv EE14</t>
  </si>
  <si>
    <t>Lightning Risk Assessment</t>
  </si>
  <si>
    <t>Lightning Risk Assessment - LPS</t>
  </si>
  <si>
    <t>PO3564-TSG-20250127 - RV Approved</t>
  </si>
  <si>
    <t>LPS INV 306601</t>
  </si>
  <si>
    <t>Red Team Inspection</t>
  </si>
  <si>
    <t>Matriarch - INV-4423</t>
  </si>
  <si>
    <t>BDP Commission</t>
  </si>
  <si>
    <t xml:space="preserve">Referral Fee </t>
  </si>
  <si>
    <t>Engineering</t>
  </si>
  <si>
    <t>Matriarch Defects Period</t>
  </si>
  <si>
    <t>13. Engineering</t>
  </si>
  <si>
    <t>Matriarch - INV-4422</t>
  </si>
  <si>
    <t>Management</t>
  </si>
  <si>
    <t>Matriarch -CN-4996</t>
  </si>
  <si>
    <t xml:space="preserve">Project manager </t>
  </si>
  <si>
    <t>MAM Performance Gaurantee</t>
  </si>
  <si>
    <t>Matriarch - INV-4997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</si>
  <si>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</si>
  <si>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</si>
  <si>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</si>
  <si>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</si>
  <si>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</si>
  <si>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</si>
  <si>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</si>
  <si>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</si>
  <si>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Gen Sync Fix - AfrikEnergy</t>
  </si>
  <si>
    <t>PO4081-TSG-20250701 - RV Approved</t>
  </si>
  <si>
    <t>AfrikEnergy - INV032882</t>
  </si>
  <si>
    <t>Plugs for switchgear - Cosmic Sun</t>
  </si>
  <si>
    <t>PO4140-TSG-20250721 - RV Approved</t>
  </si>
  <si>
    <t>Cosmic Sun CS_TRS_015</t>
  </si>
  <si>
    <t>Gen integration onsite support - AfrikEnergy</t>
  </si>
  <si>
    <t>PO4141-TSG-20250721 - RV Approved</t>
  </si>
  <si>
    <t>AfrikEnergy - INV032885</t>
  </si>
  <si>
    <t>SSEG Additional Tests - Cosmic Sun</t>
  </si>
  <si>
    <t>PO4584-TSG-20260127 - RV Approved</t>
  </si>
  <si>
    <t>Cosmic Sun: CS_TRS_999</t>
  </si>
  <si>
    <t>Roof repairs</t>
  </si>
  <si>
    <t>A&amp;I Sheeting - Inv 6502</t>
  </si>
  <si>
    <t>COC fdor Waterpoints - Plumbryt</t>
  </si>
  <si>
    <t>PO4245-TSG-20250820 - RV Approved</t>
  </si>
  <si>
    <t>Plumryt - 25/08/2025</t>
  </si>
  <si>
    <t>Plugs for switchgear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</si>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</sst>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[$-1C09]dd\ mmmm\ yyyy;@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6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5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6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166" fontId="13" fillId="11" borderId="89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0" fontId="5" fillId="11" borderId="79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5" fontId="6" fillId="13" borderId="29" xfId="3" applyNumberFormat="1" applyFont="1" applyFill="1" applyBorder="1" applyAlignment="1" applyProtection="1">
      <alignment horizontal="center"/>
      <protection locked="0"/>
    </xf>
    <xf numFmtId="165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66" fontId="6" fillId="10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15" fontId="21" fillId="7" borderId="0" xfId="0" applyNumberFormat="1" applyFont="1" applyFill="1" applyAlignment="1">
      <alignment horizontal="center" wrapText="1"/>
    </xf>
    <xf numFmtId="0" fontId="21" fillId="7" borderId="0" xfId="0" applyFont="1" applyFill="1" applyAlignment="1">
      <alignment horizontal="center" wrapText="1"/>
    </xf>
    <xf numFmtId="15" fontId="21" fillId="18" borderId="2" xfId="0" applyNumberFormat="1" applyFont="1" applyFill="1" applyBorder="1" applyAlignment="1">
      <alignment horizontal="center" wrapText="1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6" fillId="10" borderId="38" xfId="3" applyFont="1" applyFill="1" applyBorder="1" applyAlignment="1" applyProtection="1">
      <alignment horizontal="center"/>
      <protection locked="0"/>
    </xf>
    <xf numFmtId="167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5" fontId="29" fillId="0" borderId="27" xfId="0" applyNumberFormat="1" applyFont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5" fontId="53" fillId="0" borderId="27" xfId="0" applyNumberFormat="1" applyFont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6" fontId="0" fillId="2" borderId="0" xfId="3" applyFont="1" applyFill="1"/>
    <xf numFmtId="171" fontId="0" fillId="0" borderId="0" xfId="0" applyNumberFormat="1"/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0" fontId="5" fillId="6" borderId="2" xfId="0" applyFont="1" applyFill="1" applyBorder="1"/>
    <xf numFmtId="2" fontId="54" fillId="10" borderId="61" xfId="0" applyNumberFormat="1" applyFont="1" applyFill="1" applyBorder="1" applyAlignment="1" applyProtection="1">
      <alignment horizontal="center"/>
      <protection locked="0"/>
    </xf>
    <xf numFmtId="14" fontId="54" fillId="10" borderId="75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6" fontId="54" fillId="11" borderId="78" xfId="3" applyFont="1" applyFill="1" applyBorder="1" applyAlignment="1" applyProtection="1">
      <alignment horizontal="center"/>
      <protection locked="0"/>
    </xf>
    <xf numFmtId="166" fontId="54" fillId="11" borderId="77" xfId="3" applyFont="1" applyFill="1" applyBorder="1" applyAlignment="1" applyProtection="1">
      <alignment horizontal="center"/>
      <protection locked="0"/>
    </xf>
    <xf numFmtId="166" fontId="54" fillId="13" borderId="78" xfId="3" applyFont="1" applyFill="1" applyBorder="1" applyAlignment="1" applyProtection="1">
      <alignment horizontal="center"/>
      <protection locked="0"/>
    </xf>
    <xf numFmtId="166" fontId="54" fillId="10" borderId="78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23" fillId="13" borderId="72" xfId="0" applyNumberFormat="1" applyFont="1" applyFill="1" applyBorder="1" applyProtection="1">
      <protection locked="0"/>
    </xf>
    <xf numFmtId="14" fontId="23" fillId="13" borderId="75" xfId="0" applyNumberFormat="1" applyFont="1" applyFill="1" applyBorder="1" applyProtection="1">
      <protection locked="0"/>
    </xf>
    <xf numFmtId="0" fontId="5" fillId="13" borderId="93" xfId="0" applyFont="1" applyFill="1" applyBorder="1" applyProtection="1">
      <protection locked="0"/>
    </xf>
    <xf numFmtId="14" fontId="23" fillId="13" borderId="73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0" fontId="5" fillId="0" borderId="2" xfId="0" applyFont="1" applyBorder="1"/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5" fontId="31" fillId="0" borderId="27" xfId="0" applyNumberFormat="1" applyFont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2" fontId="54" fillId="10" borderId="59" xfId="0" applyNumberFormat="1" applyFont="1" applyFill="1" applyBorder="1" applyAlignment="1" applyProtection="1">
      <alignment horizontal="center"/>
      <protection locked="0"/>
    </xf>
    <xf numFmtId="14" fontId="54" fillId="10" borderId="73" xfId="0" applyNumberFormat="1" applyFont="1" applyFill="1" applyBorder="1" applyAlignment="1" applyProtection="1">
      <alignment horizontal="center"/>
      <protection locked="0"/>
    </xf>
    <xf numFmtId="166" fontId="54" fillId="13" borderId="77" xfId="3" applyFont="1" applyFill="1" applyBorder="1" applyAlignment="1" applyProtection="1">
      <alignment horizontal="center"/>
      <protection locked="0"/>
    </xf>
    <xf numFmtId="166" fontId="54" fillId="13" borderId="80" xfId="3" applyFont="1" applyFill="1" applyBorder="1" applyAlignment="1" applyProtection="1">
      <alignment horizontal="center"/>
      <protection locked="0"/>
    </xf>
    <xf numFmtId="166" fontId="54" fillId="11" borderId="87" xfId="3" applyFont="1" applyFill="1" applyBorder="1" applyAlignment="1" applyProtection="1">
      <alignment horizontal="center"/>
      <protection locked="0"/>
    </xf>
    <xf numFmtId="166" fontId="54" fillId="10" borderId="80" xfId="3" applyFont="1" applyFill="1" applyBorder="1" applyAlignment="1" applyProtection="1">
      <alignment horizontal="center"/>
      <protection locked="0"/>
    </xf>
    <xf numFmtId="166" fontId="54" fillId="10" borderId="77" xfId="3" applyFont="1" applyFill="1" applyBorder="1" applyAlignment="1" applyProtection="1">
      <alignment horizontal="center"/>
      <protection locked="0"/>
    </xf>
    <xf numFmtId="166" fontId="13" fillId="13" borderId="92" xfId="3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4" fillId="13" borderId="69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66" fontId="5" fillId="13" borderId="1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66" fontId="54" fillId="13" borderId="92" xfId="3" applyFont="1" applyFill="1" applyBorder="1" applyAlignment="1" applyProtection="1">
      <alignment horizontal="center"/>
      <protection locked="0"/>
    </xf>
    <xf numFmtId="166" fontId="54" fillId="11" borderId="83" xfId="3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6" fillId="13" borderId="1" xfId="0" applyFont="1" applyFill="1" applyBorder="1" applyProtection="1">
      <protection locked="0"/>
    </xf>
    <xf numFmtId="0" fontId="6" fillId="13" borderId="19" xfId="0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166" fontId="6" fillId="13" borderId="23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9" fontId="5" fillId="13" borderId="3" xfId="2" applyFont="1" applyFill="1" applyBorder="1" applyAlignment="1" applyProtection="1">
      <alignment horizontal="center"/>
      <protection locked="0"/>
    </xf>
    <xf numFmtId="9" fontId="5" fillId="13" borderId="2" xfId="2" applyFont="1" applyFill="1" applyBorder="1" applyAlignment="1" applyProtection="1">
      <alignment horizontal="center"/>
      <protection locked="0"/>
    </xf>
    <xf numFmtId="14" fontId="5" fillId="11" borderId="19" xfId="0" applyNumberFormat="1" applyFont="1" applyFill="1" applyBorder="1" applyAlignment="1" applyProtection="1">
      <alignment horizontal="center"/>
      <protection locked="0"/>
    </xf>
    <xf numFmtId="14" fontId="13" fillId="11" borderId="0" xfId="0" applyNumberFormat="1" applyFont="1" applyFill="1" applyAlignment="1" applyProtection="1">
      <alignment horizontal="center"/>
      <protection locked="0"/>
    </xf>
    <xf numFmtId="167" fontId="5" fillId="0" borderId="17" xfId="0" applyNumberFormat="1" applyFont="1" applyBorder="1" applyAlignment="1" applyProtection="1">
      <alignment horizontal="center"/>
      <protection locked="0"/>
    </xf>
    <xf numFmtId="167" fontId="5" fillId="11" borderId="69" xfId="0" applyNumberFormat="1" applyFont="1" applyFill="1" applyBorder="1" applyAlignment="1" applyProtection="1">
      <alignment horizontal="center"/>
      <protection locked="0"/>
    </xf>
    <xf numFmtId="167" fontId="5" fillId="0" borderId="94" xfId="0" applyNumberFormat="1" applyFont="1" applyBorder="1" applyAlignment="1" applyProtection="1">
      <alignment horizontal="center"/>
      <protection locked="0"/>
    </xf>
    <xf numFmtId="9" fontId="7" fillId="11" borderId="1" xfId="0" applyNumberFormat="1" applyFont="1" applyFill="1" applyBorder="1" applyProtection="1">
      <protection locked="0"/>
    </xf>
    <xf numFmtId="0" fontId="7" fillId="13" borderId="19" xfId="0" applyFont="1" applyFill="1" applyBorder="1" applyProtection="1">
      <protection locked="0"/>
    </xf>
    <xf numFmtId="9" fontId="6" fillId="13" borderId="2" xfId="2" applyFont="1" applyFill="1" applyBorder="1" applyAlignment="1" applyProtection="1">
      <alignment horizontal="center"/>
      <protection locked="0"/>
    </xf>
    <xf numFmtId="166" fontId="6" fillId="13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1" xfId="0" applyNumberFormat="1" applyFont="1" applyFill="1" applyBorder="1" applyAlignment="1" applyProtection="1">
      <alignment horizontal="center" vertical="center"/>
      <protection locked="0"/>
    </xf>
    <xf numFmtId="166" fontId="6" fillId="11" borderId="1" xfId="0" applyNumberFormat="1" applyFont="1" applyFill="1" applyBorder="1" applyAlignment="1" applyProtection="1">
      <alignment horizontal="center" vertic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69" fontId="6" fillId="13" borderId="2" xfId="0" applyNumberFormat="1" applyFont="1" applyFill="1" applyBorder="1" applyAlignment="1" applyProtection="1">
      <alignment horizontal="center" vertical="center"/>
      <protection locked="0"/>
    </xf>
    <xf numFmtId="14" fontId="13" fillId="13" borderId="77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4" fillId="13" borderId="64" xfId="0" applyNumberFormat="1" applyFont="1" applyFill="1" applyBorder="1" applyAlignment="1" applyProtection="1">
      <alignment horizontal="center"/>
      <protection locked="0"/>
    </xf>
    <xf numFmtId="14" fontId="54" fillId="13" borderId="68" xfId="0" applyNumberFormat="1" applyFont="1" applyFill="1" applyBorder="1" applyAlignment="1" applyProtection="1">
      <alignment horizontal="center"/>
      <protection locked="0"/>
    </xf>
    <xf numFmtId="2" fontId="54" fillId="10" borderId="81" xfId="0" applyNumberFormat="1" applyFont="1" applyFill="1" applyBorder="1" applyAlignment="1" applyProtection="1">
      <alignment horizontal="center"/>
      <protection locked="0"/>
    </xf>
    <xf numFmtId="14" fontId="54" fillId="10" borderId="76" xfId="0" applyNumberFormat="1" applyFont="1" applyFill="1" applyBorder="1" applyAlignment="1" applyProtection="1">
      <alignment horizontal="center"/>
      <protection locked="0"/>
    </xf>
    <xf numFmtId="166" fontId="54" fillId="11" borderId="88" xfId="3" applyFont="1" applyFill="1" applyBorder="1" applyAlignment="1" applyProtection="1">
      <alignment horizontal="center"/>
      <protection locked="0"/>
    </xf>
    <xf numFmtId="166" fontId="54" fillId="11" borderId="89" xfId="3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2" fontId="5" fillId="13" borderId="95" xfId="0" applyNumberFormat="1" applyFont="1" applyFill="1" applyBorder="1" applyAlignment="1" applyProtection="1">
      <alignment vertical="center"/>
      <protection locked="0"/>
    </xf>
    <xf numFmtId="14" fontId="5" fillId="13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Protection="1">
      <protection locked="0"/>
    </xf>
    <xf numFmtId="166" fontId="6" fillId="11" borderId="77" xfId="3" applyFont="1" applyFill="1" applyBorder="1" applyAlignment="1" applyProtection="1">
      <alignment horizontal="center"/>
      <protection locked="0"/>
    </xf>
    <xf numFmtId="166" fontId="6" fillId="11" borderId="79" xfId="3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66" fontId="6" fillId="13" borderId="78" xfId="3" applyFont="1" applyFill="1" applyBorder="1" applyAlignment="1" applyProtection="1">
      <alignment horizontal="center"/>
      <protection locked="0"/>
    </xf>
    <xf numFmtId="166" fontId="6" fillId="13" borderId="77" xfId="3" applyFont="1" applyFill="1" applyBorder="1" applyAlignment="1" applyProtection="1">
      <alignment horizontal="center"/>
      <protection locked="0"/>
    </xf>
    <xf numFmtId="166" fontId="6" fillId="13" borderId="92" xfId="3" applyFont="1" applyFill="1" applyBorder="1" applyAlignment="1" applyProtection="1">
      <alignment horizontal="center"/>
      <protection locked="0"/>
    </xf>
    <xf numFmtId="166" fontId="6" fillId="13" borderId="79" xfId="3" applyFont="1" applyFill="1" applyBorder="1" applyAlignment="1" applyProtection="1">
      <alignment horizontal="center"/>
      <protection locked="0"/>
    </xf>
    <xf numFmtId="166" fontId="6" fillId="10" borderId="80" xfId="3" applyFont="1" applyFill="1" applyBorder="1" applyAlignment="1" applyProtection="1">
      <alignment horizontal="center"/>
      <protection locked="0"/>
    </xf>
    <xf numFmtId="166" fontId="6" fillId="11" borderId="78" xfId="3" applyFont="1" applyFill="1" applyBorder="1" applyAlignment="1" applyProtection="1">
      <alignment horizontal="center"/>
      <protection locked="0"/>
    </xf>
    <xf numFmtId="166" fontId="6" fillId="11" borderId="80" xfId="3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6" fillId="11" borderId="39" xfId="0" applyNumberFormat="1" applyFont="1" applyFill="1" applyBorder="1" applyAlignment="1" applyProtection="1">
      <alignment horizontal="center"/>
      <protection locked="0"/>
    </xf>
    <xf numFmtId="14" fontId="6" fillId="11" borderId="73" xfId="0" applyNumberFormat="1" applyFont="1" applyFill="1" applyBorder="1" applyAlignment="1" applyProtection="1">
      <alignment horizontal="center"/>
      <protection locked="0"/>
    </xf>
    <xf numFmtId="166" fontId="6" fillId="10" borderId="77" xfId="3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66" fontId="5" fillId="11" borderId="89" xfId="3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166" fontId="5" fillId="10" borderId="80" xfId="3" applyFont="1" applyFill="1" applyBorder="1" applyAlignment="1" applyProtection="1">
      <alignment horizontal="center"/>
      <protection locked="0"/>
    </xf>
    <xf numFmtId="166" fontId="5" fillId="10" borderId="77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1" borderId="66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Alignment="1" applyProtection="1">
      <alignment horizontal="center"/>
      <protection locked="0"/>
    </xf>
    <xf numFmtId="167" fontId="5" fillId="6" borderId="1" xfId="0" applyNumberFormat="1" applyFont="1" applyFill="1" applyBorder="1" applyAlignment="1" applyProtection="1">
      <alignment horizontal="center"/>
      <protection locked="0"/>
    </xf>
    <xf numFmtId="167" fontId="13" fillId="11" borderId="92" xfId="0" applyNumberFormat="1" applyFont="1" applyFill="1" applyBorder="1" applyAlignment="1" applyProtection="1">
      <alignment horizontal="center"/>
      <protection locked="0"/>
    </xf>
    <xf numFmtId="0" fontId="21" fillId="13" borderId="47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Protection="1">
      <protection locked="0"/>
    </xf>
    <xf numFmtId="166" fontId="6" fillId="13" borderId="3" xfId="0" applyNumberFormat="1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23" fillId="13" borderId="76" xfId="0" applyNumberFormat="1" applyFont="1" applyFill="1" applyBorder="1" applyProtection="1"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13" fillId="11" borderId="1" xfId="0" applyFont="1" applyFill="1" applyBorder="1" applyAlignment="1" applyProtection="1">
      <alignment horizontal="center" vertical="center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66" fontId="6" fillId="11" borderId="92" xfId="3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4" fontId="6" fillId="10" borderId="20" xfId="0" applyNumberFormat="1" applyFont="1" applyFill="1" applyBorder="1" applyAlignment="1" applyProtection="1">
      <alignment horizontal="center"/>
      <protection locked="0"/>
    </xf>
    <xf numFmtId="2" fontId="6" fillId="11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72" fontId="31" fillId="0" borderId="2" xfId="0" applyNumberFormat="1" applyFont="1" applyBorder="1" applyAlignment="1" applyProtection="1">
      <alignment horizontal="center"/>
      <protection locked="0"/>
    </xf>
    <xf numFmtId="14" fontId="54" fillId="11" borderId="76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3" fillId="7" borderId="96" xfId="0" applyFont="1" applyFill="1" applyBorder="1" applyAlignment="1">
      <alignment horizontal="center"/>
    </xf>
    <xf numFmtId="0" fontId="3" fillId="7" borderId="97" xfId="0" applyFont="1" applyFill="1" applyBorder="1" applyAlignment="1">
      <alignment horizontal="center"/>
    </xf>
    <xf numFmtId="0" fontId="3" fillId="7" borderId="98" xfId="0" applyFont="1" applyFill="1" applyBorder="1" applyAlignment="1">
      <alignment horizontal="center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169" fontId="44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left"/>
      <protection locked="0"/>
    </xf>
    <xf numFmtId="0" fontId="5" fillId="11" borderId="80" xfId="0" applyFont="1" applyFill="1" applyBorder="1" applyAlignment="1" applyProtection="1">
      <alignment horizontal="left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- GP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'Project Plan'!$S$64:$S$73</c:f>
                <c:numCache>
                  <c:formatCode>General</c:formatCode>
                  <c:ptCount val="1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7780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Plan'!$I$11,'Project Plan'!$I$18,'Project Plan'!$I$22,'Project Plan'!$I$27,'Project Plan'!$I$47,'Project Plan'!$I$55,'Project Plan'!$I$63,'Project Plan'!$I$76,'Project Plan'!$I$82,'Project Plan'!$I$86)</c:f>
              <c:numCache>
                <c:formatCode>d\-mmm\-yy</c:formatCode>
                <c:ptCount val="10"/>
                <c:pt idx="0">
                  <c:v>45594</c:v>
                </c:pt>
                <c:pt idx="1">
                  <c:v>45663</c:v>
                </c:pt>
                <c:pt idx="2">
                  <c:v>45607</c:v>
                </c:pt>
                <c:pt idx="3">
                  <c:v>45638</c:v>
                </c:pt>
                <c:pt idx="4">
                  <c:v>45671</c:v>
                </c:pt>
                <c:pt idx="5">
                  <c:v>45671</c:v>
                </c:pt>
                <c:pt idx="6">
                  <c:v>45705</c:v>
                </c:pt>
                <c:pt idx="7">
                  <c:v>45735</c:v>
                </c:pt>
                <c:pt idx="8">
                  <c:v>45749</c:v>
                </c:pt>
                <c:pt idx="9">
                  <c:v>45735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C64B17D-A0BA-4764-BE50-C258C8B69B2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D4584C8-1582-4D11-85FF-2C1F30009E6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516ACFC-4DF2-49BA-BA0B-387875D14E6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02619A-E04B-4DD5-AD3B-D114C1567A6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C6BBD6F-9B78-430E-B6D8-22F2C713CDC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F2992D0-FE9B-4CC4-B601-5BD63CD523E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C3DE7F8-DF06-488C-BFC3-D610563B019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9426614-7448-4DD3-BDDA-4029C47E7C7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D7B5AB6-4AFE-4FCE-953B-875C6A10D9B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814-4D49-99D6-62343D6A293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60B35C8-64E8-4125-9062-791811ACB83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814-4D49-99D6-62343D6A293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Plan'!$J$11,'Project Plan'!$J$18,'Project Plan'!$J$22,'Project Plan'!$J$27,'Project Plan'!$J$47,'Project Plan'!$J$55,'Project Plan'!$J$63,'Project Plan'!$J$76,'Project Plan'!$J$82,'Project Plan'!$J$86)</c:f>
              <c:numCache>
                <c:formatCode>General</c:formatCode>
                <c:ptCount val="10"/>
                <c:pt idx="0">
                  <c:v>25</c:v>
                </c:pt>
                <c:pt idx="1">
                  <c:v>36</c:v>
                </c:pt>
                <c:pt idx="2">
                  <c:v>95</c:v>
                </c:pt>
                <c:pt idx="3">
                  <c:v>118</c:v>
                </c:pt>
                <c:pt idx="4">
                  <c:v>64</c:v>
                </c:pt>
                <c:pt idx="5">
                  <c:v>87</c:v>
                </c:pt>
                <c:pt idx="6">
                  <c:v>62</c:v>
                </c:pt>
                <c:pt idx="7">
                  <c:v>113</c:v>
                </c:pt>
                <c:pt idx="8">
                  <c:v>113</c:v>
                </c:pt>
                <c:pt idx="9">
                  <c:v>190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Plan'!$M$22,'Project Plan'!$M$27,'Project Plan'!$M$47,'Project Plan'!$M$55,'Project Plan'!$M$63,'Project Plan'!$M$76,'Project Plan'!$M$82,'Project Plan'!$M$86)</c15:f>
                <c15:dlblRangeCache>
                  <c:ptCount val="10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  <c:pt idx="9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46052</c:v>
                </c:pt>
                <c:pt idx="1">
                  <c:v>46052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Plan'!$K$86)</c:f>
              <c:numCache>
                <c:formatCode>d\-mmm\-yy</c:formatCode>
                <c:ptCount val="2"/>
                <c:pt idx="0">
                  <c:v>45594</c:v>
                </c:pt>
                <c:pt idx="1">
                  <c:v>45925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9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8813380.9168225154</c:v>
                </c:pt>
                <c:pt idx="6">
                  <c:v>8813380.9168225154</c:v>
                </c:pt>
                <c:pt idx="7">
                  <c:v>8813380.9168225154</c:v>
                </c:pt>
                <c:pt idx="8">
                  <c:v>8813380.9168225154</c:v>
                </c:pt>
                <c:pt idx="9">
                  <c:v>8813380.9168225154</c:v>
                </c:pt>
                <c:pt idx="10">
                  <c:v>8813380.9168225154</c:v>
                </c:pt>
                <c:pt idx="11">
                  <c:v>8813380.9168225154</c:v>
                </c:pt>
                <c:pt idx="12">
                  <c:v>8813380.9168225154</c:v>
                </c:pt>
                <c:pt idx="13">
                  <c:v>13620679.598725706</c:v>
                </c:pt>
                <c:pt idx="14">
                  <c:v>13620679.598725706</c:v>
                </c:pt>
                <c:pt idx="15">
                  <c:v>13620679.598725706</c:v>
                </c:pt>
                <c:pt idx="16">
                  <c:v>13620679.598725706</c:v>
                </c:pt>
                <c:pt idx="17">
                  <c:v>14421896.045709571</c:v>
                </c:pt>
                <c:pt idx="18">
                  <c:v>14421896.045709571</c:v>
                </c:pt>
                <c:pt idx="19">
                  <c:v>14421896.045709571</c:v>
                </c:pt>
                <c:pt idx="20">
                  <c:v>14421896.045709571</c:v>
                </c:pt>
                <c:pt idx="21">
                  <c:v>14421896.045709571</c:v>
                </c:pt>
                <c:pt idx="22">
                  <c:v>14421896.045709571</c:v>
                </c:pt>
                <c:pt idx="23">
                  <c:v>14421896.045709571</c:v>
                </c:pt>
                <c:pt idx="24">
                  <c:v>15223112.492693435</c:v>
                </c:pt>
                <c:pt idx="25">
                  <c:v>15223112.492693435</c:v>
                </c:pt>
                <c:pt idx="26">
                  <c:v>15223112.492693435</c:v>
                </c:pt>
                <c:pt idx="27">
                  <c:v>15223112.492693435</c:v>
                </c:pt>
                <c:pt idx="28">
                  <c:v>15223112.492693435</c:v>
                </c:pt>
                <c:pt idx="29">
                  <c:v>15223112.492693435</c:v>
                </c:pt>
                <c:pt idx="30">
                  <c:v>15223112.492693435</c:v>
                </c:pt>
                <c:pt idx="31">
                  <c:v>15223112.492693435</c:v>
                </c:pt>
                <c:pt idx="32">
                  <c:v>15223112.492693435</c:v>
                </c:pt>
                <c:pt idx="33">
                  <c:v>15223112.492693435</c:v>
                </c:pt>
                <c:pt idx="34">
                  <c:v>15223112.492693435</c:v>
                </c:pt>
                <c:pt idx="35">
                  <c:v>15223112.492693435</c:v>
                </c:pt>
                <c:pt idx="36">
                  <c:v>15223112.492693435</c:v>
                </c:pt>
                <c:pt idx="37">
                  <c:v>15223112.492693435</c:v>
                </c:pt>
                <c:pt idx="38">
                  <c:v>15223112.492693435</c:v>
                </c:pt>
                <c:pt idx="39">
                  <c:v>15223112.492693435</c:v>
                </c:pt>
                <c:pt idx="40">
                  <c:v>15223112.492693435</c:v>
                </c:pt>
                <c:pt idx="41">
                  <c:v>15223112.492693435</c:v>
                </c:pt>
                <c:pt idx="42">
                  <c:v>15223112.492693435</c:v>
                </c:pt>
                <c:pt idx="43">
                  <c:v>15223112.492693435</c:v>
                </c:pt>
                <c:pt idx="44">
                  <c:v>15223112.492693435</c:v>
                </c:pt>
                <c:pt idx="45">
                  <c:v>15223112.492693435</c:v>
                </c:pt>
                <c:pt idx="46">
                  <c:v>15223112.492693435</c:v>
                </c:pt>
                <c:pt idx="47">
                  <c:v>15223112.492693435</c:v>
                </c:pt>
                <c:pt idx="48">
                  <c:v>15223112.492693435</c:v>
                </c:pt>
                <c:pt idx="49">
                  <c:v>15223112.492693435</c:v>
                </c:pt>
                <c:pt idx="50">
                  <c:v>15223112.492693435</c:v>
                </c:pt>
                <c:pt idx="51">
                  <c:v>15223112.492693435</c:v>
                </c:pt>
                <c:pt idx="52">
                  <c:v>15223112.492693435</c:v>
                </c:pt>
                <c:pt idx="53">
                  <c:v>15223112.492693435</c:v>
                </c:pt>
                <c:pt idx="54">
                  <c:v>15223112.492693435</c:v>
                </c:pt>
                <c:pt idx="55">
                  <c:v>15223112.492693435</c:v>
                </c:pt>
                <c:pt idx="56">
                  <c:v>15223112.492693435</c:v>
                </c:pt>
                <c:pt idx="57">
                  <c:v>15223112.492693435</c:v>
                </c:pt>
                <c:pt idx="58">
                  <c:v>15223112.492693435</c:v>
                </c:pt>
                <c:pt idx="59">
                  <c:v>15223112.492693435</c:v>
                </c:pt>
                <c:pt idx="60">
                  <c:v>15223112.492693435</c:v>
                </c:pt>
                <c:pt idx="61">
                  <c:v>15223112.492693435</c:v>
                </c:pt>
                <c:pt idx="62">
                  <c:v>15223112.492693435</c:v>
                </c:pt>
                <c:pt idx="63">
                  <c:v>15223112.492693435</c:v>
                </c:pt>
                <c:pt idx="64">
                  <c:v>15223112.492693435</c:v>
                </c:pt>
                <c:pt idx="65">
                  <c:v>15623720.716185369</c:v>
                </c:pt>
                <c:pt idx="66">
                  <c:v>15623720.716185369</c:v>
                </c:pt>
                <c:pt idx="67">
                  <c:v>15623720.716185369</c:v>
                </c:pt>
                <c:pt idx="68">
                  <c:v>16024328.939677302</c:v>
                </c:pt>
                <c:pt idx="69">
                  <c:v>16024328.939677302</c:v>
                </c:pt>
                <c:pt idx="70">
                  <c:v>16024328.939677302</c:v>
                </c:pt>
                <c:pt idx="71">
                  <c:v>16024328.939677302</c:v>
                </c:pt>
                <c:pt idx="72">
                  <c:v>16024328.939677302</c:v>
                </c:pt>
                <c:pt idx="73">
                  <c:v>16024328.939677302</c:v>
                </c:pt>
                <c:pt idx="74">
                  <c:v>16024328.939677302</c:v>
                </c:pt>
                <c:pt idx="75">
                  <c:v>16024328.939677302</c:v>
                </c:pt>
                <c:pt idx="76">
                  <c:v>16024328.939677302</c:v>
                </c:pt>
                <c:pt idx="77">
                  <c:v>16024328.939677302</c:v>
                </c:pt>
                <c:pt idx="78">
                  <c:v>16024328.939677302</c:v>
                </c:pt>
                <c:pt idx="79">
                  <c:v>16024328.939677302</c:v>
                </c:pt>
                <c:pt idx="80">
                  <c:v>16024328.939677302</c:v>
                </c:pt>
                <c:pt idx="81">
                  <c:v>16024328.939677302</c:v>
                </c:pt>
                <c:pt idx="82">
                  <c:v>16024328.939677302</c:v>
                </c:pt>
                <c:pt idx="83">
                  <c:v>16024328.939677302</c:v>
                </c:pt>
                <c:pt idx="84">
                  <c:v>16024328.939677302</c:v>
                </c:pt>
                <c:pt idx="85">
                  <c:v>16024328.939677302</c:v>
                </c:pt>
                <c:pt idx="86">
                  <c:v>16024328.939677302</c:v>
                </c:pt>
                <c:pt idx="87">
                  <c:v>16024328.939677302</c:v>
                </c:pt>
                <c:pt idx="88">
                  <c:v>16024328.939677302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7922543.6320000002</c:v>
                </c:pt>
                <c:pt idx="6">
                  <c:v>7922543.6320000002</c:v>
                </c:pt>
                <c:pt idx="7">
                  <c:v>8532372.252869565</c:v>
                </c:pt>
                <c:pt idx="8">
                  <c:v>8837286.5633043479</c:v>
                </c:pt>
                <c:pt idx="9">
                  <c:v>9494058.0289565213</c:v>
                </c:pt>
                <c:pt idx="10">
                  <c:v>9494058.0289565213</c:v>
                </c:pt>
                <c:pt idx="11">
                  <c:v>9494058.0289565213</c:v>
                </c:pt>
                <c:pt idx="12">
                  <c:v>9494058.0289565213</c:v>
                </c:pt>
                <c:pt idx="13">
                  <c:v>10150154.028956521</c:v>
                </c:pt>
                <c:pt idx="14">
                  <c:v>11657754.028956521</c:v>
                </c:pt>
                <c:pt idx="15">
                  <c:v>11657754.028956521</c:v>
                </c:pt>
                <c:pt idx="16">
                  <c:v>11662925.228956521</c:v>
                </c:pt>
                <c:pt idx="17">
                  <c:v>11662925.228956521</c:v>
                </c:pt>
                <c:pt idx="18">
                  <c:v>11662925.228956521</c:v>
                </c:pt>
                <c:pt idx="19">
                  <c:v>11662925.228956521</c:v>
                </c:pt>
                <c:pt idx="20">
                  <c:v>11662925.228956521</c:v>
                </c:pt>
                <c:pt idx="21">
                  <c:v>11662925.228956521</c:v>
                </c:pt>
                <c:pt idx="22">
                  <c:v>11662925.228956521</c:v>
                </c:pt>
                <c:pt idx="23">
                  <c:v>11662925.228956521</c:v>
                </c:pt>
                <c:pt idx="24">
                  <c:v>11662925.228956521</c:v>
                </c:pt>
                <c:pt idx="25">
                  <c:v>11662925.228956521</c:v>
                </c:pt>
                <c:pt idx="26">
                  <c:v>11662925.228956521</c:v>
                </c:pt>
                <c:pt idx="27">
                  <c:v>11662925.228956521</c:v>
                </c:pt>
                <c:pt idx="28">
                  <c:v>11662925.228956521</c:v>
                </c:pt>
                <c:pt idx="29">
                  <c:v>11662925.228956521</c:v>
                </c:pt>
                <c:pt idx="30">
                  <c:v>11662925.228956521</c:v>
                </c:pt>
                <c:pt idx="31">
                  <c:v>11662925.228956521</c:v>
                </c:pt>
                <c:pt idx="32">
                  <c:v>11662925.228956521</c:v>
                </c:pt>
                <c:pt idx="33">
                  <c:v>11662925.228956521</c:v>
                </c:pt>
                <c:pt idx="34">
                  <c:v>11662925.228956521</c:v>
                </c:pt>
                <c:pt idx="35">
                  <c:v>11662925.228956521</c:v>
                </c:pt>
                <c:pt idx="36">
                  <c:v>11662925.228956521</c:v>
                </c:pt>
                <c:pt idx="37">
                  <c:v>11662925.228956521</c:v>
                </c:pt>
                <c:pt idx="38">
                  <c:v>11662925.228956521</c:v>
                </c:pt>
                <c:pt idx="39">
                  <c:v>11662925.228956521</c:v>
                </c:pt>
                <c:pt idx="40">
                  <c:v>11662925.228956521</c:v>
                </c:pt>
                <c:pt idx="41">
                  <c:v>11662925.228956521</c:v>
                </c:pt>
                <c:pt idx="42">
                  <c:v>11662925.228956521</c:v>
                </c:pt>
                <c:pt idx="43">
                  <c:v>11662925.228956521</c:v>
                </c:pt>
                <c:pt idx="44">
                  <c:v>11662925.228956521</c:v>
                </c:pt>
                <c:pt idx="45">
                  <c:v>11662925.228956521</c:v>
                </c:pt>
                <c:pt idx="46">
                  <c:v>11662925.228956521</c:v>
                </c:pt>
                <c:pt idx="47">
                  <c:v>11662925.228956521</c:v>
                </c:pt>
                <c:pt idx="48">
                  <c:v>11662925.228956521</c:v>
                </c:pt>
                <c:pt idx="49">
                  <c:v>12360544.945410868</c:v>
                </c:pt>
                <c:pt idx="50">
                  <c:v>12360544.945410868</c:v>
                </c:pt>
                <c:pt idx="51">
                  <c:v>12360544.945410868</c:v>
                </c:pt>
                <c:pt idx="52">
                  <c:v>12360544.945410868</c:v>
                </c:pt>
                <c:pt idx="53">
                  <c:v>12360544.945410868</c:v>
                </c:pt>
                <c:pt idx="54">
                  <c:v>12360544.945410868</c:v>
                </c:pt>
                <c:pt idx="55">
                  <c:v>12360544.945410868</c:v>
                </c:pt>
                <c:pt idx="56">
                  <c:v>12360544.945410868</c:v>
                </c:pt>
                <c:pt idx="57">
                  <c:v>12360544.945410868</c:v>
                </c:pt>
                <c:pt idx="58">
                  <c:v>12360544.945410868</c:v>
                </c:pt>
                <c:pt idx="59">
                  <c:v>12360544.945410868</c:v>
                </c:pt>
                <c:pt idx="60">
                  <c:v>12360544.945410868</c:v>
                </c:pt>
                <c:pt idx="61">
                  <c:v>12360544.945410868</c:v>
                </c:pt>
                <c:pt idx="62">
                  <c:v>12360544.945410868</c:v>
                </c:pt>
                <c:pt idx="63">
                  <c:v>12360544.945410868</c:v>
                </c:pt>
                <c:pt idx="64">
                  <c:v>12360544.945410868</c:v>
                </c:pt>
                <c:pt idx="65">
                  <c:v>12360544.945410868</c:v>
                </c:pt>
                <c:pt idx="66">
                  <c:v>12360544.945410868</c:v>
                </c:pt>
                <c:pt idx="67">
                  <c:v>12360544.945410868</c:v>
                </c:pt>
                <c:pt idx="68">
                  <c:v>12360544.945410868</c:v>
                </c:pt>
                <c:pt idx="69">
                  <c:v>12360544.945410868</c:v>
                </c:pt>
                <c:pt idx="70">
                  <c:v>12360544.945410868</c:v>
                </c:pt>
                <c:pt idx="71">
                  <c:v>12360544.945410868</c:v>
                </c:pt>
                <c:pt idx="72">
                  <c:v>12360544.945410868</c:v>
                </c:pt>
                <c:pt idx="73">
                  <c:v>12360544.945410868</c:v>
                </c:pt>
                <c:pt idx="74">
                  <c:v>12360544.945410868</c:v>
                </c:pt>
                <c:pt idx="75">
                  <c:v>12360544.945410868</c:v>
                </c:pt>
                <c:pt idx="76">
                  <c:v>12360544.945410868</c:v>
                </c:pt>
                <c:pt idx="77">
                  <c:v>12360544.945410868</c:v>
                </c:pt>
                <c:pt idx="78">
                  <c:v>12360544.945410868</c:v>
                </c:pt>
                <c:pt idx="79">
                  <c:v>12360544.945410868</c:v>
                </c:pt>
                <c:pt idx="80">
                  <c:v>12360544.945410868</c:v>
                </c:pt>
                <c:pt idx="81">
                  <c:v>12360544.945410868</c:v>
                </c:pt>
                <c:pt idx="82">
                  <c:v>12360544.945410868</c:v>
                </c:pt>
                <c:pt idx="83">
                  <c:v>12360544.945410868</c:v>
                </c:pt>
                <c:pt idx="84">
                  <c:v>12360544.945410868</c:v>
                </c:pt>
                <c:pt idx="85">
                  <c:v>12360544.945410868</c:v>
                </c:pt>
                <c:pt idx="86">
                  <c:v>12360544.945410868</c:v>
                </c:pt>
                <c:pt idx="87">
                  <c:v>12360544.945410868</c:v>
                </c:pt>
                <c:pt idx="88">
                  <c:v>12360544.945410868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890837.28482251521</c:v>
                </c:pt>
                <c:pt idx="6">
                  <c:v>890837.28482251521</c:v>
                </c:pt>
                <c:pt idx="7">
                  <c:v>281008.66395295039</c:v>
                </c:pt>
                <c:pt idx="8">
                  <c:v>-23905.646481832489</c:v>
                </c:pt>
                <c:pt idx="9">
                  <c:v>-680677.11213400587</c:v>
                </c:pt>
                <c:pt idx="10">
                  <c:v>-680677.11213400587</c:v>
                </c:pt>
                <c:pt idx="11">
                  <c:v>-680677.11213400587</c:v>
                </c:pt>
                <c:pt idx="12">
                  <c:v>-680677.11213400587</c:v>
                </c:pt>
                <c:pt idx="13">
                  <c:v>3470525.569769185</c:v>
                </c:pt>
                <c:pt idx="14">
                  <c:v>1962925.569769185</c:v>
                </c:pt>
                <c:pt idx="15">
                  <c:v>1962925.569769185</c:v>
                </c:pt>
                <c:pt idx="16">
                  <c:v>1957754.3697691858</c:v>
                </c:pt>
                <c:pt idx="17">
                  <c:v>2758970.8167530503</c:v>
                </c:pt>
                <c:pt idx="18">
                  <c:v>2758970.8167530503</c:v>
                </c:pt>
                <c:pt idx="19">
                  <c:v>2758970.8167530503</c:v>
                </c:pt>
                <c:pt idx="20">
                  <c:v>2758970.8167530503</c:v>
                </c:pt>
                <c:pt idx="21">
                  <c:v>2758970.8167530503</c:v>
                </c:pt>
                <c:pt idx="22">
                  <c:v>2758970.8167530503</c:v>
                </c:pt>
                <c:pt idx="23">
                  <c:v>2758970.8167530503</c:v>
                </c:pt>
                <c:pt idx="24">
                  <c:v>3560187.2637369148</c:v>
                </c:pt>
                <c:pt idx="25">
                  <c:v>3560187.2637369148</c:v>
                </c:pt>
                <c:pt idx="26">
                  <c:v>3560187.2637369148</c:v>
                </c:pt>
                <c:pt idx="27">
                  <c:v>3560187.2637369148</c:v>
                </c:pt>
                <c:pt idx="28">
                  <c:v>3560187.2637369148</c:v>
                </c:pt>
                <c:pt idx="29">
                  <c:v>3560187.2637369148</c:v>
                </c:pt>
                <c:pt idx="30">
                  <c:v>3560187.2637369148</c:v>
                </c:pt>
                <c:pt idx="31">
                  <c:v>3560187.2637369148</c:v>
                </c:pt>
                <c:pt idx="32">
                  <c:v>3560187.2637369148</c:v>
                </c:pt>
                <c:pt idx="33">
                  <c:v>3560187.2637369148</c:v>
                </c:pt>
                <c:pt idx="34">
                  <c:v>3560187.2637369148</c:v>
                </c:pt>
                <c:pt idx="35">
                  <c:v>3560187.2637369148</c:v>
                </c:pt>
                <c:pt idx="36">
                  <c:v>3560187.2637369148</c:v>
                </c:pt>
                <c:pt idx="37">
                  <c:v>3560187.2637369148</c:v>
                </c:pt>
                <c:pt idx="38">
                  <c:v>3560187.2637369148</c:v>
                </c:pt>
                <c:pt idx="39">
                  <c:v>3560187.2637369148</c:v>
                </c:pt>
                <c:pt idx="40">
                  <c:v>3560187.2637369148</c:v>
                </c:pt>
                <c:pt idx="41">
                  <c:v>3560187.2637369148</c:v>
                </c:pt>
                <c:pt idx="42">
                  <c:v>3560187.2637369148</c:v>
                </c:pt>
                <c:pt idx="43">
                  <c:v>3560187.2637369148</c:v>
                </c:pt>
                <c:pt idx="44">
                  <c:v>3560187.2637369148</c:v>
                </c:pt>
                <c:pt idx="45">
                  <c:v>3560187.2637369148</c:v>
                </c:pt>
                <c:pt idx="46">
                  <c:v>3560187.2637369148</c:v>
                </c:pt>
                <c:pt idx="47">
                  <c:v>3560187.2637369148</c:v>
                </c:pt>
                <c:pt idx="48">
                  <c:v>3560187.2637369148</c:v>
                </c:pt>
                <c:pt idx="49">
                  <c:v>2862567.5472825672</c:v>
                </c:pt>
                <c:pt idx="50">
                  <c:v>2862567.5472825672</c:v>
                </c:pt>
                <c:pt idx="51">
                  <c:v>2862567.5472825672</c:v>
                </c:pt>
                <c:pt idx="52">
                  <c:v>2862567.5472825672</c:v>
                </c:pt>
                <c:pt idx="53">
                  <c:v>2862567.5472825672</c:v>
                </c:pt>
                <c:pt idx="54">
                  <c:v>2862567.5472825672</c:v>
                </c:pt>
                <c:pt idx="55">
                  <c:v>2862567.5472825672</c:v>
                </c:pt>
                <c:pt idx="56">
                  <c:v>2862567.5472825672</c:v>
                </c:pt>
                <c:pt idx="57">
                  <c:v>2862567.5472825672</c:v>
                </c:pt>
                <c:pt idx="58">
                  <c:v>2862567.5472825672</c:v>
                </c:pt>
                <c:pt idx="59">
                  <c:v>2862567.5472825672</c:v>
                </c:pt>
                <c:pt idx="60">
                  <c:v>2862567.5472825672</c:v>
                </c:pt>
                <c:pt idx="61">
                  <c:v>2862567.5472825672</c:v>
                </c:pt>
                <c:pt idx="62">
                  <c:v>2862567.5472825672</c:v>
                </c:pt>
                <c:pt idx="63">
                  <c:v>2862567.5472825672</c:v>
                </c:pt>
                <c:pt idx="64">
                  <c:v>2862567.5472825672</c:v>
                </c:pt>
                <c:pt idx="65">
                  <c:v>3263175.7707745004</c:v>
                </c:pt>
                <c:pt idx="66">
                  <c:v>3263175.7707745004</c:v>
                </c:pt>
                <c:pt idx="67">
                  <c:v>3263175.7707745004</c:v>
                </c:pt>
                <c:pt idx="68">
                  <c:v>3663783.9942664336</c:v>
                </c:pt>
                <c:pt idx="69">
                  <c:v>3663783.9942664336</c:v>
                </c:pt>
                <c:pt idx="70">
                  <c:v>3663783.9942664336</c:v>
                </c:pt>
                <c:pt idx="71">
                  <c:v>3663783.9942664336</c:v>
                </c:pt>
                <c:pt idx="72">
                  <c:v>3663783.9942664336</c:v>
                </c:pt>
                <c:pt idx="73">
                  <c:v>3663783.9942664336</c:v>
                </c:pt>
                <c:pt idx="74">
                  <c:v>3663783.9942664336</c:v>
                </c:pt>
                <c:pt idx="75">
                  <c:v>3663783.9942664336</c:v>
                </c:pt>
                <c:pt idx="76">
                  <c:v>3663783.9942664336</c:v>
                </c:pt>
                <c:pt idx="77">
                  <c:v>3663783.9942664336</c:v>
                </c:pt>
                <c:pt idx="78">
                  <c:v>3663783.9942664336</c:v>
                </c:pt>
                <c:pt idx="79">
                  <c:v>3663783.9942664336</c:v>
                </c:pt>
                <c:pt idx="80">
                  <c:v>3663783.9942664336</c:v>
                </c:pt>
                <c:pt idx="81">
                  <c:v>3663783.9942664336</c:v>
                </c:pt>
                <c:pt idx="82">
                  <c:v>3663783.9942664336</c:v>
                </c:pt>
                <c:pt idx="83">
                  <c:v>3663783.9942664336</c:v>
                </c:pt>
                <c:pt idx="84">
                  <c:v>3663783.9942664336</c:v>
                </c:pt>
                <c:pt idx="85">
                  <c:v>3663783.9942664336</c:v>
                </c:pt>
                <c:pt idx="86">
                  <c:v>3663783.9942664336</c:v>
                </c:pt>
                <c:pt idx="87">
                  <c:v>3663783.9942664336</c:v>
                </c:pt>
                <c:pt idx="88">
                  <c:v>3663783.9942664336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5608515.1288870545</c:v>
                </c:pt>
                <c:pt idx="10">
                  <c:v>5608515.1288870545</c:v>
                </c:pt>
                <c:pt idx="11">
                  <c:v>5608515.1288870545</c:v>
                </c:pt>
                <c:pt idx="12">
                  <c:v>5608515.1288870545</c:v>
                </c:pt>
                <c:pt idx="13">
                  <c:v>10415813.810790244</c:v>
                </c:pt>
                <c:pt idx="14">
                  <c:v>13620679.598725704</c:v>
                </c:pt>
                <c:pt idx="15">
                  <c:v>13620679.598725704</c:v>
                </c:pt>
                <c:pt idx="16">
                  <c:v>13620679.598725704</c:v>
                </c:pt>
                <c:pt idx="17">
                  <c:v>13620679.598725704</c:v>
                </c:pt>
                <c:pt idx="18">
                  <c:v>13620679.598725704</c:v>
                </c:pt>
                <c:pt idx="19">
                  <c:v>13620679.598725704</c:v>
                </c:pt>
                <c:pt idx="20">
                  <c:v>13620679.598725704</c:v>
                </c:pt>
                <c:pt idx="21">
                  <c:v>13620679.598725704</c:v>
                </c:pt>
                <c:pt idx="22">
                  <c:v>13620679.598725704</c:v>
                </c:pt>
                <c:pt idx="23">
                  <c:v>13620679.598725704</c:v>
                </c:pt>
                <c:pt idx="24">
                  <c:v>14421896.045709569</c:v>
                </c:pt>
                <c:pt idx="25">
                  <c:v>14421896.045709569</c:v>
                </c:pt>
                <c:pt idx="26">
                  <c:v>14421896.045709569</c:v>
                </c:pt>
                <c:pt idx="27">
                  <c:v>14421896.045709569</c:v>
                </c:pt>
                <c:pt idx="28">
                  <c:v>14421896.045709569</c:v>
                </c:pt>
                <c:pt idx="29">
                  <c:v>14421896.045709569</c:v>
                </c:pt>
                <c:pt idx="30">
                  <c:v>14421896.045709569</c:v>
                </c:pt>
                <c:pt idx="31">
                  <c:v>14421896.045709569</c:v>
                </c:pt>
                <c:pt idx="32">
                  <c:v>14421896.045709569</c:v>
                </c:pt>
                <c:pt idx="33">
                  <c:v>14421896.045709569</c:v>
                </c:pt>
                <c:pt idx="34">
                  <c:v>14421896.045709569</c:v>
                </c:pt>
                <c:pt idx="35">
                  <c:v>14421896.045709569</c:v>
                </c:pt>
                <c:pt idx="36">
                  <c:v>14421896.045709569</c:v>
                </c:pt>
                <c:pt idx="37">
                  <c:v>14421896.045709569</c:v>
                </c:pt>
                <c:pt idx="38">
                  <c:v>14421896.045709569</c:v>
                </c:pt>
                <c:pt idx="39">
                  <c:v>14421896.045709569</c:v>
                </c:pt>
                <c:pt idx="40">
                  <c:v>14421896.045709569</c:v>
                </c:pt>
                <c:pt idx="41">
                  <c:v>14421896.045709569</c:v>
                </c:pt>
                <c:pt idx="42">
                  <c:v>14421896.045709569</c:v>
                </c:pt>
                <c:pt idx="43">
                  <c:v>14421896.045709569</c:v>
                </c:pt>
                <c:pt idx="44">
                  <c:v>14421896.045709569</c:v>
                </c:pt>
                <c:pt idx="45">
                  <c:v>14421896.045709569</c:v>
                </c:pt>
                <c:pt idx="46">
                  <c:v>14421896.045709569</c:v>
                </c:pt>
                <c:pt idx="47">
                  <c:v>14421896.045709569</c:v>
                </c:pt>
                <c:pt idx="48">
                  <c:v>14421896.045709569</c:v>
                </c:pt>
                <c:pt idx="49">
                  <c:v>14421896.045709569</c:v>
                </c:pt>
                <c:pt idx="50">
                  <c:v>14421896.045709569</c:v>
                </c:pt>
                <c:pt idx="51">
                  <c:v>14421896.045709569</c:v>
                </c:pt>
                <c:pt idx="52">
                  <c:v>15223112.492693434</c:v>
                </c:pt>
                <c:pt idx="53">
                  <c:v>15223112.492693434</c:v>
                </c:pt>
                <c:pt idx="54">
                  <c:v>15223112.492693434</c:v>
                </c:pt>
                <c:pt idx="55">
                  <c:v>15223112.492693434</c:v>
                </c:pt>
                <c:pt idx="56">
                  <c:v>15223112.492693434</c:v>
                </c:pt>
                <c:pt idx="57">
                  <c:v>15223112.492693434</c:v>
                </c:pt>
                <c:pt idx="58">
                  <c:v>15223112.492693434</c:v>
                </c:pt>
                <c:pt idx="59">
                  <c:v>15223112.492693434</c:v>
                </c:pt>
                <c:pt idx="60">
                  <c:v>15223112.492693434</c:v>
                </c:pt>
                <c:pt idx="61">
                  <c:v>15223112.492693434</c:v>
                </c:pt>
                <c:pt idx="62">
                  <c:v>15223112.492693434</c:v>
                </c:pt>
                <c:pt idx="63">
                  <c:v>15223112.492693434</c:v>
                </c:pt>
                <c:pt idx="64">
                  <c:v>15223112.492693434</c:v>
                </c:pt>
                <c:pt idx="65">
                  <c:v>15623720.716185367</c:v>
                </c:pt>
                <c:pt idx="66">
                  <c:v>15623720.716185367</c:v>
                </c:pt>
                <c:pt idx="67">
                  <c:v>15623720.716185367</c:v>
                </c:pt>
                <c:pt idx="68">
                  <c:v>16024328.9396773</c:v>
                </c:pt>
                <c:pt idx="69">
                  <c:v>16024328.9396773</c:v>
                </c:pt>
                <c:pt idx="70">
                  <c:v>16024328.9396773</c:v>
                </c:pt>
                <c:pt idx="71">
                  <c:v>16024328.9396773</c:v>
                </c:pt>
                <c:pt idx="72">
                  <c:v>16024328.9396773</c:v>
                </c:pt>
                <c:pt idx="73">
                  <c:v>16024328.9396773</c:v>
                </c:pt>
                <c:pt idx="74">
                  <c:v>16024328.9396773</c:v>
                </c:pt>
                <c:pt idx="75">
                  <c:v>16024328.9396773</c:v>
                </c:pt>
                <c:pt idx="76">
                  <c:v>16024328.9396773</c:v>
                </c:pt>
                <c:pt idx="77">
                  <c:v>16024328.9396773</c:v>
                </c:pt>
                <c:pt idx="78">
                  <c:v>16024328.9396773</c:v>
                </c:pt>
                <c:pt idx="79">
                  <c:v>16024328.9396773</c:v>
                </c:pt>
                <c:pt idx="80">
                  <c:v>16024328.9396773</c:v>
                </c:pt>
                <c:pt idx="81">
                  <c:v>16024328.9396773</c:v>
                </c:pt>
                <c:pt idx="82">
                  <c:v>16024328.9396773</c:v>
                </c:pt>
                <c:pt idx="83">
                  <c:v>16024328.9396773</c:v>
                </c:pt>
                <c:pt idx="84">
                  <c:v>16024328.9396773</c:v>
                </c:pt>
                <c:pt idx="85">
                  <c:v>16024328.9396773</c:v>
                </c:pt>
                <c:pt idx="86">
                  <c:v>16024328.9396773</c:v>
                </c:pt>
                <c:pt idx="87">
                  <c:v>16024328.9396773</c:v>
                </c:pt>
                <c:pt idx="88">
                  <c:v>16024328.9396773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1475691.8409999998</c:v>
                </c:pt>
                <c:pt idx="10">
                  <c:v>1475691.8409999998</c:v>
                </c:pt>
                <c:pt idx="11">
                  <c:v>1475691.8409999998</c:v>
                </c:pt>
                <c:pt idx="12">
                  <c:v>1507509.8409999998</c:v>
                </c:pt>
                <c:pt idx="13">
                  <c:v>3665416.7409999995</c:v>
                </c:pt>
                <c:pt idx="14">
                  <c:v>3680372.7409999995</c:v>
                </c:pt>
                <c:pt idx="15">
                  <c:v>7600250.2509999992</c:v>
                </c:pt>
                <c:pt idx="16">
                  <c:v>9900579.6109999996</c:v>
                </c:pt>
                <c:pt idx="17">
                  <c:v>9958758.5609999988</c:v>
                </c:pt>
                <c:pt idx="18">
                  <c:v>10078653.180999998</c:v>
                </c:pt>
                <c:pt idx="19">
                  <c:v>10102603.180999998</c:v>
                </c:pt>
                <c:pt idx="20">
                  <c:v>11381810.680999998</c:v>
                </c:pt>
                <c:pt idx="21">
                  <c:v>11488015.404999997</c:v>
                </c:pt>
                <c:pt idx="22">
                  <c:v>12178018.461999997</c:v>
                </c:pt>
                <c:pt idx="23">
                  <c:v>12504945.220499998</c:v>
                </c:pt>
                <c:pt idx="24">
                  <c:v>12504945.220499998</c:v>
                </c:pt>
                <c:pt idx="25">
                  <c:v>12544552.850499999</c:v>
                </c:pt>
                <c:pt idx="26">
                  <c:v>13855482.281499999</c:v>
                </c:pt>
                <c:pt idx="27">
                  <c:v>13866646.031499999</c:v>
                </c:pt>
                <c:pt idx="28">
                  <c:v>13866646.031499999</c:v>
                </c:pt>
                <c:pt idx="29">
                  <c:v>14090860.143245965</c:v>
                </c:pt>
                <c:pt idx="30">
                  <c:v>14110507.533245966</c:v>
                </c:pt>
                <c:pt idx="31">
                  <c:v>14132160.323245965</c:v>
                </c:pt>
                <c:pt idx="32">
                  <c:v>14219160.323245965</c:v>
                </c:pt>
                <c:pt idx="33">
                  <c:v>14339895.033245966</c:v>
                </c:pt>
                <c:pt idx="34">
                  <c:v>14430308.713245966</c:v>
                </c:pt>
                <c:pt idx="35">
                  <c:v>14446761.713245966</c:v>
                </c:pt>
                <c:pt idx="36">
                  <c:v>14452066.713245966</c:v>
                </c:pt>
                <c:pt idx="37">
                  <c:v>14479999.713245966</c:v>
                </c:pt>
                <c:pt idx="38">
                  <c:v>14479999.713245966</c:v>
                </c:pt>
                <c:pt idx="39">
                  <c:v>14506281.113245966</c:v>
                </c:pt>
                <c:pt idx="40">
                  <c:v>14506281.113245966</c:v>
                </c:pt>
                <c:pt idx="41">
                  <c:v>14750988.681745965</c:v>
                </c:pt>
                <c:pt idx="42">
                  <c:v>14722006.001745965</c:v>
                </c:pt>
                <c:pt idx="43">
                  <c:v>14726374.241745966</c:v>
                </c:pt>
                <c:pt idx="44">
                  <c:v>14726374.241745966</c:v>
                </c:pt>
                <c:pt idx="45">
                  <c:v>14726374.241745966</c:v>
                </c:pt>
                <c:pt idx="46">
                  <c:v>14726374.241745966</c:v>
                </c:pt>
                <c:pt idx="47">
                  <c:v>14782174.241745966</c:v>
                </c:pt>
                <c:pt idx="48">
                  <c:v>14782174.241745966</c:v>
                </c:pt>
                <c:pt idx="49">
                  <c:v>14782174.241745966</c:v>
                </c:pt>
                <c:pt idx="50">
                  <c:v>14782174.241745966</c:v>
                </c:pt>
                <c:pt idx="51">
                  <c:v>14782174.241745966</c:v>
                </c:pt>
                <c:pt idx="52">
                  <c:v>14782174.241745966</c:v>
                </c:pt>
                <c:pt idx="53">
                  <c:v>14782174.241745966</c:v>
                </c:pt>
                <c:pt idx="54">
                  <c:v>14782174.241745966</c:v>
                </c:pt>
                <c:pt idx="55">
                  <c:v>14782174.241745966</c:v>
                </c:pt>
                <c:pt idx="56">
                  <c:v>14782174.241745966</c:v>
                </c:pt>
                <c:pt idx="57">
                  <c:v>14782174.241745966</c:v>
                </c:pt>
                <c:pt idx="58">
                  <c:v>14782174.241745966</c:v>
                </c:pt>
                <c:pt idx="59">
                  <c:v>14782174.241745966</c:v>
                </c:pt>
                <c:pt idx="60">
                  <c:v>14782174.241745966</c:v>
                </c:pt>
                <c:pt idx="61">
                  <c:v>14782174.241745966</c:v>
                </c:pt>
                <c:pt idx="62">
                  <c:v>14782174.241745966</c:v>
                </c:pt>
                <c:pt idx="63">
                  <c:v>14782174.241745966</c:v>
                </c:pt>
                <c:pt idx="64">
                  <c:v>14782174.241745966</c:v>
                </c:pt>
                <c:pt idx="65">
                  <c:v>14799334.241745966</c:v>
                </c:pt>
                <c:pt idx="66">
                  <c:v>14799334.241745966</c:v>
                </c:pt>
                <c:pt idx="67">
                  <c:v>14799334.241745966</c:v>
                </c:pt>
                <c:pt idx="68">
                  <c:v>14799334.241745966</c:v>
                </c:pt>
                <c:pt idx="69">
                  <c:v>14799334.241745966</c:v>
                </c:pt>
                <c:pt idx="70">
                  <c:v>14799334.241745966</c:v>
                </c:pt>
                <c:pt idx="71">
                  <c:v>14799334.241745966</c:v>
                </c:pt>
                <c:pt idx="72">
                  <c:v>14799334.241745966</c:v>
                </c:pt>
                <c:pt idx="73">
                  <c:v>14799334.241745966</c:v>
                </c:pt>
                <c:pt idx="74">
                  <c:v>14799334.241745966</c:v>
                </c:pt>
                <c:pt idx="75">
                  <c:v>14799334.241745966</c:v>
                </c:pt>
                <c:pt idx="76">
                  <c:v>14799334.241745966</c:v>
                </c:pt>
                <c:pt idx="77">
                  <c:v>14799334.241745966</c:v>
                </c:pt>
                <c:pt idx="78">
                  <c:v>14799334.241745966</c:v>
                </c:pt>
                <c:pt idx="79">
                  <c:v>14799334.241745966</c:v>
                </c:pt>
                <c:pt idx="80">
                  <c:v>14799334.241745966</c:v>
                </c:pt>
                <c:pt idx="81">
                  <c:v>14799334.241745966</c:v>
                </c:pt>
                <c:pt idx="82">
                  <c:v>14799334.241745966</c:v>
                </c:pt>
                <c:pt idx="83">
                  <c:v>14799334.241745966</c:v>
                </c:pt>
                <c:pt idx="84">
                  <c:v>14799334.241745966</c:v>
                </c:pt>
                <c:pt idx="85">
                  <c:v>14799334.241745966</c:v>
                </c:pt>
                <c:pt idx="86">
                  <c:v>14799334.241745966</c:v>
                </c:pt>
                <c:pt idx="87">
                  <c:v>14799334.241745966</c:v>
                </c:pt>
                <c:pt idx="88">
                  <c:v>14799334.241745966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4132823.2878870545</c:v>
                </c:pt>
                <c:pt idx="10">
                  <c:v>4132823.2878870545</c:v>
                </c:pt>
                <c:pt idx="11">
                  <c:v>4132823.2878870545</c:v>
                </c:pt>
                <c:pt idx="12">
                  <c:v>4101005.2878870545</c:v>
                </c:pt>
                <c:pt idx="13">
                  <c:v>6750397.069790245</c:v>
                </c:pt>
                <c:pt idx="14">
                  <c:v>9940306.857725706</c:v>
                </c:pt>
                <c:pt idx="15">
                  <c:v>6020429.3477257052</c:v>
                </c:pt>
                <c:pt idx="16">
                  <c:v>3720099.9877257049</c:v>
                </c:pt>
                <c:pt idx="17">
                  <c:v>3661921.0377257057</c:v>
                </c:pt>
                <c:pt idx="18">
                  <c:v>3542026.4177257065</c:v>
                </c:pt>
                <c:pt idx="19">
                  <c:v>3518076.4177257065</c:v>
                </c:pt>
                <c:pt idx="20">
                  <c:v>2238868.9177257065</c:v>
                </c:pt>
                <c:pt idx="21">
                  <c:v>2132664.193725707</c:v>
                </c:pt>
                <c:pt idx="22">
                  <c:v>1442661.136725707</c:v>
                </c:pt>
                <c:pt idx="23">
                  <c:v>1115734.3782257065</c:v>
                </c:pt>
                <c:pt idx="24">
                  <c:v>1916950.825209571</c:v>
                </c:pt>
                <c:pt idx="25">
                  <c:v>1877343.1952095702</c:v>
                </c:pt>
                <c:pt idx="26">
                  <c:v>566413.76420957036</c:v>
                </c:pt>
                <c:pt idx="27">
                  <c:v>555250.01420957036</c:v>
                </c:pt>
                <c:pt idx="28">
                  <c:v>555250.01420957036</c:v>
                </c:pt>
                <c:pt idx="29">
                  <c:v>331035.90246360376</c:v>
                </c:pt>
                <c:pt idx="30">
                  <c:v>311388.51246360317</c:v>
                </c:pt>
                <c:pt idx="31">
                  <c:v>289735.72246360406</c:v>
                </c:pt>
                <c:pt idx="32">
                  <c:v>202735.72246360406</c:v>
                </c:pt>
                <c:pt idx="33">
                  <c:v>82001.012463603169</c:v>
                </c:pt>
                <c:pt idx="34">
                  <c:v>-8412.6675363965333</c:v>
                </c:pt>
                <c:pt idx="35">
                  <c:v>-24865.667536396533</c:v>
                </c:pt>
                <c:pt idx="36">
                  <c:v>-30170.667536396533</c:v>
                </c:pt>
                <c:pt idx="37">
                  <c:v>-58103.667536396533</c:v>
                </c:pt>
                <c:pt idx="38">
                  <c:v>-58103.667536396533</c:v>
                </c:pt>
                <c:pt idx="39">
                  <c:v>-84385.067536396906</c:v>
                </c:pt>
                <c:pt idx="40">
                  <c:v>-84385.067536396906</c:v>
                </c:pt>
                <c:pt idx="41">
                  <c:v>-329092.63603639603</c:v>
                </c:pt>
                <c:pt idx="42">
                  <c:v>-300109.95603639632</c:v>
                </c:pt>
                <c:pt idx="43">
                  <c:v>-304478.19603639655</c:v>
                </c:pt>
                <c:pt idx="44">
                  <c:v>-304478.19603639655</c:v>
                </c:pt>
                <c:pt idx="45">
                  <c:v>-304478.19603639655</c:v>
                </c:pt>
                <c:pt idx="46">
                  <c:v>-304478.19603639655</c:v>
                </c:pt>
                <c:pt idx="47">
                  <c:v>-360278.19603639655</c:v>
                </c:pt>
                <c:pt idx="48">
                  <c:v>-360278.19603639655</c:v>
                </c:pt>
                <c:pt idx="49">
                  <c:v>-360278.19603639655</c:v>
                </c:pt>
                <c:pt idx="50">
                  <c:v>-360278.19603639655</c:v>
                </c:pt>
                <c:pt idx="51">
                  <c:v>-360278.19603639655</c:v>
                </c:pt>
                <c:pt idx="52">
                  <c:v>440938.25094746798</c:v>
                </c:pt>
                <c:pt idx="53">
                  <c:v>440938.25094746798</c:v>
                </c:pt>
                <c:pt idx="54">
                  <c:v>440938.25094746798</c:v>
                </c:pt>
                <c:pt idx="55">
                  <c:v>440938.25094746798</c:v>
                </c:pt>
                <c:pt idx="56">
                  <c:v>440938.25094746798</c:v>
                </c:pt>
                <c:pt idx="57">
                  <c:v>440938.25094746798</c:v>
                </c:pt>
                <c:pt idx="58">
                  <c:v>440938.25094746798</c:v>
                </c:pt>
                <c:pt idx="59">
                  <c:v>440938.25094746798</c:v>
                </c:pt>
                <c:pt idx="60">
                  <c:v>440938.25094746798</c:v>
                </c:pt>
                <c:pt idx="61">
                  <c:v>440938.25094746798</c:v>
                </c:pt>
                <c:pt idx="62">
                  <c:v>440938.25094746798</c:v>
                </c:pt>
                <c:pt idx="63">
                  <c:v>440938.25094746798</c:v>
                </c:pt>
                <c:pt idx="64">
                  <c:v>440938.25094746798</c:v>
                </c:pt>
                <c:pt idx="65">
                  <c:v>824386.47443940118</c:v>
                </c:pt>
                <c:pt idx="66">
                  <c:v>824386.47443940118</c:v>
                </c:pt>
                <c:pt idx="67">
                  <c:v>824386.47443940118</c:v>
                </c:pt>
                <c:pt idx="68">
                  <c:v>1224994.6979313344</c:v>
                </c:pt>
                <c:pt idx="69">
                  <c:v>1224994.6979313344</c:v>
                </c:pt>
                <c:pt idx="70">
                  <c:v>1224994.6979313344</c:v>
                </c:pt>
                <c:pt idx="71">
                  <c:v>1224994.6979313344</c:v>
                </c:pt>
                <c:pt idx="72">
                  <c:v>1224994.6979313344</c:v>
                </c:pt>
                <c:pt idx="73">
                  <c:v>1224994.6979313344</c:v>
                </c:pt>
                <c:pt idx="74">
                  <c:v>1224994.6979313344</c:v>
                </c:pt>
                <c:pt idx="75">
                  <c:v>1224994.6979313344</c:v>
                </c:pt>
                <c:pt idx="76">
                  <c:v>1224994.6979313344</c:v>
                </c:pt>
                <c:pt idx="77">
                  <c:v>1224994.6979313344</c:v>
                </c:pt>
                <c:pt idx="78">
                  <c:v>1224994.6979313344</c:v>
                </c:pt>
                <c:pt idx="79">
                  <c:v>1224994.6979313344</c:v>
                </c:pt>
                <c:pt idx="80">
                  <c:v>1224994.6979313344</c:v>
                </c:pt>
                <c:pt idx="81">
                  <c:v>1224994.6979313344</c:v>
                </c:pt>
                <c:pt idx="82">
                  <c:v>1224994.6979313344</c:v>
                </c:pt>
                <c:pt idx="83">
                  <c:v>1224994.6979313344</c:v>
                </c:pt>
                <c:pt idx="84">
                  <c:v>1224994.6979313344</c:v>
                </c:pt>
                <c:pt idx="85">
                  <c:v>1224994.6979313344</c:v>
                </c:pt>
                <c:pt idx="86">
                  <c:v>1224994.6979313344</c:v>
                </c:pt>
                <c:pt idx="87">
                  <c:v>1224994.6979313344</c:v>
                </c:pt>
                <c:pt idx="88">
                  <c:v>1224994.6979313344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5250104.3368507773</c:v>
                </c:pt>
                <c:pt idx="9">
                  <c:v>5250104.3368507773</c:v>
                </c:pt>
                <c:pt idx="10">
                  <c:v>5250104.3368507773</c:v>
                </c:pt>
                <c:pt idx="11">
                  <c:v>5250104.3368507773</c:v>
                </c:pt>
                <c:pt idx="12">
                  <c:v>9393590.7924062461</c:v>
                </c:pt>
                <c:pt idx="13">
                  <c:v>9393590.7924062461</c:v>
                </c:pt>
                <c:pt idx="14">
                  <c:v>9393590.7924062461</c:v>
                </c:pt>
                <c:pt idx="15">
                  <c:v>9393590.7924062461</c:v>
                </c:pt>
                <c:pt idx="16">
                  <c:v>11924773.153741222</c:v>
                </c:pt>
                <c:pt idx="17">
                  <c:v>11924773.153741222</c:v>
                </c:pt>
                <c:pt idx="18">
                  <c:v>11924773.153741222</c:v>
                </c:pt>
                <c:pt idx="19">
                  <c:v>11924773.153741222</c:v>
                </c:pt>
                <c:pt idx="20">
                  <c:v>11924773.153741222</c:v>
                </c:pt>
                <c:pt idx="21">
                  <c:v>12732024.520832103</c:v>
                </c:pt>
                <c:pt idx="22">
                  <c:v>12732024.520832103</c:v>
                </c:pt>
                <c:pt idx="23">
                  <c:v>12732024.520832103</c:v>
                </c:pt>
                <c:pt idx="24">
                  <c:v>12732024.520832103</c:v>
                </c:pt>
                <c:pt idx="25">
                  <c:v>14730088.691884138</c:v>
                </c:pt>
                <c:pt idx="26">
                  <c:v>14730088.691884138</c:v>
                </c:pt>
                <c:pt idx="27">
                  <c:v>14730088.691884138</c:v>
                </c:pt>
                <c:pt idx="28">
                  <c:v>14730088.691884138</c:v>
                </c:pt>
                <c:pt idx="29">
                  <c:v>15793470.439217834</c:v>
                </c:pt>
                <c:pt idx="30">
                  <c:v>15793470.439217834</c:v>
                </c:pt>
                <c:pt idx="31">
                  <c:v>15793470.439217834</c:v>
                </c:pt>
                <c:pt idx="32">
                  <c:v>15793470.439217834</c:v>
                </c:pt>
                <c:pt idx="33">
                  <c:v>15793470.439217834</c:v>
                </c:pt>
                <c:pt idx="34">
                  <c:v>16014089.01504522</c:v>
                </c:pt>
                <c:pt idx="35">
                  <c:v>16014089.01504522</c:v>
                </c:pt>
                <c:pt idx="36">
                  <c:v>16014089.01504522</c:v>
                </c:pt>
                <c:pt idx="37">
                  <c:v>16014089.01504522</c:v>
                </c:pt>
                <c:pt idx="38">
                  <c:v>16016793.889333019</c:v>
                </c:pt>
                <c:pt idx="39">
                  <c:v>16016793.889333019</c:v>
                </c:pt>
                <c:pt idx="40">
                  <c:v>16016793.889333019</c:v>
                </c:pt>
                <c:pt idx="41">
                  <c:v>16016793.889333019</c:v>
                </c:pt>
                <c:pt idx="42">
                  <c:v>16024328.925751152</c:v>
                </c:pt>
                <c:pt idx="43">
                  <c:v>16024328.925751152</c:v>
                </c:pt>
                <c:pt idx="44">
                  <c:v>16024328.925751152</c:v>
                </c:pt>
                <c:pt idx="45">
                  <c:v>16024328.925751152</c:v>
                </c:pt>
                <c:pt idx="46">
                  <c:v>16024328.925751152</c:v>
                </c:pt>
                <c:pt idx="47">
                  <c:v>16024328.925751152</c:v>
                </c:pt>
                <c:pt idx="48">
                  <c:v>16024328.925751152</c:v>
                </c:pt>
                <c:pt idx="49">
                  <c:v>16024328.925751152</c:v>
                </c:pt>
                <c:pt idx="50">
                  <c:v>16024328.925751152</c:v>
                </c:pt>
                <c:pt idx="51">
                  <c:v>16024328.925751152</c:v>
                </c:pt>
                <c:pt idx="52">
                  <c:v>16024328.925751152</c:v>
                </c:pt>
                <c:pt idx="53">
                  <c:v>16024328.925751152</c:v>
                </c:pt>
                <c:pt idx="54">
                  <c:v>16024328.925751152</c:v>
                </c:pt>
                <c:pt idx="55">
                  <c:v>16024328.925751152</c:v>
                </c:pt>
                <c:pt idx="56">
                  <c:v>16024328.925751152</c:v>
                </c:pt>
                <c:pt idx="57">
                  <c:v>16024328.925751152</c:v>
                </c:pt>
                <c:pt idx="58">
                  <c:v>16024328.925751152</c:v>
                </c:pt>
                <c:pt idx="59">
                  <c:v>16024328.925751152</c:v>
                </c:pt>
                <c:pt idx="60">
                  <c:v>16024328.925751152</c:v>
                </c:pt>
                <c:pt idx="61">
                  <c:v>16024328.925751152</c:v>
                </c:pt>
                <c:pt idx="62">
                  <c:v>16024328.925751152</c:v>
                </c:pt>
                <c:pt idx="63">
                  <c:v>16024328.925751152</c:v>
                </c:pt>
                <c:pt idx="64">
                  <c:v>16024328.925751152</c:v>
                </c:pt>
                <c:pt idx="65">
                  <c:v>16024328.925751152</c:v>
                </c:pt>
                <c:pt idx="66">
                  <c:v>16024328.925751152</c:v>
                </c:pt>
                <c:pt idx="67">
                  <c:v>16024328.925751152</c:v>
                </c:pt>
                <c:pt idx="68">
                  <c:v>16024328.925751152</c:v>
                </c:pt>
                <c:pt idx="69">
                  <c:v>16024328.925751152</c:v>
                </c:pt>
                <c:pt idx="70">
                  <c:v>16024328.925751152</c:v>
                </c:pt>
                <c:pt idx="71">
                  <c:v>16024328.925751152</c:v>
                </c:pt>
                <c:pt idx="72">
                  <c:v>16024328.925751152</c:v>
                </c:pt>
                <c:pt idx="73">
                  <c:v>16024328.925751152</c:v>
                </c:pt>
                <c:pt idx="74">
                  <c:v>16024328.925751152</c:v>
                </c:pt>
                <c:pt idx="75">
                  <c:v>16024328.925751152</c:v>
                </c:pt>
                <c:pt idx="76">
                  <c:v>16024328.925751152</c:v>
                </c:pt>
                <c:pt idx="77">
                  <c:v>16024328.925751152</c:v>
                </c:pt>
                <c:pt idx="78">
                  <c:v>16024328.925751152</c:v>
                </c:pt>
                <c:pt idx="79">
                  <c:v>16024328.925751152</c:v>
                </c:pt>
                <c:pt idx="80">
                  <c:v>16024328.925751152</c:v>
                </c:pt>
                <c:pt idx="81">
                  <c:v>16024328.925751152</c:v>
                </c:pt>
                <c:pt idx="82">
                  <c:v>16024328.925751152</c:v>
                </c:pt>
                <c:pt idx="83">
                  <c:v>16024328.925751152</c:v>
                </c:pt>
                <c:pt idx="84">
                  <c:v>16024328.925751152</c:v>
                </c:pt>
                <c:pt idx="85">
                  <c:v>16024328.925751152</c:v>
                </c:pt>
                <c:pt idx="86">
                  <c:v>16024328.925751152</c:v>
                </c:pt>
                <c:pt idx="87">
                  <c:v>16024328.925751152</c:v>
                </c:pt>
                <c:pt idx="88">
                  <c:v>16024328.925751152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7297219-03E0-401E-8DDE-1F773A99BDB5}">
    <Anchor>
      <Comment id="{08943962-51D1-4FB2-BAE2-83BA4694061F}"/>
    </Anchor>
    <History>
      <Event time="2025-03-07T08:41:19.91" id="{274ED856-F474-4C97-99FA-EDC27982499F}">
        <Attribution userId="S::mizelda@emergentenergy.co.za::3a5c2ad2-993e-4fe1-a333-48e19c6adda8" userName="Mizelda Isaacs" userProvider="AD"/>
        <Anchor>
          <Comment id="{08943962-51D1-4FB2-BAE2-83BA4694061F}"/>
        </Anchor>
        <Create/>
      </Event>
      <Event time="2025-03-07T08:41:19.91" id="{D82E79B7-08DC-41D2-AE27-F03F7B178F64}">
        <Attribution userId="S::mizelda@emergentenergy.co.za::3a5c2ad2-993e-4fe1-a333-48e19c6adda8" userName="Mizelda Isaacs" userProvider="AD"/>
        <Anchor>
          <Comment id="{08943962-51D1-4FB2-BAE2-83BA4694061F}"/>
        </Anchor>
        <Assign userId="S::thami@emergentenergy.co.za::dcae580f-55a1-44d7-89b7-bae90a9ddc2e" userName="Thami Cambalele" userProvider="AD"/>
      </Event>
      <Event time="2025-03-07T08:41:19.91" id="{B3158102-6461-4F60-B925-A86256425CDC}">
        <Attribution userId="S::mizelda@emergentenergy.co.za::3a5c2ad2-993e-4fe1-a333-48e19c6adda8" userName="Mizelda Isaacs" userProvider="AD"/>
        <Anchor>
          <Comment id="{08943962-51D1-4FB2-BAE2-83BA4694061F}"/>
        </Anchor>
        <SetTitle title="@Thami Cambalele this must be captured under Mega Park, this specific one is not for Trident Steel GP. "/>
      </Event>
    </History>
  </Task>
  <Task id="{0A62ED45-FE0C-4458-9D6F-9AC8F7D288CB}">
    <Anchor>
      <Comment id="{4EDC8D79-46C8-4C9D-8959-77CD7EC6042D}"/>
    </Anchor>
    <History>
      <Event time="2025-07-21T11:46:42.24" id="{B9061301-8778-4C3A-AA05-3FD1FA9D5A18}">
        <Attribution userId="S::tasneema@emergy.co.za::9a0cc615-e4de-4e2f-ae82-9f40753a7d8a" userName="Tasneema van Harte" userProvider="AD"/>
        <Anchor>
          <Comment id="{4EDC8D79-46C8-4C9D-8959-77CD7EC6042D}"/>
        </Anchor>
        <Create/>
      </Event>
      <Event time="2025-07-21T11:46:42.24" id="{EDDD34EC-F8F4-417E-8083-E269FE374411}">
        <Attribution userId="S::tasneema@emergy.co.za::9a0cc615-e4de-4e2f-ae82-9f40753a7d8a" userName="Tasneema van Harte" userProvider="AD"/>
        <Anchor>
          <Comment id="{4EDC8D79-46C8-4C9D-8959-77CD7EC6042D}"/>
        </Anchor>
        <Assign userId="S::mizelda@emergentenergy.co.za::3a5c2ad2-993e-4fe1-a333-48e19c6adda8" userName="Mizelda Isaacs" userProvider="AD"/>
      </Event>
      <Event time="2025-07-21T11:46:42.24" id="{E0F6F97F-B70B-4DF7-A40F-73D4E4F0814D}">
        <Attribution userId="S::tasneema@emergy.co.za::9a0cc615-e4de-4e2f-ae82-9f40753a7d8a" userName="Tasneema van Harte" userProvider="AD"/>
        <Anchor>
          <Comment id="{4EDC8D79-46C8-4C9D-8959-77CD7EC6042D}"/>
        </Anchor>
        <SetTitle title="@Mizelda Isaacs please update the payment date"/>
      </Event>
      <Event time="2025-07-21T11:58:54.77" id="{5E2C345E-F409-4106-9156-8B98FCE634B6}">
        <Attribution userId="S::mizelda@emergentenergy.co.za::3a5c2ad2-993e-4fe1-a333-48e19c6adda8" userName="Mizelda Isaacs" userProvider="AD"/>
        <Progress percentComplete="100"/>
      </Event>
    </History>
  </Task>
  <Task id="{6E9C47A8-AF7E-40EB-8C04-DFC9690FA65B}">
    <Anchor>
      <Comment id="{8F532836-670F-426D-8A6A-488D5B4B9078}"/>
    </Anchor>
    <History>
      <Event time="2025-07-16T07:52:19.15" id="{371A284A-9165-40D2-8D9F-985331D51948}">
        <Attribution userId="S::tasneema@emergy.co.za::9a0cc615-e4de-4e2f-ae82-9f40753a7d8a" userName="Tasneema van Harte" userProvider="AD"/>
        <Anchor>
          <Comment id="{8F532836-670F-426D-8A6A-488D5B4B9078}"/>
        </Anchor>
        <Create/>
      </Event>
      <Event time="2025-07-16T07:52:19.15" id="{143864B5-D6EE-4B57-ACD5-25099B944762}">
        <Attribution userId="S::tasneema@emergy.co.za::9a0cc615-e4de-4e2f-ae82-9f40753a7d8a" userName="Tasneema van Harte" userProvider="AD"/>
        <Anchor>
          <Comment id="{8F532836-670F-426D-8A6A-488D5B4B9078}"/>
        </Anchor>
        <Assign userId="S::mizelda@emergentenergy.co.za::3a5c2ad2-993e-4fe1-a333-48e19c6adda8" userName="Mizelda Isaacs" userProvider="AD"/>
      </Event>
      <Event time="2025-07-16T07:52:19.15" id="{375E69B4-BF66-41D3-9D92-4708893F2DC0}">
        <Attribution userId="S::tasneema@emergy.co.za::9a0cc615-e4de-4e2f-ae82-9f40753a7d8a" userName="Tasneema van Harte" userProvider="AD"/>
        <Anchor>
          <Comment id="{8F532836-670F-426D-8A6A-488D5B4B9078}"/>
        </Anchor>
        <SetTitle title="@Mizelda Isaacs please update the payment date"/>
      </Event>
    </History>
  </Task>
  <Task id="{E91E7CA9-5207-4FB9-9556-6EAC5841FF91}">
    <Anchor>
      <Comment id="{51F7E1F9-5563-472A-9C94-F2698D7D33AA}"/>
    </Anchor>
    <History>
      <Event time="2025-07-16T07:54:02.81" id="{4FCE2C5A-9F16-4580-8803-F2723CA406F8}">
        <Attribution userId="S::tasneema@emergy.co.za::9a0cc615-e4de-4e2f-ae82-9f40753a7d8a" userName="Tasneema van Harte" userProvider="AD"/>
        <Anchor>
          <Comment id="{51F7E1F9-5563-472A-9C94-F2698D7D33AA}"/>
        </Anchor>
        <Create/>
      </Event>
      <Event time="2025-07-16T07:54:02.81" id="{29E21341-0598-4B53-BB61-8131C3E01B39}">
        <Attribution userId="S::tasneema@emergy.co.za::9a0cc615-e4de-4e2f-ae82-9f40753a7d8a" userName="Tasneema van Harte" userProvider="AD"/>
        <Anchor>
          <Comment id="{51F7E1F9-5563-472A-9C94-F2698D7D33AA}"/>
        </Anchor>
        <Assign userId="S::mizelda@emergentenergy.co.za::3a5c2ad2-993e-4fe1-a333-48e19c6adda8" userName="Mizelda Isaacs" userProvider="AD"/>
      </Event>
      <Event time="2025-07-16T07:54:02.81" id="{9D586368-9D1D-4F52-9715-0C5DB83E9CE9}">
        <Attribution userId="S::tasneema@emergy.co.za::9a0cc615-e4de-4e2f-ae82-9f40753a7d8a" userName="Tasneema van Harte" userProvider="AD"/>
        <Anchor>
          <Comment id="{51F7E1F9-5563-472A-9C94-F2698D7D33A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702485</xdr:colOff>
      <xdr:row>6</xdr:row>
      <xdr:rowOff>138818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18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1E003B7B-117B-419B-9076-AE5CEAEA44A7}" userId="thami@emergentenergy.co.za" providerId="PeoplePicker"/>
  <person displayName="Mizelda Isaacs" id="{CADCFC5B-4411-42C6-925E-E23996D2153B}" userId="mizelda@emergentenergy.co.za" providerId="PeoplePicker"/>
  <person displayName="Johannes Potgieter" id="{296D5391-08BD-4D16-93BB-CB1CACFC8510}" userId="johannes@emergentenergy.co.za" providerId="PeoplePicker"/>
  <person displayName="Tasneema van Harte" id="{470E3766-187A-4C8A-A29C-10431459FB05}" userId="S::tasneema@emergy.co.za::9a0cc615-e4de-4e2f-ae82-9f40753a7d8a" providerId="AD"/>
  <person displayName="Mizelda Isaacs" id="{C44C3EFA-3915-4676-A2FD-FE2D4F03B712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465277781" createdVersion="8" refreshedVersion="8" minRefreshableVersion="3" recordCount="169" xr:uid="{CFE685BB-DDF2-42BA-9528-D7F36DD72BD0}">
  <cacheSource type="worksheet">
    <worksheetSource ref="L4:X17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42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0">
        <m/>
        <n v="2349960.0172043"/>
        <n v="0"/>
        <n v="354646.00634633988"/>
        <n v="882029.88280226919"/>
        <n v="995005.06617838552"/>
        <n v="705479.56989247305"/>
        <n v="542107.78446558013"/>
        <n v="290003.51882912021"/>
        <n v="193335.67921941346"/>
        <n v="128890.45340366673"/>
        <n v="159642.90774837055"/>
        <n v="23159.65591612352"/>
        <n v="173697.41793797971"/>
        <n v="86848.708968989857"/>
        <n v="28949.569656329953"/>
        <n v="5722.9894158392699"/>
        <n v="31475.095899314234"/>
        <n v="43800.874263649901"/>
        <n v="62163.262020658112"/>
        <n v="125742.7913056097"/>
        <n v="2401.0242951509581"/>
        <n v="30541.292160270343"/>
        <n v="822.17993473261731"/>
        <n v="36619.658047253019"/>
        <n v="36611.078047253017"/>
        <n v="121579.44869952172"/>
        <n v="32615.110968075522"/>
        <n v="15836.642766224404"/>
        <n v="93925.81338974851"/>
        <n v="480584.15055997926"/>
        <n v="293960.29458554141"/>
        <n v="195973.53042961576"/>
        <n v="97986.765214807878"/>
        <n v="32662.255071602627"/>
        <n v="244966.91144869631"/>
        <n v="122483.45572434815"/>
        <n v="40827.818574782723"/>
        <n v="132.70615630593156"/>
        <n v="2010.6993379686598"/>
        <n v="172789.30223232287"/>
        <n v="39344.387220710938"/>
        <n v="39459.629818039692"/>
        <n v="1377.3126989663765"/>
        <n v="3268.9383677999444"/>
        <n v="8098.8322427598778"/>
        <n v="41161.591621423409"/>
        <n v="26939.091736530012"/>
        <n v="39856.732746080124"/>
        <n v="13285.577582026706"/>
        <n v="76733.911788593541"/>
        <n v="6353.8099079809645"/>
        <n v="2238.5785962717746"/>
        <n v="503243.47826086974"/>
        <n v="335495.6521739132"/>
        <n v="223663.76757108516"/>
        <n v="111831.88378554258"/>
        <n v="37277.294595180865"/>
        <n v="279579.71068978455"/>
        <n v="139789.85534489228"/>
        <n v="46596.618448297428"/>
        <n v="1151.6421071534203"/>
        <n v="16300.16520894072"/>
        <n v="18947.608634174179"/>
        <n v="64249.227279545361"/>
        <n v="45331.253513459706"/>
        <n v="29279.866683088268"/>
        <n v="14541.738341544135"/>
        <n v="4847.2461138480458"/>
        <n v="36354.345402726794"/>
        <n v="18177.172701363397"/>
        <n v="6059.0575671211336"/>
        <n v="26373.592941969204"/>
        <n v="3236.2508427231569"/>
        <n v="111937.31615210755"/>
        <n v="5746.4982592502702"/>
        <n v="34228.079261228988"/>
        <n v="755562.17778903199"/>
        <n v="8076.5179765965195"/>
        <n v="3343.2703956426249"/>
        <n v="9543.7984984037721"/>
        <n v="4057.1696327506424"/>
        <n v="1505.0667981295369"/>
        <n v="1495.2011092913194"/>
        <n v="239.05988409940696"/>
        <n v="2704.8742877996197"/>
        <n v="7535.0364181319565"/>
        <n v="11493.846418131956" u="1"/>
        <n v="11484.64156035001" u="1"/>
        <n v="7535.036570258133" u="1"/>
        <n v="613.98162137714962" u="1"/>
        <n v="9625.9316213771508" u="1"/>
        <n v="13799.094352917304" u="1"/>
        <n v="10478.977292585634" u="1"/>
        <n v="757.33274409998842" u="1"/>
        <n v="154194.56096807553" u="1"/>
        <n v="37464.329261228988" u="1"/>
        <n v="144364.87060759705" u="1"/>
        <n v="144356.84073243983" u="1"/>
        <n v="145.61214650952891" u="1"/>
        <n v="154824.44184268746" u="1"/>
        <n v="192.29198929847115" u="1"/>
        <n v="117.81634133876555" u="1"/>
        <n v="83186.667433545968" u="1"/>
        <n v="4165.2241887442369" u="1"/>
        <n v="41633.426406063074" u="1"/>
        <n v="22204.494083233636" u="1"/>
        <n v="4717.2395103584668" u="1"/>
        <n v="7256.9395103584666" u="1"/>
        <n v="43346.751842687474" u="1"/>
        <n v="245304.49223232284" u="1"/>
        <n v="5134.5595103584665" u="1"/>
        <n v="117849.51836208264" u="1"/>
        <n v="64445.226701833366" u="1"/>
        <n v="21481.742233944457" u="1"/>
        <n v="161113.0654254535" u="1"/>
        <n v="80556.532712726752" u="1"/>
        <n v="26852.17757090892" u="1"/>
        <n v="155016.73778872876" u="1"/>
        <n v="144401.7992036845" u="1"/>
        <n v="75801.469398259578" u="1"/>
        <n v="193562.21050301407" u="1"/>
        <n v="44217.523815651417" u="1"/>
        <n v="21155.716349870509" u="1"/>
        <n v="7051.9054499568356" u="1"/>
        <n v="4353.9741360813014" u="1"/>
        <n v="4771.2941360813011" u="1"/>
        <n v="28788.716435000857" u="1"/>
        <n v="24205.935894510891" u="1"/>
        <n v="6051.4839736277227" u="1"/>
        <n v="26837.651736530013" u="1"/>
        <n v="29083.476683088269" u="1"/>
        <n v="110606.13615210756" u="1"/>
        <n v="117849.51836208263" u="1"/>
        <n v="145001.7594145601" u="1"/>
        <n v="72500.879707280052" u="1"/>
        <n v="48333.919804853365" u="1"/>
        <n v="65947.585794416824" u="1"/>
        <n v="164453.71884595603" u="1"/>
        <n v="56225.11099308305" u="1"/>
        <n v="15836.642766224402" u="1"/>
        <n v="220470.22093915599" u="1"/>
        <n v="110235.11046957799" u="1"/>
        <n v="73490.073646385354" u="1"/>
        <n v="161470.34554629365" u="1"/>
        <n v="40346.827758949992" u="1"/>
        <n v="1408.2797657165549" u="1"/>
        <n v="3342.4361528082791" u="1"/>
        <n v="77505.765862220956" u="1"/>
        <n v="197914.20253609217" u="1"/>
        <n v="24750.174565335896" u="1"/>
        <n v="6187.5436413339739" u="1"/>
        <n v="16868.962010753025" u="1"/>
        <n v="27441.061080948944" u="1"/>
        <n v="251621.73913043487" u="1"/>
        <n v="125810.86956521744" u="1"/>
        <n v="83873.9130434783" u="1"/>
        <n v="18976.677614565546" u="1"/>
        <n v="32769.107635094777" u="1"/>
        <n v="16384.553817547388" u="1"/>
        <n v="10923.035878364926" u="1"/>
        <n v="4279.7734796356608" u="1"/>
        <n v="4697.0934796356605" u="1"/>
        <n v="108789.5413056097" u="1"/>
        <n v="133569.5233897485" u="1"/>
        <n v="10850.807220710936" u="1"/>
        <n v="43692.143513459705" u="1"/>
        <n v="11880.788498403772" u="1"/>
        <n v="5103.3561817832333" u="1"/>
        <n v="238303.26998269407" u="1"/>
        <n v="97890.762496250478" u="1"/>
        <n v="2141.0632256906665" u="1"/>
        <n v="117318.53291455709" u="1"/>
        <n v="17260.470550415484" u="1"/>
        <n v="320389.43370665284" u="1"/>
        <n v="240292.07527998963" u="1"/>
        <n v="120146.03763999481" u="1"/>
        <n v="80097.35842666321" u="1"/>
        <n v="168725.6717241641" u="1"/>
        <n v="42265.247948992401" u="1"/>
        <n v="10566.3119872481" u="1"/>
        <n v="6749.0268689665654" u="1"/>
        <n v="80988.322427598774" u="1"/>
        <n v="206807.05583230799" u="1"/>
        <n v="25862.270961879876" u="1"/>
        <n v="6465.5677404699691" u="1"/>
        <n v="17626.932901668279" u="1"/>
        <n v="71685.166834233023" u="1"/>
        <n v="23623.427839044518" u="1"/>
        <n v="42832.818186363569" u="1"/>
        <n v="32124.61363977268" u="1"/>
        <n v="16062.30681988634" u="1"/>
        <n v="10708.204546590892" u="1"/>
        <n v="33802.930936766294" u="1"/>
        <n v="123944.0801014764" u="1"/>
        <n v="18028.229832942023" u="1"/>
        <n v="5332.5790172737188" u="1"/>
        <n v="5749.8990172737185" u="1"/>
        <n v="43800.874263649894" u="1"/>
        <n v="89763.34249625048" u="1"/>
        <n v="1214874.9318671268" u="1"/>
        <n v="981371.26323817228" u="1"/>
        <n v="49068.563161908613" u="1"/>
        <n v="6265.4200753602045" u="1"/>
        <n v="102501.75992409332" u="1"/>
        <n v="38438.159971535002" u="1"/>
        <n v="208206.69984581455" u="1"/>
        <n v="78119.153782149617" u="1"/>
        <n v="485762.29172510392" u="1"/>
        <n v="323841.52781673596" u="1"/>
        <n v="242881.14586255196" u="1"/>
        <n v="121440.57293127598" u="1"/>
        <n v="80960.381954183991" u="1"/>
        <n v="183723.11749623527" u="1"/>
        <n v="46022.060754541155" u="1"/>
        <n v="11505.515188635289" u="1"/>
        <n v="7348.9246998494109" u="1"/>
        <n v="88187.096398192924" u="1"/>
        <n v="225189.42511513556" u="1"/>
        <n v="29395.698799397644" u="1"/>
        <n v="35274.838559277174" u="1"/>
        <n v="19193.730459024493" u="1"/>
        <n v="26442.546680371765" u="1"/>
        <n v="10577.018672148706" u="1"/>
        <n v="57533.16421621928" u="1"/>
        <n v="38355.442810812856" u="1"/>
        <n v="28766.58210810964" u="1"/>
        <n v="14383.29105405482" u="1"/>
        <n v="9588.860702703214" u="1"/>
        <n v="40944.753187316157" u="1"/>
        <n v="109186.00849950976" u="1"/>
        <n v="9553.7757437071032" u="1"/>
        <n v="21837.201699901951" u="1"/>
        <n v="5070.5803372339133" u="1"/>
        <n v="33408.909042411346" u="1"/>
        <n v="89090.424113096931" u="1"/>
        <n v="7795.4121098959813" u="1"/>
        <n v="17818.084822619385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419369.56521739147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561857458204031E-3" maxValue="4.9991545965895057E-3"/>
    </cacheField>
    <cacheField name="FINANCE PAYMENT DATE" numFmtId="0">
      <sharedItems containsNonDate="0" containsDate="1" containsString="0" containsBlank="1" minDate="2024-04-12T00:00:00" maxDate="2025-10-01T00:00:00"/>
    </cacheField>
    <cacheField name="Total COS" numFmtId="0">
      <sharedItems containsString="0" containsBlank="1" containsNumber="1" minValue="0" maxValue="4255658.939999999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465509259" createdVersion="8" refreshedVersion="8" minRefreshableVersion="3" recordCount="169" xr:uid="{5501410B-D70C-4B2D-91F7-76BD0FC02E9D}">
  <cacheSource type="worksheet">
    <worksheetSource ref="M4:T173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51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m/>
    <x v="0"/>
    <m/>
    <m/>
    <m/>
    <m/>
    <m/>
    <m/>
    <x v="0"/>
    <x v="0"/>
    <m/>
    <m/>
    <m/>
  </r>
  <r>
    <n v="1"/>
    <x v="1"/>
    <s v="Jinko 585W - TSS (1400)"/>
    <n v="1602"/>
    <n v="1327.95"/>
    <n v="2127375.9"/>
    <m/>
    <s v="Menlo Inv IN0002290"/>
    <x v="1"/>
    <x v="1"/>
    <n v="0"/>
    <d v="2025-02-07T00:00:00"/>
    <n v="4255658.9399999995"/>
  </r>
  <r>
    <n v="1"/>
    <x v="1"/>
    <s v="Jinko 585W - CPD1 (1804)"/>
    <n v="1602"/>
    <m/>
    <n v="2127375.9"/>
    <m/>
    <s v="Menlo Inv IN0002363"/>
    <x v="1"/>
    <x v="1"/>
    <m/>
    <d v="2025-02-20T00:00:00"/>
    <m/>
  </r>
  <r>
    <n v="1"/>
    <x v="1"/>
    <m/>
    <m/>
    <m/>
    <m/>
    <m/>
    <m/>
    <x v="2"/>
    <x v="2"/>
    <m/>
    <m/>
    <m/>
  </r>
  <r>
    <n v="1"/>
    <x v="1"/>
    <m/>
    <m/>
    <m/>
    <m/>
    <m/>
    <m/>
    <x v="0"/>
    <x v="2"/>
    <m/>
    <m/>
    <m/>
  </r>
  <r>
    <n v="1"/>
    <x v="1"/>
    <s v="Storage "/>
    <m/>
    <m/>
    <n v="685.71"/>
    <m/>
    <s v="Supply Chain - Inv SCO05052"/>
    <x v="3"/>
    <x v="2"/>
    <m/>
    <d v="2025-06-27T00:00:00"/>
    <m/>
  </r>
  <r>
    <n v="1"/>
    <x v="1"/>
    <m/>
    <m/>
    <m/>
    <m/>
    <m/>
    <m/>
    <x v="0"/>
    <x v="0"/>
    <m/>
    <d v="2025-09-30T00:00:00"/>
    <m/>
  </r>
  <r>
    <n v="1"/>
    <x v="1"/>
    <m/>
    <m/>
    <m/>
    <n v="221.43"/>
    <m/>
    <s v="Supply Chain - SCO05164"/>
    <x v="4"/>
    <x v="2"/>
    <m/>
    <d v="2025-08-30T00:00:00"/>
    <m/>
  </r>
  <r>
    <m/>
    <x v="0"/>
    <m/>
    <m/>
    <m/>
    <m/>
    <m/>
    <m/>
    <x v="2"/>
    <x v="0"/>
    <m/>
    <m/>
    <m/>
  </r>
  <r>
    <n v="2"/>
    <x v="2"/>
    <s v="SolarEdge 100kW"/>
    <n v="18"/>
    <n v="18950"/>
    <n v="341100"/>
    <s v="PO3553-TSD-20250121 - RV Approved"/>
    <s v="HERHOLDT'S - INV995250"/>
    <x v="5"/>
    <x v="3"/>
    <n v="0"/>
    <d v="2025-03-28T00:00:00"/>
    <n v="3159240"/>
  </r>
  <r>
    <n v="2"/>
    <x v="2"/>
    <s v="Solar Edge Synergy unit"/>
    <n v="54"/>
    <n v="15710"/>
    <n v="848340"/>
    <m/>
    <s v="HERHOLDT'S - INV995250"/>
    <x v="5"/>
    <x v="4"/>
    <m/>
    <d v="2025-03-28T00:00:00"/>
    <m/>
  </r>
  <r>
    <n v="2"/>
    <x v="2"/>
    <s v="S1200 Optimiser - TSS"/>
    <n v="825"/>
    <n v="1160"/>
    <n v="957000"/>
    <s v="PO3554-TSD-20250121"/>
    <s v="HERHOLDT'S - INV987265"/>
    <x v="6"/>
    <x v="5"/>
    <m/>
    <d v="2025-02-27T00:00:00"/>
    <m/>
  </r>
  <r>
    <n v="2"/>
    <x v="2"/>
    <s v="S1200 Optimiser - CPD1"/>
    <n v="825"/>
    <n v="1160"/>
    <n v="957000"/>
    <m/>
    <s v="HERHOLDT'S - INV987265"/>
    <x v="6"/>
    <x v="5"/>
    <m/>
    <d v="2025-02-27T00:00:00"/>
    <m/>
  </r>
  <r>
    <n v="2"/>
    <x v="2"/>
    <s v="Spare Optimizer 1200W/80V"/>
    <n v="60"/>
    <m/>
    <n v="55800"/>
    <s v="PO4193-TSG-20250804 - RV Approved"/>
    <s v="Herholdts - INV1113245"/>
    <x v="7"/>
    <x v="2"/>
    <m/>
    <d v="2025-09-30T00:00:00"/>
    <m/>
  </r>
  <r>
    <n v="2"/>
    <x v="2"/>
    <m/>
    <m/>
    <m/>
    <n v="0"/>
    <m/>
    <m/>
    <x v="0"/>
    <x v="2"/>
    <m/>
    <m/>
    <m/>
  </r>
  <r>
    <m/>
    <x v="0"/>
    <m/>
    <m/>
    <m/>
    <m/>
    <m/>
    <m/>
    <x v="2"/>
    <x v="0"/>
    <m/>
    <m/>
    <m/>
  </r>
  <r>
    <n v="3"/>
    <x v="3"/>
    <s v="IBR Roof"/>
    <m/>
    <m/>
    <n v="346295"/>
    <s v="PO3465-TRID-20241115 - RV Approved"/>
    <s v="SCHLETTER - INV1261"/>
    <x v="6"/>
    <x v="6"/>
    <n v="0"/>
    <d v="2025-02-26T00:00:00"/>
    <n v="385343"/>
  </r>
  <r>
    <n v="3"/>
    <x v="3"/>
    <s v="Delivery"/>
    <m/>
    <m/>
    <n v="0"/>
    <m/>
    <m/>
    <x v="0"/>
    <x v="2"/>
    <m/>
    <m/>
    <m/>
  </r>
  <r>
    <n v="3"/>
    <x v="3"/>
    <s v="MS Top Up - Trunking Incl - Schletter"/>
    <m/>
    <m/>
    <n v="39048"/>
    <s v="PO3774-TSG-20250328 - RV Approved"/>
    <s v="Schletter - INV1643"/>
    <x v="8"/>
    <x v="0"/>
    <m/>
    <d v="2025-04-30T00:00:00"/>
    <m/>
  </r>
  <r>
    <n v="3"/>
    <x v="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4"/>
    <x v="4"/>
    <s v="DC Cable "/>
    <n v="46000"/>
    <n v="13.3"/>
    <n v="611800"/>
    <m/>
    <s v="Menlo Inv IN0002363"/>
    <x v="1"/>
    <x v="7"/>
    <n v="2.779155969619751E-3"/>
    <d v="2025-02-20T00:00:00"/>
    <n v="1702752.5"/>
  </r>
  <r>
    <n v="4"/>
    <x v="4"/>
    <s v="DC Cable Budget"/>
    <n v="10000"/>
    <n v="13.3"/>
    <n v="0"/>
    <m/>
    <m/>
    <x v="0"/>
    <x v="2"/>
    <m/>
    <m/>
    <m/>
  </r>
  <r>
    <n v="4"/>
    <x v="4"/>
    <s v="Deposit - TSS"/>
    <n v="484867.78"/>
    <n v="0.3"/>
    <n v="145460.334"/>
    <s v="PO3527-TSG-20241212"/>
    <s v="Cosmic Sun CS_TRS_001"/>
    <x v="6"/>
    <x v="8"/>
    <m/>
    <d v="2025-01-09T00:00:00"/>
    <m/>
  </r>
  <r>
    <n v="4"/>
    <x v="4"/>
    <s v="All AC &amp; DC Equipment Onsite"/>
    <m/>
    <n v="0.2"/>
    <n v="96973.556000000011"/>
    <m/>
    <s v="Cosmic Sun CS_TRS_003"/>
    <x v="5"/>
    <x v="9"/>
    <m/>
    <d v="2025-02-20T00:00:00"/>
    <m/>
  </r>
  <r>
    <n v="4"/>
    <x v="4"/>
    <s v="Pracitcal Completion - TSS"/>
    <m/>
    <n v="0.3"/>
    <n v="145460.334"/>
    <m/>
    <s v="Cosmic Sun CS_TRS_008"/>
    <x v="9"/>
    <x v="10"/>
    <m/>
    <d v="2025-04-10T00:00:00"/>
    <m/>
  </r>
  <r>
    <n v="4"/>
    <x v="4"/>
    <s v="Site Fully Commissioned - TSS"/>
    <m/>
    <n v="0.15"/>
    <n v="72730.167000000001"/>
    <m/>
    <s v="Cosmic Sun CS_TRS_009"/>
    <x v="8"/>
    <x v="11"/>
    <m/>
    <d v="2025-04-17T00:00:00"/>
    <m/>
  </r>
  <r>
    <n v="4"/>
    <x v="4"/>
    <s v="Retention"/>
    <m/>
    <n v="0.05"/>
    <n v="24243.389000000003"/>
    <m/>
    <s v="Cosmic Sun CS_TRS_013"/>
    <x v="10"/>
    <x v="12"/>
    <m/>
    <d v="2025-08-21T00:00:00"/>
    <m/>
  </r>
  <r>
    <n v="4"/>
    <x v="4"/>
    <s v="CPD1"/>
    <m/>
    <m/>
    <m/>
    <m/>
    <m/>
    <x v="0"/>
    <x v="0"/>
    <m/>
    <m/>
    <m/>
  </r>
  <r>
    <n v="4"/>
    <x v="4"/>
    <s v="Deposit - CPD1"/>
    <n v="606084.72"/>
    <n v="0.3"/>
    <n v="181825.416"/>
    <m/>
    <s v="Cosmic Sun CS_TRS_001"/>
    <x v="6"/>
    <x v="0"/>
    <m/>
    <d v="2025-01-09T00:00:00"/>
    <m/>
  </r>
  <r>
    <n v="4"/>
    <x v="4"/>
    <s v="All AC &amp; DC Equipment Onsite"/>
    <m/>
    <n v="0.2"/>
    <n v="121216.944"/>
    <m/>
    <s v="Cosmic Sun CS_TRS_003"/>
    <x v="5"/>
    <x v="0"/>
    <m/>
    <d v="2025-02-20T00:00:00"/>
    <m/>
  </r>
  <r>
    <n v="4"/>
    <x v="4"/>
    <s v="Practical Completion"/>
    <m/>
    <n v="0.3"/>
    <n v="181825.416"/>
    <m/>
    <s v="Cosmic Sun CS_TRS_010"/>
    <x v="8"/>
    <x v="13"/>
    <m/>
    <d v="2025-05-08T00:00:00"/>
    <m/>
  </r>
  <r>
    <n v="4"/>
    <x v="4"/>
    <s v="Site Fully Commissioned"/>
    <m/>
    <n v="0.15"/>
    <n v="90912.707999999999"/>
    <m/>
    <s v="Cosmic Sun CS_TRS_010"/>
    <x v="8"/>
    <x v="14"/>
    <m/>
    <d v="2025-05-08T00:00:00"/>
    <m/>
  </r>
  <r>
    <n v="4"/>
    <x v="4"/>
    <s v="Retention"/>
    <m/>
    <n v="0.05"/>
    <n v="30304.236000000001"/>
    <m/>
    <s v="Cosmic Sun CS_TRS_012"/>
    <x v="10"/>
    <x v="15"/>
    <m/>
    <d v="2025-08-21T00:00:00"/>
    <m/>
  </r>
  <r>
    <m/>
    <x v="0"/>
    <m/>
    <m/>
    <m/>
    <m/>
    <m/>
    <m/>
    <x v="2"/>
    <x v="0"/>
    <m/>
    <m/>
    <m/>
  </r>
  <r>
    <n v="5"/>
    <x v="5"/>
    <s v="SolarEdge Energy Meter"/>
    <n v="2"/>
    <n v="1740"/>
    <n v="3480"/>
    <s v="PO3553-TSD-20250121 - RV Approved"/>
    <s v="HERHOLDT'S - INV995250"/>
    <x v="5"/>
    <x v="16"/>
    <n v="-2.561857458204031E-3"/>
    <d v="2025-03-28T00:00:00"/>
    <n v="419582.98"/>
  </r>
  <r>
    <n v="5"/>
    <x v="5"/>
    <s v="CTs &amp; Router: TSS &amp; CPD - AccuEnergy"/>
    <m/>
    <m/>
    <n v="21463"/>
    <s v="PO3565-TSG-20250127 - RV Approved"/>
    <s v="Accuenergy - Inv ASAI-004650"/>
    <x v="6"/>
    <x v="17"/>
    <m/>
    <d v="2025-02-27T00:00:00"/>
    <m/>
  </r>
  <r>
    <n v="5"/>
    <x v="5"/>
    <s v="Revenue Grade Meter - Techsitter "/>
    <n v="2"/>
    <n v="14934"/>
    <n v="29868"/>
    <m/>
    <s v="Matriarch INV-3710"/>
    <x v="6"/>
    <x v="18"/>
    <m/>
    <d v="2025-01-31T00:00:00"/>
    <m/>
  </r>
  <r>
    <n v="5"/>
    <x v="5"/>
    <s v="Fibre - Volkirk Deposit"/>
    <m/>
    <m/>
    <n v="40101"/>
    <s v="PO3696-TSG-20250226 - RV Approved"/>
    <s v="Volkirk Fibre INV0001116"/>
    <x v="5"/>
    <x v="19"/>
    <m/>
    <d v="2025-03-06T00:00:00"/>
    <m/>
  </r>
  <r>
    <n v="5"/>
    <x v="5"/>
    <s v="Fibre - Volkirk - Balance"/>
    <m/>
    <m/>
    <n v="40101"/>
    <m/>
    <s v="Volkirk Fibre - INV0001138"/>
    <x v="9"/>
    <x v="19"/>
    <m/>
    <d v="2025-04-03T00:00:00"/>
    <m/>
  </r>
  <r>
    <n v="5"/>
    <x v="5"/>
    <s v="Solar Edge PPC-DG"/>
    <m/>
    <m/>
    <n v="61210"/>
    <s v="PO3553-TSD-20250121 - RV Approved"/>
    <s v="HERHOLDT'S - INV995250"/>
    <x v="5"/>
    <x v="20"/>
    <m/>
    <d v="2025-03-28T00:00:00"/>
    <m/>
  </r>
  <r>
    <n v="5"/>
    <x v="5"/>
    <s v="24V PSU"/>
    <m/>
    <m/>
    <n v="1460"/>
    <s v="PO3648-TSG-20250211 - RV Approved"/>
    <s v="Accuenergy - Inv ASAI-004783"/>
    <x v="5"/>
    <x v="21"/>
    <m/>
    <d v="2025-03-28T00:00:00"/>
    <m/>
  </r>
  <r>
    <n v="5"/>
    <x v="5"/>
    <s v="Janitza UMG 604 (moved from Trident PE)"/>
    <m/>
    <m/>
    <n v="18571.36"/>
    <m/>
    <s v="Harmonius Technical Inv: INV21620"/>
    <x v="5"/>
    <x v="22"/>
    <m/>
    <d v="2025-02-27T00:00:00"/>
    <m/>
  </r>
  <r>
    <n v="5"/>
    <x v="5"/>
    <s v="Shipping of Janitza"/>
    <m/>
    <m/>
    <n v="559.63"/>
    <m/>
    <s v="DSV Inv: 180121124"/>
    <x v="9"/>
    <x v="2"/>
    <m/>
    <d v="2025-04-30T00:00:00"/>
    <m/>
  </r>
  <r>
    <n v="5"/>
    <x v="5"/>
    <s v="Janitza UMG 604 - Harmonious"/>
    <m/>
    <m/>
    <n v="18571.36"/>
    <s v="PO3738-TSG-20250312 - RV Approved"/>
    <s v="Harmonius Technical QU100577"/>
    <x v="9"/>
    <x v="2"/>
    <m/>
    <d v="2025-03-13T00:00:00"/>
    <m/>
  </r>
  <r>
    <n v="5"/>
    <x v="5"/>
    <s v="Delivery of Janitza"/>
    <m/>
    <m/>
    <n v="559.63"/>
    <m/>
    <s v="DSV Inv:  180121124"/>
    <x v="3"/>
    <x v="23"/>
    <m/>
    <m/>
    <m/>
  </r>
  <r>
    <n v="5"/>
    <x v="5"/>
    <s v="Fibre - Volkirk : Main Sub - Deposit"/>
    <m/>
    <m/>
    <n v="23617.5"/>
    <s v="PO3752-TSG-20250317 - RV Approved"/>
    <s v="Volkirk Properties INV0001127"/>
    <x v="9"/>
    <x v="24"/>
    <m/>
    <d v="2025-03-28T00:00:00"/>
    <m/>
  </r>
  <r>
    <n v="5"/>
    <x v="5"/>
    <s v="Fibre - Volkirk : Main Sub - Balance"/>
    <m/>
    <m/>
    <n v="23617.5"/>
    <m/>
    <s v="Volkirk Properties INV0001139"/>
    <x v="9"/>
    <x v="25"/>
    <m/>
    <d v="2025-04-03T00:00:00"/>
    <m/>
  </r>
  <r>
    <n v="5"/>
    <x v="5"/>
    <s v="SE Hark EMS Package - Herholdts"/>
    <n v="1"/>
    <n v="97750"/>
    <n v="97750"/>
    <s v="PO3952-TSG-20250523 - RV Approved"/>
    <s v="Herholdts - INV1071481"/>
    <x v="3"/>
    <x v="26"/>
    <m/>
    <d v="2025-06-27T00:00:00"/>
    <m/>
  </r>
  <r>
    <n v="5"/>
    <x v="5"/>
    <s v="Commisioning - Solar Edge Hours"/>
    <n v="4"/>
    <n v="5550"/>
    <n v="22200"/>
    <s v="PO3861-TSG-20250509 - RV Approved"/>
    <s v="Herholdts - INV1058643"/>
    <x v="3"/>
    <x v="27"/>
    <m/>
    <d v="2025-06-27T00:00:00"/>
    <m/>
  </r>
  <r>
    <n v="5"/>
    <x v="5"/>
    <s v="Fiber - Gensets"/>
    <m/>
    <m/>
    <n v="16453"/>
    <s v="PO4074-TSG-20250630 - RV Approved"/>
    <s v="VP Fibre - INV0001201"/>
    <x v="10"/>
    <x v="2"/>
    <m/>
    <d v="2025-07-11T00:00:00"/>
    <m/>
  </r>
  <r>
    <m/>
    <x v="0"/>
    <m/>
    <m/>
    <m/>
    <m/>
    <m/>
    <m/>
    <x v="2"/>
    <x v="0"/>
    <m/>
    <m/>
    <m/>
  </r>
  <r>
    <n v="6"/>
    <x v="6"/>
    <m/>
    <m/>
    <m/>
    <m/>
    <m/>
    <m/>
    <x v="2"/>
    <x v="2"/>
    <n v="1.3183329720050097E-3"/>
    <m/>
    <n v="1529166.87"/>
  </r>
  <r>
    <n v="6"/>
    <x v="6"/>
    <s v="DB Board Fast Track Fee"/>
    <m/>
    <m/>
    <n v="14956"/>
    <s v="PO3612-TRID-20210131 - RV Approved"/>
    <s v="CS_TRS_002"/>
    <x v="5"/>
    <x v="28"/>
    <m/>
    <d v="2025-02-13T00:00:00"/>
    <m/>
  </r>
  <r>
    <n v="6"/>
    <x v="6"/>
    <m/>
    <m/>
    <m/>
    <m/>
    <m/>
    <m/>
    <x v="2"/>
    <x v="2"/>
    <m/>
    <m/>
    <m/>
  </r>
  <r>
    <n v="6"/>
    <x v="6"/>
    <s v="VO - AC Cable : Cosmic Sun"/>
    <m/>
    <m/>
    <n v="126142"/>
    <s v="PO3675-TSG-20250219 - RV Approved"/>
    <s v="Cosmic Sun CS_TRS_005"/>
    <x v="5"/>
    <x v="29"/>
    <m/>
    <d v="2025-02-20T00:00:00"/>
    <m/>
  </r>
  <r>
    <n v="6"/>
    <x v="6"/>
    <s v="Deposit - TSS"/>
    <n v="616919.5"/>
    <n v="0.3"/>
    <n v="185075.85"/>
    <s v="PO3527-TSG-20241212"/>
    <s v="Cosmic Sun CS_TRS_001"/>
    <x v="6"/>
    <x v="30"/>
    <m/>
    <d v="2025-01-09T00:00:00"/>
    <m/>
  </r>
  <r>
    <n v="6"/>
    <x v="6"/>
    <s v="All AC &amp; DC Equipment Onsite"/>
    <m/>
    <n v="0.2"/>
    <n v="123383.90000000001"/>
    <m/>
    <s v="Cosmic Sun CS_TRS_003"/>
    <x v="5"/>
    <x v="31"/>
    <m/>
    <d v="2025-02-20T00:00:00"/>
    <m/>
  </r>
  <r>
    <n v="6"/>
    <x v="6"/>
    <s v="Pracitcal Completion - TSS"/>
    <m/>
    <n v="0.3"/>
    <n v="185075.85"/>
    <m/>
    <s v="Cosmic Sun CS_TRS_008"/>
    <x v="9"/>
    <x v="32"/>
    <m/>
    <d v="2025-04-10T00:00:00"/>
    <m/>
  </r>
  <r>
    <n v="6"/>
    <x v="6"/>
    <s v="Site Fully Commissioned - TSS"/>
    <m/>
    <n v="0.15"/>
    <n v="92537.925000000003"/>
    <m/>
    <s v="Cosmic Sun CS_TRS_009"/>
    <x v="8"/>
    <x v="33"/>
    <m/>
    <d v="2025-04-17T00:00:00"/>
    <m/>
  </r>
  <r>
    <n v="6"/>
    <x v="6"/>
    <s v="Retention"/>
    <m/>
    <n v="0.05"/>
    <n v="30845.975000000002"/>
    <m/>
    <s v="Cosmic Sun CS_TRS_013"/>
    <x v="10"/>
    <x v="34"/>
    <m/>
    <d v="2025-08-21T00:00:00"/>
    <m/>
  </r>
  <r>
    <n v="6"/>
    <x v="6"/>
    <s v="CPD1"/>
    <m/>
    <m/>
    <m/>
    <m/>
    <m/>
    <x v="0"/>
    <x v="0"/>
    <m/>
    <m/>
    <m/>
  </r>
  <r>
    <n v="6"/>
    <x v="6"/>
    <s v="Deposit - CPD1"/>
    <n v="771149.37"/>
    <n v="0.3"/>
    <n v="231344.81099999999"/>
    <m/>
    <s v="Cosmic Sun CS_TRS_001"/>
    <x v="6"/>
    <x v="0"/>
    <m/>
    <d v="2025-01-09T00:00:00"/>
    <m/>
  </r>
  <r>
    <n v="6"/>
    <x v="6"/>
    <s v="All AC &amp; DC Equipment Onsite"/>
    <m/>
    <n v="0.2"/>
    <n v="154229.87400000001"/>
    <m/>
    <s v="Cosmic Sun CS_TRS_003"/>
    <x v="5"/>
    <x v="0"/>
    <m/>
    <d v="2025-02-20T00:00:00"/>
    <m/>
  </r>
  <r>
    <n v="6"/>
    <x v="6"/>
    <s v="Practical Completion"/>
    <m/>
    <n v="0.3"/>
    <n v="231344.81099999999"/>
    <m/>
    <s v="Cosmic Sun CS_TRS_010"/>
    <x v="8"/>
    <x v="35"/>
    <m/>
    <d v="2025-05-08T00:00:00"/>
    <m/>
  </r>
  <r>
    <n v="6"/>
    <x v="6"/>
    <s v="Site Fully Commissioned"/>
    <m/>
    <n v="0.15"/>
    <n v="115672.40549999999"/>
    <m/>
    <s v="Cosmic Sun CS_TRS_010"/>
    <x v="8"/>
    <x v="36"/>
    <m/>
    <d v="2025-05-08T00:00:00"/>
    <m/>
  </r>
  <r>
    <n v="6"/>
    <x v="6"/>
    <s v="Retention"/>
    <m/>
    <n v="0.05"/>
    <n v="38557.468500000003"/>
    <m/>
    <s v="Cosmic Sun CS_TRS_012"/>
    <x v="10"/>
    <x v="37"/>
    <m/>
    <d v="2025-08-21T00:00:00"/>
    <m/>
  </r>
  <r>
    <m/>
    <x v="0"/>
    <m/>
    <m/>
    <m/>
    <m/>
    <m/>
    <m/>
    <x v="2"/>
    <x v="0"/>
    <m/>
    <m/>
    <m/>
  </r>
  <r>
    <n v="7"/>
    <x v="7"/>
    <m/>
    <m/>
    <m/>
    <m/>
    <m/>
    <m/>
    <x v="2"/>
    <x v="0"/>
    <n v="0"/>
    <m/>
    <n v="0"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8"/>
    <x v="8"/>
    <s v="RUT Power Supply - AccuEnergy"/>
    <m/>
    <m/>
    <n v="99"/>
    <s v="PO3858-TSG-20250508"/>
    <s v="ASAI - 005420"/>
    <x v="3"/>
    <x v="38"/>
    <n v="3.1841852469369769E-3"/>
    <d v="2025-06-27T00:00:00"/>
    <n v="492321.82"/>
  </r>
  <r>
    <n v="8"/>
    <x v="8"/>
    <s v="Plug point Fibre and Comms at Sub - Cosmic Sun"/>
    <m/>
    <m/>
    <n v="1500"/>
    <s v="PO3939-TSG-20250520 - RV Approved"/>
    <s v="Cosmic Sun: CS_TRS_011"/>
    <x v="3"/>
    <x v="39"/>
    <m/>
    <d v="2025-05-29T00:00:00"/>
    <m/>
  </r>
  <r>
    <n v="8"/>
    <x v="8"/>
    <s v="Permanent Anchor Points - ATS Africa"/>
    <n v="171800"/>
    <n v="0.5"/>
    <n v="85900"/>
    <s v="PO3803-TSG-20250414 - RV Approved"/>
    <s v="ATS AFRICA - INV-0386"/>
    <x v="8"/>
    <x v="40"/>
    <m/>
    <d v="2025-05-08T00:00:00"/>
    <m/>
  </r>
  <r>
    <n v="8"/>
    <x v="8"/>
    <m/>
    <m/>
    <n v="0.5"/>
    <n v="85900"/>
    <m/>
    <s v="ATS AFRICA - INV-0386"/>
    <x v="8"/>
    <x v="40"/>
    <m/>
    <d v="2025-06-19T00:00:00"/>
    <m/>
  </r>
  <r>
    <n v="8"/>
    <x v="8"/>
    <s v="Walkways- Cosmic Sun = 120m"/>
    <m/>
    <m/>
    <n v="16800"/>
    <s v="PO3676-TSG-20250219 - RV Approved"/>
    <s v="Cosmic Sun CS_TRS_006"/>
    <x v="5"/>
    <x v="41"/>
    <m/>
    <d v="2025-06-12T00:00:00"/>
    <m/>
  </r>
  <r>
    <n v="8"/>
    <x v="8"/>
    <s v="Walkways - Onvlee"/>
    <n v="21.052631578947366"/>
    <n v="2974.66"/>
    <n v="62467.86"/>
    <s v="PO3697-TSG-20250226 - RV Approved"/>
    <s v="Onvlee PO-3697-TSG-20250226"/>
    <x v="9"/>
    <x v="42"/>
    <m/>
    <d v="2025-03-13T00:00:00"/>
    <m/>
  </r>
  <r>
    <n v="8"/>
    <x v="8"/>
    <s v="Walkways Fastners"/>
    <n v="23"/>
    <n v="94.8"/>
    <n v="2180.4"/>
    <m/>
    <s v="Onvlee PO-3697-TSG-20250226"/>
    <x v="9"/>
    <x v="43"/>
    <m/>
    <d v="2025-03-13T00:00:00"/>
    <m/>
  </r>
  <r>
    <n v="8"/>
    <x v="8"/>
    <s v="Delivery "/>
    <m/>
    <m/>
    <n v="5175"/>
    <m/>
    <s v="Onvlee PO-3697-TSG-20250226"/>
    <x v="9"/>
    <x v="44"/>
    <m/>
    <d v="2025-03-13T00:00:00"/>
    <m/>
  </r>
  <r>
    <n v="8"/>
    <x v="8"/>
    <s v="Cat6 Cable - Cosmic Sun"/>
    <m/>
    <m/>
    <n v="10519"/>
    <s v="PO4086-TSG-20250702 - RV Approved"/>
    <s v="Cosmic Sun CS_TRS_014"/>
    <x v="10"/>
    <x v="2"/>
    <m/>
    <d v="2025-07-03T00:00:00"/>
    <m/>
  </r>
  <r>
    <n v="8"/>
    <x v="8"/>
    <s v="Lifting &amp; Rigging"/>
    <m/>
    <m/>
    <m/>
    <m/>
    <m/>
    <x v="2"/>
    <x v="2"/>
    <m/>
    <m/>
    <m/>
  </r>
  <r>
    <n v="8"/>
    <x v="8"/>
    <s v="Additional Courier"/>
    <m/>
    <m/>
    <n v="1100"/>
    <s v="PO3923-TSG-20250516 - RV Approved"/>
    <s v="Supply Chain - INV SCO05026"/>
    <x v="3"/>
    <x v="2"/>
    <m/>
    <d v="2025-06-19T00:00:00"/>
    <m/>
  </r>
  <r>
    <n v="8"/>
    <x v="8"/>
    <s v="Temp Fence Transport &amp; Labour"/>
    <m/>
    <m/>
    <n v="12000"/>
    <s v="PO3552-TRID-20250121 - RV Approved"/>
    <s v="Supply Chain Optimiser Inv SCO04728"/>
    <x v="6"/>
    <x v="45"/>
    <m/>
    <d v="2025-02-20T00:00:00"/>
    <m/>
  </r>
  <r>
    <n v="8"/>
    <x v="8"/>
    <s v="Waterpoints - Deposit"/>
    <n v="0.5"/>
    <n v="47900"/>
    <n v="23950"/>
    <s v="PO3621-TSG-20250205 - RV Approved"/>
    <s v="Plumbryt INV 3621-250314/01"/>
    <x v="9"/>
    <x v="2"/>
    <m/>
    <d v="2025-03-20T00:00:00"/>
    <m/>
  </r>
  <r>
    <n v="8"/>
    <x v="8"/>
    <s v="Waterpoints - Balance"/>
    <n v="0.5"/>
    <m/>
    <n v="23950"/>
    <m/>
    <s v="Plumbryt INV 3621-250314/01"/>
    <x v="9"/>
    <x v="2"/>
    <m/>
    <d v="2025-08-07T00:00:00"/>
    <m/>
  </r>
  <r>
    <n v="8"/>
    <x v="8"/>
    <s v="MV Shutdown"/>
    <m/>
    <m/>
    <n v="0"/>
    <m/>
    <m/>
    <x v="0"/>
    <x v="2"/>
    <m/>
    <m/>
    <m/>
  </r>
  <r>
    <n v="8"/>
    <x v="8"/>
    <s v="VO - Inverter Stands, Fence works: Cosmic Sun"/>
    <n v="0.6"/>
    <n v="106215.56"/>
    <n v="63729.335999999996"/>
    <s v="PO3661-TSG-20250214 - RV Approved"/>
    <s v="Cosmic Sun CS_TRS_004"/>
    <x v="5"/>
    <x v="46"/>
    <m/>
    <d v="2025-02-20T00:00:00"/>
    <m/>
  </r>
  <r>
    <n v="8"/>
    <x v="8"/>
    <m/>
    <n v="0.4"/>
    <m/>
    <n v="42486.224000000002"/>
    <m/>
    <s v="Cosmic Sun CS_TRS_007"/>
    <x v="9"/>
    <x v="47"/>
    <m/>
    <d v="2025-04-03T00:00:00"/>
    <m/>
  </r>
  <r>
    <n v="8"/>
    <x v="8"/>
    <s v="MV Metering - Malaysian Swittchgear"/>
    <n v="0.75"/>
    <n v="44655"/>
    <n v="33491.25"/>
    <s v="PO3725-TSG-20250306 - RV Approved"/>
    <s v="Malaysian Inv SJ-11558"/>
    <x v="8"/>
    <x v="48"/>
    <m/>
    <d v="2025-04-10T00:00:00"/>
    <m/>
  </r>
  <r>
    <n v="8"/>
    <x v="8"/>
    <m/>
    <n v="0.25"/>
    <m/>
    <n v="11163.75"/>
    <m/>
    <s v="Malaysian Inv SJ-11558"/>
    <x v="8"/>
    <x v="49"/>
    <m/>
    <d v="2025-05-15T00:00:00"/>
    <m/>
  </r>
  <r>
    <n v="8"/>
    <x v="8"/>
    <s v="Domestic Transport"/>
    <m/>
    <m/>
    <n v="3500"/>
    <s v="PO3865-TSG-20250509 - RV Approved"/>
    <s v="Supply Chain - INV SCO05008"/>
    <x v="3"/>
    <x v="50"/>
    <m/>
    <d v="2025-06-12T00:00:00"/>
    <m/>
  </r>
  <r>
    <n v="8"/>
    <x v="8"/>
    <s v="Walkways Mount Kits Top Up - Onvlee"/>
    <n v="50"/>
    <n v="94.8"/>
    <n v="4740"/>
    <s v="PO3914-TSG-20250515 - RV Approved"/>
    <s v="Onvlee INV01050372"/>
    <x v="3"/>
    <x v="51"/>
    <m/>
    <d v="2025-05-29T00:00:00"/>
    <m/>
  </r>
  <r>
    <n v="8"/>
    <x v="8"/>
    <s v="Walkways Mount Kits Top Up Delivery - Onvlee"/>
    <n v="1"/>
    <n v="1670"/>
    <n v="1670"/>
    <m/>
    <s v="Onvlee INV01050372"/>
    <x v="3"/>
    <x v="52"/>
    <m/>
    <d v="2025-05-29T00:00:00"/>
    <m/>
  </r>
  <r>
    <m/>
    <x v="0"/>
    <m/>
    <m/>
    <m/>
    <m/>
    <m/>
    <m/>
    <x v="2"/>
    <x v="0"/>
    <m/>
    <m/>
    <m/>
  </r>
  <r>
    <n v="9"/>
    <x v="9"/>
    <s v="Deposit - TSS"/>
    <n v="912222.22"/>
    <n v="0.3"/>
    <n v="273666.66599999997"/>
    <s v="PO3527-TSG-20241212"/>
    <s v="Cosmic Sun CS_TRS_001"/>
    <x v="6"/>
    <x v="53"/>
    <n v="0"/>
    <d v="2025-01-09T00:00:00"/>
    <n v="2052500"/>
  </r>
  <r>
    <n v="9"/>
    <x v="9"/>
    <s v="All AC &amp; DC Equipment Onsite"/>
    <m/>
    <n v="0.2"/>
    <n v="182444.44400000002"/>
    <m/>
    <s v="Cosmic Sun CS_TRS_003"/>
    <x v="5"/>
    <x v="54"/>
    <m/>
    <d v="2025-02-20T00:00:00"/>
    <m/>
  </r>
  <r>
    <n v="9"/>
    <x v="9"/>
    <s v="Pracitcal Completion - TSS"/>
    <m/>
    <n v="0.3"/>
    <n v="273666.66599999997"/>
    <m/>
    <s v="Cosmic Sun CS_TRS_008"/>
    <x v="9"/>
    <x v="55"/>
    <m/>
    <d v="2025-04-10T00:00:00"/>
    <m/>
  </r>
  <r>
    <n v="9"/>
    <x v="9"/>
    <s v="Site Fully Commissioned - TSS"/>
    <m/>
    <n v="0.15"/>
    <n v="136833.33299999998"/>
    <m/>
    <s v="Cosmic Sun CS_TRS_009"/>
    <x v="8"/>
    <x v="56"/>
    <m/>
    <d v="2025-04-17T00:00:00"/>
    <m/>
  </r>
  <r>
    <n v="9"/>
    <x v="9"/>
    <s v="Retention"/>
    <m/>
    <n v="0.05"/>
    <n v="45611.111000000004"/>
    <m/>
    <s v="Cosmic Sun CS_TRS_013"/>
    <x v="10"/>
    <x v="57"/>
    <m/>
    <d v="2025-08-21T00:00:00"/>
    <m/>
  </r>
  <r>
    <n v="9"/>
    <x v="9"/>
    <s v="CPD1"/>
    <m/>
    <m/>
    <m/>
    <m/>
    <m/>
    <x v="0"/>
    <x v="0"/>
    <m/>
    <m/>
    <m/>
  </r>
  <r>
    <n v="9"/>
    <x v="9"/>
    <s v="Deposit - CPD1"/>
    <n v="1140277.78"/>
    <n v="0.3"/>
    <n v="342083.33399999997"/>
    <m/>
    <s v="Cosmic Sun CS_TRS_001"/>
    <x v="6"/>
    <x v="0"/>
    <m/>
    <d v="2025-01-09T00:00:00"/>
    <m/>
  </r>
  <r>
    <n v="9"/>
    <x v="9"/>
    <s v="All AC &amp; DC Equipment Onsite"/>
    <m/>
    <n v="0.2"/>
    <n v="228055.55600000001"/>
    <m/>
    <s v="Cosmic Sun CS_TRS_003"/>
    <x v="5"/>
    <x v="0"/>
    <m/>
    <d v="2025-02-20T00:00:00"/>
    <m/>
  </r>
  <r>
    <n v="9"/>
    <x v="9"/>
    <s v="Practical Completion"/>
    <m/>
    <n v="0.3"/>
    <n v="342083.33399999997"/>
    <m/>
    <s v="Cosmic Sun CS_TRS_010"/>
    <x v="8"/>
    <x v="58"/>
    <m/>
    <d v="2025-05-08T00:00:00"/>
    <m/>
  </r>
  <r>
    <n v="9"/>
    <x v="9"/>
    <s v="Site Fully Commissioned"/>
    <m/>
    <n v="0.15"/>
    <n v="171041.66699999999"/>
    <m/>
    <s v="Cosmic Sun CS_TRS_010"/>
    <x v="8"/>
    <x v="59"/>
    <m/>
    <d v="2025-05-08T00:00:00"/>
    <m/>
  </r>
  <r>
    <n v="9"/>
    <x v="9"/>
    <s v="Retention"/>
    <m/>
    <n v="0.05"/>
    <n v="57013.889000000003"/>
    <m/>
    <s v="Cosmic Sun CS_TRS_012"/>
    <x v="10"/>
    <x v="60"/>
    <m/>
    <d v="2025-08-21T00:00:00"/>
    <m/>
  </r>
  <r>
    <m/>
    <x v="0"/>
    <m/>
    <m/>
    <m/>
    <m/>
    <m/>
    <m/>
    <x v="2"/>
    <x v="0"/>
    <m/>
    <m/>
    <m/>
  </r>
  <r>
    <n v="10"/>
    <x v="10"/>
    <m/>
    <m/>
    <m/>
    <m/>
    <m/>
    <m/>
    <x v="0"/>
    <x v="2"/>
    <n v="2.5339913263451308E-3"/>
    <m/>
    <n v="424330.00000000006"/>
  </r>
  <r>
    <n v="10"/>
    <x v="10"/>
    <m/>
    <m/>
    <m/>
    <m/>
    <m/>
    <m/>
    <x v="0"/>
    <x v="2"/>
    <m/>
    <m/>
    <m/>
  </r>
  <r>
    <n v="10"/>
    <x v="10"/>
    <m/>
    <m/>
    <m/>
    <m/>
    <m/>
    <m/>
    <x v="0"/>
    <x v="2"/>
    <m/>
    <m/>
    <m/>
  </r>
  <r>
    <n v="10"/>
    <x v="10"/>
    <s v="Security - Jan "/>
    <m/>
    <m/>
    <n v="1950"/>
    <s v="PO3582-TSG-20250129 - RV Approved"/>
    <s v="Infantry - INV-2558"/>
    <x v="6"/>
    <x v="61"/>
    <m/>
    <d v="2025-01-30T00:00:00"/>
    <m/>
  </r>
  <r>
    <n v="10"/>
    <x v="10"/>
    <s v="Security - April"/>
    <m/>
    <m/>
    <n v="650"/>
    <s v="PO3810-TSG-20250416 - RV Approved"/>
    <s v="Infantry - INV-2759"/>
    <x v="8"/>
    <x v="2"/>
    <m/>
    <d v="2025-04-17T00:00:00"/>
    <m/>
  </r>
  <r>
    <n v="10"/>
    <x v="10"/>
    <s v="Security - Feb"/>
    <m/>
    <m/>
    <n v="27600"/>
    <s v="PO3583-TSG-20250129 - RV Approved"/>
    <s v="Infantry - INV-2559"/>
    <x v="6"/>
    <x v="62"/>
    <m/>
    <d v="2025-02-07T00:00:00"/>
    <m/>
  </r>
  <r>
    <n v="10"/>
    <x v="10"/>
    <s v="Security - Mar"/>
    <m/>
    <m/>
    <n v="31500"/>
    <s v="PO3710-TSG-20250303 - RV Approved"/>
    <s v="Infantry - INV-2670"/>
    <x v="9"/>
    <x v="63"/>
    <m/>
    <d v="2025-03-13T00:00:00"/>
    <m/>
  </r>
  <r>
    <m/>
    <x v="0"/>
    <m/>
    <m/>
    <m/>
    <m/>
    <m/>
    <m/>
    <x v="0"/>
    <x v="0"/>
    <m/>
    <m/>
    <m/>
  </r>
  <r>
    <n v="10"/>
    <x v="10"/>
    <s v="Deposit -TSS"/>
    <n v="161168.89000000001"/>
    <n v="0.3"/>
    <n v="48350.667000000001"/>
    <m/>
    <s v="Cosmic Sun CS_TRS_001"/>
    <x v="6"/>
    <x v="64"/>
    <m/>
    <d v="2025-01-09T00:00:00"/>
    <m/>
  </r>
  <r>
    <n v="10"/>
    <x v="10"/>
    <s v="All AC &amp; DC Equipment Onsite"/>
    <m/>
    <n v="0.2"/>
    <n v="32233.778000000006"/>
    <m/>
    <s v="Cosmic Sun CS_TRS_003"/>
    <x v="5"/>
    <x v="65"/>
    <m/>
    <d v="2025-02-20T00:00:00"/>
    <m/>
  </r>
  <r>
    <n v="10"/>
    <x v="10"/>
    <s v="Pracitcal Completion - TSS"/>
    <m/>
    <n v="0.3"/>
    <n v="48350.667000000001"/>
    <m/>
    <s v="Cosmic Sun CS_TRS_008"/>
    <x v="9"/>
    <x v="66"/>
    <m/>
    <d v="2025-04-10T00:00:00"/>
    <m/>
  </r>
  <r>
    <n v="10"/>
    <x v="10"/>
    <s v="Site Fully Commissioned - TSS"/>
    <m/>
    <n v="0.15"/>
    <n v="24175.333500000001"/>
    <m/>
    <s v="Cosmic Sun CS_TRS_009"/>
    <x v="8"/>
    <x v="67"/>
    <m/>
    <d v="2025-04-17T00:00:00"/>
    <m/>
  </r>
  <r>
    <n v="10"/>
    <x v="10"/>
    <s v="Retention"/>
    <m/>
    <n v="0.05"/>
    <n v="8058.4445000000014"/>
    <m/>
    <s v="Cosmic Sun CS_TRS_013"/>
    <x v="10"/>
    <x v="68"/>
    <m/>
    <d v="2025-08-21T00:00:00"/>
    <m/>
  </r>
  <r>
    <n v="10"/>
    <x v="10"/>
    <s v="CPD1"/>
    <m/>
    <m/>
    <m/>
    <m/>
    <m/>
    <x v="0"/>
    <x v="0"/>
    <m/>
    <m/>
    <m/>
  </r>
  <r>
    <n v="10"/>
    <x v="10"/>
    <s v="Deposit - CPD1"/>
    <n v="201461.11"/>
    <n v="0.3"/>
    <n v="60438.332999999991"/>
    <m/>
    <s v="Cosmic Sun CS_TRS_001"/>
    <x v="6"/>
    <x v="0"/>
    <m/>
    <d v="2025-01-09T00:00:00"/>
    <m/>
  </r>
  <r>
    <n v="10"/>
    <x v="10"/>
    <s v="All AC &amp; DC Equipment Onsite"/>
    <m/>
    <n v="0.2"/>
    <n v="40292.222000000002"/>
    <m/>
    <s v="Cosmic Sun CS_TRS_003"/>
    <x v="5"/>
    <x v="0"/>
    <m/>
    <d v="2025-02-20T00:00:00"/>
    <m/>
  </r>
  <r>
    <n v="10"/>
    <x v="10"/>
    <s v="Practical Completion"/>
    <m/>
    <n v="0.3"/>
    <n v="60438.332999999991"/>
    <m/>
    <s v="Cosmic Sun CS_TRS_010"/>
    <x v="8"/>
    <x v="69"/>
    <m/>
    <d v="2025-05-08T00:00:00"/>
    <m/>
  </r>
  <r>
    <n v="10"/>
    <x v="10"/>
    <s v="Site Fully Commissioned"/>
    <m/>
    <n v="0.15"/>
    <n v="30219.166499999996"/>
    <m/>
    <s v="Cosmic Sun CS_TRS_010"/>
    <x v="8"/>
    <x v="70"/>
    <m/>
    <d v="2025-05-08T00:00:00"/>
    <m/>
  </r>
  <r>
    <n v="10"/>
    <x v="10"/>
    <s v="Retention"/>
    <m/>
    <n v="0.05"/>
    <n v="10073.0555"/>
    <m/>
    <s v="Cosmic Sun CS_TRS_012"/>
    <x v="10"/>
    <x v="71"/>
    <m/>
    <d v="2025-08-21T00:00:00"/>
    <m/>
  </r>
  <r>
    <n v="10"/>
    <x v="10"/>
    <m/>
    <m/>
    <m/>
    <m/>
    <m/>
    <m/>
    <x v="0"/>
    <x v="2"/>
    <m/>
    <m/>
    <m/>
  </r>
  <r>
    <n v="10"/>
    <x v="10"/>
    <m/>
    <m/>
    <m/>
    <m/>
    <m/>
    <m/>
    <x v="2"/>
    <x v="2"/>
    <m/>
    <m/>
    <m/>
  </r>
  <r>
    <m/>
    <x v="0"/>
    <m/>
    <m/>
    <m/>
    <m/>
    <m/>
    <m/>
    <x v="2"/>
    <x v="0"/>
    <m/>
    <m/>
    <m/>
  </r>
  <r>
    <n v="11"/>
    <x v="11"/>
    <s v="Electrical PrEng sign off"/>
    <m/>
    <m/>
    <n v="17500"/>
    <m/>
    <s v="Sunspot E024"/>
    <x v="3"/>
    <x v="72"/>
    <n v="1.6731558134779334E-3"/>
    <d v="2025-06-05T00:00:00"/>
    <n v="120447.39"/>
  </r>
  <r>
    <n v="11"/>
    <x v="11"/>
    <s v="Travel to site"/>
    <m/>
    <m/>
    <n v="2147.39"/>
    <m/>
    <s v="Sunspot E024"/>
    <x v="3"/>
    <x v="73"/>
    <m/>
    <d v="2025-06-05T00:00:00"/>
    <m/>
  </r>
  <r>
    <n v="11"/>
    <x v="11"/>
    <s v="Structural sign off"/>
    <m/>
    <m/>
    <n v="0"/>
    <m/>
    <s v="L&amp;B Consulting Inv: 1617"/>
    <x v="1"/>
    <x v="2"/>
    <m/>
    <d v="2024-04-12T00:00:00"/>
    <m/>
  </r>
  <r>
    <n v="11"/>
    <x v="11"/>
    <s v="Grid Study - Outside of CoCT"/>
    <m/>
    <m/>
    <n v="79700"/>
    <s v="PO3689-TSG-20250220 - RV Approved"/>
    <s v="Okusha Engineering Inv EE14"/>
    <x v="8"/>
    <x v="74"/>
    <m/>
    <d v="2025-07-03T00:00:00"/>
    <m/>
  </r>
  <r>
    <n v="11"/>
    <x v="11"/>
    <s v="Lightning Risk Assessment - LPS"/>
    <m/>
    <m/>
    <n v="5100"/>
    <s v="PO3564-TSG-20250127 - RV Approved"/>
    <s v="LPS INV 306601"/>
    <x v="6"/>
    <x v="75"/>
    <m/>
    <d v="2025-03-06T00:00:00"/>
    <m/>
  </r>
  <r>
    <n v="11"/>
    <x v="11"/>
    <s v="Red Team Inspection"/>
    <n v="2"/>
    <n v="8000"/>
    <n v="16000"/>
    <m/>
    <s v="Matriarch - INV-4423"/>
    <x v="3"/>
    <x v="76"/>
    <m/>
    <d v="2025-05-31T00:00:00"/>
    <m/>
  </r>
  <r>
    <m/>
    <x v="0"/>
    <m/>
    <m/>
    <m/>
    <m/>
    <m/>
    <m/>
    <x v="2"/>
    <x v="0"/>
    <m/>
    <m/>
    <m/>
  </r>
  <r>
    <n v="12"/>
    <x v="12"/>
    <s v="Referral Fee "/>
    <m/>
    <m/>
    <n v="0"/>
    <m/>
    <m/>
    <x v="2"/>
    <x v="0"/>
    <m/>
    <m/>
    <n v="0"/>
  </r>
  <r>
    <n v="12"/>
    <x v="12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3"/>
    <x v="13"/>
    <s v="Matriarch Defects Period"/>
    <m/>
    <m/>
    <n v="200304.11174596625"/>
    <m/>
    <s v="Matriarch - INV-4422"/>
    <x v="3"/>
    <x v="77"/>
    <n v="0"/>
    <d v="2025-05-31T00:00:00"/>
    <n v="165600.00174596626"/>
  </r>
  <r>
    <n v="13"/>
    <x v="13"/>
    <m/>
    <m/>
    <m/>
    <n v="-200304.11"/>
    <m/>
    <s v="Matriarch -CN-4996"/>
    <x v="7"/>
    <x v="2"/>
    <m/>
    <d v="2025-08-31T00:00:00"/>
    <m/>
  </r>
  <r>
    <n v="13"/>
    <x v="13"/>
    <s v="MAM Performance Gaurantee"/>
    <m/>
    <m/>
    <n v="165600"/>
    <m/>
    <s v="Matriarch - INV-4997"/>
    <x v="7"/>
    <x v="2"/>
    <m/>
    <d v="2025-08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2"/>
    <x v="0"/>
    <m/>
    <m/>
    <m/>
  </r>
  <r>
    <n v="13"/>
    <x v="1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4"/>
    <x v="14"/>
    <s v="Travel to site"/>
    <m/>
    <m/>
    <n v="7446.43"/>
    <m/>
    <s v="Expense Claims"/>
    <x v="1"/>
    <x v="78"/>
    <n v="4.9991545965895057E-3"/>
    <d v="2025-01-09T00:00:00"/>
    <n v="37052.370000000003"/>
  </r>
  <r>
    <n v="14"/>
    <x v="14"/>
    <m/>
    <m/>
    <m/>
    <n v="2931"/>
    <m/>
    <s v="Expense Claims"/>
    <x v="6"/>
    <x v="79"/>
    <m/>
    <d v="2025-02-07T00:00:00"/>
    <m/>
  </r>
  <r>
    <n v="14"/>
    <x v="14"/>
    <m/>
    <m/>
    <m/>
    <n v="12977.95"/>
    <m/>
    <s v="Expense Claims"/>
    <x v="5"/>
    <x v="80"/>
    <m/>
    <d v="2025-03-06T00:00:00"/>
    <m/>
  </r>
  <r>
    <n v="14"/>
    <x v="14"/>
    <m/>
    <m/>
    <m/>
    <n v="3958.29"/>
    <m/>
    <s v="Expense Claims"/>
    <x v="9"/>
    <x v="81"/>
    <m/>
    <d v="2025-04-07T00:00:00"/>
    <m/>
  </r>
  <r>
    <n v="14"/>
    <x v="14"/>
    <m/>
    <m/>
    <m/>
    <n v="1491.59"/>
    <m/>
    <s v="Expense Claims"/>
    <x v="8"/>
    <x v="82"/>
    <m/>
    <d v="2025-05-08T00:00:00"/>
    <m/>
  </r>
  <r>
    <n v="14"/>
    <x v="14"/>
    <m/>
    <m/>
    <m/>
    <n v="1352.79"/>
    <m/>
    <s v="Expense Claims"/>
    <x v="3"/>
    <x v="83"/>
    <m/>
    <d v="2025-06-09T00:00:00"/>
    <m/>
  </r>
  <r>
    <n v="14"/>
    <x v="14"/>
    <m/>
    <m/>
    <m/>
    <n v="194.68"/>
    <m/>
    <s v="Expense Claims"/>
    <x v="10"/>
    <x v="84"/>
    <m/>
    <d v="2025-07-04T00:00:00"/>
    <m/>
  </r>
  <r>
    <n v="14"/>
    <x v="14"/>
    <m/>
    <m/>
    <m/>
    <n v="2331.4"/>
    <m/>
    <s v="Expense Claims"/>
    <x v="4"/>
    <x v="85"/>
    <m/>
    <d v="2025-08-07T00:00:00"/>
    <m/>
  </r>
  <r>
    <n v="14"/>
    <x v="14"/>
    <m/>
    <m/>
    <m/>
    <n v="4368.24"/>
    <m/>
    <s v="Expense Claims"/>
    <x v="7"/>
    <x v="86"/>
    <m/>
    <d v="2025-09-07T00:00:00"/>
    <m/>
  </r>
  <r>
    <n v="14"/>
    <x v="14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5"/>
    <x v="15"/>
    <s v="Gen Sync Fix - AfrikEnergy"/>
    <m/>
    <m/>
    <n v="4500"/>
    <s v="PO4081-TSG-20250701 - RV Approved"/>
    <s v="AfrikEnergy - INV032882"/>
    <x v="4"/>
    <x v="0"/>
    <n v="0"/>
    <d v="2025-07-24T00:00:00"/>
    <n v="38738"/>
  </r>
  <r>
    <n v="15"/>
    <x v="15"/>
    <s v="Plugs for switchgear - Cosmic Sun"/>
    <m/>
    <m/>
    <n v="4347.83"/>
    <s v="PO4140-TSG-20250721 - RV Approved"/>
    <s v="Cosmic Sun CS_TRS_015"/>
    <x v="4"/>
    <x v="0"/>
    <m/>
    <d v="2025-07-24T00:00:00"/>
    <m/>
  </r>
  <r>
    <n v="15"/>
    <x v="15"/>
    <s v="Gen integration onsite support - AfrikEnergy"/>
    <m/>
    <m/>
    <n v="5305"/>
    <s v="PO4141-TSG-20250721 - RV Approved"/>
    <s v="AfrikEnergy - INV032885"/>
    <x v="4"/>
    <x v="0"/>
    <m/>
    <d v="2025-07-17T00:00:00"/>
    <m/>
  </r>
  <r>
    <n v="15"/>
    <x v="15"/>
    <m/>
    <m/>
    <m/>
    <m/>
    <m/>
    <m/>
    <x v="0"/>
    <x v="0"/>
    <m/>
    <m/>
    <m/>
  </r>
  <r>
    <n v="15"/>
    <x v="15"/>
    <s v="Roof repairs"/>
    <m/>
    <m/>
    <n v="19085.169999999998"/>
    <m/>
    <s v="A&amp;I Sheeting - Inv 6502"/>
    <x v="4"/>
    <x v="0"/>
    <m/>
    <d v="2025-07-24T00:00:00"/>
    <m/>
  </r>
  <r>
    <n v="15"/>
    <x v="15"/>
    <s v="COC fdor Waterpoints - Plumbryt"/>
    <m/>
    <m/>
    <n v="5500"/>
    <s v="PO4245-TSG-20250820 - RV Approved"/>
    <s v="Plumryt - 25/08/2025"/>
    <x v="7"/>
    <x v="0"/>
    <m/>
    <d v="2025-08-30T00:00: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m/>
    <m/>
    <m/>
    <m/>
    <m/>
    <m/>
    <x v="0"/>
  </r>
  <r>
    <x v="1"/>
    <s v="Jinko 585W - TSS (1400)"/>
    <n v="1602"/>
    <n v="1327.95"/>
    <n v="2127375.9"/>
    <m/>
    <s v="Menlo Inv IN0002290"/>
    <x v="1"/>
  </r>
  <r>
    <x v="1"/>
    <s v="Jinko 585W - CPD1 (1804)"/>
    <n v="1602"/>
    <m/>
    <n v="2127375.9"/>
    <m/>
    <s v="Menlo Inv IN0002363"/>
    <x v="1"/>
  </r>
  <r>
    <x v="1"/>
    <m/>
    <m/>
    <m/>
    <m/>
    <m/>
    <m/>
    <x v="2"/>
  </r>
  <r>
    <x v="1"/>
    <m/>
    <m/>
    <m/>
    <m/>
    <m/>
    <m/>
    <x v="0"/>
  </r>
  <r>
    <x v="1"/>
    <s v="Storage "/>
    <m/>
    <m/>
    <n v="685.71"/>
    <m/>
    <s v="Supply Chain - Inv SCO05052"/>
    <x v="3"/>
  </r>
  <r>
    <x v="1"/>
    <m/>
    <m/>
    <m/>
    <m/>
    <m/>
    <m/>
    <x v="0"/>
  </r>
  <r>
    <x v="1"/>
    <m/>
    <m/>
    <m/>
    <n v="221.43"/>
    <m/>
    <s v="Supply Chain - SCO05164"/>
    <x v="4"/>
  </r>
  <r>
    <x v="0"/>
    <m/>
    <m/>
    <m/>
    <m/>
    <m/>
    <m/>
    <x v="2"/>
  </r>
  <r>
    <x v="2"/>
    <s v="SolarEdge 100kW"/>
    <n v="18"/>
    <n v="18950"/>
    <n v="341100"/>
    <s v="PO3553-TSD-20250121 - RV Approved"/>
    <s v="HERHOLDT'S - INV995250"/>
    <x v="5"/>
  </r>
  <r>
    <x v="2"/>
    <s v="Solar Edge Synergy unit"/>
    <n v="54"/>
    <n v="15710"/>
    <n v="848340"/>
    <m/>
    <s v="HERHOLDT'S - INV995250"/>
    <x v="5"/>
  </r>
  <r>
    <x v="2"/>
    <s v="S1200 Optimiser - TSS"/>
    <n v="825"/>
    <n v="1160"/>
    <n v="957000"/>
    <s v="PO3554-TSD-20250121"/>
    <s v="HERHOLDT'S - INV987265"/>
    <x v="6"/>
  </r>
  <r>
    <x v="2"/>
    <s v="S1200 Optimiser - CPD1"/>
    <n v="825"/>
    <n v="1160"/>
    <n v="957000"/>
    <m/>
    <s v="HERHOLDT'S - INV987265"/>
    <x v="6"/>
  </r>
  <r>
    <x v="2"/>
    <s v="Spare Optimizer 1200W/80V"/>
    <n v="60"/>
    <m/>
    <n v="55800"/>
    <s v="PO4193-TSG-20250804 - RV Approved"/>
    <s v="Herholdts - INV1113245"/>
    <x v="7"/>
  </r>
  <r>
    <x v="2"/>
    <m/>
    <m/>
    <m/>
    <n v="0"/>
    <m/>
    <m/>
    <x v="0"/>
  </r>
  <r>
    <x v="0"/>
    <m/>
    <m/>
    <m/>
    <m/>
    <m/>
    <m/>
    <x v="2"/>
  </r>
  <r>
    <x v="3"/>
    <s v="IBR Roof"/>
    <m/>
    <m/>
    <n v="346295"/>
    <s v="PO3465-TRID-20241115 - RV Approved"/>
    <s v="SCHLETTER - INV1261"/>
    <x v="6"/>
  </r>
  <r>
    <x v="3"/>
    <s v="Delivery"/>
    <m/>
    <m/>
    <n v="0"/>
    <m/>
    <m/>
    <x v="0"/>
  </r>
  <r>
    <x v="3"/>
    <s v="MS Top Up - Trunking Incl - Schletter"/>
    <m/>
    <m/>
    <n v="39048"/>
    <s v="PO3774-TSG-20250328 - RV Approved"/>
    <s v="Schletter - INV1643"/>
    <x v="8"/>
  </r>
  <r>
    <x v="3"/>
    <m/>
    <m/>
    <m/>
    <m/>
    <m/>
    <m/>
    <x v="2"/>
  </r>
  <r>
    <x v="0"/>
    <m/>
    <m/>
    <m/>
    <m/>
    <m/>
    <m/>
    <x v="2"/>
  </r>
  <r>
    <x v="4"/>
    <s v="DC Cable "/>
    <n v="46000"/>
    <n v="13.3"/>
    <n v="611800"/>
    <m/>
    <s v="Menlo Inv IN0002363"/>
    <x v="1"/>
  </r>
  <r>
    <x v="4"/>
    <s v="DC Cable Budget"/>
    <n v="10000"/>
    <n v="13.3"/>
    <n v="0"/>
    <m/>
    <m/>
    <x v="0"/>
  </r>
  <r>
    <x v="4"/>
    <s v="Deposit - TSS"/>
    <n v="484867.78"/>
    <n v="0.3"/>
    <n v="145460.334"/>
    <s v="PO3527-TSG-20241212"/>
    <s v="Cosmic Sun CS_TRS_001"/>
    <x v="6"/>
  </r>
  <r>
    <x v="4"/>
    <s v="All AC &amp; DC Equipment Onsite"/>
    <m/>
    <n v="0.2"/>
    <n v="96973.556000000011"/>
    <m/>
    <s v="Cosmic Sun CS_TRS_003"/>
    <x v="5"/>
  </r>
  <r>
    <x v="4"/>
    <s v="Pracitcal Completion - TSS"/>
    <m/>
    <n v="0.3"/>
    <n v="145460.334"/>
    <m/>
    <s v="Cosmic Sun CS_TRS_008"/>
    <x v="9"/>
  </r>
  <r>
    <x v="4"/>
    <s v="Site Fully Commissioned - TSS"/>
    <m/>
    <n v="0.15"/>
    <n v="72730.167000000001"/>
    <m/>
    <s v="Cosmic Sun CS_TRS_009"/>
    <x v="8"/>
  </r>
  <r>
    <x v="4"/>
    <s v="Retention"/>
    <m/>
    <n v="0.05"/>
    <n v="24243.389000000003"/>
    <m/>
    <s v="Cosmic Sun CS_TRS_013"/>
    <x v="10"/>
  </r>
  <r>
    <x v="4"/>
    <s v="CPD1"/>
    <m/>
    <m/>
    <m/>
    <m/>
    <m/>
    <x v="0"/>
  </r>
  <r>
    <x v="4"/>
    <s v="Deposit - CPD1"/>
    <n v="606084.72"/>
    <n v="0.3"/>
    <n v="181825.416"/>
    <m/>
    <s v="Cosmic Sun CS_TRS_001"/>
    <x v="6"/>
  </r>
  <r>
    <x v="4"/>
    <s v="All AC &amp; DC Equipment Onsite"/>
    <m/>
    <n v="0.2"/>
    <n v="121216.944"/>
    <m/>
    <s v="Cosmic Sun CS_TRS_003"/>
    <x v="5"/>
  </r>
  <r>
    <x v="4"/>
    <s v="Practical Completion"/>
    <m/>
    <n v="0.3"/>
    <n v="181825.416"/>
    <m/>
    <s v="Cosmic Sun CS_TRS_010"/>
    <x v="8"/>
  </r>
  <r>
    <x v="4"/>
    <s v="Site Fully Commissioned"/>
    <m/>
    <n v="0.15"/>
    <n v="90912.707999999999"/>
    <m/>
    <s v="Cosmic Sun CS_TRS_010"/>
    <x v="8"/>
  </r>
  <r>
    <x v="4"/>
    <s v="Retention"/>
    <m/>
    <n v="0.05"/>
    <n v="30304.236000000001"/>
    <m/>
    <s v="Cosmic Sun CS_TRS_012"/>
    <x v="10"/>
  </r>
  <r>
    <x v="0"/>
    <m/>
    <m/>
    <m/>
    <m/>
    <m/>
    <m/>
    <x v="2"/>
  </r>
  <r>
    <x v="5"/>
    <s v="SolarEdge Energy Meter"/>
    <n v="2"/>
    <n v="1740"/>
    <n v="3480"/>
    <s v="PO3553-TSD-20250121 - RV Approved"/>
    <s v="HERHOLDT'S - INV995250"/>
    <x v="5"/>
  </r>
  <r>
    <x v="5"/>
    <s v="CTs &amp; Router: TSS &amp; CPD - AccuEnergy"/>
    <m/>
    <m/>
    <n v="21463"/>
    <s v="PO3565-TSG-20250127 - RV Approved"/>
    <s v="Accuenergy - Inv ASAI-004650"/>
    <x v="6"/>
  </r>
  <r>
    <x v="5"/>
    <s v="Revenue Grade Meter - Techsitter "/>
    <n v="2"/>
    <n v="14934"/>
    <n v="29868"/>
    <m/>
    <s v="Matriarch INV-3710"/>
    <x v="6"/>
  </r>
  <r>
    <x v="5"/>
    <s v="Fibre - Volkirk Deposit"/>
    <m/>
    <m/>
    <n v="40101"/>
    <s v="PO3696-TSG-20250226 - RV Approved"/>
    <s v="Volkirk Fibre INV0001116"/>
    <x v="5"/>
  </r>
  <r>
    <x v="5"/>
    <s v="Fibre - Volkirk - Balance"/>
    <m/>
    <m/>
    <n v="40101"/>
    <m/>
    <s v="Volkirk Fibre - INV0001138"/>
    <x v="9"/>
  </r>
  <r>
    <x v="5"/>
    <s v="Solar Edge PPC-DG"/>
    <m/>
    <m/>
    <n v="61210"/>
    <s v="PO3553-TSD-20250121 - RV Approved"/>
    <s v="HERHOLDT'S - INV995250"/>
    <x v="5"/>
  </r>
  <r>
    <x v="5"/>
    <s v="24V PSU"/>
    <m/>
    <m/>
    <n v="1460"/>
    <s v="PO3648-TSG-20250211 - RV Approved"/>
    <s v="Accuenergy - Inv ASAI-004783"/>
    <x v="5"/>
  </r>
  <r>
    <x v="5"/>
    <s v="Janitza UMG 604 (moved from Trident PE)"/>
    <m/>
    <m/>
    <n v="18571.36"/>
    <m/>
    <s v="Harmonius Technical Inv: INV21620"/>
    <x v="5"/>
  </r>
  <r>
    <x v="5"/>
    <s v="Shipping of Janitza"/>
    <m/>
    <m/>
    <n v="559.63"/>
    <m/>
    <s v="DSV Inv: 180121124"/>
    <x v="9"/>
  </r>
  <r>
    <x v="5"/>
    <s v="Janitza UMG 604 - Harmonious"/>
    <m/>
    <m/>
    <n v="18571.36"/>
    <s v="PO3738-TSG-20250312 - RV Approved"/>
    <s v="Harmonius Technical QU100577"/>
    <x v="9"/>
  </r>
  <r>
    <x v="5"/>
    <s v="Delivery of Janitza"/>
    <m/>
    <m/>
    <n v="559.63"/>
    <m/>
    <s v="DSV Inv:  180121124"/>
    <x v="3"/>
  </r>
  <r>
    <x v="5"/>
    <s v="Fibre - Volkirk : Main Sub - Deposit"/>
    <m/>
    <m/>
    <n v="23617.5"/>
    <s v="PO3752-TSG-20250317 - RV Approved"/>
    <s v="Volkirk Properties INV0001127"/>
    <x v="9"/>
  </r>
  <r>
    <x v="5"/>
    <s v="Fibre - Volkirk : Main Sub - Balance"/>
    <m/>
    <m/>
    <n v="23617.5"/>
    <m/>
    <s v="Volkirk Properties INV0001139"/>
    <x v="9"/>
  </r>
  <r>
    <x v="5"/>
    <s v="SE Hark EMS Package - Herholdts"/>
    <n v="1"/>
    <n v="97750"/>
    <n v="97750"/>
    <s v="PO3952-TSG-20250523 - RV Approved"/>
    <s v="Herholdts - INV1071481"/>
    <x v="3"/>
  </r>
  <r>
    <x v="5"/>
    <s v="Commisioning - Solar Edge Hours"/>
    <n v="4"/>
    <n v="5550"/>
    <n v="22200"/>
    <s v="PO3861-TSG-20250509 - RV Approved"/>
    <s v="Herholdts - INV1058643"/>
    <x v="3"/>
  </r>
  <r>
    <x v="5"/>
    <s v="Fiber - Gensets"/>
    <m/>
    <m/>
    <n v="16453"/>
    <s v="PO4074-TSG-20250630 - RV Approved"/>
    <s v="VP Fibre - INV0001201"/>
    <x v="10"/>
  </r>
  <r>
    <x v="0"/>
    <m/>
    <m/>
    <m/>
    <m/>
    <m/>
    <m/>
    <x v="2"/>
  </r>
  <r>
    <x v="6"/>
    <m/>
    <m/>
    <m/>
    <m/>
    <m/>
    <m/>
    <x v="2"/>
  </r>
  <r>
    <x v="6"/>
    <s v="DB Board Fast Track Fee"/>
    <m/>
    <m/>
    <n v="14956"/>
    <s v="PO3612-TRID-20210131 - RV Approved"/>
    <s v="CS_TRS_002"/>
    <x v="5"/>
  </r>
  <r>
    <x v="6"/>
    <m/>
    <m/>
    <m/>
    <m/>
    <m/>
    <m/>
    <x v="2"/>
  </r>
  <r>
    <x v="6"/>
    <s v="VO - AC Cable : Cosmic Sun"/>
    <m/>
    <m/>
    <n v="126142"/>
    <s v="PO3675-TSG-20250219 - RV Approved"/>
    <s v="Cosmic Sun CS_TRS_005"/>
    <x v="5"/>
  </r>
  <r>
    <x v="6"/>
    <s v="Deposit - TSS"/>
    <n v="616919.5"/>
    <n v="0.3"/>
    <n v="185075.85"/>
    <s v="PO3527-TSG-20241212"/>
    <s v="Cosmic Sun CS_TRS_001"/>
    <x v="6"/>
  </r>
  <r>
    <x v="6"/>
    <s v="All AC &amp; DC Equipment Onsite"/>
    <m/>
    <n v="0.2"/>
    <n v="123383.90000000001"/>
    <m/>
    <s v="Cosmic Sun CS_TRS_003"/>
    <x v="5"/>
  </r>
  <r>
    <x v="6"/>
    <s v="Pracitcal Completion - TSS"/>
    <m/>
    <n v="0.3"/>
    <n v="185075.85"/>
    <m/>
    <s v="Cosmic Sun CS_TRS_008"/>
    <x v="9"/>
  </r>
  <r>
    <x v="6"/>
    <s v="Site Fully Commissioned - TSS"/>
    <m/>
    <n v="0.15"/>
    <n v="92537.925000000003"/>
    <m/>
    <s v="Cosmic Sun CS_TRS_009"/>
    <x v="8"/>
  </r>
  <r>
    <x v="6"/>
    <s v="Retention"/>
    <m/>
    <n v="0.05"/>
    <n v="30845.975000000002"/>
    <m/>
    <s v="Cosmic Sun CS_TRS_013"/>
    <x v="10"/>
  </r>
  <r>
    <x v="6"/>
    <s v="CPD1"/>
    <m/>
    <m/>
    <m/>
    <m/>
    <m/>
    <x v="0"/>
  </r>
  <r>
    <x v="6"/>
    <s v="Deposit - CPD1"/>
    <n v="771149.37"/>
    <n v="0.3"/>
    <n v="231344.81099999999"/>
    <m/>
    <s v="Cosmic Sun CS_TRS_001"/>
    <x v="6"/>
  </r>
  <r>
    <x v="6"/>
    <s v="All AC &amp; DC Equipment Onsite"/>
    <m/>
    <n v="0.2"/>
    <n v="154229.87400000001"/>
    <m/>
    <s v="Cosmic Sun CS_TRS_003"/>
    <x v="5"/>
  </r>
  <r>
    <x v="6"/>
    <s v="Practical Completion"/>
    <m/>
    <n v="0.3"/>
    <n v="231344.81099999999"/>
    <m/>
    <s v="Cosmic Sun CS_TRS_010"/>
    <x v="8"/>
  </r>
  <r>
    <x v="6"/>
    <s v="Site Fully Commissioned"/>
    <m/>
    <n v="0.15"/>
    <n v="115672.40549999999"/>
    <m/>
    <s v="Cosmic Sun CS_TRS_010"/>
    <x v="8"/>
  </r>
  <r>
    <x v="6"/>
    <s v="Retention"/>
    <m/>
    <n v="0.05"/>
    <n v="38557.468500000003"/>
    <m/>
    <s v="Cosmic Sun CS_TRS_012"/>
    <x v="10"/>
  </r>
  <r>
    <x v="0"/>
    <m/>
    <m/>
    <m/>
    <m/>
    <m/>
    <m/>
    <x v="2"/>
  </r>
  <r>
    <x v="7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8"/>
    <s v="RUT Power Supply - AccuEnergy"/>
    <m/>
    <m/>
    <n v="99"/>
    <s v="PO3858-TSG-20250508"/>
    <s v="ASAI - 005420"/>
    <x v="3"/>
  </r>
  <r>
    <x v="8"/>
    <s v="Plug point Fibre and Comms at Sub - Cosmic Sun"/>
    <m/>
    <m/>
    <n v="1500"/>
    <s v="PO3939-TSG-20250520 - RV Approved"/>
    <s v="Cosmic Sun: CS_TRS_011"/>
    <x v="3"/>
  </r>
  <r>
    <x v="8"/>
    <s v="Permanent Anchor Points - ATS Africa"/>
    <n v="171800"/>
    <n v="0.5"/>
    <n v="85900"/>
    <s v="PO3803-TSG-20250414 - RV Approved"/>
    <s v="ATS AFRICA - INV-0386"/>
    <x v="8"/>
  </r>
  <r>
    <x v="8"/>
    <m/>
    <m/>
    <n v="0.5"/>
    <n v="85900"/>
    <m/>
    <s v="ATS AFRICA - INV-0386"/>
    <x v="8"/>
  </r>
  <r>
    <x v="8"/>
    <s v="Walkways- Cosmic Sun = 120m"/>
    <m/>
    <m/>
    <n v="16800"/>
    <s v="PO3676-TSG-20250219 - RV Approved"/>
    <s v="Cosmic Sun CS_TRS_006"/>
    <x v="5"/>
  </r>
  <r>
    <x v="8"/>
    <s v="Walkways - Onvlee"/>
    <n v="21.052631578947366"/>
    <n v="2974.66"/>
    <n v="62467.86"/>
    <s v="PO3697-TSG-20250226 - RV Approved"/>
    <s v="Onvlee PO-3697-TSG-20250226"/>
    <x v="9"/>
  </r>
  <r>
    <x v="8"/>
    <s v="Walkways Fastners"/>
    <n v="23"/>
    <n v="94.8"/>
    <n v="2180.4"/>
    <m/>
    <s v="Onvlee PO-3697-TSG-20250226"/>
    <x v="9"/>
  </r>
  <r>
    <x v="8"/>
    <s v="Delivery "/>
    <m/>
    <m/>
    <n v="5175"/>
    <m/>
    <s v="Onvlee PO-3697-TSG-20250226"/>
    <x v="9"/>
  </r>
  <r>
    <x v="8"/>
    <s v="Cat6 Cable - Cosmic Sun"/>
    <m/>
    <m/>
    <n v="10519"/>
    <s v="PO4086-TSG-20250702 - RV Approved"/>
    <s v="Cosmic Sun CS_TRS_014"/>
    <x v="10"/>
  </r>
  <r>
    <x v="8"/>
    <s v="Lifting &amp; Rigging"/>
    <m/>
    <m/>
    <m/>
    <m/>
    <m/>
    <x v="2"/>
  </r>
  <r>
    <x v="8"/>
    <s v="Additional Courier"/>
    <m/>
    <m/>
    <n v="1100"/>
    <s v="PO3923-TSG-20250516 - RV Approved"/>
    <s v="Supply Chain - INV SCO05026"/>
    <x v="3"/>
  </r>
  <r>
    <x v="8"/>
    <s v="Temp Fence Transport &amp; Labour"/>
    <m/>
    <m/>
    <n v="12000"/>
    <s v="PO3552-TRID-20250121 - RV Approved"/>
    <s v="Supply Chain Optimiser Inv SCO04728"/>
    <x v="6"/>
  </r>
  <r>
    <x v="8"/>
    <s v="Waterpoints - Deposit"/>
    <n v="0.5"/>
    <n v="47900"/>
    <n v="23950"/>
    <s v="PO3621-TSG-20250205 - RV Approved"/>
    <s v="Plumbryt INV 3621-250314/01"/>
    <x v="9"/>
  </r>
  <r>
    <x v="8"/>
    <s v="Waterpoints - Balance"/>
    <n v="0.5"/>
    <m/>
    <n v="23950"/>
    <m/>
    <s v="Plumbryt INV 3621-250314/01"/>
    <x v="9"/>
  </r>
  <r>
    <x v="8"/>
    <s v="MV Shutdown"/>
    <m/>
    <m/>
    <n v="0"/>
    <m/>
    <m/>
    <x v="0"/>
  </r>
  <r>
    <x v="8"/>
    <s v="VO - Inverter Stands, Fence works: Cosmic Sun"/>
    <n v="0.6"/>
    <n v="106215.56"/>
    <n v="63729.335999999996"/>
    <s v="PO3661-TSG-20250214 - RV Approved"/>
    <s v="Cosmic Sun CS_TRS_004"/>
    <x v="5"/>
  </r>
  <r>
    <x v="8"/>
    <m/>
    <n v="0.4"/>
    <m/>
    <n v="42486.224000000002"/>
    <m/>
    <s v="Cosmic Sun CS_TRS_007"/>
    <x v="9"/>
  </r>
  <r>
    <x v="8"/>
    <s v="MV Metering - Malaysian Swittchgear"/>
    <n v="0.75"/>
    <n v="44655"/>
    <n v="33491.25"/>
    <s v="PO3725-TSG-20250306 - RV Approved"/>
    <s v="Malaysian Inv SJ-11558"/>
    <x v="8"/>
  </r>
  <r>
    <x v="8"/>
    <m/>
    <n v="0.25"/>
    <m/>
    <n v="11163.75"/>
    <m/>
    <s v="Malaysian Inv SJ-11558"/>
    <x v="8"/>
  </r>
  <r>
    <x v="8"/>
    <s v="Domestic Transport"/>
    <m/>
    <m/>
    <n v="3500"/>
    <s v="PO3865-TSG-20250509 - RV Approved"/>
    <s v="Supply Chain - INV SCO05008"/>
    <x v="3"/>
  </r>
  <r>
    <x v="8"/>
    <s v="Walkways Mount Kits Top Up - Onvlee"/>
    <n v="50"/>
    <n v="94.8"/>
    <n v="4740"/>
    <s v="PO3914-TSG-20250515 - RV Approved"/>
    <s v="Onvlee INV01050372"/>
    <x v="3"/>
  </r>
  <r>
    <x v="8"/>
    <s v="Walkways Mount Kits Top Up Delivery - Onvlee"/>
    <n v="1"/>
    <n v="1670"/>
    <n v="1670"/>
    <m/>
    <s v="Onvlee INV01050372"/>
    <x v="3"/>
  </r>
  <r>
    <x v="0"/>
    <m/>
    <m/>
    <m/>
    <m/>
    <m/>
    <m/>
    <x v="2"/>
  </r>
  <r>
    <x v="9"/>
    <s v="Deposit - TSS"/>
    <n v="912222.22"/>
    <n v="0.3"/>
    <n v="273666.66599999997"/>
    <s v="PO3527-TSG-20241212"/>
    <s v="Cosmic Sun CS_TRS_001"/>
    <x v="6"/>
  </r>
  <r>
    <x v="9"/>
    <s v="All AC &amp; DC Equipment Onsite"/>
    <m/>
    <n v="0.2"/>
    <n v="182444.44400000002"/>
    <m/>
    <s v="Cosmic Sun CS_TRS_003"/>
    <x v="5"/>
  </r>
  <r>
    <x v="9"/>
    <s v="Pracitcal Completion - TSS"/>
    <m/>
    <n v="0.3"/>
    <n v="273666.66599999997"/>
    <m/>
    <s v="Cosmic Sun CS_TRS_008"/>
    <x v="9"/>
  </r>
  <r>
    <x v="9"/>
    <s v="Site Fully Commissioned - TSS"/>
    <m/>
    <n v="0.15"/>
    <n v="136833.33299999998"/>
    <m/>
    <s v="Cosmic Sun CS_TRS_009"/>
    <x v="8"/>
  </r>
  <r>
    <x v="9"/>
    <s v="Retention"/>
    <m/>
    <n v="0.05"/>
    <n v="45611.111000000004"/>
    <m/>
    <s v="Cosmic Sun CS_TRS_013"/>
    <x v="10"/>
  </r>
  <r>
    <x v="9"/>
    <s v="CPD1"/>
    <m/>
    <m/>
    <m/>
    <m/>
    <m/>
    <x v="0"/>
  </r>
  <r>
    <x v="9"/>
    <s v="Deposit - CPD1"/>
    <n v="1140277.78"/>
    <n v="0.3"/>
    <n v="342083.33399999997"/>
    <m/>
    <s v="Cosmic Sun CS_TRS_001"/>
    <x v="6"/>
  </r>
  <r>
    <x v="9"/>
    <s v="All AC &amp; DC Equipment Onsite"/>
    <m/>
    <n v="0.2"/>
    <n v="228055.55600000001"/>
    <m/>
    <s v="Cosmic Sun CS_TRS_003"/>
    <x v="5"/>
  </r>
  <r>
    <x v="9"/>
    <s v="Practical Completion"/>
    <m/>
    <n v="0.3"/>
    <n v="342083.33399999997"/>
    <m/>
    <s v="Cosmic Sun CS_TRS_010"/>
    <x v="8"/>
  </r>
  <r>
    <x v="9"/>
    <s v="Site Fully Commissioned"/>
    <m/>
    <n v="0.15"/>
    <n v="171041.66699999999"/>
    <m/>
    <s v="Cosmic Sun CS_TRS_010"/>
    <x v="8"/>
  </r>
  <r>
    <x v="9"/>
    <s v="Retention"/>
    <m/>
    <n v="0.05"/>
    <n v="57013.889000000003"/>
    <m/>
    <s v="Cosmic Sun CS_TRS_012"/>
    <x v="10"/>
  </r>
  <r>
    <x v="0"/>
    <m/>
    <m/>
    <m/>
    <m/>
    <m/>
    <m/>
    <x v="2"/>
  </r>
  <r>
    <x v="10"/>
    <m/>
    <m/>
    <m/>
    <m/>
    <m/>
    <m/>
    <x v="0"/>
  </r>
  <r>
    <x v="10"/>
    <m/>
    <m/>
    <m/>
    <m/>
    <m/>
    <m/>
    <x v="0"/>
  </r>
  <r>
    <x v="10"/>
    <m/>
    <m/>
    <m/>
    <m/>
    <m/>
    <m/>
    <x v="0"/>
  </r>
  <r>
    <x v="10"/>
    <s v="Security - Jan "/>
    <m/>
    <m/>
    <n v="1950"/>
    <s v="PO3582-TSG-20250129 - RV Approved"/>
    <s v="Infantry - INV-2558"/>
    <x v="6"/>
  </r>
  <r>
    <x v="10"/>
    <s v="Security - April"/>
    <m/>
    <m/>
    <n v="650"/>
    <s v="PO3810-TSG-20250416 - RV Approved"/>
    <s v="Infantry - INV-2759"/>
    <x v="8"/>
  </r>
  <r>
    <x v="10"/>
    <s v="Security - Feb"/>
    <m/>
    <m/>
    <n v="27600"/>
    <s v="PO3583-TSG-20250129 - RV Approved"/>
    <s v="Infantry - INV-2559"/>
    <x v="6"/>
  </r>
  <r>
    <x v="10"/>
    <s v="Security - Mar"/>
    <m/>
    <m/>
    <n v="31500"/>
    <s v="PO3710-TSG-20250303 - RV Approved"/>
    <s v="Infantry - INV-2670"/>
    <x v="9"/>
  </r>
  <r>
    <x v="0"/>
    <m/>
    <m/>
    <m/>
    <m/>
    <m/>
    <m/>
    <x v="0"/>
  </r>
  <r>
    <x v="10"/>
    <s v="Deposit -TSS"/>
    <n v="161168.89000000001"/>
    <n v="0.3"/>
    <n v="48350.667000000001"/>
    <m/>
    <s v="Cosmic Sun CS_TRS_001"/>
    <x v="6"/>
  </r>
  <r>
    <x v="10"/>
    <s v="All AC &amp; DC Equipment Onsite"/>
    <m/>
    <n v="0.2"/>
    <n v="32233.778000000006"/>
    <m/>
    <s v="Cosmic Sun CS_TRS_003"/>
    <x v="5"/>
  </r>
  <r>
    <x v="10"/>
    <s v="Pracitcal Completion - TSS"/>
    <m/>
    <n v="0.3"/>
    <n v="48350.667000000001"/>
    <m/>
    <s v="Cosmic Sun CS_TRS_008"/>
    <x v="9"/>
  </r>
  <r>
    <x v="10"/>
    <s v="Site Fully Commissioned - TSS"/>
    <m/>
    <n v="0.15"/>
    <n v="24175.333500000001"/>
    <m/>
    <s v="Cosmic Sun CS_TRS_009"/>
    <x v="8"/>
  </r>
  <r>
    <x v="10"/>
    <s v="Retention"/>
    <m/>
    <n v="0.05"/>
    <n v="8058.4445000000014"/>
    <m/>
    <s v="Cosmic Sun CS_TRS_013"/>
    <x v="10"/>
  </r>
  <r>
    <x v="10"/>
    <s v="CPD1"/>
    <m/>
    <m/>
    <m/>
    <m/>
    <m/>
    <x v="0"/>
  </r>
  <r>
    <x v="10"/>
    <s v="Deposit - CPD1"/>
    <n v="201461.11"/>
    <n v="0.3"/>
    <n v="60438.332999999991"/>
    <m/>
    <s v="Cosmic Sun CS_TRS_001"/>
    <x v="6"/>
  </r>
  <r>
    <x v="10"/>
    <s v="All AC &amp; DC Equipment Onsite"/>
    <m/>
    <n v="0.2"/>
    <n v="40292.222000000002"/>
    <m/>
    <s v="Cosmic Sun CS_TRS_003"/>
    <x v="5"/>
  </r>
  <r>
    <x v="10"/>
    <s v="Practical Completion"/>
    <m/>
    <n v="0.3"/>
    <n v="60438.332999999991"/>
    <m/>
    <s v="Cosmic Sun CS_TRS_010"/>
    <x v="8"/>
  </r>
  <r>
    <x v="10"/>
    <s v="Site Fully Commissioned"/>
    <m/>
    <n v="0.15"/>
    <n v="30219.166499999996"/>
    <m/>
    <s v="Cosmic Sun CS_TRS_010"/>
    <x v="8"/>
  </r>
  <r>
    <x v="10"/>
    <s v="Retention"/>
    <m/>
    <n v="0.05"/>
    <n v="10073.0555"/>
    <m/>
    <s v="Cosmic Sun CS_TRS_012"/>
    <x v="10"/>
  </r>
  <r>
    <x v="10"/>
    <m/>
    <m/>
    <m/>
    <m/>
    <m/>
    <m/>
    <x v="0"/>
  </r>
  <r>
    <x v="10"/>
    <m/>
    <m/>
    <m/>
    <m/>
    <m/>
    <m/>
    <x v="2"/>
  </r>
  <r>
    <x v="0"/>
    <m/>
    <m/>
    <m/>
    <m/>
    <m/>
    <m/>
    <x v="2"/>
  </r>
  <r>
    <x v="11"/>
    <s v="Electrical PrEng sign off"/>
    <m/>
    <m/>
    <n v="17500"/>
    <m/>
    <s v="Sunspot E024"/>
    <x v="3"/>
  </r>
  <r>
    <x v="11"/>
    <s v="Travel to site"/>
    <m/>
    <m/>
    <n v="2147.39"/>
    <m/>
    <s v="Sunspot E024"/>
    <x v="3"/>
  </r>
  <r>
    <x v="11"/>
    <s v="Structural sign off"/>
    <m/>
    <m/>
    <n v="0"/>
    <m/>
    <s v="L&amp;B Consulting Inv: 1617"/>
    <x v="1"/>
  </r>
  <r>
    <x v="11"/>
    <s v="Grid Study - Outside of CoCT"/>
    <m/>
    <m/>
    <n v="79700"/>
    <s v="PO3689-TSG-20250220 - RV Approved"/>
    <s v="Okusha Engineering Inv EE14"/>
    <x v="8"/>
  </r>
  <r>
    <x v="11"/>
    <s v="Lightning Risk Assessment - LPS"/>
    <m/>
    <m/>
    <n v="5100"/>
    <s v="PO3564-TSG-20250127 - RV Approved"/>
    <s v="LPS INV 306601"/>
    <x v="6"/>
  </r>
  <r>
    <x v="11"/>
    <s v="Red Team Inspection"/>
    <n v="2"/>
    <n v="8000"/>
    <n v="16000"/>
    <m/>
    <s v="Matriarch - INV-4423"/>
    <x v="3"/>
  </r>
  <r>
    <x v="0"/>
    <m/>
    <m/>
    <m/>
    <m/>
    <m/>
    <m/>
    <x v="2"/>
  </r>
  <r>
    <x v="12"/>
    <s v="Referral Fee "/>
    <m/>
    <m/>
    <n v="0"/>
    <m/>
    <m/>
    <x v="2"/>
  </r>
  <r>
    <x v="12"/>
    <m/>
    <m/>
    <m/>
    <m/>
    <m/>
    <m/>
    <x v="2"/>
  </r>
  <r>
    <x v="0"/>
    <m/>
    <m/>
    <m/>
    <m/>
    <m/>
    <m/>
    <x v="2"/>
  </r>
  <r>
    <x v="13"/>
    <s v="Matriarch Defects Period"/>
    <m/>
    <m/>
    <n v="200304.11174596625"/>
    <m/>
    <s v="Matriarch - INV-4422"/>
    <x v="3"/>
  </r>
  <r>
    <x v="13"/>
    <m/>
    <m/>
    <m/>
    <n v="-200304.11"/>
    <m/>
    <s v="Matriarch -CN-4996"/>
    <x v="7"/>
  </r>
  <r>
    <x v="13"/>
    <s v="MAM Performance Gaurantee"/>
    <m/>
    <m/>
    <n v="165600"/>
    <m/>
    <s v="Matriarch - INV-4997"/>
    <x v="7"/>
  </r>
  <r>
    <x v="13"/>
    <m/>
    <m/>
    <m/>
    <m/>
    <m/>
    <m/>
    <x v="3"/>
  </r>
  <r>
    <x v="13"/>
    <m/>
    <m/>
    <m/>
    <m/>
    <m/>
    <m/>
    <x v="3"/>
  </r>
  <r>
    <x v="13"/>
    <m/>
    <m/>
    <m/>
    <m/>
    <m/>
    <m/>
    <x v="2"/>
  </r>
  <r>
    <x v="13"/>
    <m/>
    <m/>
    <m/>
    <m/>
    <m/>
    <m/>
    <x v="2"/>
  </r>
  <r>
    <x v="0"/>
    <m/>
    <m/>
    <m/>
    <m/>
    <m/>
    <m/>
    <x v="2"/>
  </r>
  <r>
    <x v="14"/>
    <s v="Travel to site"/>
    <m/>
    <m/>
    <n v="7446.43"/>
    <m/>
    <s v="Expense Claims"/>
    <x v="1"/>
  </r>
  <r>
    <x v="14"/>
    <m/>
    <m/>
    <m/>
    <n v="2931"/>
    <m/>
    <s v="Expense Claims"/>
    <x v="6"/>
  </r>
  <r>
    <x v="14"/>
    <m/>
    <m/>
    <m/>
    <n v="12977.95"/>
    <m/>
    <s v="Expense Claims"/>
    <x v="5"/>
  </r>
  <r>
    <x v="14"/>
    <m/>
    <m/>
    <m/>
    <n v="3958.29"/>
    <m/>
    <s v="Expense Claims"/>
    <x v="9"/>
  </r>
  <r>
    <x v="14"/>
    <m/>
    <m/>
    <m/>
    <n v="1491.59"/>
    <m/>
    <s v="Expense Claims"/>
    <x v="8"/>
  </r>
  <r>
    <x v="14"/>
    <m/>
    <m/>
    <m/>
    <n v="1352.79"/>
    <m/>
    <s v="Expense Claims"/>
    <x v="3"/>
  </r>
  <r>
    <x v="14"/>
    <m/>
    <m/>
    <m/>
    <n v="194.68"/>
    <m/>
    <s v="Expense Claims"/>
    <x v="10"/>
  </r>
  <r>
    <x v="14"/>
    <m/>
    <m/>
    <m/>
    <n v="2331.4"/>
    <m/>
    <s v="Expense Claims"/>
    <x v="4"/>
  </r>
  <r>
    <x v="14"/>
    <m/>
    <m/>
    <m/>
    <n v="4368.24"/>
    <m/>
    <s v="Expense Claims"/>
    <x v="7"/>
  </r>
  <r>
    <x v="14"/>
    <m/>
    <m/>
    <m/>
    <m/>
    <m/>
    <m/>
    <x v="2"/>
  </r>
  <r>
    <x v="0"/>
    <m/>
    <m/>
    <m/>
    <m/>
    <m/>
    <m/>
    <x v="2"/>
  </r>
  <r>
    <x v="15"/>
    <s v="Gen Sync Fix - AfrikEnergy"/>
    <m/>
    <m/>
    <n v="4500"/>
    <s v="PO4081-TSG-20250701 - RV Approved"/>
    <s v="AfrikEnergy - INV032882"/>
    <x v="4"/>
  </r>
  <r>
    <x v="15"/>
    <s v="Plugs for switchgear - Cosmic Sun"/>
    <m/>
    <m/>
    <n v="4347.83"/>
    <s v="PO4140-TSG-20250721 - RV Approved"/>
    <s v="Cosmic Sun CS_TRS_015"/>
    <x v="4"/>
  </r>
  <r>
    <x v="15"/>
    <s v="Gen integration onsite support - AfrikEnergy"/>
    <m/>
    <m/>
    <n v="5305"/>
    <s v="PO4141-TSG-20250721 - RV Approved"/>
    <s v="AfrikEnergy - INV032885"/>
    <x v="4"/>
  </r>
  <r>
    <x v="15"/>
    <m/>
    <m/>
    <m/>
    <m/>
    <m/>
    <m/>
    <x v="0"/>
  </r>
  <r>
    <x v="15"/>
    <s v="Roof repairs"/>
    <m/>
    <m/>
    <n v="19085.169999999998"/>
    <m/>
    <s v="A&amp;I Sheeting - Inv 6502"/>
    <x v="4"/>
  </r>
  <r>
    <x v="15"/>
    <s v="COC fdor Waterpoints - Plumbryt"/>
    <m/>
    <m/>
    <n v="5500"/>
    <s v="PO4245-TSG-20250820 - RV Approved"/>
    <s v="Plumryt - 25/08/202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3">
        <item x="2"/>
        <item m="1" x="41"/>
        <item m="1" x="40"/>
        <item m="1" x="39"/>
        <item m="1" x="38"/>
        <item m="1" x="22"/>
        <item x="0"/>
        <item m="1" x="20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21"/>
        <item m="1" x="19"/>
        <item m="1" x="18"/>
        <item x="1"/>
        <item x="6"/>
        <item x="5"/>
        <item x="9"/>
        <item x="8"/>
        <item x="3"/>
        <item x="10"/>
        <item m="1" x="17"/>
        <item m="1" x="16"/>
        <item m="1" x="15"/>
        <item m="1" x="12"/>
        <item m="1" x="14"/>
        <item m="1" x="11"/>
        <item m="1" x="13"/>
        <item x="4"/>
        <item x="7"/>
        <item t="default"/>
      </items>
    </pivotField>
    <pivotField axis="axisPage" dataField="1" multipleItemSelectionAllowed="1" showAll="0">
      <items count="711">
        <item x="2"/>
        <item m="1" x="684"/>
        <item m="1" x="689"/>
        <item m="1" x="709"/>
        <item m="1" x="694"/>
        <item m="1" x="698"/>
        <item m="1" x="696"/>
        <item m="1" x="691"/>
        <item m="1" x="686"/>
        <item m="1" x="695"/>
        <item m="1" x="704"/>
        <item m="1" x="693"/>
        <item m="1" x="706"/>
        <item m="1" x="703"/>
        <item m="1" x="697"/>
        <item m="1" x="707"/>
        <item m="1" x="682"/>
        <item m="1" x="701"/>
        <item m="1" x="692"/>
        <item m="1" x="708"/>
        <item m="1" x="702"/>
        <item m="1" x="688"/>
        <item m="1" x="687"/>
        <item m="1" x="700"/>
        <item m="1" x="685"/>
        <item m="1" x="705"/>
        <item m="1" x="683"/>
        <item m="1" x="699"/>
        <item m="1" x="690"/>
        <item m="1" x="681"/>
        <item x="0"/>
        <item m="1" x="610"/>
        <item m="1" x="611"/>
        <item m="1" x="644"/>
        <item m="1" x="651"/>
        <item m="1" x="652"/>
        <item m="1" x="653"/>
        <item m="1" x="654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29"/>
        <item m="1" x="630"/>
        <item m="1" x="631"/>
        <item m="1" x="674"/>
        <item m="1" x="675"/>
        <item m="1" x="676"/>
        <item m="1" x="677"/>
        <item m="1" x="635"/>
        <item m="1" x="636"/>
        <item m="1" x="678"/>
        <item m="1" x="679"/>
        <item m="1" x="680"/>
        <item m="1" x="639"/>
        <item m="1" x="660"/>
        <item m="1" x="661"/>
        <item m="1" x="662"/>
        <item m="1" x="655"/>
        <item m="1" x="656"/>
        <item m="1" x="657"/>
        <item m="1" x="658"/>
        <item m="1" x="659"/>
        <item m="1" x="622"/>
        <item m="1" x="623"/>
        <item m="1" x="624"/>
        <item m="1" x="625"/>
        <item m="1" x="647"/>
        <item m="1" x="648"/>
        <item m="1" x="649"/>
        <item m="1" x="632"/>
        <item m="1" x="633"/>
        <item m="1" x="634"/>
        <item m="1" x="645"/>
        <item m="1" x="640"/>
        <item m="1" x="650"/>
        <item m="1" x="614"/>
        <item m="1" x="615"/>
        <item m="1" x="616"/>
        <item m="1" x="617"/>
        <item m="1" x="618"/>
        <item m="1" x="619"/>
        <item m="1" x="620"/>
        <item m="1" x="621"/>
        <item m="1" x="641"/>
        <item m="1" x="646"/>
        <item m="1" x="626"/>
        <item m="1" x="627"/>
        <item m="1" x="628"/>
        <item m="1" x="612"/>
        <item m="1" x="613"/>
        <item m="1" x="637"/>
        <item m="1" x="638"/>
        <item m="1" x="642"/>
        <item m="1" x="643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70"/>
        <item m="1" x="598"/>
        <item m="1" x="599"/>
        <item m="1" x="600"/>
        <item m="1" x="573"/>
        <item m="1" x="574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586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1"/>
        <item m="1" x="572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450"/>
        <item m="1" x="451"/>
        <item m="1" x="452"/>
        <item m="1" x="477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66"/>
        <item m="1" x="467"/>
        <item m="1" x="490"/>
        <item m="1" x="491"/>
        <item m="1" x="492"/>
        <item m="1" x="493"/>
        <item m="1" x="494"/>
        <item m="1" x="495"/>
        <item m="1" x="496"/>
        <item m="1" x="475"/>
        <item m="1" x="478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8"/>
        <item m="1" x="469"/>
        <item m="1" x="470"/>
        <item m="1" x="471"/>
        <item m="1" x="472"/>
        <item m="1" x="473"/>
        <item m="1" x="474"/>
        <item m="1" x="476"/>
        <item m="1" x="453"/>
        <item m="1" x="454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395"/>
        <item m="1" x="396"/>
        <item m="1" x="426"/>
        <item m="1" x="427"/>
        <item m="1" x="428"/>
        <item m="1" x="429"/>
        <item m="1" x="430"/>
        <item m="1" x="414"/>
        <item m="1" x="415"/>
        <item m="1" x="416"/>
        <item m="1" x="417"/>
        <item m="1" x="418"/>
        <item m="1" x="431"/>
        <item m="1" x="432"/>
        <item m="1" x="433"/>
        <item m="1" x="425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9"/>
        <item m="1" x="420"/>
        <item m="1" x="421"/>
        <item m="1" x="422"/>
        <item m="1" x="423"/>
        <item m="1" x="424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47"/>
        <item m="1" x="348"/>
        <item m="1" x="349"/>
        <item m="1" x="291"/>
        <item m="1" x="350"/>
        <item m="1" x="351"/>
        <item m="1" x="352"/>
        <item m="1" x="353"/>
        <item m="1" x="354"/>
        <item m="1" x="355"/>
        <item m="1" x="356"/>
        <item m="1" x="357"/>
        <item m="1" x="303"/>
        <item m="1" x="304"/>
        <item m="1" x="305"/>
        <item m="1" x="306"/>
        <item m="1" x="307"/>
        <item m="1" x="342"/>
        <item m="1" x="343"/>
        <item m="1" x="344"/>
        <item m="1" x="345"/>
        <item m="1" x="315"/>
        <item m="1" x="316"/>
        <item m="1" x="317"/>
        <item m="1" x="318"/>
        <item m="1" x="319"/>
        <item m="1" x="346"/>
        <item m="1" x="358"/>
        <item m="1" x="359"/>
        <item m="1" x="360"/>
        <item m="1" x="361"/>
        <item m="1" x="327"/>
        <item m="1" x="328"/>
        <item m="1" x="329"/>
        <item m="1" x="330"/>
        <item m="1" x="331"/>
        <item m="1" x="332"/>
        <item m="1" x="333"/>
        <item m="1" x="289"/>
        <item m="1" x="334"/>
        <item m="1" x="335"/>
        <item m="1" x="336"/>
        <item m="1" x="337"/>
        <item m="1" x="338"/>
        <item m="1" x="339"/>
        <item m="1" x="340"/>
        <item m="1" x="341"/>
        <item m="1" x="323"/>
        <item m="1" x="324"/>
        <item m="1" x="325"/>
        <item m="1" x="326"/>
        <item m="1" x="290"/>
        <item m="1" x="287"/>
        <item m="1" x="288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8"/>
        <item m="1" x="309"/>
        <item m="1" x="310"/>
        <item m="1" x="311"/>
        <item m="1" x="312"/>
        <item m="1" x="313"/>
        <item m="1" x="314"/>
        <item m="1" x="320"/>
        <item m="1" x="321"/>
        <item m="1" x="322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154"/>
        <item m="1" x="270"/>
        <item x="54"/>
        <item m="1" x="156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x="1"/>
        <item m="1" x="200"/>
        <item m="1" x="201"/>
        <item m="1" x="202"/>
        <item x="6"/>
        <item x="7"/>
        <item m="1" x="133"/>
        <item x="8"/>
        <item x="9"/>
        <item m="1" x="134"/>
        <item m="1" x="135"/>
        <item m="1" x="136"/>
        <item m="1" x="203"/>
        <item m="1" x="204"/>
        <item m="1" x="205"/>
        <item m="1" x="206"/>
        <item m="1" x="207"/>
        <item m="1" x="139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53"/>
        <item m="1" x="155"/>
        <item m="1" x="222"/>
        <item m="1" x="223"/>
        <item m="1" x="224"/>
        <item m="1" x="225"/>
        <item m="1" x="226"/>
        <item m="1" x="227"/>
        <item m="1" x="228"/>
        <item m="1" x="234"/>
        <item m="1" x="235"/>
        <item m="1" x="236"/>
        <item m="1" x="237"/>
        <item x="77"/>
        <item x="78"/>
        <item m="1" x="233"/>
        <item m="1" x="229"/>
        <item m="1" x="230"/>
        <item m="1" x="231"/>
        <item m="1" x="232"/>
        <item x="3"/>
        <item x="4"/>
        <item x="5"/>
        <item m="1" x="168"/>
        <item x="17"/>
        <item m="1" x="198"/>
        <item m="1" x="169"/>
        <item m="1" x="199"/>
        <item m="1" x="171"/>
        <item m="1" x="172"/>
        <item m="1" x="173"/>
        <item x="30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x="45"/>
        <item m="1" x="184"/>
        <item m="1" x="186"/>
        <item m="1" x="187"/>
        <item x="61"/>
        <item x="62"/>
        <item m="1" x="188"/>
        <item x="64"/>
        <item m="1" x="189"/>
        <item m="1" x="190"/>
        <item m="1" x="191"/>
        <item m="1" x="192"/>
        <item m="1" x="193"/>
        <item m="1" x="194"/>
        <item x="75"/>
        <item m="1" x="195"/>
        <item x="79"/>
        <item m="1" x="196"/>
        <item m="1" x="197"/>
        <item m="1" x="185"/>
        <item x="18"/>
        <item m="1" x="170"/>
        <item x="16"/>
        <item m="1" x="137"/>
        <item m="1" x="163"/>
        <item x="21"/>
        <item x="22"/>
        <item m="1" x="138"/>
        <item m="1" x="140"/>
        <item m="1" x="164"/>
        <item x="31"/>
        <item m="1" x="141"/>
        <item m="1" x="142"/>
        <item m="1" x="143"/>
        <item m="1" x="144"/>
        <item m="1" x="165"/>
        <item m="1" x="145"/>
        <item m="1" x="146"/>
        <item m="1" x="147"/>
        <item m="1" x="148"/>
        <item m="1" x="149"/>
        <item m="1" x="150"/>
        <item m="1" x="151"/>
        <item m="1" x="152"/>
        <item x="46"/>
        <item m="1" x="153"/>
        <item m="1" x="157"/>
        <item m="1" x="166"/>
        <item m="1" x="158"/>
        <item m="1" x="159"/>
        <item m="1" x="160"/>
        <item m="1" x="105"/>
        <item m="1" x="132"/>
        <item m="1" x="106"/>
        <item m="1" x="167"/>
        <item m="1" x="161"/>
        <item m="1" x="162"/>
        <item x="20"/>
        <item x="29"/>
        <item x="41"/>
        <item x="65"/>
        <item x="80"/>
        <item m="1" x="112"/>
        <item x="10"/>
        <item m="1" x="113"/>
        <item m="1" x="114"/>
        <item m="1" x="115"/>
        <item m="1" x="116"/>
        <item m="1" x="117"/>
        <item x="19"/>
        <item m="1" x="127"/>
        <item x="25"/>
        <item m="1" x="118"/>
        <item x="28"/>
        <item x="32"/>
        <item x="33"/>
        <item x="34"/>
        <item x="35"/>
        <item x="36"/>
        <item x="37"/>
        <item m="1" x="119"/>
        <item x="42"/>
        <item x="43"/>
        <item x="44"/>
        <item m="1" x="120"/>
        <item m="1" x="121"/>
        <item m="1" x="128"/>
        <item m="1" x="129"/>
        <item m="1" x="122"/>
        <item m="1" x="130"/>
        <item m="1" x="123"/>
        <item m="1" x="124"/>
        <item x="55"/>
        <item x="56"/>
        <item x="57"/>
        <item x="58"/>
        <item x="59"/>
        <item x="60"/>
        <item x="63"/>
        <item m="1" x="131"/>
        <item x="67"/>
        <item x="68"/>
        <item x="69"/>
        <item x="70"/>
        <item x="71"/>
        <item x="81"/>
        <item m="1" x="125"/>
        <item m="1" x="126"/>
        <item x="24"/>
        <item x="47"/>
        <item x="66"/>
        <item x="74"/>
        <item x="11"/>
        <item x="12"/>
        <item x="13"/>
        <item x="14"/>
        <item x="15"/>
        <item m="1" x="109"/>
        <item m="1" x="102"/>
        <item m="1" x="110"/>
        <item m="1" x="103"/>
        <item x="48"/>
        <item x="49"/>
        <item x="82"/>
        <item m="1" x="107"/>
        <item m="1" x="111"/>
        <item m="1" x="100"/>
        <item m="1" x="101"/>
        <item x="40"/>
        <item m="1" x="104"/>
        <item m="1" x="108"/>
        <item m="1" x="94"/>
        <item m="1" x="98"/>
        <item m="1" x="99"/>
        <item x="38"/>
        <item x="39"/>
        <item x="50"/>
        <item x="51"/>
        <item x="52"/>
        <item x="72"/>
        <item m="1" x="96"/>
        <item x="83"/>
        <item m="1" x="93"/>
        <item m="1" x="97"/>
        <item x="23"/>
        <item m="1" x="95"/>
        <item x="26"/>
        <item x="27"/>
        <item x="73"/>
        <item x="76"/>
        <item m="1" x="92"/>
        <item x="84"/>
        <item m="1" x="90"/>
        <item m="1" x="91"/>
        <item x="85"/>
        <item m="1" x="89"/>
        <item m="1" x="88"/>
        <item m="1" x="87"/>
        <item x="8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2">
    <i>
      <x/>
    </i>
    <i>
      <x v="6"/>
    </i>
    <i>
      <x v="26"/>
    </i>
    <i>
      <x v="27"/>
    </i>
    <i>
      <x v="28"/>
    </i>
    <i>
      <x v="29"/>
    </i>
    <i>
      <x v="30"/>
    </i>
    <i>
      <x v="31"/>
    </i>
    <i>
      <x v="32"/>
    </i>
    <i>
      <x v="40"/>
    </i>
    <i>
      <x v="41"/>
    </i>
    <i t="grand">
      <x/>
    </i>
  </colItems>
  <pageFields count="1">
    <pageField fld="9" hier="-1"/>
  </pageField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2">
        <item m="1" x="43"/>
        <item m="1" x="49"/>
        <item m="1" x="44"/>
        <item m="1" x="47"/>
        <item m="1" x="45"/>
        <item x="0"/>
        <item m="1" x="50"/>
        <item m="1" x="46"/>
        <item m="1" x="48"/>
        <item m="1" x="42"/>
        <item m="1" x="41"/>
        <item m="1" x="40"/>
        <item m="1" x="39"/>
        <item m="1" x="38"/>
        <item m="1" x="23"/>
        <item m="1" x="22"/>
        <item x="2"/>
        <item m="1" x="20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24"/>
        <item m="1" x="34"/>
        <item m="1" x="35"/>
        <item m="1" x="36"/>
        <item m="1" x="37"/>
        <item m="1" x="21"/>
        <item m="1" x="19"/>
        <item m="1" x="18"/>
        <item x="1"/>
        <item x="6"/>
        <item x="5"/>
        <item m="1" x="17"/>
        <item x="9"/>
        <item x="8"/>
        <item x="3"/>
        <item x="10"/>
        <item m="1" x="16"/>
        <item m="1" x="15"/>
        <item m="1" x="12"/>
        <item m="1" x="14"/>
        <item m="1" x="11"/>
        <item m="1" x="13"/>
        <item x="4"/>
        <item x="7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2">
    <i>
      <x v="5"/>
    </i>
    <i>
      <x v="16"/>
    </i>
    <i>
      <x v="35"/>
    </i>
    <i>
      <x v="36"/>
    </i>
    <i>
      <x v="37"/>
    </i>
    <i>
      <x v="39"/>
    </i>
    <i>
      <x v="40"/>
    </i>
    <i>
      <x v="41"/>
    </i>
    <i>
      <x v="42"/>
    </i>
    <i>
      <x v="49"/>
    </i>
    <i>
      <x v="50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25" dT="2025-08-07T10:33:21.89" personId="{C44C3EFA-3915-4676-A2FD-FE2D4F03B712}" id="{0F301398-C97B-4E91-8B1A-33DFE9F49D41}">
    <text>@Johannes Potgieter was this received</text>
    <mentions>
      <mention mentionpersonId="{296D5391-08BD-4D16-93BB-CB1CACFC8510}" mentionId="{A90E01AE-7B05-413D-8671-C900B9A4DA2A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55" dT="2025-03-07T08:41:19.93" personId="{C44C3EFA-3915-4676-A2FD-FE2D4F03B712}" id="{08943962-51D1-4FB2-BAE2-83BA4694061F}">
    <text xml:space="preserve">@Thami Cambalele this must be captured under Mega Park, this specific one is not for Trident Steel GP.  </text>
    <mentions>
      <mention mentionpersonId="{1E003B7B-117B-419B-9076-AE5CEAEA44A7}" mentionId="{F30AA346-6EA2-4570-9413-D688A2699BED}" startIndex="0" length="16"/>
    </mentions>
  </threadedComment>
  <threadedComment ref="W95" dT="2025-07-16T07:52:19.15" personId="{470E3766-187A-4C8A-A29C-10431459FB05}" id="{8F532836-670F-426D-8A6A-488D5B4B9078}" done="1">
    <text>@Mizelda Isaacs please update the payment date</text>
    <mentions>
      <mention mentionpersonId="{CADCFC5B-4411-42C6-925E-E23996D2153B}" mentionId="{C89C7193-0B78-47D1-9B7C-F5914B14F6B4}" startIndex="0" length="15"/>
    </mentions>
  </threadedComment>
  <threadedComment ref="W168" dT="2025-07-16T07:54:02.81" personId="{470E3766-187A-4C8A-A29C-10431459FB05}" id="{51F7E1F9-5563-472A-9C94-F2698D7D33AA}" done="1">
    <text>@Mizelda Isaacs please update the payment date</text>
    <mentions>
      <mention mentionpersonId="{CADCFC5B-4411-42C6-925E-E23996D2153B}" mentionId="{9D1CDDB8-994F-44AB-B836-C441147B47BB}" startIndex="0" length="15"/>
    </mentions>
  </threadedComment>
  <threadedComment ref="W169" dT="2025-07-21T11:46:42.24" personId="{470E3766-187A-4C8A-A29C-10431459FB05}" id="{4EDC8D79-46C8-4C9D-8959-77CD7EC6042D}" done="1">
    <text>@Mizelda Isaacs please update the payment date</text>
    <mentions>
      <mention mentionpersonId="{CADCFC5B-4411-42C6-925E-E23996D2153B}" mentionId="{AD889122-B536-4B1B-9E2D-142FB5CEFFA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8.85546875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0" t="s">
        <v>57</v>
      </c>
      <c r="E47" s="890"/>
      <c r="F47" s="891"/>
      <c r="G47" s="67"/>
      <c r="I47" s="68"/>
      <c r="J47" s="68"/>
    </row>
    <row r="48" spans="1:49" ht="14.45" thickBot="1">
      <c r="C48" s="69">
        <v>44014</v>
      </c>
      <c r="D48" s="892"/>
      <c r="E48" s="892"/>
      <c r="F48" s="89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DDF7-1F2D-41B5-9A98-58DCF52317CB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96" t="s">
        <v>58</v>
      </c>
      <c r="C2" s="896"/>
      <c r="D2" s="896"/>
      <c r="E2" s="896"/>
      <c r="H2" s="897" t="s">
        <v>59</v>
      </c>
      <c r="I2" s="898"/>
      <c r="J2" s="898"/>
      <c r="K2" s="898"/>
      <c r="L2" s="898"/>
      <c r="M2" s="898"/>
      <c r="N2" s="898"/>
      <c r="O2" s="899"/>
    </row>
    <row r="3" spans="2:15">
      <c r="B3" s="882"/>
      <c r="H3" s="900"/>
      <c r="I3" s="901"/>
      <c r="J3" s="901"/>
      <c r="K3" s="901"/>
      <c r="L3" s="901"/>
      <c r="M3" s="901"/>
      <c r="N3" s="901"/>
      <c r="O3" s="902"/>
    </row>
    <row r="4" spans="2:15">
      <c r="B4" s="883" t="s">
        <v>60</v>
      </c>
      <c r="C4" s="884" t="str">
        <f>'Project Plan'!E2</f>
        <v>Trident Steel GP</v>
      </c>
      <c r="H4" s="900"/>
      <c r="I4" s="901"/>
      <c r="J4" s="901"/>
      <c r="K4" s="901"/>
      <c r="L4" s="901"/>
      <c r="M4" s="901"/>
      <c r="N4" s="901"/>
      <c r="O4" s="902"/>
    </row>
    <row r="5" spans="2:15">
      <c r="B5" s="883" t="s">
        <v>61</v>
      </c>
      <c r="C5" s="884" t="s">
        <v>62</v>
      </c>
      <c r="H5" s="900"/>
      <c r="I5" s="901"/>
      <c r="J5" s="901"/>
      <c r="K5" s="901"/>
      <c r="L5" s="901"/>
      <c r="M5" s="901"/>
      <c r="N5" s="901"/>
      <c r="O5" s="902"/>
    </row>
    <row r="6" spans="2:15">
      <c r="B6" s="883" t="s">
        <v>63</v>
      </c>
      <c r="C6" s="884" t="s">
        <v>64</v>
      </c>
      <c r="H6" s="900"/>
      <c r="I6" s="901"/>
      <c r="J6" s="901"/>
      <c r="K6" s="901"/>
      <c r="L6" s="901"/>
      <c r="M6" s="901"/>
      <c r="N6" s="901"/>
      <c r="O6" s="902"/>
    </row>
    <row r="7" spans="2:15">
      <c r="B7" s="883" t="s">
        <v>65</v>
      </c>
      <c r="C7" s="884" t="s">
        <v>66</v>
      </c>
      <c r="H7" s="900"/>
      <c r="I7" s="901"/>
      <c r="J7" s="901"/>
      <c r="K7" s="901"/>
      <c r="L7" s="901"/>
      <c r="M7" s="901"/>
      <c r="N7" s="901"/>
      <c r="O7" s="902"/>
    </row>
    <row r="8" spans="2:15">
      <c r="B8" s="882"/>
      <c r="H8" s="900"/>
      <c r="I8" s="901"/>
      <c r="J8" s="901"/>
      <c r="K8" s="901"/>
      <c r="L8" s="901"/>
      <c r="M8" s="901"/>
      <c r="N8" s="901"/>
      <c r="O8" s="902"/>
    </row>
    <row r="9" spans="2:15">
      <c r="B9" s="906" t="s">
        <v>67</v>
      </c>
      <c r="C9" s="906"/>
      <c r="D9" s="906"/>
      <c r="E9" s="906"/>
      <c r="H9" s="900"/>
      <c r="I9" s="901"/>
      <c r="J9" s="901"/>
      <c r="K9" s="901"/>
      <c r="L9" s="901"/>
      <c r="M9" s="901"/>
      <c r="N9" s="901"/>
      <c r="O9" s="902"/>
    </row>
    <row r="10" spans="2:15" ht="15" thickBot="1">
      <c r="B10" s="906" t="s">
        <v>68</v>
      </c>
      <c r="C10" s="906"/>
      <c r="D10" s="906"/>
      <c r="E10" s="906"/>
      <c r="H10" s="903"/>
      <c r="I10" s="904"/>
      <c r="J10" s="904"/>
      <c r="K10" s="904"/>
      <c r="L10" s="904"/>
      <c r="M10" s="904"/>
      <c r="N10" s="904"/>
      <c r="O10" s="905"/>
    </row>
    <row r="11" spans="2:15">
      <c r="B11" s="885" t="s">
        <v>69</v>
      </c>
      <c r="C11" s="894" t="s">
        <v>70</v>
      </c>
      <c r="D11" s="894"/>
      <c r="E11" s="894"/>
    </row>
    <row r="12" spans="2:15">
      <c r="B12" s="885" t="s">
        <v>71</v>
      </c>
      <c r="C12" s="894" t="s">
        <v>70</v>
      </c>
      <c r="D12" s="894"/>
      <c r="E12" s="894"/>
    </row>
    <row r="13" spans="2:15">
      <c r="B13" s="885" t="s">
        <v>72</v>
      </c>
      <c r="C13" s="894" t="s">
        <v>70</v>
      </c>
      <c r="D13" s="894"/>
      <c r="E13" s="894"/>
    </row>
    <row r="14" spans="2:15">
      <c r="B14" s="885" t="s">
        <v>73</v>
      </c>
      <c r="C14" s="894" t="s">
        <v>74</v>
      </c>
      <c r="D14" s="894"/>
      <c r="E14" s="894"/>
    </row>
    <row r="15" spans="2:15">
      <c r="B15" s="885" t="s">
        <v>75</v>
      </c>
      <c r="C15" s="894" t="s">
        <v>76</v>
      </c>
      <c r="D15" s="894"/>
      <c r="E15" s="894"/>
    </row>
    <row r="16" spans="2:15" ht="15" customHeight="1">
      <c r="B16" s="885" t="s">
        <v>77</v>
      </c>
      <c r="C16" s="894" t="s">
        <v>78</v>
      </c>
      <c r="D16" s="894"/>
      <c r="E16" s="894"/>
    </row>
    <row r="17" spans="2:5">
      <c r="B17" s="882"/>
    </row>
    <row r="18" spans="2:5">
      <c r="B18" s="895" t="s">
        <v>79</v>
      </c>
      <c r="C18" s="895"/>
      <c r="D18" s="895"/>
      <c r="E18" s="895"/>
    </row>
    <row r="19" spans="2:5">
      <c r="B19" s="885" t="s">
        <v>80</v>
      </c>
      <c r="C19" s="885" t="s">
        <v>81</v>
      </c>
      <c r="D19" s="885" t="s">
        <v>82</v>
      </c>
      <c r="E19" s="885" t="s">
        <v>83</v>
      </c>
    </row>
    <row r="20" spans="2:5" ht="15" customHeight="1">
      <c r="B20" s="885" t="s">
        <v>84</v>
      </c>
      <c r="C20" s="885" t="s">
        <v>85</v>
      </c>
      <c r="D20" s="886" t="s">
        <v>86</v>
      </c>
      <c r="E20" s="887">
        <v>45953</v>
      </c>
    </row>
    <row r="21" spans="2:5">
      <c r="B21" s="885"/>
      <c r="C21" s="885"/>
      <c r="D21" s="885"/>
      <c r="E21" s="885"/>
    </row>
    <row r="22" spans="2:5">
      <c r="B22" s="885"/>
      <c r="C22" s="885"/>
      <c r="D22" s="885"/>
      <c r="E22" s="885"/>
    </row>
    <row r="23" spans="2:5">
      <c r="B23" s="885"/>
      <c r="C23" s="885"/>
      <c r="D23" s="885"/>
      <c r="E23" s="885"/>
    </row>
    <row r="24" spans="2:5">
      <c r="B24" s="885"/>
      <c r="C24" s="885"/>
      <c r="D24" s="885"/>
      <c r="E24" s="885"/>
    </row>
    <row r="25" spans="2:5">
      <c r="B25" s="885"/>
      <c r="C25" s="885"/>
      <c r="D25" s="885"/>
      <c r="E25" s="885"/>
    </row>
    <row r="26" spans="2:5">
      <c r="B26" s="88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1FDF-929D-4758-844C-62CA17BD8384}">
  <sheetPr codeName="Sheet8"/>
  <dimension ref="B1:J28"/>
  <sheetViews>
    <sheetView showGridLines="0" zoomScaleNormal="100" workbookViewId="0">
      <selection activeCell="E26" sqref="E26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907" t="s">
        <v>87</v>
      </c>
      <c r="C2" s="908"/>
      <c r="D2" s="908"/>
      <c r="E2" s="908"/>
      <c r="F2" s="909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907" t="s">
        <v>97</v>
      </c>
      <c r="C16" s="908"/>
      <c r="D16" s="908"/>
      <c r="E16" s="908"/>
      <c r="F16" s="909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61"/>
  <sheetViews>
    <sheetView topLeftCell="A77" zoomScale="85" zoomScaleNormal="85" workbookViewId="0">
      <selection activeCell="E7" sqref="E7"/>
    </sheetView>
  </sheetViews>
  <sheetFormatPr defaultColWidth="8.42578125" defaultRowHeight="14.1"/>
  <cols>
    <col min="1" max="1" width="1.42578125" style="114" customWidth="1"/>
    <col min="2" max="2" width="6.42578125" style="191" bestFit="1" customWidth="1"/>
    <col min="3" max="3" width="50.5703125" style="24" bestFit="1" customWidth="1"/>
    <col min="4" max="4" width="3.42578125" style="114" customWidth="1"/>
    <col min="5" max="5" width="14.5703125" style="24" customWidth="1"/>
    <col min="6" max="6" width="10.42578125" style="188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.42578125" style="114" bestFit="1" customWidth="1"/>
    <col min="15" max="15" width="67.140625" style="114" bestFit="1" customWidth="1"/>
    <col min="16" max="16" width="1.42578125" style="114" customWidth="1"/>
    <col min="17" max="17" width="5.5703125" style="3" customWidth="1"/>
    <col min="18" max="18" width="8.42578125" style="114"/>
    <col min="19" max="19" width="11.5703125" style="114" bestFit="1" customWidth="1"/>
    <col min="20" max="25" width="8.42578125" style="114"/>
    <col min="26" max="16384" width="8.42578125" style="24"/>
  </cols>
  <sheetData>
    <row r="1" spans="2:28" s="114" customFormat="1" ht="4.5" customHeight="1">
      <c r="B1" s="187"/>
      <c r="F1" s="188"/>
      <c r="G1" s="115"/>
      <c r="J1" s="115"/>
      <c r="N1" s="599">
        <f ca="1">TODAY()</f>
        <v>46052</v>
      </c>
      <c r="O1" s="599">
        <f ca="1">TODAY()</f>
        <v>46052</v>
      </c>
      <c r="Q1" s="3"/>
    </row>
    <row r="2" spans="2:28">
      <c r="B2" s="223"/>
      <c r="C2" s="224" t="s">
        <v>0</v>
      </c>
      <c r="D2" s="225"/>
      <c r="E2" s="910" t="s">
        <v>101</v>
      </c>
      <c r="F2" s="910"/>
      <c r="G2" s="910"/>
      <c r="H2" s="910"/>
      <c r="N2" s="600">
        <v>0</v>
      </c>
      <c r="O2" s="600">
        <v>1</v>
      </c>
    </row>
    <row r="3" spans="2:28" s="114" customFormat="1">
      <c r="B3" s="226"/>
      <c r="C3" s="227" t="s">
        <v>102</v>
      </c>
      <c r="D3" s="225"/>
      <c r="E3" s="638">
        <v>1875</v>
      </c>
      <c r="F3" s="228"/>
      <c r="G3" s="229"/>
      <c r="H3" s="230"/>
      <c r="J3" s="115"/>
      <c r="Q3" s="3"/>
    </row>
    <row r="4" spans="2:28" s="114" customFormat="1">
      <c r="B4" s="226"/>
      <c r="C4" s="227" t="s">
        <v>103</v>
      </c>
      <c r="D4" s="225"/>
      <c r="E4" s="911" t="s">
        <v>66</v>
      </c>
      <c r="F4" s="911"/>
      <c r="G4" s="911"/>
      <c r="H4" s="911"/>
      <c r="J4" s="115"/>
      <c r="Q4" s="3"/>
    </row>
    <row r="5" spans="2:28" s="114" customFormat="1">
      <c r="B5" s="226"/>
      <c r="C5" s="227" t="s">
        <v>104</v>
      </c>
      <c r="D5" s="225"/>
      <c r="E5" s="911" t="s">
        <v>105</v>
      </c>
      <c r="F5" s="911"/>
      <c r="G5" s="911"/>
      <c r="H5" s="911"/>
      <c r="J5" s="115"/>
      <c r="Q5" s="3"/>
    </row>
    <row r="6" spans="2:28">
      <c r="B6" s="231"/>
      <c r="C6" s="232" t="s">
        <v>106</v>
      </c>
      <c r="D6" s="225"/>
      <c r="E6" s="912">
        <v>16024328.9396773</v>
      </c>
      <c r="F6" s="912"/>
      <c r="G6" s="912"/>
      <c r="H6" s="912"/>
    </row>
    <row r="7" spans="2:28" s="114" customFormat="1">
      <c r="B7" s="187"/>
      <c r="C7" s="116" t="s">
        <v>107</v>
      </c>
      <c r="E7" s="609" t="s">
        <v>54</v>
      </c>
      <c r="F7" s="188"/>
      <c r="G7" s="233"/>
      <c r="J7" s="115"/>
      <c r="Q7" s="3"/>
    </row>
    <row r="8" spans="2:28" ht="30" customHeight="1">
      <c r="B8" s="915" t="s">
        <v>108</v>
      </c>
      <c r="C8" s="916" t="s">
        <v>109</v>
      </c>
      <c r="D8" s="262"/>
      <c r="E8" s="914" t="s">
        <v>110</v>
      </c>
      <c r="F8" s="284" t="s">
        <v>111</v>
      </c>
      <c r="G8" s="914" t="s">
        <v>112</v>
      </c>
      <c r="H8" s="285"/>
      <c r="I8" s="914" t="s">
        <v>113</v>
      </c>
      <c r="J8" s="284" t="s">
        <v>111</v>
      </c>
      <c r="K8" s="914" t="s">
        <v>114</v>
      </c>
      <c r="M8" s="637" t="s">
        <v>89</v>
      </c>
      <c r="N8" s="881" t="s">
        <v>115</v>
      </c>
      <c r="O8" s="913" t="s">
        <v>116</v>
      </c>
      <c r="Z8" s="114"/>
      <c r="AA8" s="114"/>
      <c r="AB8" s="114"/>
    </row>
    <row r="9" spans="2:28">
      <c r="B9" s="915"/>
      <c r="C9" s="916"/>
      <c r="D9" s="262"/>
      <c r="E9" s="914"/>
      <c r="F9" s="128">
        <f>G78-E19</f>
        <v>53</v>
      </c>
      <c r="G9" s="914"/>
      <c r="H9" s="285"/>
      <c r="I9" s="914"/>
      <c r="J9" s="129">
        <f>K78-I19</f>
        <v>85</v>
      </c>
      <c r="K9" s="914"/>
      <c r="M9" s="482">
        <f>AVERAGE(M11,M18,M22,M47,M63,M76,M86,M82,M27)</f>
        <v>1</v>
      </c>
      <c r="N9" s="482">
        <f>AVERAGE(N11,N18,N22,N47,N63,N76,N86,N82,N27)</f>
        <v>1</v>
      </c>
      <c r="O9" s="913"/>
      <c r="Z9" s="114"/>
      <c r="AA9" s="114"/>
      <c r="AB9" s="114"/>
    </row>
    <row r="10" spans="2:28" s="114" customFormat="1" ht="4.5" customHeight="1">
      <c r="B10" s="286"/>
      <c r="C10" s="262"/>
      <c r="D10" s="262"/>
      <c r="E10" s="287"/>
      <c r="F10" s="287"/>
      <c r="G10" s="288"/>
      <c r="H10" s="285"/>
      <c r="I10" s="289"/>
      <c r="J10" s="289"/>
      <c r="K10" s="290"/>
      <c r="Q10" s="3"/>
    </row>
    <row r="11" spans="2:28" s="116" customFormat="1">
      <c r="B11" s="291">
        <v>1</v>
      </c>
      <c r="C11" s="292" t="s">
        <v>117</v>
      </c>
      <c r="D11" s="266"/>
      <c r="E11" s="293">
        <f>MIN(E12:E16)</f>
        <v>45594</v>
      </c>
      <c r="F11" s="294">
        <f>G11-E11</f>
        <v>25</v>
      </c>
      <c r="G11" s="293">
        <f>MAX(G12:G16)</f>
        <v>45619</v>
      </c>
      <c r="H11" s="267"/>
      <c r="I11" s="293">
        <f>MIN(I12:I16)</f>
        <v>45594</v>
      </c>
      <c r="J11" s="294">
        <f>K11-I11</f>
        <v>25</v>
      </c>
      <c r="K11" s="293">
        <f>MAX(K12:K16)</f>
        <v>45619</v>
      </c>
      <c r="M11" s="481">
        <f>(J12*M12+J13*M13+J14*M14+J15*M15+J16*M16)/SUM(J12:J16)</f>
        <v>1</v>
      </c>
      <c r="N11" s="481">
        <f>(K12*N12+K13*N13+K14*N14+K15*N15+K16*N16)/SUM(K12:K16)</f>
        <v>1</v>
      </c>
      <c r="O11" s="121"/>
      <c r="P11" s="114"/>
      <c r="Q11" s="122"/>
    </row>
    <row r="12" spans="2:28" s="114" customFormat="1">
      <c r="B12" s="295" t="s">
        <v>118</v>
      </c>
      <c r="C12" s="296" t="s">
        <v>54</v>
      </c>
      <c r="D12" s="262"/>
      <c r="E12" s="297">
        <v>45594</v>
      </c>
      <c r="F12" s="298">
        <v>1</v>
      </c>
      <c r="G12" s="297">
        <f>WORKDAY.INTL(E12,F12,1,Data!$C$3:$C$14)</f>
        <v>45595</v>
      </c>
      <c r="H12" s="285"/>
      <c r="I12" s="297">
        <v>45594</v>
      </c>
      <c r="J12" s="298">
        <v>1</v>
      </c>
      <c r="K12" s="297">
        <f>WORKDAY.INTL(I12,J12,1,Data!$C$3:$C$14)</f>
        <v>45595</v>
      </c>
      <c r="M12" s="302">
        <v>1</v>
      </c>
      <c r="N12" s="302">
        <v>1</v>
      </c>
      <c r="O12" s="124"/>
      <c r="Q12" s="3"/>
    </row>
    <row r="13" spans="2:28" s="114" customFormat="1">
      <c r="B13" s="295" t="s">
        <v>119</v>
      </c>
      <c r="C13" s="296" t="s">
        <v>120</v>
      </c>
      <c r="D13" s="262"/>
      <c r="E13" s="297">
        <v>45604</v>
      </c>
      <c r="F13" s="298">
        <v>1</v>
      </c>
      <c r="G13" s="297">
        <f>WORKDAY.INTL(E13,F13,1,Data!$C$3:$C$14)</f>
        <v>45607</v>
      </c>
      <c r="H13" s="285"/>
      <c r="I13" s="297">
        <v>45604</v>
      </c>
      <c r="J13" s="298">
        <v>1</v>
      </c>
      <c r="K13" s="297">
        <f>WORKDAY.INTL(I13,J13,1,Data!$C$3:$C$14)</f>
        <v>45607</v>
      </c>
      <c r="M13" s="302">
        <v>1</v>
      </c>
      <c r="N13" s="302">
        <v>1</v>
      </c>
      <c r="O13" s="124"/>
      <c r="Q13" s="3"/>
    </row>
    <row r="14" spans="2:28" s="114" customFormat="1">
      <c r="B14" s="295" t="s">
        <v>121</v>
      </c>
      <c r="C14" s="296" t="s">
        <v>87</v>
      </c>
      <c r="D14" s="262"/>
      <c r="E14" s="297">
        <f>E13</f>
        <v>45604</v>
      </c>
      <c r="F14" s="298">
        <v>15</v>
      </c>
      <c r="G14" s="297">
        <f>E14+F14</f>
        <v>45619</v>
      </c>
      <c r="H14" s="285"/>
      <c r="I14" s="297">
        <f>I13</f>
        <v>45604</v>
      </c>
      <c r="J14" s="298">
        <v>15</v>
      </c>
      <c r="K14" s="297">
        <f>I14+J14</f>
        <v>45619</v>
      </c>
      <c r="M14" s="302">
        <v>1</v>
      </c>
      <c r="N14" s="302">
        <v>1</v>
      </c>
      <c r="O14" s="124"/>
      <c r="Q14" s="3"/>
    </row>
    <row r="15" spans="2:28" s="114" customFormat="1">
      <c r="B15" s="295" t="s">
        <v>122</v>
      </c>
      <c r="C15" s="296" t="s">
        <v>123</v>
      </c>
      <c r="D15" s="262"/>
      <c r="E15" s="297">
        <f>G14-7</f>
        <v>45612</v>
      </c>
      <c r="F15" s="298">
        <v>1</v>
      </c>
      <c r="G15" s="297">
        <f>WORKDAY.INTL(E15,F15,1,Data!$C$3:$C$14)</f>
        <v>45614</v>
      </c>
      <c r="H15" s="285"/>
      <c r="I15" s="297">
        <f>K14-7</f>
        <v>45612</v>
      </c>
      <c r="J15" s="298">
        <v>1</v>
      </c>
      <c r="K15" s="297">
        <f>WORKDAY.INTL(I15,J15,1,Data!$C$3:$C$14)</f>
        <v>45614</v>
      </c>
      <c r="M15" s="302">
        <v>1</v>
      </c>
      <c r="N15" s="302">
        <v>1</v>
      </c>
      <c r="O15" s="124"/>
      <c r="Q15" s="3"/>
    </row>
    <row r="16" spans="2:28" s="114" customFormat="1">
      <c r="B16" s="295" t="s">
        <v>124</v>
      </c>
      <c r="C16" s="296" t="s">
        <v>125</v>
      </c>
      <c r="D16" s="262"/>
      <c r="E16" s="297">
        <f>E15</f>
        <v>45612</v>
      </c>
      <c r="F16" s="298">
        <v>1</v>
      </c>
      <c r="G16" s="297">
        <f>WORKDAY.INTL(E16,F16,1,Data!$C$3:$C$14)</f>
        <v>45614</v>
      </c>
      <c r="H16" s="285"/>
      <c r="I16" s="297">
        <f>I15</f>
        <v>45612</v>
      </c>
      <c r="J16" s="298">
        <v>1</v>
      </c>
      <c r="K16" s="297">
        <f>WORKDAY.INTL(I16,J16,1,Data!$C$3:$C$14)</f>
        <v>45614</v>
      </c>
      <c r="M16" s="302">
        <v>1</v>
      </c>
      <c r="N16" s="302">
        <v>1</v>
      </c>
      <c r="O16" s="124"/>
      <c r="Q16" s="3"/>
    </row>
    <row r="17" spans="2:28" s="114" customFormat="1" ht="7.5" customHeight="1">
      <c r="B17" s="286"/>
      <c r="C17" s="262"/>
      <c r="D17" s="262"/>
      <c r="E17" s="287"/>
      <c r="F17" s="287"/>
      <c r="G17" s="287"/>
      <c r="H17" s="285"/>
      <c r="I17" s="287"/>
      <c r="J17" s="287"/>
      <c r="K17" s="287"/>
      <c r="Q17" s="3"/>
    </row>
    <row r="18" spans="2:28" s="116" customFormat="1">
      <c r="B18" s="291">
        <v>2</v>
      </c>
      <c r="C18" s="292" t="s">
        <v>126</v>
      </c>
      <c r="D18" s="266"/>
      <c r="E18" s="293">
        <f>MIN(E19:E20)</f>
        <v>45663</v>
      </c>
      <c r="F18" s="294">
        <f>G18-E18</f>
        <v>8</v>
      </c>
      <c r="G18" s="293">
        <f>MAX(G19:G20)</f>
        <v>45671</v>
      </c>
      <c r="H18" s="267"/>
      <c r="I18" s="293">
        <f>MIN(I19:I20)</f>
        <v>45663</v>
      </c>
      <c r="J18" s="294">
        <f>K18-I18</f>
        <v>36</v>
      </c>
      <c r="K18" s="293">
        <f>MAX(K19:K20)</f>
        <v>45699</v>
      </c>
      <c r="M18" s="481">
        <f>(J19*M19+J20*M20)/SUM(J19:J20)</f>
        <v>1</v>
      </c>
      <c r="N18" s="481">
        <f>(K19*N19+K20*N20)/SUM(K19:K20)</f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5" t="s">
        <v>127</v>
      </c>
      <c r="C19" s="296" t="s">
        <v>128</v>
      </c>
      <c r="D19" s="262"/>
      <c r="E19" s="642">
        <v>45663</v>
      </c>
      <c r="F19" s="298">
        <v>1</v>
      </c>
      <c r="G19" s="297">
        <f>E19+F19</f>
        <v>45664</v>
      </c>
      <c r="H19" s="285"/>
      <c r="I19" s="642">
        <v>45663</v>
      </c>
      <c r="J19" s="298">
        <v>1</v>
      </c>
      <c r="K19" s="297">
        <f>I19+J19</f>
        <v>45664</v>
      </c>
      <c r="M19" s="302">
        <v>1</v>
      </c>
      <c r="N19" s="302">
        <v>1</v>
      </c>
      <c r="O19" s="124"/>
      <c r="Q19" s="126"/>
      <c r="R19" s="123"/>
      <c r="S19" s="123">
        <f>NETWORKDAYS(I19,K80)</f>
        <v>134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>
      <c r="B20" s="295" t="s">
        <v>129</v>
      </c>
      <c r="C20" s="296" t="s">
        <v>130</v>
      </c>
      <c r="D20" s="262"/>
      <c r="E20" s="642">
        <f>E19+7</f>
        <v>45670</v>
      </c>
      <c r="F20" s="298">
        <v>1</v>
      </c>
      <c r="G20" s="297">
        <f>E20+F20</f>
        <v>45671</v>
      </c>
      <c r="H20" s="285"/>
      <c r="I20" s="642">
        <v>45698</v>
      </c>
      <c r="J20" s="298">
        <v>1</v>
      </c>
      <c r="K20" s="297">
        <f>I20+J20</f>
        <v>45699</v>
      </c>
      <c r="M20" s="302">
        <v>1</v>
      </c>
      <c r="N20" s="302">
        <v>1</v>
      </c>
      <c r="O20" s="124"/>
      <c r="Q20" s="126"/>
      <c r="R20" s="123"/>
      <c r="S20" s="123">
        <f>NETWORKDAYS(I20,K89)</f>
        <v>139</v>
      </c>
      <c r="T20" s="123"/>
      <c r="U20" s="123"/>
      <c r="V20" s="123"/>
      <c r="W20" s="123"/>
      <c r="X20" s="123"/>
      <c r="Z20" s="123"/>
      <c r="AA20" s="123"/>
      <c r="AB20" s="123"/>
    </row>
    <row r="21" spans="2:28" s="114" customFormat="1" ht="6.6" customHeight="1">
      <c r="B21" s="299"/>
      <c r="C21" s="264"/>
      <c r="D21" s="262"/>
      <c r="E21" s="718"/>
      <c r="F21" s="719"/>
      <c r="G21" s="718"/>
      <c r="H21" s="285"/>
      <c r="I21" s="718"/>
      <c r="J21" s="719"/>
      <c r="K21" s="718"/>
      <c r="M21" s="127"/>
      <c r="N21" s="127"/>
      <c r="O21" s="121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6" customFormat="1">
      <c r="B22" s="291">
        <v>3</v>
      </c>
      <c r="C22" s="292" t="s">
        <v>131</v>
      </c>
      <c r="D22" s="266"/>
      <c r="E22" s="293">
        <f>MIN(E23:E25)</f>
        <v>45607</v>
      </c>
      <c r="F22" s="294">
        <f>G22-E22</f>
        <v>46</v>
      </c>
      <c r="G22" s="293">
        <f>MAX(G23:G25)</f>
        <v>45653</v>
      </c>
      <c r="H22" s="300"/>
      <c r="I22" s="293">
        <f>MIN(I23:I25)</f>
        <v>45607</v>
      </c>
      <c r="J22" s="294">
        <f>K22-I22</f>
        <v>95</v>
      </c>
      <c r="K22" s="293">
        <f>MAX(K23:K25)</f>
        <v>45702</v>
      </c>
      <c r="M22" s="481">
        <f>(J23*M23+J24*M24+J25*M25)/SUM(J23:J25)</f>
        <v>1</v>
      </c>
      <c r="N22" s="481">
        <f>(K23*N23+K24*N24+K25*N25)/SUM(K23:K25)</f>
        <v>1</v>
      </c>
      <c r="O22" s="121"/>
      <c r="P22" s="114"/>
      <c r="Q22" s="125"/>
      <c r="R22" s="120"/>
      <c r="S22" s="120">
        <f>S19/5</f>
        <v>26.8</v>
      </c>
      <c r="T22" s="120"/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5" t="s">
        <v>132</v>
      </c>
      <c r="C23" s="296" t="s">
        <v>133</v>
      </c>
      <c r="D23" s="262"/>
      <c r="E23" s="297">
        <v>45607</v>
      </c>
      <c r="F23" s="298">
        <v>1</v>
      </c>
      <c r="G23" s="297">
        <f>WORKDAY.INTL(E23,F23,1,Data!$C$3:$C$14)</f>
        <v>45608</v>
      </c>
      <c r="H23" s="285"/>
      <c r="I23" s="297">
        <v>45607</v>
      </c>
      <c r="J23" s="298">
        <v>1</v>
      </c>
      <c r="K23" s="297">
        <f>WORKDAY.INTL(I23,J23,1,Data!$C$3:$C$14)</f>
        <v>45608</v>
      </c>
      <c r="M23" s="302">
        <v>1</v>
      </c>
      <c r="N23" s="302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5" t="s">
        <v>134</v>
      </c>
      <c r="C24" s="296" t="s">
        <v>135</v>
      </c>
      <c r="D24" s="262" t="str" cm="1">
        <f t="array" ref="D2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E24" s="297">
        <f>WORKDAY.INTL(G23,0,1,Data!$C$3:$C$14)</f>
        <v>45608</v>
      </c>
      <c r="F24" s="298">
        <v>15</v>
      </c>
      <c r="G24" s="297">
        <f>WORKDAY.INTL(E24,F24,1,Data!$C$3:$C$14)</f>
        <v>45629</v>
      </c>
      <c r="H24" s="285"/>
      <c r="I24" s="297">
        <f>WORKDAY.INTL(K23,0,1,Data!$C$3:$C$14)</f>
        <v>45608</v>
      </c>
      <c r="J24" s="298">
        <v>15</v>
      </c>
      <c r="K24" s="297">
        <f>WORKDAY.INTL(I24,J24,1,Data!$C$3:$C$14)</f>
        <v>45629</v>
      </c>
      <c r="M24" s="302">
        <v>1</v>
      </c>
      <c r="N24" s="302">
        <v>1</v>
      </c>
      <c r="O24" s="124"/>
      <c r="Q24" s="126"/>
      <c r="R24" s="123"/>
      <c r="S24" s="123">
        <f>E3/S22</f>
        <v>69.962686567164184</v>
      </c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5" t="s">
        <v>136</v>
      </c>
      <c r="C25" s="296" t="s">
        <v>137</v>
      </c>
      <c r="D25" s="262"/>
      <c r="E25" s="297">
        <f>WORKDAY.INTL(G24,0,1,Data!$C$3:$C$14)</f>
        <v>45629</v>
      </c>
      <c r="F25" s="298">
        <v>15</v>
      </c>
      <c r="G25" s="297">
        <f>WORKDAY.INTL(E25,F25,1,Data!$C$3:$C$14)</f>
        <v>45653</v>
      </c>
      <c r="H25" s="285"/>
      <c r="I25" s="297">
        <f>WORKDAY.INTL(K24,0,1,Data!$C$3:$C$14)</f>
        <v>45629</v>
      </c>
      <c r="J25" s="298">
        <v>50</v>
      </c>
      <c r="K25" s="297">
        <f>WORKDAY.INTL(I25,J25,1,Data!$C$3:$C$14)</f>
        <v>45702</v>
      </c>
      <c r="M25" s="302">
        <v>1</v>
      </c>
      <c r="N25" s="302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6.6" customHeight="1">
      <c r="B26" s="299"/>
      <c r="C26" s="264"/>
      <c r="D26" s="262"/>
      <c r="E26" s="718"/>
      <c r="F26" s="719"/>
      <c r="G26" s="718"/>
      <c r="H26" s="285"/>
      <c r="I26" s="718"/>
      <c r="J26" s="719"/>
      <c r="K26" s="718"/>
      <c r="M26" s="127"/>
      <c r="N26" s="127"/>
      <c r="O26" s="121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6" customFormat="1">
      <c r="B27" s="291">
        <v>4</v>
      </c>
      <c r="C27" s="292" t="s">
        <v>138</v>
      </c>
      <c r="D27" s="266"/>
      <c r="E27" s="293">
        <f>MIN(E28:E45)</f>
        <v>45666</v>
      </c>
      <c r="F27" s="294">
        <f>G27-E27</f>
        <v>1</v>
      </c>
      <c r="G27" s="293">
        <f>MAX(G28:G45)</f>
        <v>45667</v>
      </c>
      <c r="H27" s="300"/>
      <c r="I27" s="293">
        <f>MIN(I28:I45)</f>
        <v>45638</v>
      </c>
      <c r="J27" s="294">
        <f>K27-I27</f>
        <v>118</v>
      </c>
      <c r="K27" s="293">
        <f>MAX(K28:K41)</f>
        <v>45756</v>
      </c>
      <c r="M27" s="481">
        <f>(J28*M28+J29*M29+J30*M30+J31*M31+J32*M32+J33*M33+J34*M34+J35*M35+J36*M36+J37*M37+J38*M38+J39*M39+J40*M40+J41*M41+J42*M42+J43*M43+J44*M44+J45*M45)/SUM(J28:J45)</f>
        <v>1</v>
      </c>
      <c r="N27" s="481">
        <f>(K28*N28+K29*N29+K30*N30+K31*N31+K32*N32+K33*N33+K34*N34+K35*N35+K36*N36+K37*N37+K38*N38+K39*N39+K40*N40+K41*N41+K42*N42+K43*N43+K44*N44+K45*N45)/SUM(K28:K45)</f>
        <v>1</v>
      </c>
      <c r="O27" s="121"/>
      <c r="P27" s="114"/>
      <c r="Q27" s="125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</row>
    <row r="28" spans="2:28" s="114" customFormat="1">
      <c r="B28" s="295" t="s">
        <v>139</v>
      </c>
      <c r="C28" s="296" t="s">
        <v>140</v>
      </c>
      <c r="D28" s="262"/>
      <c r="E28" s="297">
        <f>E19+3</f>
        <v>45666</v>
      </c>
      <c r="F28" s="298">
        <v>1</v>
      </c>
      <c r="G28" s="297">
        <f>WORKDAY.INTL(E28,F28,1,Data!$C$3:$C$14)</f>
        <v>45667</v>
      </c>
      <c r="H28" s="285"/>
      <c r="I28" s="297">
        <v>45692</v>
      </c>
      <c r="J28" s="298">
        <v>1</v>
      </c>
      <c r="K28" s="297">
        <f>WORKDAY.INTL(I28,J28,1,Data!$C$3:$C$14)</f>
        <v>45693</v>
      </c>
      <c r="M28" s="302">
        <v>1</v>
      </c>
      <c r="N28" s="302">
        <v>1</v>
      </c>
      <c r="O28" s="124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5" t="s">
        <v>141</v>
      </c>
      <c r="C29" s="296" t="s">
        <v>142</v>
      </c>
      <c r="D29" s="262"/>
      <c r="E29" s="297"/>
      <c r="F29" s="298"/>
      <c r="G29" s="297"/>
      <c r="H29" s="285"/>
      <c r="I29" s="297">
        <v>45677</v>
      </c>
      <c r="J29" s="298">
        <v>35</v>
      </c>
      <c r="K29" s="297">
        <f>WORKDAY.INTL(I29,J29,1,Data!$C$3:$C$14)</f>
        <v>45726</v>
      </c>
      <c r="M29" s="302">
        <v>1</v>
      </c>
      <c r="N29" s="302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5" t="s">
        <v>143</v>
      </c>
      <c r="C30" s="296" t="s">
        <v>144</v>
      </c>
      <c r="D30" s="262"/>
      <c r="E30" s="297"/>
      <c r="F30" s="298"/>
      <c r="G30" s="297"/>
      <c r="H30" s="285"/>
      <c r="I30" s="297">
        <v>45677</v>
      </c>
      <c r="J30" s="298">
        <v>42</v>
      </c>
      <c r="K30" s="297">
        <f>WORKDAY.INTL(I30,J30,1,Data!$C$3:$C$14)</f>
        <v>45735</v>
      </c>
      <c r="M30" s="302">
        <v>1</v>
      </c>
      <c r="N30" s="302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5" t="s">
        <v>145</v>
      </c>
      <c r="C31" s="296" t="s">
        <v>146</v>
      </c>
      <c r="D31" s="262"/>
      <c r="E31" s="297"/>
      <c r="F31" s="298"/>
      <c r="G31" s="297"/>
      <c r="H31" s="285"/>
      <c r="I31" s="297">
        <f>WORKDAY.INTL(K29,0,1,Data!$C$3:$C$14)+5</f>
        <v>45731</v>
      </c>
      <c r="J31" s="298">
        <v>5</v>
      </c>
      <c r="K31" s="297">
        <f>WORKDAY.INTL(I31,J31,1,Data!$C$3:$C$14)</f>
        <v>45737</v>
      </c>
      <c r="M31" s="302">
        <v>1</v>
      </c>
      <c r="N31" s="302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5" t="s">
        <v>147</v>
      </c>
      <c r="C32" s="296" t="s">
        <v>148</v>
      </c>
      <c r="D32" s="262"/>
      <c r="E32" s="297"/>
      <c r="F32" s="298"/>
      <c r="G32" s="297"/>
      <c r="H32" s="285"/>
      <c r="I32" s="297">
        <f>WORKDAY.INTL(K30,0,1,Data!$C$3:$C$14)+5</f>
        <v>45740</v>
      </c>
      <c r="J32" s="298">
        <v>6</v>
      </c>
      <c r="K32" s="297">
        <f>WORKDAY.INTL(I32,J32,1,Data!$C$3:$C$14)</f>
        <v>45748</v>
      </c>
      <c r="M32" s="302">
        <v>1</v>
      </c>
      <c r="N32" s="302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5" t="s">
        <v>149</v>
      </c>
      <c r="C33" s="296" t="s">
        <v>150</v>
      </c>
      <c r="D33" s="262"/>
      <c r="E33" s="297"/>
      <c r="F33" s="298"/>
      <c r="G33" s="297"/>
      <c r="H33" s="285"/>
      <c r="I33" s="297">
        <f>WORKDAY.INTL(K31,0,1,Data!$C$3:$C$14)</f>
        <v>45737</v>
      </c>
      <c r="J33" s="298">
        <v>2</v>
      </c>
      <c r="K33" s="297">
        <f>WORKDAY.INTL(I33,J33,1,Data!$C$3:$C$14)</f>
        <v>45741</v>
      </c>
      <c r="M33" s="302">
        <v>1</v>
      </c>
      <c r="N33" s="302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>
      <c r="B34" s="295" t="s">
        <v>151</v>
      </c>
      <c r="C34" s="296" t="s">
        <v>152</v>
      </c>
      <c r="D34" s="262"/>
      <c r="E34" s="297"/>
      <c r="F34" s="298"/>
      <c r="G34" s="297"/>
      <c r="H34" s="285"/>
      <c r="I34" s="297">
        <f>WORKDAY.INTL(K32,0,1,Data!$C$3:$C$14)</f>
        <v>45748</v>
      </c>
      <c r="J34" s="298">
        <v>4</v>
      </c>
      <c r="K34" s="297">
        <f>WORKDAY.INTL(I34,J34,1,Data!$C$3:$C$14)</f>
        <v>45754</v>
      </c>
      <c r="M34" s="302">
        <v>1</v>
      </c>
      <c r="N34" s="302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5" t="s">
        <v>153</v>
      </c>
      <c r="C35" s="296" t="s">
        <v>154</v>
      </c>
      <c r="D35" s="262"/>
      <c r="E35" s="297"/>
      <c r="F35" s="298"/>
      <c r="G35" s="297"/>
      <c r="H35" s="285"/>
      <c r="I35" s="297">
        <v>45638</v>
      </c>
      <c r="J35" s="298">
        <v>46</v>
      </c>
      <c r="K35" s="297">
        <f>WORKDAY.INTL(I35,J35,1,Data!$C$3:$C$14)</f>
        <v>45707</v>
      </c>
      <c r="M35" s="302">
        <v>1</v>
      </c>
      <c r="N35" s="302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5" t="s">
        <v>155</v>
      </c>
      <c r="C36" s="296" t="s">
        <v>156</v>
      </c>
      <c r="D36" s="262"/>
      <c r="E36" s="297"/>
      <c r="F36" s="298"/>
      <c r="G36" s="297"/>
      <c r="H36" s="285"/>
      <c r="I36" s="297">
        <f>WORKDAY.INTL(K35,0,1,Data!$C$3:$C$14)</f>
        <v>45707</v>
      </c>
      <c r="J36" s="298">
        <v>2</v>
      </c>
      <c r="K36" s="297">
        <f>WORKDAY.INTL(I36,J36,1,Data!$C$3:$C$14)</f>
        <v>45709</v>
      </c>
      <c r="M36" s="302">
        <v>1</v>
      </c>
      <c r="N36" s="302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5" t="s">
        <v>157</v>
      </c>
      <c r="C37" s="296" t="s">
        <v>158</v>
      </c>
      <c r="D37" s="262"/>
      <c r="E37" s="297"/>
      <c r="F37" s="298"/>
      <c r="G37" s="297"/>
      <c r="H37" s="285"/>
      <c r="I37" s="297">
        <f>WORKDAY.INTL(K35,0,1,Data!$C$3:$C$14)</f>
        <v>45707</v>
      </c>
      <c r="J37" s="298">
        <v>2</v>
      </c>
      <c r="K37" s="297">
        <f>WORKDAY.INTL(I37,J37,1,Data!$C$3:$C$14)</f>
        <v>45709</v>
      </c>
      <c r="M37" s="302">
        <v>1</v>
      </c>
      <c r="N37" s="302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5" t="s">
        <v>159</v>
      </c>
      <c r="C38" s="296" t="s">
        <v>160</v>
      </c>
      <c r="D38" s="262"/>
      <c r="E38" s="297"/>
      <c r="F38" s="298"/>
      <c r="G38" s="297"/>
      <c r="H38" s="285"/>
      <c r="I38" s="297">
        <f>WORKDAY.INTL(K33,0,1,Data!$C$3:$C$14)</f>
        <v>45741</v>
      </c>
      <c r="J38" s="298">
        <v>4</v>
      </c>
      <c r="K38" s="297">
        <f>WORKDAY.INTL(I38,J38,1,Data!$C$3:$C$14)</f>
        <v>45747</v>
      </c>
      <c r="M38" s="302">
        <v>1</v>
      </c>
      <c r="N38" s="302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295" t="s">
        <v>161</v>
      </c>
      <c r="C39" s="296" t="s">
        <v>162</v>
      </c>
      <c r="D39" s="262"/>
      <c r="E39" s="297"/>
      <c r="F39" s="298"/>
      <c r="G39" s="297"/>
      <c r="H39" s="285"/>
      <c r="I39" s="297">
        <f>WORKDAY.INTL(K34,0,1,Data!$C$3:$C$14)-3</f>
        <v>45751</v>
      </c>
      <c r="J39" s="298">
        <v>3</v>
      </c>
      <c r="K39" s="297">
        <f>WORKDAY.INTL(I39,J39,1,Data!$C$3:$C$14)</f>
        <v>45756</v>
      </c>
      <c r="M39" s="302">
        <v>1</v>
      </c>
      <c r="N39" s="302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5" t="s">
        <v>163</v>
      </c>
      <c r="C40" s="296" t="s">
        <v>164</v>
      </c>
      <c r="D40" s="262"/>
      <c r="E40" s="297"/>
      <c r="F40" s="298"/>
      <c r="G40" s="297"/>
      <c r="H40" s="285"/>
      <c r="I40" s="297">
        <f>WORKDAY.INTL(I42,0,1,Data!$C$3:$C$14)</f>
        <v>45710</v>
      </c>
      <c r="J40" s="298">
        <v>12</v>
      </c>
      <c r="K40" s="297">
        <f>WORKDAY.INTL(I40,J40,1,Data!$C$3:$C$14)</f>
        <v>45727</v>
      </c>
      <c r="M40" s="302">
        <v>1</v>
      </c>
      <c r="N40" s="302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5" t="s">
        <v>165</v>
      </c>
      <c r="C41" s="296" t="s">
        <v>166</v>
      </c>
      <c r="D41" s="262"/>
      <c r="E41" s="297"/>
      <c r="F41" s="298"/>
      <c r="G41" s="297"/>
      <c r="H41" s="285"/>
      <c r="I41" s="297">
        <f>K43</f>
        <v>45710</v>
      </c>
      <c r="J41" s="298">
        <v>2</v>
      </c>
      <c r="K41" s="297">
        <f>WORKDAY.INTL(I41,J41,1,Data!$C$3:$C$14)</f>
        <v>45713</v>
      </c>
      <c r="M41" s="302">
        <v>1</v>
      </c>
      <c r="N41" s="302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295" t="s">
        <v>167</v>
      </c>
      <c r="C42" s="741" t="s">
        <v>168</v>
      </c>
      <c r="D42" s="262"/>
      <c r="E42" s="297"/>
      <c r="F42" s="298"/>
      <c r="G42" s="297"/>
      <c r="H42" s="285"/>
      <c r="I42" s="297">
        <v>45710</v>
      </c>
      <c r="J42" s="298">
        <v>11</v>
      </c>
      <c r="K42" s="297">
        <f>WORKDAY.INTL(I42,J42,1,Data!$C$3:$C$14)</f>
        <v>45726</v>
      </c>
      <c r="M42" s="302">
        <v>1</v>
      </c>
      <c r="N42" s="302">
        <v>1</v>
      </c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>
      <c r="B43" s="295" t="s">
        <v>169</v>
      </c>
      <c r="C43" s="741" t="s">
        <v>170</v>
      </c>
      <c r="D43" s="262"/>
      <c r="E43" s="297"/>
      <c r="F43" s="298"/>
      <c r="G43" s="297"/>
      <c r="H43" s="285"/>
      <c r="I43" s="297">
        <v>45710</v>
      </c>
      <c r="J43" s="298">
        <v>1</v>
      </c>
      <c r="K43" s="297">
        <f>I43</f>
        <v>45710</v>
      </c>
      <c r="M43" s="302">
        <v>1</v>
      </c>
      <c r="N43" s="302">
        <v>1</v>
      </c>
      <c r="O43" s="124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4" customFormat="1">
      <c r="B44" s="295" t="s">
        <v>171</v>
      </c>
      <c r="C44" s="759" t="s">
        <v>172</v>
      </c>
      <c r="D44" s="262"/>
      <c r="E44" s="297"/>
      <c r="F44" s="298"/>
      <c r="G44" s="297"/>
      <c r="H44" s="285"/>
      <c r="I44" s="297">
        <f>WORKDAY.INTL(K40,0,1,Data!$C$3:$C$14)</f>
        <v>45727</v>
      </c>
      <c r="J44" s="298">
        <v>4</v>
      </c>
      <c r="K44" s="297">
        <f>WORKDAY.INTL(I44,J44,1,Data!$C$3:$C$14)</f>
        <v>45733</v>
      </c>
      <c r="M44" s="302">
        <v>1</v>
      </c>
      <c r="N44" s="302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5" t="s">
        <v>173</v>
      </c>
      <c r="C45" s="759" t="s">
        <v>174</v>
      </c>
      <c r="D45" s="262"/>
      <c r="E45" s="297"/>
      <c r="F45" s="298"/>
      <c r="G45" s="297"/>
      <c r="H45" s="285"/>
      <c r="I45" s="297">
        <f>WORKDAY.INTL(K41,0,1,Data!$C$3:$C$14)</f>
        <v>45713</v>
      </c>
      <c r="J45" s="298">
        <v>10</v>
      </c>
      <c r="K45" s="297">
        <f>WORKDAY.INTL(I45,J45,1,Data!$C$3:$C$14)</f>
        <v>45727</v>
      </c>
      <c r="M45" s="302">
        <v>1</v>
      </c>
      <c r="N45" s="302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 ht="4.5" customHeight="1">
      <c r="B46" s="299"/>
      <c r="C46" s="264"/>
      <c r="D46" s="262"/>
      <c r="E46" s="297"/>
      <c r="F46" s="298"/>
      <c r="G46" s="297"/>
      <c r="H46" s="285"/>
      <c r="I46" s="297"/>
      <c r="J46" s="298"/>
      <c r="K46" s="297"/>
      <c r="M46" s="127"/>
      <c r="N46" s="127"/>
      <c r="O46" s="121"/>
      <c r="Q46" s="126"/>
      <c r="R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6" customFormat="1">
      <c r="B47" s="291">
        <v>5</v>
      </c>
      <c r="C47" s="292" t="s">
        <v>175</v>
      </c>
      <c r="D47" s="266"/>
      <c r="E47" s="293">
        <f>MIN(E48:E53)</f>
        <v>45663</v>
      </c>
      <c r="F47" s="294">
        <f>G47-E47</f>
        <v>49</v>
      </c>
      <c r="G47" s="293">
        <f>MAX(G48:G53)</f>
        <v>45712</v>
      </c>
      <c r="H47" s="300"/>
      <c r="I47" s="293">
        <f>MIN(I48:I53)</f>
        <v>45671</v>
      </c>
      <c r="J47" s="294">
        <f>K47-I47</f>
        <v>64</v>
      </c>
      <c r="K47" s="293">
        <f>MAX(K48:K53)</f>
        <v>45735</v>
      </c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1"/>
      <c r="P47" s="114"/>
      <c r="Q47" s="125"/>
      <c r="R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s="114" customFormat="1">
      <c r="B48" s="295" t="s">
        <v>176</v>
      </c>
      <c r="C48" s="296" t="s">
        <v>177</v>
      </c>
      <c r="D48" s="262"/>
      <c r="E48" s="297">
        <f>E19</f>
        <v>45663</v>
      </c>
      <c r="F48" s="298">
        <v>1</v>
      </c>
      <c r="G48" s="297">
        <f>WORKDAY.INTL(E48,F48,1,Data!$C$3:$C$14)</f>
        <v>45664</v>
      </c>
      <c r="H48" s="285"/>
      <c r="I48" s="297">
        <v>45671</v>
      </c>
      <c r="J48" s="298">
        <v>1</v>
      </c>
      <c r="K48" s="297">
        <f>WORKDAY.INTL(I48,J48,1,Data!$C$3:$C$14)</f>
        <v>45672</v>
      </c>
      <c r="M48" s="302">
        <v>1</v>
      </c>
      <c r="N48" s="302">
        <v>1</v>
      </c>
      <c r="O48" s="124" t="s">
        <v>178</v>
      </c>
      <c r="Q48" s="126"/>
      <c r="R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5" t="s">
        <v>179</v>
      </c>
      <c r="C49" s="296" t="s">
        <v>180</v>
      </c>
      <c r="D49" s="262"/>
      <c r="E49" s="297">
        <f>E19</f>
        <v>45663</v>
      </c>
      <c r="F49" s="717">
        <v>35</v>
      </c>
      <c r="G49" s="297">
        <f>WORKDAY.INTL(E49,F49,1,Data!$C$3:$C$14)</f>
        <v>45712</v>
      </c>
      <c r="H49" s="285"/>
      <c r="I49" s="297">
        <v>45722</v>
      </c>
      <c r="J49" s="717">
        <v>1</v>
      </c>
      <c r="K49" s="297">
        <f>WORKDAY.INTL(I49,J49,1,Data!$C$3:$C$14)</f>
        <v>45723</v>
      </c>
      <c r="M49" s="302">
        <v>1</v>
      </c>
      <c r="N49" s="302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5" t="s">
        <v>181</v>
      </c>
      <c r="C50" s="296" t="s">
        <v>182</v>
      </c>
      <c r="D50" s="262"/>
      <c r="E50" s="297">
        <f>E48+8</f>
        <v>45671</v>
      </c>
      <c r="F50" s="298">
        <v>1</v>
      </c>
      <c r="G50" s="297">
        <f>WORKDAY.INTL(E50,F50,1,Data!$C$3:$C$14)</f>
        <v>45672</v>
      </c>
      <c r="H50" s="285"/>
      <c r="I50" s="297">
        <v>45685</v>
      </c>
      <c r="J50" s="298">
        <v>3</v>
      </c>
      <c r="K50" s="297">
        <f>WORKDAY.INTL(I50,J50,1,Data!$C$3:$C$14)</f>
        <v>45688</v>
      </c>
      <c r="M50" s="302">
        <v>1</v>
      </c>
      <c r="N50" s="302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5" t="s">
        <v>183</v>
      </c>
      <c r="C51" s="296" t="s">
        <v>184</v>
      </c>
      <c r="D51" s="262"/>
      <c r="E51" s="297">
        <f>E19</f>
        <v>45663</v>
      </c>
      <c r="F51" s="298">
        <v>20</v>
      </c>
      <c r="G51" s="297">
        <f>WORKDAY.INTL(E51,F51,1,Data!$C$3:$C$14)</f>
        <v>45691</v>
      </c>
      <c r="H51" s="285"/>
      <c r="I51" s="297">
        <v>45672</v>
      </c>
      <c r="J51" s="298">
        <v>4</v>
      </c>
      <c r="K51" s="297">
        <f>WORKDAY.INTL(I51,J51,1,Data!$C$3:$C$14)</f>
        <v>45678</v>
      </c>
      <c r="M51" s="302">
        <v>1</v>
      </c>
      <c r="N51" s="302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>
      <c r="B52" s="295" t="s">
        <v>185</v>
      </c>
      <c r="C52" s="296" t="s">
        <v>186</v>
      </c>
      <c r="D52" s="262"/>
      <c r="E52" s="297">
        <f>WORKDAY.INTL(G51,0,1,Data!$C$3:$C$14)-7</f>
        <v>45684</v>
      </c>
      <c r="F52" s="717">
        <v>7</v>
      </c>
      <c r="G52" s="297">
        <f>WORKDAY.INTL(E52,F52,1,Data!$C$3:$C$14)</f>
        <v>45693</v>
      </c>
      <c r="H52" s="285"/>
      <c r="I52" s="297">
        <f>I53</f>
        <v>45686</v>
      </c>
      <c r="J52" s="717">
        <v>35</v>
      </c>
      <c r="K52" s="297">
        <f>K53</f>
        <v>45735</v>
      </c>
      <c r="M52" s="302">
        <v>1</v>
      </c>
      <c r="N52" s="302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5" t="s">
        <v>187</v>
      </c>
      <c r="C53" s="296" t="s">
        <v>188</v>
      </c>
      <c r="D53" s="262"/>
      <c r="E53" s="720">
        <v>45663</v>
      </c>
      <c r="F53" s="717">
        <v>35</v>
      </c>
      <c r="G53" s="297">
        <f>WORKDAY.INTL(E53,F53,1,Data!$C$3:$C$14)</f>
        <v>45712</v>
      </c>
      <c r="H53" s="285"/>
      <c r="I53" s="297">
        <v>45686</v>
      </c>
      <c r="J53" s="717">
        <v>35</v>
      </c>
      <c r="K53" s="297">
        <f>WORKDAY.INTL(I53,J53,1,Data!$C$3:$C$14)</f>
        <v>45735</v>
      </c>
      <c r="M53" s="302">
        <v>1</v>
      </c>
      <c r="N53" s="302">
        <v>1</v>
      </c>
      <c r="O53" s="124" t="s">
        <v>189</v>
      </c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 ht="4.5" customHeight="1">
      <c r="B54" s="299"/>
      <c r="C54" s="264"/>
      <c r="D54" s="262"/>
      <c r="E54" s="297"/>
      <c r="F54" s="298"/>
      <c r="G54" s="297"/>
      <c r="H54" s="285"/>
      <c r="I54" s="297"/>
      <c r="J54" s="298"/>
      <c r="K54" s="297"/>
      <c r="M54" s="127"/>
      <c r="N54" s="127"/>
      <c r="O54" s="121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6" customFormat="1">
      <c r="B55" s="291">
        <v>6</v>
      </c>
      <c r="C55" s="292" t="s">
        <v>190</v>
      </c>
      <c r="D55" s="266"/>
      <c r="E55" s="293" t="e">
        <f>MIN(E56:E61)</f>
        <v>#REF!</v>
      </c>
      <c r="F55" s="294" t="e">
        <f>G55-E55</f>
        <v>#REF!</v>
      </c>
      <c r="G55" s="293" t="e">
        <f>MAX(G56:G61)</f>
        <v>#REF!</v>
      </c>
      <c r="H55" s="300"/>
      <c r="I55" s="293">
        <f>MIN(I56:I61)</f>
        <v>45671</v>
      </c>
      <c r="J55" s="294">
        <f>K55-I55</f>
        <v>87</v>
      </c>
      <c r="K55" s="293">
        <f>MAX(K56:K61)</f>
        <v>45758</v>
      </c>
      <c r="M55" s="481">
        <f>(J56*M56+J57*M57+J58*M58+J59*M59+J60*M60+J61*M61)/SUM(J56:J61)</f>
        <v>1</v>
      </c>
      <c r="N55" s="481">
        <f>(K56*N56+K57*N57+K58*N58+K59*N59+K60*N60+K61*N61)/SUM(K56:K61)</f>
        <v>1</v>
      </c>
      <c r="O55" s="121"/>
      <c r="P55" s="114"/>
      <c r="Q55" s="125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</row>
    <row r="56" spans="2:28" s="114" customFormat="1">
      <c r="B56" s="295" t="s">
        <v>191</v>
      </c>
      <c r="C56" s="296" t="s">
        <v>177</v>
      </c>
      <c r="D56" s="262"/>
      <c r="E56" s="297" t="e">
        <f>#REF!</f>
        <v>#REF!</v>
      </c>
      <c r="F56" s="298">
        <v>1</v>
      </c>
      <c r="G56" s="297" t="e">
        <f>WORKDAY.INTL(E56,F56,1,Data!$C$3:$C$14)</f>
        <v>#REF!</v>
      </c>
      <c r="H56" s="285"/>
      <c r="I56" s="297">
        <f>I48</f>
        <v>45671</v>
      </c>
      <c r="J56" s="298">
        <v>1</v>
      </c>
      <c r="K56" s="297">
        <f>WORKDAY.INTL(I56,J56,1,Data!$C$3:$C$14)</f>
        <v>45672</v>
      </c>
      <c r="M56" s="302">
        <v>1</v>
      </c>
      <c r="N56" s="302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5" t="s">
        <v>192</v>
      </c>
      <c r="C57" s="296" t="s">
        <v>180</v>
      </c>
      <c r="D57" s="262"/>
      <c r="E57" s="297" t="e">
        <f>#REF!</f>
        <v>#REF!</v>
      </c>
      <c r="F57" s="717">
        <v>35</v>
      </c>
      <c r="G57" s="297" t="e">
        <f>WORKDAY.INTL(E57,F57,1,Data!$C$3:$C$14)</f>
        <v>#REF!</v>
      </c>
      <c r="H57" s="285"/>
      <c r="I57" s="297">
        <f>I49</f>
        <v>45722</v>
      </c>
      <c r="J57" s="717">
        <v>1</v>
      </c>
      <c r="K57" s="297">
        <f>WORKDAY.INTL(I57,J57,1,Data!$C$3:$C$14)</f>
        <v>45723</v>
      </c>
      <c r="M57" s="302">
        <v>1</v>
      </c>
      <c r="N57" s="302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>
      <c r="B58" s="295" t="s">
        <v>193</v>
      </c>
      <c r="C58" s="296" t="s">
        <v>194</v>
      </c>
      <c r="D58" s="262"/>
      <c r="E58" s="297">
        <f>E50+7</f>
        <v>45678</v>
      </c>
      <c r="F58" s="298">
        <v>1</v>
      </c>
      <c r="G58" s="297">
        <f>WORKDAY.INTL(E58,F58,1,Data!$C$3:$C$14)</f>
        <v>45679</v>
      </c>
      <c r="H58" s="285"/>
      <c r="I58" s="297">
        <f>I50</f>
        <v>45685</v>
      </c>
      <c r="J58" s="298">
        <v>3</v>
      </c>
      <c r="K58" s="297">
        <f>WORKDAY.INTL(I58,J58,1,Data!$C$3:$C$14)</f>
        <v>45688</v>
      </c>
      <c r="M58" s="302">
        <v>1</v>
      </c>
      <c r="N58" s="302">
        <v>1</v>
      </c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295" t="s">
        <v>195</v>
      </c>
      <c r="C59" s="296" t="s">
        <v>196</v>
      </c>
      <c r="D59" s="262"/>
      <c r="E59" s="297">
        <f>WORKDAY.INTL(G24,0,1,Data!$C$3:$C$14)</f>
        <v>45629</v>
      </c>
      <c r="F59" s="717">
        <v>45</v>
      </c>
      <c r="G59" s="297">
        <f>WORKDAY.INTL(E59,F59,1,Data!$C$3:$C$14)</f>
        <v>45695</v>
      </c>
      <c r="H59" s="285"/>
      <c r="I59" s="297">
        <f>WORKDAY.INTL(K25,0,1,Data!$C$3:$C$14)-7</f>
        <v>45695</v>
      </c>
      <c r="J59" s="717">
        <v>11</v>
      </c>
      <c r="K59" s="297">
        <f>WORKDAY.INTL(I59,J59,1,Data!$C$3:$C$14)</f>
        <v>45712</v>
      </c>
      <c r="M59" s="302">
        <v>1</v>
      </c>
      <c r="N59" s="302">
        <v>1</v>
      </c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295" t="s">
        <v>197</v>
      </c>
      <c r="C60" s="296" t="s">
        <v>198</v>
      </c>
      <c r="D60" s="262"/>
      <c r="E60" s="720">
        <v>45671</v>
      </c>
      <c r="F60" s="717">
        <v>10</v>
      </c>
      <c r="G60" s="297">
        <f>WORKDAY.INTL(E60,F60,1,Data!$C$3:$C$14)</f>
        <v>45685</v>
      </c>
      <c r="H60" s="285"/>
      <c r="I60" s="297">
        <f>I61</f>
        <v>45708</v>
      </c>
      <c r="J60" s="717">
        <v>36</v>
      </c>
      <c r="K60" s="297">
        <f>K61</f>
        <v>45758</v>
      </c>
      <c r="M60" s="302">
        <v>1</v>
      </c>
      <c r="N60" s="302">
        <v>1</v>
      </c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295" t="s">
        <v>199</v>
      </c>
      <c r="C61" s="296" t="s">
        <v>200</v>
      </c>
      <c r="D61" s="262"/>
      <c r="E61" s="297">
        <f>WORKDAY.INTL(E60,0,1,Data!$C$3:$C$14)</f>
        <v>45671</v>
      </c>
      <c r="F61" s="717">
        <v>45</v>
      </c>
      <c r="G61" s="297">
        <f>WORKDAY.INTL(E61,F61,1,Data!$C$3:$C$14)</f>
        <v>45734</v>
      </c>
      <c r="H61" s="285"/>
      <c r="I61" s="297">
        <v>45708</v>
      </c>
      <c r="J61" s="717">
        <v>36</v>
      </c>
      <c r="K61" s="297">
        <f>WORKDAY.INTL(I61,J61,1,Data!$C$3:$C$14)</f>
        <v>45758</v>
      </c>
      <c r="M61" s="302">
        <v>1</v>
      </c>
      <c r="N61" s="302">
        <v>1</v>
      </c>
      <c r="O61" s="124" t="s">
        <v>201</v>
      </c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 ht="4.5" customHeight="1">
      <c r="B62" s="299"/>
      <c r="C62" s="264"/>
      <c r="D62" s="262"/>
      <c r="E62" s="297"/>
      <c r="F62" s="298"/>
      <c r="G62" s="297"/>
      <c r="H62" s="285"/>
      <c r="I62" s="297"/>
      <c r="J62" s="298"/>
      <c r="K62" s="297"/>
      <c r="M62" s="127"/>
      <c r="N62" s="127"/>
      <c r="O62" s="121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6" customFormat="1">
      <c r="B63" s="291">
        <v>7</v>
      </c>
      <c r="C63" s="292" t="s">
        <v>202</v>
      </c>
      <c r="D63" s="266"/>
      <c r="E63" s="293">
        <f>MIN(E64:E74)</f>
        <v>0</v>
      </c>
      <c r="F63" s="294">
        <f>G63-E63</f>
        <v>0</v>
      </c>
      <c r="G63" s="293">
        <f>MAX(G64:G74)</f>
        <v>0</v>
      </c>
      <c r="H63" s="267"/>
      <c r="I63" s="293">
        <v>45705</v>
      </c>
      <c r="J63" s="294">
        <f>K63-I63</f>
        <v>62</v>
      </c>
      <c r="K63" s="293">
        <v>45767</v>
      </c>
      <c r="M63" s="481">
        <v>1</v>
      </c>
      <c r="N63" s="481">
        <v>1</v>
      </c>
      <c r="O63" s="121"/>
      <c r="P63" s="114"/>
      <c r="Q63" s="125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</row>
    <row r="64" spans="2:28" s="114" customFormat="1">
      <c r="B64" s="295" t="s">
        <v>203</v>
      </c>
      <c r="C64" s="296" t="s">
        <v>204</v>
      </c>
      <c r="D64" s="262"/>
      <c r="E64" s="301"/>
      <c r="F64" s="298"/>
      <c r="G64" s="297"/>
      <c r="H64" s="285"/>
      <c r="I64" s="301">
        <v>45715</v>
      </c>
      <c r="J64" s="298">
        <v>1</v>
      </c>
      <c r="K64" s="297">
        <f>WORKDAY.INTL(I64,J64,1,Data!$C$3:$C$14)</f>
        <v>45716</v>
      </c>
      <c r="M64" s="302">
        <v>1</v>
      </c>
      <c r="N64" s="302">
        <v>1</v>
      </c>
      <c r="O64" s="124"/>
      <c r="Q64" s="126"/>
      <c r="R64" s="123"/>
      <c r="S64" s="123">
        <f>N11</f>
        <v>1</v>
      </c>
      <c r="T64" s="123"/>
      <c r="U64" s="123"/>
      <c r="V64" s="123"/>
      <c r="W64" s="123"/>
      <c r="X64" s="123"/>
      <c r="Y64" s="123"/>
      <c r="Z64" s="123"/>
      <c r="AA64" s="123"/>
      <c r="AB64" s="123"/>
    </row>
    <row r="65" spans="2:28" s="114" customFormat="1">
      <c r="B65" s="295" t="s">
        <v>205</v>
      </c>
      <c r="C65" s="296" t="s">
        <v>206</v>
      </c>
      <c r="D65" s="262"/>
      <c r="E65" s="297"/>
      <c r="F65" s="298"/>
      <c r="G65" s="297"/>
      <c r="H65" s="285"/>
      <c r="I65" s="297">
        <v>45882</v>
      </c>
      <c r="J65" s="298">
        <v>5</v>
      </c>
      <c r="K65" s="297">
        <f>WORKDAY.INTL(I65,J65,1,Data!$C$3:$C$14)</f>
        <v>45889</v>
      </c>
      <c r="M65" s="302">
        <v>1</v>
      </c>
      <c r="N65" s="302">
        <v>1</v>
      </c>
      <c r="O65" s="124" t="s">
        <v>207</v>
      </c>
      <c r="Q65" s="126"/>
      <c r="R65" s="123"/>
      <c r="S65" s="123">
        <f>N18</f>
        <v>1</v>
      </c>
      <c r="T65" s="123"/>
      <c r="U65" s="123"/>
      <c r="V65" s="123"/>
      <c r="W65" s="123"/>
      <c r="X65" s="123"/>
      <c r="Y65" s="123"/>
      <c r="Z65" s="123"/>
      <c r="AA65" s="123"/>
      <c r="AB65" s="123"/>
    </row>
    <row r="66" spans="2:28" s="114" customFormat="1">
      <c r="B66" s="295" t="s">
        <v>208</v>
      </c>
      <c r="C66" s="296" t="s">
        <v>209</v>
      </c>
      <c r="D66" s="262"/>
      <c r="E66" s="297"/>
      <c r="F66" s="298"/>
      <c r="G66" s="297"/>
      <c r="H66" s="285"/>
      <c r="I66" s="297">
        <f>K65</f>
        <v>45889</v>
      </c>
      <c r="J66" s="298">
        <v>1</v>
      </c>
      <c r="K66" s="297">
        <f>WORKDAY.INTL(I66,J66,1,Data!$C$3:$C$14)</f>
        <v>45890</v>
      </c>
      <c r="M66" s="302">
        <v>1</v>
      </c>
      <c r="N66" s="302">
        <v>1</v>
      </c>
      <c r="O66" s="124"/>
      <c r="Q66" s="126"/>
      <c r="R66" s="123"/>
      <c r="S66" s="123">
        <f>N22</f>
        <v>1</v>
      </c>
      <c r="T66" s="123"/>
      <c r="U66" s="123"/>
      <c r="V66" s="123"/>
      <c r="W66" s="123"/>
      <c r="X66" s="123"/>
      <c r="Y66" s="123"/>
      <c r="Z66" s="123"/>
      <c r="AA66" s="123"/>
      <c r="AB66" s="123"/>
    </row>
    <row r="67" spans="2:28" s="114" customFormat="1">
      <c r="B67" s="295" t="s">
        <v>210</v>
      </c>
      <c r="C67" s="296" t="s">
        <v>211</v>
      </c>
      <c r="D67" s="262"/>
      <c r="E67" s="301"/>
      <c r="F67" s="298"/>
      <c r="G67" s="297"/>
      <c r="H67" s="285"/>
      <c r="I67" s="301">
        <v>45715</v>
      </c>
      <c r="J67" s="298">
        <v>1</v>
      </c>
      <c r="K67" s="297">
        <f>WORKDAY.INTL(I67,J67,1,Data!$C$3:$C$14)</f>
        <v>45716</v>
      </c>
      <c r="M67" s="302">
        <v>1</v>
      </c>
      <c r="N67" s="302">
        <v>1</v>
      </c>
      <c r="O67" s="124"/>
      <c r="Q67" s="126"/>
      <c r="R67" s="123"/>
      <c r="S67" s="123">
        <f>N27</f>
        <v>1</v>
      </c>
      <c r="T67" s="123"/>
      <c r="U67" s="123"/>
      <c r="V67" s="123"/>
      <c r="W67" s="123"/>
      <c r="X67" s="123"/>
      <c r="Y67" s="123"/>
      <c r="Z67" s="123"/>
      <c r="AA67" s="123"/>
      <c r="AB67" s="123"/>
    </row>
    <row r="68" spans="2:28" s="114" customFormat="1">
      <c r="B68" s="295" t="s">
        <v>212</v>
      </c>
      <c r="C68" s="296" t="s">
        <v>213</v>
      </c>
      <c r="D68" s="262"/>
      <c r="E68" s="297"/>
      <c r="F68" s="298"/>
      <c r="G68" s="297"/>
      <c r="H68" s="285"/>
      <c r="I68" s="297">
        <f>K65</f>
        <v>45889</v>
      </c>
      <c r="J68" s="298">
        <v>5</v>
      </c>
      <c r="K68" s="297">
        <f>WORKDAY.INTL(I68,J68,1,Data!$C$3:$C$14)</f>
        <v>45896</v>
      </c>
      <c r="M68" s="302">
        <v>1</v>
      </c>
      <c r="N68" s="302">
        <v>1</v>
      </c>
      <c r="O68" s="124" t="s">
        <v>207</v>
      </c>
      <c r="Q68" s="126"/>
      <c r="R68" s="123"/>
      <c r="S68" s="123">
        <f>N47</f>
        <v>1</v>
      </c>
      <c r="T68" s="123"/>
      <c r="U68" s="123"/>
      <c r="V68" s="123"/>
      <c r="W68" s="123"/>
      <c r="X68" s="123"/>
      <c r="Y68" s="123"/>
      <c r="Z68" s="123"/>
      <c r="AA68" s="123"/>
      <c r="AB68" s="123"/>
    </row>
    <row r="69" spans="2:28" s="114" customFormat="1">
      <c r="B69" s="295" t="s">
        <v>214</v>
      </c>
      <c r="C69" s="296" t="s">
        <v>215</v>
      </c>
      <c r="D69" s="262"/>
      <c r="E69" s="297"/>
      <c r="F69" s="298"/>
      <c r="G69" s="297"/>
      <c r="H69" s="285"/>
      <c r="I69" s="297">
        <f>K68</f>
        <v>45896</v>
      </c>
      <c r="J69" s="298">
        <v>1</v>
      </c>
      <c r="K69" s="297">
        <f>WORKDAY.INTL(I69,J69,1,Data!$C$3:$C$14)</f>
        <v>45897</v>
      </c>
      <c r="M69" s="302">
        <v>1</v>
      </c>
      <c r="N69" s="302">
        <v>1</v>
      </c>
      <c r="O69" s="124"/>
      <c r="Q69" s="126"/>
      <c r="R69" s="123"/>
      <c r="S69" s="123">
        <f>N55</f>
        <v>1</v>
      </c>
      <c r="T69" s="123"/>
      <c r="U69" s="123"/>
      <c r="V69" s="123"/>
      <c r="W69" s="123"/>
      <c r="X69" s="123"/>
      <c r="Y69" s="123"/>
      <c r="Z69" s="123"/>
      <c r="AA69" s="123"/>
      <c r="AB69" s="123"/>
    </row>
    <row r="70" spans="2:28" s="114" customFormat="1">
      <c r="B70" s="295" t="s">
        <v>216</v>
      </c>
      <c r="C70" s="296" t="s">
        <v>217</v>
      </c>
      <c r="D70" s="262"/>
      <c r="E70" s="301"/>
      <c r="F70" s="298"/>
      <c r="G70" s="297"/>
      <c r="H70" s="285"/>
      <c r="I70" s="301">
        <f>K61</f>
        <v>45758</v>
      </c>
      <c r="J70" s="298">
        <v>10</v>
      </c>
      <c r="K70" s="297">
        <f>WORKDAY.INTL(I70,J70,1,Data!$C$3:$C$14)+70</f>
        <v>45842</v>
      </c>
      <c r="M70" s="302">
        <v>1</v>
      </c>
      <c r="N70" s="302">
        <v>1</v>
      </c>
      <c r="O70" s="124" t="s">
        <v>218</v>
      </c>
      <c r="Q70" s="126"/>
      <c r="R70" s="123"/>
      <c r="S70" s="123">
        <f>N63</f>
        <v>1</v>
      </c>
      <c r="T70" s="123"/>
      <c r="U70" s="123"/>
      <c r="V70" s="123"/>
      <c r="W70" s="123"/>
      <c r="X70" s="123"/>
      <c r="Y70" s="123"/>
      <c r="Z70" s="123"/>
      <c r="AA70" s="123"/>
      <c r="AB70" s="123"/>
    </row>
    <row r="71" spans="2:28" s="114" customFormat="1">
      <c r="B71" s="295" t="s">
        <v>219</v>
      </c>
      <c r="C71" s="296" t="s">
        <v>220</v>
      </c>
      <c r="D71" s="262"/>
      <c r="E71" s="301"/>
      <c r="F71" s="298"/>
      <c r="G71" s="297"/>
      <c r="H71" s="285"/>
      <c r="I71" s="301">
        <f>I70</f>
        <v>45758</v>
      </c>
      <c r="J71" s="298">
        <v>10</v>
      </c>
      <c r="K71" s="297">
        <f>WORKDAY.INTL(I71,J71,1,Data!$C$3:$C$14)+70</f>
        <v>45842</v>
      </c>
      <c r="M71" s="302">
        <v>1</v>
      </c>
      <c r="N71" s="302">
        <v>1</v>
      </c>
      <c r="O71" s="124" t="s">
        <v>218</v>
      </c>
      <c r="Q71" s="126"/>
      <c r="R71" s="123"/>
      <c r="S71" s="123">
        <f>N76</f>
        <v>1</v>
      </c>
      <c r="T71" s="123"/>
      <c r="U71" s="123"/>
      <c r="V71" s="123"/>
      <c r="W71" s="123"/>
      <c r="X71" s="123"/>
      <c r="Y71" s="123"/>
      <c r="Z71" s="123"/>
      <c r="AA71" s="123"/>
      <c r="AB71" s="123"/>
    </row>
    <row r="72" spans="2:28" s="114" customFormat="1">
      <c r="B72" s="295" t="s">
        <v>221</v>
      </c>
      <c r="C72" s="296" t="s">
        <v>222</v>
      </c>
      <c r="D72" s="262"/>
      <c r="E72" s="301"/>
      <c r="F72" s="298"/>
      <c r="G72" s="297"/>
      <c r="H72" s="285"/>
      <c r="I72" s="301">
        <v>45861</v>
      </c>
      <c r="J72" s="298">
        <v>2</v>
      </c>
      <c r="K72" s="297">
        <f>WORKDAY.INTL(I72,J72,1,Data!$C$3:$C$14)</f>
        <v>45863</v>
      </c>
      <c r="M72" s="302">
        <v>1</v>
      </c>
      <c r="N72" s="302">
        <v>1</v>
      </c>
      <c r="O72" s="124" t="s">
        <v>223</v>
      </c>
      <c r="Q72" s="126"/>
      <c r="R72" s="123"/>
      <c r="S72" s="123">
        <f>N82</f>
        <v>1</v>
      </c>
      <c r="T72" s="123"/>
      <c r="U72" s="123"/>
      <c r="V72" s="123"/>
      <c r="W72" s="123"/>
      <c r="X72" s="123"/>
      <c r="Y72" s="123"/>
      <c r="Z72" s="123"/>
      <c r="AA72" s="123"/>
      <c r="AB72" s="123"/>
    </row>
    <row r="73" spans="2:28" s="114" customFormat="1">
      <c r="B73" s="295" t="s">
        <v>224</v>
      </c>
      <c r="C73" s="296" t="s">
        <v>225</v>
      </c>
      <c r="D73" s="262"/>
      <c r="E73" s="301"/>
      <c r="F73" s="298"/>
      <c r="G73" s="297"/>
      <c r="H73" s="285"/>
      <c r="I73" s="301">
        <v>45884</v>
      </c>
      <c r="J73" s="298">
        <v>5</v>
      </c>
      <c r="K73" s="297">
        <f>WORKDAY.INTL(I73,J73,1,Data!$C$3:$C$14)</f>
        <v>45891</v>
      </c>
      <c r="M73" s="302">
        <v>1</v>
      </c>
      <c r="N73" s="302">
        <v>1</v>
      </c>
      <c r="O73" s="124" t="s">
        <v>223</v>
      </c>
      <c r="Q73" s="126"/>
      <c r="R73" s="123"/>
      <c r="S73" s="123">
        <f>N86</f>
        <v>1</v>
      </c>
      <c r="T73" s="123"/>
      <c r="U73" s="123"/>
      <c r="V73" s="123"/>
      <c r="W73" s="123"/>
      <c r="X73" s="123"/>
      <c r="Y73" s="123"/>
      <c r="Z73" s="123"/>
      <c r="AA73" s="123"/>
      <c r="AB73" s="123"/>
    </row>
    <row r="74" spans="2:28" s="114" customFormat="1">
      <c r="B74" s="295" t="s">
        <v>226</v>
      </c>
      <c r="C74" s="296" t="s">
        <v>227</v>
      </c>
      <c r="D74" s="262"/>
      <c r="E74" s="301"/>
      <c r="F74" s="298"/>
      <c r="G74" s="297"/>
      <c r="H74" s="285"/>
      <c r="I74" s="301">
        <v>45765</v>
      </c>
      <c r="J74" s="298">
        <v>7</v>
      </c>
      <c r="K74" s="297">
        <f>I74+J74</f>
        <v>45772</v>
      </c>
      <c r="M74" s="302">
        <v>1</v>
      </c>
      <c r="N74" s="302">
        <v>1</v>
      </c>
      <c r="O74" s="124"/>
      <c r="Q74" s="126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</row>
    <row r="75" spans="2:28" s="114" customFormat="1" ht="4.5" customHeight="1">
      <c r="B75" s="286"/>
      <c r="C75" s="262"/>
      <c r="D75" s="262"/>
      <c r="E75" s="298"/>
      <c r="F75" s="287"/>
      <c r="G75" s="298"/>
      <c r="H75" s="285"/>
      <c r="I75" s="298"/>
      <c r="J75" s="287"/>
      <c r="K75" s="298"/>
      <c r="L75" s="123"/>
      <c r="M75" s="123"/>
      <c r="N75" s="123"/>
      <c r="O75" s="123"/>
      <c r="Q75" s="126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</row>
    <row r="76" spans="2:28" s="116" customFormat="1">
      <c r="B76" s="291">
        <v>8</v>
      </c>
      <c r="C76" s="292" t="s">
        <v>228</v>
      </c>
      <c r="D76" s="266"/>
      <c r="E76" s="293" t="e">
        <f>MIN(E77:E80)</f>
        <v>#REF!</v>
      </c>
      <c r="F76" s="294" t="e">
        <f>G76-E76</f>
        <v>#REF!</v>
      </c>
      <c r="G76" s="293" t="e">
        <f>MAX(G77:G80)</f>
        <v>#REF!</v>
      </c>
      <c r="H76" s="267"/>
      <c r="I76" s="293">
        <f>MIN(I77:I80)</f>
        <v>45735</v>
      </c>
      <c r="J76" s="294">
        <f>K76-I76</f>
        <v>113</v>
      </c>
      <c r="K76" s="293">
        <f>MAX(K77:K80)</f>
        <v>45848</v>
      </c>
      <c r="M76" s="481">
        <f>(J77*M77+J78*M78+J79*M79+J80*M80)/SUM(J77:J80)</f>
        <v>1</v>
      </c>
      <c r="N76" s="481">
        <f>(K77*N77+K78*N78+K79*N79+K80*N80)/SUM(K77:K80)</f>
        <v>1</v>
      </c>
      <c r="O76" s="121"/>
      <c r="P76" s="114"/>
      <c r="Q76" s="125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</row>
    <row r="77" spans="2:28" s="114" customFormat="1">
      <c r="B77" s="295" t="s">
        <v>229</v>
      </c>
      <c r="C77" s="290" t="s">
        <v>230</v>
      </c>
      <c r="D77" s="262"/>
      <c r="E77" s="301">
        <f>WORKDAY.INTL(G47,0,1,Data!$C$3:$C$14)</f>
        <v>45712</v>
      </c>
      <c r="F77" s="298">
        <v>3</v>
      </c>
      <c r="G77" s="297">
        <f>WORKDAY.INTL(E77,F77,1,Data!$C$3:$C$14)</f>
        <v>45715</v>
      </c>
      <c r="H77" s="263"/>
      <c r="I77" s="301">
        <f>WORKDAY.INTL(K47,0,1,Data!$C$3:$C$14)</f>
        <v>45735</v>
      </c>
      <c r="J77" s="298">
        <v>4</v>
      </c>
      <c r="K77" s="297">
        <f>WORKDAY.INTL(I77,J77,1,Data!$C$3:$C$14)</f>
        <v>45741</v>
      </c>
      <c r="M77" s="302">
        <v>1</v>
      </c>
      <c r="N77" s="302">
        <v>1</v>
      </c>
      <c r="O77" s="124"/>
      <c r="Q77" s="126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</row>
    <row r="78" spans="2:28" s="114" customFormat="1">
      <c r="B78" s="295" t="s">
        <v>231</v>
      </c>
      <c r="C78" s="290" t="s">
        <v>232</v>
      </c>
      <c r="D78" s="262"/>
      <c r="E78" s="301">
        <f>WORKDAY.INTL(G77,0,1,Data!$C$3:$C$14)</f>
        <v>45715</v>
      </c>
      <c r="F78" s="298">
        <v>1</v>
      </c>
      <c r="G78" s="297">
        <f>WORKDAY.INTL(E78,F78,1,Data!$C$3:$C$14)</f>
        <v>45716</v>
      </c>
      <c r="H78" s="285"/>
      <c r="I78" s="301">
        <f>WORKDAY.INTL(K77,0,1,Data!$C$3:$C$14)</f>
        <v>45741</v>
      </c>
      <c r="J78" s="298">
        <v>5</v>
      </c>
      <c r="K78" s="297">
        <f>WORKDAY.INTL(I78,J78,1,Data!$C$3:$C$14)</f>
        <v>45748</v>
      </c>
      <c r="M78" s="302">
        <v>1</v>
      </c>
      <c r="N78" s="302">
        <v>1</v>
      </c>
      <c r="O78" s="124"/>
      <c r="Q78" s="126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</row>
    <row r="79" spans="2:28" s="114" customFormat="1">
      <c r="B79" s="295" t="s">
        <v>233</v>
      </c>
      <c r="C79" s="290" t="s">
        <v>234</v>
      </c>
      <c r="D79" s="262"/>
      <c r="E79" s="301" t="e">
        <f>WORKDAY.INTL(G55,0,1,Data!$C$3:$C$14)</f>
        <v>#REF!</v>
      </c>
      <c r="F79" s="298">
        <v>3</v>
      </c>
      <c r="G79" s="297" t="e">
        <f>WORKDAY.INTL(E79,F79,1,Data!$C$3:$C$14)</f>
        <v>#REF!</v>
      </c>
      <c r="H79" s="263"/>
      <c r="I79" s="301">
        <f>WORKDAY.INTL(K39,0,1,Data!$C$3:$C$14)</f>
        <v>45756</v>
      </c>
      <c r="J79" s="298">
        <v>4</v>
      </c>
      <c r="K79" s="297">
        <f>WORKDAY.INTL(I79,J79,1,Data!$C$3:$C$14)</f>
        <v>45762</v>
      </c>
      <c r="M79" s="302">
        <v>1</v>
      </c>
      <c r="N79" s="302">
        <v>1</v>
      </c>
      <c r="O79" s="124"/>
      <c r="Q79" s="126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</row>
    <row r="80" spans="2:28" s="114" customFormat="1">
      <c r="B80" s="295" t="s">
        <v>235</v>
      </c>
      <c r="C80" s="290" t="s">
        <v>236</v>
      </c>
      <c r="D80" s="262"/>
      <c r="E80" s="301" t="e">
        <f>WORKDAY.INTL(G79,0,1,Data!$C$3:$C$14)</f>
        <v>#REF!</v>
      </c>
      <c r="F80" s="298">
        <v>1</v>
      </c>
      <c r="G80" s="297" t="e">
        <f>WORKDAY.INTL(E80,F80,1,Data!$C$3:$C$14)</f>
        <v>#REF!</v>
      </c>
      <c r="H80" s="285"/>
      <c r="I80" s="301">
        <f>WORKDAY.INTL(K79,0,1,Data!$C$3:$C$14)</f>
        <v>45762</v>
      </c>
      <c r="J80" s="298">
        <v>62</v>
      </c>
      <c r="K80" s="297">
        <f>WORKDAY.INTL(I80,J80,1,Data!$C$3:$C$14)</f>
        <v>45848</v>
      </c>
      <c r="M80" s="302">
        <v>1</v>
      </c>
      <c r="N80" s="302">
        <v>1</v>
      </c>
      <c r="O80" s="124"/>
      <c r="Q80" s="126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</row>
    <row r="81" spans="2:28" s="114" customFormat="1" ht="4.5" customHeight="1">
      <c r="B81" s="286"/>
      <c r="C81" s="262"/>
      <c r="D81" s="262"/>
      <c r="E81" s="298"/>
      <c r="F81" s="287"/>
      <c r="G81" s="298"/>
      <c r="H81" s="285"/>
      <c r="I81" s="298"/>
      <c r="J81" s="287"/>
      <c r="K81" s="298"/>
      <c r="L81" s="123"/>
      <c r="M81" s="123"/>
      <c r="N81" s="123"/>
      <c r="O81" s="123"/>
      <c r="Q81" s="126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</row>
    <row r="82" spans="2:28" s="116" customFormat="1">
      <c r="B82" s="291">
        <v>9</v>
      </c>
      <c r="C82" s="292" t="s">
        <v>237</v>
      </c>
      <c r="D82" s="266"/>
      <c r="E82" s="293" t="e">
        <f>MIN(E83:E84)</f>
        <v>#REF!</v>
      </c>
      <c r="F82" s="294" t="e">
        <f>G82-E82</f>
        <v>#REF!</v>
      </c>
      <c r="G82" s="293" t="e">
        <f>MAX(G83:G84)</f>
        <v>#REF!</v>
      </c>
      <c r="H82" s="267"/>
      <c r="I82" s="293">
        <f>MIN(I83:I84)</f>
        <v>45749</v>
      </c>
      <c r="J82" s="294">
        <f>K82-I82</f>
        <v>113</v>
      </c>
      <c r="K82" s="293">
        <f>MAX(K83:K84)</f>
        <v>45862</v>
      </c>
      <c r="M82" s="481">
        <f>(J83*M83+J84*M84)/SUM(J83:J84)</f>
        <v>1</v>
      </c>
      <c r="N82" s="481">
        <f>(K83*N83+K84*N84)/SUM(K83:K84)</f>
        <v>1</v>
      </c>
      <c r="O82" s="121"/>
      <c r="P82" s="114"/>
      <c r="Q82" s="125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</row>
    <row r="83" spans="2:28">
      <c r="B83" s="295" t="s">
        <v>238</v>
      </c>
      <c r="C83" s="290" t="s">
        <v>239</v>
      </c>
      <c r="D83" s="262"/>
      <c r="E83" s="301">
        <f>WORKDAY.INTL(E77,0,1,Data!$C$3:$C$14)</f>
        <v>45712</v>
      </c>
      <c r="F83" s="298">
        <v>15</v>
      </c>
      <c r="G83" s="301">
        <f>WORKDAY.INTL(E83,F83,1,Data!$C$3:$C$14)</f>
        <v>45733</v>
      </c>
      <c r="H83" s="285"/>
      <c r="I83" s="301">
        <f>WORKDAY.INTL(I77,0,1,Data!$C$3:$C$14)+14</f>
        <v>45749</v>
      </c>
      <c r="J83" s="298">
        <v>15</v>
      </c>
      <c r="K83" s="301">
        <f>WORKDAY.INTL(I83,J83,1,Data!$C$3:$C$14)</f>
        <v>45770</v>
      </c>
      <c r="M83" s="302">
        <v>1</v>
      </c>
      <c r="N83" s="302">
        <v>1</v>
      </c>
      <c r="O83" s="124"/>
      <c r="Y83" s="24"/>
    </row>
    <row r="84" spans="2:28">
      <c r="B84" s="295" t="s">
        <v>240</v>
      </c>
      <c r="C84" s="290" t="s">
        <v>241</v>
      </c>
      <c r="D84" s="262"/>
      <c r="E84" s="301" t="e">
        <f>WORKDAY.INTL(E79,0,1,Data!$C$3:$C$14)</f>
        <v>#REF!</v>
      </c>
      <c r="F84" s="298">
        <v>15</v>
      </c>
      <c r="G84" s="301" t="e">
        <f>WORKDAY.INTL(E84,F84,1,Data!$C$3:$C$14)</f>
        <v>#REF!</v>
      </c>
      <c r="H84" s="285"/>
      <c r="I84" s="301">
        <f>WORKDAY.INTL(K80,0,1,Data!$C$3:$C$14)</f>
        <v>45848</v>
      </c>
      <c r="J84" s="298">
        <v>10</v>
      </c>
      <c r="K84" s="301">
        <f>WORKDAY.INTL(I84,J84,1,Data!$C$3:$C$14)</f>
        <v>45862</v>
      </c>
      <c r="M84" s="302">
        <v>1</v>
      </c>
      <c r="N84" s="302">
        <v>1</v>
      </c>
      <c r="O84" s="124"/>
      <c r="Y84" s="24"/>
    </row>
    <row r="85" spans="2:28" s="114" customFormat="1" ht="4.5" customHeight="1">
      <c r="B85" s="286"/>
      <c r="C85" s="262"/>
      <c r="D85" s="262"/>
      <c r="E85" s="298"/>
      <c r="F85" s="287"/>
      <c r="G85" s="298"/>
      <c r="H85" s="285"/>
      <c r="I85" s="298"/>
      <c r="J85" s="287"/>
      <c r="K85" s="298"/>
      <c r="L85" s="123"/>
      <c r="M85" s="123"/>
      <c r="N85" s="123"/>
      <c r="O85" s="123"/>
      <c r="Q85" s="126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</row>
    <row r="86" spans="2:28" s="116" customFormat="1">
      <c r="B86" s="291">
        <v>10</v>
      </c>
      <c r="C86" s="292" t="s">
        <v>242</v>
      </c>
      <c r="D86" s="266"/>
      <c r="E86" s="293" t="e">
        <f>MIN(E87:E92)</f>
        <v>#REF!</v>
      </c>
      <c r="F86" s="294" t="e">
        <f>G86-E86</f>
        <v>#REF!</v>
      </c>
      <c r="G86" s="293" t="e">
        <f>MAX(G87:G92)</f>
        <v>#REF!</v>
      </c>
      <c r="H86" s="267"/>
      <c r="I86" s="293">
        <f>MIN(I87:I92)</f>
        <v>45735</v>
      </c>
      <c r="J86" s="294">
        <f>K86-I86</f>
        <v>190</v>
      </c>
      <c r="K86" s="293">
        <f>MAX(K87:K92)</f>
        <v>45925</v>
      </c>
      <c r="M86" s="481">
        <f>(J87*M87+J88*M88+J89*M89+J90*M90+J91*M91+J92*M92)/SUM(J87:J92)</f>
        <v>1</v>
      </c>
      <c r="N86" s="481">
        <f>(K87*N87+K88*N88+K89*N89+K90*N90+K91*N91+K92*N92)/SUM(K87:K92)</f>
        <v>1</v>
      </c>
      <c r="O86" s="121"/>
      <c r="P86" s="114"/>
      <c r="Q86" s="125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</row>
    <row r="87" spans="2:28" s="114" customFormat="1">
      <c r="B87" s="295" t="s">
        <v>243</v>
      </c>
      <c r="C87" s="290" t="s">
        <v>244</v>
      </c>
      <c r="D87" s="262"/>
      <c r="E87" s="301" t="e">
        <f>E76</f>
        <v>#REF!</v>
      </c>
      <c r="F87" s="298">
        <v>2</v>
      </c>
      <c r="G87" s="301" t="e">
        <f>WORKDAY.INTL(E87,F87,1,Data!$C$3:$C$14)</f>
        <v>#REF!</v>
      </c>
      <c r="H87" s="285"/>
      <c r="I87" s="301">
        <f>I76</f>
        <v>45735</v>
      </c>
      <c r="J87" s="298">
        <v>2</v>
      </c>
      <c r="K87" s="301">
        <f>WORKDAY.INTL(I87,J87,1,Data!$C$3:$C$14)</f>
        <v>45737</v>
      </c>
      <c r="M87" s="302">
        <v>1</v>
      </c>
      <c r="N87" s="302">
        <v>1</v>
      </c>
      <c r="O87" s="124"/>
      <c r="Q87" s="126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</row>
    <row r="88" spans="2:28" s="114" customFormat="1">
      <c r="B88" s="295" t="s">
        <v>245</v>
      </c>
      <c r="C88" s="290" t="s">
        <v>246</v>
      </c>
      <c r="D88" s="262"/>
      <c r="E88" s="301" t="e">
        <f>G84</f>
        <v>#REF!</v>
      </c>
      <c r="F88" s="298">
        <v>10</v>
      </c>
      <c r="G88" s="301" t="e">
        <f>WORKDAY.INTL(E88,F88,1,Data!$C$3:$C$14)</f>
        <v>#REF!</v>
      </c>
      <c r="H88" s="285"/>
      <c r="I88" s="301">
        <f>K76</f>
        <v>45848</v>
      </c>
      <c r="J88" s="298">
        <v>35</v>
      </c>
      <c r="K88" s="301">
        <f>WORKDAY.INTL(I88,J88,1,Data!$C$3:$C$14)</f>
        <v>45897</v>
      </c>
      <c r="M88" s="302">
        <v>1</v>
      </c>
      <c r="N88" s="302">
        <v>1</v>
      </c>
      <c r="O88" s="124"/>
      <c r="Q88" s="126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</row>
    <row r="89" spans="2:28" s="114" customFormat="1">
      <c r="B89" s="295" t="s">
        <v>247</v>
      </c>
      <c r="C89" s="290" t="s">
        <v>248</v>
      </c>
      <c r="D89" s="262"/>
      <c r="E89" s="301" t="e">
        <f>WORKDAY.INTL(G80,0,1,Data!$C$3:$C$14)</f>
        <v>#REF!</v>
      </c>
      <c r="F89" s="298">
        <v>10</v>
      </c>
      <c r="G89" s="301" t="e">
        <f>WORKDAY.INTL(E89,F89,1,Data!$C$3:$C$14)</f>
        <v>#REF!</v>
      </c>
      <c r="H89" s="285"/>
      <c r="I89" s="301">
        <f>WORKDAY.INTL(K80,0,1,Data!$C$3:$C$14)</f>
        <v>45848</v>
      </c>
      <c r="J89" s="298">
        <v>30</v>
      </c>
      <c r="K89" s="301">
        <f>WORKDAY.INTL(I89,J89,1,Data!$C$3:$C$14)</f>
        <v>45890</v>
      </c>
      <c r="M89" s="302">
        <v>1</v>
      </c>
      <c r="N89" s="302">
        <v>1</v>
      </c>
      <c r="O89" s="124"/>
      <c r="Q89" s="126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</row>
    <row r="90" spans="2:28" s="114" customFormat="1">
      <c r="B90" s="295" t="s">
        <v>249</v>
      </c>
      <c r="C90" s="290" t="s">
        <v>250</v>
      </c>
      <c r="D90" s="262"/>
      <c r="E90" s="301" t="e">
        <f>WORKDAY.INTL(E88,0,1,Data!$C$3:$C$14)</f>
        <v>#REF!</v>
      </c>
      <c r="F90" s="298">
        <v>10</v>
      </c>
      <c r="G90" s="301" t="e">
        <f>WORKDAY.INTL(E90,F90,1,Data!$C$3:$C$14)</f>
        <v>#REF!</v>
      </c>
      <c r="H90" s="285"/>
      <c r="I90" s="301">
        <f>WORKDAY.INTL(I88,0,1,Data!$C$3:$C$14)</f>
        <v>45848</v>
      </c>
      <c r="J90" s="298">
        <v>55</v>
      </c>
      <c r="K90" s="301">
        <f>WORKDAY.INTL(I90,J90,1,Data!$C$3:$C$14)</f>
        <v>45925</v>
      </c>
      <c r="M90" s="302">
        <v>1</v>
      </c>
      <c r="N90" s="302">
        <v>1</v>
      </c>
      <c r="O90" s="124"/>
      <c r="Q90" s="126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</row>
    <row r="91" spans="2:28" s="114" customFormat="1">
      <c r="B91" s="295" t="s">
        <v>251</v>
      </c>
      <c r="C91" s="290" t="s">
        <v>252</v>
      </c>
      <c r="D91" s="262"/>
      <c r="E91" s="301" t="e">
        <f>WORKDAY.INTL(G90,0,1,Data!$C$3:$C$14)</f>
        <v>#REF!</v>
      </c>
      <c r="F91" s="298">
        <v>1</v>
      </c>
      <c r="G91" s="301" t="e">
        <f>WORKDAY.INTL(E91,F91,1,Data!$C$3:$C$14)</f>
        <v>#REF!</v>
      </c>
      <c r="H91" s="285"/>
      <c r="I91" s="301">
        <v>45887</v>
      </c>
      <c r="J91" s="298">
        <v>20</v>
      </c>
      <c r="K91" s="301">
        <f>WORKDAY.INTL(I91,J91,1,Data!$C$3:$C$14)</f>
        <v>45915</v>
      </c>
      <c r="M91" s="302">
        <v>1</v>
      </c>
      <c r="N91" s="302">
        <v>1</v>
      </c>
      <c r="O91" s="124"/>
      <c r="Q91" s="126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</row>
    <row r="92" spans="2:28" s="114" customFormat="1">
      <c r="B92" s="295" t="s">
        <v>253</v>
      </c>
      <c r="C92" s="290" t="s">
        <v>254</v>
      </c>
      <c r="D92" s="262"/>
      <c r="E92" s="301" t="e">
        <f>WORKDAY.INTL(G84,0,1,Data!$C$3:$C$14)</f>
        <v>#REF!</v>
      </c>
      <c r="F92" s="298">
        <v>5</v>
      </c>
      <c r="G92" s="301" t="e">
        <f>WORKDAY.INTL(E92,F92,1,Data!$C$3:$C$14)</f>
        <v>#REF!</v>
      </c>
      <c r="H92" s="285"/>
      <c r="I92" s="301">
        <f>WORKDAY.INTL(K84,0,1,Data!$C$3:$C$14)</f>
        <v>45862</v>
      </c>
      <c r="J92" s="298">
        <v>45</v>
      </c>
      <c r="K92" s="301">
        <f>WORKDAY.INTL(I92,J92,1,Data!$C$3:$C$14)</f>
        <v>45925</v>
      </c>
      <c r="M92" s="302">
        <v>1</v>
      </c>
      <c r="N92" s="302">
        <v>1</v>
      </c>
      <c r="O92" s="124"/>
      <c r="Q92" s="126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</row>
    <row r="93" spans="2:28" s="114" customFormat="1" ht="4.5" customHeight="1">
      <c r="B93" s="286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Q93" s="126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</row>
    <row r="94" spans="2:28" s="3" customFormat="1">
      <c r="B94" s="189"/>
      <c r="E94" s="190"/>
      <c r="F94" s="109"/>
      <c r="J94" s="109"/>
    </row>
    <row r="95" spans="2:28">
      <c r="B95" s="187"/>
      <c r="C95" s="114"/>
      <c r="E95" s="114"/>
      <c r="G95" s="115"/>
    </row>
    <row r="96" spans="2:28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  <row r="223" spans="2:7">
      <c r="B223" s="187"/>
      <c r="C223" s="114"/>
      <c r="E223" s="114"/>
      <c r="G223" s="115"/>
    </row>
    <row r="224" spans="2:7">
      <c r="B224" s="187"/>
      <c r="C224" s="114"/>
      <c r="E224" s="114"/>
      <c r="G224" s="115"/>
    </row>
    <row r="225" spans="2:7">
      <c r="B225" s="187"/>
      <c r="C225" s="114"/>
      <c r="E225" s="114"/>
      <c r="G225" s="115"/>
    </row>
    <row r="226" spans="2:7">
      <c r="B226" s="187"/>
      <c r="C226" s="114"/>
      <c r="E226" s="114"/>
      <c r="G226" s="115"/>
    </row>
    <row r="227" spans="2:7">
      <c r="B227" s="187"/>
      <c r="C227" s="114"/>
      <c r="E227" s="114"/>
      <c r="G227" s="115"/>
    </row>
    <row r="228" spans="2:7">
      <c r="B228" s="187"/>
      <c r="C228" s="114"/>
      <c r="E228" s="114"/>
      <c r="G228" s="115"/>
    </row>
    <row r="229" spans="2:7">
      <c r="B229" s="187"/>
      <c r="C229" s="114"/>
      <c r="E229" s="114"/>
      <c r="G229" s="115"/>
    </row>
    <row r="230" spans="2:7">
      <c r="B230" s="187"/>
      <c r="C230" s="114"/>
      <c r="E230" s="114"/>
      <c r="G230" s="115"/>
    </row>
    <row r="231" spans="2:7">
      <c r="B231" s="187"/>
      <c r="C231" s="114"/>
      <c r="E231" s="114"/>
      <c r="G231" s="115"/>
    </row>
    <row r="232" spans="2:7">
      <c r="B232" s="187"/>
      <c r="C232" s="114"/>
      <c r="E232" s="114"/>
      <c r="G232" s="115"/>
    </row>
    <row r="233" spans="2:7">
      <c r="B233" s="187"/>
      <c r="C233" s="114"/>
      <c r="E233" s="114"/>
      <c r="G233" s="115"/>
    </row>
    <row r="234" spans="2:7">
      <c r="B234" s="187"/>
      <c r="C234" s="114"/>
      <c r="E234" s="114"/>
      <c r="G234" s="115"/>
    </row>
    <row r="235" spans="2:7">
      <c r="B235" s="187"/>
      <c r="C235" s="114"/>
      <c r="E235" s="114"/>
      <c r="G235" s="115"/>
    </row>
    <row r="236" spans="2:7">
      <c r="B236" s="187"/>
      <c r="C236" s="114"/>
      <c r="E236" s="114"/>
      <c r="G236" s="115"/>
    </row>
    <row r="237" spans="2:7">
      <c r="B237" s="187"/>
      <c r="C237" s="114"/>
      <c r="E237" s="114"/>
      <c r="G237" s="115"/>
    </row>
    <row r="238" spans="2:7">
      <c r="B238" s="187"/>
      <c r="C238" s="114"/>
      <c r="E238" s="114"/>
      <c r="G238" s="115"/>
    </row>
    <row r="239" spans="2:7">
      <c r="B239" s="187"/>
      <c r="C239" s="114"/>
      <c r="E239" s="114"/>
      <c r="G239" s="115"/>
    </row>
    <row r="240" spans="2:7">
      <c r="B240" s="187"/>
      <c r="C240" s="114"/>
      <c r="E240" s="114"/>
      <c r="G240" s="115"/>
    </row>
    <row r="241" spans="2:7">
      <c r="B241" s="187"/>
      <c r="C241" s="114"/>
      <c r="E241" s="114"/>
      <c r="G241" s="115"/>
    </row>
    <row r="242" spans="2:7">
      <c r="B242" s="187"/>
      <c r="C242" s="114"/>
      <c r="E242" s="114"/>
      <c r="G242" s="115"/>
    </row>
    <row r="243" spans="2:7">
      <c r="B243" s="187"/>
      <c r="C243" s="114"/>
      <c r="E243" s="114"/>
      <c r="G243" s="115"/>
    </row>
    <row r="244" spans="2:7">
      <c r="B244" s="187"/>
      <c r="C244" s="114"/>
      <c r="E244" s="114"/>
      <c r="G244" s="115"/>
    </row>
    <row r="245" spans="2:7">
      <c r="B245" s="187"/>
      <c r="C245" s="114"/>
      <c r="E245" s="114"/>
      <c r="G245" s="115"/>
    </row>
    <row r="246" spans="2:7">
      <c r="B246" s="187"/>
      <c r="C246" s="114"/>
      <c r="E246" s="114"/>
      <c r="G246" s="115"/>
    </row>
    <row r="247" spans="2:7">
      <c r="B247" s="187"/>
      <c r="C247" s="114"/>
      <c r="E247" s="114"/>
      <c r="G247" s="115"/>
    </row>
    <row r="248" spans="2:7">
      <c r="B248" s="187"/>
      <c r="C248" s="114"/>
      <c r="E248" s="114"/>
      <c r="G248" s="115"/>
    </row>
    <row r="249" spans="2:7">
      <c r="B249" s="187"/>
      <c r="C249" s="114"/>
      <c r="E249" s="114"/>
      <c r="G249" s="115"/>
    </row>
    <row r="250" spans="2:7">
      <c r="B250" s="187"/>
      <c r="C250" s="114"/>
      <c r="E250" s="114"/>
      <c r="G250" s="115"/>
    </row>
    <row r="251" spans="2:7">
      <c r="B251" s="187"/>
      <c r="C251" s="114"/>
      <c r="E251" s="114"/>
      <c r="G251" s="115"/>
    </row>
    <row r="252" spans="2:7">
      <c r="B252" s="187"/>
      <c r="C252" s="114"/>
      <c r="E252" s="114"/>
      <c r="G252" s="115"/>
    </row>
    <row r="253" spans="2:7">
      <c r="B253" s="187"/>
      <c r="C253" s="114"/>
      <c r="E253" s="114"/>
      <c r="G253" s="115"/>
    </row>
    <row r="254" spans="2:7">
      <c r="B254" s="187"/>
      <c r="C254" s="114"/>
      <c r="E254" s="114"/>
      <c r="G254" s="115"/>
    </row>
    <row r="255" spans="2:7">
      <c r="B255" s="187"/>
      <c r="C255" s="114"/>
      <c r="E255" s="114"/>
      <c r="G255" s="115"/>
    </row>
    <row r="256" spans="2:7">
      <c r="B256" s="187"/>
      <c r="C256" s="114"/>
      <c r="E256" s="114"/>
      <c r="G256" s="115"/>
    </row>
    <row r="257" spans="2:7">
      <c r="B257" s="187"/>
      <c r="C257" s="114"/>
      <c r="E257" s="114"/>
      <c r="G257" s="115"/>
    </row>
    <row r="258" spans="2:7">
      <c r="B258" s="187"/>
      <c r="C258" s="114"/>
      <c r="E258" s="114"/>
      <c r="G258" s="115"/>
    </row>
    <row r="259" spans="2:7">
      <c r="B259" s="187"/>
      <c r="C259" s="114"/>
      <c r="E259" s="114"/>
      <c r="G259" s="115"/>
    </row>
    <row r="260" spans="2:7">
      <c r="B260" s="187"/>
      <c r="C260" s="114"/>
      <c r="E260" s="114"/>
      <c r="G260" s="115"/>
    </row>
    <row r="261" spans="2:7">
      <c r="B261" s="187"/>
      <c r="C261" s="114"/>
      <c r="E261" s="114"/>
      <c r="G261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93 M94:P1048576 M1:P92" name="Range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7 M19:N21 M23:N26 M48:N54 M28:N46 M56:N62 M77:N81 M83:N85 M64:N75 M87:N9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7"/>
  <sheetViews>
    <sheetView tabSelected="1" topLeftCell="B1" zoomScaleNormal="100" workbookViewId="0">
      <selection activeCell="F17" sqref="F17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3" width="33.42578125" style="131" customWidth="1"/>
    <col min="4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2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18" width="112.140625" style="131" bestFit="1" customWidth="1"/>
    <col min="19" max="19" width="4.42578125" style="131" customWidth="1"/>
    <col min="20" max="20" width="14.42578125" style="131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31"/>
    <col min="29" max="29" width="12.5703125" style="131" bestFit="1" customWidth="1"/>
    <col min="30" max="16384" width="8.42578125" style="131"/>
  </cols>
  <sheetData>
    <row r="1" spans="1:21" s="93" customFormat="1" ht="14.25" customHeight="1">
      <c r="A1" s="529"/>
      <c r="B1" s="119"/>
      <c r="J1" s="144"/>
      <c r="S1" s="144"/>
    </row>
    <row r="2" spans="1:21" s="93" customFormat="1" ht="14.25" customHeight="1" thickBot="1">
      <c r="A2" s="529"/>
      <c r="B2" s="130" t="s">
        <v>255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2.95">
      <c r="B3" s="119"/>
      <c r="D3" s="127" t="s">
        <v>256</v>
      </c>
      <c r="F3" s="127" t="s">
        <v>257</v>
      </c>
      <c r="J3" s="144"/>
      <c r="L3" s="622" t="s">
        <v>258</v>
      </c>
      <c r="N3" s="622" t="s">
        <v>259</v>
      </c>
      <c r="S3" s="144"/>
    </row>
    <row r="4" spans="1:21" s="93" customFormat="1" ht="12.95">
      <c r="B4" s="472">
        <v>1</v>
      </c>
      <c r="C4" s="473" t="s">
        <v>260</v>
      </c>
      <c r="D4" s="474">
        <f>'Project Plan'!E6</f>
        <v>16024328.9396773</v>
      </c>
      <c r="E4" s="475"/>
      <c r="F4" s="474">
        <f>F30</f>
        <v>16024328.939677302</v>
      </c>
      <c r="J4" s="144"/>
      <c r="L4" s="527">
        <v>16024328.9396773</v>
      </c>
      <c r="N4" s="527" t="s">
        <v>261</v>
      </c>
      <c r="Q4" s="132"/>
      <c r="S4" s="144"/>
    </row>
    <row r="5" spans="1:21" s="93" customFormat="1" ht="15" customHeight="1">
      <c r="B5" s="472">
        <v>2</v>
      </c>
      <c r="C5" s="473" t="s">
        <v>262</v>
      </c>
      <c r="D5" s="474">
        <f>+'Expenditure Tracking'!F5</f>
        <v>13780793.746280435</v>
      </c>
      <c r="E5" s="475"/>
      <c r="F5" s="474">
        <f>+'Expenditure Tracking'!J5</f>
        <v>14799893.871745965</v>
      </c>
      <c r="J5" s="144"/>
      <c r="L5" s="527">
        <v>15134526.974903863</v>
      </c>
      <c r="N5" s="623">
        <v>45663</v>
      </c>
      <c r="S5" s="144"/>
    </row>
    <row r="6" spans="1:21" s="93" customFormat="1" ht="15" customHeight="1">
      <c r="B6" s="472">
        <v>3</v>
      </c>
      <c r="C6" s="473" t="s">
        <v>263</v>
      </c>
      <c r="D6" s="474">
        <f>+D4-D5</f>
        <v>2243535.1933968645</v>
      </c>
      <c r="E6" s="475"/>
      <c r="F6" s="474">
        <f>+F4-F5</f>
        <v>1224435.0679313373</v>
      </c>
      <c r="H6" s="118"/>
      <c r="J6" s="144"/>
      <c r="L6" s="527">
        <v>889801.96477343701</v>
      </c>
      <c r="N6" s="527" t="s">
        <v>264</v>
      </c>
      <c r="S6" s="144"/>
    </row>
    <row r="7" spans="1:21" s="93" customFormat="1" ht="15" customHeight="1" thickBot="1">
      <c r="B7" s="472">
        <v>4</v>
      </c>
      <c r="C7" s="473" t="s">
        <v>265</v>
      </c>
      <c r="D7" s="476">
        <f>+D6/D4</f>
        <v>0.14000805911077641</v>
      </c>
      <c r="E7" s="475"/>
      <c r="F7" s="476">
        <f>+F6/F4</f>
        <v>7.6411004326025461E-2</v>
      </c>
      <c r="J7" s="144"/>
      <c r="L7" s="528">
        <v>5.5528188925916794E-2</v>
      </c>
      <c r="N7" s="702">
        <v>45798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2.95">
      <c r="B10" s="130" t="s">
        <v>266</v>
      </c>
      <c r="J10" s="144"/>
      <c r="S10" s="144"/>
      <c r="U10" s="130"/>
    </row>
    <row r="11" spans="1:21" s="93" customFormat="1" ht="26.1">
      <c r="B11" s="134" t="s">
        <v>108</v>
      </c>
      <c r="C11" s="135" t="s">
        <v>267</v>
      </c>
      <c r="D11" s="136"/>
      <c r="E11" s="134" t="s">
        <v>268</v>
      </c>
      <c r="F11" s="134" t="s">
        <v>269</v>
      </c>
      <c r="H11" s="477" t="s">
        <v>270</v>
      </c>
      <c r="J11" s="144"/>
      <c r="L11" s="186" t="s">
        <v>271</v>
      </c>
      <c r="M11" s="137"/>
      <c r="N11" s="186" t="s">
        <v>272</v>
      </c>
      <c r="O11" s="131"/>
      <c r="P11" s="186" t="s">
        <v>273</v>
      </c>
      <c r="R11" s="544" t="s">
        <v>274</v>
      </c>
      <c r="S11" s="144"/>
      <c r="U11" s="130"/>
    </row>
    <row r="12" spans="1:21" s="93" customFormat="1" ht="12.95">
      <c r="B12" s="472">
        <v>1</v>
      </c>
      <c r="C12" s="917" t="s">
        <v>275</v>
      </c>
      <c r="D12" s="918"/>
      <c r="E12" s="138">
        <v>0.35</v>
      </c>
      <c r="F12" s="139">
        <f>$D$4*E12 / 2</f>
        <v>2804257.5644435273</v>
      </c>
      <c r="G12" s="140"/>
      <c r="H12" s="141">
        <v>45614</v>
      </c>
      <c r="J12" s="144"/>
      <c r="L12" s="492" t="s">
        <v>276</v>
      </c>
      <c r="M12" s="491"/>
      <c r="N12" s="141">
        <v>45609</v>
      </c>
      <c r="O12" s="131"/>
      <c r="P12" s="729">
        <v>45643</v>
      </c>
      <c r="R12" s="195"/>
      <c r="S12" s="144"/>
      <c r="U12" s="130"/>
    </row>
    <row r="13" spans="1:21" s="93" customFormat="1" ht="12.95">
      <c r="B13" s="157">
        <v>2</v>
      </c>
      <c r="C13" s="919" t="s">
        <v>277</v>
      </c>
      <c r="D13" s="920"/>
      <c r="E13" s="138">
        <v>0.2</v>
      </c>
      <c r="F13" s="139">
        <f>$D$4*E13 / 2</f>
        <v>1602432.89396773</v>
      </c>
      <c r="G13" s="475"/>
      <c r="H13" s="141">
        <f>'Project Plan'!E13+7</f>
        <v>45611</v>
      </c>
      <c r="J13" s="144"/>
      <c r="L13" s="492" t="s">
        <v>278</v>
      </c>
      <c r="N13" s="141">
        <v>45695</v>
      </c>
      <c r="O13" s="131"/>
      <c r="P13" s="762">
        <f>N13+7</f>
        <v>45702</v>
      </c>
      <c r="R13" s="545" t="s">
        <v>279</v>
      </c>
      <c r="S13" s="144"/>
      <c r="U13" s="130"/>
    </row>
    <row r="14" spans="1:21" s="93" customFormat="1" ht="12.95">
      <c r="B14" s="472">
        <v>3</v>
      </c>
      <c r="C14" s="917" t="s">
        <v>280</v>
      </c>
      <c r="D14" s="918"/>
      <c r="E14" s="138">
        <v>0.3</v>
      </c>
      <c r="F14" s="139">
        <f>$D$4*E14 / 2</f>
        <v>2403649.340951595</v>
      </c>
      <c r="G14" s="475"/>
      <c r="H14" s="141">
        <f>P14</f>
        <v>45693</v>
      </c>
      <c r="J14" s="144"/>
      <c r="L14" s="492" t="s">
        <v>281</v>
      </c>
      <c r="N14" s="141">
        <v>45687</v>
      </c>
      <c r="O14" s="131"/>
      <c r="P14" s="762">
        <v>45693</v>
      </c>
      <c r="R14" s="545" t="s">
        <v>282</v>
      </c>
      <c r="S14" s="144"/>
      <c r="U14" s="130"/>
    </row>
    <row r="15" spans="1:21" s="93" customFormat="1" ht="12.95">
      <c r="B15" s="472">
        <v>4</v>
      </c>
      <c r="C15" s="917" t="s">
        <v>283</v>
      </c>
      <c r="D15" s="918"/>
      <c r="E15" s="138">
        <v>0.1</v>
      </c>
      <c r="F15" s="139">
        <f>$D$4*E15 / 2</f>
        <v>801216.446983865</v>
      </c>
      <c r="G15" s="475"/>
      <c r="H15" s="141">
        <f>P15</f>
        <v>45772</v>
      </c>
      <c r="J15" s="144"/>
      <c r="L15" s="777" t="s">
        <v>284</v>
      </c>
      <c r="M15" s="131"/>
      <c r="N15" s="778">
        <v>45715</v>
      </c>
      <c r="O15" s="131"/>
      <c r="P15" s="762">
        <v>45772</v>
      </c>
      <c r="R15" s="545" t="s">
        <v>285</v>
      </c>
      <c r="S15" s="144"/>
      <c r="U15" s="130"/>
    </row>
    <row r="16" spans="1:21" s="93" customFormat="1" ht="12.95">
      <c r="B16" s="472">
        <v>5</v>
      </c>
      <c r="C16" s="919" t="s">
        <v>286</v>
      </c>
      <c r="D16" s="920"/>
      <c r="E16" s="888">
        <v>2.5000000000000001E-2</v>
      </c>
      <c r="F16" s="139">
        <f>$D$4*E16 / 2</f>
        <v>200304.11174596625</v>
      </c>
      <c r="G16" s="475"/>
      <c r="H16" s="141">
        <f>P16</f>
        <v>46059</v>
      </c>
      <c r="J16" s="144"/>
      <c r="L16" s="777" t="s">
        <v>284</v>
      </c>
      <c r="N16" s="778">
        <v>45715</v>
      </c>
      <c r="O16" s="131"/>
      <c r="P16" s="727">
        <v>46059</v>
      </c>
      <c r="R16" s="545" t="s">
        <v>287</v>
      </c>
      <c r="S16" s="144"/>
      <c r="U16" s="130"/>
    </row>
    <row r="17" spans="2:21" s="93" customFormat="1" ht="12.95">
      <c r="B17" s="472">
        <v>6</v>
      </c>
      <c r="C17" s="919" t="s">
        <v>286</v>
      </c>
      <c r="D17" s="920"/>
      <c r="E17" s="888">
        <v>2.5000000000000001E-2</v>
      </c>
      <c r="F17" s="139">
        <f>$D$4*E17 / 2</f>
        <v>200304.11174596625</v>
      </c>
      <c r="G17" s="475"/>
      <c r="H17" s="141">
        <v>46081</v>
      </c>
      <c r="J17" s="144"/>
      <c r="L17" s="142" t="s">
        <v>284</v>
      </c>
      <c r="M17" s="140"/>
      <c r="N17" s="142">
        <v>45715</v>
      </c>
      <c r="O17" s="131"/>
      <c r="P17" s="142">
        <v>46081</v>
      </c>
      <c r="R17" s="545"/>
      <c r="S17" s="144"/>
      <c r="U17" s="130"/>
    </row>
    <row r="18" spans="2:21" s="93" customFormat="1" ht="12.95">
      <c r="B18" s="472">
        <v>7</v>
      </c>
      <c r="C18" s="917" t="s">
        <v>288</v>
      </c>
      <c r="D18" s="918"/>
      <c r="E18" s="138">
        <v>0</v>
      </c>
      <c r="F18" s="139">
        <f>$D$4*E18</f>
        <v>0</v>
      </c>
      <c r="G18" s="475"/>
      <c r="H18" s="141"/>
      <c r="J18" s="144"/>
      <c r="L18" s="142"/>
      <c r="N18" s="142"/>
      <c r="O18" s="131"/>
      <c r="P18" s="142"/>
      <c r="R18" s="545"/>
      <c r="S18" s="144"/>
      <c r="U18" s="130"/>
    </row>
    <row r="19" spans="2:21" s="93" customFormat="1" ht="12.95">
      <c r="B19" s="130"/>
      <c r="J19" s="144"/>
      <c r="S19" s="144"/>
      <c r="U19" s="130"/>
    </row>
    <row r="20" spans="2:21" s="93" customFormat="1" ht="14.25" customHeight="1">
      <c r="B20" s="119"/>
      <c r="J20" s="144"/>
      <c r="S20" s="144"/>
    </row>
    <row r="21" spans="2:21" s="93" customFormat="1" ht="26.1">
      <c r="B21" s="134" t="s">
        <v>108</v>
      </c>
      <c r="C21" s="135" t="s">
        <v>289</v>
      </c>
      <c r="D21" s="136"/>
      <c r="E21" s="134" t="s">
        <v>268</v>
      </c>
      <c r="F21" s="134" t="s">
        <v>269</v>
      </c>
      <c r="H21" s="477" t="s">
        <v>270</v>
      </c>
      <c r="J21" s="144"/>
      <c r="L21" s="186" t="s">
        <v>271</v>
      </c>
      <c r="M21" s="137"/>
      <c r="N21" s="186" t="s">
        <v>272</v>
      </c>
      <c r="O21" s="131"/>
      <c r="P21" s="186" t="s">
        <v>273</v>
      </c>
      <c r="R21" s="544" t="s">
        <v>274</v>
      </c>
      <c r="S21" s="144"/>
    </row>
    <row r="22" spans="2:21" s="93" customFormat="1" ht="12.95">
      <c r="B22" s="472">
        <v>1</v>
      </c>
      <c r="C22" s="917" t="s">
        <v>275</v>
      </c>
      <c r="D22" s="918"/>
      <c r="E22" s="138">
        <v>0.35</v>
      </c>
      <c r="F22" s="139">
        <f>$D$4*E22/ 2</f>
        <v>2804257.5644435273</v>
      </c>
      <c r="G22" s="140"/>
      <c r="H22" s="141">
        <v>45614</v>
      </c>
      <c r="J22" s="144"/>
      <c r="L22" s="492" t="s">
        <v>290</v>
      </c>
      <c r="M22" s="491"/>
      <c r="N22" s="141">
        <v>45609</v>
      </c>
      <c r="O22" s="131"/>
      <c r="P22" s="729">
        <v>45643</v>
      </c>
      <c r="R22" s="195"/>
      <c r="S22" s="144"/>
    </row>
    <row r="23" spans="2:21" s="93" customFormat="1" ht="12.6">
      <c r="B23" s="157">
        <v>2</v>
      </c>
      <c r="C23" s="919" t="s">
        <v>277</v>
      </c>
      <c r="D23" s="920"/>
      <c r="E23" s="138">
        <v>0.2</v>
      </c>
      <c r="F23" s="139">
        <f>$D$4*E23 / 2</f>
        <v>1602432.89396773</v>
      </c>
      <c r="G23" s="475"/>
      <c r="H23" s="141">
        <f>'Project Plan'!E23+7</f>
        <v>45614</v>
      </c>
      <c r="J23" s="144"/>
      <c r="L23" s="492" t="s">
        <v>291</v>
      </c>
      <c r="N23" s="141">
        <v>45695</v>
      </c>
      <c r="O23" s="131"/>
      <c r="P23" s="762">
        <f>N23+7</f>
        <v>45702</v>
      </c>
      <c r="R23" s="545" t="s">
        <v>279</v>
      </c>
      <c r="S23" s="144"/>
    </row>
    <row r="24" spans="2:21" s="93" customFormat="1" ht="12.6">
      <c r="B24" s="472">
        <v>3</v>
      </c>
      <c r="C24" s="917" t="s">
        <v>280</v>
      </c>
      <c r="D24" s="918"/>
      <c r="E24" s="138">
        <v>0.3</v>
      </c>
      <c r="F24" s="139">
        <f>$D$4*E24 / 2</f>
        <v>2403649.340951595</v>
      </c>
      <c r="G24" s="475"/>
      <c r="H24" s="141">
        <f>H14</f>
        <v>45693</v>
      </c>
      <c r="J24" s="144"/>
      <c r="L24" s="492" t="s">
        <v>292</v>
      </c>
      <c r="N24" s="141">
        <v>45687</v>
      </c>
      <c r="O24" s="131"/>
      <c r="P24" s="762">
        <f>P14</f>
        <v>45693</v>
      </c>
      <c r="R24" s="545" t="s">
        <v>282</v>
      </c>
      <c r="S24" s="144"/>
    </row>
    <row r="25" spans="2:21" s="93" customFormat="1" ht="12.6">
      <c r="B25" s="472">
        <v>4</v>
      </c>
      <c r="C25" s="917" t="s">
        <v>283</v>
      </c>
      <c r="D25" s="918"/>
      <c r="E25" s="138">
        <v>0.1</v>
      </c>
      <c r="F25" s="139">
        <f>$D$4*E25 / 2</f>
        <v>801216.446983865</v>
      </c>
      <c r="G25" s="475"/>
      <c r="H25" s="141">
        <f>'Project Plan'!E77+7</f>
        <v>45719</v>
      </c>
      <c r="J25" s="144"/>
      <c r="L25" s="777" t="s">
        <v>293</v>
      </c>
      <c r="M25" s="131"/>
      <c r="N25" s="778">
        <v>45715</v>
      </c>
      <c r="O25" s="131"/>
      <c r="P25" s="762">
        <v>45964</v>
      </c>
      <c r="R25" s="545" t="s">
        <v>285</v>
      </c>
      <c r="S25" s="144"/>
    </row>
    <row r="26" spans="2:21" s="93" customFormat="1" ht="12.6">
      <c r="B26" s="472">
        <v>5</v>
      </c>
      <c r="C26" s="919" t="s">
        <v>54</v>
      </c>
      <c r="D26" s="920"/>
      <c r="E26" s="888">
        <v>2.5000000000000001E-2</v>
      </c>
      <c r="F26" s="139">
        <f>$D$4*E26 / 2</f>
        <v>200304.11174596625</v>
      </c>
      <c r="G26" s="475"/>
      <c r="H26" s="141">
        <f>H16</f>
        <v>46059</v>
      </c>
      <c r="J26" s="144"/>
      <c r="L26" s="777" t="s">
        <v>293</v>
      </c>
      <c r="N26" s="778">
        <v>45715</v>
      </c>
      <c r="O26" s="131"/>
      <c r="P26" s="727">
        <f>P16</f>
        <v>46059</v>
      </c>
      <c r="R26" s="545" t="s">
        <v>287</v>
      </c>
      <c r="S26" s="144"/>
    </row>
    <row r="27" spans="2:21" s="93" customFormat="1" ht="12.6">
      <c r="B27" s="472">
        <v>6</v>
      </c>
      <c r="C27" s="919" t="s">
        <v>286</v>
      </c>
      <c r="D27" s="920"/>
      <c r="E27" s="888">
        <v>2.5000000000000001E-2</v>
      </c>
      <c r="F27" s="139">
        <f>$D$4*E27 / 2</f>
        <v>200304.11174596625</v>
      </c>
      <c r="G27" s="475"/>
      <c r="H27" s="141">
        <v>46081</v>
      </c>
      <c r="J27" s="144"/>
      <c r="L27" s="777" t="s">
        <v>293</v>
      </c>
      <c r="N27" s="778">
        <v>45715</v>
      </c>
      <c r="O27" s="131"/>
      <c r="P27" s="727">
        <v>46081</v>
      </c>
      <c r="R27" s="545"/>
      <c r="S27" s="144"/>
    </row>
    <row r="28" spans="2:21" s="93" customFormat="1" ht="12.6">
      <c r="B28" s="472">
        <v>7</v>
      </c>
      <c r="C28" s="917" t="s">
        <v>288</v>
      </c>
      <c r="D28" s="918"/>
      <c r="E28" s="138">
        <v>0</v>
      </c>
      <c r="F28" s="139">
        <f t="shared" ref="F27:F28" si="0">$D$4*E28</f>
        <v>0</v>
      </c>
      <c r="G28" s="475"/>
      <c r="H28" s="141"/>
      <c r="J28" s="144"/>
      <c r="L28" s="142"/>
      <c r="N28" s="142"/>
      <c r="O28" s="131"/>
      <c r="P28" s="142"/>
      <c r="R28" s="545"/>
      <c r="S28" s="144"/>
    </row>
    <row r="29" spans="2:21" s="93" customFormat="1" ht="9" customHeight="1">
      <c r="B29" s="119"/>
      <c r="E29" s="143"/>
      <c r="F29" s="118"/>
      <c r="H29" s="478"/>
      <c r="J29" s="144"/>
      <c r="S29" s="144"/>
    </row>
    <row r="30" spans="2:21" s="93" customFormat="1" ht="12.95">
      <c r="B30" s="119"/>
      <c r="E30" s="479">
        <f>SUM(E22:E28)</f>
        <v>1</v>
      </c>
      <c r="F30" s="480">
        <f>SUM(F22:F28)+SUM(F12:F18)</f>
        <v>16024328.939677302</v>
      </c>
      <c r="J30" s="144"/>
      <c r="S30" s="144"/>
    </row>
    <row r="31" spans="2:21" s="144" customFormat="1" ht="25.5" customHeight="1">
      <c r="B31" s="145"/>
      <c r="F31" s="146"/>
    </row>
    <row r="32" spans="2:21" s="93" customFormat="1" ht="24.75" customHeight="1">
      <c r="B32" s="147" t="s">
        <v>294</v>
      </c>
      <c r="C32" s="148" t="s">
        <v>295</v>
      </c>
      <c r="D32" s="148"/>
      <c r="F32" s="149"/>
    </row>
    <row r="33" spans="2:6" s="93" customFormat="1" ht="12.6">
      <c r="C33" s="150" t="s">
        <v>296</v>
      </c>
      <c r="D33" s="151"/>
      <c r="F33" s="152"/>
    </row>
    <row r="34" spans="2:6" s="93" customFormat="1" ht="12.6">
      <c r="C34" s="150" t="s">
        <v>297</v>
      </c>
      <c r="D34" s="151"/>
    </row>
    <row r="35" spans="2:6" s="93" customFormat="1" ht="12.6">
      <c r="C35" s="153" t="s">
        <v>298</v>
      </c>
      <c r="D35" s="154"/>
    </row>
    <row r="36" spans="2:6" s="93" customFormat="1" ht="12.6">
      <c r="C36" s="155" t="s">
        <v>299</v>
      </c>
      <c r="D36" s="151"/>
    </row>
    <row r="37" spans="2:6" s="93" customFormat="1" ht="12.6">
      <c r="B37" s="119"/>
      <c r="C37" s="155" t="s">
        <v>300</v>
      </c>
      <c r="D37" s="151"/>
    </row>
    <row r="38" spans="2:6" s="93" customFormat="1" ht="12.6">
      <c r="B38" s="119"/>
      <c r="C38" s="93" t="s">
        <v>301</v>
      </c>
    </row>
    <row r="39" spans="2:6" s="93" customFormat="1" ht="27.75" customHeight="1">
      <c r="B39" s="119"/>
      <c r="C39" s="156" t="s">
        <v>302</v>
      </c>
      <c r="D39" s="156"/>
      <c r="F39" s="152"/>
    </row>
    <row r="40" spans="2:6" s="93" customFormat="1" ht="12.6">
      <c r="B40" s="119"/>
      <c r="F40" s="149"/>
    </row>
    <row r="41" spans="2:6" s="93" customFormat="1" ht="12.6">
      <c r="B41" s="119"/>
      <c r="F41" s="149"/>
    </row>
    <row r="42" spans="2:6" s="93" customFormat="1" ht="12.6">
      <c r="B42" s="119"/>
      <c r="F42" s="149"/>
    </row>
    <row r="43" spans="2:6" s="93" customFormat="1" ht="12.6">
      <c r="B43" s="119"/>
      <c r="F43" s="149"/>
    </row>
    <row r="44" spans="2:6" s="93" customFormat="1" ht="12.6">
      <c r="B44" s="119"/>
    </row>
    <row r="45" spans="2:6" s="93" customFormat="1" ht="12.6">
      <c r="B45" s="119"/>
    </row>
    <row r="46" spans="2:6" s="93" customFormat="1" ht="12.6">
      <c r="B46" s="119"/>
    </row>
    <row r="47" spans="2:6" s="93" customFormat="1" ht="12.75" hidden="1" customHeight="1">
      <c r="B47" s="119"/>
    </row>
    <row r="48" spans="2:6" s="93" customFormat="1" ht="12.75" hidden="1" customHeight="1">
      <c r="B48" s="119"/>
    </row>
    <row r="49" spans="2:6" s="93" customFormat="1" ht="13.5" hidden="1" customHeight="1">
      <c r="B49" s="134" t="s">
        <v>108</v>
      </c>
      <c r="C49" s="135" t="s">
        <v>303</v>
      </c>
      <c r="D49" s="136"/>
      <c r="E49" s="134" t="s">
        <v>268</v>
      </c>
      <c r="F49" s="134" t="s">
        <v>269</v>
      </c>
    </row>
    <row r="50" spans="2:6" s="93" customFormat="1" ht="12.75" hidden="1" customHeight="1">
      <c r="B50" s="157">
        <v>1</v>
      </c>
      <c r="C50" s="158" t="s">
        <v>304</v>
      </c>
      <c r="D50" s="158"/>
      <c r="E50" s="138">
        <v>0.35</v>
      </c>
      <c r="F50" s="139">
        <f>$F$56*E50</f>
        <v>5608515.1288870554</v>
      </c>
    </row>
    <row r="51" spans="2:6" s="93" customFormat="1" ht="12.75" hidden="1" customHeight="1">
      <c r="B51" s="157">
        <v>2</v>
      </c>
      <c r="C51" s="158" t="s">
        <v>280</v>
      </c>
      <c r="D51" s="158"/>
      <c r="E51" s="138">
        <v>0.3</v>
      </c>
      <c r="F51" s="139">
        <f t="shared" ref="F51:F54" si="1">$F$56*E51</f>
        <v>4807298.68190319</v>
      </c>
    </row>
    <row r="52" spans="2:6" s="93" customFormat="1" ht="12.75" hidden="1" customHeight="1">
      <c r="B52" s="157">
        <v>3</v>
      </c>
      <c r="C52" s="158" t="s">
        <v>277</v>
      </c>
      <c r="D52" s="158"/>
      <c r="E52" s="138">
        <v>0.2</v>
      </c>
      <c r="F52" s="139">
        <f t="shared" si="1"/>
        <v>3204865.7879354605</v>
      </c>
    </row>
    <row r="53" spans="2:6" s="93" customFormat="1" ht="12.75" hidden="1" customHeight="1">
      <c r="B53" s="157">
        <v>4</v>
      </c>
      <c r="C53" s="158" t="s">
        <v>305</v>
      </c>
      <c r="D53" s="158"/>
      <c r="E53" s="138">
        <v>0.1</v>
      </c>
      <c r="F53" s="139">
        <f t="shared" si="1"/>
        <v>1602432.8939677302</v>
      </c>
    </row>
    <row r="54" spans="2:6" s="93" customFormat="1" ht="13.5" hidden="1" customHeight="1" thickBot="1">
      <c r="B54" s="159">
        <v>5</v>
      </c>
      <c r="C54" s="160" t="s">
        <v>54</v>
      </c>
      <c r="D54" s="160"/>
      <c r="E54" s="161">
        <v>0.05</v>
      </c>
      <c r="F54" s="162">
        <f t="shared" si="1"/>
        <v>801216.44698386511</v>
      </c>
    </row>
    <row r="55" spans="2:6" s="93" customFormat="1" ht="13.5" hidden="1" customHeight="1" thickBot="1">
      <c r="B55" s="163"/>
      <c r="C55" s="164" t="s">
        <v>306</v>
      </c>
      <c r="D55" s="164"/>
      <c r="E55" s="165">
        <f>SUM(E50:E54)</f>
        <v>0.99999999999999989</v>
      </c>
      <c r="F55" s="166">
        <f>SUM(F50:F54)</f>
        <v>16024328.9396773</v>
      </c>
    </row>
    <row r="56" spans="2:6" s="93" customFormat="1" ht="12.75" hidden="1" customHeight="1">
      <c r="B56" s="119"/>
      <c r="E56" s="143">
        <f>SUM(E50:E54)</f>
        <v>0.99999999999999989</v>
      </c>
      <c r="F56" s="118">
        <f>F30</f>
        <v>16024328.939677302</v>
      </c>
    </row>
    <row r="57" spans="2:6" s="93" customFormat="1" ht="12.75" hidden="1" customHeight="1">
      <c r="B57" s="119"/>
    </row>
    <row r="58" spans="2:6" s="93" customFormat="1" ht="12.6">
      <c r="B58" s="119"/>
    </row>
    <row r="59" spans="2:6" s="93" customFormat="1" ht="12.6">
      <c r="B59" s="119"/>
    </row>
    <row r="60" spans="2:6" s="93" customFormat="1" ht="12.6">
      <c r="B60" s="119"/>
    </row>
    <row r="61" spans="2:6" s="93" customFormat="1" ht="12.6">
      <c r="B61" s="119"/>
    </row>
    <row r="62" spans="2:6" s="93" customFormat="1" ht="12.6">
      <c r="B62" s="119"/>
    </row>
    <row r="63" spans="2:6" s="93" customFormat="1" ht="12.6">
      <c r="B63" s="119"/>
    </row>
    <row r="64" spans="2:6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  <row r="219" spans="2:2" s="93" customFormat="1" ht="12.6">
      <c r="B219" s="119"/>
    </row>
    <row r="220" spans="2:2" s="93" customFormat="1" ht="12.6">
      <c r="B220" s="119"/>
    </row>
    <row r="221" spans="2:2" s="93" customFormat="1" ht="12.6">
      <c r="B221" s="119"/>
    </row>
    <row r="222" spans="2:2" s="93" customFormat="1" ht="12.6">
      <c r="B222" s="119"/>
    </row>
    <row r="223" spans="2:2" s="93" customFormat="1" ht="12.6">
      <c r="B223" s="119"/>
    </row>
    <row r="224" spans="2:2" s="93" customFormat="1" ht="12.6">
      <c r="B224" s="119"/>
    </row>
    <row r="225" spans="2:2" s="93" customFormat="1" ht="12.6">
      <c r="B225" s="119"/>
    </row>
    <row r="226" spans="2:2" s="93" customFormat="1" ht="12.6">
      <c r="B226" s="119"/>
    </row>
    <row r="227" spans="2:2" s="93" customFormat="1" ht="12.6">
      <c r="B227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1:P18 L11:N18 P21:P28 L21:N28" name="Range1"/>
  </protectedRanges>
  <mergeCells count="14">
    <mergeCell ref="C25:D25"/>
    <mergeCell ref="C28:D28"/>
    <mergeCell ref="C22:D22"/>
    <mergeCell ref="C23:D23"/>
    <mergeCell ref="C24:D24"/>
    <mergeCell ref="C26:D26"/>
    <mergeCell ref="C27:D27"/>
    <mergeCell ref="C12:D12"/>
    <mergeCell ref="C18:D18"/>
    <mergeCell ref="C13:D13"/>
    <mergeCell ref="C14:D14"/>
    <mergeCell ref="C15:D15"/>
    <mergeCell ref="C16:D16"/>
    <mergeCell ref="C17:D17"/>
  </mergeCells>
  <conditionalFormatting sqref="F30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307</v>
      </c>
      <c r="F2" s="83" t="s">
        <v>308</v>
      </c>
    </row>
    <row r="3" spans="3:8">
      <c r="C3" s="79">
        <v>45292</v>
      </c>
      <c r="D3" s="73" t="s">
        <v>309</v>
      </c>
      <c r="F3" s="81" t="s">
        <v>310</v>
      </c>
    </row>
    <row r="4" spans="3:8">
      <c r="C4" s="79">
        <v>45372</v>
      </c>
      <c r="D4" s="73" t="s">
        <v>311</v>
      </c>
      <c r="F4" s="81" t="s">
        <v>312</v>
      </c>
    </row>
    <row r="5" spans="3:8">
      <c r="C5" s="79">
        <v>45380</v>
      </c>
      <c r="D5" s="73" t="s">
        <v>313</v>
      </c>
      <c r="F5" s="81" t="s">
        <v>314</v>
      </c>
    </row>
    <row r="6" spans="3:8" ht="12.95" thickBot="1">
      <c r="C6" s="79">
        <v>45383</v>
      </c>
      <c r="D6" s="73" t="s">
        <v>315</v>
      </c>
      <c r="F6" s="82" t="s">
        <v>316</v>
      </c>
    </row>
    <row r="7" spans="3:8">
      <c r="C7" s="79">
        <v>45413</v>
      </c>
      <c r="D7" s="73" t="s">
        <v>317</v>
      </c>
    </row>
    <row r="8" spans="3:8">
      <c r="C8" s="79">
        <v>45460</v>
      </c>
      <c r="D8" s="73" t="s">
        <v>318</v>
      </c>
    </row>
    <row r="9" spans="3:8">
      <c r="C9" s="79">
        <v>45513</v>
      </c>
      <c r="D9" s="73" t="s">
        <v>319</v>
      </c>
    </row>
    <row r="10" spans="3:8">
      <c r="C10" s="79">
        <v>45559</v>
      </c>
      <c r="D10" s="73" t="s">
        <v>320</v>
      </c>
    </row>
    <row r="11" spans="3:8">
      <c r="C11" s="79">
        <v>45642</v>
      </c>
      <c r="D11" s="73" t="s">
        <v>321</v>
      </c>
    </row>
    <row r="12" spans="3:8">
      <c r="C12" s="79">
        <v>45651</v>
      </c>
      <c r="D12" s="73" t="s">
        <v>322</v>
      </c>
    </row>
    <row r="13" spans="3:8">
      <c r="C13" s="79">
        <v>45652</v>
      </c>
      <c r="D13" s="73" t="s">
        <v>323</v>
      </c>
      <c r="F13" s="85"/>
      <c r="H13" s="73" t="s">
        <v>324</v>
      </c>
    </row>
    <row r="14" spans="3:8" ht="12.95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pane="bottomLeft" activeCell="N14" sqref="N14"/>
      <selection activeCell="H13" sqref="H1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2"/>
      <c r="B1" s="263"/>
      <c r="C1" s="263"/>
      <c r="D1" s="262"/>
      <c r="E1" s="262"/>
      <c r="F1" s="262"/>
      <c r="G1" s="262"/>
      <c r="H1" s="262"/>
      <c r="I1" s="262"/>
      <c r="J1" s="262"/>
      <c r="K1" s="262"/>
      <c r="L1" s="262"/>
      <c r="M1" s="114"/>
      <c r="N1" s="262"/>
      <c r="O1" s="114"/>
      <c r="P1" s="114"/>
    </row>
    <row r="2" spans="1:16">
      <c r="A2" s="262"/>
      <c r="B2" s="266" t="s">
        <v>325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116"/>
      <c r="N2" s="266"/>
      <c r="O2" s="116"/>
      <c r="P2" s="116"/>
    </row>
    <row r="3" spans="1:16" ht="6.75" customHeight="1">
      <c r="A3" s="262"/>
      <c r="B3" s="263"/>
      <c r="C3" s="263"/>
      <c r="D3" s="262"/>
      <c r="E3" s="262"/>
      <c r="F3" s="262"/>
      <c r="G3" s="262"/>
      <c r="H3" s="262"/>
      <c r="I3" s="262"/>
      <c r="J3" s="262"/>
      <c r="K3" s="262"/>
      <c r="L3" s="262"/>
      <c r="M3" s="114"/>
      <c r="N3" s="262"/>
      <c r="O3" s="114"/>
      <c r="P3" s="114"/>
    </row>
    <row r="4" spans="1:16" ht="14.45" thickBot="1">
      <c r="A4" s="262"/>
      <c r="B4" s="921"/>
      <c r="C4" s="921"/>
      <c r="D4" s="921"/>
      <c r="E4" s="639"/>
      <c r="F4" s="267" t="s">
        <v>326</v>
      </c>
      <c r="G4" s="262"/>
      <c r="H4" s="267" t="s">
        <v>256</v>
      </c>
      <c r="I4" s="262"/>
      <c r="J4" s="267" t="s">
        <v>257</v>
      </c>
      <c r="K4" s="262"/>
      <c r="L4" s="268" t="s">
        <v>327</v>
      </c>
      <c r="M4" s="114"/>
      <c r="N4" s="268" t="s">
        <v>328</v>
      </c>
      <c r="O4" s="114"/>
      <c r="P4" s="114"/>
    </row>
    <row r="5" spans="1:16" ht="14.45" thickBot="1">
      <c r="A5" s="262"/>
      <c r="B5" s="922" t="s">
        <v>329</v>
      </c>
      <c r="C5" s="922"/>
      <c r="D5" s="922"/>
      <c r="E5" s="639"/>
      <c r="F5" s="269">
        <f>SUM(F9:F23)</f>
        <v>13780793.746280435</v>
      </c>
      <c r="G5" s="264"/>
      <c r="H5" s="269">
        <f>SUM(H9:H23)</f>
        <v>15134526.974903863</v>
      </c>
      <c r="I5" s="264"/>
      <c r="J5" s="269">
        <f>SUM(J9:J23)</f>
        <v>14799893.871745965</v>
      </c>
      <c r="K5" s="262"/>
      <c r="L5" s="270">
        <f>SUM(L9:L23)</f>
        <v>-1019100.1254655308</v>
      </c>
      <c r="M5" s="114"/>
      <c r="N5" s="270">
        <f>SUM(N9:N23)</f>
        <v>334633.10315789521</v>
      </c>
      <c r="O5" s="114"/>
      <c r="P5" s="114"/>
    </row>
    <row r="6" spans="1:16" ht="6.75" customHeight="1" thickBot="1">
      <c r="A6" s="262"/>
      <c r="B6" s="271"/>
      <c r="C6" s="271"/>
      <c r="D6" s="271"/>
      <c r="E6" s="271"/>
      <c r="F6" s="262"/>
      <c r="G6" s="262"/>
      <c r="H6" s="262"/>
      <c r="I6" s="262"/>
      <c r="J6" s="262"/>
      <c r="K6" s="262"/>
      <c r="L6" s="262"/>
      <c r="M6" s="114"/>
      <c r="N6" s="262"/>
      <c r="O6" s="114"/>
      <c r="P6" s="114"/>
    </row>
    <row r="7" spans="1:16" ht="26.45" thickBot="1">
      <c r="A7" s="262"/>
      <c r="B7" s="272" t="s">
        <v>108</v>
      </c>
      <c r="C7" s="273"/>
      <c r="D7" s="272" t="s">
        <v>330</v>
      </c>
      <c r="E7" s="273"/>
      <c r="F7" s="274" t="s">
        <v>331</v>
      </c>
      <c r="G7" s="275"/>
      <c r="H7" s="274" t="s">
        <v>332</v>
      </c>
      <c r="I7" s="275"/>
      <c r="J7" s="274" t="s">
        <v>333</v>
      </c>
      <c r="K7" s="275"/>
      <c r="L7" s="274" t="s">
        <v>334</v>
      </c>
      <c r="M7" s="192"/>
      <c r="N7" s="274" t="s">
        <v>334</v>
      </c>
      <c r="O7" s="192"/>
      <c r="P7" s="117" t="s">
        <v>335</v>
      </c>
    </row>
    <row r="8" spans="1:16" ht="6.75" customHeight="1">
      <c r="A8" s="262"/>
      <c r="B8" s="263"/>
      <c r="C8" s="263"/>
      <c r="D8" s="262"/>
      <c r="E8" s="262"/>
      <c r="F8" s="262"/>
      <c r="G8" s="262"/>
      <c r="H8" s="262"/>
      <c r="I8" s="262"/>
      <c r="J8" s="262"/>
      <c r="K8" s="262"/>
      <c r="L8" s="262"/>
      <c r="M8" s="114"/>
      <c r="N8" s="262"/>
      <c r="O8" s="114"/>
      <c r="P8" s="114"/>
    </row>
    <row r="9" spans="1:16">
      <c r="A9" s="262"/>
      <c r="B9" s="276">
        <f>'Expenditure Breakdown'!B6</f>
        <v>1</v>
      </c>
      <c r="C9" s="265"/>
      <c r="D9" s="277" t="str">
        <f>'Expenditure Breakdown'!C6</f>
        <v>Panels</v>
      </c>
      <c r="E9" s="86"/>
      <c r="F9" s="278">
        <f>'Expenditure Breakdown'!I6</f>
        <v>4370925.6320000002</v>
      </c>
      <c r="G9" s="86"/>
      <c r="H9" s="278">
        <v>4254751.8</v>
      </c>
      <c r="I9" s="86"/>
      <c r="J9" s="278">
        <f>'Expenditure Breakdown'!X6</f>
        <v>4255658.9399999995</v>
      </c>
      <c r="K9" s="89"/>
      <c r="L9" s="279">
        <f>F9-J9</f>
        <v>115266.69200000074</v>
      </c>
      <c r="M9" s="193"/>
      <c r="N9" s="279">
        <f>H9-J9</f>
        <v>-907.13999999966472</v>
      </c>
      <c r="O9" s="193"/>
      <c r="P9" s="303"/>
    </row>
    <row r="10" spans="1:16">
      <c r="A10" s="262"/>
      <c r="B10" s="276">
        <f>'Expenditure Breakdown'!B14</f>
        <v>2</v>
      </c>
      <c r="C10" s="265"/>
      <c r="D10" s="277" t="str">
        <f>'Expenditure Breakdown'!C14</f>
        <v>Inverters</v>
      </c>
      <c r="E10" s="86"/>
      <c r="F10" s="278">
        <f>+'Expenditure Breakdown'!I14</f>
        <v>3000818</v>
      </c>
      <c r="G10" s="86"/>
      <c r="H10" s="278">
        <v>3103440</v>
      </c>
      <c r="I10" s="86"/>
      <c r="J10" s="278">
        <f>+'Expenditure Breakdown'!X14</f>
        <v>3159240</v>
      </c>
      <c r="K10" s="89"/>
      <c r="L10" s="279">
        <f t="shared" ref="L10:L23" si="0">F10-J10</f>
        <v>-158422</v>
      </c>
      <c r="M10" s="193"/>
      <c r="N10" s="279">
        <f t="shared" ref="N10:N23" si="1">H10-J10</f>
        <v>-55800</v>
      </c>
      <c r="O10" s="193"/>
      <c r="P10" s="303"/>
    </row>
    <row r="11" spans="1:16">
      <c r="A11" s="262"/>
      <c r="B11" s="276">
        <f>'Expenditure Breakdown'!B21</f>
        <v>3</v>
      </c>
      <c r="C11" s="265"/>
      <c r="D11" s="277" t="str">
        <f>'Expenditure Breakdown'!C21</f>
        <v>Mounting Structures</v>
      </c>
      <c r="E11" s="280"/>
      <c r="F11" s="278">
        <f>+'Expenditure Breakdown'!I21</f>
        <v>656096</v>
      </c>
      <c r="G11" s="86"/>
      <c r="H11" s="278">
        <v>346295</v>
      </c>
      <c r="I11" s="86"/>
      <c r="J11" s="278">
        <f>+'Expenditure Breakdown'!X21</f>
        <v>385343</v>
      </c>
      <c r="K11" s="89"/>
      <c r="L11" s="279">
        <f t="shared" si="0"/>
        <v>270753</v>
      </c>
      <c r="M11" s="193"/>
      <c r="N11" s="279">
        <f t="shared" si="1"/>
        <v>-39048</v>
      </c>
      <c r="O11" s="193"/>
      <c r="P11" s="303"/>
    </row>
    <row r="12" spans="1:16">
      <c r="A12" s="262"/>
      <c r="B12" s="276">
        <f>'Expenditure Breakdown'!B26</f>
        <v>4</v>
      </c>
      <c r="C12" s="265"/>
      <c r="D12" s="277" t="str">
        <f>'Expenditure Breakdown'!C26</f>
        <v>DC Equipment</v>
      </c>
      <c r="E12" s="280"/>
      <c r="F12" s="278">
        <f>+'Expenditure Breakdown'!I26</f>
        <v>1512771.2</v>
      </c>
      <c r="G12" s="86"/>
      <c r="H12" s="278">
        <v>1835752.5</v>
      </c>
      <c r="I12" s="86"/>
      <c r="J12" s="278">
        <f>+'Expenditure Breakdown'!X26</f>
        <v>1702752.5</v>
      </c>
      <c r="K12" s="89"/>
      <c r="L12" s="279">
        <f t="shared" si="0"/>
        <v>-189981.30000000005</v>
      </c>
      <c r="M12" s="193"/>
      <c r="N12" s="279">
        <f t="shared" si="1"/>
        <v>133000</v>
      </c>
      <c r="O12" s="193"/>
      <c r="P12" s="303"/>
    </row>
    <row r="13" spans="1:16">
      <c r="A13" s="262"/>
      <c r="B13" s="276">
        <f>'Expenditure Breakdown'!B40</f>
        <v>5</v>
      </c>
      <c r="C13" s="265"/>
      <c r="D13" s="277" t="str">
        <f>'Expenditure Breakdown'!C40</f>
        <v>Monitoring</v>
      </c>
      <c r="E13" s="280"/>
      <c r="F13" s="278">
        <f>+'Expenditure Breakdown'!I40</f>
        <v>550800</v>
      </c>
      <c r="G13" s="86"/>
      <c r="H13" s="278">
        <v>403365.26</v>
      </c>
      <c r="I13" s="86"/>
      <c r="J13" s="278">
        <f>+'Expenditure Breakdown'!X40</f>
        <v>419582.98</v>
      </c>
      <c r="K13" s="89"/>
      <c r="L13" s="279">
        <f t="shared" si="0"/>
        <v>131217.02000000002</v>
      </c>
      <c r="M13" s="193"/>
      <c r="N13" s="279">
        <f t="shared" si="1"/>
        <v>-16217.719999999972</v>
      </c>
      <c r="O13" s="193"/>
      <c r="P13" s="303"/>
    </row>
    <row r="14" spans="1:16">
      <c r="A14" s="262"/>
      <c r="B14" s="276">
        <f>'Expenditure Breakdown'!B57</f>
        <v>6</v>
      </c>
      <c r="C14" s="265"/>
      <c r="D14" s="277" t="str">
        <f>'Expenditure Breakdown'!C57</f>
        <v>AC Equipment</v>
      </c>
      <c r="E14" s="280"/>
      <c r="F14" s="278">
        <f>+'Expenditure Breakdown'!I57</f>
        <v>978811.01782608707</v>
      </c>
      <c r="G14" s="86"/>
      <c r="H14" s="278">
        <v>1388068.8700000003</v>
      </c>
      <c r="I14" s="86"/>
      <c r="J14" s="278">
        <f>+'Expenditure Breakdown'!X57</f>
        <v>1529166.87</v>
      </c>
      <c r="K14" s="89"/>
      <c r="L14" s="279">
        <f t="shared" si="0"/>
        <v>-550355.85217391304</v>
      </c>
      <c r="M14" s="193"/>
      <c r="N14" s="279">
        <f t="shared" si="1"/>
        <v>-141097.99999999977</v>
      </c>
      <c r="O14" s="193"/>
      <c r="P14" s="303"/>
    </row>
    <row r="15" spans="1:16">
      <c r="A15" s="262"/>
      <c r="B15" s="276">
        <f>'Expenditure Breakdown'!B73</f>
        <v>7</v>
      </c>
      <c r="C15" s="265"/>
      <c r="D15" s="277" t="str">
        <f>'Expenditure Breakdown'!C73</f>
        <v>Battery Systems</v>
      </c>
      <c r="E15" s="280"/>
      <c r="F15" s="278">
        <f>+'Expenditure Breakdown'!I73</f>
        <v>0</v>
      </c>
      <c r="G15" s="86"/>
      <c r="H15" s="278">
        <v>0</v>
      </c>
      <c r="I15" s="86"/>
      <c r="J15" s="278">
        <f>'Expenditure Breakdown'!X73</f>
        <v>0</v>
      </c>
      <c r="K15" s="89"/>
      <c r="L15" s="279">
        <f t="shared" ref="L15" si="2">F15-J15</f>
        <v>0</v>
      </c>
      <c r="M15" s="193"/>
      <c r="N15" s="279">
        <f t="shared" si="1"/>
        <v>0</v>
      </c>
      <c r="O15" s="193"/>
      <c r="P15" s="303"/>
    </row>
    <row r="16" spans="1:16">
      <c r="A16" s="262"/>
      <c r="B16" s="276">
        <f>'Expenditure Breakdown'!B82</f>
        <v>8</v>
      </c>
      <c r="C16" s="265"/>
      <c r="D16" s="277" t="str">
        <f>'Expenditure Breakdown'!C82</f>
        <v xml:space="preserve">Product Add On </v>
      </c>
      <c r="E16" s="280"/>
      <c r="F16" s="278">
        <f>'Expenditure Breakdown'!I82</f>
        <v>608000</v>
      </c>
      <c r="G16" s="86"/>
      <c r="H16" s="278">
        <v>890823.00315789471</v>
      </c>
      <c r="I16" s="86"/>
      <c r="J16" s="278">
        <f>'Expenditure Breakdown'!X82</f>
        <v>492321.82</v>
      </c>
      <c r="K16" s="89"/>
      <c r="L16" s="279">
        <f t="shared" si="0"/>
        <v>115678.18</v>
      </c>
      <c r="M16" s="193"/>
      <c r="N16" s="279">
        <f t="shared" si="1"/>
        <v>398501.1831578947</v>
      </c>
      <c r="O16" s="193"/>
      <c r="P16" s="303"/>
    </row>
    <row r="17" spans="1:16">
      <c r="A17" s="262"/>
      <c r="B17" s="276">
        <f>'Expenditure Breakdown'!L105</f>
        <v>9</v>
      </c>
      <c r="C17" s="265"/>
      <c r="D17" s="277" t="str">
        <f>'Expenditure Breakdown'!C105</f>
        <v>AC &amp; DC Installation</v>
      </c>
      <c r="E17" s="280"/>
      <c r="F17" s="278">
        <f>+'Expenditure Breakdown'!I105</f>
        <v>1003132</v>
      </c>
      <c r="G17" s="86"/>
      <c r="H17" s="278">
        <v>2052500</v>
      </c>
      <c r="I17" s="86"/>
      <c r="J17" s="278">
        <f>+'Expenditure Breakdown'!X105</f>
        <v>2052500</v>
      </c>
      <c r="K17" s="89"/>
      <c r="L17" s="279">
        <f t="shared" si="0"/>
        <v>-1049368</v>
      </c>
      <c r="M17" s="193"/>
      <c r="N17" s="279">
        <f t="shared" si="1"/>
        <v>0</v>
      </c>
      <c r="O17" s="193"/>
      <c r="P17" s="303"/>
    </row>
    <row r="18" spans="1:16">
      <c r="A18" s="262"/>
      <c r="B18" s="276">
        <f>'Expenditure Breakdown'!B117</f>
        <v>10</v>
      </c>
      <c r="C18" s="265"/>
      <c r="D18" s="277" t="str">
        <f>'Expenditure Breakdown'!C117</f>
        <v>Site Logistics</v>
      </c>
      <c r="E18" s="86"/>
      <c r="F18" s="278">
        <f>+'Expenditure Breakdown'!I117</f>
        <v>234820.18</v>
      </c>
      <c r="G18" s="86"/>
      <c r="H18" s="278">
        <v>462630</v>
      </c>
      <c r="I18" s="86"/>
      <c r="J18" s="278">
        <f>+'Expenditure Breakdown'!X117</f>
        <v>424330.00000000006</v>
      </c>
      <c r="K18" s="89"/>
      <c r="L18" s="279">
        <f t="shared" si="0"/>
        <v>-189509.82000000007</v>
      </c>
      <c r="M18" s="193"/>
      <c r="N18" s="279">
        <f t="shared" si="1"/>
        <v>38299.999999999942</v>
      </c>
      <c r="O18" s="193"/>
      <c r="P18" s="303"/>
    </row>
    <row r="19" spans="1:16">
      <c r="A19" s="262"/>
      <c r="B19" s="276">
        <f>'Expenditure Breakdown'!B139</f>
        <v>11</v>
      </c>
      <c r="C19" s="265"/>
      <c r="D19" s="277" t="str">
        <f>'Expenditure Breakdown'!C139</f>
        <v>Due Dilligence</v>
      </c>
      <c r="E19" s="86"/>
      <c r="F19" s="278">
        <f>'Expenditure Breakdown'!I139</f>
        <v>167000</v>
      </c>
      <c r="G19" s="86"/>
      <c r="H19" s="278">
        <v>161100</v>
      </c>
      <c r="I19" s="86"/>
      <c r="J19" s="278">
        <f>'Expenditure Breakdown'!X139</f>
        <v>120447.39</v>
      </c>
      <c r="K19" s="89"/>
      <c r="L19" s="279">
        <f t="shared" si="0"/>
        <v>46552.61</v>
      </c>
      <c r="M19" s="193"/>
      <c r="N19" s="279">
        <f t="shared" si="1"/>
        <v>40652.61</v>
      </c>
      <c r="O19" s="193"/>
      <c r="P19" s="303"/>
    </row>
    <row r="20" spans="1:16">
      <c r="A20" s="262"/>
      <c r="B20" s="276">
        <f>'Expenditure Breakdown'!B147</f>
        <v>12</v>
      </c>
      <c r="C20" s="265"/>
      <c r="D20" s="277" t="str">
        <f>'Expenditure Breakdown'!C147</f>
        <v>BDP Commission</v>
      </c>
      <c r="E20" s="86"/>
      <c r="F20" s="278">
        <f>'Expenditure Breakdown'!G146</f>
        <v>0</v>
      </c>
      <c r="G20" s="86"/>
      <c r="H20" s="278">
        <v>0</v>
      </c>
      <c r="I20" s="86"/>
      <c r="J20" s="278">
        <f>'Expenditure Breakdown'!X146</f>
        <v>0</v>
      </c>
      <c r="K20" s="89"/>
      <c r="L20" s="279">
        <f t="shared" si="0"/>
        <v>0</v>
      </c>
      <c r="M20" s="193"/>
      <c r="N20" s="279">
        <f t="shared" si="1"/>
        <v>0</v>
      </c>
      <c r="O20" s="193"/>
      <c r="P20" s="303"/>
    </row>
    <row r="21" spans="1:16">
      <c r="A21" s="262"/>
      <c r="B21" s="276">
        <f>'Expenditure Breakdown'!B149</f>
        <v>13</v>
      </c>
      <c r="C21" s="265"/>
      <c r="D21" s="277" t="str">
        <f>'Expenditure Breakdown'!C149</f>
        <v>Engineering</v>
      </c>
      <c r="E21" s="86"/>
      <c r="F21" s="278">
        <f>+'Expenditure Breakdown'!I149</f>
        <v>664894.71645434783</v>
      </c>
      <c r="G21" s="86"/>
      <c r="H21" s="278">
        <v>200304.11174596625</v>
      </c>
      <c r="I21" s="86"/>
      <c r="J21" s="278">
        <f>+'Expenditure Breakdown'!X149</f>
        <v>165600.00174596626</v>
      </c>
      <c r="K21" s="89"/>
      <c r="L21" s="279">
        <f t="shared" si="0"/>
        <v>499294.71470838157</v>
      </c>
      <c r="M21" s="193"/>
      <c r="N21" s="279">
        <f t="shared" si="1"/>
        <v>34704.109999999986</v>
      </c>
      <c r="O21" s="193"/>
      <c r="P21" s="303" t="s">
        <v>336</v>
      </c>
    </row>
    <row r="22" spans="1:16">
      <c r="A22" s="262"/>
      <c r="B22" s="276">
        <f>'Expenditure Breakdown'!B157</f>
        <v>14</v>
      </c>
      <c r="C22" s="265"/>
      <c r="D22" s="277" t="str">
        <f>'Expenditure Breakdown'!C157</f>
        <v>General Expenses</v>
      </c>
      <c r="E22" s="86"/>
      <c r="F22" s="278">
        <f>+'Expenditure Breakdown'!I157</f>
        <v>32725</v>
      </c>
      <c r="G22" s="86"/>
      <c r="H22" s="278">
        <v>35496.43</v>
      </c>
      <c r="I22" s="86"/>
      <c r="J22" s="278">
        <f>+'Expenditure Breakdown'!X157</f>
        <v>37052.370000000003</v>
      </c>
      <c r="K22" s="89"/>
      <c r="L22" s="279">
        <f t="shared" si="0"/>
        <v>-4327.3700000000026</v>
      </c>
      <c r="M22" s="193"/>
      <c r="N22" s="279">
        <f t="shared" si="1"/>
        <v>-1555.9400000000023</v>
      </c>
      <c r="O22" s="193"/>
      <c r="P22" s="303"/>
    </row>
    <row r="23" spans="1:16">
      <c r="A23" s="262"/>
      <c r="B23" s="276">
        <f>'Expenditure Breakdown'!B168</f>
        <v>15</v>
      </c>
      <c r="C23" s="265"/>
      <c r="D23" s="277" t="str">
        <f>'Expenditure Breakdown'!C168</f>
        <v>Service Add On</v>
      </c>
      <c r="E23" s="86"/>
      <c r="F23" s="278">
        <f>+'Expenditure Breakdown'!I168</f>
        <v>0</v>
      </c>
      <c r="G23" s="86"/>
      <c r="H23" s="278">
        <v>0</v>
      </c>
      <c r="I23" s="86"/>
      <c r="J23" s="278">
        <f>+'Expenditure Breakdown'!X168</f>
        <v>55898</v>
      </c>
      <c r="K23" s="89"/>
      <c r="L23" s="279">
        <f t="shared" si="0"/>
        <v>-55898</v>
      </c>
      <c r="M23" s="193"/>
      <c r="N23" s="279">
        <f t="shared" si="1"/>
        <v>-55898</v>
      </c>
      <c r="O23" s="193"/>
      <c r="P23" s="303"/>
    </row>
    <row r="24" spans="1:16" ht="6.75" customHeight="1">
      <c r="A24" s="262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2"/>
      <c r="B25" s="87"/>
      <c r="C25" s="87"/>
      <c r="D25" s="281" t="s">
        <v>337</v>
      </c>
      <c r="E25" s="86"/>
      <c r="F25" s="282">
        <f>'Expenditure Breakdown'!I2-'Expenditure Tracking'!F5</f>
        <v>0</v>
      </c>
      <c r="G25" s="282" t="e">
        <f>'Expenditure Breakdown'!#REF!-G5</f>
        <v>#REF!</v>
      </c>
      <c r="H25" s="282">
        <f>'Expenditure Breakdown'!X2-J5</f>
        <v>0</v>
      </c>
      <c r="I25" s="282" t="e">
        <f>'Expenditure Breakdown'!#REF!-I5</f>
        <v>#REF!</v>
      </c>
      <c r="J25" s="282">
        <f>'Expenditure Breakdown'!X2-J5</f>
        <v>0</v>
      </c>
      <c r="K25" s="89"/>
      <c r="L25" s="283"/>
      <c r="M25" s="193"/>
      <c r="N25" s="283"/>
      <c r="O25" s="193"/>
      <c r="P25" s="114"/>
    </row>
    <row r="26" spans="1:16" s="3" customFormat="1">
      <c r="B26" s="109"/>
      <c r="C26" s="109"/>
    </row>
    <row r="27" spans="1:16">
      <c r="A27" s="609" t="s">
        <v>338</v>
      </c>
      <c r="B27" s="610"/>
      <c r="C27" s="610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36"/>
  <sheetViews>
    <sheetView topLeftCell="O1" zoomScale="70" zoomScaleNormal="70" workbookViewId="0">
      <pane ySplit="4" topLeftCell="J159" activePane="bottomLeft" state="frozen"/>
      <selection pane="bottomLeft" activeCell="T171" sqref="T171"/>
      <selection activeCell="H13" sqref="H13"/>
    </sheetView>
  </sheetViews>
  <sheetFormatPr defaultColWidth="9.42578125" defaultRowHeight="14.1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42578125" style="24" hidden="1" customWidth="1"/>
    <col min="5" max="5" width="8.4257812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18" style="443" hidden="1" customWidth="1"/>
    <col min="10" max="10" width="17.42578125" style="443" customWidth="1"/>
    <col min="11" max="11" width="5.5703125" style="114" customWidth="1"/>
    <col min="12" max="12" width="5.5703125" style="24" customWidth="1"/>
    <col min="13" max="13" width="24.42578125" style="24" customWidth="1"/>
    <col min="14" max="14" width="45.42578125" style="24" bestFit="1" customWidth="1"/>
    <col min="15" max="15" width="16.42578125" style="70" bestFit="1" customWidth="1"/>
    <col min="16" max="16" width="19.5703125" style="64" customWidth="1"/>
    <col min="17" max="17" width="16.140625" style="444" bestFit="1" customWidth="1"/>
    <col min="18" max="18" width="38.5703125" style="65" bestFit="1" customWidth="1"/>
    <col min="19" max="19" width="28.5703125" style="451" customWidth="1"/>
    <col min="20" max="20" width="16.5703125" style="65" customWidth="1"/>
    <col min="21" max="21" width="17.42578125" style="65" bestFit="1" customWidth="1"/>
    <col min="22" max="22" width="15.42578125" style="65" bestFit="1" customWidth="1"/>
    <col min="23" max="23" width="21.5703125" style="463" customWidth="1"/>
    <col min="24" max="24" width="16.85546875" style="24" bestFit="1" customWidth="1"/>
    <col min="25" max="25" width="88.85546875" style="114" bestFit="1" customWidth="1"/>
    <col min="26" max="26" width="29.42578125" style="114" bestFit="1" customWidth="1"/>
    <col min="27" max="27" width="22.42578125" style="114" customWidth="1"/>
    <col min="28" max="28" width="2.42578125" style="114" customWidth="1"/>
    <col min="29" max="29" width="31.42578125" style="114" bestFit="1" customWidth="1"/>
    <col min="30" max="30" width="35.5703125" style="114" bestFit="1" customWidth="1"/>
    <col min="31" max="31" width="23.85546875" style="114" customWidth="1"/>
    <col min="32" max="32" width="13.5703125" style="114" bestFit="1" customWidth="1"/>
    <col min="33" max="42" width="9.42578125" style="114"/>
    <col min="43" max="16384" width="9.42578125" style="24"/>
  </cols>
  <sheetData>
    <row r="1" spans="1:42" s="114" customFormat="1" ht="4.5" customHeight="1" thickBot="1">
      <c r="E1" s="168"/>
      <c r="F1" s="115"/>
      <c r="I1" s="304"/>
      <c r="J1" s="304"/>
      <c r="O1" s="168"/>
      <c r="P1" s="115"/>
      <c r="Q1" s="483"/>
      <c r="R1" s="169"/>
      <c r="S1" s="446"/>
      <c r="T1" s="169"/>
      <c r="U1" s="169"/>
      <c r="V1" s="169"/>
      <c r="W1" s="452"/>
    </row>
    <row r="2" spans="1:42" ht="21.75" customHeight="1" thickBot="1">
      <c r="B2" s="936" t="s">
        <v>339</v>
      </c>
      <c r="C2" s="936"/>
      <c r="D2" s="936"/>
      <c r="E2" s="936"/>
      <c r="F2" s="936"/>
      <c r="G2" s="936"/>
      <c r="H2" s="936"/>
      <c r="I2" s="306">
        <f>SUM(I6:I174)</f>
        <v>13780793.746280435</v>
      </c>
      <c r="J2" s="306">
        <f>SUM(J6:J174)</f>
        <v>16024328.939677272</v>
      </c>
      <c r="L2" s="937" t="s">
        <v>340</v>
      </c>
      <c r="M2" s="937"/>
      <c r="N2" s="937"/>
      <c r="O2" s="937"/>
      <c r="P2" s="937"/>
      <c r="Q2" s="937"/>
      <c r="R2" s="114"/>
      <c r="S2" s="938" t="s">
        <v>341</v>
      </c>
      <c r="T2" s="938"/>
      <c r="U2" s="938"/>
      <c r="V2" s="938"/>
      <c r="W2" s="938"/>
      <c r="X2" s="464">
        <f>SUM(X6:X174)</f>
        <v>14799893.871745965</v>
      </c>
    </row>
    <row r="3" spans="1:42" s="114" customFormat="1" ht="13.5" customHeight="1" thickBot="1">
      <c r="E3" s="168"/>
      <c r="F3" s="115"/>
      <c r="I3" s="304"/>
      <c r="J3" s="495"/>
      <c r="O3" s="168"/>
      <c r="P3" s="115"/>
      <c r="Q3" s="305"/>
      <c r="R3" s="169"/>
    </row>
    <row r="4" spans="1:42" s="70" customFormat="1" ht="42.6" thickBot="1">
      <c r="A4" s="168"/>
      <c r="B4" s="307" t="s">
        <v>342</v>
      </c>
      <c r="C4" s="308" t="s">
        <v>343</v>
      </c>
      <c r="D4" s="308" t="s">
        <v>344</v>
      </c>
      <c r="E4" s="308" t="s">
        <v>345</v>
      </c>
      <c r="F4" s="308" t="s">
        <v>346</v>
      </c>
      <c r="G4" s="309" t="s">
        <v>347</v>
      </c>
      <c r="H4" s="310" t="s">
        <v>348</v>
      </c>
      <c r="I4" s="311" t="s">
        <v>349</v>
      </c>
      <c r="J4" s="311" t="str">
        <f>IF(J2-'Revenue Tracking'!D4&gt;=0, "Total Revenue", "ERROR on REV" )</f>
        <v>ERROR on REV</v>
      </c>
      <c r="K4" s="168"/>
      <c r="L4" s="307" t="s">
        <v>342</v>
      </c>
      <c r="M4" s="308" t="s">
        <v>350</v>
      </c>
      <c r="N4" s="308" t="s">
        <v>344</v>
      </c>
      <c r="O4" s="308" t="s">
        <v>345</v>
      </c>
      <c r="P4" s="308" t="s">
        <v>346</v>
      </c>
      <c r="Q4" s="546" t="s">
        <v>351</v>
      </c>
      <c r="R4" s="113" t="s">
        <v>352</v>
      </c>
      <c r="S4" s="113" t="s">
        <v>271</v>
      </c>
      <c r="T4" s="517" t="s">
        <v>272</v>
      </c>
      <c r="U4" s="518" t="s">
        <v>353</v>
      </c>
      <c r="V4" s="519" t="s">
        <v>354</v>
      </c>
      <c r="W4" s="517" t="s">
        <v>355</v>
      </c>
      <c r="X4" s="465" t="s">
        <v>349</v>
      </c>
      <c r="Y4" s="113" t="s">
        <v>356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8"/>
      <c r="K5" s="319"/>
      <c r="L5" s="312"/>
      <c r="M5" s="313"/>
      <c r="N5" s="313"/>
      <c r="O5" s="314"/>
      <c r="P5" s="315"/>
      <c r="Q5" s="320"/>
      <c r="R5" s="110"/>
      <c r="S5" s="447"/>
      <c r="T5" s="110"/>
      <c r="U5" s="496"/>
      <c r="V5" s="445"/>
      <c r="W5" s="453"/>
      <c r="X5" s="466"/>
      <c r="Y5" s="110"/>
    </row>
    <row r="6" spans="1:42" ht="14.25" customHeight="1" thickBot="1">
      <c r="B6" s="341">
        <v>1</v>
      </c>
      <c r="C6" s="471" t="s">
        <v>357</v>
      </c>
      <c r="D6" s="342" t="s">
        <v>358</v>
      </c>
      <c r="E6" s="343">
        <v>3232</v>
      </c>
      <c r="F6" s="569">
        <v>1333.826</v>
      </c>
      <c r="G6" s="390">
        <f>E6*F6</f>
        <v>4310925.6320000002</v>
      </c>
      <c r="H6" s="345">
        <f>H14</f>
        <v>45637</v>
      </c>
      <c r="I6" s="924">
        <f>SUM(G6:G12)</f>
        <v>4370925.6320000002</v>
      </c>
      <c r="J6" s="924">
        <v>4699920.0344086001</v>
      </c>
      <c r="K6" s="570"/>
      <c r="L6" s="341">
        <v>1</v>
      </c>
      <c r="M6" s="650" t="s">
        <v>359</v>
      </c>
      <c r="N6" s="342" t="s">
        <v>360</v>
      </c>
      <c r="O6" s="343">
        <v>1602</v>
      </c>
      <c r="P6" s="569">
        <v>1327.95</v>
      </c>
      <c r="Q6" s="390">
        <f>O6*P6</f>
        <v>2127375.9</v>
      </c>
      <c r="R6" s="215"/>
      <c r="S6" s="536" t="s">
        <v>361</v>
      </c>
      <c r="T6" s="726">
        <v>45657</v>
      </c>
      <c r="U6" s="747">
        <v>2349960.0172043</v>
      </c>
      <c r="V6" s="939">
        <f>J6-SUM(U6:U12)</f>
        <v>0</v>
      </c>
      <c r="W6" s="726">
        <v>45695</v>
      </c>
      <c r="X6" s="935">
        <f>SUM(Q6:Q12)</f>
        <v>4255658.9399999995</v>
      </c>
      <c r="Y6" s="201" t="s">
        <v>362</v>
      </c>
      <c r="Z6" s="170">
        <v>19</v>
      </c>
      <c r="AA6" s="170"/>
      <c r="AE6" s="171"/>
    </row>
    <row r="7" spans="1:42" ht="15" customHeight="1" thickBot="1">
      <c r="B7" s="386">
        <v>1</v>
      </c>
      <c r="C7" s="651"/>
      <c r="D7" s="572"/>
      <c r="E7" s="573"/>
      <c r="F7" s="703"/>
      <c r="G7" s="390"/>
      <c r="H7" s="349"/>
      <c r="I7" s="924"/>
      <c r="J7" s="924"/>
      <c r="K7" s="350"/>
      <c r="L7" s="386">
        <v>1</v>
      </c>
      <c r="M7" s="388" t="s">
        <v>359</v>
      </c>
      <c r="N7" s="572" t="s">
        <v>363</v>
      </c>
      <c r="O7" s="721">
        <v>1602</v>
      </c>
      <c r="P7" s="703"/>
      <c r="Q7" s="390">
        <f>P6*O7</f>
        <v>2127375.9</v>
      </c>
      <c r="R7" s="211"/>
      <c r="S7" s="532" t="s">
        <v>364</v>
      </c>
      <c r="T7" s="734">
        <v>45657</v>
      </c>
      <c r="U7" s="748">
        <v>2349960.0172043</v>
      </c>
      <c r="V7" s="939"/>
      <c r="W7" s="746">
        <v>45708</v>
      </c>
      <c r="X7" s="935"/>
      <c r="Y7" s="202"/>
      <c r="Z7" s="172" t="s">
        <v>365</v>
      </c>
      <c r="AA7" s="173" t="s">
        <v>366</v>
      </c>
      <c r="AB7" s="24"/>
      <c r="AC7" s="24"/>
    </row>
    <row r="8" spans="1:42" ht="15" customHeight="1" thickBot="1">
      <c r="B8" s="386">
        <v>1</v>
      </c>
      <c r="C8" s="572"/>
      <c r="D8" s="388" t="s">
        <v>367</v>
      </c>
      <c r="E8" s="640"/>
      <c r="F8" s="530"/>
      <c r="G8" s="575">
        <v>60000</v>
      </c>
      <c r="H8" s="349">
        <f>H6</f>
        <v>45637</v>
      </c>
      <c r="I8" s="924"/>
      <c r="J8" s="924"/>
      <c r="K8" s="350"/>
      <c r="L8" s="386">
        <v>1</v>
      </c>
      <c r="M8" s="388" t="s">
        <v>359</v>
      </c>
      <c r="N8" s="572"/>
      <c r="O8" s="721"/>
      <c r="P8" s="530"/>
      <c r="Q8" s="575"/>
      <c r="R8" s="211"/>
      <c r="S8" s="449"/>
      <c r="T8" s="500" t="str">
        <f t="shared" ref="T8:T25" si="0">IF(W8&gt;1,EOMONTH(W8,0),"")</f>
        <v/>
      </c>
      <c r="U8" s="833">
        <v>0</v>
      </c>
      <c r="V8" s="939"/>
      <c r="W8" s="458"/>
      <c r="X8" s="935"/>
      <c r="Y8" s="202"/>
      <c r="Z8" s="174" t="s">
        <v>368</v>
      </c>
      <c r="AA8" s="175">
        <f>C62</f>
        <v>1505863.104347826</v>
      </c>
      <c r="AC8" s="636"/>
      <c r="AF8" s="636"/>
    </row>
    <row r="9" spans="1:42" ht="15" customHeight="1" thickBot="1">
      <c r="B9" s="386">
        <v>1</v>
      </c>
      <c r="C9" s="572"/>
      <c r="D9" s="574"/>
      <c r="E9" s="573"/>
      <c r="F9" s="530"/>
      <c r="G9" s="390"/>
      <c r="H9" s="349"/>
      <c r="I9" s="924"/>
      <c r="J9" s="924"/>
      <c r="K9" s="350"/>
      <c r="L9" s="386">
        <v>1</v>
      </c>
      <c r="M9" s="388" t="s">
        <v>359</v>
      </c>
      <c r="N9" s="574"/>
      <c r="O9" s="721"/>
      <c r="P9" s="530"/>
      <c r="Q9" s="390"/>
      <c r="R9" s="211"/>
      <c r="S9" s="532"/>
      <c r="T9" s="734"/>
      <c r="U9" s="833">
        <v>0</v>
      </c>
      <c r="V9" s="939"/>
      <c r="W9" s="458"/>
      <c r="X9" s="935"/>
      <c r="Y9" s="202"/>
      <c r="Z9" s="174" t="s">
        <v>369</v>
      </c>
      <c r="AA9" s="631">
        <f>SUM(G27:G38)</f>
        <v>955571.19999999995</v>
      </c>
      <c r="AF9" s="636"/>
    </row>
    <row r="10" spans="1:42" ht="15" customHeight="1" thickBot="1">
      <c r="B10" s="386">
        <v>1</v>
      </c>
      <c r="C10" s="572"/>
      <c r="D10" s="574"/>
      <c r="E10" s="573"/>
      <c r="F10" s="530"/>
      <c r="G10" s="390"/>
      <c r="H10" s="349"/>
      <c r="I10" s="924"/>
      <c r="J10" s="924"/>
      <c r="K10" s="350"/>
      <c r="L10" s="386">
        <v>1</v>
      </c>
      <c r="M10" s="388" t="s">
        <v>359</v>
      </c>
      <c r="N10" s="388" t="s">
        <v>370</v>
      </c>
      <c r="O10" s="640"/>
      <c r="P10" s="530"/>
      <c r="Q10" s="575">
        <v>685.71</v>
      </c>
      <c r="R10" s="211"/>
      <c r="S10" s="532" t="s">
        <v>371</v>
      </c>
      <c r="T10" s="734">
        <v>45808</v>
      </c>
      <c r="U10" s="833">
        <v>0</v>
      </c>
      <c r="V10" s="939"/>
      <c r="W10" s="784">
        <v>45835</v>
      </c>
      <c r="X10" s="935"/>
      <c r="Y10" s="202" t="s">
        <v>372</v>
      </c>
      <c r="Z10" s="174" t="s">
        <v>373</v>
      </c>
      <c r="AA10" s="175">
        <f>C107</f>
        <v>1074640</v>
      </c>
      <c r="AC10" s="636">
        <f>AA10/140000</f>
        <v>7.6760000000000002</v>
      </c>
      <c r="AF10" s="636"/>
    </row>
    <row r="11" spans="1:42" ht="15" customHeight="1" thickBot="1">
      <c r="B11" s="557"/>
      <c r="C11" s="870"/>
      <c r="D11" s="871"/>
      <c r="E11" s="872"/>
      <c r="F11" s="873"/>
      <c r="G11" s="562"/>
      <c r="H11" s="563"/>
      <c r="I11" s="924"/>
      <c r="J11" s="924"/>
      <c r="K11" s="350"/>
      <c r="L11" s="557">
        <v>1</v>
      </c>
      <c r="M11" s="388" t="s">
        <v>359</v>
      </c>
      <c r="N11" s="566"/>
      <c r="O11" s="874"/>
      <c r="P11" s="873"/>
      <c r="Q11" s="875"/>
      <c r="R11" s="484"/>
      <c r="S11" s="724"/>
      <c r="T11" s="728"/>
      <c r="U11" s="876"/>
      <c r="V11" s="939"/>
      <c r="W11" s="785">
        <v>45930</v>
      </c>
      <c r="X11" s="935"/>
      <c r="Y11" s="485"/>
      <c r="Z11" s="174"/>
      <c r="AA11" s="175"/>
      <c r="AC11" s="636"/>
      <c r="AF11" s="636"/>
    </row>
    <row r="12" spans="1:42" ht="15" customHeight="1" thickBot="1">
      <c r="B12" s="392">
        <v>1</v>
      </c>
      <c r="C12" s="652"/>
      <c r="D12" s="576"/>
      <c r="E12" s="577"/>
      <c r="F12" s="487"/>
      <c r="G12" s="413"/>
      <c r="H12" s="351"/>
      <c r="I12" s="924"/>
      <c r="J12" s="924"/>
      <c r="K12" s="352"/>
      <c r="L12" s="392">
        <v>1</v>
      </c>
      <c r="M12" s="652" t="s">
        <v>359</v>
      </c>
      <c r="N12" s="576"/>
      <c r="O12" s="577"/>
      <c r="P12" s="487"/>
      <c r="Q12" s="413">
        <v>221.43</v>
      </c>
      <c r="R12" s="216"/>
      <c r="S12" s="724" t="s">
        <v>374</v>
      </c>
      <c r="T12" s="728">
        <v>45869</v>
      </c>
      <c r="U12" s="834">
        <v>0</v>
      </c>
      <c r="V12" s="939"/>
      <c r="W12" s="858">
        <v>45899</v>
      </c>
      <c r="X12" s="935"/>
      <c r="Y12" s="203"/>
      <c r="Z12" s="174" t="s">
        <v>375</v>
      </c>
      <c r="AA12" s="175">
        <f>C106</f>
        <v>468640</v>
      </c>
      <c r="AC12" s="636">
        <f>AA12/140000</f>
        <v>3.3474285714285714</v>
      </c>
      <c r="AF12" s="636"/>
    </row>
    <row r="13" spans="1:42" ht="14.45" thickBot="1">
      <c r="A13" s="24"/>
      <c r="B13" s="334"/>
      <c r="C13" s="335"/>
      <c r="D13" s="336"/>
      <c r="E13" s="337"/>
      <c r="F13" s="338"/>
      <c r="G13" s="338"/>
      <c r="H13" s="339"/>
      <c r="I13" s="340"/>
      <c r="J13" s="340"/>
      <c r="K13" s="24"/>
      <c r="L13" s="334"/>
      <c r="M13" s="595"/>
      <c r="N13" s="596"/>
      <c r="O13" s="597"/>
      <c r="P13" s="598"/>
      <c r="Q13" s="598"/>
      <c r="R13" s="214"/>
      <c r="S13" s="531"/>
      <c r="T13" s="521" t="str">
        <f t="shared" si="0"/>
        <v/>
      </c>
      <c r="U13" s="497"/>
      <c r="V13" s="632"/>
      <c r="W13" s="457"/>
      <c r="X13" s="467"/>
      <c r="Y13" s="200"/>
      <c r="Z13" s="174" t="s">
        <v>376</v>
      </c>
      <c r="AA13" s="175">
        <f>G118</f>
        <v>8500</v>
      </c>
      <c r="AB13" s="24"/>
      <c r="AC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spans="1:42" ht="14.25" customHeight="1" thickBot="1">
      <c r="B14" s="357">
        <v>2</v>
      </c>
      <c r="C14" s="396" t="s">
        <v>377</v>
      </c>
      <c r="D14" s="396" t="s">
        <v>378</v>
      </c>
      <c r="E14" s="488">
        <v>18</v>
      </c>
      <c r="F14" s="578">
        <v>66161</v>
      </c>
      <c r="G14" s="361">
        <f>E14*F14</f>
        <v>1190898</v>
      </c>
      <c r="H14" s="362">
        <f>'Project Plan'!E23+30</f>
        <v>45637</v>
      </c>
      <c r="I14" s="923">
        <f>SUM(G14:G19)</f>
        <v>3000818</v>
      </c>
      <c r="J14" s="923">
        <v>3226686.02150538</v>
      </c>
      <c r="K14" s="363"/>
      <c r="L14" s="357">
        <v>2</v>
      </c>
      <c r="M14" s="653" t="s">
        <v>379</v>
      </c>
      <c r="N14" s="396" t="s">
        <v>378</v>
      </c>
      <c r="O14" s="488">
        <v>18</v>
      </c>
      <c r="P14" s="578">
        <v>18950</v>
      </c>
      <c r="Q14" s="361">
        <f>O14*P14</f>
        <v>341100</v>
      </c>
      <c r="R14" s="942" t="s">
        <v>380</v>
      </c>
      <c r="S14" s="579" t="s">
        <v>381</v>
      </c>
      <c r="T14" s="733">
        <v>45716</v>
      </c>
      <c r="U14" s="749">
        <v>354646.00634633988</v>
      </c>
      <c r="V14" s="940">
        <f>J14-SUM(U14:U19)</f>
        <v>0</v>
      </c>
      <c r="W14" s="812">
        <v>45744</v>
      </c>
      <c r="X14" s="928">
        <f>SUM(Q14:Q19)</f>
        <v>3159240</v>
      </c>
      <c r="Y14" s="754" t="s">
        <v>382</v>
      </c>
      <c r="Z14" s="174" t="s">
        <v>383</v>
      </c>
      <c r="AA14" s="175">
        <f>G126</f>
        <v>74707.679999999993</v>
      </c>
    </row>
    <row r="15" spans="1:42" ht="14.25" customHeight="1" thickBot="1">
      <c r="B15" s="397"/>
      <c r="C15" s="398"/>
      <c r="D15" s="398"/>
      <c r="E15" s="580"/>
      <c r="F15" s="581"/>
      <c r="G15" s="399"/>
      <c r="H15" s="696"/>
      <c r="I15" s="923"/>
      <c r="J15" s="923"/>
      <c r="K15" s="371"/>
      <c r="L15" s="397">
        <v>2</v>
      </c>
      <c r="M15" s="654" t="s">
        <v>379</v>
      </c>
      <c r="N15" s="398" t="s">
        <v>384</v>
      </c>
      <c r="O15" s="580">
        <v>54</v>
      </c>
      <c r="P15" s="581">
        <v>15710</v>
      </c>
      <c r="Q15" s="399">
        <f>O15*P15</f>
        <v>848340</v>
      </c>
      <c r="R15" s="934"/>
      <c r="S15" s="579" t="s">
        <v>381</v>
      </c>
      <c r="T15" s="733">
        <v>45716</v>
      </c>
      <c r="U15" s="766">
        <v>882029.88280226919</v>
      </c>
      <c r="V15" s="940"/>
      <c r="W15" s="813">
        <f>W14</f>
        <v>45744</v>
      </c>
      <c r="X15" s="928"/>
      <c r="Y15" s="755"/>
      <c r="Z15" s="174"/>
      <c r="AA15" s="175"/>
    </row>
    <row r="16" spans="1:42" ht="15" customHeight="1" thickBot="1">
      <c r="B16" s="397">
        <v>2</v>
      </c>
      <c r="C16" s="398"/>
      <c r="D16" s="398"/>
      <c r="E16" s="580"/>
      <c r="F16" s="581"/>
      <c r="G16" s="399"/>
      <c r="H16" s="370"/>
      <c r="I16" s="923"/>
      <c r="J16" s="923"/>
      <c r="K16" s="371"/>
      <c r="L16" s="397">
        <v>2</v>
      </c>
      <c r="M16" s="654" t="s">
        <v>379</v>
      </c>
      <c r="N16" s="398" t="s">
        <v>385</v>
      </c>
      <c r="O16" s="580">
        <v>825</v>
      </c>
      <c r="P16" s="581">
        <v>1160</v>
      </c>
      <c r="Q16" s="399">
        <f>O16*P16</f>
        <v>957000</v>
      </c>
      <c r="R16" s="925" t="s">
        <v>386</v>
      </c>
      <c r="S16" s="579" t="s">
        <v>387</v>
      </c>
      <c r="T16" s="733">
        <v>45688</v>
      </c>
      <c r="U16" s="766">
        <v>995005.06617838552</v>
      </c>
      <c r="V16" s="940"/>
      <c r="W16" s="740">
        <v>45715</v>
      </c>
      <c r="X16" s="928"/>
      <c r="Y16" s="757"/>
      <c r="Z16" s="174" t="s">
        <v>388</v>
      </c>
      <c r="AA16" s="175">
        <f>G125</f>
        <v>51892.5</v>
      </c>
    </row>
    <row r="17" spans="1:42" ht="15" customHeight="1" thickBot="1">
      <c r="B17" s="397">
        <v>2</v>
      </c>
      <c r="C17" s="398"/>
      <c r="D17" s="398" t="s">
        <v>389</v>
      </c>
      <c r="E17" s="580">
        <v>1616</v>
      </c>
      <c r="F17" s="581">
        <v>1120</v>
      </c>
      <c r="G17" s="399">
        <f>E17*F17</f>
        <v>1809920</v>
      </c>
      <c r="H17" s="370">
        <f>H14</f>
        <v>45637</v>
      </c>
      <c r="I17" s="923"/>
      <c r="J17" s="923"/>
      <c r="K17" s="371"/>
      <c r="L17" s="397">
        <v>2</v>
      </c>
      <c r="M17" s="654" t="s">
        <v>379</v>
      </c>
      <c r="N17" s="398" t="s">
        <v>390</v>
      </c>
      <c r="O17" s="580">
        <v>825</v>
      </c>
      <c r="P17" s="581">
        <v>1160</v>
      </c>
      <c r="Q17" s="399">
        <f>O17*P17</f>
        <v>957000</v>
      </c>
      <c r="R17" s="934"/>
      <c r="S17" s="534" t="s">
        <v>387</v>
      </c>
      <c r="T17" s="733">
        <v>45688</v>
      </c>
      <c r="U17" s="766">
        <v>995005.06617838552</v>
      </c>
      <c r="V17" s="940"/>
      <c r="W17" s="740">
        <v>45715</v>
      </c>
      <c r="X17" s="928"/>
      <c r="Y17" s="757" t="s">
        <v>391</v>
      </c>
      <c r="Z17" s="174" t="s">
        <v>392</v>
      </c>
      <c r="AA17" s="175">
        <f>G117</f>
        <v>32400</v>
      </c>
    </row>
    <row r="18" spans="1:42" ht="15" customHeight="1" thickBot="1">
      <c r="B18" s="862"/>
      <c r="C18" s="863"/>
      <c r="D18" s="863"/>
      <c r="E18" s="792"/>
      <c r="F18" s="864"/>
      <c r="G18" s="865"/>
      <c r="H18" s="404"/>
      <c r="I18" s="923"/>
      <c r="J18" s="923"/>
      <c r="K18" s="371"/>
      <c r="L18" s="397">
        <v>2</v>
      </c>
      <c r="M18" s="654" t="s">
        <v>379</v>
      </c>
      <c r="N18" s="398" t="s">
        <v>393</v>
      </c>
      <c r="O18" s="580">
        <v>60</v>
      </c>
      <c r="P18" s="581"/>
      <c r="Q18" s="399">
        <v>55800</v>
      </c>
      <c r="R18" s="867" t="s">
        <v>394</v>
      </c>
      <c r="S18" s="626" t="s">
        <v>395</v>
      </c>
      <c r="T18" s="866">
        <v>45900</v>
      </c>
      <c r="U18" s="782">
        <v>0</v>
      </c>
      <c r="V18" s="940"/>
      <c r="W18" s="774">
        <v>45930</v>
      </c>
      <c r="X18" s="928"/>
      <c r="Y18" s="868"/>
      <c r="Z18" s="174"/>
      <c r="AA18" s="175"/>
    </row>
    <row r="19" spans="1:42" ht="15" customHeight="1" thickBot="1">
      <c r="B19" s="582">
        <v>2</v>
      </c>
      <c r="C19" s="583"/>
      <c r="D19" s="583"/>
      <c r="E19" s="584"/>
      <c r="F19" s="585"/>
      <c r="G19" s="586"/>
      <c r="H19" s="378"/>
      <c r="I19" s="923"/>
      <c r="J19" s="923"/>
      <c r="K19" s="379"/>
      <c r="L19" s="582">
        <v>2</v>
      </c>
      <c r="M19" s="655" t="s">
        <v>379</v>
      </c>
      <c r="N19" s="583"/>
      <c r="O19" s="584"/>
      <c r="P19" s="585"/>
      <c r="Q19" s="586">
        <v>0</v>
      </c>
      <c r="R19" s="756"/>
      <c r="S19" s="533"/>
      <c r="T19" s="503"/>
      <c r="U19" s="513">
        <f t="shared" ref="U19" si="1">(Q19/$X$14*$J$14)</f>
        <v>0</v>
      </c>
      <c r="V19" s="940"/>
      <c r="W19" s="460"/>
      <c r="X19" s="928"/>
      <c r="Y19" s="205"/>
      <c r="Z19" s="174" t="s">
        <v>396</v>
      </c>
      <c r="AA19" s="176">
        <v>0</v>
      </c>
    </row>
    <row r="20" spans="1:42" ht="14.45" thickBot="1">
      <c r="A20" s="24"/>
      <c r="B20" s="353"/>
      <c r="C20" s="335"/>
      <c r="D20" s="335"/>
      <c r="E20" s="354"/>
      <c r="F20" s="355"/>
      <c r="G20" s="356"/>
      <c r="H20" s="339"/>
      <c r="I20" s="340"/>
      <c r="J20" s="340"/>
      <c r="K20" s="24"/>
      <c r="L20" s="353"/>
      <c r="M20" s="335"/>
      <c r="N20" s="335"/>
      <c r="O20" s="354"/>
      <c r="P20" s="355"/>
      <c r="Q20" s="356"/>
      <c r="R20" s="214"/>
      <c r="S20" s="531"/>
      <c r="T20" s="521" t="str">
        <f t="shared" si="0"/>
        <v/>
      </c>
      <c r="U20" s="497"/>
      <c r="V20" s="632"/>
      <c r="W20" s="457"/>
      <c r="X20" s="467"/>
      <c r="Y20" s="200"/>
      <c r="Z20" s="174" t="s">
        <v>306</v>
      </c>
      <c r="AA20" s="175">
        <f>SUM(AA8:AA19)</f>
        <v>4172214.4843478263</v>
      </c>
      <c r="AB20" s="24"/>
      <c r="AC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2" ht="14.25" customHeight="1" thickBot="1">
      <c r="B21" s="341">
        <v>3</v>
      </c>
      <c r="C21" s="384" t="s">
        <v>397</v>
      </c>
      <c r="D21" s="407" t="s">
        <v>398</v>
      </c>
      <c r="E21" s="343"/>
      <c r="F21" s="673"/>
      <c r="G21" s="344">
        <v>656096</v>
      </c>
      <c r="H21" s="345">
        <f>'Project Plan'!E19+30</f>
        <v>45693</v>
      </c>
      <c r="I21" s="924">
        <f>SUM(G21:G24)</f>
        <v>656096</v>
      </c>
      <c r="J21" s="924">
        <v>705479.56989247305</v>
      </c>
      <c r="K21" s="346"/>
      <c r="L21" s="341">
        <v>3</v>
      </c>
      <c r="M21" s="656" t="s">
        <v>399</v>
      </c>
      <c r="N21" s="407" t="s">
        <v>398</v>
      </c>
      <c r="O21" s="343"/>
      <c r="P21" s="673"/>
      <c r="Q21" s="344">
        <v>346295</v>
      </c>
      <c r="R21" s="215" t="s">
        <v>400</v>
      </c>
      <c r="S21" s="523" t="s">
        <v>401</v>
      </c>
      <c r="T21" s="751">
        <v>45688</v>
      </c>
      <c r="U21" s="747">
        <v>705479.56989247305</v>
      </c>
      <c r="V21" s="939">
        <f>J21-SUM(U21:U24)</f>
        <v>0</v>
      </c>
      <c r="W21" s="779">
        <v>45714</v>
      </c>
      <c r="X21" s="935">
        <f>SUM(Q21:Q24)</f>
        <v>385343</v>
      </c>
      <c r="Y21" s="201"/>
      <c r="Z21" s="174" t="s">
        <v>402</v>
      </c>
      <c r="AA21" s="177">
        <f>+AA20*0.85</f>
        <v>3546382.3116956521</v>
      </c>
      <c r="AC21" s="178" t="s">
        <v>403</v>
      </c>
    </row>
    <row r="22" spans="1:42" ht="14.25" customHeight="1" thickBot="1">
      <c r="B22" s="386">
        <v>3</v>
      </c>
      <c r="C22" s="387"/>
      <c r="D22" s="409"/>
      <c r="E22" s="391"/>
      <c r="F22" s="410"/>
      <c r="G22" s="390"/>
      <c r="H22" s="349"/>
      <c r="I22" s="924"/>
      <c r="J22" s="924"/>
      <c r="K22" s="350"/>
      <c r="L22" s="386">
        <v>3</v>
      </c>
      <c r="M22" s="657" t="s">
        <v>399</v>
      </c>
      <c r="N22" s="409" t="s">
        <v>404</v>
      </c>
      <c r="O22" s="391"/>
      <c r="P22" s="410"/>
      <c r="Q22" s="390">
        <v>0</v>
      </c>
      <c r="R22" s="211"/>
      <c r="S22" s="449"/>
      <c r="T22" s="500"/>
      <c r="U22" s="748">
        <v>0</v>
      </c>
      <c r="V22" s="939"/>
      <c r="W22" s="458"/>
      <c r="X22" s="935"/>
      <c r="Y22" s="202"/>
      <c r="Z22" s="180" t="s">
        <v>405</v>
      </c>
      <c r="AA22" s="176">
        <f>+AA21/'Project Plan'!$E$3/1000</f>
        <v>1.8914038995710143</v>
      </c>
    </row>
    <row r="23" spans="1:42" ht="14.25" customHeight="1" thickBot="1">
      <c r="B23" s="386">
        <v>3</v>
      </c>
      <c r="C23" s="387"/>
      <c r="D23" s="409"/>
      <c r="E23" s="391"/>
      <c r="F23" s="410"/>
      <c r="G23" s="390"/>
      <c r="H23" s="349"/>
      <c r="I23" s="924"/>
      <c r="J23" s="924"/>
      <c r="K23" s="350"/>
      <c r="L23" s="386">
        <v>3</v>
      </c>
      <c r="M23" s="657" t="s">
        <v>399</v>
      </c>
      <c r="N23" s="409" t="s">
        <v>406</v>
      </c>
      <c r="O23" s="391"/>
      <c r="P23" s="410"/>
      <c r="Q23" s="390">
        <v>39048</v>
      </c>
      <c r="R23" s="211" t="s">
        <v>407</v>
      </c>
      <c r="S23" s="532" t="s">
        <v>408</v>
      </c>
      <c r="T23" s="734">
        <v>45777</v>
      </c>
      <c r="U23" s="509"/>
      <c r="V23" s="939"/>
      <c r="W23" s="784">
        <v>45777</v>
      </c>
      <c r="X23" s="935"/>
      <c r="Y23" s="202"/>
    </row>
    <row r="24" spans="1:42" ht="15" customHeight="1" thickBot="1">
      <c r="B24" s="392">
        <v>3</v>
      </c>
      <c r="C24" s="422"/>
      <c r="D24" s="411"/>
      <c r="E24" s="395"/>
      <c r="F24" s="412"/>
      <c r="G24" s="413"/>
      <c r="H24" s="351"/>
      <c r="I24" s="924"/>
      <c r="J24" s="924"/>
      <c r="K24" s="352"/>
      <c r="L24" s="392">
        <v>3</v>
      </c>
      <c r="M24" s="658" t="s">
        <v>399</v>
      </c>
      <c r="N24" s="411"/>
      <c r="O24" s="395"/>
      <c r="P24" s="412"/>
      <c r="Q24" s="413"/>
      <c r="R24" s="216"/>
      <c r="S24" s="524"/>
      <c r="T24" s="504" t="str">
        <f t="shared" si="0"/>
        <v/>
      </c>
      <c r="U24" s="510"/>
      <c r="V24" s="939"/>
      <c r="W24" s="459"/>
      <c r="X24" s="935"/>
      <c r="Y24" s="203"/>
      <c r="Z24" s="181" t="s">
        <v>257</v>
      </c>
      <c r="AA24" s="182" t="s">
        <v>409</v>
      </c>
      <c r="AO24" s="24"/>
      <c r="AP24" s="24"/>
    </row>
    <row r="25" spans="1:42" ht="14.45" thickBot="1">
      <c r="A25" s="24"/>
      <c r="B25" s="353"/>
      <c r="C25" s="380"/>
      <c r="D25" s="381"/>
      <c r="E25" s="382"/>
      <c r="F25" s="383"/>
      <c r="G25" s="356"/>
      <c r="H25" s="339"/>
      <c r="I25" s="340"/>
      <c r="J25" s="340"/>
      <c r="K25" s="24"/>
      <c r="L25" s="353"/>
      <c r="M25" s="380"/>
      <c r="N25" s="381"/>
      <c r="O25" s="382"/>
      <c r="P25" s="383"/>
      <c r="Q25" s="356"/>
      <c r="R25" s="214"/>
      <c r="S25" s="531"/>
      <c r="T25" s="521" t="str">
        <f t="shared" si="0"/>
        <v/>
      </c>
      <c r="U25" s="497"/>
      <c r="V25" s="632"/>
      <c r="W25" s="457"/>
      <c r="X25" s="467"/>
      <c r="Y25" s="200"/>
      <c r="Z25" s="183" t="s">
        <v>368</v>
      </c>
      <c r="AA25" s="184">
        <v>1388068.87</v>
      </c>
      <c r="AC25" s="636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</row>
    <row r="26" spans="1:42" ht="14.25" customHeight="1" thickTop="1" thickBot="1">
      <c r="B26" s="357">
        <v>4</v>
      </c>
      <c r="C26" s="358" t="s">
        <v>369</v>
      </c>
      <c r="D26" s="358" t="s">
        <v>410</v>
      </c>
      <c r="E26" s="488">
        <v>39800</v>
      </c>
      <c r="F26" s="578">
        <v>14</v>
      </c>
      <c r="G26" s="361">
        <f>E26*F26</f>
        <v>557200</v>
      </c>
      <c r="H26" s="362">
        <f>'Project Plan'!E50+30</f>
        <v>45701</v>
      </c>
      <c r="I26" s="923">
        <f>SUM(G26:G38)</f>
        <v>1512771.2</v>
      </c>
      <c r="J26" s="923">
        <v>1626635.6989247301</v>
      </c>
      <c r="K26" s="363"/>
      <c r="L26" s="357">
        <v>4</v>
      </c>
      <c r="M26" s="659" t="s">
        <v>411</v>
      </c>
      <c r="N26" s="358" t="s">
        <v>410</v>
      </c>
      <c r="O26" s="488">
        <v>46000</v>
      </c>
      <c r="P26" s="578">
        <v>13.3</v>
      </c>
      <c r="Q26" s="361">
        <f>O26*P26</f>
        <v>611800</v>
      </c>
      <c r="R26" s="217"/>
      <c r="S26" s="534" t="s">
        <v>364</v>
      </c>
      <c r="T26" s="733">
        <v>45657</v>
      </c>
      <c r="U26" s="749">
        <v>542107.78446558013</v>
      </c>
      <c r="V26" s="941">
        <f>J26-SUM(U26:U38)</f>
        <v>2.779155969619751E-3</v>
      </c>
      <c r="W26" s="775">
        <v>45708</v>
      </c>
      <c r="X26" s="928">
        <f>SUM(Q26:Q38)</f>
        <v>1702752.5</v>
      </c>
      <c r="Y26" s="204" t="s">
        <v>362</v>
      </c>
      <c r="Z26" s="183" t="s">
        <v>369</v>
      </c>
      <c r="AA26" s="184">
        <v>1090952.5</v>
      </c>
      <c r="AC26" s="636"/>
      <c r="AO26" s="24"/>
      <c r="AP26" s="24"/>
    </row>
    <row r="27" spans="1:42" ht="14.25" customHeight="1" thickBot="1">
      <c r="B27" s="397">
        <v>4</v>
      </c>
      <c r="C27" s="618"/>
      <c r="D27" s="618"/>
      <c r="E27" s="580"/>
      <c r="F27" s="581"/>
      <c r="G27" s="369"/>
      <c r="H27" s="370"/>
      <c r="I27" s="923"/>
      <c r="J27" s="923"/>
      <c r="K27" s="371"/>
      <c r="L27" s="364">
        <v>4</v>
      </c>
      <c r="M27" s="660" t="s">
        <v>411</v>
      </c>
      <c r="N27" s="618" t="s">
        <v>412</v>
      </c>
      <c r="O27" s="580">
        <v>10000</v>
      </c>
      <c r="P27" s="581">
        <v>13.3</v>
      </c>
      <c r="Q27" s="369">
        <v>0</v>
      </c>
      <c r="R27" s="619"/>
      <c r="S27" s="534"/>
      <c r="T27" s="502"/>
      <c r="U27" s="617">
        <f t="shared" ref="U27" si="2">(Q27/$X$26*$J$26)</f>
        <v>0</v>
      </c>
      <c r="V27" s="941"/>
      <c r="W27" s="454"/>
      <c r="X27" s="928"/>
      <c r="Y27" s="620"/>
      <c r="Z27" s="183" t="s">
        <v>373</v>
      </c>
      <c r="AA27" s="184">
        <v>633750</v>
      </c>
      <c r="AC27" s="636">
        <f>AA27/1875000</f>
        <v>0.33800000000000002</v>
      </c>
      <c r="AO27" s="24"/>
      <c r="AP27" s="24"/>
    </row>
    <row r="28" spans="1:42" ht="14.25" customHeight="1" thickBot="1">
      <c r="B28" s="397">
        <v>4</v>
      </c>
      <c r="C28" s="618"/>
      <c r="D28" s="618" t="s">
        <v>413</v>
      </c>
      <c r="E28" s="580">
        <v>270</v>
      </c>
      <c r="F28" s="581">
        <v>1530</v>
      </c>
      <c r="G28" s="369">
        <f>E28*F28</f>
        <v>413100</v>
      </c>
      <c r="H28" s="370">
        <f>H26</f>
        <v>45701</v>
      </c>
      <c r="I28" s="923"/>
      <c r="J28" s="923"/>
      <c r="K28" s="371"/>
      <c r="L28" s="364">
        <v>4</v>
      </c>
      <c r="M28" s="660" t="s">
        <v>411</v>
      </c>
      <c r="N28" s="618" t="s">
        <v>414</v>
      </c>
      <c r="O28" s="690">
        <v>484867.78</v>
      </c>
      <c r="P28" s="674">
        <f>P105</f>
        <v>0.3</v>
      </c>
      <c r="Q28" s="369">
        <f>$O$28*P28</f>
        <v>145460.334</v>
      </c>
      <c r="R28" s="925" t="s">
        <v>415</v>
      </c>
      <c r="S28" s="534" t="s">
        <v>416</v>
      </c>
      <c r="T28" s="733">
        <f>T105</f>
        <v>45688</v>
      </c>
      <c r="U28" s="767">
        <v>290003.51882912021</v>
      </c>
      <c r="V28" s="941"/>
      <c r="W28" s="740">
        <f t="shared" ref="W28:W29" si="3">W105</f>
        <v>45666</v>
      </c>
      <c r="X28" s="928"/>
      <c r="Y28" s="620"/>
      <c r="Z28" s="183" t="s">
        <v>375</v>
      </c>
      <c r="AA28" s="184">
        <v>1418750</v>
      </c>
      <c r="AC28" s="636">
        <f>AA28/1875000</f>
        <v>0.75666666666666671</v>
      </c>
      <c r="AO28" s="24"/>
      <c r="AP28" s="24"/>
    </row>
    <row r="29" spans="1:42" ht="14.1" customHeight="1" thickBot="1">
      <c r="B29" s="397">
        <v>4</v>
      </c>
      <c r="C29" s="618"/>
      <c r="D29" s="618"/>
      <c r="E29" s="645"/>
      <c r="F29" s="581"/>
      <c r="G29" s="369"/>
      <c r="H29" s="370"/>
      <c r="I29" s="923"/>
      <c r="J29" s="923"/>
      <c r="K29" s="371"/>
      <c r="L29" s="364">
        <v>4</v>
      </c>
      <c r="M29" s="660" t="s">
        <v>411</v>
      </c>
      <c r="N29" s="618" t="s">
        <v>417</v>
      </c>
      <c r="O29" s="645"/>
      <c r="P29" s="674">
        <f>P106</f>
        <v>0.2</v>
      </c>
      <c r="Q29" s="369">
        <f t="shared" ref="Q29:Q32" si="4">$O$28*P29</f>
        <v>96973.556000000011</v>
      </c>
      <c r="R29" s="926"/>
      <c r="S29" s="534" t="s">
        <v>418</v>
      </c>
      <c r="T29" s="733">
        <f>T106</f>
        <v>45716</v>
      </c>
      <c r="U29" s="767">
        <v>193335.67921941346</v>
      </c>
      <c r="V29" s="941"/>
      <c r="W29" s="740">
        <f t="shared" si="3"/>
        <v>45708</v>
      </c>
      <c r="X29" s="928"/>
      <c r="Y29" s="620"/>
      <c r="Z29" s="183" t="str">
        <f>Z13</f>
        <v>Offloading</v>
      </c>
      <c r="AA29" s="184">
        <v>39600</v>
      </c>
      <c r="AC29" s="636"/>
      <c r="AO29" s="24"/>
      <c r="AP29" s="24"/>
    </row>
    <row r="30" spans="1:42" ht="14.25" customHeight="1" thickBot="1">
      <c r="B30" s="397">
        <v>4</v>
      </c>
      <c r="C30" s="618"/>
      <c r="D30" s="618"/>
      <c r="E30" s="645"/>
      <c r="F30" s="581"/>
      <c r="G30" s="369"/>
      <c r="H30" s="370"/>
      <c r="I30" s="923"/>
      <c r="J30" s="923"/>
      <c r="K30" s="371"/>
      <c r="L30" s="364">
        <v>4</v>
      </c>
      <c r="M30" s="660" t="s">
        <v>411</v>
      </c>
      <c r="N30" s="618" t="s">
        <v>419</v>
      </c>
      <c r="O30" s="645"/>
      <c r="P30" s="674">
        <f>P63</f>
        <v>0.3</v>
      </c>
      <c r="Q30" s="369">
        <f t="shared" si="4"/>
        <v>145460.334</v>
      </c>
      <c r="R30" s="926"/>
      <c r="S30" s="534" t="str">
        <f>S107</f>
        <v>Cosmic Sun CS_TRS_008</v>
      </c>
      <c r="T30" s="733">
        <f t="shared" ref="T30" si="5">T107</f>
        <v>45747</v>
      </c>
      <c r="U30" s="767">
        <v>128890.45340366673</v>
      </c>
      <c r="V30" s="941"/>
      <c r="W30" s="740">
        <f>W107</f>
        <v>45757</v>
      </c>
      <c r="X30" s="928"/>
      <c r="Y30" s="620"/>
      <c r="Z30" s="183" t="str">
        <f>Z14</f>
        <v>Roof Access/Scaffolding</v>
      </c>
      <c r="AA30" s="184">
        <v>194150</v>
      </c>
      <c r="AC30" s="636"/>
      <c r="AO30" s="24"/>
      <c r="AP30" s="24"/>
    </row>
    <row r="31" spans="1:42" ht="14.25" customHeight="1" thickBot="1">
      <c r="B31" s="397">
        <v>4</v>
      </c>
      <c r="C31" s="618"/>
      <c r="D31" s="618"/>
      <c r="E31" s="645"/>
      <c r="F31" s="581"/>
      <c r="G31" s="369"/>
      <c r="H31" s="370"/>
      <c r="I31" s="923"/>
      <c r="J31" s="923"/>
      <c r="K31" s="371"/>
      <c r="L31" s="364">
        <v>4</v>
      </c>
      <c r="M31" s="660" t="s">
        <v>411</v>
      </c>
      <c r="N31" s="618" t="s">
        <v>420</v>
      </c>
      <c r="O31" s="645"/>
      <c r="P31" s="674">
        <f>P108</f>
        <v>0.15</v>
      </c>
      <c r="Q31" s="369">
        <f t="shared" si="4"/>
        <v>72730.167000000001</v>
      </c>
      <c r="R31" s="926"/>
      <c r="S31" s="534" t="str">
        <f>S108</f>
        <v>Cosmic Sun CS_TRS_009</v>
      </c>
      <c r="T31" s="733">
        <f>T108</f>
        <v>45777</v>
      </c>
      <c r="U31" s="767">
        <v>159642.90774837055</v>
      </c>
      <c r="V31" s="941"/>
      <c r="W31" s="740">
        <f>W108</f>
        <v>45764</v>
      </c>
      <c r="X31" s="928"/>
      <c r="Y31" s="620"/>
      <c r="Z31" s="183" t="s">
        <v>421</v>
      </c>
      <c r="AA31" s="184">
        <v>15000</v>
      </c>
      <c r="AC31" s="636"/>
      <c r="AO31" s="24"/>
      <c r="AP31" s="24"/>
    </row>
    <row r="32" spans="1:42" ht="15" customHeight="1" thickBot="1">
      <c r="B32" s="364">
        <v>4</v>
      </c>
      <c r="C32" s="400"/>
      <c r="D32" s="643" t="s">
        <v>422</v>
      </c>
      <c r="E32" s="587">
        <f>E26</f>
        <v>39800</v>
      </c>
      <c r="F32" s="644">
        <v>13.5</v>
      </c>
      <c r="G32" s="369">
        <f t="shared" ref="G32" si="6">E32*F32</f>
        <v>537300</v>
      </c>
      <c r="H32" s="370">
        <f>H26</f>
        <v>45701</v>
      </c>
      <c r="I32" s="923"/>
      <c r="J32" s="923"/>
      <c r="K32" s="371"/>
      <c r="L32" s="364">
        <v>4</v>
      </c>
      <c r="M32" s="660" t="s">
        <v>411</v>
      </c>
      <c r="N32" s="643" t="s">
        <v>423</v>
      </c>
      <c r="O32" s="587"/>
      <c r="P32" s="674">
        <f>P109</f>
        <v>0.05</v>
      </c>
      <c r="Q32" s="369">
        <f t="shared" si="4"/>
        <v>24243.389000000003</v>
      </c>
      <c r="R32" s="926"/>
      <c r="S32" s="534" t="s">
        <v>424</v>
      </c>
      <c r="T32" s="733">
        <f>T109</f>
        <v>45838</v>
      </c>
      <c r="U32" s="850">
        <v>23159.65591612352</v>
      </c>
      <c r="V32" s="941"/>
      <c r="W32" s="740">
        <f>W109</f>
        <v>45890</v>
      </c>
      <c r="X32" s="928"/>
      <c r="Y32" s="197"/>
      <c r="Z32" s="183" t="s">
        <v>87</v>
      </c>
      <c r="AA32" s="184">
        <v>18800</v>
      </c>
      <c r="AC32" s="636"/>
      <c r="AO32" s="24"/>
      <c r="AP32" s="24"/>
    </row>
    <row r="33" spans="1:42" ht="15" customHeight="1" thickBot="1">
      <c r="B33" s="401"/>
      <c r="C33" s="790"/>
      <c r="D33" s="791"/>
      <c r="E33" s="792"/>
      <c r="F33" s="793"/>
      <c r="G33" s="403"/>
      <c r="H33" s="404"/>
      <c r="I33" s="923"/>
      <c r="J33" s="923"/>
      <c r="K33" s="371"/>
      <c r="L33" s="364">
        <v>4</v>
      </c>
      <c r="M33" s="660" t="s">
        <v>411</v>
      </c>
      <c r="N33" s="803" t="s">
        <v>425</v>
      </c>
      <c r="O33" s="805"/>
      <c r="P33" s="804"/>
      <c r="Q33" s="403"/>
      <c r="R33" s="926"/>
      <c r="S33" s="626"/>
      <c r="T33" s="810"/>
      <c r="U33" s="771"/>
      <c r="V33" s="941"/>
      <c r="W33" s="461"/>
      <c r="X33" s="928"/>
      <c r="Y33" s="207"/>
      <c r="Z33" s="183"/>
      <c r="AA33" s="184"/>
      <c r="AC33" s="636"/>
      <c r="AO33" s="24"/>
      <c r="AP33" s="24"/>
    </row>
    <row r="34" spans="1:42" ht="15" customHeight="1" thickBot="1">
      <c r="B34" s="401"/>
      <c r="C34" s="790"/>
      <c r="D34" s="791"/>
      <c r="E34" s="792"/>
      <c r="F34" s="793"/>
      <c r="G34" s="403"/>
      <c r="H34" s="404"/>
      <c r="I34" s="923"/>
      <c r="J34" s="923"/>
      <c r="K34" s="371"/>
      <c r="L34" s="364">
        <v>4</v>
      </c>
      <c r="M34" s="660" t="s">
        <v>411</v>
      </c>
      <c r="N34" s="791" t="s">
        <v>426</v>
      </c>
      <c r="O34" s="809">
        <v>606084.72</v>
      </c>
      <c r="P34" s="804">
        <f>P111</f>
        <v>0.3</v>
      </c>
      <c r="Q34" s="403">
        <f>O34*P34</f>
        <v>181825.416</v>
      </c>
      <c r="R34" s="926"/>
      <c r="S34" s="626" t="s">
        <v>416</v>
      </c>
      <c r="T34" s="811">
        <f>T111</f>
        <v>45688</v>
      </c>
      <c r="U34" s="771"/>
      <c r="V34" s="941"/>
      <c r="W34" s="772">
        <f>W105</f>
        <v>45666</v>
      </c>
      <c r="X34" s="928"/>
      <c r="Y34" s="207"/>
      <c r="Z34" s="183"/>
      <c r="AA34" s="184"/>
      <c r="AC34" s="636"/>
      <c r="AO34" s="24"/>
      <c r="AP34" s="24"/>
    </row>
    <row r="35" spans="1:42" ht="15" customHeight="1" thickBot="1">
      <c r="B35" s="401"/>
      <c r="C35" s="790"/>
      <c r="D35" s="791"/>
      <c r="E35" s="792"/>
      <c r="F35" s="793"/>
      <c r="G35" s="403"/>
      <c r="H35" s="404"/>
      <c r="I35" s="923"/>
      <c r="J35" s="923"/>
      <c r="K35" s="371"/>
      <c r="L35" s="364">
        <v>4</v>
      </c>
      <c r="M35" s="660" t="s">
        <v>411</v>
      </c>
      <c r="N35" s="791" t="s">
        <v>417</v>
      </c>
      <c r="O35" s="587"/>
      <c r="P35" s="804">
        <f>P112</f>
        <v>0.2</v>
      </c>
      <c r="Q35" s="403">
        <f>O34*P35</f>
        <v>121216.944</v>
      </c>
      <c r="R35" s="926"/>
      <c r="S35" s="626" t="s">
        <v>418</v>
      </c>
      <c r="T35" s="811">
        <f>T112</f>
        <v>45716</v>
      </c>
      <c r="U35" s="771"/>
      <c r="V35" s="941"/>
      <c r="W35" s="772">
        <f>W112</f>
        <v>45708</v>
      </c>
      <c r="X35" s="928"/>
      <c r="Y35" s="207"/>
      <c r="Z35" s="183"/>
      <c r="AA35" s="184"/>
      <c r="AC35" s="636"/>
      <c r="AO35" s="24"/>
      <c r="AP35" s="24"/>
    </row>
    <row r="36" spans="1:42" ht="15" customHeight="1" thickBot="1">
      <c r="B36" s="401"/>
      <c r="C36" s="790"/>
      <c r="D36" s="791"/>
      <c r="E36" s="792"/>
      <c r="F36" s="793"/>
      <c r="G36" s="403"/>
      <c r="H36" s="404"/>
      <c r="I36" s="923"/>
      <c r="J36" s="923"/>
      <c r="K36" s="371"/>
      <c r="L36" s="364">
        <v>4</v>
      </c>
      <c r="M36" s="660" t="s">
        <v>411</v>
      </c>
      <c r="N36" s="791" t="s">
        <v>283</v>
      </c>
      <c r="O36" s="587"/>
      <c r="P36" s="804">
        <f>P113</f>
        <v>0.3</v>
      </c>
      <c r="Q36" s="403">
        <f>O34*P36</f>
        <v>181825.416</v>
      </c>
      <c r="R36" s="926"/>
      <c r="S36" s="626" t="s">
        <v>427</v>
      </c>
      <c r="T36" s="811">
        <v>45777</v>
      </c>
      <c r="U36" s="782">
        <v>173697.41793797971</v>
      </c>
      <c r="V36" s="941"/>
      <c r="W36" s="772">
        <f>W113</f>
        <v>45785</v>
      </c>
      <c r="X36" s="928"/>
      <c r="Y36" s="207"/>
      <c r="Z36" s="183"/>
      <c r="AA36" s="184"/>
      <c r="AC36" s="636"/>
      <c r="AO36" s="24"/>
      <c r="AP36" s="24"/>
    </row>
    <row r="37" spans="1:42" ht="15" customHeight="1" thickBot="1">
      <c r="B37" s="401"/>
      <c r="C37" s="790"/>
      <c r="D37" s="791"/>
      <c r="E37" s="792"/>
      <c r="F37" s="793"/>
      <c r="G37" s="403"/>
      <c r="H37" s="404"/>
      <c r="I37" s="923"/>
      <c r="J37" s="923"/>
      <c r="K37" s="371"/>
      <c r="L37" s="364">
        <v>4</v>
      </c>
      <c r="M37" s="660" t="s">
        <v>411</v>
      </c>
      <c r="N37" s="791" t="s">
        <v>428</v>
      </c>
      <c r="O37" s="587"/>
      <c r="P37" s="804">
        <f>P114</f>
        <v>0.15</v>
      </c>
      <c r="Q37" s="403">
        <f>O34*P37</f>
        <v>90912.707999999999</v>
      </c>
      <c r="R37" s="926"/>
      <c r="S37" s="626" t="s">
        <v>427</v>
      </c>
      <c r="T37" s="811">
        <v>45777</v>
      </c>
      <c r="U37" s="782">
        <v>86848.708968989857</v>
      </c>
      <c r="V37" s="941"/>
      <c r="W37" s="772">
        <v>45785</v>
      </c>
      <c r="X37" s="928"/>
      <c r="Y37" s="207"/>
      <c r="Z37" s="183"/>
      <c r="AA37" s="184"/>
      <c r="AC37" s="636"/>
      <c r="AO37" s="24"/>
      <c r="AP37" s="24"/>
    </row>
    <row r="38" spans="1:42" ht="15" customHeight="1" thickBot="1">
      <c r="B38" s="372">
        <v>4</v>
      </c>
      <c r="C38" s="405"/>
      <c r="D38" s="405" t="s">
        <v>429</v>
      </c>
      <c r="E38" s="584">
        <v>323.2</v>
      </c>
      <c r="F38" s="588">
        <v>16</v>
      </c>
      <c r="G38" s="377">
        <f>E38*F38</f>
        <v>5171.2</v>
      </c>
      <c r="H38" s="378">
        <f>'Project Plan'!E78</f>
        <v>45715</v>
      </c>
      <c r="I38" s="923"/>
      <c r="J38" s="923"/>
      <c r="K38" s="379"/>
      <c r="L38" s="372">
        <v>4</v>
      </c>
      <c r="M38" s="661" t="s">
        <v>411</v>
      </c>
      <c r="N38" s="405" t="s">
        <v>423</v>
      </c>
      <c r="O38" s="707"/>
      <c r="P38" s="675">
        <f>P115</f>
        <v>0.05</v>
      </c>
      <c r="Q38" s="588">
        <f>O34*P38</f>
        <v>30304.236000000001</v>
      </c>
      <c r="R38" s="927"/>
      <c r="S38" s="626" t="s">
        <v>430</v>
      </c>
      <c r="T38" s="827">
        <v>45838</v>
      </c>
      <c r="U38" s="851">
        <v>28949.569656329953</v>
      </c>
      <c r="V38" s="941"/>
      <c r="W38" s="824">
        <f>W115</f>
        <v>45890</v>
      </c>
      <c r="X38" s="928"/>
      <c r="Y38" s="205"/>
      <c r="Z38" s="183" t="s">
        <v>396</v>
      </c>
      <c r="AA38" s="184">
        <v>0</v>
      </c>
      <c r="AO38" s="24"/>
      <c r="AP38" s="24"/>
    </row>
    <row r="39" spans="1:42" ht="14.45" thickBot="1">
      <c r="A39" s="24"/>
      <c r="B39" s="334"/>
      <c r="C39" s="335"/>
      <c r="D39" s="335"/>
      <c r="E39" s="354"/>
      <c r="F39" s="338"/>
      <c r="G39" s="355"/>
      <c r="H39" s="339"/>
      <c r="I39" s="340"/>
      <c r="J39" s="340"/>
      <c r="K39" s="24"/>
      <c r="L39" s="334"/>
      <c r="M39" s="335"/>
      <c r="N39" s="335"/>
      <c r="O39" s="354"/>
      <c r="P39" s="338"/>
      <c r="Q39" s="355"/>
      <c r="R39" s="214"/>
      <c r="S39" s="531"/>
      <c r="T39" s="521" t="str">
        <f t="shared" ref="T39:T59" si="7">IF(W39&gt;1,EOMONTH(W39,0),"")</f>
        <v/>
      </c>
      <c r="U39" s="497"/>
      <c r="V39" s="632"/>
      <c r="W39" s="457"/>
      <c r="X39" s="467"/>
      <c r="Y39" s="200"/>
      <c r="Z39" s="183" t="s">
        <v>306</v>
      </c>
      <c r="AA39" s="184">
        <f>SUM(AA25:AA32)</f>
        <v>4799071.37</v>
      </c>
      <c r="AC39" s="689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</row>
    <row r="40" spans="1:42" ht="14.25" customHeight="1" thickBot="1">
      <c r="B40" s="341">
        <v>5</v>
      </c>
      <c r="C40" s="384" t="s">
        <v>431</v>
      </c>
      <c r="D40" s="407" t="s">
        <v>432</v>
      </c>
      <c r="E40" s="343"/>
      <c r="F40" s="436"/>
      <c r="G40" s="344">
        <v>4300</v>
      </c>
      <c r="H40" s="345">
        <f>H14</f>
        <v>45637</v>
      </c>
      <c r="I40" s="924">
        <f>SUM(G40:G55)</f>
        <v>550800</v>
      </c>
      <c r="J40" s="924">
        <f>516989.247311828+75268.8172043011</f>
        <v>592258.06451612909</v>
      </c>
      <c r="K40" s="346"/>
      <c r="L40" s="341">
        <v>5</v>
      </c>
      <c r="M40" s="656" t="s">
        <v>433</v>
      </c>
      <c r="N40" s="407" t="s">
        <v>434</v>
      </c>
      <c r="O40" s="343">
        <v>2</v>
      </c>
      <c r="P40" s="673">
        <v>1740</v>
      </c>
      <c r="Q40" s="344">
        <f>P40*O40</f>
        <v>3480</v>
      </c>
      <c r="R40" s="215" t="s">
        <v>380</v>
      </c>
      <c r="S40" s="523" t="s">
        <v>381</v>
      </c>
      <c r="T40" s="751">
        <v>45716</v>
      </c>
      <c r="U40" s="747">
        <v>5722.9894158392699</v>
      </c>
      <c r="V40" s="939">
        <f>J40-SUM(U40:U55)</f>
        <v>-2.561857458204031E-3</v>
      </c>
      <c r="W40" s="779">
        <v>45744</v>
      </c>
      <c r="X40" s="935">
        <f>SUM(Q40:Q55)</f>
        <v>419582.98</v>
      </c>
      <c r="Y40" s="201"/>
      <c r="Z40" s="616" t="s">
        <v>405</v>
      </c>
      <c r="AA40" s="185">
        <f>+AA39/'Project Plan'!$E$3/1000</f>
        <v>2.5595047306666667</v>
      </c>
      <c r="AB40" s="24"/>
      <c r="AO40" s="24"/>
      <c r="AP40" s="24"/>
    </row>
    <row r="41" spans="1:42" ht="14.25" customHeight="1" thickBot="1">
      <c r="B41" s="347">
        <v>5</v>
      </c>
      <c r="C41" s="385"/>
      <c r="D41" s="409" t="s">
        <v>435</v>
      </c>
      <c r="E41" s="391"/>
      <c r="F41" s="649"/>
      <c r="G41" s="390">
        <v>64000</v>
      </c>
      <c r="H41" s="349">
        <f>H42</f>
        <v>45637</v>
      </c>
      <c r="I41" s="924"/>
      <c r="J41" s="924"/>
      <c r="K41" s="350"/>
      <c r="L41" s="347">
        <v>5</v>
      </c>
      <c r="M41" s="662" t="s">
        <v>433</v>
      </c>
      <c r="N41" s="348" t="s">
        <v>436</v>
      </c>
      <c r="O41" s="646"/>
      <c r="P41" s="647"/>
      <c r="Q41" s="390">
        <v>21463</v>
      </c>
      <c r="R41" s="218" t="s">
        <v>437</v>
      </c>
      <c r="S41" s="523" t="s">
        <v>438</v>
      </c>
      <c r="T41" s="751">
        <v>45688</v>
      </c>
      <c r="U41" s="748">
        <v>31475.095899314234</v>
      </c>
      <c r="V41" s="939"/>
      <c r="W41" s="780">
        <v>45715</v>
      </c>
      <c r="X41" s="935"/>
      <c r="Y41" s="206"/>
      <c r="AB41" s="24"/>
      <c r="AO41" s="24"/>
      <c r="AP41" s="24"/>
    </row>
    <row r="42" spans="1:42" ht="14.25" customHeight="1" thickBot="1">
      <c r="B42" s="347">
        <v>5</v>
      </c>
      <c r="C42" s="385"/>
      <c r="D42" s="348" t="s">
        <v>439</v>
      </c>
      <c r="E42" s="646"/>
      <c r="F42" s="647"/>
      <c r="G42" s="390">
        <v>162500</v>
      </c>
      <c r="H42" s="349">
        <f>H43</f>
        <v>45637</v>
      </c>
      <c r="I42" s="924"/>
      <c r="J42" s="924"/>
      <c r="K42" s="350"/>
      <c r="L42" s="347">
        <v>5</v>
      </c>
      <c r="M42" s="662" t="s">
        <v>433</v>
      </c>
      <c r="N42" s="348" t="s">
        <v>440</v>
      </c>
      <c r="O42" s="646">
        <v>2</v>
      </c>
      <c r="P42" s="647">
        <v>14934</v>
      </c>
      <c r="Q42" s="390">
        <f t="shared" ref="Q42" si="8">P42*O42</f>
        <v>29868</v>
      </c>
      <c r="R42" s="218"/>
      <c r="S42" s="523" t="s">
        <v>441</v>
      </c>
      <c r="T42" s="751">
        <v>45688</v>
      </c>
      <c r="U42" s="748">
        <f>43800.8742636499</f>
        <v>43800.874263649901</v>
      </c>
      <c r="V42" s="939"/>
      <c r="W42" s="835">
        <v>45688</v>
      </c>
      <c r="X42" s="935"/>
      <c r="Y42" s="206"/>
      <c r="AO42" s="24"/>
      <c r="AP42" s="24"/>
    </row>
    <row r="43" spans="1:42" ht="14.25" customHeight="1" thickBot="1">
      <c r="B43" s="386">
        <v>5</v>
      </c>
      <c r="C43" s="387"/>
      <c r="D43" s="388" t="s">
        <v>442</v>
      </c>
      <c r="E43" s="565"/>
      <c r="F43" s="437"/>
      <c r="G43" s="390">
        <v>250000</v>
      </c>
      <c r="H43" s="349">
        <f>H14</f>
        <v>45637</v>
      </c>
      <c r="I43" s="924"/>
      <c r="J43" s="924"/>
      <c r="K43" s="350"/>
      <c r="L43" s="386">
        <v>5</v>
      </c>
      <c r="M43" s="662" t="s">
        <v>433</v>
      </c>
      <c r="N43" s="348" t="s">
        <v>443</v>
      </c>
      <c r="O43" s="646"/>
      <c r="P43" s="647"/>
      <c r="Q43" s="390">
        <v>40101</v>
      </c>
      <c r="R43" s="930" t="s">
        <v>444</v>
      </c>
      <c r="S43" s="532" t="s">
        <v>445</v>
      </c>
      <c r="T43" s="751">
        <v>45716</v>
      </c>
      <c r="U43" s="748">
        <v>62163.262020658112</v>
      </c>
      <c r="V43" s="939"/>
      <c r="W43" s="784">
        <v>45722</v>
      </c>
      <c r="X43" s="935"/>
      <c r="Y43" s="202"/>
      <c r="AA43" s="689">
        <v>4272214.4800000004</v>
      </c>
      <c r="AO43" s="24"/>
      <c r="AP43" s="24"/>
    </row>
    <row r="44" spans="1:42" ht="14.25" customHeight="1" thickBot="1">
      <c r="B44" s="386"/>
      <c r="C44" s="387"/>
      <c r="D44" s="388"/>
      <c r="E44" s="565"/>
      <c r="F44" s="437"/>
      <c r="G44" s="390"/>
      <c r="H44" s="349"/>
      <c r="I44" s="924"/>
      <c r="J44" s="924"/>
      <c r="K44" s="350"/>
      <c r="L44" s="386">
        <v>5</v>
      </c>
      <c r="M44" s="662" t="s">
        <v>433</v>
      </c>
      <c r="N44" s="348" t="s">
        <v>446</v>
      </c>
      <c r="O44" s="646"/>
      <c r="P44" s="647"/>
      <c r="Q44" s="390">
        <v>40101</v>
      </c>
      <c r="R44" s="931"/>
      <c r="S44" s="532" t="s">
        <v>447</v>
      </c>
      <c r="T44" s="751">
        <v>45747</v>
      </c>
      <c r="U44" s="748">
        <v>62163.262020658112</v>
      </c>
      <c r="V44" s="939"/>
      <c r="W44" s="785">
        <v>45750</v>
      </c>
      <c r="X44" s="935"/>
      <c r="Y44" s="202"/>
      <c r="AA44" s="689"/>
      <c r="AO44" s="24"/>
      <c r="AP44" s="24"/>
    </row>
    <row r="45" spans="1:42" ht="14.25" customHeight="1" thickBot="1">
      <c r="B45" s="386">
        <v>5</v>
      </c>
      <c r="C45" s="387"/>
      <c r="D45" s="388" t="s">
        <v>448</v>
      </c>
      <c r="E45" s="565">
        <v>2</v>
      </c>
      <c r="F45" s="437"/>
      <c r="G45" s="390">
        <v>70000</v>
      </c>
      <c r="H45" s="349">
        <f>H43</f>
        <v>45637</v>
      </c>
      <c r="I45" s="924"/>
      <c r="J45" s="924"/>
      <c r="K45" s="350"/>
      <c r="L45" s="386">
        <v>5</v>
      </c>
      <c r="M45" s="662" t="s">
        <v>433</v>
      </c>
      <c r="N45" s="388" t="s">
        <v>449</v>
      </c>
      <c r="O45" s="565"/>
      <c r="P45" s="437"/>
      <c r="Q45" s="390">
        <v>61210</v>
      </c>
      <c r="R45" s="218" t="s">
        <v>380</v>
      </c>
      <c r="S45" s="532" t="s">
        <v>381</v>
      </c>
      <c r="T45" s="751">
        <v>45716</v>
      </c>
      <c r="U45" s="748">
        <v>125742.7913056097</v>
      </c>
      <c r="V45" s="939"/>
      <c r="W45" s="784">
        <v>45744</v>
      </c>
      <c r="X45" s="935"/>
      <c r="Y45" s="202"/>
      <c r="AO45" s="24"/>
      <c r="AP45" s="24"/>
    </row>
    <row r="46" spans="1:42" ht="14.25" customHeight="1" thickBot="1">
      <c r="B46" s="557"/>
      <c r="C46" s="558"/>
      <c r="D46" s="566"/>
      <c r="E46" s="723"/>
      <c r="F46" s="567"/>
      <c r="G46" s="562"/>
      <c r="H46" s="563"/>
      <c r="I46" s="924"/>
      <c r="J46" s="924"/>
      <c r="K46" s="350"/>
      <c r="L46" s="386">
        <v>5</v>
      </c>
      <c r="M46" s="662" t="s">
        <v>433</v>
      </c>
      <c r="N46" s="566" t="s">
        <v>450</v>
      </c>
      <c r="O46" s="723"/>
      <c r="P46" s="567"/>
      <c r="Q46" s="562">
        <v>1460</v>
      </c>
      <c r="R46" s="218" t="s">
        <v>451</v>
      </c>
      <c r="S46" s="724" t="s">
        <v>452</v>
      </c>
      <c r="T46" s="751">
        <v>45716</v>
      </c>
      <c r="U46" s="748">
        <v>2401.0242951509581</v>
      </c>
      <c r="V46" s="939"/>
      <c r="W46" s="785">
        <v>45744</v>
      </c>
      <c r="X46" s="935"/>
      <c r="Y46" s="485"/>
      <c r="AO46" s="24"/>
      <c r="AP46" s="24"/>
    </row>
    <row r="47" spans="1:42" ht="14.25" customHeight="1" thickBot="1">
      <c r="B47" s="557"/>
      <c r="C47" s="558"/>
      <c r="D47" s="566"/>
      <c r="E47" s="723"/>
      <c r="F47" s="567"/>
      <c r="G47" s="562"/>
      <c r="H47" s="563"/>
      <c r="I47" s="924"/>
      <c r="J47" s="924"/>
      <c r="K47" s="350"/>
      <c r="L47" s="386">
        <v>5</v>
      </c>
      <c r="M47" s="662" t="s">
        <v>433</v>
      </c>
      <c r="N47" s="566" t="s">
        <v>453</v>
      </c>
      <c r="O47" s="723"/>
      <c r="P47" s="561"/>
      <c r="Q47" s="562">
        <v>18571.36</v>
      </c>
      <c r="R47" s="218"/>
      <c r="S47" s="724" t="s">
        <v>454</v>
      </c>
      <c r="T47" s="745">
        <v>45716</v>
      </c>
      <c r="U47" s="748">
        <v>30541.292160270343</v>
      </c>
      <c r="V47" s="939"/>
      <c r="W47" s="781">
        <v>45715</v>
      </c>
      <c r="X47" s="935"/>
      <c r="Y47" s="485"/>
      <c r="AO47" s="24"/>
      <c r="AP47" s="24"/>
    </row>
    <row r="48" spans="1:42" ht="14.25" customHeight="1" thickBot="1">
      <c r="B48" s="557"/>
      <c r="C48" s="558"/>
      <c r="D48" s="566"/>
      <c r="E48" s="723"/>
      <c r="F48" s="567"/>
      <c r="G48" s="562"/>
      <c r="H48" s="563"/>
      <c r="I48" s="924"/>
      <c r="J48" s="924"/>
      <c r="K48" s="350"/>
      <c r="L48" s="386">
        <v>5</v>
      </c>
      <c r="M48" s="662" t="s">
        <v>433</v>
      </c>
      <c r="N48" s="566" t="s">
        <v>455</v>
      </c>
      <c r="O48" s="723"/>
      <c r="P48" s="561"/>
      <c r="Q48" s="562">
        <v>559.63</v>
      </c>
      <c r="R48" s="218"/>
      <c r="S48" s="724" t="s">
        <v>456</v>
      </c>
      <c r="T48" s="745">
        <v>45747</v>
      </c>
      <c r="U48" s="748">
        <v>0</v>
      </c>
      <c r="V48" s="939"/>
      <c r="W48" s="785">
        <v>45777</v>
      </c>
      <c r="X48" s="935"/>
      <c r="Y48" s="485"/>
      <c r="AO48" s="24"/>
      <c r="AP48" s="24"/>
    </row>
    <row r="49" spans="1:42" ht="14.25" customHeight="1" thickBot="1">
      <c r="B49" s="557"/>
      <c r="C49" s="558"/>
      <c r="D49" s="566"/>
      <c r="E49" s="723"/>
      <c r="F49" s="567"/>
      <c r="G49" s="562"/>
      <c r="H49" s="563"/>
      <c r="I49" s="924"/>
      <c r="J49" s="924"/>
      <c r="K49" s="350"/>
      <c r="L49" s="386">
        <v>5</v>
      </c>
      <c r="M49" s="662" t="s">
        <v>433</v>
      </c>
      <c r="N49" s="566" t="s">
        <v>457</v>
      </c>
      <c r="O49" s="723"/>
      <c r="P49" s="561"/>
      <c r="Q49" s="562">
        <v>18571.36</v>
      </c>
      <c r="R49" s="218" t="s">
        <v>458</v>
      </c>
      <c r="S49" s="724" t="s">
        <v>459</v>
      </c>
      <c r="T49" s="751">
        <v>45747</v>
      </c>
      <c r="U49" s="748">
        <v>0</v>
      </c>
      <c r="V49" s="939"/>
      <c r="W49" s="785">
        <v>45729</v>
      </c>
      <c r="X49" s="935"/>
      <c r="Y49" s="485"/>
      <c r="AO49" s="24"/>
      <c r="AP49" s="24"/>
    </row>
    <row r="50" spans="1:42" ht="14.25" customHeight="1" thickBot="1">
      <c r="B50" s="557"/>
      <c r="C50" s="558"/>
      <c r="D50" s="566"/>
      <c r="E50" s="723"/>
      <c r="F50" s="567"/>
      <c r="G50" s="562"/>
      <c r="H50" s="563"/>
      <c r="I50" s="924"/>
      <c r="J50" s="924"/>
      <c r="K50" s="350"/>
      <c r="L50" s="386">
        <v>5</v>
      </c>
      <c r="M50" s="662" t="s">
        <v>433</v>
      </c>
      <c r="N50" s="566" t="s">
        <v>460</v>
      </c>
      <c r="O50" s="723"/>
      <c r="P50" s="561"/>
      <c r="Q50" s="562">
        <v>559.63</v>
      </c>
      <c r="R50" s="832"/>
      <c r="S50" s="724" t="s">
        <v>461</v>
      </c>
      <c r="T50" s="751">
        <v>45808</v>
      </c>
      <c r="U50" s="748">
        <v>822.17993473261731</v>
      </c>
      <c r="V50" s="939"/>
      <c r="W50" s="785"/>
      <c r="X50" s="935"/>
      <c r="Y50" s="485"/>
      <c r="AO50" s="24"/>
      <c r="AP50" s="24"/>
    </row>
    <row r="51" spans="1:42" ht="14.25" customHeight="1" thickBot="1">
      <c r="B51" s="557"/>
      <c r="C51" s="558"/>
      <c r="D51" s="566"/>
      <c r="E51" s="723"/>
      <c r="F51" s="567"/>
      <c r="G51" s="562"/>
      <c r="H51" s="563"/>
      <c r="I51" s="924"/>
      <c r="J51" s="924"/>
      <c r="K51" s="350"/>
      <c r="L51" s="386">
        <v>5</v>
      </c>
      <c r="M51" s="662" t="s">
        <v>433</v>
      </c>
      <c r="N51" s="566" t="s">
        <v>462</v>
      </c>
      <c r="O51" s="723"/>
      <c r="P51" s="567"/>
      <c r="Q51" s="562">
        <f>47235/2</f>
        <v>23617.5</v>
      </c>
      <c r="R51" s="932" t="s">
        <v>463</v>
      </c>
      <c r="S51" s="724" t="s">
        <v>464</v>
      </c>
      <c r="T51" s="788">
        <v>45747</v>
      </c>
      <c r="U51" s="748">
        <v>36619.658047253019</v>
      </c>
      <c r="V51" s="939"/>
      <c r="W51" s="785">
        <v>45744</v>
      </c>
      <c r="X51" s="935"/>
      <c r="Y51" s="485"/>
      <c r="AO51" s="24"/>
      <c r="AP51" s="24"/>
    </row>
    <row r="52" spans="1:42" ht="14.25" customHeight="1" thickBot="1">
      <c r="B52" s="557"/>
      <c r="C52" s="558"/>
      <c r="D52" s="566"/>
      <c r="E52" s="723"/>
      <c r="F52" s="567"/>
      <c r="G52" s="562"/>
      <c r="H52" s="563"/>
      <c r="I52" s="924"/>
      <c r="J52" s="924"/>
      <c r="K52" s="350"/>
      <c r="L52" s="386">
        <v>5</v>
      </c>
      <c r="M52" s="662" t="s">
        <v>433</v>
      </c>
      <c r="N52" s="566" t="s">
        <v>465</v>
      </c>
      <c r="O52" s="723"/>
      <c r="P52" s="567"/>
      <c r="Q52" s="562">
        <f>47235/2</f>
        <v>23617.5</v>
      </c>
      <c r="R52" s="933"/>
      <c r="S52" s="724" t="s">
        <v>466</v>
      </c>
      <c r="T52" s="751">
        <v>45747</v>
      </c>
      <c r="U52" s="748">
        <v>36611.078047253017</v>
      </c>
      <c r="V52" s="939"/>
      <c r="W52" s="785">
        <v>45750</v>
      </c>
      <c r="X52" s="935"/>
      <c r="Y52" s="485"/>
      <c r="AO52" s="24"/>
      <c r="AP52" s="24"/>
    </row>
    <row r="53" spans="1:42" ht="14.25" customHeight="1" thickBot="1">
      <c r="B53" s="557"/>
      <c r="C53" s="558"/>
      <c r="D53" s="566"/>
      <c r="E53" s="723"/>
      <c r="F53" s="567"/>
      <c r="G53" s="562"/>
      <c r="H53" s="563"/>
      <c r="I53" s="924"/>
      <c r="J53" s="924"/>
      <c r="K53" s="350"/>
      <c r="L53" s="386">
        <v>5</v>
      </c>
      <c r="M53" s="662" t="s">
        <v>433</v>
      </c>
      <c r="N53" s="566" t="s">
        <v>467</v>
      </c>
      <c r="O53" s="601">
        <v>1</v>
      </c>
      <c r="P53" s="701">
        <v>97750</v>
      </c>
      <c r="Q53" s="562">
        <f>O53*P53</f>
        <v>97750</v>
      </c>
      <c r="R53" s="218" t="s">
        <v>468</v>
      </c>
      <c r="S53" s="724" t="s">
        <v>469</v>
      </c>
      <c r="T53" s="751">
        <v>45808</v>
      </c>
      <c r="U53" s="833">
        <v>121579.44869952172</v>
      </c>
      <c r="V53" s="939"/>
      <c r="W53" s="784">
        <v>45835</v>
      </c>
      <c r="X53" s="935"/>
      <c r="Y53" s="485"/>
      <c r="AO53" s="24"/>
      <c r="AP53" s="24"/>
    </row>
    <row r="54" spans="1:42" ht="14.25" customHeight="1" thickBot="1">
      <c r="B54" s="557"/>
      <c r="C54" s="558"/>
      <c r="D54" s="566"/>
      <c r="E54" s="723"/>
      <c r="F54" s="567"/>
      <c r="G54" s="562"/>
      <c r="H54" s="563"/>
      <c r="I54" s="924"/>
      <c r="J54" s="924"/>
      <c r="K54" s="350"/>
      <c r="L54" s="386">
        <v>5</v>
      </c>
      <c r="M54" s="662" t="s">
        <v>433</v>
      </c>
      <c r="N54" s="566" t="s">
        <v>470</v>
      </c>
      <c r="O54" s="601">
        <v>4</v>
      </c>
      <c r="P54" s="701">
        <v>5550</v>
      </c>
      <c r="Q54" s="562">
        <f>O54*P54</f>
        <v>22200</v>
      </c>
      <c r="R54" s="218" t="s">
        <v>471</v>
      </c>
      <c r="S54" s="724" t="s">
        <v>472</v>
      </c>
      <c r="T54" s="751">
        <v>45808</v>
      </c>
      <c r="U54" s="833">
        <v>32615.110968075522</v>
      </c>
      <c r="V54" s="939"/>
      <c r="W54" s="784">
        <v>45835</v>
      </c>
      <c r="X54" s="935"/>
      <c r="Y54" s="485"/>
      <c r="AO54" s="24"/>
      <c r="AP54" s="24"/>
    </row>
    <row r="55" spans="1:42" ht="15" customHeight="1" thickBot="1">
      <c r="B55" s="392">
        <v>5</v>
      </c>
      <c r="C55" s="422"/>
      <c r="D55" s="393"/>
      <c r="E55" s="568"/>
      <c r="F55" s="438"/>
      <c r="G55" s="413"/>
      <c r="H55" s="351"/>
      <c r="I55" s="924"/>
      <c r="J55" s="924"/>
      <c r="K55" s="352"/>
      <c r="L55" s="392">
        <v>5</v>
      </c>
      <c r="M55" s="658" t="s">
        <v>433</v>
      </c>
      <c r="N55" s="393" t="s">
        <v>473</v>
      </c>
      <c r="O55" s="394"/>
      <c r="P55" s="713"/>
      <c r="Q55" s="413">
        <v>16453</v>
      </c>
      <c r="R55" s="725" t="s">
        <v>474</v>
      </c>
      <c r="S55" s="724" t="s">
        <v>475</v>
      </c>
      <c r="T55" s="728">
        <v>45838</v>
      </c>
      <c r="U55" s="852">
        <v>0</v>
      </c>
      <c r="V55" s="939"/>
      <c r="W55" s="858">
        <v>45849</v>
      </c>
      <c r="X55" s="935"/>
      <c r="Y55" s="203"/>
      <c r="AA55" s="636">
        <f>AA43-AA39</f>
        <v>-526856.88999999966</v>
      </c>
    </row>
    <row r="56" spans="1:42" ht="14.45" thickBot="1">
      <c r="A56" s="24"/>
      <c r="B56" s="353"/>
      <c r="C56" s="380"/>
      <c r="D56" s="336"/>
      <c r="E56" s="337"/>
      <c r="F56" s="338"/>
      <c r="G56" s="356"/>
      <c r="H56" s="339"/>
      <c r="I56" s="406"/>
      <c r="J56" s="406"/>
      <c r="K56" s="24"/>
      <c r="L56" s="353"/>
      <c r="M56" s="380"/>
      <c r="N56" s="336"/>
      <c r="O56" s="337"/>
      <c r="P56" s="338"/>
      <c r="Q56" s="356"/>
      <c r="R56" s="214"/>
      <c r="S56" s="531"/>
      <c r="T56" s="521" t="str">
        <f t="shared" si="7"/>
        <v/>
      </c>
      <c r="U56" s="497"/>
      <c r="V56" s="632"/>
      <c r="W56" s="457"/>
      <c r="X56" s="468"/>
      <c r="Y56" s="200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customHeight="1" thickBot="1">
      <c r="B57" s="357">
        <v>6</v>
      </c>
      <c r="C57" s="358" t="s">
        <v>368</v>
      </c>
      <c r="D57" s="359" t="s">
        <v>476</v>
      </c>
      <c r="E57" s="360"/>
      <c r="F57" s="589">
        <v>0.1</v>
      </c>
      <c r="G57" s="361">
        <f>$C$62*F57</f>
        <v>150586.31043478262</v>
      </c>
      <c r="H57" s="362">
        <f>H105</f>
        <v>45656</v>
      </c>
      <c r="I57" s="923">
        <f>SUM(G57:G71)</f>
        <v>978811.01782608707</v>
      </c>
      <c r="J57" s="923">
        <v>1619207.63908368</v>
      </c>
      <c r="K57" s="363"/>
      <c r="L57" s="357">
        <v>6</v>
      </c>
      <c r="M57" s="665" t="s">
        <v>477</v>
      </c>
      <c r="N57" s="667"/>
      <c r="O57" s="691"/>
      <c r="P57" s="676"/>
      <c r="Q57" s="668"/>
      <c r="R57" s="217"/>
      <c r="S57" s="534"/>
      <c r="T57" s="498" t="str">
        <f t="shared" si="7"/>
        <v/>
      </c>
      <c r="U57" s="511">
        <f t="shared" ref="U57:U59" si="9">(Q57/$X$57*$J$57)</f>
        <v>0</v>
      </c>
      <c r="V57" s="929">
        <f>J57-SUM(U57:U71)</f>
        <v>1.3183329720050097E-3</v>
      </c>
      <c r="W57" s="641"/>
      <c r="X57" s="928">
        <f>SUM(Q57:Q71)</f>
        <v>1529166.87</v>
      </c>
      <c r="Y57" s="204"/>
    </row>
    <row r="58" spans="1:42" ht="14.25" customHeight="1" thickBot="1">
      <c r="B58" s="364">
        <v>6</v>
      </c>
      <c r="C58" s="618"/>
      <c r="D58" s="693"/>
      <c r="E58" s="694"/>
      <c r="F58" s="695"/>
      <c r="G58" s="399"/>
      <c r="H58" s="696"/>
      <c r="I58" s="923"/>
      <c r="J58" s="923"/>
      <c r="K58" s="371"/>
      <c r="L58" s="364">
        <v>6</v>
      </c>
      <c r="M58" s="663" t="s">
        <v>477</v>
      </c>
      <c r="N58" s="697" t="s">
        <v>478</v>
      </c>
      <c r="O58" s="716"/>
      <c r="P58" s="714"/>
      <c r="Q58" s="714">
        <v>14956</v>
      </c>
      <c r="R58" s="715" t="s">
        <v>479</v>
      </c>
      <c r="S58" s="534" t="s">
        <v>480</v>
      </c>
      <c r="T58" s="753">
        <v>45716</v>
      </c>
      <c r="U58" s="767">
        <v>15836.642766224404</v>
      </c>
      <c r="V58" s="929"/>
      <c r="W58" s="739">
        <v>45701</v>
      </c>
      <c r="X58" s="928"/>
      <c r="Y58" s="620"/>
    </row>
    <row r="59" spans="1:42" ht="14.25" customHeight="1" thickBot="1">
      <c r="B59" s="364">
        <v>6</v>
      </c>
      <c r="C59" s="618"/>
      <c r="D59" s="693"/>
      <c r="E59" s="694"/>
      <c r="F59" s="695"/>
      <c r="G59" s="399"/>
      <c r="H59" s="696"/>
      <c r="I59" s="923"/>
      <c r="J59" s="923"/>
      <c r="K59" s="371"/>
      <c r="L59" s="364">
        <v>6</v>
      </c>
      <c r="M59" s="663" t="s">
        <v>477</v>
      </c>
      <c r="N59" s="697"/>
      <c r="O59" s="698"/>
      <c r="P59" s="699"/>
      <c r="Q59" s="714"/>
      <c r="R59" s="219"/>
      <c r="S59" s="534"/>
      <c r="T59" s="498" t="str">
        <f t="shared" si="7"/>
        <v/>
      </c>
      <c r="U59" s="617">
        <f t="shared" si="9"/>
        <v>0</v>
      </c>
      <c r="V59" s="929"/>
      <c r="W59" s="700"/>
      <c r="X59" s="928"/>
      <c r="Y59" s="620"/>
    </row>
    <row r="60" spans="1:42" ht="14.25" customHeight="1" thickBot="1">
      <c r="B60" s="364">
        <v>6</v>
      </c>
      <c r="C60" s="618"/>
      <c r="D60" s="693"/>
      <c r="E60" s="694"/>
      <c r="F60" s="695"/>
      <c r="G60" s="399"/>
      <c r="H60" s="696"/>
      <c r="I60" s="923"/>
      <c r="J60" s="923"/>
      <c r="K60" s="371"/>
      <c r="L60" s="364">
        <v>6</v>
      </c>
      <c r="M60" s="663" t="s">
        <v>477</v>
      </c>
      <c r="N60" s="697" t="s">
        <v>481</v>
      </c>
      <c r="O60" s="698"/>
      <c r="P60" s="699"/>
      <c r="Q60" s="714">
        <v>126142</v>
      </c>
      <c r="R60" s="219" t="s">
        <v>482</v>
      </c>
      <c r="S60" s="534" t="s">
        <v>483</v>
      </c>
      <c r="T60" s="753">
        <v>45716</v>
      </c>
      <c r="U60" s="767">
        <v>93925.81338974851</v>
      </c>
      <c r="V60" s="929"/>
      <c r="W60" s="739">
        <v>45708</v>
      </c>
      <c r="X60" s="928"/>
      <c r="Y60" s="620"/>
    </row>
    <row r="61" spans="1:42" ht="14.25" customHeight="1" thickBot="1">
      <c r="B61" s="364">
        <v>6</v>
      </c>
      <c r="C61" s="618"/>
      <c r="D61" s="693"/>
      <c r="E61" s="694"/>
      <c r="F61" s="695"/>
      <c r="G61" s="399"/>
      <c r="H61" s="696"/>
      <c r="I61" s="923"/>
      <c r="J61" s="923"/>
      <c r="K61" s="371"/>
      <c r="L61" s="364">
        <v>6</v>
      </c>
      <c r="M61" s="663" t="s">
        <v>477</v>
      </c>
      <c r="N61" s="697" t="s">
        <v>414</v>
      </c>
      <c r="O61" s="698">
        <v>616919.5</v>
      </c>
      <c r="P61" s="699">
        <f>P105</f>
        <v>0.3</v>
      </c>
      <c r="Q61" s="369">
        <f>$O$61*P61</f>
        <v>185075.85</v>
      </c>
      <c r="R61" s="925" t="s">
        <v>415</v>
      </c>
      <c r="S61" s="534" t="s">
        <v>416</v>
      </c>
      <c r="T61" s="753">
        <v>45688</v>
      </c>
      <c r="U61" s="766">
        <v>480584.15055997926</v>
      </c>
      <c r="V61" s="929"/>
      <c r="W61" s="739">
        <v>45666</v>
      </c>
      <c r="X61" s="928"/>
      <c r="Y61" s="620"/>
    </row>
    <row r="62" spans="1:42" ht="14.25" customHeight="1" thickBot="1">
      <c r="B62" s="364">
        <v>6</v>
      </c>
      <c r="C62" s="590">
        <v>1505863.104347826</v>
      </c>
      <c r="D62" s="366" t="s">
        <v>126</v>
      </c>
      <c r="E62" s="367"/>
      <c r="F62" s="368">
        <v>0.15</v>
      </c>
      <c r="G62" s="369">
        <f>$C$62*F62</f>
        <v>225879.46565217388</v>
      </c>
      <c r="H62" s="370">
        <f>H106</f>
        <v>45663</v>
      </c>
      <c r="I62" s="923"/>
      <c r="J62" s="923"/>
      <c r="K62" s="371"/>
      <c r="L62" s="364">
        <v>6</v>
      </c>
      <c r="M62" s="663" t="s">
        <v>477</v>
      </c>
      <c r="N62" s="366" t="s">
        <v>417</v>
      </c>
      <c r="O62" s="367"/>
      <c r="P62" s="699">
        <f>P106</f>
        <v>0.2</v>
      </c>
      <c r="Q62" s="369">
        <f>$O$61*P62</f>
        <v>123383.90000000001</v>
      </c>
      <c r="R62" s="926"/>
      <c r="S62" s="534" t="s">
        <v>418</v>
      </c>
      <c r="T62" s="753">
        <f t="shared" ref="T62:T63" si="10">T106</f>
        <v>45716</v>
      </c>
      <c r="U62" s="766">
        <v>293960.29458554141</v>
      </c>
      <c r="V62" s="929"/>
      <c r="W62" s="739">
        <f t="shared" ref="W62:W63" si="11">W106</f>
        <v>45708</v>
      </c>
      <c r="X62" s="928"/>
      <c r="Y62" s="197"/>
    </row>
    <row r="63" spans="1:42" ht="14.25" customHeight="1" thickBot="1">
      <c r="B63" s="364">
        <v>6</v>
      </c>
      <c r="C63" s="590"/>
      <c r="D63" s="366" t="s">
        <v>484</v>
      </c>
      <c r="E63" s="367"/>
      <c r="F63" s="368">
        <v>0.2</v>
      </c>
      <c r="G63" s="369">
        <f>$C$62*F63</f>
        <v>301172.62086956523</v>
      </c>
      <c r="H63" s="370">
        <f>H107</f>
        <v>45653</v>
      </c>
      <c r="I63" s="923"/>
      <c r="J63" s="923"/>
      <c r="K63" s="371"/>
      <c r="L63" s="364">
        <v>6</v>
      </c>
      <c r="M63" s="664" t="s">
        <v>477</v>
      </c>
      <c r="N63" s="366" t="s">
        <v>419</v>
      </c>
      <c r="O63" s="367"/>
      <c r="P63" s="699">
        <f>P107</f>
        <v>0.3</v>
      </c>
      <c r="Q63" s="369">
        <f>$O$61*P63</f>
        <v>185075.85</v>
      </c>
      <c r="R63" s="926"/>
      <c r="S63" s="534" t="str">
        <f>S107</f>
        <v>Cosmic Sun CS_TRS_008</v>
      </c>
      <c r="T63" s="753">
        <f t="shared" si="10"/>
        <v>45747</v>
      </c>
      <c r="U63" s="766">
        <v>195973.53042961576</v>
      </c>
      <c r="V63" s="929"/>
      <c r="W63" s="739">
        <f t="shared" si="11"/>
        <v>45757</v>
      </c>
      <c r="X63" s="928"/>
      <c r="Y63" s="197"/>
    </row>
    <row r="64" spans="1:42" ht="14.25" customHeight="1" thickBot="1">
      <c r="B64" s="364">
        <v>6</v>
      </c>
      <c r="C64" s="590"/>
      <c r="D64" s="366" t="s">
        <v>485</v>
      </c>
      <c r="E64" s="367"/>
      <c r="F64" s="368">
        <v>0.1</v>
      </c>
      <c r="G64" s="369">
        <f>$C$62*F64</f>
        <v>150586.31043478262</v>
      </c>
      <c r="H64" s="370" t="e">
        <f>#REF!</f>
        <v>#REF!</v>
      </c>
      <c r="I64" s="923"/>
      <c r="J64" s="923"/>
      <c r="K64" s="371"/>
      <c r="L64" s="364">
        <v>6</v>
      </c>
      <c r="M64" s="664" t="s">
        <v>477</v>
      </c>
      <c r="N64" s="366" t="s">
        <v>420</v>
      </c>
      <c r="O64" s="367"/>
      <c r="P64" s="699">
        <f>P108</f>
        <v>0.15</v>
      </c>
      <c r="Q64" s="369">
        <f>$O$61*P64</f>
        <v>92537.925000000003</v>
      </c>
      <c r="R64" s="926"/>
      <c r="S64" s="534" t="str">
        <f>S108</f>
        <v>Cosmic Sun CS_TRS_009</v>
      </c>
      <c r="T64" s="753">
        <f>T108</f>
        <v>45777</v>
      </c>
      <c r="U64" s="766">
        <v>97986.765214807878</v>
      </c>
      <c r="V64" s="929"/>
      <c r="W64" s="739">
        <f>W108</f>
        <v>45764</v>
      </c>
      <c r="X64" s="928"/>
      <c r="Y64" s="197"/>
    </row>
    <row r="65" spans="1:42" ht="14.25" customHeight="1" thickBot="1">
      <c r="B65" s="364">
        <v>6</v>
      </c>
      <c r="C65" s="365"/>
      <c r="D65" s="366" t="s">
        <v>486</v>
      </c>
      <c r="E65" s="367"/>
      <c r="F65" s="368">
        <v>0.05</v>
      </c>
      <c r="G65" s="369">
        <f>$C$62*F65</f>
        <v>75293.155217391308</v>
      </c>
      <c r="H65" s="370" t="e">
        <f>#REF!</f>
        <v>#REF!</v>
      </c>
      <c r="I65" s="923"/>
      <c r="J65" s="923"/>
      <c r="K65" s="371"/>
      <c r="L65" s="364">
        <v>6</v>
      </c>
      <c r="M65" s="664" t="s">
        <v>477</v>
      </c>
      <c r="N65" s="366" t="s">
        <v>423</v>
      </c>
      <c r="O65" s="367"/>
      <c r="P65" s="699">
        <f>P109</f>
        <v>0.05</v>
      </c>
      <c r="Q65" s="369">
        <f>$O$61*P65</f>
        <v>30845.975000000002</v>
      </c>
      <c r="R65" s="926"/>
      <c r="S65" s="534" t="s">
        <v>424</v>
      </c>
      <c r="T65" s="753">
        <f>T109</f>
        <v>45838</v>
      </c>
      <c r="U65" s="850">
        <v>32662.255071602627</v>
      </c>
      <c r="V65" s="929"/>
      <c r="W65" s="739">
        <f>W109</f>
        <v>45890</v>
      </c>
      <c r="X65" s="928"/>
      <c r="Y65" s="197"/>
    </row>
    <row r="66" spans="1:42" ht="14.25" customHeight="1" thickBot="1">
      <c r="B66" s="401"/>
      <c r="C66" s="402"/>
      <c r="D66" s="419"/>
      <c r="E66" s="763"/>
      <c r="F66" s="794"/>
      <c r="G66" s="403"/>
      <c r="H66" s="370"/>
      <c r="I66" s="923"/>
      <c r="J66" s="923"/>
      <c r="K66" s="371"/>
      <c r="L66" s="364">
        <v>6</v>
      </c>
      <c r="M66" s="664" t="s">
        <v>477</v>
      </c>
      <c r="N66" s="419" t="s">
        <v>425</v>
      </c>
      <c r="O66" s="763"/>
      <c r="P66" s="796"/>
      <c r="Q66" s="403"/>
      <c r="R66" s="926"/>
      <c r="S66" s="533"/>
      <c r="T66" s="503"/>
      <c r="U66" s="771"/>
      <c r="V66" s="929"/>
      <c r="W66" s="700"/>
      <c r="X66" s="928"/>
      <c r="Y66" s="207"/>
    </row>
    <row r="67" spans="1:42" ht="14.25" customHeight="1" thickBot="1">
      <c r="B67" s="401"/>
      <c r="C67" s="402"/>
      <c r="D67" s="419"/>
      <c r="E67" s="763"/>
      <c r="F67" s="794"/>
      <c r="G67" s="403"/>
      <c r="H67" s="370"/>
      <c r="I67" s="923"/>
      <c r="J67" s="923"/>
      <c r="K67" s="371"/>
      <c r="L67" s="364">
        <v>6</v>
      </c>
      <c r="M67" s="664" t="s">
        <v>477</v>
      </c>
      <c r="N67" s="419" t="s">
        <v>426</v>
      </c>
      <c r="O67" s="806">
        <v>771149.37</v>
      </c>
      <c r="P67" s="796">
        <f>P111</f>
        <v>0.3</v>
      </c>
      <c r="Q67" s="403">
        <f>O67*P67</f>
        <v>231344.81099999999</v>
      </c>
      <c r="R67" s="926"/>
      <c r="S67" s="626" t="s">
        <v>416</v>
      </c>
      <c r="T67" s="758">
        <f>T111</f>
        <v>45688</v>
      </c>
      <c r="U67" s="771"/>
      <c r="V67" s="929"/>
      <c r="W67" s="739">
        <f>W111</f>
        <v>45666</v>
      </c>
      <c r="X67" s="928"/>
      <c r="Y67" s="207"/>
    </row>
    <row r="68" spans="1:42" ht="14.25" customHeight="1" thickBot="1">
      <c r="B68" s="401"/>
      <c r="C68" s="402"/>
      <c r="D68" s="419"/>
      <c r="E68" s="763"/>
      <c r="F68" s="794"/>
      <c r="G68" s="403"/>
      <c r="H68" s="370"/>
      <c r="I68" s="923"/>
      <c r="J68" s="923"/>
      <c r="K68" s="371"/>
      <c r="L68" s="364">
        <v>6</v>
      </c>
      <c r="M68" s="664" t="s">
        <v>477</v>
      </c>
      <c r="N68" s="419" t="s">
        <v>417</v>
      </c>
      <c r="O68" s="763"/>
      <c r="P68" s="796">
        <f>P112</f>
        <v>0.2</v>
      </c>
      <c r="Q68" s="403">
        <f>O67*P68</f>
        <v>154229.87400000001</v>
      </c>
      <c r="R68" s="926"/>
      <c r="S68" s="626" t="s">
        <v>418</v>
      </c>
      <c r="T68" s="758">
        <f>T112</f>
        <v>45716</v>
      </c>
      <c r="U68" s="771"/>
      <c r="V68" s="929"/>
      <c r="W68" s="739">
        <f t="shared" ref="W68:W69" si="12">W112</f>
        <v>45708</v>
      </c>
      <c r="X68" s="928"/>
      <c r="Y68" s="207"/>
    </row>
    <row r="69" spans="1:42" ht="14.25" customHeight="1" thickBot="1">
      <c r="B69" s="401"/>
      <c r="C69" s="402"/>
      <c r="D69" s="419"/>
      <c r="E69" s="763"/>
      <c r="F69" s="794"/>
      <c r="G69" s="403"/>
      <c r="H69" s="370"/>
      <c r="I69" s="923"/>
      <c r="J69" s="923"/>
      <c r="K69" s="371"/>
      <c r="L69" s="364">
        <v>6</v>
      </c>
      <c r="M69" s="664" t="s">
        <v>477</v>
      </c>
      <c r="N69" s="419" t="s">
        <v>283</v>
      </c>
      <c r="O69" s="763"/>
      <c r="P69" s="796">
        <f>P113</f>
        <v>0.3</v>
      </c>
      <c r="Q69" s="403">
        <f>O67*P69</f>
        <v>231344.81099999999</v>
      </c>
      <c r="R69" s="926"/>
      <c r="S69" s="626" t="s">
        <v>427</v>
      </c>
      <c r="T69" s="758">
        <f>T113</f>
        <v>45777</v>
      </c>
      <c r="U69" s="782">
        <v>244966.91144869631</v>
      </c>
      <c r="V69" s="929"/>
      <c r="W69" s="739">
        <f t="shared" si="12"/>
        <v>45785</v>
      </c>
      <c r="X69" s="928"/>
      <c r="Y69" s="207"/>
    </row>
    <row r="70" spans="1:42" ht="14.25" customHeight="1" thickBot="1">
      <c r="B70" s="401"/>
      <c r="C70" s="402"/>
      <c r="D70" s="419"/>
      <c r="E70" s="763"/>
      <c r="F70" s="794"/>
      <c r="G70" s="403"/>
      <c r="H70" s="370"/>
      <c r="I70" s="923"/>
      <c r="J70" s="923"/>
      <c r="K70" s="371"/>
      <c r="L70" s="364">
        <v>6</v>
      </c>
      <c r="M70" s="664" t="s">
        <v>477</v>
      </c>
      <c r="N70" s="419" t="s">
        <v>428</v>
      </c>
      <c r="O70" s="763"/>
      <c r="P70" s="795">
        <f>P114</f>
        <v>0.15</v>
      </c>
      <c r="Q70" s="403">
        <f>O67*P70</f>
        <v>115672.40549999999</v>
      </c>
      <c r="R70" s="926"/>
      <c r="S70" s="626" t="s">
        <v>427</v>
      </c>
      <c r="T70" s="758">
        <f>T114</f>
        <v>45777</v>
      </c>
      <c r="U70" s="782">
        <v>122483.45572434815</v>
      </c>
      <c r="V70" s="929"/>
      <c r="W70" s="739">
        <v>45785</v>
      </c>
      <c r="X70" s="928"/>
      <c r="Y70" s="207"/>
    </row>
    <row r="71" spans="1:42" ht="15" customHeight="1" thickBot="1">
      <c r="B71" s="372">
        <v>6</v>
      </c>
      <c r="C71" s="591"/>
      <c r="D71" s="374" t="s">
        <v>487</v>
      </c>
      <c r="E71" s="375"/>
      <c r="F71" s="376">
        <v>0.05</v>
      </c>
      <c r="G71" s="377">
        <f>$C$62*F71</f>
        <v>75293.155217391308</v>
      </c>
      <c r="H71" s="370" t="e">
        <f>H65</f>
        <v>#REF!</v>
      </c>
      <c r="I71" s="923"/>
      <c r="J71" s="923"/>
      <c r="K71" s="379"/>
      <c r="L71" s="372">
        <v>6</v>
      </c>
      <c r="M71" s="666" t="s">
        <v>477</v>
      </c>
      <c r="N71" s="374" t="s">
        <v>423</v>
      </c>
      <c r="O71" s="375"/>
      <c r="P71" s="376">
        <f>P115</f>
        <v>0.05</v>
      </c>
      <c r="Q71" s="377">
        <f>O67*P71</f>
        <v>38557.468500000003</v>
      </c>
      <c r="R71" s="927"/>
      <c r="S71" s="828" t="s">
        <v>430</v>
      </c>
      <c r="T71" s="818">
        <v>45838</v>
      </c>
      <c r="U71" s="851">
        <v>40827.818574782723</v>
      </c>
      <c r="V71" s="929"/>
      <c r="W71" s="824">
        <f>W115</f>
        <v>45890</v>
      </c>
      <c r="X71" s="928"/>
      <c r="Y71" s="205"/>
    </row>
    <row r="72" spans="1:42" ht="14.45" hidden="1" thickBot="1">
      <c r="A72" s="24"/>
      <c r="B72" s="353"/>
      <c r="C72" s="414"/>
      <c r="D72" s="381"/>
      <c r="E72" s="382"/>
      <c r="F72" s="383"/>
      <c r="G72" s="356"/>
      <c r="H72" s="339"/>
      <c r="I72" s="340"/>
      <c r="J72" s="340"/>
      <c r="K72" s="24"/>
      <c r="L72" s="353"/>
      <c r="M72" s="414"/>
      <c r="N72" s="381"/>
      <c r="O72" s="382"/>
      <c r="P72" s="383"/>
      <c r="Q72" s="356"/>
      <c r="R72" s="214"/>
      <c r="S72" s="497"/>
      <c r="T72" s="547" t="str">
        <f t="shared" ref="T72:T104" si="13">IF(W72&gt;1,EOMONTH(W72,0),"")</f>
        <v/>
      </c>
      <c r="U72" s="497"/>
      <c r="V72" s="633"/>
      <c r="W72" s="457"/>
      <c r="X72" s="467"/>
      <c r="Y72" s="200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4.25" hidden="1" customHeight="1" thickBot="1">
      <c r="B73" s="548">
        <v>7</v>
      </c>
      <c r="C73" s="384" t="s">
        <v>488</v>
      </c>
      <c r="D73" s="549"/>
      <c r="E73" s="550"/>
      <c r="F73" s="551"/>
      <c r="G73" s="552"/>
      <c r="H73" s="553"/>
      <c r="I73" s="924">
        <f>SUM(G73:G80)</f>
        <v>0</v>
      </c>
      <c r="J73" s="924">
        <v>0</v>
      </c>
      <c r="K73" s="346"/>
      <c r="L73" s="548">
        <v>7</v>
      </c>
      <c r="M73" s="384" t="s">
        <v>488</v>
      </c>
      <c r="N73" s="549"/>
      <c r="O73" s="550"/>
      <c r="P73" s="551"/>
      <c r="Q73" s="552"/>
      <c r="R73" s="555"/>
      <c r="S73" s="571"/>
      <c r="T73" s="538" t="str">
        <f t="shared" si="13"/>
        <v/>
      </c>
      <c r="U73" s="508"/>
      <c r="V73" s="939">
        <f>J73-SUM(U73:U80)</f>
        <v>0</v>
      </c>
      <c r="W73" s="554"/>
      <c r="X73" s="935">
        <f>SUM(Q73:Q80)</f>
        <v>0</v>
      </c>
      <c r="Y73" s="556"/>
    </row>
    <row r="74" spans="1:42" ht="14.25" hidden="1" customHeight="1" thickBot="1">
      <c r="B74" s="557">
        <v>7</v>
      </c>
      <c r="C74" s="558"/>
      <c r="D74" s="559"/>
      <c r="E74" s="560"/>
      <c r="F74" s="561"/>
      <c r="G74" s="562"/>
      <c r="H74" s="563"/>
      <c r="I74" s="924"/>
      <c r="J74" s="924"/>
      <c r="K74" s="350"/>
      <c r="L74" s="557">
        <v>7</v>
      </c>
      <c r="M74" s="558"/>
      <c r="N74" s="559"/>
      <c r="O74" s="560"/>
      <c r="P74" s="561"/>
      <c r="Q74" s="562"/>
      <c r="R74" s="593"/>
      <c r="S74" s="524"/>
      <c r="T74" s="504" t="str">
        <f t="shared" si="13"/>
        <v/>
      </c>
      <c r="U74" s="509"/>
      <c r="V74" s="939"/>
      <c r="W74" s="564"/>
      <c r="X74" s="935"/>
      <c r="Y74" s="594"/>
    </row>
    <row r="75" spans="1:42" ht="14.25" hidden="1" customHeight="1" thickBot="1">
      <c r="B75" s="557">
        <v>7</v>
      </c>
      <c r="C75" s="558"/>
      <c r="D75" s="559"/>
      <c r="E75" s="560"/>
      <c r="F75" s="561"/>
      <c r="G75" s="562"/>
      <c r="H75" s="563"/>
      <c r="I75" s="924"/>
      <c r="J75" s="924"/>
      <c r="K75" s="350"/>
      <c r="L75" s="557">
        <v>7</v>
      </c>
      <c r="M75" s="558"/>
      <c r="N75" s="559"/>
      <c r="O75" s="560"/>
      <c r="P75" s="561"/>
      <c r="Q75" s="562"/>
      <c r="R75" s="593"/>
      <c r="S75" s="524"/>
      <c r="T75" s="504" t="str">
        <f t="shared" si="13"/>
        <v/>
      </c>
      <c r="U75" s="509"/>
      <c r="V75" s="939"/>
      <c r="W75" s="564"/>
      <c r="X75" s="935"/>
      <c r="Y75" s="594"/>
    </row>
    <row r="76" spans="1:42" ht="14.25" hidden="1" customHeight="1" thickBot="1">
      <c r="B76" s="557">
        <v>7</v>
      </c>
      <c r="C76" s="558"/>
      <c r="D76" s="559"/>
      <c r="E76" s="560"/>
      <c r="F76" s="561"/>
      <c r="G76" s="562"/>
      <c r="H76" s="563"/>
      <c r="I76" s="924"/>
      <c r="J76" s="924"/>
      <c r="K76" s="350"/>
      <c r="L76" s="557">
        <v>7</v>
      </c>
      <c r="M76" s="558"/>
      <c r="N76" s="559"/>
      <c r="O76" s="560"/>
      <c r="P76" s="561"/>
      <c r="Q76" s="562"/>
      <c r="R76" s="484"/>
      <c r="S76" s="524"/>
      <c r="T76" s="504" t="str">
        <f t="shared" si="13"/>
        <v/>
      </c>
      <c r="U76" s="509"/>
      <c r="V76" s="939"/>
      <c r="W76" s="564"/>
      <c r="X76" s="935"/>
      <c r="Y76" s="485"/>
    </row>
    <row r="77" spans="1:42" ht="14.25" hidden="1" customHeight="1" thickBot="1">
      <c r="B77" s="557">
        <v>7</v>
      </c>
      <c r="C77" s="558"/>
      <c r="D77" s="559"/>
      <c r="E77" s="560"/>
      <c r="F77" s="561"/>
      <c r="G77" s="562"/>
      <c r="H77" s="563"/>
      <c r="I77" s="924"/>
      <c r="J77" s="924"/>
      <c r="K77" s="350"/>
      <c r="L77" s="557">
        <v>7</v>
      </c>
      <c r="M77" s="558"/>
      <c r="N77" s="559"/>
      <c r="O77" s="560"/>
      <c r="P77" s="561"/>
      <c r="Q77" s="562"/>
      <c r="R77" s="484"/>
      <c r="S77" s="524"/>
      <c r="T77" s="504" t="str">
        <f t="shared" si="13"/>
        <v/>
      </c>
      <c r="U77" s="509"/>
      <c r="V77" s="939"/>
      <c r="W77" s="564"/>
      <c r="X77" s="935"/>
      <c r="Y77" s="485"/>
    </row>
    <row r="78" spans="1:42" ht="14.25" hidden="1" customHeight="1" thickBot="1">
      <c r="B78" s="557">
        <v>7</v>
      </c>
      <c r="C78" s="558"/>
      <c r="D78" s="559"/>
      <c r="E78" s="560"/>
      <c r="F78" s="561"/>
      <c r="G78" s="562"/>
      <c r="H78" s="563"/>
      <c r="I78" s="924"/>
      <c r="J78" s="924"/>
      <c r="K78" s="350"/>
      <c r="L78" s="557">
        <v>7</v>
      </c>
      <c r="M78" s="558"/>
      <c r="N78" s="559"/>
      <c r="O78" s="560"/>
      <c r="P78" s="561"/>
      <c r="Q78" s="562"/>
      <c r="R78" s="484"/>
      <c r="S78" s="524"/>
      <c r="T78" s="504" t="str">
        <f t="shared" si="13"/>
        <v/>
      </c>
      <c r="U78" s="509"/>
      <c r="V78" s="939"/>
      <c r="W78" s="564"/>
      <c r="X78" s="935"/>
      <c r="Y78" s="485"/>
    </row>
    <row r="79" spans="1:42" ht="14.25" hidden="1" customHeight="1" thickBot="1">
      <c r="B79" s="557">
        <v>7</v>
      </c>
      <c r="C79" s="558"/>
      <c r="D79" s="559"/>
      <c r="E79" s="560"/>
      <c r="F79" s="561"/>
      <c r="G79" s="562"/>
      <c r="H79" s="563"/>
      <c r="I79" s="924"/>
      <c r="J79" s="924"/>
      <c r="K79" s="350"/>
      <c r="L79" s="557">
        <v>7</v>
      </c>
      <c r="M79" s="558"/>
      <c r="N79" s="559"/>
      <c r="O79" s="560"/>
      <c r="P79" s="561"/>
      <c r="Q79" s="562"/>
      <c r="R79" s="484"/>
      <c r="S79" s="524"/>
      <c r="T79" s="504" t="str">
        <f t="shared" si="13"/>
        <v/>
      </c>
      <c r="U79" s="509"/>
      <c r="V79" s="939"/>
      <c r="W79" s="564"/>
      <c r="X79" s="935"/>
      <c r="Y79" s="485"/>
    </row>
    <row r="80" spans="1:42" ht="15" hidden="1" customHeight="1" thickBot="1">
      <c r="B80" s="392">
        <v>7</v>
      </c>
      <c r="C80" s="422"/>
      <c r="D80" s="411"/>
      <c r="E80" s="395"/>
      <c r="F80" s="412"/>
      <c r="G80" s="413"/>
      <c r="H80" s="351"/>
      <c r="I80" s="924"/>
      <c r="J80" s="924"/>
      <c r="K80" s="352"/>
      <c r="L80" s="392">
        <v>7</v>
      </c>
      <c r="M80" s="422"/>
      <c r="N80" s="411"/>
      <c r="O80" s="395"/>
      <c r="P80" s="412"/>
      <c r="Q80" s="413"/>
      <c r="R80" s="216"/>
      <c r="S80" s="537"/>
      <c r="T80" s="501" t="str">
        <f t="shared" si="13"/>
        <v/>
      </c>
      <c r="U80" s="510"/>
      <c r="V80" s="939"/>
      <c r="W80" s="459"/>
      <c r="X80" s="935"/>
      <c r="Y80" s="203"/>
    </row>
    <row r="81" spans="1:42" ht="14.45" thickBot="1">
      <c r="A81" s="24"/>
      <c r="B81" s="353"/>
      <c r="C81" s="414"/>
      <c r="D81" s="381"/>
      <c r="E81" s="382"/>
      <c r="F81" s="383"/>
      <c r="G81" s="356"/>
      <c r="H81" s="339"/>
      <c r="I81" s="340"/>
      <c r="J81" s="340"/>
      <c r="K81" s="24"/>
      <c r="L81" s="353"/>
      <c r="M81" s="414"/>
      <c r="N81" s="381"/>
      <c r="O81" s="382"/>
      <c r="P81" s="383"/>
      <c r="Q81" s="356"/>
      <c r="R81" s="214"/>
      <c r="S81" s="531"/>
      <c r="T81" s="547" t="str">
        <f t="shared" si="13"/>
        <v/>
      </c>
      <c r="U81" s="497"/>
      <c r="V81" s="633"/>
      <c r="W81" s="457"/>
      <c r="X81" s="467"/>
      <c r="Y81" s="200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 thickBot="1">
      <c r="B82" s="415">
        <v>8</v>
      </c>
      <c r="C82" s="358" t="s">
        <v>489</v>
      </c>
      <c r="D82" s="416" t="s">
        <v>490</v>
      </c>
      <c r="E82" s="706"/>
      <c r="F82" s="704"/>
      <c r="G82" s="417">
        <v>100000</v>
      </c>
      <c r="H82" s="418" t="e">
        <f>H71</f>
        <v>#REF!</v>
      </c>
      <c r="I82" s="923">
        <f>SUM(G82:G103)</f>
        <v>608000</v>
      </c>
      <c r="J82" s="923">
        <f>277419.35483871+368421.052631579</f>
        <v>645840.40747028892</v>
      </c>
      <c r="K82" s="363"/>
      <c r="L82" s="415">
        <v>8</v>
      </c>
      <c r="M82" s="659" t="s">
        <v>491</v>
      </c>
      <c r="N82" s="416" t="s">
        <v>492</v>
      </c>
      <c r="O82" s="709"/>
      <c r="P82" s="704"/>
      <c r="Q82" s="417">
        <v>99</v>
      </c>
      <c r="R82" s="761" t="s">
        <v>493</v>
      </c>
      <c r="S82" s="534" t="s">
        <v>494</v>
      </c>
      <c r="T82" s="825">
        <v>45808</v>
      </c>
      <c r="U82" s="836">
        <v>132.70615630593156</v>
      </c>
      <c r="V82" s="929">
        <f>J82-SUM(U82:U103)</f>
        <v>3.1841852469369769E-3</v>
      </c>
      <c r="W82" s="847">
        <v>45835</v>
      </c>
      <c r="X82" s="928">
        <f>SUM(Q82:Q103)</f>
        <v>492321.82</v>
      </c>
      <c r="Y82" s="208" t="s">
        <v>495</v>
      </c>
    </row>
    <row r="83" spans="1:42" ht="14.25" customHeight="1" thickBot="1">
      <c r="B83" s="401">
        <v>8</v>
      </c>
      <c r="C83" s="402"/>
      <c r="D83" s="419" t="s">
        <v>496</v>
      </c>
      <c r="E83" s="645"/>
      <c r="F83" s="705"/>
      <c r="G83" s="403">
        <v>250000</v>
      </c>
      <c r="H83" s="404" t="e">
        <f>H82</f>
        <v>#REF!</v>
      </c>
      <c r="I83" s="923"/>
      <c r="J83" s="923"/>
      <c r="K83" s="371"/>
      <c r="L83" s="401">
        <v>8</v>
      </c>
      <c r="M83" s="669" t="s">
        <v>491</v>
      </c>
      <c r="N83" s="419" t="s">
        <v>497</v>
      </c>
      <c r="O83" s="752"/>
      <c r="P83" s="705"/>
      <c r="Q83" s="403">
        <v>1500</v>
      </c>
      <c r="R83" s="219" t="s">
        <v>498</v>
      </c>
      <c r="S83" s="534" t="s">
        <v>499</v>
      </c>
      <c r="T83" s="758">
        <v>45808</v>
      </c>
      <c r="U83" s="837">
        <v>2010.6993379686598</v>
      </c>
      <c r="V83" s="929"/>
      <c r="W83" s="772">
        <v>45806</v>
      </c>
      <c r="X83" s="928"/>
      <c r="Y83" s="207"/>
    </row>
    <row r="84" spans="1:42" ht="14.25" customHeight="1" thickBot="1">
      <c r="B84" s="401">
        <v>8</v>
      </c>
      <c r="C84" s="402"/>
      <c r="D84" s="419" t="s">
        <v>500</v>
      </c>
      <c r="E84" s="645">
        <v>120</v>
      </c>
      <c r="F84" s="708">
        <v>750</v>
      </c>
      <c r="G84" s="403">
        <f>E84*F84</f>
        <v>90000</v>
      </c>
      <c r="H84" s="404" t="e">
        <f>H83</f>
        <v>#REF!</v>
      </c>
      <c r="I84" s="923"/>
      <c r="J84" s="923"/>
      <c r="K84" s="371"/>
      <c r="L84" s="401">
        <v>8</v>
      </c>
      <c r="M84" s="669" t="s">
        <v>491</v>
      </c>
      <c r="N84" s="419" t="s">
        <v>501</v>
      </c>
      <c r="O84" s="752">
        <v>171800</v>
      </c>
      <c r="P84" s="794">
        <v>0.5</v>
      </c>
      <c r="Q84" s="403">
        <f>O84*P84</f>
        <v>85900</v>
      </c>
      <c r="R84" s="219" t="s">
        <v>502</v>
      </c>
      <c r="S84" s="626" t="s">
        <v>503</v>
      </c>
      <c r="T84" s="758">
        <v>45777</v>
      </c>
      <c r="U84" s="766">
        <v>172789.30223232287</v>
      </c>
      <c r="V84" s="929"/>
      <c r="W84" s="772">
        <v>45785</v>
      </c>
      <c r="X84" s="928"/>
      <c r="Y84" s="207"/>
    </row>
    <row r="85" spans="1:42" ht="14.25" customHeight="1" thickBot="1">
      <c r="B85" s="401"/>
      <c r="C85" s="402"/>
      <c r="D85" s="419"/>
      <c r="E85" s="645"/>
      <c r="F85" s="708"/>
      <c r="G85" s="403"/>
      <c r="H85" s="404"/>
      <c r="I85" s="923"/>
      <c r="J85" s="923"/>
      <c r="K85" s="371"/>
      <c r="L85" s="401">
        <v>8</v>
      </c>
      <c r="M85" s="669" t="s">
        <v>491</v>
      </c>
      <c r="N85" s="419"/>
      <c r="O85" s="752"/>
      <c r="P85" s="859">
        <v>0.5</v>
      </c>
      <c r="Q85" s="860">
        <f>O84*P85</f>
        <v>85900</v>
      </c>
      <c r="R85" s="219"/>
      <c r="S85" s="626" t="s">
        <v>503</v>
      </c>
      <c r="T85" s="758">
        <v>45777</v>
      </c>
      <c r="U85" s="766">
        <v>172789.30223232287</v>
      </c>
      <c r="V85" s="929"/>
      <c r="W85" s="772">
        <v>45827</v>
      </c>
      <c r="X85" s="928"/>
      <c r="Y85" s="207"/>
    </row>
    <row r="86" spans="1:42" ht="14.25" customHeight="1" thickBot="1">
      <c r="B86" s="401">
        <v>8</v>
      </c>
      <c r="C86" s="402"/>
      <c r="D86" s="419" t="s">
        <v>504</v>
      </c>
      <c r="E86" s="645">
        <v>4</v>
      </c>
      <c r="F86" s="708">
        <v>12000</v>
      </c>
      <c r="G86" s="403">
        <f>E86*F86</f>
        <v>48000</v>
      </c>
      <c r="H86" s="404" t="e">
        <f>H84</f>
        <v>#REF!</v>
      </c>
      <c r="I86" s="923"/>
      <c r="J86" s="923"/>
      <c r="K86" s="371"/>
      <c r="L86" s="401">
        <v>8</v>
      </c>
      <c r="M86" s="669" t="s">
        <v>491</v>
      </c>
      <c r="N86" s="419" t="s">
        <v>505</v>
      </c>
      <c r="O86" s="752"/>
      <c r="P86" s="705"/>
      <c r="Q86" s="403">
        <v>16800</v>
      </c>
      <c r="R86" s="219" t="s">
        <v>506</v>
      </c>
      <c r="S86" s="626" t="s">
        <v>507</v>
      </c>
      <c r="T86" s="758">
        <v>45716</v>
      </c>
      <c r="U86" s="766">
        <v>39344.387220710938</v>
      </c>
      <c r="V86" s="929"/>
      <c r="W86" s="772">
        <v>45820</v>
      </c>
      <c r="X86" s="928"/>
      <c r="Y86" s="207"/>
    </row>
    <row r="87" spans="1:42" ht="14.25" customHeight="1" thickBot="1">
      <c r="B87" s="401">
        <v>8</v>
      </c>
      <c r="C87" s="402"/>
      <c r="D87" s="419" t="s">
        <v>508</v>
      </c>
      <c r="E87" s="645">
        <v>4</v>
      </c>
      <c r="F87" s="708">
        <v>30000</v>
      </c>
      <c r="G87" s="403">
        <f>E87*F87</f>
        <v>120000</v>
      </c>
      <c r="H87" s="404" t="e">
        <f>H86</f>
        <v>#REF!</v>
      </c>
      <c r="I87" s="923"/>
      <c r="J87" s="923"/>
      <c r="K87" s="371"/>
      <c r="L87" s="401">
        <v>8</v>
      </c>
      <c r="M87" s="669" t="s">
        <v>491</v>
      </c>
      <c r="N87" s="419" t="s">
        <v>509</v>
      </c>
      <c r="O87" s="752">
        <f>120/5.7</f>
        <v>21.052631578947366</v>
      </c>
      <c r="P87" s="705">
        <v>2974.66</v>
      </c>
      <c r="Q87" s="403">
        <v>62467.86</v>
      </c>
      <c r="R87" s="925" t="s">
        <v>510</v>
      </c>
      <c r="S87" s="626" t="s">
        <v>511</v>
      </c>
      <c r="T87" s="758">
        <v>45747</v>
      </c>
      <c r="U87" s="766">
        <v>39459.629818039692</v>
      </c>
      <c r="V87" s="929"/>
      <c r="W87" s="786">
        <v>45729</v>
      </c>
      <c r="X87" s="928"/>
      <c r="Y87" s="207" t="s">
        <v>512</v>
      </c>
    </row>
    <row r="88" spans="1:42" ht="14.25" customHeight="1" thickBot="1">
      <c r="B88" s="401">
        <v>8</v>
      </c>
      <c r="C88" s="402"/>
      <c r="D88" s="419"/>
      <c r="E88" s="645"/>
      <c r="F88" s="705"/>
      <c r="G88" s="403"/>
      <c r="H88" s="404"/>
      <c r="I88" s="923"/>
      <c r="J88" s="923"/>
      <c r="K88" s="371"/>
      <c r="L88" s="401">
        <v>8</v>
      </c>
      <c r="M88" s="669" t="s">
        <v>491</v>
      </c>
      <c r="N88" s="419" t="s">
        <v>513</v>
      </c>
      <c r="O88" s="645">
        <v>23</v>
      </c>
      <c r="P88" s="705">
        <v>94.8</v>
      </c>
      <c r="Q88" s="776">
        <f>P88*O88</f>
        <v>2180.4</v>
      </c>
      <c r="R88" s="926"/>
      <c r="S88" s="626" t="s">
        <v>511</v>
      </c>
      <c r="T88" s="758">
        <f>T87</f>
        <v>45747</v>
      </c>
      <c r="U88" s="766">
        <v>1377.3126989663765</v>
      </c>
      <c r="V88" s="929"/>
      <c r="W88" s="786">
        <f>W87</f>
        <v>45729</v>
      </c>
      <c r="X88" s="928"/>
      <c r="Y88" s="207"/>
    </row>
    <row r="89" spans="1:42" ht="14.25" customHeight="1" thickBot="1">
      <c r="B89" s="401">
        <v>8</v>
      </c>
      <c r="C89" s="402"/>
      <c r="D89" s="419"/>
      <c r="E89" s="645"/>
      <c r="F89" s="705"/>
      <c r="G89" s="403"/>
      <c r="H89" s="404"/>
      <c r="I89" s="923"/>
      <c r="J89" s="923"/>
      <c r="K89" s="371"/>
      <c r="L89" s="401">
        <v>8</v>
      </c>
      <c r="M89" s="669" t="s">
        <v>491</v>
      </c>
      <c r="N89" s="419" t="s">
        <v>514</v>
      </c>
      <c r="O89" s="645"/>
      <c r="P89" s="705"/>
      <c r="Q89" s="403">
        <v>5175</v>
      </c>
      <c r="R89" s="934"/>
      <c r="S89" s="626" t="s">
        <v>511</v>
      </c>
      <c r="T89" s="758">
        <f>T88</f>
        <v>45747</v>
      </c>
      <c r="U89" s="766">
        <v>3268.9383677999444</v>
      </c>
      <c r="V89" s="929"/>
      <c r="W89" s="786">
        <f>W87</f>
        <v>45729</v>
      </c>
      <c r="X89" s="928"/>
      <c r="Y89" s="207"/>
    </row>
    <row r="90" spans="1:42" ht="14.25" customHeight="1" thickBot="1">
      <c r="B90" s="401">
        <v>8</v>
      </c>
      <c r="C90" s="402"/>
      <c r="D90" s="419"/>
      <c r="E90" s="645"/>
      <c r="F90" s="705"/>
      <c r="G90" s="403"/>
      <c r="H90" s="404"/>
      <c r="I90" s="923"/>
      <c r="J90" s="923"/>
      <c r="K90" s="371"/>
      <c r="L90" s="401">
        <v>8</v>
      </c>
      <c r="M90" s="669" t="s">
        <v>491</v>
      </c>
      <c r="N90" s="419" t="s">
        <v>515</v>
      </c>
      <c r="O90" s="645"/>
      <c r="P90" s="705"/>
      <c r="Q90" s="403">
        <v>10519</v>
      </c>
      <c r="R90" s="219" t="s">
        <v>516</v>
      </c>
      <c r="S90" s="626" t="s">
        <v>517</v>
      </c>
      <c r="T90" s="758">
        <v>45838</v>
      </c>
      <c r="U90" s="850">
        <v>0</v>
      </c>
      <c r="V90" s="929"/>
      <c r="W90" s="772">
        <v>45841</v>
      </c>
      <c r="X90" s="928"/>
      <c r="Y90" s="207"/>
    </row>
    <row r="91" spans="1:42" ht="14.25" customHeight="1" thickBot="1">
      <c r="B91" s="401">
        <v>8</v>
      </c>
      <c r="C91" s="402"/>
      <c r="D91" s="419"/>
      <c r="E91" s="645"/>
      <c r="F91" s="705"/>
      <c r="G91" s="403"/>
      <c r="H91" s="404"/>
      <c r="I91" s="923"/>
      <c r="J91" s="923"/>
      <c r="K91" s="371"/>
      <c r="L91" s="401">
        <v>8</v>
      </c>
      <c r="M91" s="669" t="s">
        <v>491</v>
      </c>
      <c r="N91" s="419" t="s">
        <v>518</v>
      </c>
      <c r="O91" s="645"/>
      <c r="P91" s="705"/>
      <c r="Q91" s="403"/>
      <c r="R91" s="219"/>
      <c r="S91" s="626"/>
      <c r="T91" s="503" t="str">
        <f t="shared" si="13"/>
        <v/>
      </c>
      <c r="U91" s="512">
        <f t="shared" ref="U91" si="14">(Q91/$X$82*$J$82)</f>
        <v>0</v>
      </c>
      <c r="V91" s="929"/>
      <c r="W91" s="461"/>
      <c r="X91" s="928"/>
      <c r="Y91" s="207"/>
    </row>
    <row r="92" spans="1:42" ht="14.25" customHeight="1" thickBot="1">
      <c r="B92" s="401">
        <v>8</v>
      </c>
      <c r="C92" s="402"/>
      <c r="D92" s="419"/>
      <c r="E92" s="645"/>
      <c r="F92" s="705"/>
      <c r="G92" s="403"/>
      <c r="H92" s="404"/>
      <c r="I92" s="923"/>
      <c r="J92" s="923"/>
      <c r="K92" s="371"/>
      <c r="L92" s="401">
        <v>8</v>
      </c>
      <c r="M92" s="669" t="s">
        <v>491</v>
      </c>
      <c r="N92" s="419" t="s">
        <v>519</v>
      </c>
      <c r="O92" s="645"/>
      <c r="P92" s="705"/>
      <c r="Q92" s="403">
        <v>1100</v>
      </c>
      <c r="R92" s="219" t="s">
        <v>520</v>
      </c>
      <c r="S92" s="626" t="s">
        <v>521</v>
      </c>
      <c r="T92" s="758">
        <v>45808</v>
      </c>
      <c r="U92" s="766">
        <v>0</v>
      </c>
      <c r="V92" s="929"/>
      <c r="W92" s="772">
        <v>45827</v>
      </c>
      <c r="X92" s="928"/>
      <c r="Y92" s="207"/>
    </row>
    <row r="93" spans="1:42" ht="14.25" customHeight="1" thickBot="1">
      <c r="B93" s="401">
        <v>8</v>
      </c>
      <c r="C93" s="402"/>
      <c r="D93" s="419"/>
      <c r="E93" s="645"/>
      <c r="F93" s="705"/>
      <c r="G93" s="403"/>
      <c r="H93" s="404"/>
      <c r="I93" s="923"/>
      <c r="J93" s="923"/>
      <c r="K93" s="371"/>
      <c r="L93" s="401">
        <v>8</v>
      </c>
      <c r="M93" s="669" t="s">
        <v>491</v>
      </c>
      <c r="N93" s="419" t="s">
        <v>522</v>
      </c>
      <c r="O93" s="645"/>
      <c r="P93" s="705"/>
      <c r="Q93" s="403">
        <v>12000</v>
      </c>
      <c r="R93" s="219" t="s">
        <v>523</v>
      </c>
      <c r="S93" s="626" t="s">
        <v>524</v>
      </c>
      <c r="T93" s="758">
        <v>45688</v>
      </c>
      <c r="U93" s="766">
        <v>8098.8322427598778</v>
      </c>
      <c r="V93" s="929"/>
      <c r="W93" s="774">
        <v>45708</v>
      </c>
      <c r="X93" s="928"/>
      <c r="Y93" s="207"/>
    </row>
    <row r="94" spans="1:42" ht="14.25" customHeight="1" thickBot="1">
      <c r="B94" s="401">
        <v>8</v>
      </c>
      <c r="C94" s="402"/>
      <c r="D94" s="419"/>
      <c r="E94" s="645"/>
      <c r="F94" s="705"/>
      <c r="G94" s="403"/>
      <c r="H94" s="404"/>
      <c r="I94" s="923"/>
      <c r="J94" s="923"/>
      <c r="K94" s="371"/>
      <c r="L94" s="401">
        <v>8</v>
      </c>
      <c r="M94" s="669" t="s">
        <v>491</v>
      </c>
      <c r="N94" s="419" t="s">
        <v>525</v>
      </c>
      <c r="O94" s="763">
        <v>0.5</v>
      </c>
      <c r="P94" s="705">
        <v>47900</v>
      </c>
      <c r="Q94" s="403">
        <f>O94*P94</f>
        <v>23950</v>
      </c>
      <c r="R94" s="925" t="s">
        <v>526</v>
      </c>
      <c r="S94" s="626" t="s">
        <v>527</v>
      </c>
      <c r="T94" s="787">
        <v>45747</v>
      </c>
      <c r="U94" s="766">
        <v>0</v>
      </c>
      <c r="V94" s="929"/>
      <c r="W94" s="772">
        <v>45736</v>
      </c>
      <c r="X94" s="928"/>
      <c r="Y94" s="207"/>
    </row>
    <row r="95" spans="1:42" ht="14.25" customHeight="1" thickBot="1">
      <c r="B95" s="401"/>
      <c r="C95" s="402"/>
      <c r="D95" s="419"/>
      <c r="E95" s="645"/>
      <c r="F95" s="705"/>
      <c r="G95" s="403"/>
      <c r="H95" s="404"/>
      <c r="I95" s="923"/>
      <c r="J95" s="923"/>
      <c r="K95" s="371"/>
      <c r="L95" s="401">
        <v>8</v>
      </c>
      <c r="M95" s="669" t="s">
        <v>491</v>
      </c>
      <c r="N95" s="419" t="s">
        <v>528</v>
      </c>
      <c r="O95" s="763">
        <v>0.5</v>
      </c>
      <c r="P95" s="705"/>
      <c r="Q95" s="403">
        <f>P94*O95</f>
        <v>23950</v>
      </c>
      <c r="R95" s="934"/>
      <c r="S95" s="626" t="s">
        <v>527</v>
      </c>
      <c r="T95" s="787">
        <v>45747</v>
      </c>
      <c r="U95" s="766">
        <v>0</v>
      </c>
      <c r="V95" s="929"/>
      <c r="W95" s="772">
        <v>45876</v>
      </c>
      <c r="X95" s="928"/>
      <c r="Y95" s="207"/>
    </row>
    <row r="96" spans="1:42" ht="14.25" customHeight="1" thickBot="1">
      <c r="B96" s="401">
        <v>8</v>
      </c>
      <c r="C96" s="402"/>
      <c r="D96" s="419"/>
      <c r="E96" s="645"/>
      <c r="F96" s="705"/>
      <c r="G96" s="403"/>
      <c r="H96" s="404"/>
      <c r="I96" s="923"/>
      <c r="J96" s="923"/>
      <c r="K96" s="371"/>
      <c r="L96" s="401">
        <v>8</v>
      </c>
      <c r="M96" s="669" t="s">
        <v>491</v>
      </c>
      <c r="N96" s="419" t="s">
        <v>529</v>
      </c>
      <c r="O96" s="645"/>
      <c r="P96" s="705"/>
      <c r="Q96" s="403">
        <v>0</v>
      </c>
      <c r="R96" s="219"/>
      <c r="S96" s="533"/>
      <c r="T96" s="503"/>
      <c r="U96" s="512">
        <f>(Q96/$X$82*$J$82)</f>
        <v>0</v>
      </c>
      <c r="V96" s="929"/>
      <c r="W96" s="461"/>
      <c r="X96" s="928"/>
      <c r="Y96" s="207"/>
    </row>
    <row r="97" spans="1:42" ht="14.25" customHeight="1" thickBot="1">
      <c r="B97" s="401"/>
      <c r="C97" s="402"/>
      <c r="D97" s="419"/>
      <c r="E97" s="645"/>
      <c r="F97" s="705"/>
      <c r="G97" s="403"/>
      <c r="H97" s="404"/>
      <c r="I97" s="923"/>
      <c r="J97" s="923"/>
      <c r="K97" s="371"/>
      <c r="L97" s="401">
        <v>8</v>
      </c>
      <c r="M97" s="669" t="s">
        <v>491</v>
      </c>
      <c r="N97" s="419" t="s">
        <v>530</v>
      </c>
      <c r="O97" s="763">
        <v>0.6</v>
      </c>
      <c r="P97" s="705">
        <v>106215.56</v>
      </c>
      <c r="Q97" s="403">
        <f>O97*P97</f>
        <v>63729.335999999996</v>
      </c>
      <c r="R97" s="925" t="s">
        <v>531</v>
      </c>
      <c r="S97" s="626" t="s">
        <v>532</v>
      </c>
      <c r="T97" s="758">
        <v>45716</v>
      </c>
      <c r="U97" s="782">
        <v>41161.591621423409</v>
      </c>
      <c r="V97" s="929"/>
      <c r="W97" s="772">
        <v>45708</v>
      </c>
      <c r="X97" s="928"/>
      <c r="Y97" s="207"/>
    </row>
    <row r="98" spans="1:42" ht="14.25" customHeight="1" thickBot="1">
      <c r="B98" s="401"/>
      <c r="C98" s="402"/>
      <c r="D98" s="419"/>
      <c r="E98" s="645"/>
      <c r="F98" s="705"/>
      <c r="G98" s="403"/>
      <c r="H98" s="404"/>
      <c r="I98" s="923"/>
      <c r="J98" s="923"/>
      <c r="K98" s="371"/>
      <c r="L98" s="401">
        <v>8</v>
      </c>
      <c r="M98" s="669" t="s">
        <v>491</v>
      </c>
      <c r="N98" s="419"/>
      <c r="O98" s="763">
        <v>0.4</v>
      </c>
      <c r="P98" s="705"/>
      <c r="Q98" s="403">
        <f>O98*P97</f>
        <v>42486.224000000002</v>
      </c>
      <c r="R98" s="934"/>
      <c r="S98" s="626" t="s">
        <v>533</v>
      </c>
      <c r="T98" s="758">
        <v>45747</v>
      </c>
      <c r="U98" s="782">
        <v>26939.091736530012</v>
      </c>
      <c r="V98" s="929"/>
      <c r="W98" s="772">
        <v>45750</v>
      </c>
      <c r="X98" s="928"/>
      <c r="Y98" s="207"/>
    </row>
    <row r="99" spans="1:42" ht="14.25" customHeight="1" thickBot="1">
      <c r="B99" s="401"/>
      <c r="C99" s="402"/>
      <c r="D99" s="419"/>
      <c r="E99" s="645"/>
      <c r="F99" s="705"/>
      <c r="G99" s="403"/>
      <c r="H99" s="404"/>
      <c r="I99" s="923"/>
      <c r="J99" s="923"/>
      <c r="K99" s="371"/>
      <c r="L99" s="401">
        <v>8</v>
      </c>
      <c r="M99" s="669" t="s">
        <v>491</v>
      </c>
      <c r="N99" s="419" t="s">
        <v>534</v>
      </c>
      <c r="O99" s="763">
        <v>0.75</v>
      </c>
      <c r="P99" s="705">
        <v>44655</v>
      </c>
      <c r="Q99" s="403">
        <f>O99*P99</f>
        <v>33491.25</v>
      </c>
      <c r="R99" s="925" t="s">
        <v>535</v>
      </c>
      <c r="S99" s="626" t="s">
        <v>536</v>
      </c>
      <c r="T99" s="758">
        <v>45777</v>
      </c>
      <c r="U99" s="766">
        <v>39856.732746080124</v>
      </c>
      <c r="V99" s="929"/>
      <c r="W99" s="772">
        <v>45757</v>
      </c>
      <c r="X99" s="928"/>
      <c r="Y99" s="207"/>
    </row>
    <row r="100" spans="1:42" ht="14.25" customHeight="1" thickBot="1">
      <c r="B100" s="401"/>
      <c r="C100" s="402"/>
      <c r="D100" s="419"/>
      <c r="E100" s="645"/>
      <c r="F100" s="705"/>
      <c r="G100" s="403"/>
      <c r="H100" s="404"/>
      <c r="I100" s="923"/>
      <c r="J100" s="923"/>
      <c r="K100" s="371"/>
      <c r="L100" s="401">
        <v>8</v>
      </c>
      <c r="M100" s="669" t="s">
        <v>491</v>
      </c>
      <c r="N100" s="419"/>
      <c r="O100" s="763">
        <v>0.25</v>
      </c>
      <c r="P100" s="705"/>
      <c r="Q100" s="403">
        <f>O100*P99</f>
        <v>11163.75</v>
      </c>
      <c r="R100" s="934"/>
      <c r="S100" s="626" t="s">
        <v>536</v>
      </c>
      <c r="T100" s="758">
        <v>45777</v>
      </c>
      <c r="U100" s="766">
        <v>13285.577582026706</v>
      </c>
      <c r="V100" s="929"/>
      <c r="W100" s="786">
        <v>45792</v>
      </c>
      <c r="X100" s="928"/>
      <c r="Y100" s="207"/>
    </row>
    <row r="101" spans="1:42" ht="14.25" customHeight="1" thickBot="1">
      <c r="B101" s="401"/>
      <c r="C101" s="402"/>
      <c r="D101" s="419"/>
      <c r="E101" s="645"/>
      <c r="F101" s="705"/>
      <c r="G101" s="403"/>
      <c r="H101" s="404"/>
      <c r="I101" s="923"/>
      <c r="J101" s="923"/>
      <c r="K101" s="371"/>
      <c r="L101" s="401">
        <v>8</v>
      </c>
      <c r="M101" s="669" t="s">
        <v>491</v>
      </c>
      <c r="N101" s="419" t="s">
        <v>537</v>
      </c>
      <c r="O101" s="645"/>
      <c r="P101" s="705"/>
      <c r="Q101" s="403">
        <v>3500</v>
      </c>
      <c r="R101" s="219" t="s">
        <v>538</v>
      </c>
      <c r="S101" s="626" t="s">
        <v>539</v>
      </c>
      <c r="T101" s="758">
        <v>45808</v>
      </c>
      <c r="U101" s="837">
        <v>76733.911788593541</v>
      </c>
      <c r="V101" s="929"/>
      <c r="W101" s="772">
        <v>45820</v>
      </c>
      <c r="X101" s="928"/>
      <c r="Y101" s="207"/>
    </row>
    <row r="102" spans="1:42" ht="14.25" customHeight="1" thickBot="1">
      <c r="B102" s="401"/>
      <c r="C102" s="402"/>
      <c r="D102" s="419"/>
      <c r="E102" s="645"/>
      <c r="F102" s="705"/>
      <c r="G102" s="403"/>
      <c r="H102" s="404"/>
      <c r="I102" s="923"/>
      <c r="J102" s="923"/>
      <c r="K102" s="371"/>
      <c r="L102" s="401">
        <v>8</v>
      </c>
      <c r="M102" s="669" t="s">
        <v>491</v>
      </c>
      <c r="N102" s="419" t="s">
        <v>540</v>
      </c>
      <c r="O102" s="645">
        <v>50</v>
      </c>
      <c r="P102" s="705">
        <v>94.8</v>
      </c>
      <c r="Q102" s="403">
        <f>O102*P102</f>
        <v>4740</v>
      </c>
      <c r="R102" s="925" t="s">
        <v>541</v>
      </c>
      <c r="S102" s="626" t="s">
        <v>542</v>
      </c>
      <c r="T102" s="758">
        <v>45808</v>
      </c>
      <c r="U102" s="838">
        <v>6353.8099079809645</v>
      </c>
      <c r="V102" s="929"/>
      <c r="W102" s="772">
        <v>45806</v>
      </c>
      <c r="X102" s="928"/>
      <c r="Y102" s="207"/>
    </row>
    <row r="103" spans="1:42" ht="15" customHeight="1" thickBot="1">
      <c r="B103" s="372">
        <v>8</v>
      </c>
      <c r="C103" s="373"/>
      <c r="D103" s="374"/>
      <c r="E103" s="707"/>
      <c r="F103" s="376"/>
      <c r="G103" s="377"/>
      <c r="H103" s="378"/>
      <c r="I103" s="923"/>
      <c r="J103" s="923"/>
      <c r="K103" s="379"/>
      <c r="L103" s="372">
        <v>8</v>
      </c>
      <c r="M103" s="666" t="s">
        <v>491</v>
      </c>
      <c r="N103" s="419" t="s">
        <v>543</v>
      </c>
      <c r="O103" s="645">
        <v>1</v>
      </c>
      <c r="P103" s="705">
        <v>1670</v>
      </c>
      <c r="Q103" s="377">
        <f>O103*P103</f>
        <v>1670</v>
      </c>
      <c r="R103" s="927"/>
      <c r="S103" s="826" t="s">
        <v>542</v>
      </c>
      <c r="T103" s="818">
        <v>45808</v>
      </c>
      <c r="U103" s="839">
        <v>2238.5785962717746</v>
      </c>
      <c r="V103" s="929"/>
      <c r="W103" s="824">
        <v>45806</v>
      </c>
      <c r="X103" s="928"/>
      <c r="Y103" s="205"/>
    </row>
    <row r="104" spans="1:42" ht="22.5" customHeight="1" thickBot="1">
      <c r="A104" s="24"/>
      <c r="B104" s="420"/>
      <c r="C104" s="167"/>
      <c r="D104" s="167"/>
      <c r="E104" s="167"/>
      <c r="F104" s="167"/>
      <c r="G104" s="167"/>
      <c r="H104" s="167"/>
      <c r="I104" s="679"/>
      <c r="J104" s="680"/>
      <c r="K104" s="167" t="s">
        <v>544</v>
      </c>
      <c r="L104" s="420"/>
      <c r="M104" s="167"/>
      <c r="N104" s="167"/>
      <c r="O104" s="167"/>
      <c r="P104" s="167"/>
      <c r="Q104" s="167"/>
      <c r="R104" s="220"/>
      <c r="S104" s="535"/>
      <c r="T104" s="194" t="str">
        <f t="shared" si="13"/>
        <v/>
      </c>
      <c r="U104" s="505"/>
      <c r="V104" s="685"/>
      <c r="W104" s="470"/>
      <c r="X104" s="686"/>
      <c r="Y104" s="16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</row>
    <row r="105" spans="1:42" ht="15" customHeight="1" thickBot="1">
      <c r="B105" s="386">
        <v>9</v>
      </c>
      <c r="C105" s="688" t="s">
        <v>545</v>
      </c>
      <c r="D105" s="407" t="s">
        <v>476</v>
      </c>
      <c r="E105" s="391"/>
      <c r="F105" s="408">
        <v>0.1</v>
      </c>
      <c r="G105" s="390">
        <f>SUM($C$106:$C$107)*F105</f>
        <v>154328</v>
      </c>
      <c r="H105" s="349">
        <f>'Project Plan'!E19-7</f>
        <v>45656</v>
      </c>
      <c r="I105" s="949">
        <f>SUM(G105:G115)</f>
        <v>1003132</v>
      </c>
      <c r="J105" s="924">
        <f>509391.304347826+1168086.95652174</f>
        <v>1677478.2608695659</v>
      </c>
      <c r="K105" s="350"/>
      <c r="L105" s="386">
        <v>9</v>
      </c>
      <c r="M105" s="657" t="s">
        <v>546</v>
      </c>
      <c r="N105" s="407" t="s">
        <v>414</v>
      </c>
      <c r="O105" s="692">
        <v>912222.22</v>
      </c>
      <c r="P105" s="408">
        <v>0.3</v>
      </c>
      <c r="Q105" s="344">
        <f>$O$105*P105</f>
        <v>273666.66599999997</v>
      </c>
      <c r="R105" s="946" t="s">
        <v>415</v>
      </c>
      <c r="S105" s="536" t="s">
        <v>416</v>
      </c>
      <c r="T105" s="732">
        <v>45688</v>
      </c>
      <c r="U105" s="768">
        <v>503243.47826086974</v>
      </c>
      <c r="V105" s="950">
        <f>J105-SUM(U105:U115)</f>
        <v>0</v>
      </c>
      <c r="W105" s="738">
        <v>45666</v>
      </c>
      <c r="X105" s="953">
        <f>SUM(Q105:Q115)</f>
        <v>2052500</v>
      </c>
      <c r="Y105" s="202"/>
    </row>
    <row r="106" spans="1:42" ht="15" customHeight="1" thickBot="1">
      <c r="B106" s="386">
        <v>9</v>
      </c>
      <c r="C106" s="688">
        <v>468640</v>
      </c>
      <c r="D106" s="409" t="s">
        <v>126</v>
      </c>
      <c r="E106" s="391"/>
      <c r="F106" s="410">
        <v>0.15</v>
      </c>
      <c r="G106" s="390">
        <f>SUM($C$106:$C$107)*F106</f>
        <v>231492</v>
      </c>
      <c r="H106" s="349">
        <f>'Project Plan'!I19</f>
        <v>45663</v>
      </c>
      <c r="I106" s="949"/>
      <c r="J106" s="924"/>
      <c r="K106" s="350"/>
      <c r="L106" s="386">
        <v>9</v>
      </c>
      <c r="M106" s="657" t="s">
        <v>546</v>
      </c>
      <c r="N106" s="409" t="s">
        <v>417</v>
      </c>
      <c r="O106" s="391"/>
      <c r="P106" s="410">
        <v>0.2</v>
      </c>
      <c r="Q106" s="390">
        <f>$O$105*P106</f>
        <v>182444.44400000002</v>
      </c>
      <c r="R106" s="947"/>
      <c r="S106" s="523" t="s">
        <v>418</v>
      </c>
      <c r="T106" s="751">
        <v>45716</v>
      </c>
      <c r="U106" s="783">
        <v>335495.6521739132</v>
      </c>
      <c r="V106" s="950"/>
      <c r="W106" s="773">
        <v>45708</v>
      </c>
      <c r="X106" s="953"/>
      <c r="Y106" s="202"/>
    </row>
    <row r="107" spans="1:42" ht="15" customHeight="1" thickBot="1">
      <c r="B107" s="386">
        <v>9</v>
      </c>
      <c r="C107" s="688">
        <v>1074640</v>
      </c>
      <c r="D107" s="409" t="s">
        <v>484</v>
      </c>
      <c r="E107" s="391"/>
      <c r="F107" s="410">
        <v>0.2</v>
      </c>
      <c r="G107" s="390">
        <f>SUM($C$106:$C$107)*F107</f>
        <v>308656</v>
      </c>
      <c r="H107" s="349">
        <f>'Project Plan'!G22</f>
        <v>45653</v>
      </c>
      <c r="I107" s="949"/>
      <c r="J107" s="924"/>
      <c r="K107" s="350"/>
      <c r="L107" s="386">
        <v>9</v>
      </c>
      <c r="M107" s="657" t="s">
        <v>546</v>
      </c>
      <c r="N107" s="409" t="s">
        <v>419</v>
      </c>
      <c r="O107" s="391"/>
      <c r="P107" s="410">
        <v>0.3</v>
      </c>
      <c r="Q107" s="390">
        <f>$O$105*P107</f>
        <v>273666.66599999997</v>
      </c>
      <c r="R107" s="947"/>
      <c r="S107" s="523" t="s">
        <v>547</v>
      </c>
      <c r="T107" s="751">
        <v>45747</v>
      </c>
      <c r="U107" s="783">
        <v>223663.76757108516</v>
      </c>
      <c r="V107" s="950"/>
      <c r="W107" s="773">
        <v>45757</v>
      </c>
      <c r="X107" s="953"/>
      <c r="Y107" s="202"/>
    </row>
    <row r="108" spans="1:42" ht="15" customHeight="1" thickBot="1">
      <c r="B108" s="386">
        <v>9</v>
      </c>
      <c r="C108" s="421"/>
      <c r="D108" s="409" t="s">
        <v>485</v>
      </c>
      <c r="E108" s="391"/>
      <c r="F108" s="410">
        <v>0.1</v>
      </c>
      <c r="G108" s="390">
        <f>SUM($C$106:$C$107)*F108</f>
        <v>154328</v>
      </c>
      <c r="H108" s="349" t="e">
        <f>H86</f>
        <v>#REF!</v>
      </c>
      <c r="I108" s="949"/>
      <c r="J108" s="924"/>
      <c r="K108" s="350"/>
      <c r="L108" s="386">
        <v>9</v>
      </c>
      <c r="M108" s="657" t="s">
        <v>546</v>
      </c>
      <c r="N108" s="409" t="s">
        <v>420</v>
      </c>
      <c r="O108" s="391"/>
      <c r="P108" s="410">
        <v>0.15</v>
      </c>
      <c r="Q108" s="390">
        <f>$O$105*P108</f>
        <v>136833.33299999998</v>
      </c>
      <c r="R108" s="947"/>
      <c r="S108" s="532" t="s">
        <v>548</v>
      </c>
      <c r="T108" s="734">
        <v>45777</v>
      </c>
      <c r="U108" s="816">
        <v>111831.88378554258</v>
      </c>
      <c r="V108" s="950"/>
      <c r="W108" s="773">
        <v>45764</v>
      </c>
      <c r="X108" s="953"/>
      <c r="Y108" s="202"/>
    </row>
    <row r="109" spans="1:42" ht="15" customHeight="1" thickBot="1">
      <c r="B109" s="557">
        <v>9</v>
      </c>
      <c r="C109" s="648"/>
      <c r="D109" s="559" t="s">
        <v>486</v>
      </c>
      <c r="E109" s="560"/>
      <c r="F109" s="561">
        <v>0.05</v>
      </c>
      <c r="G109" s="562">
        <f>SUM($C$106:$C$107)*F109</f>
        <v>77164</v>
      </c>
      <c r="H109" s="349" t="e">
        <f>#REF!</f>
        <v>#REF!</v>
      </c>
      <c r="I109" s="949"/>
      <c r="J109" s="924"/>
      <c r="K109" s="350"/>
      <c r="L109" s="386">
        <v>9</v>
      </c>
      <c r="M109" s="657" t="s">
        <v>546</v>
      </c>
      <c r="N109" s="409" t="s">
        <v>423</v>
      </c>
      <c r="O109" s="560"/>
      <c r="P109" s="561">
        <v>0.05</v>
      </c>
      <c r="Q109" s="562">
        <f>$O$105*P109</f>
        <v>45611.111000000004</v>
      </c>
      <c r="R109" s="931"/>
      <c r="S109" s="532" t="s">
        <v>424</v>
      </c>
      <c r="T109" s="728">
        <v>45838</v>
      </c>
      <c r="U109" s="853">
        <v>37277.294595180865</v>
      </c>
      <c r="V109" s="950"/>
      <c r="W109" s="773">
        <f>W115</f>
        <v>45890</v>
      </c>
      <c r="X109" s="953"/>
      <c r="Y109" s="485"/>
    </row>
    <row r="110" spans="1:42" ht="15" customHeight="1" thickBot="1">
      <c r="B110" s="557"/>
      <c r="C110" s="648"/>
      <c r="D110" s="559"/>
      <c r="E110" s="560"/>
      <c r="F110" s="561"/>
      <c r="G110" s="562"/>
      <c r="H110" s="797"/>
      <c r="I110" s="949"/>
      <c r="J110" s="924"/>
      <c r="K110" s="350"/>
      <c r="L110" s="386">
        <v>9</v>
      </c>
      <c r="M110" s="657" t="s">
        <v>546</v>
      </c>
      <c r="N110" s="802" t="s">
        <v>425</v>
      </c>
      <c r="O110" s="560"/>
      <c r="P110" s="561"/>
      <c r="Q110" s="800"/>
      <c r="R110" s="789"/>
      <c r="S110" s="532"/>
      <c r="T110" s="504"/>
      <c r="U110" s="684"/>
      <c r="V110" s="950"/>
      <c r="W110" s="798"/>
      <c r="X110" s="953"/>
      <c r="Y110" s="485"/>
    </row>
    <row r="111" spans="1:42" ht="15" customHeight="1" thickBot="1">
      <c r="B111" s="557"/>
      <c r="C111" s="648"/>
      <c r="D111" s="559"/>
      <c r="E111" s="560"/>
      <c r="F111" s="561"/>
      <c r="G111" s="562"/>
      <c r="H111" s="797"/>
      <c r="I111" s="949"/>
      <c r="J111" s="924"/>
      <c r="K111" s="350"/>
      <c r="L111" s="386">
        <v>9</v>
      </c>
      <c r="M111" s="657" t="s">
        <v>546</v>
      </c>
      <c r="N111" s="559" t="s">
        <v>426</v>
      </c>
      <c r="O111" s="807">
        <v>1140277.78</v>
      </c>
      <c r="P111" s="561">
        <v>0.3</v>
      </c>
      <c r="Q111" s="800">
        <f>O111*P111</f>
        <v>342083.33399999997</v>
      </c>
      <c r="R111" s="789"/>
      <c r="S111" s="532" t="s">
        <v>416</v>
      </c>
      <c r="T111" s="728">
        <v>45688</v>
      </c>
      <c r="U111" s="684"/>
      <c r="V111" s="950"/>
      <c r="W111" s="780">
        <v>45666</v>
      </c>
      <c r="X111" s="935"/>
      <c r="Y111" s="485"/>
    </row>
    <row r="112" spans="1:42" ht="15" customHeight="1" thickBot="1">
      <c r="B112" s="557"/>
      <c r="C112" s="648"/>
      <c r="D112" s="559"/>
      <c r="E112" s="560"/>
      <c r="F112" s="561"/>
      <c r="G112" s="562"/>
      <c r="H112" s="797"/>
      <c r="I112" s="949"/>
      <c r="J112" s="924"/>
      <c r="K112" s="350"/>
      <c r="L112" s="386">
        <v>9</v>
      </c>
      <c r="M112" s="657" t="s">
        <v>546</v>
      </c>
      <c r="N112" s="559" t="s">
        <v>417</v>
      </c>
      <c r="O112" s="560"/>
      <c r="P112" s="561">
        <v>0.2</v>
      </c>
      <c r="Q112" s="800">
        <f>O111*P112</f>
        <v>228055.55600000001</v>
      </c>
      <c r="R112" s="789"/>
      <c r="S112" s="532" t="s">
        <v>418</v>
      </c>
      <c r="T112" s="728">
        <v>45716</v>
      </c>
      <c r="U112" s="684"/>
      <c r="V112" s="950"/>
      <c r="W112" s="784">
        <v>45708</v>
      </c>
      <c r="X112" s="935"/>
      <c r="Y112" s="485"/>
    </row>
    <row r="113" spans="1:42" ht="15.6" customHeight="1" thickBot="1">
      <c r="B113" s="557"/>
      <c r="C113" s="648"/>
      <c r="D113" s="559"/>
      <c r="E113" s="560"/>
      <c r="F113" s="561"/>
      <c r="G113" s="562"/>
      <c r="H113" s="797"/>
      <c r="I113" s="949"/>
      <c r="J113" s="924"/>
      <c r="K113" s="350"/>
      <c r="L113" s="386">
        <v>9</v>
      </c>
      <c r="M113" s="657" t="s">
        <v>546</v>
      </c>
      <c r="N113" s="559" t="s">
        <v>283</v>
      </c>
      <c r="O113" s="560"/>
      <c r="P113" s="561">
        <v>0.3</v>
      </c>
      <c r="Q113" s="800">
        <f>O111*P113</f>
        <v>342083.33399999997</v>
      </c>
      <c r="R113" s="789"/>
      <c r="S113" s="532" t="s">
        <v>427</v>
      </c>
      <c r="T113" s="728">
        <v>45777</v>
      </c>
      <c r="U113" s="817">
        <v>279579.71068978455</v>
      </c>
      <c r="V113" s="950"/>
      <c r="W113" s="784">
        <v>45785</v>
      </c>
      <c r="X113" s="935"/>
      <c r="Y113" s="485"/>
    </row>
    <row r="114" spans="1:42" ht="15" customHeight="1" thickBot="1">
      <c r="B114" s="557"/>
      <c r="C114" s="648"/>
      <c r="D114" s="559"/>
      <c r="E114" s="560"/>
      <c r="F114" s="561"/>
      <c r="G114" s="562"/>
      <c r="H114" s="797"/>
      <c r="I114" s="949"/>
      <c r="J114" s="924"/>
      <c r="K114" s="350"/>
      <c r="L114" s="386">
        <v>9</v>
      </c>
      <c r="M114" s="657" t="s">
        <v>546</v>
      </c>
      <c r="N114" s="559" t="s">
        <v>428</v>
      </c>
      <c r="O114" s="560"/>
      <c r="P114" s="561">
        <v>0.15</v>
      </c>
      <c r="Q114" s="800">
        <f>O111*P114</f>
        <v>171041.66699999999</v>
      </c>
      <c r="R114" s="789"/>
      <c r="S114" s="532" t="s">
        <v>427</v>
      </c>
      <c r="T114" s="728">
        <v>45777</v>
      </c>
      <c r="U114" s="817">
        <v>139789.85534489228</v>
      </c>
      <c r="V114" s="950"/>
      <c r="W114" s="784">
        <v>45785</v>
      </c>
      <c r="X114" s="935"/>
      <c r="Y114" s="485"/>
    </row>
    <row r="115" spans="1:42" ht="15" customHeight="1" thickBot="1">
      <c r="B115" s="392">
        <v>9</v>
      </c>
      <c r="C115" s="677"/>
      <c r="D115" s="411" t="s">
        <v>487</v>
      </c>
      <c r="E115" s="395"/>
      <c r="F115" s="412">
        <v>0.05</v>
      </c>
      <c r="G115" s="413">
        <f>SUM($C$106:$C$107)*F115</f>
        <v>77164</v>
      </c>
      <c r="H115" s="678" t="e">
        <f>H109+90</f>
        <v>#REF!</v>
      </c>
      <c r="I115" s="949"/>
      <c r="J115" s="924"/>
      <c r="K115" s="486"/>
      <c r="L115" s="681">
        <v>9</v>
      </c>
      <c r="M115" s="682" t="s">
        <v>546</v>
      </c>
      <c r="N115" s="411" t="s">
        <v>423</v>
      </c>
      <c r="O115" s="395"/>
      <c r="P115" s="412">
        <v>0.05</v>
      </c>
      <c r="Q115" s="683">
        <f>O111*P115</f>
        <v>57013.889000000003</v>
      </c>
      <c r="R115" s="687"/>
      <c r="S115" s="829" t="s">
        <v>430</v>
      </c>
      <c r="T115" s="830">
        <v>45838</v>
      </c>
      <c r="U115" s="854">
        <v>46596.618448297428</v>
      </c>
      <c r="V115" s="950"/>
      <c r="W115" s="678">
        <v>45890</v>
      </c>
      <c r="X115" s="953"/>
      <c r="Y115" s="203"/>
    </row>
    <row r="116" spans="1:42" ht="14.45" thickBot="1">
      <c r="A116" s="24"/>
      <c r="B116" s="353"/>
      <c r="C116" s="380"/>
      <c r="D116" s="381"/>
      <c r="E116" s="382"/>
      <c r="F116" s="383"/>
      <c r="G116" s="356"/>
      <c r="H116" s="339"/>
      <c r="I116" s="340"/>
      <c r="J116" s="592"/>
      <c r="K116" s="24"/>
      <c r="L116" s="353"/>
      <c r="M116" s="380"/>
      <c r="N116" s="381"/>
      <c r="O116" s="382"/>
      <c r="P116" s="383"/>
      <c r="Q116" s="801"/>
      <c r="R116" s="214"/>
      <c r="S116" s="799"/>
      <c r="T116" s="539" t="str">
        <f t="shared" ref="T116:T167" si="15">IF(W116&gt;1,EOMONTH(W116,0),"")</f>
        <v/>
      </c>
      <c r="U116" s="497"/>
      <c r="V116" s="632"/>
      <c r="W116" s="457"/>
      <c r="X116" s="467"/>
      <c r="Y116" s="20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 thickBot="1">
      <c r="B117" s="321">
        <v>10</v>
      </c>
      <c r="C117" s="322" t="s">
        <v>549</v>
      </c>
      <c r="D117" s="322" t="s">
        <v>392</v>
      </c>
      <c r="E117" s="323"/>
      <c r="F117" s="423"/>
      <c r="G117" s="424">
        <v>32400</v>
      </c>
      <c r="H117" s="325">
        <f>H106</f>
        <v>45663</v>
      </c>
      <c r="I117" s="943">
        <f>SUM(G117:G137)</f>
        <v>234820.18</v>
      </c>
      <c r="J117" s="943">
        <f>9239.13043478261+35217.3913043478+56404.8913043478+73173.9130434783+81204</f>
        <v>255239.32608695651</v>
      </c>
      <c r="K117" s="425"/>
      <c r="L117" s="321">
        <v>10</v>
      </c>
      <c r="M117" s="670" t="s">
        <v>550</v>
      </c>
      <c r="N117" s="322"/>
      <c r="O117" s="323"/>
      <c r="P117" s="722"/>
      <c r="Q117" s="424"/>
      <c r="R117" s="210"/>
      <c r="S117" s="612"/>
      <c r="T117" s="627"/>
      <c r="U117" s="506">
        <f>(Q117/$X$117*$J$117)</f>
        <v>0</v>
      </c>
      <c r="V117" s="944">
        <f>J117-SUM(U117:U137)</f>
        <v>2.5339913263451308E-3</v>
      </c>
      <c r="W117" s="628"/>
      <c r="X117" s="945">
        <f>SUM(Q117:Q137)</f>
        <v>424330.00000000006</v>
      </c>
      <c r="Y117" s="196"/>
    </row>
    <row r="118" spans="1:42" ht="14.25" customHeight="1" thickBot="1">
      <c r="B118" s="426">
        <v>10</v>
      </c>
      <c r="C118" s="329"/>
      <c r="D118" s="329" t="s">
        <v>376</v>
      </c>
      <c r="E118" s="431"/>
      <c r="F118" s="432"/>
      <c r="G118" s="324">
        <v>8500</v>
      </c>
      <c r="H118" s="327" t="e">
        <f>H108</f>
        <v>#REF!</v>
      </c>
      <c r="I118" s="943"/>
      <c r="J118" s="943"/>
      <c r="K118" s="328"/>
      <c r="L118" s="426">
        <v>10</v>
      </c>
      <c r="M118" s="671" t="s">
        <v>550</v>
      </c>
      <c r="N118" s="329"/>
      <c r="O118" s="431"/>
      <c r="P118" s="432"/>
      <c r="Q118" s="324"/>
      <c r="R118" s="212"/>
      <c r="S118" s="448"/>
      <c r="T118" s="499"/>
      <c r="U118" s="540">
        <f>(Q118/$X$117*$J$117)</f>
        <v>0</v>
      </c>
      <c r="V118" s="944"/>
      <c r="W118" s="462"/>
      <c r="X118" s="945"/>
      <c r="Y118" s="198"/>
      <c r="Z118" s="24"/>
      <c r="AA118" s="24"/>
    </row>
    <row r="119" spans="1:42" ht="14.25" customHeight="1" thickBot="1">
      <c r="B119" s="426"/>
      <c r="C119" s="329"/>
      <c r="D119" s="329"/>
      <c r="E119" s="431"/>
      <c r="F119" s="432"/>
      <c r="G119" s="324"/>
      <c r="H119" s="327"/>
      <c r="I119" s="943"/>
      <c r="J119" s="943"/>
      <c r="K119" s="328"/>
      <c r="L119" s="426">
        <v>10</v>
      </c>
      <c r="M119" s="671" t="s">
        <v>550</v>
      </c>
      <c r="N119" s="329"/>
      <c r="O119" s="431"/>
      <c r="P119" s="432"/>
      <c r="Q119" s="324"/>
      <c r="R119" s="212"/>
      <c r="S119" s="448"/>
      <c r="T119" s="499"/>
      <c r="U119" s="540">
        <f>(Q119/$X$117*$J$117)</f>
        <v>0</v>
      </c>
      <c r="V119" s="944"/>
      <c r="W119" s="462"/>
      <c r="X119" s="945"/>
      <c r="Y119" s="198"/>
      <c r="Z119" s="24"/>
      <c r="AA119" s="24"/>
    </row>
    <row r="120" spans="1:42" ht="14.25" customHeight="1" thickBot="1">
      <c r="B120" s="426"/>
      <c r="C120" s="329"/>
      <c r="D120" s="329"/>
      <c r="E120" s="431"/>
      <c r="F120" s="432"/>
      <c r="G120" s="324"/>
      <c r="H120" s="327"/>
      <c r="I120" s="943"/>
      <c r="J120" s="943"/>
      <c r="K120" s="328"/>
      <c r="L120" s="426">
        <v>10</v>
      </c>
      <c r="M120" s="671" t="s">
        <v>550</v>
      </c>
      <c r="N120" s="329" t="s">
        <v>551</v>
      </c>
      <c r="O120" s="431"/>
      <c r="P120" s="432"/>
      <c r="Q120" s="324">
        <v>1950</v>
      </c>
      <c r="R120" s="212" t="s">
        <v>552</v>
      </c>
      <c r="S120" s="730" t="s">
        <v>553</v>
      </c>
      <c r="T120" s="731">
        <v>45688</v>
      </c>
      <c r="U120" s="769">
        <v>1151.6421071534203</v>
      </c>
      <c r="V120" s="944"/>
      <c r="W120" s="760">
        <v>45687</v>
      </c>
      <c r="X120" s="945"/>
      <c r="Y120" s="198"/>
      <c r="Z120" s="24"/>
      <c r="AA120" s="24"/>
    </row>
    <row r="121" spans="1:42" ht="14.25" customHeight="1" thickBot="1">
      <c r="B121" s="426"/>
      <c r="C121" s="329"/>
      <c r="D121" s="329"/>
      <c r="E121" s="431"/>
      <c r="F121" s="432"/>
      <c r="G121" s="324"/>
      <c r="H121" s="327"/>
      <c r="I121" s="943"/>
      <c r="J121" s="943"/>
      <c r="K121" s="328"/>
      <c r="L121" s="426">
        <v>10</v>
      </c>
      <c r="M121" s="671" t="s">
        <v>550</v>
      </c>
      <c r="N121" s="329" t="s">
        <v>554</v>
      </c>
      <c r="O121" s="431"/>
      <c r="P121" s="432"/>
      <c r="Q121" s="324">
        <v>650</v>
      </c>
      <c r="R121" s="212" t="s">
        <v>555</v>
      </c>
      <c r="S121" s="730" t="s">
        <v>556</v>
      </c>
      <c r="T121" s="731">
        <v>45777</v>
      </c>
      <c r="U121" s="769">
        <v>0</v>
      </c>
      <c r="V121" s="944"/>
      <c r="W121" s="760">
        <v>45764</v>
      </c>
      <c r="X121" s="945"/>
      <c r="Y121" s="198"/>
      <c r="Z121" s="24"/>
      <c r="AA121" s="24"/>
    </row>
    <row r="122" spans="1:42" ht="14.25" customHeight="1" thickBot="1">
      <c r="B122" s="426"/>
      <c r="C122" s="329"/>
      <c r="D122" s="329"/>
      <c r="E122" s="431"/>
      <c r="F122" s="432"/>
      <c r="G122" s="324"/>
      <c r="H122" s="327"/>
      <c r="I122" s="943"/>
      <c r="J122" s="943"/>
      <c r="K122" s="328"/>
      <c r="L122" s="426">
        <v>10</v>
      </c>
      <c r="M122" s="671" t="s">
        <v>550</v>
      </c>
      <c r="N122" s="329" t="s">
        <v>557</v>
      </c>
      <c r="O122" s="431"/>
      <c r="P122" s="432"/>
      <c r="Q122" s="324">
        <v>27600</v>
      </c>
      <c r="R122" s="212" t="s">
        <v>558</v>
      </c>
      <c r="S122" s="730" t="s">
        <v>559</v>
      </c>
      <c r="T122" s="731">
        <v>45688</v>
      </c>
      <c r="U122" s="769">
        <v>16300.16520894072</v>
      </c>
      <c r="V122" s="944"/>
      <c r="W122" s="760">
        <v>45695</v>
      </c>
      <c r="X122" s="945"/>
      <c r="Y122" s="198"/>
      <c r="Z122" s="24"/>
      <c r="AA122" s="24"/>
    </row>
    <row r="123" spans="1:42" ht="14.25" customHeight="1" thickBot="1">
      <c r="B123" s="426"/>
      <c r="C123" s="329"/>
      <c r="D123" s="329"/>
      <c r="E123" s="431"/>
      <c r="F123" s="432"/>
      <c r="G123" s="324"/>
      <c r="H123" s="327"/>
      <c r="I123" s="943"/>
      <c r="J123" s="943"/>
      <c r="K123" s="328"/>
      <c r="L123" s="426">
        <v>10</v>
      </c>
      <c r="M123" s="671" t="s">
        <v>550</v>
      </c>
      <c r="N123" s="329" t="s">
        <v>560</v>
      </c>
      <c r="O123" s="431"/>
      <c r="P123" s="432"/>
      <c r="Q123" s="324">
        <v>31500</v>
      </c>
      <c r="R123" s="212" t="s">
        <v>561</v>
      </c>
      <c r="S123" s="730" t="s">
        <v>562</v>
      </c>
      <c r="T123" s="731">
        <v>45747</v>
      </c>
      <c r="U123" s="840">
        <v>18947.608634174179</v>
      </c>
      <c r="V123" s="944"/>
      <c r="W123" s="760">
        <v>45729</v>
      </c>
      <c r="X123" s="945"/>
      <c r="Y123" s="198"/>
      <c r="Z123" s="24"/>
      <c r="AA123" s="24"/>
    </row>
    <row r="124" spans="1:42" ht="14.25" customHeight="1" thickBot="1">
      <c r="B124" s="426"/>
      <c r="C124" s="329"/>
      <c r="D124" s="329"/>
      <c r="E124" s="431"/>
      <c r="F124" s="432"/>
      <c r="G124" s="324"/>
      <c r="H124" s="327"/>
      <c r="I124" s="943"/>
      <c r="J124" s="943"/>
      <c r="K124" s="328"/>
      <c r="L124" s="426"/>
      <c r="M124" s="671"/>
      <c r="N124" s="329"/>
      <c r="O124" s="431"/>
      <c r="P124" s="432"/>
      <c r="Q124" s="324"/>
      <c r="R124" s="212"/>
      <c r="S124" s="730"/>
      <c r="T124" s="731"/>
      <c r="U124" s="540"/>
      <c r="V124" s="944"/>
      <c r="W124" s="760"/>
      <c r="X124" s="945"/>
      <c r="Y124" s="198"/>
      <c r="Z124" s="24"/>
      <c r="AA124" s="24"/>
    </row>
    <row r="125" spans="1:42" ht="14.25" customHeight="1" thickBot="1">
      <c r="B125" s="426">
        <v>10</v>
      </c>
      <c r="C125" s="329"/>
      <c r="D125" s="329" t="s">
        <v>388</v>
      </c>
      <c r="E125" s="431"/>
      <c r="F125" s="432"/>
      <c r="G125" s="324">
        <v>51892.5</v>
      </c>
      <c r="H125" s="327" t="e">
        <f>H118</f>
        <v>#REF!</v>
      </c>
      <c r="I125" s="943"/>
      <c r="J125" s="943"/>
      <c r="K125" s="328"/>
      <c r="L125" s="426">
        <v>10</v>
      </c>
      <c r="M125" s="671" t="s">
        <v>550</v>
      </c>
      <c r="N125" s="329" t="s">
        <v>563</v>
      </c>
      <c r="O125" s="712">
        <v>161168.89000000001</v>
      </c>
      <c r="P125" s="710">
        <f>P105</f>
        <v>0.3</v>
      </c>
      <c r="Q125" s="324">
        <f>$O$125*P125</f>
        <v>48350.667000000001</v>
      </c>
      <c r="R125" s="212"/>
      <c r="S125" s="730" t="s">
        <v>416</v>
      </c>
      <c r="T125" s="731">
        <v>45688</v>
      </c>
      <c r="U125" s="769">
        <v>64249.227279545361</v>
      </c>
      <c r="V125" s="944"/>
      <c r="W125" s="737">
        <v>45666</v>
      </c>
      <c r="X125" s="945"/>
      <c r="Y125" s="198"/>
    </row>
    <row r="126" spans="1:42" ht="15" customHeight="1" thickBot="1">
      <c r="B126" s="426">
        <v>10</v>
      </c>
      <c r="C126" s="427"/>
      <c r="D126" s="427" t="s">
        <v>564</v>
      </c>
      <c r="E126" s="428"/>
      <c r="F126" s="429"/>
      <c r="G126" s="430">
        <v>74707.679999999993</v>
      </c>
      <c r="H126" s="327" t="e">
        <f>H118</f>
        <v>#REF!</v>
      </c>
      <c r="I126" s="943"/>
      <c r="J126" s="943"/>
      <c r="K126" s="328"/>
      <c r="L126" s="426">
        <v>10</v>
      </c>
      <c r="M126" s="671" t="s">
        <v>550</v>
      </c>
      <c r="N126" s="427" t="s">
        <v>417</v>
      </c>
      <c r="O126" s="428"/>
      <c r="P126" s="711">
        <f>P106</f>
        <v>0.2</v>
      </c>
      <c r="Q126" s="324">
        <f>$O$125*P126</f>
        <v>32233.778000000006</v>
      </c>
      <c r="R126" s="221"/>
      <c r="S126" s="494" t="s">
        <v>418</v>
      </c>
      <c r="T126" s="731">
        <f>T106</f>
        <v>45716</v>
      </c>
      <c r="U126" s="769">
        <v>45331.253513459706</v>
      </c>
      <c r="V126" s="944"/>
      <c r="W126" s="737">
        <f>W106</f>
        <v>45708</v>
      </c>
      <c r="X126" s="945"/>
      <c r="Y126" s="209"/>
    </row>
    <row r="127" spans="1:42" ht="15" customHeight="1" thickBot="1">
      <c r="B127" s="426">
        <v>10</v>
      </c>
      <c r="C127" s="427"/>
      <c r="D127" s="427" t="s">
        <v>565</v>
      </c>
      <c r="E127" s="428"/>
      <c r="F127" s="429"/>
      <c r="G127" s="430">
        <v>67320</v>
      </c>
      <c r="H127" s="327" t="e">
        <f>H126</f>
        <v>#REF!</v>
      </c>
      <c r="I127" s="943"/>
      <c r="J127" s="943"/>
      <c r="K127" s="328"/>
      <c r="L127" s="426">
        <v>10</v>
      </c>
      <c r="M127" s="671" t="s">
        <v>550</v>
      </c>
      <c r="N127" s="427" t="s">
        <v>419</v>
      </c>
      <c r="O127" s="428"/>
      <c r="P127" s="711">
        <f>P107</f>
        <v>0.3</v>
      </c>
      <c r="Q127" s="324">
        <f>$O$125*P127</f>
        <v>48350.667000000001</v>
      </c>
      <c r="R127" s="221"/>
      <c r="S127" s="494" t="str">
        <f>S107</f>
        <v>Cosmic Sun CS_TRS_008</v>
      </c>
      <c r="T127" s="731">
        <f>T107</f>
        <v>45747</v>
      </c>
      <c r="U127" s="769">
        <v>29279.866683088268</v>
      </c>
      <c r="V127" s="944"/>
      <c r="W127" s="737">
        <f>W107</f>
        <v>45757</v>
      </c>
      <c r="X127" s="945"/>
      <c r="Y127" s="209"/>
    </row>
    <row r="128" spans="1:42" ht="15" customHeight="1" thickBot="1">
      <c r="B128" s="426">
        <v>10</v>
      </c>
      <c r="C128" s="427"/>
      <c r="D128" s="427"/>
      <c r="E128" s="428"/>
      <c r="F128" s="429"/>
      <c r="G128" s="430"/>
      <c r="H128" s="327"/>
      <c r="I128" s="943"/>
      <c r="J128" s="943"/>
      <c r="K128" s="328"/>
      <c r="L128" s="426">
        <v>10</v>
      </c>
      <c r="M128" s="671" t="s">
        <v>550</v>
      </c>
      <c r="N128" s="427" t="s">
        <v>420</v>
      </c>
      <c r="O128" s="428"/>
      <c r="P128" s="711">
        <f>P108</f>
        <v>0.15</v>
      </c>
      <c r="Q128" s="324">
        <f>$O$125*P128</f>
        <v>24175.333500000001</v>
      </c>
      <c r="R128" s="221"/>
      <c r="S128" s="494" t="str">
        <f>S108</f>
        <v>Cosmic Sun CS_TRS_009</v>
      </c>
      <c r="T128" s="731">
        <f>T108</f>
        <v>45777</v>
      </c>
      <c r="U128" s="769">
        <v>14541.738341544135</v>
      </c>
      <c r="V128" s="944"/>
      <c r="W128" s="737">
        <f>W108</f>
        <v>45764</v>
      </c>
      <c r="X128" s="945"/>
      <c r="Y128" s="209"/>
    </row>
    <row r="129" spans="1:42" ht="15" customHeight="1" thickBot="1">
      <c r="B129" s="426">
        <v>10</v>
      </c>
      <c r="C129" s="427"/>
      <c r="D129" s="427"/>
      <c r="E129" s="428"/>
      <c r="F129" s="429"/>
      <c r="G129" s="430"/>
      <c r="H129" s="327"/>
      <c r="I129" s="943"/>
      <c r="J129" s="943"/>
      <c r="K129" s="328"/>
      <c r="L129" s="426">
        <v>10</v>
      </c>
      <c r="M129" s="671" t="s">
        <v>550</v>
      </c>
      <c r="N129" s="427" t="s">
        <v>423</v>
      </c>
      <c r="O129" s="428"/>
      <c r="P129" s="711">
        <f>P109</f>
        <v>0.05</v>
      </c>
      <c r="Q129" s="324">
        <f>$O$125*P129</f>
        <v>8058.4445000000014</v>
      </c>
      <c r="R129" s="221"/>
      <c r="S129" s="494" t="s">
        <v>424</v>
      </c>
      <c r="T129" s="731">
        <f>T109</f>
        <v>45838</v>
      </c>
      <c r="U129" s="855">
        <v>4847.2461138480458</v>
      </c>
      <c r="V129" s="944"/>
      <c r="W129" s="737">
        <f>W109</f>
        <v>45890</v>
      </c>
      <c r="X129" s="945"/>
      <c r="Y129" s="209"/>
    </row>
    <row r="130" spans="1:42" ht="15" customHeight="1" thickBot="1">
      <c r="B130" s="426"/>
      <c r="C130" s="427"/>
      <c r="D130" s="427"/>
      <c r="E130" s="428"/>
      <c r="F130" s="429"/>
      <c r="G130" s="430"/>
      <c r="H130" s="327"/>
      <c r="I130" s="943"/>
      <c r="J130" s="943"/>
      <c r="K130" s="328"/>
      <c r="L130" s="426">
        <v>10</v>
      </c>
      <c r="M130" s="671" t="s">
        <v>550</v>
      </c>
      <c r="N130" s="427" t="s">
        <v>425</v>
      </c>
      <c r="O130" s="428"/>
      <c r="P130" s="711"/>
      <c r="Q130" s="324"/>
      <c r="R130" s="221"/>
      <c r="S130" s="450"/>
      <c r="T130" s="499"/>
      <c r="U130" s="540"/>
      <c r="V130" s="944"/>
      <c r="W130" s="455"/>
      <c r="X130" s="945"/>
      <c r="Y130" s="209"/>
    </row>
    <row r="131" spans="1:42" ht="15" customHeight="1" thickBot="1">
      <c r="B131" s="426"/>
      <c r="C131" s="427"/>
      <c r="D131" s="427"/>
      <c r="E131" s="428"/>
      <c r="F131" s="429"/>
      <c r="G131" s="430"/>
      <c r="H131" s="327"/>
      <c r="I131" s="943"/>
      <c r="J131" s="943"/>
      <c r="K131" s="328"/>
      <c r="L131" s="426">
        <v>10</v>
      </c>
      <c r="M131" s="671" t="s">
        <v>550</v>
      </c>
      <c r="N131" s="427" t="s">
        <v>426</v>
      </c>
      <c r="O131" s="808">
        <v>201461.11</v>
      </c>
      <c r="P131" s="711">
        <f>P111</f>
        <v>0.3</v>
      </c>
      <c r="Q131" s="324">
        <f>O131*P131</f>
        <v>60438.332999999991</v>
      </c>
      <c r="R131" s="221"/>
      <c r="S131" s="494" t="s">
        <v>416</v>
      </c>
      <c r="T131" s="731">
        <f>T111</f>
        <v>45688</v>
      </c>
      <c r="U131" s="540"/>
      <c r="V131" s="944"/>
      <c r="W131" s="737">
        <f>W111</f>
        <v>45666</v>
      </c>
      <c r="X131" s="945"/>
      <c r="Y131" s="209"/>
    </row>
    <row r="132" spans="1:42" ht="15" customHeight="1" thickBot="1">
      <c r="B132" s="426"/>
      <c r="C132" s="427"/>
      <c r="D132" s="427"/>
      <c r="E132" s="428"/>
      <c r="F132" s="429"/>
      <c r="G132" s="430"/>
      <c r="H132" s="327"/>
      <c r="I132" s="943"/>
      <c r="J132" s="943"/>
      <c r="K132" s="328"/>
      <c r="L132" s="426">
        <v>10</v>
      </c>
      <c r="M132" s="671" t="s">
        <v>550</v>
      </c>
      <c r="N132" s="427" t="s">
        <v>417</v>
      </c>
      <c r="O132" s="428"/>
      <c r="P132" s="711">
        <f>P112</f>
        <v>0.2</v>
      </c>
      <c r="Q132" s="324">
        <f>O131*P132</f>
        <v>40292.222000000002</v>
      </c>
      <c r="R132" s="221"/>
      <c r="S132" s="494" t="s">
        <v>418</v>
      </c>
      <c r="T132" s="731">
        <f>T112</f>
        <v>45716</v>
      </c>
      <c r="U132" s="540"/>
      <c r="V132" s="944"/>
      <c r="W132" s="737">
        <f>W112</f>
        <v>45708</v>
      </c>
      <c r="X132" s="945"/>
      <c r="Y132" s="209"/>
    </row>
    <row r="133" spans="1:42" ht="15" customHeight="1" thickBot="1">
      <c r="B133" s="426"/>
      <c r="C133" s="427"/>
      <c r="D133" s="427"/>
      <c r="E133" s="428"/>
      <c r="F133" s="429"/>
      <c r="G133" s="430"/>
      <c r="H133" s="327"/>
      <c r="I133" s="943"/>
      <c r="J133" s="943"/>
      <c r="K133" s="328"/>
      <c r="L133" s="426">
        <v>10</v>
      </c>
      <c r="M133" s="671" t="s">
        <v>550</v>
      </c>
      <c r="N133" s="427" t="s">
        <v>283</v>
      </c>
      <c r="O133" s="428"/>
      <c r="P133" s="711">
        <f>P113</f>
        <v>0.3</v>
      </c>
      <c r="Q133" s="324">
        <f>O131*P133</f>
        <v>60438.332999999991</v>
      </c>
      <c r="R133" s="221"/>
      <c r="S133" s="494" t="s">
        <v>427</v>
      </c>
      <c r="T133" s="731">
        <v>45777</v>
      </c>
      <c r="U133" s="769">
        <v>36354.345402726794</v>
      </c>
      <c r="V133" s="944"/>
      <c r="W133" s="737">
        <f>W113</f>
        <v>45785</v>
      </c>
      <c r="X133" s="945"/>
      <c r="Y133" s="209"/>
    </row>
    <row r="134" spans="1:42" ht="15" customHeight="1" thickBot="1">
      <c r="B134" s="426"/>
      <c r="C134" s="427"/>
      <c r="D134" s="427"/>
      <c r="E134" s="428"/>
      <c r="F134" s="429"/>
      <c r="G134" s="430"/>
      <c r="H134" s="327"/>
      <c r="I134" s="943"/>
      <c r="J134" s="943"/>
      <c r="K134" s="328"/>
      <c r="L134" s="426">
        <v>10</v>
      </c>
      <c r="M134" s="671" t="s">
        <v>550</v>
      </c>
      <c r="N134" s="427" t="s">
        <v>428</v>
      </c>
      <c r="O134" s="428"/>
      <c r="P134" s="711">
        <f>P114</f>
        <v>0.15</v>
      </c>
      <c r="Q134" s="324">
        <f>O131*P134</f>
        <v>30219.166499999996</v>
      </c>
      <c r="R134" s="221"/>
      <c r="S134" s="494" t="s">
        <v>427</v>
      </c>
      <c r="T134" s="731">
        <v>45777</v>
      </c>
      <c r="U134" s="769">
        <v>18177.172701363397</v>
      </c>
      <c r="V134" s="944"/>
      <c r="W134" s="737">
        <f>W114</f>
        <v>45785</v>
      </c>
      <c r="X134" s="945"/>
      <c r="Y134" s="209"/>
    </row>
    <row r="135" spans="1:42" ht="15" customHeight="1" thickBot="1">
      <c r="B135" s="426">
        <v>10</v>
      </c>
      <c r="C135" s="427"/>
      <c r="D135" s="427"/>
      <c r="E135" s="428"/>
      <c r="F135" s="429"/>
      <c r="G135" s="430"/>
      <c r="H135" s="327"/>
      <c r="I135" s="943"/>
      <c r="J135" s="943"/>
      <c r="K135" s="328"/>
      <c r="L135" s="426">
        <v>10</v>
      </c>
      <c r="M135" s="671" t="s">
        <v>550</v>
      </c>
      <c r="N135" s="427" t="s">
        <v>423</v>
      </c>
      <c r="O135" s="428"/>
      <c r="P135" s="711">
        <f>P115</f>
        <v>0.05</v>
      </c>
      <c r="Q135" s="324">
        <f>O131*P135</f>
        <v>10073.0555</v>
      </c>
      <c r="R135" s="221"/>
      <c r="S135" s="494" t="s">
        <v>430</v>
      </c>
      <c r="T135" s="731">
        <f>T115</f>
        <v>45838</v>
      </c>
      <c r="U135" s="855">
        <v>6059.0575671211336</v>
      </c>
      <c r="V135" s="944"/>
      <c r="W135" s="737">
        <f>W115</f>
        <v>45890</v>
      </c>
      <c r="X135" s="945"/>
      <c r="Y135" s="209"/>
    </row>
    <row r="136" spans="1:42" ht="15" customHeight="1" thickBot="1">
      <c r="B136" s="426">
        <v>10</v>
      </c>
      <c r="C136" s="427"/>
      <c r="D136" s="427"/>
      <c r="E136" s="428"/>
      <c r="F136" s="429"/>
      <c r="G136" s="430"/>
      <c r="H136" s="327"/>
      <c r="I136" s="943"/>
      <c r="J136" s="943"/>
      <c r="K136" s="328"/>
      <c r="L136" s="426">
        <v>10</v>
      </c>
      <c r="M136" s="671" t="s">
        <v>550</v>
      </c>
      <c r="N136" s="427"/>
      <c r="O136" s="428"/>
      <c r="P136" s="429"/>
      <c r="Q136" s="430"/>
      <c r="R136" s="221"/>
      <c r="S136" s="450"/>
      <c r="T136" s="499"/>
      <c r="U136" s="540">
        <f>(Q136/$X$117*$J$117)</f>
        <v>0</v>
      </c>
      <c r="V136" s="944"/>
      <c r="W136" s="462"/>
      <c r="X136" s="945"/>
      <c r="Y136" s="209"/>
    </row>
    <row r="137" spans="1:42" ht="15" customHeight="1" thickBot="1">
      <c r="B137" s="330">
        <v>10</v>
      </c>
      <c r="C137" s="433"/>
      <c r="D137" s="433"/>
      <c r="E137" s="434"/>
      <c r="F137" s="435"/>
      <c r="G137" s="331"/>
      <c r="H137" s="332"/>
      <c r="I137" s="943"/>
      <c r="J137" s="943"/>
      <c r="K137" s="333"/>
      <c r="L137" s="330">
        <v>10</v>
      </c>
      <c r="M137" s="672" t="s">
        <v>550</v>
      </c>
      <c r="N137" s="433"/>
      <c r="O137" s="434"/>
      <c r="P137" s="435"/>
      <c r="Q137" s="331"/>
      <c r="R137" s="213"/>
      <c r="S137" s="522"/>
      <c r="T137" s="520" t="str">
        <f t="shared" si="15"/>
        <v/>
      </c>
      <c r="U137" s="541">
        <f>(Q137/$X$117*$J$117)</f>
        <v>0</v>
      </c>
      <c r="V137" s="944"/>
      <c r="W137" s="456"/>
      <c r="X137" s="945"/>
      <c r="Y137" s="199"/>
    </row>
    <row r="138" spans="1:42" ht="14.45" thickBot="1">
      <c r="A138" s="24"/>
      <c r="B138" s="334"/>
      <c r="C138" s="335"/>
      <c r="D138" s="335"/>
      <c r="E138" s="354"/>
      <c r="F138" s="338"/>
      <c r="G138" s="338"/>
      <c r="H138" s="339"/>
      <c r="I138" s="340"/>
      <c r="J138" s="592"/>
      <c r="K138" s="24"/>
      <c r="L138" s="334"/>
      <c r="M138" s="335"/>
      <c r="N138" s="335"/>
      <c r="O138" s="354"/>
      <c r="P138" s="338"/>
      <c r="Q138" s="338"/>
      <c r="R138" s="214"/>
      <c r="S138" s="531"/>
      <c r="T138" s="521" t="str">
        <f t="shared" si="15"/>
        <v/>
      </c>
      <c r="U138" s="497"/>
      <c r="V138" s="632"/>
      <c r="W138" s="457"/>
      <c r="X138" s="467"/>
      <c r="Y138" s="200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</row>
    <row r="139" spans="1:42" ht="14.25" customHeight="1" thickBot="1">
      <c r="B139" s="341">
        <v>11</v>
      </c>
      <c r="C139" s="342" t="s">
        <v>566</v>
      </c>
      <c r="D139" s="471" t="s">
        <v>567</v>
      </c>
      <c r="E139" s="343"/>
      <c r="F139" s="436"/>
      <c r="G139" s="344">
        <v>30000</v>
      </c>
      <c r="H139" s="345">
        <f>H142</f>
        <v>45663</v>
      </c>
      <c r="I139" s="924">
        <f>SUM(G139:G144)</f>
        <v>167000</v>
      </c>
      <c r="J139" s="924">
        <v>181521.73913043499</v>
      </c>
      <c r="K139" s="346"/>
      <c r="L139" s="341">
        <v>11</v>
      </c>
      <c r="M139" s="471" t="s">
        <v>568</v>
      </c>
      <c r="N139" s="471" t="s">
        <v>567</v>
      </c>
      <c r="O139" s="343"/>
      <c r="P139" s="436"/>
      <c r="Q139" s="344">
        <v>17500</v>
      </c>
      <c r="R139" s="215"/>
      <c r="S139" s="523" t="s">
        <v>569</v>
      </c>
      <c r="T139" s="751">
        <v>45808</v>
      </c>
      <c r="U139" s="841">
        <v>26373.592941969204</v>
      </c>
      <c r="V139" s="951">
        <f>J139-SUM(U139:U144)</f>
        <v>1.6731558134779334E-3</v>
      </c>
      <c r="W139" s="779">
        <v>45813</v>
      </c>
      <c r="X139" s="935">
        <f>SUM(Q139:Q144)</f>
        <v>120447.39</v>
      </c>
      <c r="Y139" s="201"/>
      <c r="Z139" s="24"/>
      <c r="AA139" s="24"/>
    </row>
    <row r="140" spans="1:42" ht="14.25" customHeight="1" thickBot="1">
      <c r="B140" s="347"/>
      <c r="C140" s="348"/>
      <c r="D140" s="819"/>
      <c r="E140" s="820"/>
      <c r="F140" s="821"/>
      <c r="G140" s="822"/>
      <c r="H140" s="823"/>
      <c r="I140" s="924"/>
      <c r="J140" s="924"/>
      <c r="K140" s="350"/>
      <c r="L140" s="347">
        <v>11</v>
      </c>
      <c r="M140" s="819" t="s">
        <v>568</v>
      </c>
      <c r="N140" s="819" t="s">
        <v>570</v>
      </c>
      <c r="O140" s="820"/>
      <c r="P140" s="821"/>
      <c r="Q140" s="822">
        <f>4294.78/2</f>
        <v>2147.39</v>
      </c>
      <c r="R140" s="218"/>
      <c r="S140" s="523" t="s">
        <v>569</v>
      </c>
      <c r="T140" s="751">
        <v>45808</v>
      </c>
      <c r="U140" s="842">
        <v>3236.2508427231569</v>
      </c>
      <c r="V140" s="951"/>
      <c r="W140" s="780">
        <f>W139</f>
        <v>45813</v>
      </c>
      <c r="X140" s="935"/>
      <c r="Y140" s="206"/>
      <c r="Z140" s="24"/>
      <c r="AA140" s="24"/>
    </row>
    <row r="141" spans="1:42" ht="15" customHeight="1" thickBot="1">
      <c r="B141" s="386">
        <v>11</v>
      </c>
      <c r="C141" s="388"/>
      <c r="D141" s="388" t="s">
        <v>571</v>
      </c>
      <c r="E141" s="389"/>
      <c r="F141" s="437"/>
      <c r="G141" s="390">
        <v>50000</v>
      </c>
      <c r="H141" s="349">
        <f>'Project Plan'!E19</f>
        <v>45663</v>
      </c>
      <c r="I141" s="924"/>
      <c r="J141" s="924"/>
      <c r="K141" s="350"/>
      <c r="L141" s="386">
        <v>11</v>
      </c>
      <c r="M141" s="572" t="s">
        <v>568</v>
      </c>
      <c r="N141" s="388" t="s">
        <v>571</v>
      </c>
      <c r="O141" s="389"/>
      <c r="P141" s="437"/>
      <c r="Q141" s="390">
        <v>0</v>
      </c>
      <c r="R141" s="211"/>
      <c r="S141" s="532" t="s">
        <v>572</v>
      </c>
      <c r="T141" s="745">
        <v>45657</v>
      </c>
      <c r="U141" s="833">
        <v>0</v>
      </c>
      <c r="V141" s="951"/>
      <c r="W141" s="746">
        <v>45394</v>
      </c>
      <c r="X141" s="935"/>
      <c r="Y141" s="202"/>
    </row>
    <row r="142" spans="1:42" ht="15" customHeight="1" thickBot="1">
      <c r="B142" s="386">
        <v>11</v>
      </c>
      <c r="C142" s="388"/>
      <c r="D142" s="388" t="s">
        <v>573</v>
      </c>
      <c r="E142" s="389"/>
      <c r="F142" s="437"/>
      <c r="G142" s="390">
        <v>80000</v>
      </c>
      <c r="H142" s="349">
        <f>H141</f>
        <v>45663</v>
      </c>
      <c r="I142" s="924"/>
      <c r="J142" s="924"/>
      <c r="K142" s="350"/>
      <c r="L142" s="386">
        <v>11</v>
      </c>
      <c r="M142" s="572" t="s">
        <v>568</v>
      </c>
      <c r="N142" s="388" t="s">
        <v>573</v>
      </c>
      <c r="O142" s="389"/>
      <c r="P142" s="437"/>
      <c r="Q142" s="390">
        <v>79700</v>
      </c>
      <c r="R142" s="211" t="s">
        <v>574</v>
      </c>
      <c r="S142" s="532" t="s">
        <v>575</v>
      </c>
      <c r="T142" s="751">
        <v>45777</v>
      </c>
      <c r="U142" s="833">
        <v>111937.31615210755</v>
      </c>
      <c r="V142" s="951"/>
      <c r="W142" s="784">
        <v>45841</v>
      </c>
      <c r="X142" s="935"/>
      <c r="Y142" s="202"/>
    </row>
    <row r="143" spans="1:42" ht="14.25" customHeight="1" thickBot="1">
      <c r="B143" s="386">
        <v>11</v>
      </c>
      <c r="C143" s="388"/>
      <c r="D143" s="388" t="s">
        <v>576</v>
      </c>
      <c r="E143" s="389"/>
      <c r="F143" s="437"/>
      <c r="G143" s="390">
        <v>7000</v>
      </c>
      <c r="H143" s="349">
        <f>H142</f>
        <v>45663</v>
      </c>
      <c r="I143" s="924"/>
      <c r="J143" s="924"/>
      <c r="K143" s="350"/>
      <c r="L143" s="386">
        <v>11</v>
      </c>
      <c r="M143" s="572" t="s">
        <v>568</v>
      </c>
      <c r="N143" s="388" t="s">
        <v>577</v>
      </c>
      <c r="O143" s="389"/>
      <c r="P143" s="437"/>
      <c r="Q143" s="390">
        <v>5100</v>
      </c>
      <c r="R143" s="211" t="s">
        <v>578</v>
      </c>
      <c r="S143" s="532" t="s">
        <v>579</v>
      </c>
      <c r="T143" s="751">
        <v>45688</v>
      </c>
      <c r="U143" s="833">
        <v>5746.4982592502702</v>
      </c>
      <c r="V143" s="951"/>
      <c r="W143" s="784">
        <v>45722</v>
      </c>
      <c r="X143" s="935"/>
      <c r="Y143" s="202"/>
      <c r="Z143" s="24"/>
      <c r="AA143" s="24"/>
    </row>
    <row r="144" spans="1:42" ht="15" customHeight="1" thickBot="1">
      <c r="B144" s="392">
        <v>11</v>
      </c>
      <c r="C144" s="393"/>
      <c r="D144" s="393"/>
      <c r="E144" s="394"/>
      <c r="F144" s="438"/>
      <c r="G144" s="413"/>
      <c r="H144" s="351"/>
      <c r="I144" s="924"/>
      <c r="J144" s="924"/>
      <c r="K144" s="352"/>
      <c r="L144" s="392">
        <v>11</v>
      </c>
      <c r="M144" s="652" t="s">
        <v>568</v>
      </c>
      <c r="N144" s="393" t="s">
        <v>580</v>
      </c>
      <c r="O144" s="394">
        <v>2</v>
      </c>
      <c r="P144" s="713">
        <v>8000</v>
      </c>
      <c r="Q144" s="413">
        <f>O144*P144</f>
        <v>16000</v>
      </c>
      <c r="R144" s="216"/>
      <c r="S144" s="724" t="s">
        <v>581</v>
      </c>
      <c r="T144" s="728">
        <v>45808</v>
      </c>
      <c r="U144" s="834">
        <v>34228.079261228988</v>
      </c>
      <c r="V144" s="951"/>
      <c r="W144" s="843">
        <f>T144</f>
        <v>45808</v>
      </c>
      <c r="X144" s="935"/>
      <c r="Y144" s="203"/>
    </row>
    <row r="145" spans="1:42" ht="15" customHeight="1" thickBot="1">
      <c r="A145" s="24"/>
      <c r="B145" s="353"/>
      <c r="C145" s="335"/>
      <c r="D145" s="335"/>
      <c r="E145" s="354"/>
      <c r="F145" s="338"/>
      <c r="G145" s="356"/>
      <c r="H145" s="339"/>
      <c r="I145" s="340"/>
      <c r="J145" s="340"/>
      <c r="K145" s="24"/>
      <c r="L145" s="353"/>
      <c r="M145" s="335"/>
      <c r="N145" s="335"/>
      <c r="O145" s="354"/>
      <c r="P145" s="338"/>
      <c r="Q145" s="356"/>
      <c r="R145" s="214"/>
      <c r="S145" s="531"/>
      <c r="T145" s="521" t="str">
        <f t="shared" si="15"/>
        <v/>
      </c>
      <c r="U145" s="497"/>
      <c r="V145" s="632"/>
      <c r="W145" s="457"/>
      <c r="X145" s="467"/>
      <c r="Y145" s="200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</row>
    <row r="146" spans="1:42" ht="14.45" thickBot="1">
      <c r="B146" s="321">
        <v>12</v>
      </c>
      <c r="C146" s="322" t="s">
        <v>582</v>
      </c>
      <c r="D146" s="322"/>
      <c r="E146" s="323"/>
      <c r="F146" s="614"/>
      <c r="G146" s="424"/>
      <c r="H146" s="325"/>
      <c r="I146" s="943">
        <f>SUM(G146:G146)</f>
        <v>0</v>
      </c>
      <c r="J146" s="943">
        <v>0</v>
      </c>
      <c r="K146" s="948"/>
      <c r="L146" s="321">
        <v>12</v>
      </c>
      <c r="M146" s="322" t="s">
        <v>582</v>
      </c>
      <c r="N146" s="322" t="s">
        <v>583</v>
      </c>
      <c r="O146" s="323"/>
      <c r="P146" s="614"/>
      <c r="Q146" s="424">
        <v>0</v>
      </c>
      <c r="R146" s="210"/>
      <c r="S146" s="612"/>
      <c r="T146" s="627" t="str">
        <f t="shared" si="15"/>
        <v/>
      </c>
      <c r="U146" s="615"/>
      <c r="V146" s="634"/>
      <c r="W146" s="628"/>
      <c r="X146" s="952">
        <f>SUM(Q146:Q147)</f>
        <v>0</v>
      </c>
      <c r="Y146" s="196"/>
    </row>
    <row r="147" spans="1:42" ht="15" customHeight="1" thickBot="1">
      <c r="B147" s="330">
        <v>12</v>
      </c>
      <c r="C147" s="433" t="s">
        <v>582</v>
      </c>
      <c r="D147" s="433"/>
      <c r="E147" s="434"/>
      <c r="F147" s="621"/>
      <c r="G147" s="331"/>
      <c r="H147" s="332"/>
      <c r="I147" s="943"/>
      <c r="J147" s="943"/>
      <c r="K147" s="948"/>
      <c r="L147" s="330">
        <v>12</v>
      </c>
      <c r="M147" s="433" t="s">
        <v>582</v>
      </c>
      <c r="N147" s="433"/>
      <c r="O147" s="434"/>
      <c r="P147" s="621"/>
      <c r="Q147" s="331"/>
      <c r="R147" s="630"/>
      <c r="S147" s="494"/>
      <c r="T147" s="525" t="str">
        <f t="shared" si="15"/>
        <v/>
      </c>
      <c r="U147" s="629"/>
      <c r="V147" s="635"/>
      <c r="W147" s="456"/>
      <c r="X147" s="952"/>
      <c r="Y147" s="199"/>
    </row>
    <row r="148" spans="1:42" ht="14.45" thickBot="1">
      <c r="A148" s="24"/>
      <c r="B148" s="353"/>
      <c r="C148" s="335"/>
      <c r="D148" s="335"/>
      <c r="E148" s="354"/>
      <c r="F148" s="383"/>
      <c r="G148" s="356"/>
      <c r="H148" s="339"/>
      <c r="I148" s="406"/>
      <c r="J148" s="406"/>
      <c r="K148" s="24"/>
      <c r="L148" s="353"/>
      <c r="M148" s="335"/>
      <c r="N148" s="335"/>
      <c r="O148" s="354"/>
      <c r="P148" s="383"/>
      <c r="Q148" s="356"/>
      <c r="R148" s="214"/>
      <c r="S148" s="531"/>
      <c r="T148" s="521" t="str">
        <f t="shared" si="15"/>
        <v/>
      </c>
      <c r="U148" s="497"/>
      <c r="V148" s="632"/>
      <c r="W148" s="457"/>
      <c r="X148" s="468"/>
      <c r="Y148" s="200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 ht="15.75" customHeight="1" thickBot="1">
      <c r="B149" s="341">
        <v>13</v>
      </c>
      <c r="C149" s="342" t="s">
        <v>584</v>
      </c>
      <c r="D149" s="471" t="s">
        <v>585</v>
      </c>
      <c r="E149" s="343"/>
      <c r="F149" s="436"/>
      <c r="G149" s="344">
        <v>167999.67645434785</v>
      </c>
      <c r="H149" s="345">
        <f>'Project Plan'!K91+30</f>
        <v>45945</v>
      </c>
      <c r="I149" s="924">
        <f>SUM(G149:G155)</f>
        <v>664894.71645434783</v>
      </c>
      <c r="J149" s="924">
        <v>755562.17778903199</v>
      </c>
      <c r="K149" s="346"/>
      <c r="L149" s="341">
        <v>13</v>
      </c>
      <c r="M149" s="471" t="s">
        <v>586</v>
      </c>
      <c r="N149" s="471" t="s">
        <v>585</v>
      </c>
      <c r="O149" s="343"/>
      <c r="P149" s="344"/>
      <c r="Q149" s="344">
        <f>'Revenue Tracking'!D4*1.25%</f>
        <v>200304.11174596625</v>
      </c>
      <c r="R149" s="215"/>
      <c r="S149" s="523" t="s">
        <v>587</v>
      </c>
      <c r="T149" s="751">
        <v>45808</v>
      </c>
      <c r="U149" s="841">
        <v>755562.17778903199</v>
      </c>
      <c r="V149" s="939">
        <f>J149-SUM(U149:U155)</f>
        <v>0</v>
      </c>
      <c r="W149" s="844">
        <v>45808</v>
      </c>
      <c r="X149" s="935">
        <f>SUM(Q149:Q155)</f>
        <v>165600.00174596626</v>
      </c>
      <c r="Y149" s="201"/>
    </row>
    <row r="150" spans="1:42" ht="15.75" customHeight="1" thickBot="1">
      <c r="B150" s="386">
        <v>13</v>
      </c>
      <c r="C150" s="388"/>
      <c r="D150" s="388" t="s">
        <v>588</v>
      </c>
      <c r="E150" s="389"/>
      <c r="F150" s="437"/>
      <c r="G150" s="390">
        <v>74800</v>
      </c>
      <c r="H150" s="349">
        <f>H149</f>
        <v>45945</v>
      </c>
      <c r="I150" s="924"/>
      <c r="J150" s="924"/>
      <c r="K150" s="350"/>
      <c r="L150" s="386">
        <v>13</v>
      </c>
      <c r="M150" s="572" t="s">
        <v>586</v>
      </c>
      <c r="N150" s="388"/>
      <c r="O150" s="389"/>
      <c r="P150" s="390"/>
      <c r="Q150" s="390">
        <v>-200304.11</v>
      </c>
      <c r="R150" s="211"/>
      <c r="S150" s="880" t="s">
        <v>589</v>
      </c>
      <c r="T150" s="845">
        <v>45900</v>
      </c>
      <c r="U150" s="833">
        <v>0</v>
      </c>
      <c r="V150" s="939"/>
      <c r="W150" s="845">
        <v>45900</v>
      </c>
      <c r="X150" s="935"/>
      <c r="Y150" s="202"/>
    </row>
    <row r="151" spans="1:42" ht="15.75" customHeight="1" thickBot="1">
      <c r="B151" s="386">
        <v>13</v>
      </c>
      <c r="C151" s="388"/>
      <c r="D151" s="388" t="s">
        <v>590</v>
      </c>
      <c r="E151" s="389"/>
      <c r="F151" s="437"/>
      <c r="G151" s="390">
        <v>254320</v>
      </c>
      <c r="H151" s="349">
        <f>H149</f>
        <v>45945</v>
      </c>
      <c r="I151" s="924"/>
      <c r="J151" s="924"/>
      <c r="K151" s="350"/>
      <c r="L151" s="386">
        <v>13</v>
      </c>
      <c r="M151" s="572" t="s">
        <v>586</v>
      </c>
      <c r="N151" s="388" t="s">
        <v>591</v>
      </c>
      <c r="O151" s="389"/>
      <c r="P151" s="390"/>
      <c r="Q151" s="390">
        <v>165600</v>
      </c>
      <c r="R151" s="211"/>
      <c r="S151" s="880" t="s">
        <v>592</v>
      </c>
      <c r="T151" s="845">
        <v>45900</v>
      </c>
      <c r="U151" s="833">
        <v>0</v>
      </c>
      <c r="V151" s="939"/>
      <c r="W151" s="845">
        <v>45900</v>
      </c>
      <c r="X151" s="935"/>
      <c r="Y151" s="202"/>
      <c r="Z151" s="24"/>
      <c r="AA151" s="24"/>
    </row>
    <row r="152" spans="1:42" ht="15.75" customHeight="1" thickBot="1">
      <c r="B152" s="386">
        <v>13</v>
      </c>
      <c r="C152" s="388"/>
      <c r="D152" s="388" t="s">
        <v>593</v>
      </c>
      <c r="E152" s="389"/>
      <c r="F152" s="437"/>
      <c r="G152" s="390">
        <v>97240</v>
      </c>
      <c r="H152" s="349">
        <f>H149</f>
        <v>45945</v>
      </c>
      <c r="I152" s="924"/>
      <c r="J152" s="924"/>
      <c r="K152" s="350"/>
      <c r="L152" s="386">
        <v>13</v>
      </c>
      <c r="M152" s="572" t="s">
        <v>586</v>
      </c>
      <c r="N152" s="388"/>
      <c r="O152" s="389"/>
      <c r="P152" s="390"/>
      <c r="Q152" s="390"/>
      <c r="R152" s="484"/>
      <c r="S152" s="524"/>
      <c r="T152" s="845">
        <f t="shared" si="15"/>
        <v>45808</v>
      </c>
      <c r="U152" s="833">
        <v>0</v>
      </c>
      <c r="V152" s="939"/>
      <c r="W152" s="845">
        <v>45808</v>
      </c>
      <c r="X152" s="935"/>
      <c r="Y152" s="485"/>
    </row>
    <row r="153" spans="1:42" ht="15.75" customHeight="1" thickBot="1">
      <c r="B153" s="386">
        <v>13</v>
      </c>
      <c r="C153" s="388"/>
      <c r="D153" s="388" t="s">
        <v>594</v>
      </c>
      <c r="E153" s="389"/>
      <c r="F153" s="437"/>
      <c r="G153" s="390">
        <v>70535.039999999994</v>
      </c>
      <c r="H153" s="349">
        <f>H149</f>
        <v>45945</v>
      </c>
      <c r="I153" s="924"/>
      <c r="J153" s="924"/>
      <c r="K153" s="350"/>
      <c r="L153" s="386">
        <v>13</v>
      </c>
      <c r="M153" s="572" t="s">
        <v>586</v>
      </c>
      <c r="N153" s="388"/>
      <c r="O153" s="389"/>
      <c r="P153" s="390"/>
      <c r="Q153" s="390"/>
      <c r="R153" s="484"/>
      <c r="S153" s="524"/>
      <c r="T153" s="788">
        <f t="shared" si="15"/>
        <v>45808</v>
      </c>
      <c r="U153" s="833">
        <v>0</v>
      </c>
      <c r="V153" s="939"/>
      <c r="W153" s="845">
        <v>45808</v>
      </c>
      <c r="X153" s="935"/>
      <c r="Y153" s="485"/>
    </row>
    <row r="154" spans="1:42" ht="15.75" customHeight="1" thickBot="1">
      <c r="B154" s="386">
        <v>13</v>
      </c>
      <c r="C154" s="566"/>
      <c r="D154" s="566"/>
      <c r="E154" s="601"/>
      <c r="F154" s="567"/>
      <c r="G154" s="562"/>
      <c r="H154" s="563"/>
      <c r="I154" s="924"/>
      <c r="J154" s="924"/>
      <c r="K154" s="350"/>
      <c r="L154" s="386">
        <v>13</v>
      </c>
      <c r="M154" s="572" t="s">
        <v>586</v>
      </c>
      <c r="N154" s="566"/>
      <c r="O154" s="601"/>
      <c r="P154" s="701"/>
      <c r="Q154" s="562"/>
      <c r="R154" s="484"/>
      <c r="S154" s="524"/>
      <c r="T154" s="500" t="str">
        <f t="shared" si="15"/>
        <v/>
      </c>
      <c r="U154" s="509"/>
      <c r="V154" s="939"/>
      <c r="W154" s="500"/>
      <c r="X154" s="935"/>
      <c r="Y154" s="485"/>
    </row>
    <row r="155" spans="1:42" ht="15.75" customHeight="1" thickBot="1">
      <c r="B155" s="392">
        <v>13</v>
      </c>
      <c r="C155" s="393"/>
      <c r="D155" s="393"/>
      <c r="E155" s="394"/>
      <c r="F155" s="438"/>
      <c r="G155" s="413"/>
      <c r="H155" s="351"/>
      <c r="I155" s="924"/>
      <c r="J155" s="924"/>
      <c r="K155" s="486"/>
      <c r="L155" s="392">
        <v>13</v>
      </c>
      <c r="M155" s="652" t="s">
        <v>586</v>
      </c>
      <c r="N155" s="393"/>
      <c r="O155" s="394"/>
      <c r="P155" s="438"/>
      <c r="Q155" s="413"/>
      <c r="R155" s="216"/>
      <c r="S155" s="524"/>
      <c r="T155" s="504" t="str">
        <f t="shared" si="15"/>
        <v/>
      </c>
      <c r="U155" s="510"/>
      <c r="V155" s="939"/>
      <c r="W155" s="459"/>
      <c r="X155" s="935"/>
      <c r="Y155" s="203"/>
    </row>
    <row r="156" spans="1:42" ht="14.45" thickBot="1">
      <c r="A156" s="24"/>
      <c r="B156" s="353"/>
      <c r="C156" s="335"/>
      <c r="D156" s="335"/>
      <c r="E156" s="354"/>
      <c r="F156" s="338"/>
      <c r="G156" s="356"/>
      <c r="H156" s="339"/>
      <c r="I156" s="340"/>
      <c r="J156" s="340"/>
      <c r="K156" s="24"/>
      <c r="L156" s="353"/>
      <c r="M156" s="335"/>
      <c r="N156" s="335"/>
      <c r="O156" s="354"/>
      <c r="P156" s="338"/>
      <c r="Q156" s="356"/>
      <c r="R156" s="214"/>
      <c r="S156" s="531"/>
      <c r="T156" s="521" t="str">
        <f t="shared" si="15"/>
        <v/>
      </c>
      <c r="U156" s="497"/>
      <c r="V156" s="632"/>
      <c r="W156" s="457"/>
      <c r="X156" s="468"/>
      <c r="Y156" s="200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</row>
    <row r="157" spans="1:42" ht="14.25" customHeight="1" thickBot="1">
      <c r="B157" s="321">
        <v>14</v>
      </c>
      <c r="C157" s="322" t="s">
        <v>595</v>
      </c>
      <c r="D157" s="322" t="s">
        <v>596</v>
      </c>
      <c r="E157" s="323"/>
      <c r="F157" s="423"/>
      <c r="G157" s="424">
        <v>32725</v>
      </c>
      <c r="H157" s="325">
        <f>H149</f>
        <v>45945</v>
      </c>
      <c r="I157" s="943">
        <f>SUM(G157:G166)</f>
        <v>32725</v>
      </c>
      <c r="J157" s="943">
        <v>38500</v>
      </c>
      <c r="K157" s="425"/>
      <c r="L157" s="321">
        <v>14</v>
      </c>
      <c r="M157" s="670" t="s">
        <v>597</v>
      </c>
      <c r="N157" s="322" t="s">
        <v>570</v>
      </c>
      <c r="O157" s="323"/>
      <c r="P157" s="423"/>
      <c r="Q157" s="424">
        <v>7446.43</v>
      </c>
      <c r="R157" s="210"/>
      <c r="S157" s="742" t="s">
        <v>598</v>
      </c>
      <c r="T157" s="743">
        <v>45657</v>
      </c>
      <c r="U157" s="750">
        <v>8076.5179765965195</v>
      </c>
      <c r="V157" s="944">
        <f>J157-SUM(U157:U166)</f>
        <v>4.9991545965895057E-3</v>
      </c>
      <c r="W157" s="744">
        <v>45666</v>
      </c>
      <c r="X157" s="945">
        <f>SUM(Q157:Q166)</f>
        <v>37052.370000000003</v>
      </c>
      <c r="Y157" s="196"/>
    </row>
    <row r="158" spans="1:42" ht="15" customHeight="1" thickBot="1">
      <c r="B158" s="326">
        <v>14</v>
      </c>
      <c r="C158" s="329"/>
      <c r="D158" s="329"/>
      <c r="E158" s="431"/>
      <c r="F158" s="432"/>
      <c r="G158" s="324"/>
      <c r="H158" s="327"/>
      <c r="I158" s="943"/>
      <c r="J158" s="943"/>
      <c r="K158" s="328"/>
      <c r="L158" s="326">
        <v>14</v>
      </c>
      <c r="M158" s="671" t="s">
        <v>597</v>
      </c>
      <c r="N158" s="329"/>
      <c r="O158" s="431"/>
      <c r="P158" s="432"/>
      <c r="Q158" s="324">
        <v>2931</v>
      </c>
      <c r="R158" s="212"/>
      <c r="S158" s="764" t="s">
        <v>598</v>
      </c>
      <c r="T158" s="765">
        <v>45688</v>
      </c>
      <c r="U158" s="770">
        <v>3343.2703956426249</v>
      </c>
      <c r="V158" s="944"/>
      <c r="W158" s="765">
        <v>45695</v>
      </c>
      <c r="X158" s="945"/>
      <c r="Y158" s="198"/>
      <c r="Z158" s="24"/>
      <c r="AA158" s="24"/>
    </row>
    <row r="159" spans="1:42" ht="15" customHeight="1" thickBot="1">
      <c r="B159" s="326">
        <v>14</v>
      </c>
      <c r="C159" s="329"/>
      <c r="D159" s="329"/>
      <c r="E159" s="431"/>
      <c r="F159" s="432"/>
      <c r="G159" s="324"/>
      <c r="H159" s="327"/>
      <c r="I159" s="943"/>
      <c r="J159" s="943"/>
      <c r="K159" s="328"/>
      <c r="L159" s="326">
        <v>14</v>
      </c>
      <c r="M159" s="671" t="s">
        <v>597</v>
      </c>
      <c r="N159" s="329"/>
      <c r="O159" s="431"/>
      <c r="P159" s="432"/>
      <c r="Q159" s="324">
        <v>12977.95</v>
      </c>
      <c r="R159" s="212"/>
      <c r="S159" s="764" t="s">
        <v>598</v>
      </c>
      <c r="T159" s="765">
        <v>45716</v>
      </c>
      <c r="U159" s="770">
        <v>9543.7984984037721</v>
      </c>
      <c r="V159" s="944"/>
      <c r="W159" s="765">
        <v>45722</v>
      </c>
      <c r="X159" s="945"/>
      <c r="Y159" s="198"/>
    </row>
    <row r="160" spans="1:42" ht="15" customHeight="1" thickBot="1">
      <c r="B160" s="326">
        <v>14</v>
      </c>
      <c r="C160" s="329"/>
      <c r="D160" s="329"/>
      <c r="E160" s="431"/>
      <c r="F160" s="432"/>
      <c r="G160" s="324"/>
      <c r="H160" s="327"/>
      <c r="I160" s="943"/>
      <c r="J160" s="943"/>
      <c r="K160" s="328"/>
      <c r="L160" s="326">
        <v>14</v>
      </c>
      <c r="M160" s="671" t="s">
        <v>597</v>
      </c>
      <c r="N160" s="329"/>
      <c r="O160" s="431"/>
      <c r="P160" s="432"/>
      <c r="Q160" s="324">
        <v>3958.29</v>
      </c>
      <c r="R160" s="212"/>
      <c r="S160" s="764" t="s">
        <v>598</v>
      </c>
      <c r="T160" s="765">
        <v>45747</v>
      </c>
      <c r="U160" s="770">
        <v>4057.1696327506424</v>
      </c>
      <c r="V160" s="944"/>
      <c r="W160" s="765">
        <f t="shared" ref="W160" si="16">T160+7</f>
        <v>45754</v>
      </c>
      <c r="X160" s="945"/>
      <c r="Y160" s="198"/>
    </row>
    <row r="161" spans="1:42" ht="15" customHeight="1" thickBot="1">
      <c r="B161" s="326">
        <v>14</v>
      </c>
      <c r="C161" s="602"/>
      <c r="D161" s="602"/>
      <c r="E161" s="603"/>
      <c r="F161" s="604"/>
      <c r="G161" s="605"/>
      <c r="H161" s="606"/>
      <c r="I161" s="943"/>
      <c r="J161" s="943"/>
      <c r="K161" s="328"/>
      <c r="L161" s="326">
        <v>14</v>
      </c>
      <c r="M161" s="671" t="s">
        <v>597</v>
      </c>
      <c r="N161" s="602"/>
      <c r="O161" s="603"/>
      <c r="P161" s="604"/>
      <c r="Q161" s="605">
        <v>1491.59</v>
      </c>
      <c r="R161" s="607"/>
      <c r="S161" s="814" t="s">
        <v>598</v>
      </c>
      <c r="T161" s="765">
        <v>45777</v>
      </c>
      <c r="U161" s="770">
        <v>1505.0667981295369</v>
      </c>
      <c r="V161" s="944"/>
      <c r="W161" s="815">
        <v>45785</v>
      </c>
      <c r="X161" s="945"/>
      <c r="Y161" s="608"/>
    </row>
    <row r="162" spans="1:42" ht="15" customHeight="1" thickBot="1">
      <c r="B162" s="326">
        <v>14</v>
      </c>
      <c r="C162" s="602"/>
      <c r="D162" s="602"/>
      <c r="E162" s="603"/>
      <c r="F162" s="604"/>
      <c r="G162" s="605"/>
      <c r="H162" s="606"/>
      <c r="I162" s="943"/>
      <c r="J162" s="943"/>
      <c r="K162" s="328"/>
      <c r="L162" s="326">
        <v>14</v>
      </c>
      <c r="M162" s="671" t="s">
        <v>597</v>
      </c>
      <c r="N162" s="602"/>
      <c r="O162" s="603"/>
      <c r="P162" s="604"/>
      <c r="Q162" s="605">
        <v>1352.79</v>
      </c>
      <c r="R162" s="607"/>
      <c r="S162" s="848" t="s">
        <v>598</v>
      </c>
      <c r="T162" s="731">
        <v>45808</v>
      </c>
      <c r="U162" s="846">
        <v>1495.2011092913194</v>
      </c>
      <c r="V162" s="944"/>
      <c r="W162" s="831">
        <v>45817</v>
      </c>
      <c r="X162" s="945"/>
      <c r="Y162" s="608"/>
    </row>
    <row r="163" spans="1:42" ht="15" customHeight="1" thickBot="1">
      <c r="B163" s="326">
        <v>14</v>
      </c>
      <c r="C163" s="602"/>
      <c r="D163" s="602"/>
      <c r="E163" s="603"/>
      <c r="F163" s="604"/>
      <c r="G163" s="605"/>
      <c r="H163" s="606"/>
      <c r="I163" s="943"/>
      <c r="J163" s="943"/>
      <c r="K163" s="328"/>
      <c r="L163" s="326">
        <v>14</v>
      </c>
      <c r="M163" s="671" t="s">
        <v>597</v>
      </c>
      <c r="N163" s="602"/>
      <c r="O163" s="603"/>
      <c r="P163" s="604"/>
      <c r="Q163" s="605">
        <v>194.68</v>
      </c>
      <c r="R163" s="607"/>
      <c r="S163" s="848" t="s">
        <v>598</v>
      </c>
      <c r="T163" s="731">
        <v>45838</v>
      </c>
      <c r="U163" s="856">
        <v>239.05988409940696</v>
      </c>
      <c r="V163" s="944"/>
      <c r="W163" s="831">
        <v>45842</v>
      </c>
      <c r="X163" s="945"/>
      <c r="Y163" s="608"/>
    </row>
    <row r="164" spans="1:42" ht="15" customHeight="1" thickBot="1">
      <c r="B164" s="849"/>
      <c r="C164" s="602"/>
      <c r="D164" s="602"/>
      <c r="E164" s="603"/>
      <c r="F164" s="604"/>
      <c r="G164" s="605"/>
      <c r="H164" s="606"/>
      <c r="I164" s="943"/>
      <c r="J164" s="943"/>
      <c r="K164" s="328"/>
      <c r="L164" s="326">
        <v>14</v>
      </c>
      <c r="M164" s="671" t="s">
        <v>597</v>
      </c>
      <c r="N164" s="602"/>
      <c r="O164" s="603"/>
      <c r="P164" s="604"/>
      <c r="Q164" s="605">
        <v>2331.4</v>
      </c>
      <c r="R164" s="607"/>
      <c r="S164" s="848" t="s">
        <v>598</v>
      </c>
      <c r="T164" s="831">
        <v>45869</v>
      </c>
      <c r="U164" s="856">
        <v>2704.8742877996197</v>
      </c>
      <c r="V164" s="944"/>
      <c r="W164" s="869">
        <v>45876</v>
      </c>
      <c r="X164" s="945"/>
      <c r="Y164" s="608"/>
    </row>
    <row r="165" spans="1:42" ht="15" customHeight="1" thickBot="1">
      <c r="B165" s="849"/>
      <c r="C165" s="602"/>
      <c r="D165" s="602"/>
      <c r="E165" s="603"/>
      <c r="F165" s="604"/>
      <c r="G165" s="605"/>
      <c r="H165" s="606"/>
      <c r="I165" s="943"/>
      <c r="J165" s="943"/>
      <c r="K165" s="328"/>
      <c r="L165" s="326">
        <v>14</v>
      </c>
      <c r="M165" s="671" t="s">
        <v>597</v>
      </c>
      <c r="N165" s="602"/>
      <c r="O165" s="603"/>
      <c r="P165" s="604"/>
      <c r="Q165" s="605">
        <v>4368.24</v>
      </c>
      <c r="R165" s="607"/>
      <c r="S165" s="877" t="s">
        <v>598</v>
      </c>
      <c r="T165" s="878">
        <v>45900</v>
      </c>
      <c r="U165" s="856">
        <v>7535.0364181319565</v>
      </c>
      <c r="V165" s="944"/>
      <c r="W165" s="879">
        <f>T165+7</f>
        <v>45907</v>
      </c>
      <c r="X165" s="945"/>
      <c r="Y165" s="608"/>
    </row>
    <row r="166" spans="1:42" ht="15" customHeight="1" thickBot="1">
      <c r="B166" s="330">
        <v>14</v>
      </c>
      <c r="C166" s="433"/>
      <c r="D166" s="433"/>
      <c r="E166" s="434"/>
      <c r="F166" s="435"/>
      <c r="G166" s="331"/>
      <c r="H166" s="332"/>
      <c r="I166" s="943"/>
      <c r="J166" s="943"/>
      <c r="K166" s="333"/>
      <c r="L166" s="330">
        <v>14</v>
      </c>
      <c r="M166" s="672" t="s">
        <v>597</v>
      </c>
      <c r="N166" s="433"/>
      <c r="O166" s="434"/>
      <c r="P166" s="435"/>
      <c r="Q166" s="331"/>
      <c r="R166" s="213"/>
      <c r="S166" s="522"/>
      <c r="T166" s="520" t="str">
        <f t="shared" si="15"/>
        <v/>
      </c>
      <c r="U166" s="507"/>
      <c r="V166" s="944"/>
      <c r="W166" s="456"/>
      <c r="X166" s="945"/>
      <c r="Y166" s="199"/>
    </row>
    <row r="167" spans="1:42" ht="14.45" thickBot="1">
      <c r="A167" s="24"/>
      <c r="B167" s="353"/>
      <c r="C167" s="335"/>
      <c r="D167" s="335"/>
      <c r="E167" s="354"/>
      <c r="F167" s="338"/>
      <c r="G167" s="356"/>
      <c r="H167" s="339"/>
      <c r="I167" s="439"/>
      <c r="J167" s="439"/>
      <c r="K167" s="24"/>
      <c r="L167" s="353"/>
      <c r="M167" s="335"/>
      <c r="N167" s="335"/>
      <c r="O167" s="354"/>
      <c r="P167" s="338"/>
      <c r="Q167" s="356"/>
      <c r="R167" s="214"/>
      <c r="S167" s="531"/>
      <c r="T167" s="521" t="str">
        <f t="shared" si="15"/>
        <v/>
      </c>
      <c r="U167" s="497"/>
      <c r="V167" s="632"/>
      <c r="W167" s="457"/>
      <c r="X167" s="469"/>
      <c r="Y167" s="200"/>
      <c r="Z167" s="3"/>
      <c r="AA167" s="3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</row>
    <row r="168" spans="1:42" ht="14.45" thickBot="1">
      <c r="B168" s="341">
        <v>15</v>
      </c>
      <c r="C168" s="342" t="s">
        <v>599</v>
      </c>
      <c r="D168" s="342"/>
      <c r="E168" s="343"/>
      <c r="F168" s="436"/>
      <c r="G168" s="344"/>
      <c r="H168" s="345"/>
      <c r="I168" s="924">
        <f>SUM(G168:G173)</f>
        <v>0</v>
      </c>
      <c r="J168" s="924">
        <v>0</v>
      </c>
      <c r="K168" s="346"/>
      <c r="L168" s="341">
        <v>15</v>
      </c>
      <c r="M168" s="471" t="s">
        <v>600</v>
      </c>
      <c r="N168" s="342" t="s">
        <v>601</v>
      </c>
      <c r="O168" s="343"/>
      <c r="P168" s="436"/>
      <c r="Q168" s="344">
        <v>4500</v>
      </c>
      <c r="R168" s="215" t="s">
        <v>602</v>
      </c>
      <c r="S168" s="523" t="s">
        <v>603</v>
      </c>
      <c r="T168" s="751">
        <v>45869</v>
      </c>
      <c r="U168" s="508"/>
      <c r="V168" s="939">
        <f>J168-SUM(U168:U173)</f>
        <v>0</v>
      </c>
      <c r="W168" s="779">
        <v>45862</v>
      </c>
      <c r="X168" s="935">
        <f>SUM(Q168:Q173)</f>
        <v>55898</v>
      </c>
      <c r="Y168" s="201"/>
    </row>
    <row r="169" spans="1:42" ht="14.45" thickBot="1">
      <c r="B169" s="386">
        <v>15</v>
      </c>
      <c r="C169" s="388"/>
      <c r="D169" s="388"/>
      <c r="E169" s="389"/>
      <c r="F169" s="437"/>
      <c r="G169" s="390"/>
      <c r="H169" s="349"/>
      <c r="I169" s="924"/>
      <c r="J169" s="924"/>
      <c r="K169" s="350"/>
      <c r="L169" s="386">
        <v>15</v>
      </c>
      <c r="M169" s="572" t="s">
        <v>600</v>
      </c>
      <c r="N169" s="388" t="s">
        <v>604</v>
      </c>
      <c r="O169" s="389"/>
      <c r="P169" s="437"/>
      <c r="Q169" s="390">
        <v>4347.83</v>
      </c>
      <c r="R169" s="211" t="s">
        <v>605</v>
      </c>
      <c r="S169" s="532" t="s">
        <v>606</v>
      </c>
      <c r="T169" s="734">
        <v>45869</v>
      </c>
      <c r="U169" s="542"/>
      <c r="V169" s="939"/>
      <c r="W169" s="784">
        <v>45862</v>
      </c>
      <c r="X169" s="935"/>
      <c r="Y169" s="202"/>
    </row>
    <row r="170" spans="1:42" ht="14.45" thickBot="1">
      <c r="B170" s="386">
        <v>15</v>
      </c>
      <c r="C170" s="388"/>
      <c r="D170" s="388"/>
      <c r="E170" s="389"/>
      <c r="F170" s="437"/>
      <c r="G170" s="390"/>
      <c r="H170" s="349"/>
      <c r="I170" s="924"/>
      <c r="J170" s="924"/>
      <c r="K170" s="350"/>
      <c r="L170" s="386">
        <v>15</v>
      </c>
      <c r="M170" s="572" t="s">
        <v>600</v>
      </c>
      <c r="N170" s="388" t="s">
        <v>607</v>
      </c>
      <c r="O170" s="389"/>
      <c r="P170" s="437"/>
      <c r="Q170" s="390">
        <v>5305</v>
      </c>
      <c r="R170" s="211" t="s">
        <v>608</v>
      </c>
      <c r="S170" s="532" t="s">
        <v>609</v>
      </c>
      <c r="T170" s="734">
        <v>45869</v>
      </c>
      <c r="U170" s="542"/>
      <c r="V170" s="939"/>
      <c r="W170" s="784">
        <v>45855</v>
      </c>
      <c r="X170" s="935"/>
      <c r="Y170" s="202"/>
    </row>
    <row r="171" spans="1:42" ht="15">
      <c r="B171" s="557"/>
      <c r="C171" s="566"/>
      <c r="D171" s="566"/>
      <c r="E171" s="601"/>
      <c r="F171" s="567"/>
      <c r="G171" s="562"/>
      <c r="H171" s="563"/>
      <c r="I171" s="924"/>
      <c r="J171" s="924"/>
      <c r="K171" s="350"/>
      <c r="L171" s="557">
        <v>15</v>
      </c>
      <c r="M171" s="572" t="s">
        <v>600</v>
      </c>
      <c r="N171" s="566" t="s">
        <v>610</v>
      </c>
      <c r="O171" s="601"/>
      <c r="P171" s="567"/>
      <c r="Q171" s="562">
        <v>17160</v>
      </c>
      <c r="R171" s="484" t="s">
        <v>611</v>
      </c>
      <c r="S171" s="724" t="s">
        <v>612</v>
      </c>
      <c r="T171" s="889">
        <v>46053</v>
      </c>
      <c r="U171" s="861"/>
      <c r="V171" s="939"/>
      <c r="W171" s="564">
        <f>T171+7</f>
        <v>46060</v>
      </c>
      <c r="X171" s="935"/>
      <c r="Y171" s="485"/>
    </row>
    <row r="172" spans="1:42" ht="14.45" thickBot="1">
      <c r="B172" s="557"/>
      <c r="C172" s="566"/>
      <c r="D172" s="566"/>
      <c r="E172" s="601"/>
      <c r="F172" s="567"/>
      <c r="G172" s="562"/>
      <c r="H172" s="563"/>
      <c r="I172" s="924"/>
      <c r="J172" s="924"/>
      <c r="K172" s="350"/>
      <c r="L172" s="557">
        <v>15</v>
      </c>
      <c r="M172" s="572" t="s">
        <v>600</v>
      </c>
      <c r="N172" s="566" t="s">
        <v>613</v>
      </c>
      <c r="O172" s="601"/>
      <c r="P172" s="567"/>
      <c r="Q172" s="562">
        <v>19085.169999999998</v>
      </c>
      <c r="R172" s="484"/>
      <c r="S172" s="724" t="s">
        <v>614</v>
      </c>
      <c r="T172" s="728">
        <v>45869</v>
      </c>
      <c r="U172" s="861"/>
      <c r="V172" s="939"/>
      <c r="W172" s="785">
        <v>45862</v>
      </c>
      <c r="X172" s="935"/>
      <c r="Y172" s="485"/>
    </row>
    <row r="173" spans="1:42" ht="14.45" thickBot="1">
      <c r="B173" s="392">
        <v>15</v>
      </c>
      <c r="C173" s="393"/>
      <c r="D173" s="393"/>
      <c r="E173" s="394"/>
      <c r="F173" s="438"/>
      <c r="G173" s="413"/>
      <c r="H173" s="351"/>
      <c r="I173" s="924"/>
      <c r="J173" s="924"/>
      <c r="K173" s="352"/>
      <c r="L173" s="392">
        <v>15</v>
      </c>
      <c r="M173" s="652" t="s">
        <v>600</v>
      </c>
      <c r="N173" s="393" t="s">
        <v>615</v>
      </c>
      <c r="O173" s="394"/>
      <c r="P173" s="438"/>
      <c r="Q173" s="413">
        <v>5500</v>
      </c>
      <c r="R173" s="216" t="s">
        <v>616</v>
      </c>
      <c r="S173" s="829" t="s">
        <v>617</v>
      </c>
      <c r="T173" s="830">
        <v>45900</v>
      </c>
      <c r="U173" s="543"/>
      <c r="V173" s="939"/>
      <c r="W173" s="858">
        <v>45899</v>
      </c>
      <c r="X173" s="935"/>
      <c r="Y173" s="203"/>
    </row>
    <row r="174" spans="1:42" s="3" customFormat="1">
      <c r="B174" s="109"/>
      <c r="E174" s="4"/>
      <c r="F174" s="109"/>
      <c r="G174" s="5"/>
      <c r="H174" s="5"/>
      <c r="I174" s="440"/>
      <c r="J174" s="440"/>
      <c r="L174" s="109"/>
      <c r="N174" s="3" t="s">
        <v>618</v>
      </c>
      <c r="O174" s="4"/>
      <c r="P174" s="109"/>
      <c r="Q174" s="441"/>
      <c r="R174" s="441"/>
      <c r="S174" s="441"/>
      <c r="T174" s="441"/>
      <c r="U174" s="441"/>
      <c r="V174" s="441"/>
      <c r="W174" s="441"/>
      <c r="X174" s="441"/>
      <c r="Z174" s="114"/>
      <c r="AA174" s="114"/>
    </row>
    <row r="175" spans="1:42">
      <c r="B175" s="114"/>
      <c r="C175" s="114"/>
      <c r="D175" s="114"/>
      <c r="E175" s="168"/>
      <c r="F175" s="115"/>
      <c r="G175" s="114"/>
      <c r="H175" s="114"/>
      <c r="I175" s="114"/>
      <c r="J175" s="114"/>
      <c r="L175" s="114"/>
      <c r="M175" s="114"/>
      <c r="N175" s="114"/>
      <c r="O175" s="114"/>
      <c r="P175" s="114"/>
      <c r="Q175" s="305"/>
      <c r="R175" s="114"/>
      <c r="S175" s="305"/>
      <c r="T175" s="305"/>
      <c r="U175" s="493">
        <f>SUM(U6:U166)</f>
        <v>16024328.925751148</v>
      </c>
      <c r="V175" s="305"/>
      <c r="W175" s="305"/>
      <c r="X175" s="305"/>
    </row>
    <row r="176" spans="1:42">
      <c r="B176" s="114"/>
      <c r="C176" s="114"/>
      <c r="D176" s="114"/>
      <c r="E176" s="168"/>
      <c r="F176" s="115"/>
      <c r="G176" s="114"/>
      <c r="H176" s="114"/>
      <c r="I176" s="304"/>
      <c r="J176" s="304"/>
      <c r="L176" s="114"/>
      <c r="M176" s="114"/>
      <c r="N176" s="114"/>
      <c r="O176" s="168"/>
      <c r="P176" s="115"/>
      <c r="Q176" s="305"/>
      <c r="R176" s="169"/>
      <c r="S176" s="305"/>
      <c r="T176" s="305"/>
      <c r="U176" s="305"/>
      <c r="V176" s="305"/>
      <c r="W176" s="305"/>
      <c r="X176" s="305"/>
    </row>
    <row r="177" spans="2:24">
      <c r="B177" s="114"/>
      <c r="C177" s="114"/>
      <c r="D177" s="114"/>
      <c r="E177" s="168"/>
      <c r="F177" s="115"/>
      <c r="G177" s="114"/>
      <c r="H177" s="114"/>
      <c r="I177" s="442"/>
      <c r="J177" s="442"/>
      <c r="L177" s="114"/>
      <c r="M177" s="114"/>
      <c r="N177" s="114"/>
      <c r="O177" s="168"/>
      <c r="P177" s="115"/>
      <c r="Q177" s="305"/>
      <c r="R177" s="169"/>
      <c r="S177" s="305"/>
      <c r="T177" s="305"/>
      <c r="U177" s="305"/>
      <c r="V177" s="305"/>
      <c r="W177" s="305"/>
      <c r="X177" s="305"/>
    </row>
    <row r="178" spans="2:24">
      <c r="B178" s="114"/>
      <c r="C178" s="114"/>
      <c r="D178" s="114"/>
      <c r="E178" s="168"/>
      <c r="F178" s="115"/>
      <c r="G178" s="114"/>
      <c r="H178" s="114"/>
      <c r="I178" s="304"/>
      <c r="J178" s="304"/>
      <c r="L178" s="114"/>
      <c r="M178" s="114"/>
      <c r="N178" s="114"/>
      <c r="O178" s="168"/>
      <c r="P178" s="115"/>
      <c r="Q178" s="305"/>
      <c r="R178" s="169"/>
      <c r="S178" s="305"/>
      <c r="T178" s="305"/>
      <c r="U178" s="305"/>
      <c r="V178" s="305"/>
      <c r="W178" s="305"/>
      <c r="X178" s="305"/>
    </row>
    <row r="179" spans="2:24">
      <c r="B179" s="114"/>
      <c r="C179" s="114"/>
      <c r="D179" s="114"/>
      <c r="E179" s="168"/>
      <c r="F179" s="115"/>
      <c r="G179" s="114"/>
      <c r="H179" s="114"/>
      <c r="I179" s="442"/>
      <c r="J179" s="442"/>
      <c r="L179" s="114"/>
      <c r="M179" s="114"/>
      <c r="N179" s="114"/>
      <c r="O179" s="168"/>
      <c r="P179" s="115"/>
      <c r="Q179" s="305"/>
      <c r="R179" s="169"/>
      <c r="S179" s="305"/>
      <c r="T179" s="305"/>
      <c r="U179" s="305"/>
      <c r="V179" s="305"/>
      <c r="W179" s="305"/>
      <c r="X179" s="305"/>
    </row>
    <row r="180" spans="2:24">
      <c r="B180" s="114"/>
      <c r="C180" s="114"/>
      <c r="D180" s="114"/>
      <c r="E180" s="168"/>
      <c r="F180" s="115"/>
      <c r="G180" s="114"/>
      <c r="H180" s="114"/>
      <c r="I180" s="304"/>
      <c r="J180" s="304"/>
      <c r="L180" s="114"/>
      <c r="M180" s="114"/>
      <c r="N180" s="114"/>
      <c r="O180" s="168"/>
      <c r="P180" s="115"/>
      <c r="Q180" s="305"/>
      <c r="R180" s="169"/>
      <c r="S180" s="305"/>
      <c r="T180" s="305"/>
      <c r="U180" s="305"/>
      <c r="V180" s="305"/>
      <c r="W180" s="305"/>
      <c r="X180" s="305"/>
    </row>
    <row r="181" spans="2:24">
      <c r="B181" s="114"/>
      <c r="C181" s="114"/>
      <c r="D181" s="114"/>
      <c r="E181" s="168"/>
      <c r="F181" s="115"/>
      <c r="G181" s="114"/>
      <c r="H181" s="114"/>
      <c r="I181" s="304"/>
      <c r="J181" s="304"/>
      <c r="L181" s="114"/>
      <c r="M181" s="114"/>
      <c r="N181" s="114"/>
      <c r="O181" s="168"/>
      <c r="P181" s="115"/>
      <c r="Q181" s="493"/>
      <c r="R181" s="169"/>
      <c r="S181" s="305"/>
      <c r="T181" s="305"/>
      <c r="U181" s="305"/>
      <c r="V181" s="305"/>
      <c r="W181" s="305"/>
      <c r="X181" s="305"/>
    </row>
    <row r="182" spans="2:24">
      <c r="B182" s="114"/>
      <c r="C182" s="114"/>
      <c r="D182" s="114"/>
      <c r="E182" s="168"/>
      <c r="F182" s="115"/>
      <c r="G182" s="114"/>
      <c r="H182" s="114"/>
      <c r="I182" s="304"/>
      <c r="J182" s="304"/>
      <c r="L182" s="114"/>
      <c r="M182" s="114"/>
      <c r="N182" s="114"/>
      <c r="O182" s="168"/>
      <c r="P182" s="115"/>
      <c r="Q182" s="305"/>
      <c r="R182" s="169"/>
      <c r="S182" s="305"/>
      <c r="T182" s="305"/>
      <c r="U182" s="305"/>
      <c r="V182" s="305"/>
      <c r="W182" s="305"/>
      <c r="X182" s="305"/>
    </row>
    <row r="183" spans="2:24">
      <c r="B183" s="114"/>
      <c r="C183" s="114"/>
      <c r="D183" s="114"/>
      <c r="E183" s="168"/>
      <c r="F183" s="115"/>
      <c r="G183" s="114"/>
      <c r="H183" s="114"/>
      <c r="I183" s="304"/>
      <c r="J183" s="304"/>
      <c r="L183" s="114"/>
      <c r="M183" s="114"/>
      <c r="N183" s="114"/>
      <c r="O183" s="168"/>
      <c r="P183" s="115"/>
      <c r="Q183" s="305"/>
      <c r="R183" s="169"/>
      <c r="S183" s="305"/>
      <c r="T183" s="305"/>
      <c r="U183" s="305"/>
      <c r="V183" s="305"/>
      <c r="W183" s="305"/>
      <c r="X183" s="305"/>
    </row>
    <row r="184" spans="2:24">
      <c r="B184" s="114"/>
      <c r="C184" s="114"/>
      <c r="D184" s="114"/>
      <c r="E184" s="168"/>
      <c r="F184" s="115"/>
      <c r="G184" s="114"/>
      <c r="H184" s="114"/>
      <c r="I184" s="304"/>
      <c r="J184" s="304"/>
      <c r="L184" s="114"/>
      <c r="M184" s="114"/>
      <c r="N184" s="114"/>
      <c r="O184" s="168"/>
      <c r="P184" s="115"/>
      <c r="Q184" s="305"/>
      <c r="R184" s="169"/>
      <c r="S184" s="305"/>
      <c r="T184" s="305"/>
      <c r="U184" s="305"/>
      <c r="V184" s="305"/>
      <c r="W184" s="305"/>
      <c r="X184" s="305"/>
    </row>
    <row r="185" spans="2:24">
      <c r="B185" s="114"/>
      <c r="C185" s="114"/>
      <c r="D185" s="114"/>
      <c r="E185" s="168"/>
      <c r="F185" s="115"/>
      <c r="G185" s="114"/>
      <c r="H185" s="114"/>
      <c r="I185" s="304"/>
      <c r="J185" s="304"/>
      <c r="L185" s="114"/>
      <c r="M185" s="114"/>
      <c r="N185" s="114"/>
      <c r="O185" s="168"/>
      <c r="P185" s="115"/>
      <c r="Q185" s="305"/>
      <c r="R185" s="169"/>
      <c r="S185" s="305"/>
      <c r="T185" s="305"/>
      <c r="U185" s="305"/>
      <c r="V185" s="305"/>
      <c r="W185" s="305"/>
      <c r="X185" s="305"/>
    </row>
    <row r="186" spans="2:24">
      <c r="B186" s="114"/>
      <c r="C186" s="114"/>
      <c r="D186" s="114"/>
      <c r="E186" s="168"/>
      <c r="F186" s="115"/>
      <c r="G186" s="114"/>
      <c r="H186" s="114"/>
      <c r="I186" s="304"/>
      <c r="J186" s="304"/>
      <c r="L186" s="114"/>
      <c r="M186" s="114"/>
      <c r="N186" s="114"/>
      <c r="O186" s="168"/>
      <c r="P186" s="115"/>
      <c r="Q186" s="305"/>
      <c r="R186" s="169"/>
      <c r="S186" s="305"/>
      <c r="T186" s="305"/>
      <c r="U186" s="305"/>
      <c r="V186" s="305"/>
      <c r="W186" s="305"/>
      <c r="X186" s="305"/>
    </row>
    <row r="187" spans="2:24">
      <c r="B187" s="114"/>
      <c r="C187" s="114"/>
      <c r="D187" s="114"/>
      <c r="E187" s="168"/>
      <c r="F187" s="115"/>
      <c r="G187" s="114"/>
      <c r="H187" s="114"/>
      <c r="I187" s="304"/>
      <c r="J187" s="304"/>
      <c r="L187" s="114"/>
      <c r="M187" s="114"/>
      <c r="N187" s="114"/>
      <c r="O187" s="168"/>
      <c r="P187" s="115"/>
      <c r="Q187" s="305"/>
      <c r="R187" s="169"/>
      <c r="S187" s="305"/>
      <c r="T187" s="305"/>
      <c r="U187" s="305"/>
      <c r="V187" s="305"/>
      <c r="W187" s="305"/>
      <c r="X187" s="305"/>
    </row>
    <row r="188" spans="2:24" s="114" customFormat="1">
      <c r="E188" s="168"/>
      <c r="F188" s="115"/>
      <c r="I188" s="304"/>
      <c r="J188" s="304"/>
      <c r="O188" s="168"/>
      <c r="P188" s="115"/>
      <c r="Q188" s="305"/>
      <c r="R188" s="169"/>
      <c r="S188" s="305"/>
      <c r="T188" s="305"/>
      <c r="U188" s="305"/>
      <c r="V188" s="305"/>
      <c r="W188" s="305"/>
      <c r="X188" s="305"/>
    </row>
    <row r="189" spans="2:24" s="114" customFormat="1">
      <c r="E189" s="168"/>
      <c r="F189" s="115"/>
      <c r="I189" s="304"/>
      <c r="J189" s="304"/>
      <c r="O189" s="168"/>
      <c r="P189" s="115"/>
      <c r="Q189" s="305"/>
      <c r="R189" s="169"/>
      <c r="S189" s="305"/>
      <c r="T189" s="305"/>
      <c r="U189" s="305"/>
      <c r="V189" s="305"/>
      <c r="W189" s="305"/>
      <c r="X189" s="305"/>
    </row>
    <row r="190" spans="2:24" s="114" customFormat="1">
      <c r="E190" s="168"/>
      <c r="F190" s="115"/>
      <c r="I190" s="304"/>
      <c r="J190" s="304"/>
      <c r="O190" s="168"/>
      <c r="P190" s="115"/>
      <c r="Q190" s="305"/>
      <c r="R190" s="169"/>
      <c r="S190" s="305"/>
      <c r="T190" s="305"/>
      <c r="U190" s="305"/>
      <c r="V190" s="305"/>
      <c r="W190" s="305"/>
      <c r="X190" s="305"/>
    </row>
    <row r="191" spans="2:24" s="114" customFormat="1">
      <c r="E191" s="168"/>
      <c r="F191" s="115"/>
      <c r="I191" s="304"/>
      <c r="J191" s="304"/>
      <c r="O191" s="168"/>
      <c r="P191" s="115"/>
      <c r="Q191" s="305"/>
      <c r="R191" s="169"/>
      <c r="S191" s="305"/>
      <c r="T191" s="305"/>
      <c r="U191" s="305"/>
      <c r="V191" s="305"/>
      <c r="W191" s="305"/>
      <c r="X191" s="305"/>
    </row>
    <row r="192" spans="2:24" s="114" customFormat="1">
      <c r="E192" s="168"/>
      <c r="F192" s="115"/>
      <c r="I192" s="304"/>
      <c r="J192" s="304"/>
      <c r="O192" s="168"/>
      <c r="P192" s="115"/>
      <c r="Q192" s="305"/>
      <c r="R192" s="169"/>
      <c r="S192" s="305"/>
      <c r="T192" s="305"/>
      <c r="U192" s="305"/>
      <c r="V192" s="305"/>
      <c r="W192" s="305"/>
      <c r="X192" s="305"/>
    </row>
    <row r="193" spans="5:24" s="114" customFormat="1">
      <c r="E193" s="168"/>
      <c r="F193" s="115"/>
      <c r="I193" s="304"/>
      <c r="J193" s="304"/>
      <c r="O193" s="168"/>
      <c r="P193" s="115"/>
      <c r="Q193" s="305"/>
      <c r="R193" s="169"/>
      <c r="S193" s="305"/>
      <c r="T193" s="305"/>
      <c r="U193" s="305"/>
      <c r="V193" s="305"/>
      <c r="W193" s="305"/>
      <c r="X193" s="305"/>
    </row>
    <row r="194" spans="5:24" s="114" customFormat="1">
      <c r="E194" s="168"/>
      <c r="F194" s="115"/>
      <c r="I194" s="304"/>
      <c r="J194" s="304"/>
      <c r="O194" s="168"/>
      <c r="P194" s="115"/>
      <c r="Q194" s="305"/>
      <c r="R194" s="169"/>
      <c r="S194" s="305"/>
      <c r="T194" s="305"/>
      <c r="U194" s="305"/>
      <c r="V194" s="305"/>
      <c r="W194" s="305"/>
      <c r="X194" s="305"/>
    </row>
    <row r="195" spans="5:24" s="114" customFormat="1">
      <c r="E195" s="168"/>
      <c r="F195" s="115"/>
      <c r="I195" s="304"/>
      <c r="J195" s="304"/>
      <c r="O195" s="168"/>
      <c r="P195" s="115"/>
      <c r="Q195" s="305"/>
      <c r="R195" s="169"/>
      <c r="S195" s="305"/>
      <c r="T195" s="305"/>
      <c r="U195" s="305"/>
      <c r="V195" s="305"/>
      <c r="W195" s="305"/>
      <c r="X195" s="305"/>
    </row>
    <row r="196" spans="5:24" s="114" customFormat="1">
      <c r="E196" s="168"/>
      <c r="F196" s="115"/>
      <c r="I196" s="304"/>
      <c r="J196" s="304"/>
      <c r="O196" s="168"/>
      <c r="P196" s="115"/>
      <c r="Q196" s="305"/>
      <c r="R196" s="169"/>
      <c r="S196" s="305"/>
      <c r="T196" s="305"/>
      <c r="U196" s="305"/>
      <c r="V196" s="305"/>
      <c r="W196" s="305"/>
      <c r="X196" s="305"/>
    </row>
    <row r="197" spans="5:24" s="114" customFormat="1">
      <c r="E197" s="168"/>
      <c r="F197" s="115"/>
      <c r="I197" s="304"/>
      <c r="J197" s="304"/>
      <c r="O197" s="168"/>
      <c r="P197" s="115"/>
      <c r="Q197" s="305"/>
      <c r="R197" s="169"/>
      <c r="S197" s="305"/>
      <c r="T197" s="305"/>
      <c r="U197" s="305"/>
      <c r="V197" s="305"/>
      <c r="W197" s="305"/>
      <c r="X197" s="305"/>
    </row>
    <row r="198" spans="5:24" s="114" customFormat="1">
      <c r="E198" s="168"/>
      <c r="F198" s="115"/>
      <c r="I198" s="304"/>
      <c r="J198" s="304"/>
      <c r="O198" s="168"/>
      <c r="P198" s="115"/>
      <c r="Q198" s="305"/>
      <c r="R198" s="169"/>
      <c r="S198" s="305"/>
      <c r="T198" s="305"/>
      <c r="U198" s="305"/>
      <c r="V198" s="305"/>
      <c r="W198" s="305"/>
      <c r="X198" s="305"/>
    </row>
    <row r="199" spans="5:24" s="114" customFormat="1">
      <c r="E199" s="168"/>
      <c r="F199" s="115"/>
      <c r="I199" s="304"/>
      <c r="J199" s="304"/>
      <c r="O199" s="168"/>
      <c r="P199" s="115"/>
      <c r="Q199" s="305"/>
      <c r="R199" s="169"/>
      <c r="S199" s="305"/>
      <c r="T199" s="305"/>
      <c r="U199" s="305"/>
      <c r="V199" s="305"/>
      <c r="W199" s="305"/>
      <c r="X199" s="305"/>
    </row>
    <row r="200" spans="5:24" s="114" customFormat="1">
      <c r="E200" s="168"/>
      <c r="F200" s="115"/>
      <c r="I200" s="304"/>
      <c r="J200" s="304"/>
      <c r="O200" s="168"/>
      <c r="P200" s="115"/>
      <c r="Q200" s="305"/>
      <c r="R200" s="169"/>
      <c r="S200" s="305"/>
      <c r="T200" s="305"/>
      <c r="U200" s="305"/>
      <c r="V200" s="305"/>
      <c r="W200" s="305"/>
      <c r="X200" s="305"/>
    </row>
    <row r="201" spans="5:24" s="114" customFormat="1">
      <c r="E201" s="168"/>
      <c r="F201" s="115"/>
      <c r="I201" s="304"/>
      <c r="J201" s="304"/>
      <c r="O201" s="168"/>
      <c r="P201" s="115"/>
      <c r="Q201" s="305"/>
      <c r="R201" s="169"/>
      <c r="S201" s="305"/>
      <c r="T201" s="305"/>
      <c r="U201" s="305"/>
      <c r="V201" s="305"/>
      <c r="W201" s="305"/>
      <c r="X201" s="305"/>
    </row>
    <row r="202" spans="5:24" s="114" customFormat="1">
      <c r="E202" s="168"/>
      <c r="F202" s="115"/>
      <c r="I202" s="304"/>
      <c r="J202" s="304"/>
      <c r="O202" s="168"/>
      <c r="P202" s="115"/>
      <c r="Q202" s="305"/>
      <c r="R202" s="169"/>
      <c r="S202" s="305"/>
      <c r="T202" s="305"/>
      <c r="U202" s="305"/>
      <c r="V202" s="305"/>
      <c r="W202" s="305"/>
      <c r="X202" s="305"/>
    </row>
    <row r="203" spans="5:24" s="114" customFormat="1">
      <c r="E203" s="168"/>
      <c r="F203" s="115"/>
      <c r="I203" s="304"/>
      <c r="J203" s="304"/>
      <c r="O203" s="168"/>
      <c r="P203" s="115"/>
      <c r="Q203" s="305"/>
      <c r="R203" s="169"/>
      <c r="S203" s="305"/>
      <c r="T203" s="305"/>
      <c r="U203" s="305"/>
      <c r="V203" s="305"/>
      <c r="W203" s="305"/>
      <c r="X203" s="305"/>
    </row>
    <row r="204" spans="5:24" s="114" customFormat="1">
      <c r="E204" s="168"/>
      <c r="F204" s="115"/>
      <c r="I204" s="304"/>
      <c r="J204" s="304"/>
      <c r="O204" s="168"/>
      <c r="P204" s="115"/>
      <c r="Q204" s="305"/>
      <c r="R204" s="169"/>
      <c r="S204" s="305"/>
      <c r="T204" s="305"/>
      <c r="U204" s="305"/>
      <c r="V204" s="305"/>
      <c r="W204" s="305"/>
      <c r="X204" s="305"/>
    </row>
    <row r="205" spans="5:24" s="114" customFormat="1">
      <c r="E205" s="168"/>
      <c r="F205" s="115"/>
      <c r="I205" s="304"/>
      <c r="J205" s="304"/>
      <c r="O205" s="168"/>
      <c r="P205" s="115"/>
      <c r="Q205" s="305"/>
      <c r="R205" s="169"/>
      <c r="S205" s="305"/>
      <c r="T205" s="305"/>
      <c r="U205" s="305"/>
      <c r="V205" s="305"/>
      <c r="W205" s="305"/>
      <c r="X205" s="305"/>
    </row>
    <row r="206" spans="5:24" s="114" customFormat="1">
      <c r="E206" s="168"/>
      <c r="F206" s="115"/>
      <c r="I206" s="304"/>
      <c r="J206" s="304"/>
      <c r="O206" s="168"/>
      <c r="P206" s="115"/>
      <c r="Q206" s="305"/>
      <c r="R206" s="169"/>
      <c r="S206" s="305"/>
      <c r="T206" s="305"/>
      <c r="U206" s="305"/>
      <c r="V206" s="305"/>
      <c r="W206" s="305"/>
      <c r="X206" s="305"/>
    </row>
    <row r="207" spans="5:24" s="114" customFormat="1">
      <c r="E207" s="168"/>
      <c r="F207" s="115"/>
      <c r="I207" s="304"/>
      <c r="J207" s="304"/>
      <c r="O207" s="168"/>
      <c r="P207" s="115"/>
      <c r="Q207" s="305"/>
      <c r="R207" s="169"/>
      <c r="S207" s="305"/>
      <c r="T207" s="305"/>
      <c r="U207" s="305"/>
      <c r="V207" s="305"/>
      <c r="W207" s="305"/>
      <c r="X207" s="305"/>
    </row>
    <row r="208" spans="5:24" s="114" customFormat="1">
      <c r="E208" s="168"/>
      <c r="F208" s="115"/>
      <c r="I208" s="304"/>
      <c r="J208" s="304"/>
      <c r="O208" s="168"/>
      <c r="P208" s="115"/>
      <c r="Q208" s="305"/>
      <c r="R208" s="169"/>
      <c r="S208" s="305"/>
      <c r="T208" s="305"/>
      <c r="U208" s="305"/>
      <c r="V208" s="305"/>
      <c r="W208" s="305"/>
      <c r="X208" s="305"/>
    </row>
    <row r="209" spans="5:24" s="114" customFormat="1">
      <c r="E209" s="168"/>
      <c r="F209" s="115"/>
      <c r="I209" s="304"/>
      <c r="J209" s="304"/>
      <c r="O209" s="168"/>
      <c r="P209" s="115"/>
      <c r="Q209" s="305"/>
      <c r="R209" s="169"/>
      <c r="S209" s="305"/>
      <c r="T209" s="305"/>
      <c r="U209" s="305"/>
      <c r="V209" s="305"/>
      <c r="W209" s="305"/>
      <c r="X209" s="305"/>
    </row>
    <row r="210" spans="5:24" s="114" customFormat="1">
      <c r="E210" s="168"/>
      <c r="F210" s="115"/>
      <c r="I210" s="304"/>
      <c r="J210" s="304"/>
      <c r="O210" s="168"/>
      <c r="P210" s="115"/>
      <c r="Q210" s="305"/>
      <c r="R210" s="169"/>
      <c r="S210" s="305"/>
      <c r="T210" s="305"/>
      <c r="U210" s="305"/>
      <c r="V210" s="305"/>
      <c r="W210" s="305"/>
      <c r="X210" s="305"/>
    </row>
    <row r="211" spans="5:24" s="114" customFormat="1">
      <c r="E211" s="168"/>
      <c r="F211" s="115"/>
      <c r="I211" s="304"/>
      <c r="J211" s="304"/>
      <c r="O211" s="168"/>
      <c r="P211" s="115"/>
      <c r="Q211" s="305"/>
      <c r="R211" s="169"/>
      <c r="S211" s="305"/>
      <c r="T211" s="305"/>
      <c r="U211" s="305"/>
      <c r="V211" s="305"/>
      <c r="W211" s="305"/>
      <c r="X211" s="305"/>
    </row>
    <row r="212" spans="5:24" s="114" customFormat="1">
      <c r="E212" s="168"/>
      <c r="F212" s="115"/>
      <c r="I212" s="304"/>
      <c r="J212" s="304"/>
      <c r="O212" s="168"/>
      <c r="P212" s="115"/>
      <c r="Q212" s="305"/>
      <c r="R212" s="169"/>
      <c r="S212" s="305"/>
      <c r="T212" s="305"/>
      <c r="U212" s="305"/>
      <c r="V212" s="305"/>
      <c r="W212" s="305"/>
      <c r="X212" s="305"/>
    </row>
    <row r="213" spans="5:24" s="114" customFormat="1">
      <c r="E213" s="168"/>
      <c r="F213" s="115"/>
      <c r="I213" s="304"/>
      <c r="J213" s="304"/>
      <c r="O213" s="168"/>
      <c r="P213" s="115"/>
      <c r="Q213" s="305"/>
      <c r="R213" s="169"/>
      <c r="S213" s="305"/>
      <c r="T213" s="305"/>
      <c r="U213" s="305"/>
      <c r="V213" s="305"/>
      <c r="W213" s="305"/>
      <c r="X213" s="305"/>
    </row>
    <row r="214" spans="5:24" s="114" customFormat="1">
      <c r="E214" s="168"/>
      <c r="F214" s="115"/>
      <c r="I214" s="304"/>
      <c r="J214" s="304"/>
      <c r="O214" s="168"/>
      <c r="P214" s="115"/>
      <c r="Q214" s="305"/>
      <c r="R214" s="169"/>
      <c r="S214" s="305"/>
      <c r="T214" s="305"/>
      <c r="U214" s="305"/>
      <c r="V214" s="305"/>
      <c r="W214" s="305"/>
      <c r="X214" s="305"/>
    </row>
    <row r="215" spans="5:24" s="114" customFormat="1">
      <c r="E215" s="168"/>
      <c r="F215" s="115"/>
      <c r="I215" s="304"/>
      <c r="J215" s="304"/>
      <c r="O215" s="168"/>
      <c r="P215" s="115"/>
      <c r="Q215" s="305"/>
      <c r="R215" s="169"/>
      <c r="S215" s="305"/>
      <c r="T215" s="305"/>
      <c r="U215" s="305"/>
      <c r="V215" s="305"/>
      <c r="W215" s="305"/>
      <c r="X215" s="305"/>
    </row>
    <row r="216" spans="5:24" s="114" customFormat="1">
      <c r="E216" s="168"/>
      <c r="F216" s="115"/>
      <c r="I216" s="304"/>
      <c r="J216" s="304"/>
      <c r="O216" s="168"/>
      <c r="P216" s="115"/>
      <c r="Q216" s="305"/>
      <c r="R216" s="169"/>
      <c r="S216" s="305"/>
      <c r="T216" s="305"/>
      <c r="U216" s="305"/>
      <c r="V216" s="305"/>
      <c r="W216" s="305"/>
      <c r="X216" s="305"/>
    </row>
    <row r="217" spans="5:24" s="114" customFormat="1">
      <c r="E217" s="168"/>
      <c r="F217" s="115"/>
      <c r="I217" s="304"/>
      <c r="J217" s="304"/>
      <c r="O217" s="168"/>
      <c r="P217" s="115"/>
      <c r="Q217" s="305"/>
      <c r="R217" s="169"/>
      <c r="S217" s="305"/>
      <c r="T217" s="305"/>
      <c r="U217" s="305"/>
      <c r="V217" s="305"/>
      <c r="W217" s="305"/>
      <c r="X217" s="305"/>
    </row>
    <row r="218" spans="5:24" s="114" customFormat="1">
      <c r="E218" s="168"/>
      <c r="F218" s="115"/>
      <c r="I218" s="304"/>
      <c r="J218" s="304"/>
      <c r="O218" s="168"/>
      <c r="P218" s="115"/>
      <c r="Q218" s="305"/>
      <c r="R218" s="169"/>
      <c r="S218" s="305"/>
      <c r="T218" s="305"/>
      <c r="U218" s="305"/>
      <c r="V218" s="305"/>
      <c r="W218" s="305"/>
      <c r="X218" s="305"/>
    </row>
    <row r="219" spans="5:24" s="114" customFormat="1">
      <c r="E219" s="168"/>
      <c r="F219" s="115"/>
      <c r="I219" s="304"/>
      <c r="J219" s="304"/>
      <c r="O219" s="168"/>
      <c r="P219" s="115"/>
      <c r="Q219" s="305"/>
      <c r="R219" s="169"/>
      <c r="S219" s="305"/>
      <c r="T219" s="305"/>
      <c r="U219" s="305"/>
      <c r="V219" s="305"/>
      <c r="W219" s="305"/>
      <c r="X219" s="305"/>
    </row>
    <row r="220" spans="5:24" s="114" customFormat="1">
      <c r="E220" s="168"/>
      <c r="F220" s="115"/>
      <c r="I220" s="304"/>
      <c r="J220" s="304"/>
      <c r="O220" s="168"/>
      <c r="P220" s="115"/>
      <c r="Q220" s="305"/>
      <c r="R220" s="169"/>
      <c r="S220" s="305"/>
      <c r="T220" s="305"/>
      <c r="U220" s="305"/>
      <c r="V220" s="305"/>
      <c r="W220" s="305"/>
      <c r="X220" s="305"/>
    </row>
    <row r="221" spans="5:24" s="114" customFormat="1">
      <c r="E221" s="168"/>
      <c r="F221" s="115"/>
      <c r="I221" s="304"/>
      <c r="J221" s="304"/>
      <c r="O221" s="168"/>
      <c r="P221" s="115"/>
      <c r="Q221" s="305"/>
      <c r="R221" s="169"/>
      <c r="S221" s="305"/>
      <c r="T221" s="305"/>
      <c r="U221" s="305"/>
      <c r="V221" s="305"/>
      <c r="W221" s="305"/>
      <c r="X221" s="305"/>
    </row>
    <row r="222" spans="5:24" s="114" customFormat="1">
      <c r="E222" s="168"/>
      <c r="F222" s="115"/>
      <c r="I222" s="304"/>
      <c r="J222" s="304"/>
      <c r="O222" s="168"/>
      <c r="P222" s="115"/>
      <c r="Q222" s="305"/>
      <c r="R222" s="169"/>
      <c r="S222" s="305"/>
      <c r="T222" s="305"/>
      <c r="U222" s="305"/>
      <c r="V222" s="305"/>
      <c r="W222" s="305"/>
      <c r="X222" s="305"/>
    </row>
    <row r="223" spans="5:24" s="114" customFormat="1">
      <c r="E223" s="168"/>
      <c r="F223" s="115"/>
      <c r="I223" s="304"/>
      <c r="J223" s="304"/>
      <c r="O223" s="168"/>
      <c r="P223" s="115"/>
      <c r="Q223" s="305"/>
      <c r="R223" s="169"/>
      <c r="S223" s="305"/>
      <c r="T223" s="305"/>
      <c r="U223" s="305"/>
      <c r="V223" s="305"/>
      <c r="W223" s="305"/>
      <c r="X223" s="305"/>
    </row>
    <row r="224" spans="5:24" s="114" customFormat="1">
      <c r="E224" s="168"/>
      <c r="F224" s="115"/>
      <c r="I224" s="304"/>
      <c r="J224" s="304"/>
      <c r="O224" s="168"/>
      <c r="P224" s="115"/>
      <c r="Q224" s="305"/>
      <c r="R224" s="169"/>
      <c r="S224" s="305"/>
      <c r="T224" s="305"/>
      <c r="U224" s="305"/>
      <c r="V224" s="305"/>
      <c r="W224" s="305"/>
      <c r="X224" s="305"/>
    </row>
    <row r="225" spans="5:24" s="114" customFormat="1">
      <c r="E225" s="168"/>
      <c r="F225" s="115"/>
      <c r="I225" s="304"/>
      <c r="J225" s="304"/>
      <c r="O225" s="168"/>
      <c r="P225" s="115"/>
      <c r="Q225" s="305"/>
      <c r="R225" s="169"/>
      <c r="S225" s="305"/>
      <c r="T225" s="305"/>
      <c r="U225" s="305"/>
      <c r="V225" s="305"/>
      <c r="W225" s="305"/>
      <c r="X225" s="305"/>
    </row>
    <row r="226" spans="5:24" s="114" customFormat="1">
      <c r="E226" s="168"/>
      <c r="F226" s="115"/>
      <c r="I226" s="304"/>
      <c r="J226" s="304"/>
      <c r="O226" s="168"/>
      <c r="P226" s="115"/>
      <c r="Q226" s="305"/>
      <c r="R226" s="169"/>
      <c r="S226" s="305"/>
      <c r="T226" s="305"/>
      <c r="U226" s="305"/>
      <c r="V226" s="305"/>
      <c r="W226" s="305"/>
      <c r="X226" s="305"/>
    </row>
    <row r="227" spans="5:24" s="114" customFormat="1">
      <c r="E227" s="168"/>
      <c r="F227" s="115"/>
      <c r="I227" s="304"/>
      <c r="J227" s="304"/>
      <c r="O227" s="168"/>
      <c r="P227" s="115"/>
      <c r="Q227" s="305"/>
      <c r="R227" s="169"/>
      <c r="S227" s="305"/>
      <c r="T227" s="305"/>
      <c r="U227" s="305"/>
      <c r="V227" s="305"/>
      <c r="W227" s="305"/>
      <c r="X227" s="305"/>
    </row>
    <row r="228" spans="5:24" s="114" customFormat="1">
      <c r="E228" s="168"/>
      <c r="F228" s="115"/>
      <c r="I228" s="304"/>
      <c r="J228" s="304"/>
      <c r="O228" s="168"/>
      <c r="P228" s="115"/>
      <c r="Q228" s="305"/>
      <c r="R228" s="169"/>
      <c r="S228" s="305"/>
      <c r="T228" s="305"/>
      <c r="U228" s="305"/>
      <c r="V228" s="305"/>
      <c r="W228" s="305"/>
      <c r="X228" s="305"/>
    </row>
    <row r="229" spans="5:24" s="114" customFormat="1">
      <c r="E229" s="168"/>
      <c r="F229" s="115"/>
      <c r="I229" s="304"/>
      <c r="J229" s="304"/>
      <c r="O229" s="168"/>
      <c r="P229" s="115"/>
      <c r="Q229" s="305"/>
      <c r="R229" s="169"/>
      <c r="S229" s="305"/>
      <c r="T229" s="305"/>
      <c r="U229" s="305"/>
      <c r="V229" s="305"/>
      <c r="W229" s="305"/>
      <c r="X229" s="305"/>
    </row>
    <row r="230" spans="5:24" s="114" customFormat="1">
      <c r="E230" s="168"/>
      <c r="F230" s="115"/>
      <c r="I230" s="304"/>
      <c r="J230" s="304"/>
      <c r="O230" s="168"/>
      <c r="P230" s="115"/>
      <c r="Q230" s="305"/>
      <c r="R230" s="169"/>
      <c r="S230" s="305"/>
      <c r="T230" s="305"/>
      <c r="U230" s="305"/>
      <c r="V230" s="305"/>
      <c r="W230" s="305"/>
      <c r="X230" s="305"/>
    </row>
    <row r="231" spans="5:24" s="114" customFormat="1">
      <c r="E231" s="168"/>
      <c r="F231" s="115"/>
      <c r="I231" s="304"/>
      <c r="J231" s="304"/>
      <c r="O231" s="168"/>
      <c r="P231" s="115"/>
      <c r="Q231" s="305"/>
      <c r="R231" s="169"/>
      <c r="S231" s="305"/>
      <c r="T231" s="305"/>
      <c r="U231" s="305"/>
      <c r="V231" s="305"/>
      <c r="W231" s="305"/>
      <c r="X231" s="305"/>
    </row>
    <row r="232" spans="5:24" s="114" customFormat="1">
      <c r="E232" s="168"/>
      <c r="F232" s="115"/>
      <c r="I232" s="304"/>
      <c r="J232" s="304"/>
      <c r="O232" s="168"/>
      <c r="P232" s="115"/>
      <c r="Q232" s="305"/>
      <c r="R232" s="169"/>
      <c r="S232" s="305"/>
      <c r="T232" s="305"/>
      <c r="U232" s="305"/>
      <c r="V232" s="305"/>
      <c r="W232" s="305"/>
      <c r="X232" s="305"/>
    </row>
    <row r="233" spans="5:24" s="114" customFormat="1">
      <c r="E233" s="168"/>
      <c r="F233" s="115"/>
      <c r="I233" s="304"/>
      <c r="J233" s="304"/>
      <c r="O233" s="168"/>
      <c r="P233" s="115"/>
      <c r="Q233" s="305"/>
      <c r="R233" s="169"/>
      <c r="S233" s="305"/>
      <c r="T233" s="305"/>
      <c r="U233" s="305"/>
      <c r="V233" s="305"/>
      <c r="W233" s="305"/>
      <c r="X233" s="305"/>
    </row>
    <row r="234" spans="5:24" s="114" customFormat="1">
      <c r="E234" s="168"/>
      <c r="F234" s="115"/>
      <c r="I234" s="304"/>
      <c r="J234" s="304"/>
      <c r="O234" s="168"/>
      <c r="P234" s="115"/>
      <c r="Q234" s="305"/>
      <c r="R234" s="169"/>
      <c r="S234" s="305"/>
      <c r="T234" s="305"/>
      <c r="U234" s="305"/>
      <c r="V234" s="305"/>
      <c r="W234" s="305"/>
      <c r="X234" s="305"/>
    </row>
    <row r="235" spans="5:24" s="114" customFormat="1">
      <c r="E235" s="168"/>
      <c r="F235" s="115"/>
      <c r="I235" s="304"/>
      <c r="J235" s="304"/>
      <c r="O235" s="168"/>
      <c r="P235" s="115"/>
      <c r="Q235" s="305"/>
      <c r="R235" s="169"/>
      <c r="S235" s="305"/>
      <c r="T235" s="305"/>
      <c r="U235" s="305"/>
      <c r="V235" s="305"/>
      <c r="W235" s="305"/>
      <c r="X235" s="305"/>
    </row>
    <row r="236" spans="5:24" s="114" customFormat="1">
      <c r="E236" s="168"/>
      <c r="F236" s="115"/>
      <c r="I236" s="304"/>
      <c r="J236" s="304"/>
      <c r="O236" s="168"/>
      <c r="P236" s="115"/>
      <c r="Q236" s="305"/>
      <c r="R236" s="169"/>
      <c r="S236" s="305"/>
      <c r="T236" s="305"/>
      <c r="U236" s="305"/>
      <c r="V236" s="305"/>
      <c r="W236" s="305"/>
      <c r="X236" s="305"/>
    </row>
    <row r="237" spans="5:24" s="114" customFormat="1">
      <c r="E237" s="168"/>
      <c r="F237" s="115"/>
      <c r="I237" s="304"/>
      <c r="J237" s="304"/>
      <c r="O237" s="168"/>
      <c r="P237" s="115"/>
      <c r="Q237" s="305"/>
      <c r="R237" s="169"/>
      <c r="S237" s="305"/>
      <c r="T237" s="305"/>
      <c r="U237" s="305"/>
      <c r="V237" s="305"/>
      <c r="W237" s="305"/>
      <c r="X237" s="305"/>
    </row>
    <row r="238" spans="5:24" s="114" customFormat="1">
      <c r="E238" s="168"/>
      <c r="F238" s="115"/>
      <c r="I238" s="304"/>
      <c r="J238" s="304"/>
      <c r="O238" s="168"/>
      <c r="P238" s="115"/>
      <c r="Q238" s="305"/>
      <c r="R238" s="169"/>
      <c r="S238" s="305"/>
      <c r="T238" s="305"/>
      <c r="U238" s="305"/>
      <c r="V238" s="305"/>
      <c r="W238" s="305"/>
      <c r="X238" s="305"/>
    </row>
    <row r="239" spans="5:24" s="114" customFormat="1">
      <c r="E239" s="168"/>
      <c r="F239" s="115"/>
      <c r="I239" s="304"/>
      <c r="J239" s="304"/>
      <c r="O239" s="168"/>
      <c r="P239" s="115"/>
      <c r="Q239" s="305"/>
      <c r="R239" s="169"/>
      <c r="S239" s="305"/>
      <c r="T239" s="305"/>
      <c r="U239" s="305"/>
      <c r="V239" s="305"/>
      <c r="W239" s="305"/>
      <c r="X239" s="305"/>
    </row>
    <row r="240" spans="5:24" s="114" customFormat="1">
      <c r="E240" s="168"/>
      <c r="F240" s="115"/>
      <c r="I240" s="304"/>
      <c r="J240" s="304"/>
      <c r="O240" s="168"/>
      <c r="P240" s="115"/>
      <c r="Q240" s="305"/>
      <c r="R240" s="169"/>
      <c r="S240" s="305"/>
      <c r="T240" s="305"/>
      <c r="U240" s="305"/>
      <c r="V240" s="305"/>
      <c r="W240" s="305"/>
      <c r="X240" s="305"/>
    </row>
    <row r="241" spans="5:24" s="114" customFormat="1">
      <c r="E241" s="168"/>
      <c r="F241" s="115"/>
      <c r="I241" s="304"/>
      <c r="J241" s="304"/>
      <c r="O241" s="168"/>
      <c r="P241" s="115"/>
      <c r="Q241" s="305"/>
      <c r="R241" s="169"/>
      <c r="S241" s="305"/>
      <c r="T241" s="305"/>
      <c r="U241" s="305"/>
      <c r="V241" s="305"/>
      <c r="W241" s="305"/>
      <c r="X241" s="305"/>
    </row>
    <row r="242" spans="5:24" s="114" customFormat="1">
      <c r="E242" s="168"/>
      <c r="F242" s="115"/>
      <c r="I242" s="304"/>
      <c r="J242" s="304"/>
      <c r="O242" s="168"/>
      <c r="P242" s="115"/>
      <c r="Q242" s="305"/>
      <c r="R242" s="169"/>
      <c r="S242" s="305"/>
      <c r="T242" s="305"/>
      <c r="U242" s="305"/>
      <c r="V242" s="305"/>
      <c r="W242" s="305"/>
      <c r="X242" s="305"/>
    </row>
    <row r="243" spans="5:24" s="114" customFormat="1">
      <c r="E243" s="168"/>
      <c r="F243" s="115"/>
      <c r="I243" s="304"/>
      <c r="J243" s="304"/>
      <c r="O243" s="168"/>
      <c r="P243" s="115"/>
      <c r="Q243" s="305"/>
      <c r="R243" s="169"/>
      <c r="S243" s="305"/>
      <c r="T243" s="305"/>
      <c r="U243" s="305"/>
      <c r="V243" s="305"/>
      <c r="W243" s="305"/>
      <c r="X243" s="305"/>
    </row>
    <row r="244" spans="5:24" s="114" customFormat="1">
      <c r="E244" s="168"/>
      <c r="F244" s="115"/>
      <c r="I244" s="304"/>
      <c r="J244" s="304"/>
      <c r="O244" s="168"/>
      <c r="P244" s="115"/>
      <c r="Q244" s="305"/>
      <c r="R244" s="169"/>
      <c r="S244" s="305"/>
      <c r="T244" s="305"/>
      <c r="U244" s="305"/>
      <c r="V244" s="305"/>
      <c r="W244" s="305"/>
      <c r="X244" s="305"/>
    </row>
    <row r="245" spans="5:24" s="114" customFormat="1">
      <c r="E245" s="168"/>
      <c r="F245" s="115"/>
      <c r="I245" s="304"/>
      <c r="J245" s="304"/>
      <c r="O245" s="168"/>
      <c r="P245" s="115"/>
      <c r="Q245" s="305"/>
      <c r="R245" s="169"/>
      <c r="S245" s="305"/>
      <c r="T245" s="305"/>
      <c r="U245" s="305"/>
      <c r="V245" s="305"/>
      <c r="W245" s="305"/>
      <c r="X245" s="305"/>
    </row>
    <row r="246" spans="5:24" s="114" customFormat="1">
      <c r="E246" s="168"/>
      <c r="F246" s="115"/>
      <c r="I246" s="304"/>
      <c r="J246" s="304"/>
      <c r="O246" s="168"/>
      <c r="P246" s="115"/>
      <c r="Q246" s="305"/>
      <c r="R246" s="169"/>
      <c r="S246" s="305"/>
      <c r="T246" s="305"/>
      <c r="U246" s="305"/>
      <c r="V246" s="305"/>
      <c r="W246" s="305"/>
      <c r="X246" s="305"/>
    </row>
    <row r="247" spans="5:24" s="114" customFormat="1">
      <c r="E247" s="168"/>
      <c r="F247" s="115"/>
      <c r="I247" s="304"/>
      <c r="J247" s="304"/>
      <c r="O247" s="168"/>
      <c r="P247" s="115"/>
      <c r="Q247" s="305"/>
      <c r="R247" s="169"/>
      <c r="S247" s="305"/>
      <c r="T247" s="305"/>
      <c r="U247" s="305"/>
      <c r="V247" s="305"/>
      <c r="W247" s="305"/>
      <c r="X247" s="305"/>
    </row>
    <row r="248" spans="5:24" s="114" customFormat="1">
      <c r="E248" s="168"/>
      <c r="F248" s="115"/>
      <c r="I248" s="304"/>
      <c r="J248" s="304"/>
      <c r="O248" s="168"/>
      <c r="P248" s="115"/>
      <c r="Q248" s="305"/>
      <c r="R248" s="169"/>
      <c r="S248" s="305"/>
      <c r="T248" s="305"/>
      <c r="U248" s="305"/>
      <c r="V248" s="305"/>
      <c r="W248" s="305"/>
      <c r="X248" s="305"/>
    </row>
    <row r="249" spans="5:24" s="114" customFormat="1">
      <c r="E249" s="168"/>
      <c r="F249" s="115"/>
      <c r="I249" s="304"/>
      <c r="J249" s="304"/>
      <c r="O249" s="168"/>
      <c r="P249" s="115"/>
      <c r="Q249" s="305"/>
      <c r="R249" s="169"/>
      <c r="S249" s="305"/>
      <c r="T249" s="305"/>
      <c r="U249" s="305"/>
      <c r="V249" s="305"/>
      <c r="W249" s="305"/>
      <c r="X249" s="305"/>
    </row>
    <row r="250" spans="5:24" s="114" customFormat="1">
      <c r="E250" s="168"/>
      <c r="F250" s="115"/>
      <c r="I250" s="304"/>
      <c r="J250" s="304"/>
      <c r="O250" s="168"/>
      <c r="P250" s="115"/>
      <c r="Q250" s="305"/>
      <c r="R250" s="169"/>
      <c r="S250" s="305"/>
      <c r="T250" s="305"/>
      <c r="U250" s="305"/>
      <c r="V250" s="305"/>
      <c r="W250" s="305"/>
      <c r="X250" s="305"/>
    </row>
    <row r="251" spans="5:24" s="114" customFormat="1">
      <c r="E251" s="168"/>
      <c r="F251" s="115"/>
      <c r="I251" s="304"/>
      <c r="J251" s="304"/>
      <c r="O251" s="168"/>
      <c r="P251" s="115"/>
      <c r="Q251" s="305"/>
      <c r="R251" s="169"/>
      <c r="S251" s="305"/>
      <c r="T251" s="305"/>
      <c r="U251" s="305"/>
      <c r="V251" s="305"/>
      <c r="W251" s="305"/>
      <c r="X251" s="305"/>
    </row>
    <row r="252" spans="5:24" s="114" customFormat="1">
      <c r="E252" s="168"/>
      <c r="F252" s="115"/>
      <c r="I252" s="304"/>
      <c r="J252" s="304"/>
      <c r="O252" s="168"/>
      <c r="P252" s="115"/>
      <c r="Q252" s="305"/>
      <c r="R252" s="169"/>
      <c r="S252" s="305"/>
      <c r="T252" s="305"/>
      <c r="U252" s="305"/>
      <c r="V252" s="305"/>
      <c r="W252" s="305"/>
      <c r="X252" s="305"/>
    </row>
    <row r="253" spans="5:24" s="114" customFormat="1">
      <c r="E253" s="168"/>
      <c r="F253" s="115"/>
      <c r="I253" s="304"/>
      <c r="J253" s="304"/>
      <c r="O253" s="168"/>
      <c r="P253" s="115"/>
      <c r="Q253" s="305"/>
      <c r="R253" s="169"/>
      <c r="S253" s="305"/>
      <c r="T253" s="305"/>
      <c r="U253" s="305"/>
      <c r="V253" s="305"/>
      <c r="W253" s="305"/>
      <c r="X253" s="305"/>
    </row>
    <row r="254" spans="5:24" s="114" customFormat="1">
      <c r="E254" s="168"/>
      <c r="F254" s="115"/>
      <c r="I254" s="304"/>
      <c r="J254" s="304"/>
      <c r="O254" s="168"/>
      <c r="P254" s="115"/>
      <c r="Q254" s="305"/>
      <c r="R254" s="169"/>
      <c r="S254" s="305"/>
      <c r="T254" s="305"/>
      <c r="U254" s="305"/>
      <c r="V254" s="305"/>
      <c r="W254" s="305"/>
      <c r="X254" s="305"/>
    </row>
    <row r="255" spans="5:24" s="114" customFormat="1">
      <c r="E255" s="168"/>
      <c r="F255" s="115"/>
      <c r="I255" s="304"/>
      <c r="J255" s="304"/>
      <c r="O255" s="168"/>
      <c r="P255" s="115"/>
      <c r="Q255" s="305"/>
      <c r="R255" s="169"/>
      <c r="S255" s="305"/>
      <c r="T255" s="305"/>
      <c r="U255" s="305"/>
      <c r="V255" s="305"/>
      <c r="W255" s="305"/>
      <c r="X255" s="305"/>
    </row>
    <row r="256" spans="5:24" s="114" customFormat="1">
      <c r="E256" s="168"/>
      <c r="F256" s="115"/>
      <c r="I256" s="304"/>
      <c r="J256" s="304"/>
      <c r="O256" s="168"/>
      <c r="P256" s="115"/>
      <c r="Q256" s="305"/>
      <c r="R256" s="169"/>
      <c r="S256" s="305"/>
      <c r="T256" s="305"/>
      <c r="U256" s="305"/>
      <c r="V256" s="305"/>
      <c r="W256" s="305"/>
      <c r="X256" s="305"/>
    </row>
    <row r="257" spans="5:24" s="114" customFormat="1">
      <c r="E257" s="168"/>
      <c r="F257" s="115"/>
      <c r="I257" s="304"/>
      <c r="J257" s="304"/>
      <c r="O257" s="168"/>
      <c r="P257" s="115"/>
      <c r="Q257" s="305"/>
      <c r="R257" s="169"/>
      <c r="S257" s="305"/>
      <c r="T257" s="305"/>
      <c r="U257" s="305"/>
      <c r="V257" s="305"/>
      <c r="W257" s="305"/>
      <c r="X257" s="305"/>
    </row>
    <row r="258" spans="5:24" s="114" customFormat="1">
      <c r="E258" s="168"/>
      <c r="F258" s="115"/>
      <c r="I258" s="304"/>
      <c r="J258" s="304"/>
      <c r="O258" s="168"/>
      <c r="P258" s="115"/>
      <c r="Q258" s="305"/>
      <c r="R258" s="169"/>
      <c r="S258" s="305"/>
      <c r="T258" s="305"/>
      <c r="U258" s="305"/>
      <c r="V258" s="305"/>
      <c r="W258" s="305"/>
      <c r="X258" s="305"/>
    </row>
    <row r="259" spans="5:24" s="114" customFormat="1">
      <c r="E259" s="168"/>
      <c r="F259" s="115"/>
      <c r="I259" s="304"/>
      <c r="J259" s="304"/>
      <c r="O259" s="168"/>
      <c r="P259" s="115"/>
      <c r="Q259" s="305"/>
      <c r="R259" s="169"/>
      <c r="S259" s="305"/>
      <c r="T259" s="305"/>
      <c r="U259" s="305"/>
      <c r="V259" s="305"/>
      <c r="W259" s="305"/>
      <c r="X259" s="305"/>
    </row>
    <row r="260" spans="5:24" s="114" customFormat="1">
      <c r="E260" s="168"/>
      <c r="F260" s="115"/>
      <c r="I260" s="304"/>
      <c r="J260" s="304"/>
      <c r="O260" s="168"/>
      <c r="P260" s="115"/>
      <c r="Q260" s="305"/>
      <c r="R260" s="169"/>
      <c r="S260" s="305"/>
      <c r="T260" s="305"/>
      <c r="U260" s="305"/>
      <c r="V260" s="305"/>
      <c r="W260" s="305"/>
      <c r="X260" s="305"/>
    </row>
    <row r="261" spans="5:24" s="114" customFormat="1">
      <c r="E261" s="168"/>
      <c r="F261" s="115"/>
      <c r="I261" s="304"/>
      <c r="J261" s="304"/>
      <c r="O261" s="168"/>
      <c r="P261" s="115"/>
      <c r="Q261" s="305"/>
      <c r="R261" s="169"/>
      <c r="S261" s="305"/>
      <c r="T261" s="305"/>
      <c r="U261" s="305"/>
      <c r="V261" s="305"/>
      <c r="W261" s="305"/>
      <c r="X261" s="305"/>
    </row>
    <row r="262" spans="5:24" s="114" customFormat="1">
      <c r="E262" s="168"/>
      <c r="F262" s="115"/>
      <c r="I262" s="304"/>
      <c r="J262" s="304"/>
      <c r="O262" s="168"/>
      <c r="P262" s="115"/>
      <c r="Q262" s="305"/>
      <c r="R262" s="169"/>
      <c r="S262" s="305"/>
      <c r="T262" s="305"/>
      <c r="U262" s="305"/>
      <c r="V262" s="305"/>
      <c r="W262" s="305"/>
      <c r="X262" s="305"/>
    </row>
    <row r="263" spans="5:24" s="114" customFormat="1">
      <c r="E263" s="168"/>
      <c r="F263" s="115"/>
      <c r="I263" s="304"/>
      <c r="J263" s="304"/>
      <c r="O263" s="168"/>
      <c r="P263" s="115"/>
      <c r="Q263" s="305"/>
      <c r="R263" s="169"/>
      <c r="S263" s="305"/>
      <c r="T263" s="305"/>
      <c r="U263" s="305"/>
      <c r="V263" s="305"/>
      <c r="W263" s="305"/>
      <c r="X263" s="305"/>
    </row>
    <row r="264" spans="5:24" s="114" customFormat="1">
      <c r="E264" s="168"/>
      <c r="F264" s="115"/>
      <c r="I264" s="304"/>
      <c r="J264" s="304"/>
      <c r="O264" s="168"/>
      <c r="P264" s="115"/>
      <c r="Q264" s="305"/>
      <c r="R264" s="169"/>
      <c r="S264" s="305"/>
      <c r="T264" s="305"/>
      <c r="U264" s="305"/>
      <c r="V264" s="305"/>
      <c r="W264" s="305"/>
      <c r="X264" s="305"/>
    </row>
    <row r="265" spans="5:24" s="114" customFormat="1">
      <c r="E265" s="168"/>
      <c r="F265" s="115"/>
      <c r="I265" s="304"/>
      <c r="J265" s="304"/>
      <c r="O265" s="168"/>
      <c r="P265" s="115"/>
      <c r="Q265" s="305"/>
      <c r="R265" s="169"/>
      <c r="S265" s="305"/>
      <c r="T265" s="305"/>
      <c r="U265" s="305"/>
      <c r="V265" s="305"/>
      <c r="W265" s="305"/>
      <c r="X265" s="305"/>
    </row>
    <row r="266" spans="5:24" s="114" customFormat="1">
      <c r="E266" s="168"/>
      <c r="F266" s="115"/>
      <c r="I266" s="304"/>
      <c r="J266" s="304"/>
      <c r="O266" s="168"/>
      <c r="P266" s="115"/>
      <c r="Q266" s="305"/>
      <c r="R266" s="169"/>
      <c r="S266" s="305"/>
      <c r="T266" s="305"/>
      <c r="U266" s="305"/>
      <c r="V266" s="305"/>
      <c r="W266" s="305"/>
      <c r="X266" s="305"/>
    </row>
    <row r="267" spans="5:24" s="114" customFormat="1">
      <c r="E267" s="168"/>
      <c r="F267" s="115"/>
      <c r="I267" s="304"/>
      <c r="J267" s="304"/>
      <c r="O267" s="168"/>
      <c r="P267" s="115"/>
      <c r="Q267" s="305"/>
      <c r="R267" s="169"/>
      <c r="S267" s="305"/>
      <c r="T267" s="305"/>
      <c r="U267" s="305"/>
      <c r="V267" s="305"/>
      <c r="W267" s="305"/>
      <c r="X267" s="305"/>
    </row>
    <row r="268" spans="5:24" s="114" customFormat="1">
      <c r="E268" s="168"/>
      <c r="F268" s="115"/>
      <c r="I268" s="304"/>
      <c r="J268" s="304"/>
      <c r="O268" s="168"/>
      <c r="P268" s="115"/>
      <c r="Q268" s="305"/>
      <c r="R268" s="169"/>
      <c r="S268" s="305"/>
      <c r="T268" s="305"/>
      <c r="U268" s="305"/>
      <c r="V268" s="305"/>
      <c r="W268" s="305"/>
      <c r="X268" s="305"/>
    </row>
    <row r="269" spans="5:24" s="114" customFormat="1">
      <c r="E269" s="168"/>
      <c r="F269" s="115"/>
      <c r="I269" s="304"/>
      <c r="J269" s="304"/>
      <c r="O269" s="168"/>
      <c r="P269" s="115"/>
      <c r="Q269" s="305"/>
      <c r="R269" s="169"/>
      <c r="S269" s="305"/>
      <c r="T269" s="305"/>
      <c r="U269" s="305"/>
      <c r="V269" s="305"/>
      <c r="W269" s="305"/>
      <c r="X269" s="305"/>
    </row>
    <row r="270" spans="5:24" s="114" customFormat="1">
      <c r="E270" s="168"/>
      <c r="F270" s="115"/>
      <c r="I270" s="304"/>
      <c r="J270" s="304"/>
      <c r="O270" s="168"/>
      <c r="P270" s="115"/>
      <c r="Q270" s="305"/>
      <c r="R270" s="169"/>
      <c r="S270" s="305"/>
      <c r="T270" s="305"/>
      <c r="U270" s="305"/>
      <c r="V270" s="305"/>
      <c r="W270" s="305"/>
      <c r="X270" s="305"/>
    </row>
    <row r="271" spans="5:24" s="114" customFormat="1">
      <c r="E271" s="168"/>
      <c r="F271" s="115"/>
      <c r="I271" s="304"/>
      <c r="J271" s="304"/>
      <c r="O271" s="168"/>
      <c r="P271" s="115"/>
      <c r="Q271" s="305"/>
      <c r="R271" s="169"/>
      <c r="S271" s="305"/>
      <c r="T271" s="305"/>
      <c r="U271" s="305"/>
      <c r="V271" s="305"/>
      <c r="W271" s="305"/>
      <c r="X271" s="305"/>
    </row>
    <row r="272" spans="5:24" s="114" customFormat="1">
      <c r="E272" s="168"/>
      <c r="F272" s="115"/>
      <c r="I272" s="304"/>
      <c r="J272" s="304"/>
      <c r="O272" s="168"/>
      <c r="P272" s="115"/>
      <c r="Q272" s="305"/>
      <c r="R272" s="169"/>
      <c r="S272" s="305"/>
      <c r="T272" s="305"/>
      <c r="U272" s="305"/>
      <c r="V272" s="305"/>
      <c r="W272" s="305"/>
      <c r="X272" s="305"/>
    </row>
    <row r="273" spans="5:24" s="114" customFormat="1">
      <c r="E273" s="168"/>
      <c r="F273" s="115"/>
      <c r="I273" s="304"/>
      <c r="J273" s="304"/>
      <c r="O273" s="168"/>
      <c r="P273" s="115"/>
      <c r="Q273" s="305"/>
      <c r="R273" s="169"/>
      <c r="S273" s="305"/>
      <c r="T273" s="305"/>
      <c r="U273" s="305"/>
      <c r="V273" s="305"/>
      <c r="W273" s="305"/>
      <c r="X273" s="305"/>
    </row>
    <row r="274" spans="5:24" s="114" customFormat="1">
      <c r="E274" s="168"/>
      <c r="F274" s="115"/>
      <c r="I274" s="304"/>
      <c r="J274" s="304"/>
      <c r="O274" s="168"/>
      <c r="P274" s="115"/>
      <c r="Q274" s="305"/>
      <c r="R274" s="169"/>
      <c r="S274" s="305"/>
      <c r="T274" s="305"/>
      <c r="U274" s="305"/>
      <c r="V274" s="305"/>
      <c r="W274" s="305"/>
      <c r="X274" s="305"/>
    </row>
    <row r="275" spans="5:24" s="114" customFormat="1">
      <c r="E275" s="168"/>
      <c r="F275" s="115"/>
      <c r="I275" s="304"/>
      <c r="J275" s="304"/>
      <c r="O275" s="168"/>
      <c r="P275" s="115"/>
      <c r="Q275" s="305"/>
      <c r="R275" s="169"/>
      <c r="S275" s="305"/>
      <c r="T275" s="305"/>
      <c r="U275" s="305"/>
      <c r="V275" s="305"/>
      <c r="W275" s="305"/>
      <c r="X275" s="305"/>
    </row>
    <row r="276" spans="5:24" s="114" customFormat="1">
      <c r="E276" s="168"/>
      <c r="F276" s="115"/>
      <c r="I276" s="304"/>
      <c r="J276" s="304"/>
      <c r="O276" s="168"/>
      <c r="P276" s="115"/>
      <c r="Q276" s="305"/>
      <c r="R276" s="169"/>
      <c r="S276" s="305"/>
      <c r="T276" s="305"/>
      <c r="U276" s="305"/>
      <c r="V276" s="305"/>
      <c r="W276" s="305"/>
      <c r="X276" s="305"/>
    </row>
    <row r="277" spans="5:24" s="114" customFormat="1">
      <c r="E277" s="168"/>
      <c r="F277" s="115"/>
      <c r="I277" s="304"/>
      <c r="J277" s="304"/>
      <c r="O277" s="168"/>
      <c r="P277" s="115"/>
      <c r="Q277" s="305"/>
      <c r="R277" s="169"/>
      <c r="S277" s="305"/>
      <c r="T277" s="305"/>
      <c r="U277" s="305"/>
      <c r="V277" s="305"/>
      <c r="W277" s="305"/>
      <c r="X277" s="305"/>
    </row>
    <row r="278" spans="5:24" s="114" customFormat="1">
      <c r="E278" s="168"/>
      <c r="F278" s="115"/>
      <c r="I278" s="304"/>
      <c r="J278" s="304"/>
      <c r="O278" s="168"/>
      <c r="P278" s="115"/>
      <c r="Q278" s="305"/>
      <c r="R278" s="169"/>
      <c r="S278" s="305"/>
      <c r="T278" s="305"/>
      <c r="U278" s="305"/>
      <c r="V278" s="305"/>
      <c r="W278" s="305"/>
      <c r="X278" s="305"/>
    </row>
    <row r="279" spans="5:24" s="114" customFormat="1">
      <c r="E279" s="168"/>
      <c r="F279" s="115"/>
      <c r="I279" s="304"/>
      <c r="J279" s="304"/>
      <c r="O279" s="168"/>
      <c r="P279" s="115"/>
      <c r="Q279" s="305"/>
      <c r="R279" s="169"/>
      <c r="S279" s="305"/>
      <c r="T279" s="305"/>
      <c r="U279" s="305"/>
      <c r="V279" s="305"/>
      <c r="W279" s="305"/>
      <c r="X279" s="305"/>
    </row>
    <row r="280" spans="5:24" s="114" customFormat="1">
      <c r="E280" s="168"/>
      <c r="F280" s="115"/>
      <c r="I280" s="304"/>
      <c r="J280" s="304"/>
      <c r="O280" s="168"/>
      <c r="P280" s="115"/>
      <c r="Q280" s="305"/>
      <c r="R280" s="169"/>
      <c r="S280" s="305"/>
      <c r="T280" s="305"/>
      <c r="U280" s="305"/>
      <c r="V280" s="305"/>
      <c r="W280" s="305"/>
      <c r="X280" s="305"/>
    </row>
    <row r="281" spans="5:24" s="114" customFormat="1">
      <c r="E281" s="168"/>
      <c r="F281" s="115"/>
      <c r="I281" s="304"/>
      <c r="J281" s="304"/>
      <c r="O281" s="168"/>
      <c r="P281" s="115"/>
      <c r="Q281" s="305"/>
      <c r="R281" s="169"/>
      <c r="S281" s="305"/>
      <c r="T281" s="305"/>
      <c r="U281" s="305"/>
      <c r="V281" s="305"/>
      <c r="W281" s="305"/>
      <c r="X281" s="305"/>
    </row>
    <row r="282" spans="5:24" s="114" customFormat="1">
      <c r="E282" s="168"/>
      <c r="F282" s="115"/>
      <c r="I282" s="304"/>
      <c r="J282" s="304"/>
      <c r="O282" s="168"/>
      <c r="P282" s="115"/>
      <c r="Q282" s="305"/>
      <c r="R282" s="169"/>
      <c r="S282" s="305"/>
      <c r="T282" s="305"/>
      <c r="U282" s="305"/>
      <c r="V282" s="305"/>
      <c r="W282" s="305"/>
      <c r="X282" s="305"/>
    </row>
    <row r="283" spans="5:24" s="114" customFormat="1">
      <c r="E283" s="168"/>
      <c r="F283" s="115"/>
      <c r="I283" s="304"/>
      <c r="J283" s="304"/>
      <c r="O283" s="168"/>
      <c r="P283" s="115"/>
      <c r="Q283" s="305"/>
      <c r="R283" s="169"/>
      <c r="S283" s="305"/>
      <c r="T283" s="305"/>
      <c r="U283" s="305"/>
      <c r="V283" s="305"/>
      <c r="W283" s="305"/>
      <c r="X283" s="305"/>
    </row>
    <row r="284" spans="5:24" s="114" customFormat="1">
      <c r="E284" s="168"/>
      <c r="F284" s="115"/>
      <c r="I284" s="304"/>
      <c r="J284" s="304"/>
      <c r="O284" s="168"/>
      <c r="P284" s="115"/>
      <c r="Q284" s="305"/>
      <c r="R284" s="169"/>
      <c r="S284" s="305"/>
      <c r="T284" s="305"/>
      <c r="U284" s="305"/>
      <c r="V284" s="305"/>
      <c r="W284" s="305"/>
      <c r="X284" s="305"/>
    </row>
    <row r="285" spans="5:24" s="114" customFormat="1">
      <c r="E285" s="168"/>
      <c r="F285" s="115"/>
      <c r="I285" s="304"/>
      <c r="J285" s="304"/>
      <c r="O285" s="168"/>
      <c r="P285" s="115"/>
      <c r="Q285" s="305"/>
      <c r="R285" s="169"/>
      <c r="S285" s="305"/>
      <c r="T285" s="305"/>
      <c r="U285" s="305"/>
      <c r="V285" s="305"/>
      <c r="W285" s="305"/>
      <c r="X285" s="305"/>
    </row>
    <row r="286" spans="5:24" s="114" customFormat="1">
      <c r="E286" s="168"/>
      <c r="F286" s="115"/>
      <c r="I286" s="304"/>
      <c r="J286" s="304"/>
      <c r="O286" s="168"/>
      <c r="P286" s="115"/>
      <c r="Q286" s="305"/>
      <c r="R286" s="169"/>
      <c r="S286" s="305"/>
      <c r="T286" s="305"/>
      <c r="U286" s="305"/>
      <c r="V286" s="305"/>
      <c r="W286" s="305"/>
      <c r="X286" s="305"/>
    </row>
    <row r="287" spans="5:24" s="114" customFormat="1">
      <c r="E287" s="168"/>
      <c r="F287" s="115"/>
      <c r="I287" s="304"/>
      <c r="J287" s="304"/>
      <c r="O287" s="168"/>
      <c r="P287" s="115"/>
      <c r="Q287" s="305"/>
      <c r="R287" s="169"/>
      <c r="S287" s="305"/>
      <c r="T287" s="305"/>
      <c r="U287" s="305"/>
      <c r="V287" s="305"/>
      <c r="W287" s="305"/>
      <c r="X287" s="305"/>
    </row>
    <row r="288" spans="5:24" s="114" customFormat="1">
      <c r="E288" s="168"/>
      <c r="F288" s="115"/>
      <c r="I288" s="304"/>
      <c r="J288" s="304"/>
      <c r="O288" s="168"/>
      <c r="P288" s="115"/>
      <c r="Q288" s="305"/>
      <c r="R288" s="169"/>
      <c r="S288" s="305"/>
      <c r="T288" s="305"/>
      <c r="U288" s="305"/>
      <c r="V288" s="305"/>
      <c r="W288" s="305"/>
      <c r="X288" s="305"/>
    </row>
    <row r="289" spans="5:24" s="114" customFormat="1">
      <c r="E289" s="168"/>
      <c r="F289" s="115"/>
      <c r="I289" s="304"/>
      <c r="J289" s="304"/>
      <c r="O289" s="168"/>
      <c r="P289" s="115"/>
      <c r="Q289" s="305"/>
      <c r="R289" s="169"/>
      <c r="S289" s="305"/>
      <c r="T289" s="305"/>
      <c r="U289" s="305"/>
      <c r="V289" s="305"/>
      <c r="W289" s="305"/>
      <c r="X289" s="305"/>
    </row>
    <row r="290" spans="5:24" s="114" customFormat="1">
      <c r="E290" s="168"/>
      <c r="F290" s="115"/>
      <c r="I290" s="304"/>
      <c r="J290" s="304"/>
      <c r="O290" s="168"/>
      <c r="P290" s="115"/>
      <c r="Q290" s="305"/>
      <c r="R290" s="169"/>
      <c r="S290" s="305"/>
      <c r="T290" s="305"/>
      <c r="U290" s="305"/>
      <c r="V290" s="305"/>
      <c r="W290" s="305"/>
      <c r="X290" s="305"/>
    </row>
    <row r="291" spans="5:24" s="114" customFormat="1">
      <c r="E291" s="168"/>
      <c r="F291" s="115"/>
      <c r="I291" s="304"/>
      <c r="J291" s="304"/>
      <c r="O291" s="168"/>
      <c r="P291" s="115"/>
      <c r="Q291" s="305"/>
      <c r="R291" s="169"/>
      <c r="S291" s="305"/>
      <c r="T291" s="305"/>
      <c r="U291" s="305"/>
      <c r="V291" s="305"/>
      <c r="W291" s="305"/>
      <c r="X291" s="305"/>
    </row>
    <row r="292" spans="5:24" s="114" customFormat="1">
      <c r="E292" s="168"/>
      <c r="F292" s="115"/>
      <c r="I292" s="304"/>
      <c r="J292" s="304"/>
      <c r="O292" s="168"/>
      <c r="P292" s="115"/>
      <c r="Q292" s="305"/>
      <c r="R292" s="169"/>
      <c r="S292" s="305"/>
      <c r="T292" s="305"/>
      <c r="U292" s="305"/>
      <c r="V292" s="305"/>
      <c r="W292" s="305"/>
      <c r="X292" s="305"/>
    </row>
    <row r="293" spans="5:24" s="114" customFormat="1">
      <c r="E293" s="168"/>
      <c r="F293" s="115"/>
      <c r="I293" s="304"/>
      <c r="J293" s="304"/>
      <c r="O293" s="168"/>
      <c r="P293" s="115"/>
      <c r="Q293" s="305"/>
      <c r="R293" s="169"/>
      <c r="S293" s="305"/>
      <c r="T293" s="305"/>
      <c r="U293" s="305"/>
      <c r="V293" s="305"/>
      <c r="W293" s="305"/>
      <c r="X293" s="305"/>
    </row>
    <row r="294" spans="5:24" s="114" customFormat="1">
      <c r="E294" s="168"/>
      <c r="F294" s="115"/>
      <c r="I294" s="304"/>
      <c r="J294" s="304"/>
      <c r="O294" s="168"/>
      <c r="P294" s="115"/>
      <c r="Q294" s="305"/>
      <c r="R294" s="169"/>
      <c r="S294" s="305"/>
      <c r="T294" s="305"/>
      <c r="U294" s="305"/>
      <c r="V294" s="305"/>
      <c r="W294" s="305"/>
      <c r="X294" s="305"/>
    </row>
    <row r="295" spans="5:24" s="114" customFormat="1">
      <c r="E295" s="168"/>
      <c r="F295" s="115"/>
      <c r="I295" s="304"/>
      <c r="J295" s="304"/>
      <c r="O295" s="168"/>
      <c r="P295" s="115"/>
      <c r="Q295" s="305"/>
      <c r="R295" s="169"/>
      <c r="S295" s="305"/>
      <c r="T295" s="305"/>
      <c r="U295" s="305"/>
      <c r="V295" s="305"/>
      <c r="W295" s="305"/>
      <c r="X295" s="305"/>
    </row>
    <row r="296" spans="5:24" s="114" customFormat="1">
      <c r="E296" s="168"/>
      <c r="F296" s="115"/>
      <c r="I296" s="304"/>
      <c r="J296" s="304"/>
      <c r="O296" s="168"/>
      <c r="P296" s="115"/>
      <c r="Q296" s="305"/>
      <c r="R296" s="169"/>
      <c r="S296" s="305"/>
      <c r="T296" s="305"/>
      <c r="U296" s="305"/>
      <c r="V296" s="305"/>
      <c r="W296" s="305"/>
      <c r="X296" s="305"/>
    </row>
    <row r="297" spans="5:24" s="114" customFormat="1">
      <c r="E297" s="168"/>
      <c r="F297" s="115"/>
      <c r="I297" s="304"/>
      <c r="J297" s="304"/>
      <c r="O297" s="168"/>
      <c r="P297" s="115"/>
      <c r="Q297" s="305"/>
      <c r="R297" s="169"/>
      <c r="S297" s="305"/>
      <c r="T297" s="305"/>
      <c r="U297" s="305"/>
      <c r="V297" s="305"/>
      <c r="W297" s="305"/>
      <c r="X297" s="305"/>
    </row>
    <row r="298" spans="5:24" s="114" customFormat="1">
      <c r="E298" s="168"/>
      <c r="F298" s="115"/>
      <c r="I298" s="304"/>
      <c r="J298" s="304"/>
      <c r="O298" s="168"/>
      <c r="P298" s="115"/>
      <c r="Q298" s="305"/>
      <c r="R298" s="169"/>
      <c r="S298" s="305"/>
      <c r="T298" s="305"/>
      <c r="U298" s="305"/>
      <c r="V298" s="305"/>
      <c r="W298" s="305"/>
      <c r="X298" s="305"/>
    </row>
    <row r="299" spans="5:24" s="114" customFormat="1">
      <c r="E299" s="168"/>
      <c r="F299" s="115"/>
      <c r="I299" s="304"/>
      <c r="J299" s="304"/>
      <c r="O299" s="168"/>
      <c r="P299" s="115"/>
      <c r="Q299" s="305"/>
      <c r="R299" s="169"/>
      <c r="S299" s="305"/>
      <c r="T299" s="305"/>
      <c r="U299" s="305"/>
      <c r="V299" s="305"/>
      <c r="W299" s="305"/>
      <c r="X299" s="305"/>
    </row>
    <row r="300" spans="5:24" s="114" customFormat="1">
      <c r="E300" s="168"/>
      <c r="F300" s="115"/>
      <c r="I300" s="304"/>
      <c r="J300" s="304"/>
      <c r="O300" s="168"/>
      <c r="P300" s="115"/>
      <c r="Q300" s="305"/>
      <c r="R300" s="169"/>
      <c r="S300" s="305"/>
      <c r="T300" s="305"/>
      <c r="U300" s="305"/>
      <c r="V300" s="305"/>
      <c r="W300" s="305"/>
      <c r="X300" s="305"/>
    </row>
    <row r="301" spans="5:24" s="114" customFormat="1">
      <c r="E301" s="168"/>
      <c r="F301" s="115"/>
      <c r="I301" s="304"/>
      <c r="J301" s="304"/>
      <c r="O301" s="168"/>
      <c r="P301" s="115"/>
      <c r="Q301" s="305"/>
      <c r="R301" s="169"/>
      <c r="S301" s="305"/>
      <c r="T301" s="305"/>
      <c r="U301" s="305"/>
      <c r="V301" s="305"/>
      <c r="W301" s="305"/>
      <c r="X301" s="305"/>
    </row>
    <row r="302" spans="5:24" s="114" customFormat="1">
      <c r="E302" s="168"/>
      <c r="F302" s="115"/>
      <c r="I302" s="304"/>
      <c r="J302" s="304"/>
      <c r="O302" s="168"/>
      <c r="P302" s="115"/>
      <c r="Q302" s="305"/>
      <c r="R302" s="169"/>
      <c r="S302" s="305"/>
      <c r="T302" s="305"/>
      <c r="U302" s="305"/>
      <c r="V302" s="305"/>
      <c r="W302" s="305"/>
      <c r="X302" s="305"/>
    </row>
    <row r="303" spans="5:24" s="114" customFormat="1">
      <c r="E303" s="168"/>
      <c r="F303" s="115"/>
      <c r="I303" s="304"/>
      <c r="J303" s="304"/>
      <c r="O303" s="168"/>
      <c r="P303" s="115"/>
      <c r="Q303" s="305"/>
      <c r="R303" s="169"/>
      <c r="S303" s="305"/>
      <c r="T303" s="305"/>
      <c r="U303" s="305"/>
      <c r="V303" s="305"/>
      <c r="W303" s="305"/>
      <c r="X303" s="305"/>
    </row>
    <row r="304" spans="5:24" s="114" customFormat="1">
      <c r="E304" s="168"/>
      <c r="F304" s="115"/>
      <c r="I304" s="304"/>
      <c r="J304" s="304"/>
      <c r="O304" s="168"/>
      <c r="P304" s="115"/>
      <c r="Q304" s="305"/>
      <c r="R304" s="169"/>
      <c r="S304" s="305"/>
      <c r="T304" s="305"/>
      <c r="U304" s="305"/>
      <c r="V304" s="305"/>
      <c r="W304" s="305"/>
      <c r="X304" s="305"/>
    </row>
    <row r="305" spans="5:24" s="114" customFormat="1">
      <c r="E305" s="168"/>
      <c r="F305" s="115"/>
      <c r="I305" s="304"/>
      <c r="J305" s="304"/>
      <c r="O305" s="168"/>
      <c r="P305" s="115"/>
      <c r="Q305" s="305"/>
      <c r="R305" s="169"/>
      <c r="S305" s="305"/>
      <c r="T305" s="305"/>
      <c r="U305" s="305"/>
      <c r="V305" s="305"/>
      <c r="W305" s="305"/>
      <c r="X305" s="305"/>
    </row>
    <row r="306" spans="5:24" s="114" customFormat="1">
      <c r="E306" s="168"/>
      <c r="F306" s="115"/>
      <c r="I306" s="304"/>
      <c r="J306" s="304"/>
      <c r="O306" s="168"/>
      <c r="P306" s="115"/>
      <c r="Q306" s="305"/>
      <c r="R306" s="169"/>
      <c r="S306" s="305"/>
      <c r="T306" s="305"/>
      <c r="U306" s="305"/>
      <c r="V306" s="305"/>
      <c r="W306" s="305"/>
      <c r="X306" s="305"/>
    </row>
    <row r="307" spans="5:24" s="114" customFormat="1">
      <c r="E307" s="168"/>
      <c r="F307" s="115"/>
      <c r="I307" s="304"/>
      <c r="J307" s="304"/>
      <c r="O307" s="168"/>
      <c r="P307" s="115"/>
      <c r="Q307" s="305"/>
      <c r="R307" s="169"/>
      <c r="S307" s="305"/>
      <c r="T307" s="305"/>
      <c r="U307" s="305"/>
      <c r="V307" s="305"/>
      <c r="W307" s="305"/>
      <c r="X307" s="305"/>
    </row>
    <row r="308" spans="5:24" s="114" customFormat="1">
      <c r="E308" s="168"/>
      <c r="F308" s="115"/>
      <c r="I308" s="304"/>
      <c r="J308" s="304"/>
      <c r="O308" s="168"/>
      <c r="P308" s="115"/>
      <c r="Q308" s="305"/>
      <c r="R308" s="169"/>
      <c r="S308" s="305"/>
      <c r="T308" s="305"/>
      <c r="U308" s="305"/>
      <c r="V308" s="305"/>
      <c r="W308" s="305"/>
      <c r="X308" s="305"/>
    </row>
    <row r="309" spans="5:24" s="114" customFormat="1">
      <c r="E309" s="168"/>
      <c r="F309" s="115"/>
      <c r="I309" s="304"/>
      <c r="J309" s="304"/>
      <c r="O309" s="168"/>
      <c r="P309" s="115"/>
      <c r="Q309" s="305"/>
      <c r="R309" s="169"/>
      <c r="S309" s="305"/>
      <c r="T309" s="305"/>
      <c r="U309" s="305"/>
      <c r="V309" s="305"/>
      <c r="W309" s="305"/>
      <c r="X309" s="305"/>
    </row>
    <row r="310" spans="5:24" s="114" customFormat="1">
      <c r="E310" s="168"/>
      <c r="F310" s="115"/>
      <c r="I310" s="304"/>
      <c r="J310" s="304"/>
      <c r="O310" s="168"/>
      <c r="P310" s="115"/>
      <c r="Q310" s="305"/>
      <c r="R310" s="169"/>
      <c r="S310" s="305"/>
      <c r="T310" s="305"/>
      <c r="U310" s="305"/>
      <c r="V310" s="305"/>
      <c r="W310" s="305"/>
      <c r="X310" s="305"/>
    </row>
    <row r="311" spans="5:24" s="114" customFormat="1">
      <c r="E311" s="168"/>
      <c r="F311" s="115"/>
      <c r="I311" s="304"/>
      <c r="J311" s="304"/>
      <c r="O311" s="168"/>
      <c r="P311" s="115"/>
      <c r="Q311" s="305"/>
      <c r="R311" s="169"/>
      <c r="S311" s="305"/>
      <c r="T311" s="305"/>
      <c r="U311" s="305"/>
      <c r="V311" s="305"/>
      <c r="W311" s="305"/>
      <c r="X311" s="305"/>
    </row>
    <row r="312" spans="5:24" s="114" customFormat="1">
      <c r="E312" s="168"/>
      <c r="F312" s="115"/>
      <c r="I312" s="304"/>
      <c r="J312" s="304"/>
      <c r="O312" s="168"/>
      <c r="P312" s="115"/>
      <c r="Q312" s="305"/>
      <c r="R312" s="169"/>
      <c r="S312" s="305"/>
      <c r="T312" s="305"/>
      <c r="U312" s="305"/>
      <c r="V312" s="305"/>
      <c r="W312" s="305"/>
      <c r="X312" s="305"/>
    </row>
    <row r="313" spans="5:24" s="114" customFormat="1">
      <c r="E313" s="168"/>
      <c r="F313" s="115"/>
      <c r="I313" s="304"/>
      <c r="J313" s="304"/>
      <c r="O313" s="168"/>
      <c r="P313" s="115"/>
      <c r="Q313" s="305"/>
      <c r="R313" s="169"/>
      <c r="S313" s="305"/>
      <c r="T313" s="305"/>
      <c r="U313" s="305"/>
      <c r="V313" s="305"/>
      <c r="W313" s="305"/>
      <c r="X313" s="305"/>
    </row>
    <row r="314" spans="5:24" s="114" customFormat="1">
      <c r="E314" s="168"/>
      <c r="F314" s="115"/>
      <c r="I314" s="304"/>
      <c r="J314" s="304"/>
      <c r="O314" s="168"/>
      <c r="P314" s="115"/>
      <c r="Q314" s="305"/>
      <c r="R314" s="169"/>
      <c r="S314" s="305"/>
      <c r="T314" s="305"/>
      <c r="U314" s="305"/>
      <c r="V314" s="305"/>
      <c r="W314" s="305"/>
      <c r="X314" s="305"/>
    </row>
    <row r="315" spans="5:24" s="114" customFormat="1">
      <c r="E315" s="168"/>
      <c r="F315" s="115"/>
      <c r="I315" s="304"/>
      <c r="J315" s="304"/>
      <c r="O315" s="168"/>
      <c r="P315" s="115"/>
      <c r="Q315" s="305"/>
      <c r="R315" s="169"/>
      <c r="S315" s="305"/>
      <c r="T315" s="305"/>
      <c r="U315" s="305"/>
      <c r="V315" s="305"/>
      <c r="W315" s="305"/>
      <c r="X315" s="305"/>
    </row>
    <row r="316" spans="5:24" s="114" customFormat="1">
      <c r="E316" s="168"/>
      <c r="F316" s="115"/>
      <c r="I316" s="304"/>
      <c r="J316" s="304"/>
      <c r="O316" s="168"/>
      <c r="P316" s="115"/>
      <c r="Q316" s="305"/>
      <c r="R316" s="169"/>
      <c r="S316" s="305"/>
      <c r="T316" s="305"/>
      <c r="U316" s="305"/>
      <c r="V316" s="305"/>
      <c r="W316" s="305"/>
      <c r="X316" s="305"/>
    </row>
    <row r="317" spans="5:24" s="114" customFormat="1">
      <c r="E317" s="168"/>
      <c r="F317" s="115"/>
      <c r="I317" s="304"/>
      <c r="J317" s="304"/>
      <c r="O317" s="168"/>
      <c r="P317" s="115"/>
      <c r="Q317" s="305"/>
      <c r="R317" s="169"/>
      <c r="S317" s="305"/>
      <c r="T317" s="305"/>
      <c r="U317" s="305"/>
      <c r="V317" s="305"/>
      <c r="W317" s="305"/>
      <c r="X317" s="305"/>
    </row>
    <row r="318" spans="5:24" s="114" customFormat="1">
      <c r="E318" s="168"/>
      <c r="F318" s="115"/>
      <c r="I318" s="304"/>
      <c r="J318" s="304"/>
      <c r="O318" s="168"/>
      <c r="P318" s="115"/>
      <c r="Q318" s="305"/>
      <c r="R318" s="169"/>
      <c r="S318" s="305"/>
      <c r="T318" s="305"/>
      <c r="U318" s="305"/>
      <c r="V318" s="305"/>
      <c r="W318" s="305"/>
      <c r="X318" s="305"/>
    </row>
    <row r="319" spans="5:24" s="114" customFormat="1">
      <c r="E319" s="168"/>
      <c r="F319" s="115"/>
      <c r="I319" s="304"/>
      <c r="J319" s="304"/>
      <c r="O319" s="168"/>
      <c r="P319" s="115"/>
      <c r="Q319" s="305"/>
      <c r="R319" s="169"/>
      <c r="S319" s="305"/>
      <c r="T319" s="305"/>
      <c r="U319" s="305"/>
      <c r="V319" s="305"/>
      <c r="W319" s="305"/>
      <c r="X319" s="305"/>
    </row>
    <row r="320" spans="5:24" s="114" customFormat="1">
      <c r="E320" s="168"/>
      <c r="F320" s="115"/>
      <c r="I320" s="304"/>
      <c r="J320" s="304"/>
      <c r="O320" s="168"/>
      <c r="P320" s="115"/>
      <c r="Q320" s="305"/>
      <c r="R320" s="169"/>
      <c r="S320" s="305"/>
      <c r="T320" s="305"/>
      <c r="U320" s="305"/>
      <c r="V320" s="305"/>
      <c r="W320" s="305"/>
      <c r="X320" s="305"/>
    </row>
    <row r="321" spans="5:24" s="114" customFormat="1">
      <c r="E321" s="168"/>
      <c r="F321" s="115"/>
      <c r="I321" s="304"/>
      <c r="J321" s="304"/>
      <c r="O321" s="168"/>
      <c r="P321" s="115"/>
      <c r="Q321" s="305"/>
      <c r="R321" s="169"/>
      <c r="S321" s="305"/>
      <c r="T321" s="305"/>
      <c r="U321" s="305"/>
      <c r="V321" s="305"/>
      <c r="W321" s="305"/>
      <c r="X321" s="305"/>
    </row>
    <row r="322" spans="5:24" s="114" customFormat="1">
      <c r="E322" s="168"/>
      <c r="F322" s="115"/>
      <c r="I322" s="304"/>
      <c r="J322" s="304"/>
      <c r="O322" s="168"/>
      <c r="P322" s="115"/>
      <c r="Q322" s="305"/>
      <c r="R322" s="169"/>
      <c r="S322" s="305"/>
      <c r="T322" s="305"/>
      <c r="U322" s="305"/>
      <c r="V322" s="305"/>
      <c r="W322" s="305"/>
      <c r="X322" s="305"/>
    </row>
    <row r="323" spans="5:24" s="114" customFormat="1">
      <c r="E323" s="168"/>
      <c r="F323" s="115"/>
      <c r="I323" s="304"/>
      <c r="J323" s="304"/>
      <c r="O323" s="168"/>
      <c r="P323" s="115"/>
      <c r="Q323" s="305"/>
      <c r="R323" s="169"/>
      <c r="S323" s="305"/>
      <c r="T323" s="305"/>
      <c r="U323" s="305"/>
      <c r="V323" s="305"/>
      <c r="W323" s="305"/>
      <c r="X323" s="305"/>
    </row>
    <row r="324" spans="5:24" s="114" customFormat="1">
      <c r="E324" s="168"/>
      <c r="F324" s="115"/>
      <c r="I324" s="304"/>
      <c r="J324" s="304"/>
      <c r="O324" s="168"/>
      <c r="P324" s="115"/>
      <c r="Q324" s="305"/>
      <c r="R324" s="169"/>
      <c r="S324" s="305"/>
      <c r="T324" s="305"/>
      <c r="U324" s="305"/>
      <c r="V324" s="305"/>
      <c r="W324" s="305"/>
      <c r="X324" s="305"/>
    </row>
    <row r="325" spans="5:24" s="114" customFormat="1">
      <c r="E325" s="168"/>
      <c r="F325" s="115"/>
      <c r="I325" s="304"/>
      <c r="J325" s="304"/>
      <c r="O325" s="168"/>
      <c r="P325" s="115"/>
      <c r="Q325" s="305"/>
      <c r="R325" s="169"/>
      <c r="S325" s="305"/>
      <c r="T325" s="305"/>
      <c r="U325" s="305"/>
      <c r="V325" s="305"/>
      <c r="W325" s="305"/>
      <c r="X325" s="305"/>
    </row>
    <row r="326" spans="5:24" s="114" customFormat="1">
      <c r="E326" s="168"/>
      <c r="F326" s="115"/>
      <c r="I326" s="304"/>
      <c r="J326" s="304"/>
      <c r="O326" s="168"/>
      <c r="P326" s="115"/>
      <c r="Q326" s="305"/>
      <c r="R326" s="169"/>
      <c r="S326" s="305"/>
      <c r="T326" s="305"/>
      <c r="U326" s="305"/>
      <c r="V326" s="305"/>
      <c r="W326" s="305"/>
      <c r="X326" s="305"/>
    </row>
    <row r="327" spans="5:24" s="114" customFormat="1">
      <c r="E327" s="168"/>
      <c r="F327" s="115"/>
      <c r="I327" s="304"/>
      <c r="J327" s="304"/>
      <c r="O327" s="168"/>
      <c r="P327" s="115"/>
      <c r="Q327" s="305"/>
      <c r="R327" s="169"/>
      <c r="S327" s="305"/>
      <c r="T327" s="305"/>
      <c r="U327" s="305"/>
      <c r="V327" s="305"/>
      <c r="W327" s="305"/>
      <c r="X327" s="305"/>
    </row>
    <row r="328" spans="5:24" s="114" customFormat="1">
      <c r="E328" s="168"/>
      <c r="F328" s="115"/>
      <c r="I328" s="304"/>
      <c r="J328" s="304"/>
      <c r="O328" s="168"/>
      <c r="P328" s="115"/>
      <c r="Q328" s="305"/>
      <c r="R328" s="169"/>
      <c r="S328" s="305"/>
      <c r="T328" s="305"/>
      <c r="U328" s="305"/>
      <c r="V328" s="305"/>
      <c r="W328" s="305"/>
      <c r="X328" s="305"/>
    </row>
    <row r="329" spans="5:24" s="114" customFormat="1">
      <c r="E329" s="168"/>
      <c r="F329" s="115"/>
      <c r="I329" s="304"/>
      <c r="J329" s="304"/>
      <c r="O329" s="168"/>
      <c r="P329" s="115"/>
      <c r="Q329" s="305"/>
      <c r="R329" s="169"/>
      <c r="S329" s="305"/>
      <c r="T329" s="305"/>
      <c r="U329" s="305"/>
      <c r="V329" s="305"/>
      <c r="W329" s="305"/>
      <c r="X329" s="305"/>
    </row>
    <row r="330" spans="5:24" s="114" customFormat="1">
      <c r="E330" s="168"/>
      <c r="F330" s="115"/>
      <c r="I330" s="304"/>
      <c r="J330" s="304"/>
      <c r="O330" s="168"/>
      <c r="P330" s="115"/>
      <c r="Q330" s="305"/>
      <c r="R330" s="169"/>
      <c r="S330" s="305"/>
      <c r="T330" s="305"/>
      <c r="U330" s="305"/>
      <c r="V330" s="305"/>
      <c r="W330" s="305"/>
      <c r="X330" s="305"/>
    </row>
    <row r="331" spans="5:24" s="114" customFormat="1">
      <c r="E331" s="168"/>
      <c r="F331" s="115"/>
      <c r="I331" s="304"/>
      <c r="J331" s="304"/>
      <c r="O331" s="168"/>
      <c r="P331" s="115"/>
      <c r="Q331" s="305"/>
      <c r="R331" s="169"/>
      <c r="S331" s="305"/>
      <c r="T331" s="305"/>
      <c r="U331" s="305"/>
      <c r="V331" s="305"/>
      <c r="W331" s="305"/>
      <c r="X331" s="305"/>
    </row>
    <row r="332" spans="5:24" s="114" customFormat="1">
      <c r="E332" s="168"/>
      <c r="F332" s="115"/>
      <c r="I332" s="304"/>
      <c r="J332" s="304"/>
      <c r="O332" s="168"/>
      <c r="P332" s="115"/>
      <c r="Q332" s="305"/>
      <c r="R332" s="169"/>
      <c r="S332" s="305"/>
      <c r="T332" s="305"/>
      <c r="U332" s="305"/>
      <c r="V332" s="305"/>
      <c r="W332" s="305"/>
      <c r="X332" s="305"/>
    </row>
    <row r="333" spans="5:24" s="114" customFormat="1">
      <c r="E333" s="168"/>
      <c r="F333" s="115"/>
      <c r="I333" s="304"/>
      <c r="J333" s="304"/>
      <c r="O333" s="168"/>
      <c r="P333" s="115"/>
      <c r="Q333" s="305"/>
      <c r="R333" s="169"/>
      <c r="S333" s="305"/>
      <c r="T333" s="305"/>
      <c r="U333" s="305"/>
      <c r="V333" s="305"/>
      <c r="W333" s="305"/>
      <c r="X333" s="305"/>
    </row>
    <row r="334" spans="5:24" s="114" customFormat="1">
      <c r="E334" s="168"/>
      <c r="F334" s="115"/>
      <c r="I334" s="304"/>
      <c r="J334" s="304"/>
      <c r="O334" s="168"/>
      <c r="P334" s="115"/>
      <c r="Q334" s="305"/>
      <c r="R334" s="169"/>
      <c r="S334" s="305"/>
      <c r="T334" s="305"/>
      <c r="U334" s="305"/>
      <c r="V334" s="305"/>
      <c r="W334" s="305"/>
      <c r="X334" s="305"/>
    </row>
    <row r="335" spans="5:24" s="114" customFormat="1">
      <c r="E335" s="168"/>
      <c r="F335" s="115"/>
      <c r="I335" s="304"/>
      <c r="J335" s="304"/>
      <c r="O335" s="168"/>
      <c r="P335" s="115"/>
      <c r="Q335" s="305"/>
      <c r="R335" s="169"/>
      <c r="S335" s="305"/>
      <c r="T335" s="305"/>
      <c r="U335" s="305"/>
      <c r="V335" s="305"/>
      <c r="W335" s="305"/>
      <c r="X335" s="305"/>
    </row>
    <row r="336" spans="5:24" s="114" customFormat="1">
      <c r="E336" s="168"/>
      <c r="F336" s="115"/>
      <c r="I336" s="304"/>
      <c r="J336" s="304"/>
      <c r="O336" s="168"/>
      <c r="P336" s="115"/>
      <c r="Q336" s="305"/>
      <c r="R336" s="169"/>
      <c r="S336" s="305"/>
      <c r="T336" s="305"/>
      <c r="U336" s="305"/>
      <c r="V336" s="305"/>
      <c r="W336" s="305"/>
      <c r="X336" s="305"/>
    </row>
    <row r="337" spans="5:24" s="114" customFormat="1">
      <c r="E337" s="168"/>
      <c r="F337" s="115"/>
      <c r="I337" s="304"/>
      <c r="J337" s="304"/>
      <c r="O337" s="168"/>
      <c r="P337" s="115"/>
      <c r="Q337" s="305"/>
      <c r="R337" s="169"/>
      <c r="S337" s="305"/>
      <c r="T337" s="305"/>
      <c r="U337" s="305"/>
      <c r="V337" s="305"/>
      <c r="W337" s="305"/>
      <c r="X337" s="305"/>
    </row>
    <row r="338" spans="5:24" s="114" customFormat="1">
      <c r="E338" s="168"/>
      <c r="F338" s="115"/>
      <c r="I338" s="304"/>
      <c r="J338" s="304"/>
      <c r="O338" s="168"/>
      <c r="P338" s="115"/>
      <c r="Q338" s="305"/>
      <c r="R338" s="169"/>
      <c r="S338" s="305"/>
      <c r="T338" s="305"/>
      <c r="U338" s="305"/>
      <c r="V338" s="305"/>
      <c r="W338" s="305"/>
      <c r="X338" s="305"/>
    </row>
    <row r="339" spans="5:24" s="114" customFormat="1">
      <c r="E339" s="168"/>
      <c r="F339" s="115"/>
      <c r="I339" s="304"/>
      <c r="J339" s="304"/>
      <c r="O339" s="168"/>
      <c r="P339" s="115"/>
      <c r="Q339" s="305"/>
      <c r="R339" s="169"/>
      <c r="S339" s="305"/>
      <c r="T339" s="305"/>
      <c r="U339" s="305"/>
      <c r="V339" s="305"/>
      <c r="W339" s="305"/>
      <c r="X339" s="305"/>
    </row>
    <row r="340" spans="5:24" s="114" customFormat="1">
      <c r="E340" s="168"/>
      <c r="F340" s="115"/>
      <c r="I340" s="304"/>
      <c r="J340" s="304"/>
      <c r="O340" s="168"/>
      <c r="P340" s="115"/>
      <c r="Q340" s="305"/>
      <c r="R340" s="169"/>
      <c r="S340" s="305"/>
      <c r="T340" s="305"/>
      <c r="U340" s="305"/>
      <c r="V340" s="305"/>
      <c r="W340" s="305"/>
      <c r="X340" s="305"/>
    </row>
    <row r="341" spans="5:24" s="114" customFormat="1">
      <c r="E341" s="168"/>
      <c r="F341" s="115"/>
      <c r="I341" s="304"/>
      <c r="J341" s="304"/>
      <c r="O341" s="168"/>
      <c r="P341" s="115"/>
      <c r="Q341" s="305"/>
      <c r="R341" s="169"/>
      <c r="S341" s="305"/>
      <c r="T341" s="305"/>
      <c r="U341" s="305"/>
      <c r="V341" s="305"/>
      <c r="W341" s="305"/>
      <c r="X341" s="305"/>
    </row>
    <row r="342" spans="5:24" s="114" customFormat="1">
      <c r="E342" s="168"/>
      <c r="F342" s="115"/>
      <c r="I342" s="304"/>
      <c r="J342" s="304"/>
      <c r="O342" s="168"/>
      <c r="P342" s="115"/>
      <c r="Q342" s="305"/>
      <c r="R342" s="169"/>
      <c r="S342" s="305"/>
      <c r="T342" s="305"/>
      <c r="U342" s="305"/>
      <c r="V342" s="305"/>
      <c r="W342" s="305"/>
      <c r="X342" s="305"/>
    </row>
    <row r="343" spans="5:24" s="114" customFormat="1">
      <c r="E343" s="168"/>
      <c r="F343" s="115"/>
      <c r="I343" s="304"/>
      <c r="J343" s="304"/>
      <c r="O343" s="168"/>
      <c r="P343" s="115"/>
      <c r="Q343" s="305"/>
      <c r="R343" s="169"/>
      <c r="S343" s="305"/>
      <c r="T343" s="305"/>
      <c r="U343" s="305"/>
      <c r="V343" s="305"/>
      <c r="W343" s="305"/>
      <c r="X343" s="305"/>
    </row>
    <row r="344" spans="5:24" s="114" customFormat="1">
      <c r="E344" s="168"/>
      <c r="F344" s="115"/>
      <c r="I344" s="304"/>
      <c r="J344" s="304"/>
      <c r="O344" s="168"/>
      <c r="P344" s="115"/>
      <c r="Q344" s="305"/>
      <c r="R344" s="169"/>
      <c r="S344" s="305"/>
      <c r="T344" s="305"/>
      <c r="U344" s="305"/>
      <c r="V344" s="305"/>
      <c r="W344" s="305"/>
      <c r="X344" s="305"/>
    </row>
    <row r="345" spans="5:24" s="114" customFormat="1">
      <c r="E345" s="168"/>
      <c r="F345" s="115"/>
      <c r="I345" s="304"/>
      <c r="J345" s="304"/>
      <c r="O345" s="168"/>
      <c r="P345" s="115"/>
      <c r="Q345" s="305"/>
      <c r="R345" s="169"/>
      <c r="S345" s="305"/>
      <c r="T345" s="305"/>
      <c r="U345" s="305"/>
      <c r="V345" s="305"/>
      <c r="W345" s="305"/>
      <c r="X345" s="305"/>
    </row>
    <row r="346" spans="5:24" s="114" customFormat="1">
      <c r="E346" s="168"/>
      <c r="F346" s="115"/>
      <c r="I346" s="304"/>
      <c r="J346" s="304"/>
      <c r="O346" s="168"/>
      <c r="P346" s="115"/>
      <c r="Q346" s="305"/>
      <c r="R346" s="169"/>
      <c r="S346" s="305"/>
      <c r="T346" s="305"/>
      <c r="U346" s="305"/>
      <c r="V346" s="305"/>
      <c r="W346" s="305"/>
      <c r="X346" s="305"/>
    </row>
    <row r="347" spans="5:24" s="114" customFormat="1">
      <c r="E347" s="168"/>
      <c r="F347" s="115"/>
      <c r="I347" s="304"/>
      <c r="J347" s="304"/>
      <c r="O347" s="168"/>
      <c r="P347" s="115"/>
      <c r="Q347" s="305"/>
      <c r="R347" s="169"/>
      <c r="S347" s="305"/>
      <c r="T347" s="305"/>
      <c r="U347" s="305"/>
      <c r="V347" s="305"/>
      <c r="W347" s="305"/>
      <c r="X347" s="305"/>
    </row>
    <row r="348" spans="5:24" s="114" customFormat="1">
      <c r="E348" s="168"/>
      <c r="F348" s="115"/>
      <c r="I348" s="304"/>
      <c r="J348" s="304"/>
      <c r="O348" s="168"/>
      <c r="P348" s="115"/>
      <c r="Q348" s="305"/>
      <c r="R348" s="169"/>
      <c r="S348" s="305"/>
      <c r="T348" s="305"/>
      <c r="U348" s="305"/>
      <c r="V348" s="305"/>
      <c r="W348" s="305"/>
      <c r="X348" s="305"/>
    </row>
    <row r="349" spans="5:24" s="114" customFormat="1">
      <c r="E349" s="168"/>
      <c r="F349" s="115"/>
      <c r="I349" s="304"/>
      <c r="J349" s="304"/>
      <c r="O349" s="168"/>
      <c r="P349" s="115"/>
      <c r="Q349" s="305"/>
      <c r="R349" s="169"/>
      <c r="S349" s="305"/>
      <c r="T349" s="305"/>
      <c r="U349" s="305"/>
      <c r="V349" s="305"/>
      <c r="W349" s="305"/>
      <c r="X349" s="305"/>
    </row>
    <row r="350" spans="5:24" s="114" customFormat="1">
      <c r="E350" s="168"/>
      <c r="F350" s="115"/>
      <c r="I350" s="304"/>
      <c r="J350" s="304"/>
      <c r="O350" s="168"/>
      <c r="P350" s="115"/>
      <c r="Q350" s="305"/>
      <c r="R350" s="169"/>
      <c r="S350" s="305"/>
      <c r="T350" s="305"/>
      <c r="U350" s="305"/>
      <c r="V350" s="305"/>
      <c r="W350" s="305"/>
      <c r="X350" s="305"/>
    </row>
    <row r="351" spans="5:24" s="114" customFormat="1">
      <c r="E351" s="168"/>
      <c r="F351" s="115"/>
      <c r="I351" s="304"/>
      <c r="J351" s="304"/>
      <c r="O351" s="168"/>
      <c r="P351" s="115"/>
      <c r="Q351" s="305"/>
      <c r="R351" s="169"/>
      <c r="S351" s="305"/>
      <c r="T351" s="305"/>
      <c r="U351" s="305"/>
      <c r="V351" s="305"/>
      <c r="W351" s="305"/>
      <c r="X351" s="305"/>
    </row>
    <row r="352" spans="5:24" s="114" customFormat="1">
      <c r="E352" s="168"/>
      <c r="F352" s="115"/>
      <c r="I352" s="304"/>
      <c r="J352" s="304"/>
      <c r="O352" s="168"/>
      <c r="P352" s="115"/>
      <c r="Q352" s="305"/>
      <c r="R352" s="169"/>
      <c r="S352" s="305"/>
      <c r="T352" s="305"/>
      <c r="U352" s="305"/>
      <c r="V352" s="305"/>
      <c r="W352" s="305"/>
      <c r="X352" s="305"/>
    </row>
    <row r="353" spans="5:24" s="114" customFormat="1">
      <c r="E353" s="168"/>
      <c r="F353" s="115"/>
      <c r="I353" s="304"/>
      <c r="J353" s="304"/>
      <c r="O353" s="168"/>
      <c r="P353" s="115"/>
      <c r="Q353" s="305"/>
      <c r="R353" s="169"/>
      <c r="S353" s="305"/>
      <c r="T353" s="305"/>
      <c r="U353" s="305"/>
      <c r="V353" s="305"/>
      <c r="W353" s="305"/>
      <c r="X353" s="305"/>
    </row>
    <row r="354" spans="5:24" s="114" customFormat="1">
      <c r="E354" s="168"/>
      <c r="F354" s="115"/>
      <c r="I354" s="304"/>
      <c r="J354" s="304"/>
      <c r="O354" s="168"/>
      <c r="P354" s="115"/>
      <c r="Q354" s="305"/>
      <c r="R354" s="169"/>
      <c r="S354" s="305"/>
      <c r="T354" s="305"/>
      <c r="U354" s="305"/>
      <c r="V354" s="305"/>
      <c r="W354" s="305"/>
      <c r="X354" s="305"/>
    </row>
    <row r="355" spans="5:24" s="114" customFormat="1">
      <c r="E355" s="168"/>
      <c r="F355" s="115"/>
      <c r="I355" s="304"/>
      <c r="J355" s="304"/>
      <c r="O355" s="168"/>
      <c r="P355" s="115"/>
      <c r="Q355" s="305"/>
      <c r="R355" s="169"/>
      <c r="S355" s="305"/>
      <c r="T355" s="305"/>
      <c r="U355" s="305"/>
      <c r="V355" s="305"/>
      <c r="W355" s="305"/>
      <c r="X355" s="305"/>
    </row>
    <row r="356" spans="5:24" s="114" customFormat="1">
      <c r="E356" s="168"/>
      <c r="F356" s="115"/>
      <c r="I356" s="304"/>
      <c r="J356" s="304"/>
      <c r="O356" s="168"/>
      <c r="P356" s="115"/>
      <c r="Q356" s="305"/>
      <c r="R356" s="169"/>
      <c r="S356" s="305"/>
      <c r="T356" s="305"/>
      <c r="U356" s="305"/>
      <c r="V356" s="305"/>
      <c r="W356" s="305"/>
      <c r="X356" s="305"/>
    </row>
    <row r="357" spans="5:24" s="114" customFormat="1">
      <c r="E357" s="168"/>
      <c r="F357" s="115"/>
      <c r="I357" s="304"/>
      <c r="J357" s="304"/>
      <c r="O357" s="168"/>
      <c r="P357" s="115"/>
      <c r="Q357" s="305"/>
      <c r="R357" s="169"/>
      <c r="S357" s="305"/>
      <c r="T357" s="305"/>
      <c r="U357" s="305"/>
      <c r="V357" s="305"/>
      <c r="W357" s="305"/>
      <c r="X357" s="305"/>
    </row>
    <row r="358" spans="5:24" s="114" customFormat="1">
      <c r="E358" s="168"/>
      <c r="F358" s="115"/>
      <c r="I358" s="304"/>
      <c r="J358" s="304"/>
      <c r="O358" s="168"/>
      <c r="P358" s="115"/>
      <c r="Q358" s="305"/>
      <c r="R358" s="169"/>
      <c r="S358" s="305"/>
      <c r="T358" s="305"/>
      <c r="U358" s="305"/>
      <c r="V358" s="305"/>
      <c r="W358" s="305"/>
      <c r="X358" s="305"/>
    </row>
    <row r="359" spans="5:24" s="114" customFormat="1">
      <c r="E359" s="168"/>
      <c r="F359" s="115"/>
      <c r="I359" s="304"/>
      <c r="J359" s="304"/>
      <c r="O359" s="168"/>
      <c r="P359" s="115"/>
      <c r="Q359" s="305"/>
      <c r="R359" s="169"/>
      <c r="S359" s="305"/>
      <c r="T359" s="305"/>
      <c r="U359" s="305"/>
      <c r="V359" s="305"/>
      <c r="W359" s="305"/>
      <c r="X359" s="305"/>
    </row>
    <row r="360" spans="5:24" s="114" customFormat="1">
      <c r="E360" s="168"/>
      <c r="F360" s="115"/>
      <c r="I360" s="304"/>
      <c r="J360" s="304"/>
      <c r="O360" s="168"/>
      <c r="P360" s="115"/>
      <c r="Q360" s="305"/>
      <c r="R360" s="169"/>
      <c r="S360" s="305"/>
      <c r="T360" s="305"/>
      <c r="U360" s="305"/>
      <c r="V360" s="305"/>
      <c r="W360" s="305"/>
      <c r="X360" s="305"/>
    </row>
    <row r="361" spans="5:24" s="114" customFormat="1">
      <c r="E361" s="168"/>
      <c r="F361" s="115"/>
      <c r="I361" s="304"/>
      <c r="J361" s="304"/>
      <c r="O361" s="168"/>
      <c r="P361" s="115"/>
      <c r="Q361" s="305"/>
      <c r="R361" s="169"/>
      <c r="S361" s="305"/>
      <c r="T361" s="305"/>
      <c r="U361" s="305"/>
      <c r="V361" s="305"/>
      <c r="W361" s="305"/>
      <c r="X361" s="305"/>
    </row>
    <row r="362" spans="5:24" s="114" customFormat="1">
      <c r="E362" s="168"/>
      <c r="F362" s="115"/>
      <c r="I362" s="304"/>
      <c r="J362" s="304"/>
      <c r="O362" s="168"/>
      <c r="P362" s="115"/>
      <c r="Q362" s="305"/>
      <c r="R362" s="169"/>
      <c r="S362" s="305"/>
      <c r="T362" s="305"/>
      <c r="U362" s="305"/>
      <c r="V362" s="305"/>
      <c r="W362" s="305"/>
      <c r="X362" s="305"/>
    </row>
    <row r="363" spans="5:24" s="114" customFormat="1">
      <c r="E363" s="168"/>
      <c r="F363" s="115"/>
      <c r="I363" s="304"/>
      <c r="J363" s="304"/>
      <c r="O363" s="168"/>
      <c r="P363" s="115"/>
      <c r="Q363" s="305"/>
      <c r="R363" s="169"/>
      <c r="S363" s="305"/>
      <c r="T363" s="305"/>
      <c r="U363" s="305"/>
      <c r="V363" s="305"/>
      <c r="W363" s="305"/>
      <c r="X363" s="305"/>
    </row>
    <row r="364" spans="5:24" s="114" customFormat="1">
      <c r="E364" s="168"/>
      <c r="F364" s="115"/>
      <c r="I364" s="304"/>
      <c r="J364" s="304"/>
      <c r="O364" s="168"/>
      <c r="P364" s="115"/>
      <c r="Q364" s="305"/>
      <c r="R364" s="169"/>
      <c r="S364" s="305"/>
      <c r="T364" s="305"/>
      <c r="U364" s="305"/>
      <c r="V364" s="305"/>
      <c r="W364" s="305"/>
      <c r="X364" s="305"/>
    </row>
    <row r="365" spans="5:24" s="114" customFormat="1">
      <c r="E365" s="168"/>
      <c r="F365" s="115"/>
      <c r="I365" s="304"/>
      <c r="J365" s="304"/>
      <c r="O365" s="168"/>
      <c r="P365" s="115"/>
      <c r="Q365" s="305"/>
      <c r="R365" s="169"/>
      <c r="S365" s="305"/>
      <c r="T365" s="305"/>
      <c r="U365" s="305"/>
      <c r="V365" s="305"/>
      <c r="W365" s="305"/>
      <c r="X365" s="305"/>
    </row>
    <row r="366" spans="5:24" s="114" customFormat="1">
      <c r="E366" s="168"/>
      <c r="F366" s="115"/>
      <c r="I366" s="304"/>
      <c r="J366" s="304"/>
      <c r="O366" s="168"/>
      <c r="P366" s="115"/>
      <c r="Q366" s="305"/>
      <c r="R366" s="169"/>
      <c r="S366" s="305"/>
      <c r="T366" s="305"/>
      <c r="U366" s="305"/>
      <c r="V366" s="305"/>
      <c r="W366" s="305"/>
      <c r="X366" s="305"/>
    </row>
    <row r="367" spans="5:24" s="114" customFormat="1">
      <c r="E367" s="168"/>
      <c r="F367" s="115"/>
      <c r="I367" s="304"/>
      <c r="J367" s="304"/>
      <c r="O367" s="168"/>
      <c r="P367" s="115"/>
      <c r="Q367" s="305"/>
      <c r="R367" s="169"/>
      <c r="S367" s="305"/>
      <c r="T367" s="305"/>
      <c r="U367" s="305"/>
      <c r="V367" s="305"/>
      <c r="W367" s="305"/>
      <c r="X367" s="305"/>
    </row>
    <row r="368" spans="5:24" s="114" customFormat="1">
      <c r="E368" s="168"/>
      <c r="F368" s="115"/>
      <c r="I368" s="304"/>
      <c r="J368" s="304"/>
      <c r="O368" s="168"/>
      <c r="P368" s="115"/>
      <c r="Q368" s="305"/>
      <c r="R368" s="169"/>
      <c r="S368" s="305"/>
      <c r="T368" s="305"/>
      <c r="U368" s="305"/>
      <c r="V368" s="305"/>
      <c r="W368" s="305"/>
      <c r="X368" s="305"/>
    </row>
    <row r="369" spans="5:24" s="114" customFormat="1">
      <c r="E369" s="168"/>
      <c r="F369" s="115"/>
      <c r="I369" s="304"/>
      <c r="J369" s="304"/>
      <c r="O369" s="168"/>
      <c r="P369" s="115"/>
      <c r="Q369" s="305"/>
      <c r="R369" s="169"/>
      <c r="S369" s="305"/>
      <c r="T369" s="305"/>
      <c r="U369" s="305"/>
      <c r="V369" s="305"/>
      <c r="W369" s="305"/>
      <c r="X369" s="305"/>
    </row>
    <row r="370" spans="5:24" s="114" customFormat="1">
      <c r="E370" s="168"/>
      <c r="F370" s="115"/>
      <c r="I370" s="304"/>
      <c r="J370" s="304"/>
      <c r="O370" s="168"/>
      <c r="P370" s="115"/>
      <c r="Q370" s="305"/>
      <c r="R370" s="169"/>
      <c r="S370" s="305"/>
      <c r="T370" s="305"/>
      <c r="U370" s="305"/>
      <c r="V370" s="305"/>
      <c r="W370" s="305"/>
      <c r="X370" s="305"/>
    </row>
    <row r="371" spans="5:24" s="114" customFormat="1">
      <c r="E371" s="168"/>
      <c r="F371" s="115"/>
      <c r="I371" s="304"/>
      <c r="J371" s="304"/>
      <c r="O371" s="168"/>
      <c r="P371" s="115"/>
      <c r="Q371" s="305"/>
      <c r="R371" s="169"/>
      <c r="S371" s="305"/>
      <c r="T371" s="305"/>
      <c r="U371" s="305"/>
      <c r="V371" s="305"/>
      <c r="W371" s="305"/>
      <c r="X371" s="305"/>
    </row>
    <row r="372" spans="5:24" s="114" customFormat="1">
      <c r="E372" s="168"/>
      <c r="F372" s="115"/>
      <c r="I372" s="304"/>
      <c r="J372" s="304"/>
      <c r="O372" s="168"/>
      <c r="P372" s="115"/>
      <c r="Q372" s="305"/>
      <c r="R372" s="169"/>
      <c r="S372" s="305"/>
      <c r="T372" s="305"/>
      <c r="U372" s="305"/>
      <c r="V372" s="305"/>
      <c r="W372" s="305"/>
      <c r="X372" s="305"/>
    </row>
    <row r="373" spans="5:24" s="114" customFormat="1">
      <c r="E373" s="168"/>
      <c r="F373" s="115"/>
      <c r="I373" s="304"/>
      <c r="J373" s="304"/>
      <c r="O373" s="168"/>
      <c r="P373" s="115"/>
      <c r="Q373" s="305"/>
      <c r="R373" s="169"/>
      <c r="S373" s="305"/>
      <c r="T373" s="305"/>
      <c r="U373" s="305"/>
      <c r="V373" s="305"/>
      <c r="W373" s="305"/>
      <c r="X373" s="305"/>
    </row>
    <row r="374" spans="5:24" s="114" customFormat="1">
      <c r="E374" s="168"/>
      <c r="F374" s="115"/>
      <c r="I374" s="304"/>
      <c r="J374" s="304"/>
      <c r="O374" s="168"/>
      <c r="P374" s="115"/>
      <c r="Q374" s="305"/>
      <c r="R374" s="169"/>
      <c r="S374" s="305"/>
      <c r="T374" s="305"/>
      <c r="U374" s="305"/>
      <c r="V374" s="305"/>
      <c r="W374" s="305"/>
      <c r="X374" s="305"/>
    </row>
    <row r="375" spans="5:24" s="114" customFormat="1">
      <c r="E375" s="168"/>
      <c r="F375" s="115"/>
      <c r="I375" s="304"/>
      <c r="J375" s="304"/>
      <c r="O375" s="168"/>
      <c r="P375" s="115"/>
      <c r="Q375" s="305"/>
      <c r="R375" s="169"/>
      <c r="S375" s="305"/>
      <c r="T375" s="305"/>
      <c r="U375" s="305"/>
      <c r="V375" s="305"/>
      <c r="W375" s="305"/>
      <c r="X375" s="305"/>
    </row>
    <row r="376" spans="5:24" s="114" customFormat="1">
      <c r="E376" s="168"/>
      <c r="F376" s="115"/>
      <c r="I376" s="304"/>
      <c r="J376" s="304"/>
      <c r="O376" s="168"/>
      <c r="P376" s="115"/>
      <c r="Q376" s="305"/>
      <c r="R376" s="169"/>
      <c r="S376" s="305"/>
      <c r="T376" s="305"/>
      <c r="U376" s="305"/>
      <c r="V376" s="305"/>
      <c r="W376" s="305"/>
      <c r="X376" s="305"/>
    </row>
    <row r="377" spans="5:24" s="114" customFormat="1">
      <c r="E377" s="168"/>
      <c r="F377" s="115"/>
      <c r="I377" s="304"/>
      <c r="J377" s="304"/>
      <c r="O377" s="168"/>
      <c r="P377" s="115"/>
      <c r="Q377" s="305"/>
      <c r="R377" s="169"/>
      <c r="S377" s="305"/>
      <c r="T377" s="305"/>
      <c r="U377" s="305"/>
      <c r="V377" s="305"/>
      <c r="W377" s="305"/>
      <c r="X377" s="305"/>
    </row>
    <row r="378" spans="5:24" s="114" customFormat="1">
      <c r="E378" s="168"/>
      <c r="F378" s="115"/>
      <c r="I378" s="304"/>
      <c r="J378" s="304"/>
      <c r="O378" s="168"/>
      <c r="P378" s="115"/>
      <c r="Q378" s="305"/>
      <c r="R378" s="169"/>
      <c r="S378" s="305"/>
      <c r="T378" s="305"/>
      <c r="U378" s="305"/>
      <c r="V378" s="305"/>
      <c r="W378" s="305"/>
      <c r="X378" s="305"/>
    </row>
    <row r="379" spans="5:24" s="114" customFormat="1">
      <c r="E379" s="168"/>
      <c r="F379" s="115"/>
      <c r="I379" s="304"/>
      <c r="J379" s="304"/>
      <c r="O379" s="168"/>
      <c r="P379" s="115"/>
      <c r="Q379" s="305"/>
      <c r="R379" s="169"/>
      <c r="S379" s="305"/>
      <c r="T379" s="305"/>
      <c r="U379" s="305"/>
      <c r="V379" s="305"/>
      <c r="W379" s="305"/>
      <c r="X379" s="305"/>
    </row>
    <row r="380" spans="5:24" s="114" customFormat="1">
      <c r="E380" s="168"/>
      <c r="F380" s="115"/>
      <c r="I380" s="304"/>
      <c r="J380" s="304"/>
      <c r="O380" s="168"/>
      <c r="P380" s="115"/>
      <c r="Q380" s="305"/>
      <c r="R380" s="169"/>
      <c r="S380" s="305"/>
      <c r="T380" s="305"/>
      <c r="U380" s="305"/>
      <c r="V380" s="305"/>
      <c r="W380" s="305"/>
      <c r="X380" s="305"/>
    </row>
    <row r="381" spans="5:24" s="114" customFormat="1">
      <c r="E381" s="168"/>
      <c r="F381" s="115"/>
      <c r="I381" s="304"/>
      <c r="J381" s="304"/>
      <c r="O381" s="168"/>
      <c r="P381" s="115"/>
      <c r="Q381" s="305"/>
      <c r="R381" s="169"/>
      <c r="S381" s="305"/>
      <c r="T381" s="305"/>
      <c r="U381" s="305"/>
      <c r="V381" s="305"/>
      <c r="W381" s="305"/>
      <c r="X381" s="305"/>
    </row>
    <row r="382" spans="5:24" s="114" customFormat="1">
      <c r="E382" s="168"/>
      <c r="F382" s="115"/>
      <c r="I382" s="304"/>
      <c r="J382" s="304"/>
      <c r="O382" s="168"/>
      <c r="P382" s="115"/>
      <c r="Q382" s="305"/>
      <c r="R382" s="169"/>
      <c r="S382" s="305"/>
      <c r="T382" s="305"/>
      <c r="U382" s="305"/>
      <c r="V382" s="305"/>
      <c r="W382" s="305"/>
      <c r="X382" s="305"/>
    </row>
    <row r="383" spans="5:24" s="114" customFormat="1">
      <c r="E383" s="168"/>
      <c r="F383" s="115"/>
      <c r="I383" s="304"/>
      <c r="J383" s="304"/>
      <c r="O383" s="168"/>
      <c r="P383" s="115"/>
      <c r="Q383" s="305"/>
      <c r="R383" s="169"/>
      <c r="S383" s="305"/>
      <c r="T383" s="305"/>
      <c r="U383" s="305"/>
      <c r="V383" s="305"/>
      <c r="W383" s="305"/>
      <c r="X383" s="305"/>
    </row>
    <row r="384" spans="5:24" s="114" customFormat="1">
      <c r="E384" s="168"/>
      <c r="F384" s="115"/>
      <c r="I384" s="304"/>
      <c r="J384" s="304"/>
      <c r="O384" s="168"/>
      <c r="P384" s="115"/>
      <c r="Q384" s="305"/>
      <c r="R384" s="169"/>
      <c r="S384" s="305"/>
      <c r="T384" s="305"/>
      <c r="U384" s="305"/>
      <c r="V384" s="305"/>
      <c r="W384" s="305"/>
      <c r="X384" s="305"/>
    </row>
    <row r="385" spans="5:24" s="114" customFormat="1">
      <c r="E385" s="168"/>
      <c r="F385" s="115"/>
      <c r="I385" s="304"/>
      <c r="J385" s="304"/>
      <c r="O385" s="168"/>
      <c r="P385" s="115"/>
      <c r="Q385" s="305"/>
      <c r="R385" s="169"/>
      <c r="S385" s="305"/>
      <c r="T385" s="305"/>
      <c r="U385" s="305"/>
      <c r="V385" s="305"/>
      <c r="W385" s="305"/>
      <c r="X385" s="305"/>
    </row>
    <row r="386" spans="5:24" s="114" customFormat="1">
      <c r="E386" s="168"/>
      <c r="F386" s="115"/>
      <c r="I386" s="304"/>
      <c r="J386" s="304"/>
      <c r="O386" s="168"/>
      <c r="P386" s="115"/>
      <c r="Q386" s="305"/>
      <c r="R386" s="169"/>
      <c r="S386" s="305"/>
      <c r="T386" s="305"/>
      <c r="U386" s="305"/>
      <c r="V386" s="305"/>
      <c r="W386" s="305"/>
      <c r="X386" s="305"/>
    </row>
    <row r="387" spans="5:24" s="114" customFormat="1">
      <c r="E387" s="168"/>
      <c r="F387" s="115"/>
      <c r="I387" s="304"/>
      <c r="J387" s="304"/>
      <c r="O387" s="168"/>
      <c r="P387" s="115"/>
      <c r="Q387" s="305"/>
      <c r="R387" s="169"/>
      <c r="S387" s="305"/>
      <c r="T387" s="305"/>
      <c r="U387" s="305"/>
      <c r="V387" s="305"/>
      <c r="W387" s="305"/>
      <c r="X387" s="305"/>
    </row>
    <row r="388" spans="5:24" s="114" customFormat="1">
      <c r="E388" s="168"/>
      <c r="F388" s="115"/>
      <c r="I388" s="304"/>
      <c r="J388" s="304"/>
      <c r="O388" s="168"/>
      <c r="P388" s="115"/>
      <c r="Q388" s="305"/>
      <c r="R388" s="169"/>
      <c r="S388" s="305"/>
      <c r="T388" s="305"/>
      <c r="U388" s="305"/>
      <c r="V388" s="305"/>
      <c r="W388" s="305"/>
      <c r="X388" s="305"/>
    </row>
    <row r="389" spans="5:24" s="114" customFormat="1">
      <c r="E389" s="168"/>
      <c r="F389" s="115"/>
      <c r="I389" s="304"/>
      <c r="J389" s="304"/>
      <c r="O389" s="168"/>
      <c r="P389" s="115"/>
      <c r="Q389" s="305"/>
      <c r="R389" s="169"/>
      <c r="S389" s="305"/>
      <c r="T389" s="305"/>
      <c r="U389" s="305"/>
      <c r="V389" s="305"/>
      <c r="W389" s="305"/>
      <c r="X389" s="305"/>
    </row>
    <row r="390" spans="5:24" s="114" customFormat="1">
      <c r="E390" s="168"/>
      <c r="F390" s="115"/>
      <c r="I390" s="304"/>
      <c r="J390" s="304"/>
      <c r="O390" s="168"/>
      <c r="P390" s="115"/>
      <c r="Q390" s="305"/>
      <c r="R390" s="169"/>
      <c r="S390" s="305"/>
      <c r="T390" s="305"/>
      <c r="U390" s="305"/>
      <c r="V390" s="305"/>
      <c r="W390" s="305"/>
      <c r="X390" s="305"/>
    </row>
    <row r="391" spans="5:24" s="114" customFormat="1">
      <c r="E391" s="168"/>
      <c r="F391" s="115"/>
      <c r="I391" s="304"/>
      <c r="J391" s="304"/>
      <c r="O391" s="168"/>
      <c r="P391" s="115"/>
      <c r="Q391" s="305"/>
      <c r="R391" s="169"/>
      <c r="S391" s="305"/>
      <c r="T391" s="305"/>
      <c r="U391" s="305"/>
      <c r="V391" s="305"/>
      <c r="W391" s="305"/>
      <c r="X391" s="305"/>
    </row>
    <row r="392" spans="5:24" s="114" customFormat="1">
      <c r="E392" s="168"/>
      <c r="F392" s="115"/>
      <c r="I392" s="304"/>
      <c r="J392" s="304"/>
      <c r="O392" s="168"/>
      <c r="P392" s="115"/>
      <c r="Q392" s="305"/>
      <c r="R392" s="169"/>
      <c r="S392" s="305"/>
      <c r="T392" s="305"/>
      <c r="U392" s="305"/>
      <c r="V392" s="305"/>
      <c r="W392" s="305"/>
      <c r="X392" s="305"/>
    </row>
    <row r="393" spans="5:24" s="114" customFormat="1">
      <c r="E393" s="168"/>
      <c r="F393" s="115"/>
      <c r="I393" s="304"/>
      <c r="J393" s="304"/>
      <c r="O393" s="168"/>
      <c r="P393" s="115"/>
      <c r="Q393" s="305"/>
      <c r="R393" s="169"/>
      <c r="S393" s="305"/>
      <c r="T393" s="305"/>
      <c r="U393" s="305"/>
      <c r="V393" s="305"/>
      <c r="W393" s="305"/>
      <c r="X393" s="305"/>
    </row>
    <row r="394" spans="5:24" s="114" customFormat="1">
      <c r="E394" s="168"/>
      <c r="F394" s="115"/>
      <c r="I394" s="304"/>
      <c r="J394" s="304"/>
      <c r="O394" s="168"/>
      <c r="P394" s="115"/>
      <c r="Q394" s="305"/>
      <c r="R394" s="169"/>
      <c r="S394" s="305"/>
      <c r="T394" s="305"/>
      <c r="U394" s="305"/>
      <c r="V394" s="305"/>
      <c r="W394" s="305"/>
      <c r="X394" s="305"/>
    </row>
    <row r="395" spans="5:24" s="114" customFormat="1">
      <c r="E395" s="168"/>
      <c r="F395" s="115"/>
      <c r="I395" s="304"/>
      <c r="J395" s="304"/>
      <c r="O395" s="168"/>
      <c r="P395" s="115"/>
      <c r="Q395" s="305"/>
      <c r="R395" s="169"/>
      <c r="S395" s="305"/>
      <c r="T395" s="305"/>
      <c r="U395" s="305"/>
      <c r="V395" s="305"/>
      <c r="W395" s="305"/>
      <c r="X395" s="305"/>
    </row>
    <row r="396" spans="5:24" s="114" customFormat="1">
      <c r="E396" s="168"/>
      <c r="F396" s="115"/>
      <c r="I396" s="304"/>
      <c r="J396" s="304"/>
      <c r="O396" s="168"/>
      <c r="P396" s="115"/>
      <c r="Q396" s="305"/>
      <c r="R396" s="169"/>
      <c r="S396" s="305"/>
      <c r="T396" s="305"/>
      <c r="U396" s="305"/>
      <c r="V396" s="305"/>
      <c r="W396" s="305"/>
      <c r="X396" s="305"/>
    </row>
    <row r="397" spans="5:24" s="114" customFormat="1">
      <c r="E397" s="168"/>
      <c r="F397" s="115"/>
      <c r="I397" s="304"/>
      <c r="J397" s="304"/>
      <c r="O397" s="168"/>
      <c r="P397" s="115"/>
      <c r="Q397" s="305"/>
      <c r="R397" s="169"/>
      <c r="S397" s="305"/>
      <c r="T397" s="305"/>
      <c r="U397" s="305"/>
      <c r="V397" s="305"/>
      <c r="W397" s="305"/>
      <c r="X397" s="305"/>
    </row>
    <row r="398" spans="5:24" s="114" customFormat="1">
      <c r="E398" s="168"/>
      <c r="F398" s="115"/>
      <c r="I398" s="304"/>
      <c r="J398" s="304"/>
      <c r="O398" s="168"/>
      <c r="P398" s="115"/>
      <c r="Q398" s="305"/>
      <c r="R398" s="169"/>
      <c r="S398" s="305"/>
      <c r="T398" s="305"/>
      <c r="U398" s="305"/>
      <c r="V398" s="305"/>
      <c r="W398" s="305"/>
      <c r="X398" s="305"/>
    </row>
    <row r="399" spans="5:24" s="114" customFormat="1">
      <c r="E399" s="168"/>
      <c r="F399" s="115"/>
      <c r="I399" s="304"/>
      <c r="J399" s="304"/>
      <c r="O399" s="168"/>
      <c r="P399" s="115"/>
      <c r="Q399" s="305"/>
      <c r="R399" s="169"/>
      <c r="S399" s="305"/>
      <c r="T399" s="305"/>
      <c r="U399" s="305"/>
      <c r="V399" s="305"/>
      <c r="W399" s="305"/>
      <c r="X399" s="305"/>
    </row>
    <row r="400" spans="5:24" s="114" customFormat="1">
      <c r="E400" s="168"/>
      <c r="F400" s="115"/>
      <c r="I400" s="304"/>
      <c r="J400" s="304"/>
      <c r="O400" s="168"/>
      <c r="P400" s="115"/>
      <c r="Q400" s="305"/>
      <c r="R400" s="169"/>
      <c r="S400" s="305"/>
      <c r="T400" s="305"/>
      <c r="U400" s="305"/>
      <c r="V400" s="305"/>
      <c r="W400" s="305"/>
      <c r="X400" s="305"/>
    </row>
    <row r="401" spans="5:24" s="114" customFormat="1">
      <c r="E401" s="168"/>
      <c r="F401" s="115"/>
      <c r="I401" s="304"/>
      <c r="J401" s="304"/>
      <c r="O401" s="168"/>
      <c r="P401" s="115"/>
      <c r="Q401" s="305"/>
      <c r="R401" s="169"/>
      <c r="S401" s="305"/>
      <c r="T401" s="305"/>
      <c r="U401" s="305"/>
      <c r="V401" s="305"/>
      <c r="W401" s="305"/>
      <c r="X401" s="305"/>
    </row>
    <row r="402" spans="5:24" s="114" customFormat="1">
      <c r="E402" s="168"/>
      <c r="F402" s="115"/>
      <c r="I402" s="304"/>
      <c r="J402" s="304"/>
      <c r="O402" s="168"/>
      <c r="P402" s="115"/>
      <c r="Q402" s="305"/>
      <c r="R402" s="169"/>
      <c r="S402" s="305"/>
      <c r="T402" s="305"/>
      <c r="U402" s="305"/>
      <c r="V402" s="305"/>
      <c r="W402" s="305"/>
      <c r="X402" s="305"/>
    </row>
    <row r="403" spans="5:24" s="114" customFormat="1">
      <c r="E403" s="168"/>
      <c r="F403" s="115"/>
      <c r="I403" s="304"/>
      <c r="J403" s="304"/>
      <c r="O403" s="168"/>
      <c r="P403" s="115"/>
      <c r="Q403" s="305"/>
      <c r="R403" s="169"/>
      <c r="S403" s="305"/>
      <c r="T403" s="305"/>
      <c r="U403" s="305"/>
      <c r="V403" s="305"/>
      <c r="W403" s="305"/>
      <c r="X403" s="305"/>
    </row>
    <row r="404" spans="5:24" s="114" customFormat="1">
      <c r="E404" s="168"/>
      <c r="F404" s="115"/>
      <c r="I404" s="304"/>
      <c r="J404" s="304"/>
      <c r="O404" s="168"/>
      <c r="P404" s="115"/>
      <c r="Q404" s="305"/>
      <c r="R404" s="169"/>
      <c r="S404" s="305"/>
      <c r="T404" s="305"/>
      <c r="U404" s="305"/>
      <c r="V404" s="305"/>
      <c r="W404" s="305"/>
      <c r="X404" s="305"/>
    </row>
    <row r="405" spans="5:24" s="114" customFormat="1">
      <c r="E405" s="168"/>
      <c r="F405" s="115"/>
      <c r="I405" s="304"/>
      <c r="J405" s="304"/>
      <c r="O405" s="168"/>
      <c r="P405" s="115"/>
      <c r="Q405" s="305"/>
      <c r="R405" s="169"/>
      <c r="S405" s="305"/>
      <c r="T405" s="305"/>
      <c r="U405" s="305"/>
      <c r="V405" s="305"/>
      <c r="W405" s="305"/>
      <c r="X405" s="305"/>
    </row>
    <row r="406" spans="5:24" s="114" customFormat="1">
      <c r="E406" s="168"/>
      <c r="F406" s="115"/>
      <c r="I406" s="304"/>
      <c r="J406" s="304"/>
      <c r="O406" s="168"/>
      <c r="P406" s="115"/>
      <c r="Q406" s="305"/>
      <c r="R406" s="169"/>
      <c r="S406" s="305"/>
      <c r="T406" s="305"/>
      <c r="U406" s="305"/>
      <c r="V406" s="305"/>
      <c r="W406" s="305"/>
      <c r="X406" s="305"/>
    </row>
    <row r="407" spans="5:24" s="114" customFormat="1">
      <c r="E407" s="168"/>
      <c r="F407" s="115"/>
      <c r="I407" s="304"/>
      <c r="J407" s="304"/>
      <c r="O407" s="168"/>
      <c r="P407" s="115"/>
      <c r="Q407" s="305"/>
      <c r="R407" s="169"/>
      <c r="S407" s="305"/>
      <c r="T407" s="305"/>
      <c r="U407" s="305"/>
      <c r="V407" s="305"/>
      <c r="W407" s="305"/>
      <c r="X407" s="305"/>
    </row>
    <row r="408" spans="5:24" s="114" customFormat="1">
      <c r="E408" s="168"/>
      <c r="F408" s="115"/>
      <c r="I408" s="304"/>
      <c r="J408" s="304"/>
      <c r="O408" s="168"/>
      <c r="P408" s="115"/>
      <c r="Q408" s="305"/>
      <c r="R408" s="169"/>
      <c r="S408" s="305"/>
      <c r="T408" s="305"/>
      <c r="U408" s="305"/>
      <c r="V408" s="305"/>
      <c r="W408" s="305"/>
      <c r="X408" s="305"/>
    </row>
    <row r="409" spans="5:24" s="114" customFormat="1">
      <c r="E409" s="168"/>
      <c r="F409" s="115"/>
      <c r="I409" s="304"/>
      <c r="J409" s="304"/>
      <c r="O409" s="168"/>
      <c r="P409" s="115"/>
      <c r="Q409" s="305"/>
      <c r="R409" s="169"/>
      <c r="S409" s="305"/>
      <c r="T409" s="305"/>
      <c r="U409" s="305"/>
      <c r="V409" s="305"/>
      <c r="W409" s="305"/>
      <c r="X409" s="305"/>
    </row>
    <row r="410" spans="5:24" s="114" customFormat="1">
      <c r="E410" s="168"/>
      <c r="F410" s="115"/>
      <c r="I410" s="304"/>
      <c r="J410" s="304"/>
      <c r="O410" s="168"/>
      <c r="P410" s="115"/>
      <c r="Q410" s="305"/>
      <c r="R410" s="169"/>
      <c r="S410" s="305"/>
      <c r="T410" s="305"/>
      <c r="U410" s="305"/>
      <c r="V410" s="305"/>
      <c r="W410" s="305"/>
      <c r="X410" s="305"/>
    </row>
    <row r="411" spans="5:24" s="114" customFormat="1">
      <c r="E411" s="168"/>
      <c r="F411" s="115"/>
      <c r="I411" s="304"/>
      <c r="J411" s="304"/>
      <c r="O411" s="168"/>
      <c r="P411" s="115"/>
      <c r="Q411" s="305"/>
      <c r="R411" s="169"/>
      <c r="S411" s="305"/>
      <c r="T411" s="305"/>
      <c r="U411" s="305"/>
      <c r="V411" s="305"/>
      <c r="W411" s="305"/>
      <c r="X411" s="305"/>
    </row>
    <row r="412" spans="5:24" s="114" customFormat="1">
      <c r="E412" s="168"/>
      <c r="F412" s="115"/>
      <c r="I412" s="304"/>
      <c r="J412" s="304"/>
      <c r="O412" s="168"/>
      <c r="P412" s="115"/>
      <c r="Q412" s="305"/>
      <c r="R412" s="169"/>
      <c r="S412" s="305"/>
      <c r="T412" s="305"/>
      <c r="U412" s="305"/>
      <c r="V412" s="305"/>
      <c r="W412" s="305"/>
      <c r="X412" s="305"/>
    </row>
    <row r="413" spans="5:24" s="114" customFormat="1">
      <c r="E413" s="168"/>
      <c r="F413" s="115"/>
      <c r="I413" s="304"/>
      <c r="J413" s="304"/>
      <c r="O413" s="168"/>
      <c r="P413" s="115"/>
      <c r="Q413" s="305"/>
      <c r="R413" s="169"/>
      <c r="S413" s="305"/>
      <c r="T413" s="305"/>
      <c r="U413" s="305"/>
      <c r="V413" s="305"/>
      <c r="W413" s="305"/>
      <c r="X413" s="305"/>
    </row>
    <row r="414" spans="5:24" s="114" customFormat="1">
      <c r="E414" s="168"/>
      <c r="F414" s="115"/>
      <c r="I414" s="304"/>
      <c r="J414" s="304"/>
      <c r="O414" s="168"/>
      <c r="P414" s="115"/>
      <c r="Q414" s="305"/>
      <c r="R414" s="169"/>
      <c r="S414" s="305"/>
      <c r="T414" s="305"/>
      <c r="U414" s="305"/>
      <c r="V414" s="305"/>
      <c r="W414" s="305"/>
      <c r="X414" s="305"/>
    </row>
    <row r="415" spans="5:24" s="114" customFormat="1">
      <c r="E415" s="168"/>
      <c r="F415" s="115"/>
      <c r="I415" s="304"/>
      <c r="J415" s="304"/>
      <c r="O415" s="168"/>
      <c r="P415" s="115"/>
      <c r="Q415" s="305"/>
      <c r="R415" s="169"/>
      <c r="S415" s="305"/>
      <c r="T415" s="305"/>
      <c r="U415" s="305"/>
      <c r="V415" s="305"/>
      <c r="W415" s="305"/>
      <c r="X415" s="305"/>
    </row>
    <row r="416" spans="5:24" s="114" customFormat="1">
      <c r="E416" s="168"/>
      <c r="F416" s="115"/>
      <c r="I416" s="304"/>
      <c r="J416" s="304"/>
      <c r="O416" s="168"/>
      <c r="P416" s="115"/>
      <c r="Q416" s="305"/>
      <c r="R416" s="169"/>
      <c r="S416" s="305"/>
      <c r="T416" s="305"/>
      <c r="U416" s="305"/>
      <c r="V416" s="305"/>
      <c r="W416" s="305"/>
      <c r="X416" s="305"/>
    </row>
    <row r="417" spans="5:24" s="114" customFormat="1">
      <c r="E417" s="168"/>
      <c r="F417" s="115"/>
      <c r="I417" s="304"/>
      <c r="J417" s="304"/>
      <c r="O417" s="168"/>
      <c r="P417" s="115"/>
      <c r="Q417" s="305"/>
      <c r="R417" s="169"/>
      <c r="S417" s="305"/>
      <c r="T417" s="305"/>
      <c r="U417" s="305"/>
      <c r="V417" s="305"/>
      <c r="W417" s="305"/>
      <c r="X417" s="305"/>
    </row>
    <row r="418" spans="5:24" s="114" customFormat="1">
      <c r="E418" s="168"/>
      <c r="F418" s="115"/>
      <c r="I418" s="304"/>
      <c r="J418" s="304"/>
      <c r="O418" s="168"/>
      <c r="P418" s="115"/>
      <c r="Q418" s="305"/>
      <c r="R418" s="169"/>
      <c r="S418" s="305"/>
      <c r="T418" s="305"/>
      <c r="U418" s="305"/>
      <c r="V418" s="305"/>
      <c r="W418" s="305"/>
      <c r="X418" s="305"/>
    </row>
    <row r="419" spans="5:24" s="114" customFormat="1">
      <c r="E419" s="168"/>
      <c r="F419" s="115"/>
      <c r="I419" s="304"/>
      <c r="J419" s="304"/>
      <c r="O419" s="168"/>
      <c r="P419" s="115"/>
      <c r="Q419" s="305"/>
      <c r="R419" s="169"/>
      <c r="S419" s="305"/>
      <c r="T419" s="305"/>
      <c r="U419" s="305"/>
      <c r="V419" s="305"/>
      <c r="W419" s="305"/>
      <c r="X419" s="305"/>
    </row>
    <row r="420" spans="5:24" s="114" customFormat="1">
      <c r="E420" s="168"/>
      <c r="F420" s="115"/>
      <c r="I420" s="304"/>
      <c r="J420" s="304"/>
      <c r="O420" s="168"/>
      <c r="P420" s="115"/>
      <c r="Q420" s="305"/>
      <c r="R420" s="169"/>
      <c r="S420" s="305"/>
      <c r="T420" s="305"/>
      <c r="U420" s="305"/>
      <c r="V420" s="305"/>
      <c r="W420" s="305"/>
      <c r="X420" s="305"/>
    </row>
    <row r="421" spans="5:24" s="114" customFormat="1">
      <c r="E421" s="168"/>
      <c r="F421" s="115"/>
      <c r="I421" s="304"/>
      <c r="J421" s="304"/>
      <c r="O421" s="168"/>
      <c r="P421" s="115"/>
      <c r="Q421" s="305"/>
      <c r="R421" s="169"/>
      <c r="S421" s="305"/>
      <c r="T421" s="305"/>
      <c r="U421" s="305"/>
      <c r="V421" s="305"/>
      <c r="W421" s="305"/>
      <c r="X421" s="305"/>
    </row>
    <row r="422" spans="5:24" s="114" customFormat="1">
      <c r="E422" s="168"/>
      <c r="F422" s="115"/>
      <c r="I422" s="304"/>
      <c r="J422" s="304"/>
      <c r="O422" s="168"/>
      <c r="P422" s="115"/>
      <c r="Q422" s="305"/>
      <c r="R422" s="169"/>
      <c r="S422" s="305"/>
      <c r="T422" s="305"/>
      <c r="U422" s="305"/>
      <c r="V422" s="305"/>
      <c r="W422" s="305"/>
      <c r="X422" s="305"/>
    </row>
    <row r="423" spans="5:24" s="114" customFormat="1">
      <c r="E423" s="168"/>
      <c r="F423" s="115"/>
      <c r="I423" s="304"/>
      <c r="J423" s="304"/>
      <c r="O423" s="168"/>
      <c r="P423" s="115"/>
      <c r="Q423" s="305"/>
      <c r="R423" s="169"/>
      <c r="S423" s="305"/>
      <c r="T423" s="305"/>
      <c r="U423" s="305"/>
      <c r="V423" s="305"/>
      <c r="W423" s="305"/>
      <c r="X423" s="305"/>
    </row>
    <row r="424" spans="5:24" s="114" customFormat="1">
      <c r="E424" s="168"/>
      <c r="F424" s="115"/>
      <c r="I424" s="304"/>
      <c r="J424" s="304"/>
      <c r="O424" s="168"/>
      <c r="P424" s="115"/>
      <c r="Q424" s="305"/>
      <c r="R424" s="169"/>
      <c r="S424" s="305"/>
      <c r="T424" s="305"/>
      <c r="U424" s="305"/>
      <c r="V424" s="305"/>
      <c r="W424" s="305"/>
      <c r="X424" s="305"/>
    </row>
    <row r="425" spans="5:24" s="114" customFormat="1">
      <c r="E425" s="168"/>
      <c r="F425" s="115"/>
      <c r="I425" s="304"/>
      <c r="J425" s="304"/>
      <c r="O425" s="168"/>
      <c r="P425" s="115"/>
      <c r="Q425" s="305"/>
      <c r="R425" s="169"/>
      <c r="S425" s="305"/>
      <c r="T425" s="305"/>
      <c r="U425" s="305"/>
      <c r="V425" s="305"/>
      <c r="W425" s="305"/>
      <c r="X425" s="305"/>
    </row>
    <row r="426" spans="5:24" s="114" customFormat="1">
      <c r="E426" s="168"/>
      <c r="F426" s="115"/>
      <c r="I426" s="304"/>
      <c r="J426" s="304"/>
      <c r="O426" s="168"/>
      <c r="P426" s="115"/>
      <c r="Q426" s="305"/>
      <c r="R426" s="169"/>
      <c r="S426" s="305"/>
      <c r="T426" s="305"/>
      <c r="U426" s="305"/>
      <c r="V426" s="305"/>
      <c r="W426" s="305"/>
      <c r="X426" s="305"/>
    </row>
    <row r="427" spans="5:24" s="114" customFormat="1">
      <c r="E427" s="168"/>
      <c r="F427" s="115"/>
      <c r="I427" s="304"/>
      <c r="J427" s="304"/>
      <c r="O427" s="168"/>
      <c r="P427" s="115"/>
      <c r="Q427" s="305"/>
      <c r="R427" s="169"/>
      <c r="S427" s="305"/>
      <c r="T427" s="305"/>
      <c r="U427" s="305"/>
      <c r="V427" s="305"/>
      <c r="W427" s="305"/>
      <c r="X427" s="305"/>
    </row>
    <row r="428" spans="5:24" s="114" customFormat="1">
      <c r="E428" s="168"/>
      <c r="F428" s="115"/>
      <c r="I428" s="304"/>
      <c r="J428" s="304"/>
      <c r="O428" s="168"/>
      <c r="P428" s="115"/>
      <c r="Q428" s="305"/>
      <c r="R428" s="169"/>
      <c r="S428" s="305"/>
      <c r="T428" s="305"/>
      <c r="U428" s="305"/>
      <c r="V428" s="305"/>
      <c r="W428" s="305"/>
      <c r="X428" s="305"/>
    </row>
    <row r="429" spans="5:24" s="114" customFormat="1">
      <c r="E429" s="168"/>
      <c r="F429" s="115"/>
      <c r="I429" s="304"/>
      <c r="J429" s="304"/>
      <c r="O429" s="168"/>
      <c r="P429" s="115"/>
      <c r="Q429" s="305"/>
      <c r="R429" s="169"/>
      <c r="S429" s="305"/>
      <c r="T429" s="305"/>
      <c r="U429" s="305"/>
      <c r="V429" s="305"/>
      <c r="W429" s="305"/>
      <c r="X429" s="305"/>
    </row>
    <row r="430" spans="5:24" s="114" customFormat="1">
      <c r="E430" s="168"/>
      <c r="F430" s="115"/>
      <c r="I430" s="304"/>
      <c r="J430" s="304"/>
      <c r="O430" s="168"/>
      <c r="P430" s="115"/>
      <c r="Q430" s="305"/>
      <c r="R430" s="169"/>
      <c r="S430" s="305"/>
      <c r="T430" s="305"/>
      <c r="U430" s="305"/>
      <c r="V430" s="305"/>
      <c r="W430" s="305"/>
      <c r="X430" s="305"/>
    </row>
    <row r="431" spans="5:24" s="114" customFormat="1">
      <c r="E431" s="168"/>
      <c r="F431" s="115"/>
      <c r="I431" s="304"/>
      <c r="J431" s="304"/>
      <c r="O431" s="168"/>
      <c r="P431" s="115"/>
      <c r="Q431" s="305"/>
      <c r="R431" s="169"/>
      <c r="S431" s="305"/>
      <c r="T431" s="305"/>
      <c r="U431" s="305"/>
      <c r="V431" s="305"/>
      <c r="W431" s="305"/>
      <c r="X431" s="305"/>
    </row>
    <row r="432" spans="5:24" s="114" customFormat="1">
      <c r="E432" s="168"/>
      <c r="F432" s="115"/>
      <c r="I432" s="304"/>
      <c r="J432" s="304"/>
      <c r="O432" s="168"/>
      <c r="P432" s="115"/>
      <c r="Q432" s="305"/>
      <c r="R432" s="169"/>
      <c r="S432" s="305"/>
      <c r="T432" s="305"/>
      <c r="U432" s="305"/>
      <c r="V432" s="305"/>
      <c r="W432" s="305"/>
      <c r="X432" s="305"/>
    </row>
    <row r="433" spans="5:24" s="114" customFormat="1">
      <c r="E433" s="168"/>
      <c r="F433" s="115"/>
      <c r="I433" s="304"/>
      <c r="J433" s="304"/>
      <c r="O433" s="168"/>
      <c r="P433" s="115"/>
      <c r="Q433" s="305"/>
      <c r="R433" s="169"/>
      <c r="S433" s="305"/>
      <c r="T433" s="305"/>
      <c r="U433" s="305"/>
      <c r="V433" s="305"/>
      <c r="W433" s="305"/>
      <c r="X433" s="305"/>
    </row>
    <row r="434" spans="5:24" s="114" customFormat="1">
      <c r="E434" s="168"/>
      <c r="F434" s="115"/>
      <c r="I434" s="304"/>
      <c r="J434" s="304"/>
      <c r="O434" s="168"/>
      <c r="P434" s="115"/>
      <c r="Q434" s="305"/>
      <c r="R434" s="169"/>
      <c r="S434" s="305"/>
      <c r="T434" s="305"/>
      <c r="U434" s="305"/>
      <c r="V434" s="305"/>
      <c r="W434" s="305"/>
      <c r="X434" s="305"/>
    </row>
    <row r="435" spans="5:24" s="114" customFormat="1">
      <c r="E435" s="168"/>
      <c r="F435" s="115"/>
      <c r="I435" s="304"/>
      <c r="J435" s="304"/>
      <c r="O435" s="168"/>
      <c r="P435" s="115"/>
      <c r="Q435" s="305"/>
      <c r="R435" s="169"/>
      <c r="S435" s="305"/>
      <c r="T435" s="305"/>
      <c r="U435" s="305"/>
      <c r="V435" s="305"/>
      <c r="W435" s="305"/>
      <c r="X435" s="305"/>
    </row>
    <row r="436" spans="5:24" s="114" customFormat="1">
      <c r="E436" s="168"/>
      <c r="F436" s="115"/>
      <c r="I436" s="304"/>
      <c r="J436" s="304"/>
      <c r="O436" s="168"/>
      <c r="P436" s="115"/>
      <c r="Q436" s="305"/>
      <c r="R436" s="169"/>
      <c r="S436" s="305"/>
      <c r="T436" s="305"/>
      <c r="U436" s="305"/>
      <c r="V436" s="305"/>
      <c r="W436" s="305"/>
      <c r="X436" s="305"/>
    </row>
    <row r="437" spans="5:24" s="114" customFormat="1">
      <c r="E437" s="168"/>
      <c r="F437" s="115"/>
      <c r="I437" s="304"/>
      <c r="J437" s="304"/>
      <c r="O437" s="168"/>
      <c r="P437" s="115"/>
      <c r="Q437" s="305"/>
      <c r="R437" s="169"/>
      <c r="S437" s="305"/>
      <c r="T437" s="305"/>
      <c r="U437" s="305"/>
      <c r="V437" s="305"/>
      <c r="W437" s="305"/>
      <c r="X437" s="305"/>
    </row>
    <row r="438" spans="5:24" s="114" customFormat="1">
      <c r="E438" s="168"/>
      <c r="F438" s="115"/>
      <c r="I438" s="304"/>
      <c r="J438" s="304"/>
      <c r="O438" s="168"/>
      <c r="P438" s="115"/>
      <c r="Q438" s="305"/>
      <c r="R438" s="169"/>
      <c r="S438" s="305"/>
      <c r="T438" s="305"/>
      <c r="U438" s="305"/>
      <c r="V438" s="305"/>
      <c r="W438" s="305"/>
      <c r="X438" s="305"/>
    </row>
    <row r="439" spans="5:24" s="114" customFormat="1">
      <c r="E439" s="168"/>
      <c r="F439" s="115"/>
      <c r="I439" s="304"/>
      <c r="J439" s="304"/>
      <c r="O439" s="168"/>
      <c r="P439" s="115"/>
      <c r="Q439" s="305"/>
      <c r="R439" s="169"/>
      <c r="S439" s="305"/>
      <c r="T439" s="305"/>
      <c r="U439" s="305"/>
      <c r="V439" s="305"/>
      <c r="W439" s="305"/>
      <c r="X439" s="305"/>
    </row>
    <row r="440" spans="5:24" s="114" customFormat="1">
      <c r="E440" s="168"/>
      <c r="F440" s="115"/>
      <c r="I440" s="304"/>
      <c r="J440" s="304"/>
      <c r="O440" s="168"/>
      <c r="P440" s="115"/>
      <c r="Q440" s="305"/>
      <c r="R440" s="169"/>
      <c r="S440" s="305"/>
      <c r="T440" s="305"/>
      <c r="U440" s="305"/>
      <c r="V440" s="305"/>
      <c r="W440" s="305"/>
      <c r="X440" s="305"/>
    </row>
    <row r="441" spans="5:24" s="114" customFormat="1">
      <c r="E441" s="168"/>
      <c r="F441" s="115"/>
      <c r="I441" s="304"/>
      <c r="J441" s="304"/>
      <c r="O441" s="168"/>
      <c r="P441" s="115"/>
      <c r="Q441" s="305"/>
      <c r="R441" s="169"/>
      <c r="S441" s="305"/>
      <c r="T441" s="305"/>
      <c r="U441" s="305"/>
      <c r="V441" s="305"/>
      <c r="W441" s="305"/>
      <c r="X441" s="305"/>
    </row>
    <row r="442" spans="5:24" s="114" customFormat="1">
      <c r="E442" s="168"/>
      <c r="F442" s="115"/>
      <c r="I442" s="304"/>
      <c r="J442" s="304"/>
      <c r="O442" s="168"/>
      <c r="P442" s="115"/>
      <c r="Q442" s="305"/>
      <c r="R442" s="169"/>
      <c r="S442" s="305"/>
      <c r="T442" s="305"/>
      <c r="U442" s="305"/>
      <c r="V442" s="305"/>
      <c r="W442" s="305"/>
      <c r="X442" s="305"/>
    </row>
    <row r="443" spans="5:24" s="114" customFormat="1">
      <c r="E443" s="168"/>
      <c r="F443" s="115"/>
      <c r="I443" s="304"/>
      <c r="J443" s="304"/>
      <c r="O443" s="168"/>
      <c r="P443" s="115"/>
      <c r="Q443" s="305"/>
      <c r="R443" s="169"/>
      <c r="S443" s="305"/>
      <c r="T443" s="305"/>
      <c r="U443" s="305"/>
      <c r="V443" s="305"/>
      <c r="W443" s="305"/>
      <c r="X443" s="305"/>
    </row>
    <row r="444" spans="5:24" s="114" customFormat="1">
      <c r="E444" s="168"/>
      <c r="F444" s="115"/>
      <c r="I444" s="304"/>
      <c r="J444" s="304"/>
      <c r="O444" s="168"/>
      <c r="P444" s="115"/>
      <c r="Q444" s="305"/>
      <c r="R444" s="169"/>
      <c r="S444" s="305"/>
      <c r="T444" s="305"/>
      <c r="U444" s="305"/>
      <c r="V444" s="305"/>
      <c r="W444" s="305"/>
      <c r="X444" s="305"/>
    </row>
    <row r="445" spans="5:24" s="114" customFormat="1">
      <c r="E445" s="168"/>
      <c r="F445" s="115"/>
      <c r="I445" s="304"/>
      <c r="J445" s="304"/>
      <c r="O445" s="168"/>
      <c r="P445" s="115"/>
      <c r="Q445" s="305"/>
      <c r="R445" s="169"/>
      <c r="S445" s="305"/>
      <c r="T445" s="305"/>
      <c r="U445" s="305"/>
      <c r="V445" s="305"/>
      <c r="W445" s="305"/>
      <c r="X445" s="305"/>
    </row>
    <row r="446" spans="5:24" s="114" customFormat="1">
      <c r="E446" s="168"/>
      <c r="F446" s="115"/>
      <c r="I446" s="304"/>
      <c r="J446" s="304"/>
      <c r="O446" s="168"/>
      <c r="P446" s="115"/>
      <c r="Q446" s="305"/>
      <c r="R446" s="169"/>
      <c r="S446" s="305"/>
      <c r="T446" s="305"/>
      <c r="U446" s="305"/>
      <c r="V446" s="305"/>
      <c r="W446" s="305"/>
      <c r="X446" s="305"/>
    </row>
    <row r="447" spans="5:24" s="114" customFormat="1">
      <c r="E447" s="168"/>
      <c r="F447" s="115"/>
      <c r="I447" s="304"/>
      <c r="J447" s="304"/>
      <c r="O447" s="168"/>
      <c r="P447" s="115"/>
      <c r="Q447" s="305"/>
      <c r="R447" s="169"/>
      <c r="S447" s="305"/>
      <c r="T447" s="305"/>
      <c r="U447" s="305"/>
      <c r="V447" s="305"/>
      <c r="W447" s="305"/>
      <c r="X447" s="305"/>
    </row>
    <row r="448" spans="5:24" s="114" customFormat="1">
      <c r="E448" s="168"/>
      <c r="F448" s="115"/>
      <c r="I448" s="304"/>
      <c r="J448" s="304"/>
      <c r="O448" s="168"/>
      <c r="P448" s="115"/>
      <c r="Q448" s="305"/>
      <c r="R448" s="169"/>
      <c r="S448" s="305"/>
      <c r="T448" s="305"/>
      <c r="U448" s="305"/>
      <c r="V448" s="305"/>
      <c r="W448" s="305"/>
      <c r="X448" s="305"/>
    </row>
    <row r="449" spans="5:24" s="114" customFormat="1">
      <c r="E449" s="168"/>
      <c r="F449" s="115"/>
      <c r="I449" s="304"/>
      <c r="J449" s="304"/>
      <c r="O449" s="168"/>
      <c r="P449" s="115"/>
      <c r="Q449" s="305"/>
      <c r="R449" s="169"/>
      <c r="S449" s="305"/>
      <c r="T449" s="305"/>
      <c r="U449" s="305"/>
      <c r="V449" s="305"/>
      <c r="W449" s="305"/>
      <c r="X449" s="305"/>
    </row>
    <row r="450" spans="5:24" s="114" customFormat="1">
      <c r="E450" s="168"/>
      <c r="F450" s="115"/>
      <c r="I450" s="304"/>
      <c r="J450" s="304"/>
      <c r="O450" s="168"/>
      <c r="P450" s="115"/>
      <c r="Q450" s="305"/>
      <c r="R450" s="169"/>
      <c r="S450" s="305"/>
      <c r="T450" s="305"/>
      <c r="U450" s="305"/>
      <c r="V450" s="305"/>
      <c r="W450" s="305"/>
      <c r="X450" s="305"/>
    </row>
    <row r="451" spans="5:24" s="114" customFormat="1">
      <c r="E451" s="168"/>
      <c r="F451" s="115"/>
      <c r="I451" s="304"/>
      <c r="J451" s="304"/>
      <c r="O451" s="168"/>
      <c r="P451" s="115"/>
      <c r="Q451" s="305"/>
      <c r="R451" s="169"/>
      <c r="S451" s="305"/>
      <c r="T451" s="305"/>
      <c r="U451" s="305"/>
      <c r="V451" s="305"/>
      <c r="W451" s="305"/>
      <c r="X451" s="305"/>
    </row>
    <row r="452" spans="5:24" s="114" customFormat="1">
      <c r="E452" s="168"/>
      <c r="F452" s="115"/>
      <c r="I452" s="304"/>
      <c r="J452" s="304"/>
      <c r="O452" s="168"/>
      <c r="P452" s="115"/>
      <c r="Q452" s="305"/>
      <c r="R452" s="169"/>
      <c r="S452" s="305"/>
      <c r="T452" s="305"/>
      <c r="U452" s="305"/>
      <c r="V452" s="305"/>
      <c r="W452" s="305"/>
      <c r="X452" s="305"/>
    </row>
    <row r="453" spans="5:24" s="114" customFormat="1">
      <c r="E453" s="168"/>
      <c r="F453" s="115"/>
      <c r="I453" s="304"/>
      <c r="J453" s="304"/>
      <c r="O453" s="168"/>
      <c r="P453" s="115"/>
      <c r="Q453" s="305"/>
      <c r="R453" s="169"/>
      <c r="S453" s="305"/>
      <c r="T453" s="305"/>
      <c r="U453" s="305"/>
      <c r="V453" s="305"/>
      <c r="W453" s="305"/>
      <c r="X453" s="305"/>
    </row>
    <row r="454" spans="5:24" s="114" customFormat="1">
      <c r="E454" s="168"/>
      <c r="F454" s="115"/>
      <c r="I454" s="304"/>
      <c r="J454" s="304"/>
      <c r="O454" s="168"/>
      <c r="P454" s="115"/>
      <c r="Q454" s="305"/>
      <c r="R454" s="169"/>
      <c r="S454" s="305"/>
      <c r="T454" s="305"/>
      <c r="U454" s="305"/>
      <c r="V454" s="305"/>
      <c r="W454" s="305"/>
      <c r="X454" s="305"/>
    </row>
    <row r="455" spans="5:24" s="114" customFormat="1">
      <c r="E455" s="168"/>
      <c r="F455" s="115"/>
      <c r="I455" s="304"/>
      <c r="J455" s="304"/>
      <c r="O455" s="168"/>
      <c r="P455" s="115"/>
      <c r="Q455" s="305"/>
      <c r="R455" s="169"/>
      <c r="S455" s="305"/>
      <c r="T455" s="305"/>
      <c r="U455" s="305"/>
      <c r="V455" s="305"/>
      <c r="W455" s="305"/>
      <c r="X455" s="305"/>
    </row>
    <row r="456" spans="5:24" s="114" customFormat="1">
      <c r="E456" s="168"/>
      <c r="F456" s="115"/>
      <c r="I456" s="304"/>
      <c r="J456" s="304"/>
      <c r="O456" s="168"/>
      <c r="P456" s="115"/>
      <c r="Q456" s="305"/>
      <c r="R456" s="169"/>
      <c r="S456" s="305"/>
      <c r="T456" s="305"/>
      <c r="U456" s="305"/>
      <c r="V456" s="305"/>
      <c r="W456" s="305"/>
      <c r="X456" s="305"/>
    </row>
    <row r="457" spans="5:24" s="114" customFormat="1">
      <c r="E457" s="168"/>
      <c r="F457" s="115"/>
      <c r="I457" s="304"/>
      <c r="J457" s="304"/>
      <c r="O457" s="168"/>
      <c r="P457" s="115"/>
      <c r="Q457" s="305"/>
      <c r="R457" s="169"/>
      <c r="S457" s="305"/>
      <c r="T457" s="305"/>
      <c r="U457" s="305"/>
      <c r="V457" s="305"/>
      <c r="W457" s="305"/>
      <c r="X457" s="305"/>
    </row>
    <row r="458" spans="5:24" s="114" customFormat="1">
      <c r="E458" s="168"/>
      <c r="F458" s="115"/>
      <c r="I458" s="304"/>
      <c r="J458" s="304"/>
      <c r="O458" s="168"/>
      <c r="P458" s="115"/>
      <c r="Q458" s="305"/>
      <c r="R458" s="169"/>
      <c r="S458" s="305"/>
      <c r="T458" s="305"/>
      <c r="U458" s="305"/>
      <c r="V458" s="305"/>
      <c r="W458" s="305"/>
      <c r="X458" s="305"/>
    </row>
    <row r="459" spans="5:24" s="114" customFormat="1">
      <c r="E459" s="168"/>
      <c r="F459" s="115"/>
      <c r="I459" s="304"/>
      <c r="J459" s="304"/>
      <c r="O459" s="168"/>
      <c r="P459" s="115"/>
      <c r="Q459" s="305"/>
      <c r="R459" s="169"/>
      <c r="S459" s="305"/>
      <c r="T459" s="305"/>
      <c r="U459" s="305"/>
      <c r="V459" s="305"/>
      <c r="W459" s="305"/>
      <c r="X459" s="305"/>
    </row>
    <row r="460" spans="5:24" s="114" customFormat="1">
      <c r="E460" s="168"/>
      <c r="F460" s="115"/>
      <c r="I460" s="304"/>
      <c r="J460" s="304"/>
      <c r="O460" s="168"/>
      <c r="P460" s="115"/>
      <c r="Q460" s="305"/>
      <c r="R460" s="169"/>
      <c r="S460" s="305"/>
      <c r="T460" s="305"/>
      <c r="U460" s="305"/>
      <c r="V460" s="305"/>
      <c r="W460" s="305"/>
      <c r="X460" s="305"/>
    </row>
    <row r="461" spans="5:24" s="114" customFormat="1">
      <c r="E461" s="168"/>
      <c r="F461" s="115"/>
      <c r="I461" s="304"/>
      <c r="J461" s="304"/>
      <c r="O461" s="168"/>
      <c r="P461" s="115"/>
      <c r="Q461" s="305"/>
      <c r="R461" s="169"/>
      <c r="S461" s="305"/>
      <c r="T461" s="305"/>
      <c r="U461" s="305"/>
      <c r="V461" s="305"/>
      <c r="W461" s="305"/>
      <c r="X461" s="305"/>
    </row>
    <row r="462" spans="5:24" s="114" customFormat="1">
      <c r="E462" s="168"/>
      <c r="F462" s="115"/>
      <c r="I462" s="304"/>
      <c r="J462" s="304"/>
      <c r="O462" s="168"/>
      <c r="P462" s="115"/>
      <c r="Q462" s="305"/>
      <c r="R462" s="169"/>
      <c r="S462" s="305"/>
      <c r="T462" s="305"/>
      <c r="U462" s="305"/>
      <c r="V462" s="305"/>
      <c r="W462" s="305"/>
      <c r="X462" s="305"/>
    </row>
    <row r="463" spans="5:24" s="114" customFormat="1">
      <c r="E463" s="168"/>
      <c r="F463" s="115"/>
      <c r="I463" s="304"/>
      <c r="J463" s="304"/>
      <c r="O463" s="168"/>
      <c r="P463" s="115"/>
      <c r="Q463" s="305"/>
      <c r="R463" s="169"/>
      <c r="S463" s="305"/>
      <c r="T463" s="305"/>
      <c r="U463" s="305"/>
      <c r="V463" s="305"/>
      <c r="W463" s="305"/>
      <c r="X463" s="305"/>
    </row>
    <row r="464" spans="5:24" s="114" customFormat="1">
      <c r="E464" s="168"/>
      <c r="F464" s="115"/>
      <c r="I464" s="304"/>
      <c r="J464" s="304"/>
      <c r="O464" s="168"/>
      <c r="P464" s="115"/>
      <c r="Q464" s="305"/>
      <c r="R464" s="169"/>
      <c r="S464" s="305"/>
      <c r="T464" s="305"/>
      <c r="U464" s="305"/>
      <c r="V464" s="305"/>
      <c r="W464" s="305"/>
      <c r="X464" s="305"/>
    </row>
    <row r="465" spans="5:24" s="114" customFormat="1">
      <c r="E465" s="168"/>
      <c r="F465" s="115"/>
      <c r="I465" s="304"/>
      <c r="J465" s="304"/>
      <c r="O465" s="168"/>
      <c r="P465" s="115"/>
      <c r="Q465" s="305"/>
      <c r="R465" s="169"/>
      <c r="S465" s="305"/>
      <c r="T465" s="305"/>
      <c r="U465" s="305"/>
      <c r="V465" s="305"/>
      <c r="W465" s="305"/>
      <c r="X465" s="305"/>
    </row>
    <row r="466" spans="5:24" s="114" customFormat="1">
      <c r="E466" s="168"/>
      <c r="F466" s="115"/>
      <c r="I466" s="304"/>
      <c r="J466" s="304"/>
      <c r="O466" s="168"/>
      <c r="P466" s="115"/>
      <c r="Q466" s="305"/>
      <c r="R466" s="169"/>
      <c r="S466" s="305"/>
      <c r="T466" s="305"/>
      <c r="U466" s="305"/>
      <c r="V466" s="305"/>
      <c r="W466" s="305"/>
      <c r="X466" s="305"/>
    </row>
    <row r="467" spans="5:24" s="114" customFormat="1">
      <c r="E467" s="168"/>
      <c r="F467" s="115"/>
      <c r="I467" s="304"/>
      <c r="J467" s="304"/>
      <c r="O467" s="168"/>
      <c r="P467" s="115"/>
      <c r="Q467" s="305"/>
      <c r="R467" s="169"/>
      <c r="S467" s="305"/>
      <c r="T467" s="305"/>
      <c r="U467" s="305"/>
      <c r="V467" s="305"/>
      <c r="W467" s="305"/>
      <c r="X467" s="305"/>
    </row>
    <row r="468" spans="5:24" s="114" customFormat="1">
      <c r="E468" s="168"/>
      <c r="F468" s="115"/>
      <c r="I468" s="304"/>
      <c r="J468" s="304"/>
      <c r="O468" s="168"/>
      <c r="P468" s="115"/>
      <c r="Q468" s="305"/>
      <c r="R468" s="169"/>
      <c r="S468" s="305"/>
      <c r="T468" s="305"/>
      <c r="U468" s="305"/>
      <c r="V468" s="305"/>
      <c r="W468" s="305"/>
      <c r="X468" s="305"/>
    </row>
    <row r="469" spans="5:24" s="114" customFormat="1">
      <c r="E469" s="168"/>
      <c r="F469" s="115"/>
      <c r="I469" s="304"/>
      <c r="J469" s="304"/>
      <c r="O469" s="168"/>
      <c r="P469" s="115"/>
      <c r="Q469" s="305"/>
      <c r="R469" s="169"/>
      <c r="S469" s="305"/>
      <c r="T469" s="305"/>
      <c r="U469" s="305"/>
      <c r="V469" s="305"/>
      <c r="W469" s="305"/>
      <c r="X469" s="305"/>
    </row>
    <row r="470" spans="5:24" s="114" customFormat="1">
      <c r="E470" s="168"/>
      <c r="F470" s="115"/>
      <c r="I470" s="304"/>
      <c r="J470" s="304"/>
      <c r="O470" s="168"/>
      <c r="P470" s="115"/>
      <c r="Q470" s="305"/>
      <c r="R470" s="169"/>
      <c r="S470" s="305"/>
      <c r="T470" s="305"/>
      <c r="U470" s="305"/>
      <c r="V470" s="305"/>
      <c r="W470" s="305"/>
      <c r="X470" s="305"/>
    </row>
    <row r="471" spans="5:24" s="114" customFormat="1">
      <c r="E471" s="168"/>
      <c r="F471" s="115"/>
      <c r="I471" s="304"/>
      <c r="J471" s="304"/>
      <c r="O471" s="168"/>
      <c r="P471" s="115"/>
      <c r="Q471" s="305"/>
      <c r="R471" s="169"/>
      <c r="S471" s="305"/>
      <c r="T471" s="305"/>
      <c r="U471" s="305"/>
      <c r="V471" s="305"/>
      <c r="W471" s="305"/>
      <c r="X471" s="305"/>
    </row>
    <row r="472" spans="5:24" s="114" customFormat="1">
      <c r="E472" s="168"/>
      <c r="F472" s="115"/>
      <c r="I472" s="304"/>
      <c r="J472" s="304"/>
      <c r="O472" s="168"/>
      <c r="P472" s="115"/>
      <c r="Q472" s="305"/>
      <c r="R472" s="169"/>
      <c r="S472" s="305"/>
      <c r="T472" s="305"/>
      <c r="U472" s="305"/>
      <c r="V472" s="305"/>
      <c r="W472" s="305"/>
      <c r="X472" s="305"/>
    </row>
    <row r="473" spans="5:24" s="114" customFormat="1">
      <c r="E473" s="168"/>
      <c r="F473" s="115"/>
      <c r="I473" s="304"/>
      <c r="J473" s="304"/>
      <c r="O473" s="168"/>
      <c r="P473" s="115"/>
      <c r="Q473" s="305"/>
      <c r="R473" s="169"/>
      <c r="S473" s="305"/>
      <c r="T473" s="305"/>
      <c r="U473" s="305"/>
      <c r="V473" s="305"/>
      <c r="W473" s="305"/>
      <c r="X473" s="305"/>
    </row>
    <row r="474" spans="5:24" s="114" customFormat="1">
      <c r="E474" s="168"/>
      <c r="F474" s="115"/>
      <c r="I474" s="304"/>
      <c r="J474" s="304"/>
      <c r="O474" s="168"/>
      <c r="P474" s="115"/>
      <c r="Q474" s="305"/>
      <c r="R474" s="169"/>
      <c r="S474" s="305"/>
      <c r="T474" s="305"/>
      <c r="U474" s="305"/>
      <c r="V474" s="305"/>
      <c r="W474" s="305"/>
      <c r="X474" s="305"/>
    </row>
    <row r="475" spans="5:24" s="114" customFormat="1">
      <c r="E475" s="168"/>
      <c r="F475" s="115"/>
      <c r="I475" s="304"/>
      <c r="J475" s="304"/>
      <c r="O475" s="168"/>
      <c r="P475" s="115"/>
      <c r="Q475" s="305"/>
      <c r="R475" s="169"/>
      <c r="S475" s="305"/>
      <c r="T475" s="305"/>
      <c r="U475" s="305"/>
      <c r="V475" s="305"/>
      <c r="W475" s="305"/>
      <c r="X475" s="305"/>
    </row>
    <row r="476" spans="5:24" s="114" customFormat="1">
      <c r="E476" s="168"/>
      <c r="F476" s="115"/>
      <c r="I476" s="304"/>
      <c r="J476" s="304"/>
      <c r="O476" s="168"/>
      <c r="P476" s="115"/>
      <c r="Q476" s="305"/>
      <c r="R476" s="169"/>
      <c r="S476" s="305"/>
      <c r="T476" s="305"/>
      <c r="U476" s="305"/>
      <c r="V476" s="305"/>
      <c r="W476" s="305"/>
      <c r="X476" s="305"/>
    </row>
    <row r="477" spans="5:24" s="114" customFormat="1">
      <c r="E477" s="168"/>
      <c r="F477" s="115"/>
      <c r="I477" s="304"/>
      <c r="J477" s="304"/>
      <c r="O477" s="168"/>
      <c r="P477" s="115"/>
      <c r="Q477" s="305"/>
      <c r="R477" s="169"/>
      <c r="S477" s="305"/>
      <c r="T477" s="305"/>
      <c r="U477" s="305"/>
      <c r="V477" s="305"/>
      <c r="W477" s="305"/>
      <c r="X477" s="305"/>
    </row>
    <row r="478" spans="5:24" s="114" customFormat="1">
      <c r="E478" s="168"/>
      <c r="F478" s="115"/>
      <c r="I478" s="304"/>
      <c r="J478" s="304"/>
      <c r="O478" s="168"/>
      <c r="P478" s="115"/>
      <c r="Q478" s="305"/>
      <c r="R478" s="169"/>
      <c r="S478" s="305"/>
      <c r="T478" s="305"/>
      <c r="U478" s="305"/>
      <c r="V478" s="305"/>
      <c r="W478" s="305"/>
      <c r="X478" s="305"/>
    </row>
    <row r="479" spans="5:24" s="114" customFormat="1">
      <c r="E479" s="168"/>
      <c r="F479" s="115"/>
      <c r="I479" s="304"/>
      <c r="J479" s="304"/>
      <c r="O479" s="168"/>
      <c r="P479" s="115"/>
      <c r="Q479" s="305"/>
      <c r="R479" s="169"/>
      <c r="S479" s="305"/>
      <c r="T479" s="305"/>
      <c r="U479" s="305"/>
      <c r="V479" s="305"/>
      <c r="W479" s="305"/>
      <c r="X479" s="305"/>
    </row>
    <row r="480" spans="5:24" s="114" customFormat="1">
      <c r="E480" s="168"/>
      <c r="F480" s="115"/>
      <c r="I480" s="304"/>
      <c r="J480" s="304"/>
      <c r="O480" s="168"/>
      <c r="P480" s="115"/>
      <c r="Q480" s="305"/>
      <c r="R480" s="169"/>
      <c r="S480" s="305"/>
      <c r="T480" s="305"/>
      <c r="U480" s="305"/>
      <c r="V480" s="305"/>
      <c r="W480" s="305"/>
      <c r="X480" s="305"/>
    </row>
    <row r="481" spans="5:24" s="114" customFormat="1">
      <c r="E481" s="168"/>
      <c r="F481" s="115"/>
      <c r="I481" s="304"/>
      <c r="J481" s="304"/>
      <c r="O481" s="168"/>
      <c r="P481" s="115"/>
      <c r="Q481" s="305"/>
      <c r="R481" s="169"/>
      <c r="S481" s="305"/>
      <c r="T481" s="305"/>
      <c r="U481" s="305"/>
      <c r="V481" s="305"/>
      <c r="W481" s="305"/>
      <c r="X481" s="305"/>
    </row>
    <row r="482" spans="5:24" s="114" customFormat="1">
      <c r="E482" s="168"/>
      <c r="F482" s="115"/>
      <c r="I482" s="304"/>
      <c r="J482" s="304"/>
      <c r="O482" s="168"/>
      <c r="P482" s="115"/>
      <c r="Q482" s="305"/>
      <c r="R482" s="169"/>
      <c r="S482" s="305"/>
      <c r="T482" s="305"/>
      <c r="U482" s="305"/>
      <c r="V482" s="305"/>
      <c r="W482" s="305"/>
      <c r="X482" s="305"/>
    </row>
    <row r="483" spans="5:24" s="114" customFormat="1">
      <c r="E483" s="168"/>
      <c r="F483" s="115"/>
      <c r="I483" s="304"/>
      <c r="J483" s="304"/>
      <c r="O483" s="168"/>
      <c r="P483" s="115"/>
      <c r="Q483" s="305"/>
      <c r="R483" s="169"/>
      <c r="S483" s="305"/>
      <c r="T483" s="305"/>
      <c r="U483" s="305"/>
      <c r="V483" s="305"/>
      <c r="W483" s="305"/>
      <c r="X483" s="305"/>
    </row>
    <row r="484" spans="5:24" s="114" customFormat="1">
      <c r="E484" s="168"/>
      <c r="F484" s="115"/>
      <c r="I484" s="304"/>
      <c r="J484" s="304"/>
      <c r="O484" s="168"/>
      <c r="P484" s="115"/>
      <c r="Q484" s="305"/>
      <c r="R484" s="169"/>
      <c r="S484" s="305"/>
      <c r="T484" s="305"/>
      <c r="U484" s="305"/>
      <c r="V484" s="305"/>
      <c r="W484" s="305"/>
      <c r="X484" s="305"/>
    </row>
    <row r="485" spans="5:24" s="114" customFormat="1">
      <c r="E485" s="168"/>
      <c r="F485" s="115"/>
      <c r="I485" s="304"/>
      <c r="J485" s="304"/>
      <c r="O485" s="168"/>
      <c r="P485" s="115"/>
      <c r="Q485" s="305"/>
      <c r="R485" s="169"/>
      <c r="S485" s="305"/>
      <c r="T485" s="305"/>
      <c r="U485" s="305"/>
      <c r="V485" s="305"/>
      <c r="W485" s="305"/>
      <c r="X485" s="305"/>
    </row>
    <row r="486" spans="5:24" s="114" customFormat="1">
      <c r="E486" s="168"/>
      <c r="F486" s="115"/>
      <c r="I486" s="304"/>
      <c r="J486" s="304"/>
      <c r="O486" s="168"/>
      <c r="P486" s="115"/>
      <c r="Q486" s="305"/>
      <c r="R486" s="169"/>
      <c r="S486" s="305"/>
      <c r="T486" s="305"/>
      <c r="U486" s="305"/>
      <c r="V486" s="305"/>
      <c r="W486" s="305"/>
      <c r="X486" s="305"/>
    </row>
    <row r="487" spans="5:24" s="114" customFormat="1">
      <c r="E487" s="168"/>
      <c r="F487" s="115"/>
      <c r="I487" s="304"/>
      <c r="J487" s="304"/>
      <c r="O487" s="168"/>
      <c r="P487" s="115"/>
      <c r="Q487" s="305"/>
      <c r="R487" s="169"/>
      <c r="S487" s="305"/>
      <c r="T487" s="305"/>
      <c r="U487" s="305"/>
      <c r="V487" s="305"/>
      <c r="W487" s="305"/>
      <c r="X487" s="305"/>
    </row>
    <row r="488" spans="5:24" s="114" customFormat="1">
      <c r="E488" s="168"/>
      <c r="F488" s="115"/>
      <c r="I488" s="304"/>
      <c r="J488" s="304"/>
      <c r="O488" s="168"/>
      <c r="P488" s="115"/>
      <c r="Q488" s="305"/>
      <c r="R488" s="169"/>
      <c r="S488" s="305"/>
      <c r="T488" s="305"/>
      <c r="U488" s="305"/>
      <c r="V488" s="305"/>
      <c r="W488" s="305"/>
      <c r="X488" s="305"/>
    </row>
    <row r="489" spans="5:24" s="114" customFormat="1">
      <c r="E489" s="168"/>
      <c r="F489" s="115"/>
      <c r="I489" s="304"/>
      <c r="J489" s="304"/>
      <c r="O489" s="168"/>
      <c r="P489" s="115"/>
      <c r="Q489" s="305"/>
      <c r="R489" s="169"/>
      <c r="S489" s="305"/>
      <c r="T489" s="305"/>
      <c r="U489" s="305"/>
      <c r="V489" s="305"/>
      <c r="W489" s="305"/>
      <c r="X489" s="305"/>
    </row>
    <row r="490" spans="5:24" s="114" customFormat="1">
      <c r="E490" s="168"/>
      <c r="F490" s="115"/>
      <c r="I490" s="304"/>
      <c r="J490" s="304"/>
      <c r="O490" s="168"/>
      <c r="P490" s="115"/>
      <c r="Q490" s="305"/>
      <c r="R490" s="169"/>
      <c r="S490" s="305"/>
      <c r="T490" s="305"/>
      <c r="U490" s="305"/>
      <c r="V490" s="305"/>
      <c r="W490" s="305"/>
      <c r="X490" s="305"/>
    </row>
    <row r="491" spans="5:24" s="114" customFormat="1">
      <c r="E491" s="168"/>
      <c r="F491" s="115"/>
      <c r="I491" s="304"/>
      <c r="J491" s="304"/>
      <c r="O491" s="168"/>
      <c r="P491" s="115"/>
      <c r="Q491" s="305"/>
      <c r="R491" s="169"/>
      <c r="S491" s="305"/>
      <c r="T491" s="305"/>
      <c r="U491" s="305"/>
      <c r="V491" s="305"/>
      <c r="W491" s="305"/>
      <c r="X491" s="305"/>
    </row>
    <row r="492" spans="5:24" s="114" customFormat="1">
      <c r="E492" s="168"/>
      <c r="F492" s="115"/>
      <c r="I492" s="304"/>
      <c r="J492" s="304"/>
      <c r="O492" s="168"/>
      <c r="P492" s="115"/>
      <c r="Q492" s="305"/>
      <c r="R492" s="169"/>
      <c r="S492" s="305"/>
      <c r="T492" s="305"/>
      <c r="U492" s="305"/>
      <c r="V492" s="305"/>
      <c r="W492" s="305"/>
      <c r="X492" s="305"/>
    </row>
    <row r="493" spans="5:24" s="114" customFormat="1">
      <c r="E493" s="168"/>
      <c r="F493" s="115"/>
      <c r="I493" s="304"/>
      <c r="J493" s="304"/>
      <c r="O493" s="168"/>
      <c r="P493" s="115"/>
      <c r="Q493" s="305"/>
      <c r="R493" s="169"/>
      <c r="S493" s="305"/>
      <c r="T493" s="305"/>
      <c r="U493" s="305"/>
      <c r="V493" s="305"/>
      <c r="W493" s="305"/>
      <c r="X493" s="305"/>
    </row>
    <row r="494" spans="5:24" s="114" customFormat="1">
      <c r="E494" s="168"/>
      <c r="F494" s="115"/>
      <c r="I494" s="304"/>
      <c r="J494" s="304"/>
      <c r="O494" s="168"/>
      <c r="P494" s="115"/>
      <c r="Q494" s="305"/>
      <c r="R494" s="169"/>
      <c r="S494" s="305"/>
      <c r="T494" s="305"/>
      <c r="U494" s="305"/>
      <c r="V494" s="305"/>
      <c r="W494" s="305"/>
      <c r="X494" s="305"/>
    </row>
    <row r="495" spans="5:24" s="114" customFormat="1">
      <c r="E495" s="168"/>
      <c r="F495" s="115"/>
      <c r="I495" s="304"/>
      <c r="J495" s="304"/>
      <c r="O495" s="168"/>
      <c r="P495" s="115"/>
      <c r="Q495" s="305"/>
      <c r="R495" s="169"/>
      <c r="S495" s="305"/>
      <c r="T495" s="305"/>
      <c r="U495" s="305"/>
      <c r="V495" s="305"/>
      <c r="W495" s="305"/>
      <c r="X495" s="305"/>
    </row>
    <row r="496" spans="5:24" s="114" customFormat="1">
      <c r="E496" s="168"/>
      <c r="F496" s="115"/>
      <c r="I496" s="304"/>
      <c r="J496" s="304"/>
      <c r="O496" s="168"/>
      <c r="P496" s="115"/>
      <c r="Q496" s="305"/>
      <c r="R496" s="169"/>
      <c r="S496" s="305"/>
      <c r="T496" s="305"/>
      <c r="U496" s="305"/>
      <c r="V496" s="305"/>
      <c r="W496" s="305"/>
      <c r="X496" s="305"/>
    </row>
    <row r="497" spans="5:24" s="114" customFormat="1">
      <c r="E497" s="168"/>
      <c r="F497" s="115"/>
      <c r="I497" s="304"/>
      <c r="J497" s="304"/>
      <c r="O497" s="168"/>
      <c r="P497" s="115"/>
      <c r="Q497" s="305"/>
      <c r="R497" s="169"/>
      <c r="S497" s="305"/>
      <c r="T497" s="305"/>
      <c r="U497" s="305"/>
      <c r="V497" s="305"/>
      <c r="W497" s="305"/>
      <c r="X497" s="305"/>
    </row>
    <row r="498" spans="5:24" s="114" customFormat="1">
      <c r="E498" s="168"/>
      <c r="F498" s="115"/>
      <c r="I498" s="304"/>
      <c r="J498" s="304"/>
      <c r="O498" s="168"/>
      <c r="P498" s="115"/>
      <c r="Q498" s="305"/>
      <c r="R498" s="169"/>
      <c r="S498" s="305"/>
      <c r="T498" s="305"/>
      <c r="U498" s="305"/>
      <c r="V498" s="305"/>
      <c r="W498" s="305"/>
      <c r="X498" s="305"/>
    </row>
    <row r="499" spans="5:24" s="114" customFormat="1">
      <c r="E499" s="168"/>
      <c r="F499" s="115"/>
      <c r="I499" s="304"/>
      <c r="J499" s="304"/>
      <c r="O499" s="168"/>
      <c r="P499" s="115"/>
      <c r="Q499" s="305"/>
      <c r="R499" s="169"/>
      <c r="S499" s="305"/>
      <c r="T499" s="305"/>
      <c r="U499" s="305"/>
      <c r="V499" s="305"/>
      <c r="W499" s="305"/>
      <c r="X499" s="305"/>
    </row>
    <row r="500" spans="5:24" s="114" customFormat="1">
      <c r="E500" s="168"/>
      <c r="F500" s="115"/>
      <c r="I500" s="304"/>
      <c r="J500" s="304"/>
      <c r="O500" s="168"/>
      <c r="P500" s="115"/>
      <c r="Q500" s="305"/>
      <c r="R500" s="169"/>
      <c r="S500" s="305"/>
      <c r="T500" s="305"/>
      <c r="U500" s="305"/>
      <c r="V500" s="305"/>
      <c r="W500" s="305"/>
      <c r="X500" s="305"/>
    </row>
    <row r="501" spans="5:24" s="114" customFormat="1">
      <c r="E501" s="168"/>
      <c r="F501" s="115"/>
      <c r="I501" s="304"/>
      <c r="J501" s="304"/>
      <c r="O501" s="168"/>
      <c r="P501" s="115"/>
      <c r="Q501" s="305"/>
      <c r="R501" s="169"/>
      <c r="S501" s="305"/>
      <c r="T501" s="305"/>
      <c r="U501" s="305"/>
      <c r="V501" s="305"/>
      <c r="W501" s="305"/>
      <c r="X501" s="305"/>
    </row>
    <row r="502" spans="5:24" s="114" customFormat="1">
      <c r="E502" s="168"/>
      <c r="F502" s="115"/>
      <c r="I502" s="304"/>
      <c r="J502" s="304"/>
      <c r="O502" s="168"/>
      <c r="P502" s="115"/>
      <c r="Q502" s="305"/>
      <c r="R502" s="169"/>
      <c r="S502" s="305"/>
      <c r="T502" s="305"/>
      <c r="U502" s="305"/>
      <c r="V502" s="305"/>
      <c r="W502" s="305"/>
      <c r="X502" s="305"/>
    </row>
    <row r="503" spans="5:24" s="114" customFormat="1">
      <c r="E503" s="168"/>
      <c r="F503" s="115"/>
      <c r="I503" s="304"/>
      <c r="J503" s="304"/>
      <c r="O503" s="168"/>
      <c r="P503" s="115"/>
      <c r="Q503" s="305"/>
      <c r="R503" s="169"/>
      <c r="S503" s="305"/>
      <c r="T503" s="305"/>
      <c r="U503" s="305"/>
      <c r="V503" s="305"/>
      <c r="W503" s="305"/>
      <c r="X503" s="305"/>
    </row>
    <row r="504" spans="5:24" s="114" customFormat="1">
      <c r="E504" s="168"/>
      <c r="F504" s="115"/>
      <c r="I504" s="304"/>
      <c r="J504" s="304"/>
      <c r="O504" s="168"/>
      <c r="P504" s="115"/>
      <c r="Q504" s="305"/>
      <c r="R504" s="169"/>
      <c r="S504" s="305"/>
      <c r="T504" s="305"/>
      <c r="U504" s="305"/>
      <c r="V504" s="305"/>
      <c r="W504" s="305"/>
      <c r="X504" s="305"/>
    </row>
    <row r="505" spans="5:24" s="114" customFormat="1">
      <c r="E505" s="168"/>
      <c r="F505" s="115"/>
      <c r="I505" s="304"/>
      <c r="J505" s="304"/>
      <c r="O505" s="168"/>
      <c r="P505" s="115"/>
      <c r="Q505" s="305"/>
      <c r="R505" s="169"/>
      <c r="S505" s="305"/>
      <c r="T505" s="305"/>
      <c r="U505" s="305"/>
      <c r="V505" s="305"/>
      <c r="W505" s="305"/>
      <c r="X505" s="305"/>
    </row>
    <row r="506" spans="5:24" s="114" customFormat="1">
      <c r="E506" s="168"/>
      <c r="F506" s="115"/>
      <c r="I506" s="304"/>
      <c r="J506" s="304"/>
      <c r="O506" s="168"/>
      <c r="P506" s="115"/>
      <c r="Q506" s="305"/>
      <c r="R506" s="169"/>
      <c r="S506" s="305"/>
      <c r="T506" s="305"/>
      <c r="U506" s="305"/>
      <c r="V506" s="305"/>
      <c r="W506" s="305"/>
      <c r="X506" s="305"/>
    </row>
    <row r="507" spans="5:24" s="114" customFormat="1">
      <c r="E507" s="168"/>
      <c r="F507" s="115"/>
      <c r="I507" s="304"/>
      <c r="J507" s="304"/>
      <c r="O507" s="168"/>
      <c r="P507" s="115"/>
      <c r="Q507" s="305"/>
      <c r="R507" s="169"/>
      <c r="S507" s="305"/>
      <c r="T507" s="305"/>
      <c r="U507" s="305"/>
      <c r="V507" s="305"/>
      <c r="W507" s="305"/>
      <c r="X507" s="305"/>
    </row>
    <row r="508" spans="5:24" s="114" customFormat="1">
      <c r="E508" s="168"/>
      <c r="F508" s="115"/>
      <c r="I508" s="304"/>
      <c r="J508" s="304"/>
      <c r="O508" s="168"/>
      <c r="P508" s="115"/>
      <c r="Q508" s="305"/>
      <c r="R508" s="169"/>
      <c r="S508" s="305"/>
      <c r="T508" s="305"/>
      <c r="U508" s="305"/>
      <c r="V508" s="305"/>
      <c r="W508" s="305"/>
      <c r="X508" s="305"/>
    </row>
    <row r="509" spans="5:24" s="114" customFormat="1">
      <c r="E509" s="168"/>
      <c r="F509" s="115"/>
      <c r="I509" s="304"/>
      <c r="J509" s="304"/>
      <c r="O509" s="168"/>
      <c r="P509" s="115"/>
      <c r="Q509" s="305"/>
      <c r="R509" s="169"/>
      <c r="S509" s="305"/>
      <c r="T509" s="305"/>
      <c r="U509" s="305"/>
      <c r="V509" s="305"/>
      <c r="W509" s="305"/>
      <c r="X509" s="305"/>
    </row>
    <row r="510" spans="5:24" s="114" customFormat="1">
      <c r="E510" s="168"/>
      <c r="F510" s="115"/>
      <c r="I510" s="304"/>
      <c r="J510" s="304"/>
      <c r="O510" s="168"/>
      <c r="P510" s="115"/>
      <c r="Q510" s="305"/>
      <c r="R510" s="169"/>
      <c r="S510" s="305"/>
      <c r="T510" s="305"/>
      <c r="U510" s="305"/>
      <c r="V510" s="305"/>
      <c r="W510" s="305"/>
      <c r="X510" s="305"/>
    </row>
    <row r="511" spans="5:24" s="114" customFormat="1">
      <c r="E511" s="168"/>
      <c r="F511" s="115"/>
      <c r="I511" s="304"/>
      <c r="J511" s="304"/>
      <c r="O511" s="168"/>
      <c r="P511" s="115"/>
      <c r="Q511" s="305"/>
      <c r="R511" s="169"/>
      <c r="S511" s="305"/>
      <c r="T511" s="305"/>
      <c r="U511" s="305"/>
      <c r="V511" s="305"/>
      <c r="W511" s="305"/>
      <c r="X511" s="305"/>
    </row>
    <row r="512" spans="5:24" s="114" customFormat="1">
      <c r="E512" s="168"/>
      <c r="F512" s="115"/>
      <c r="I512" s="304"/>
      <c r="J512" s="304"/>
      <c r="O512" s="168"/>
      <c r="P512" s="115"/>
      <c r="Q512" s="305"/>
      <c r="R512" s="169"/>
      <c r="S512" s="305"/>
      <c r="T512" s="305"/>
      <c r="U512" s="305"/>
      <c r="V512" s="305"/>
      <c r="W512" s="305"/>
      <c r="X512" s="305"/>
    </row>
    <row r="513" spans="5:24" s="114" customFormat="1">
      <c r="E513" s="168"/>
      <c r="F513" s="115"/>
      <c r="I513" s="304"/>
      <c r="J513" s="304"/>
      <c r="O513" s="168"/>
      <c r="P513" s="115"/>
      <c r="Q513" s="305"/>
      <c r="R513" s="169"/>
      <c r="S513" s="305"/>
      <c r="T513" s="305"/>
      <c r="U513" s="305"/>
      <c r="V513" s="305"/>
      <c r="W513" s="305"/>
      <c r="X513" s="305"/>
    </row>
    <row r="514" spans="5:24" s="114" customFormat="1">
      <c r="E514" s="168"/>
      <c r="F514" s="115"/>
      <c r="I514" s="304"/>
      <c r="J514" s="304"/>
      <c r="O514" s="168"/>
      <c r="P514" s="115"/>
      <c r="Q514" s="305"/>
      <c r="R514" s="169"/>
      <c r="S514" s="305"/>
      <c r="T514" s="305"/>
      <c r="U514" s="305"/>
      <c r="V514" s="305"/>
      <c r="W514" s="305"/>
      <c r="X514" s="305"/>
    </row>
    <row r="515" spans="5:24" s="114" customFormat="1">
      <c r="E515" s="168"/>
      <c r="F515" s="115"/>
      <c r="I515" s="304"/>
      <c r="J515" s="304"/>
      <c r="O515" s="168"/>
      <c r="P515" s="115"/>
      <c r="Q515" s="305"/>
      <c r="R515" s="169"/>
      <c r="S515" s="305"/>
      <c r="T515" s="305"/>
      <c r="U515" s="305"/>
      <c r="V515" s="305"/>
      <c r="W515" s="305"/>
      <c r="X515" s="305"/>
    </row>
    <row r="516" spans="5:24" s="114" customFormat="1">
      <c r="E516" s="168"/>
      <c r="F516" s="115"/>
      <c r="I516" s="304"/>
      <c r="J516" s="304"/>
      <c r="O516" s="168"/>
      <c r="P516" s="115"/>
      <c r="Q516" s="305"/>
      <c r="R516" s="169"/>
      <c r="S516" s="305"/>
      <c r="T516" s="305"/>
      <c r="U516" s="305"/>
      <c r="V516" s="305"/>
      <c r="W516" s="305"/>
      <c r="X516" s="305"/>
    </row>
    <row r="517" spans="5:24" s="114" customFormat="1">
      <c r="E517" s="168"/>
      <c r="F517" s="115"/>
      <c r="I517" s="304"/>
      <c r="J517" s="304"/>
      <c r="O517" s="168"/>
      <c r="P517" s="115"/>
      <c r="Q517" s="305"/>
      <c r="R517" s="169"/>
      <c r="S517" s="305"/>
      <c r="T517" s="305"/>
      <c r="U517" s="305"/>
      <c r="V517" s="305"/>
      <c r="W517" s="305"/>
      <c r="X517" s="305"/>
    </row>
    <row r="518" spans="5:24" s="114" customFormat="1">
      <c r="E518" s="168"/>
      <c r="F518" s="115"/>
      <c r="I518" s="304"/>
      <c r="J518" s="304"/>
      <c r="O518" s="168"/>
      <c r="P518" s="115"/>
      <c r="Q518" s="305"/>
      <c r="R518" s="169"/>
      <c r="S518" s="305"/>
      <c r="T518" s="305"/>
      <c r="U518" s="305"/>
      <c r="V518" s="305"/>
      <c r="W518" s="305"/>
      <c r="X518" s="305"/>
    </row>
    <row r="519" spans="5:24" s="114" customFormat="1">
      <c r="E519" s="168"/>
      <c r="F519" s="115"/>
      <c r="I519" s="304"/>
      <c r="J519" s="304"/>
      <c r="O519" s="168"/>
      <c r="P519" s="115"/>
      <c r="Q519" s="305"/>
      <c r="R519" s="169"/>
      <c r="S519" s="305"/>
      <c r="T519" s="305"/>
      <c r="U519" s="305"/>
      <c r="V519" s="305"/>
      <c r="W519" s="305"/>
      <c r="X519" s="305"/>
    </row>
    <row r="520" spans="5:24" s="114" customFormat="1">
      <c r="E520" s="168"/>
      <c r="F520" s="115"/>
      <c r="I520" s="304"/>
      <c r="J520" s="304"/>
      <c r="O520" s="168"/>
      <c r="P520" s="115"/>
      <c r="Q520" s="305"/>
      <c r="R520" s="169"/>
      <c r="S520" s="305"/>
      <c r="T520" s="305"/>
      <c r="U520" s="305"/>
      <c r="V520" s="305"/>
      <c r="W520" s="305"/>
      <c r="X520" s="305"/>
    </row>
    <row r="521" spans="5:24" s="114" customFormat="1">
      <c r="E521" s="168"/>
      <c r="F521" s="115"/>
      <c r="I521" s="304"/>
      <c r="J521" s="304"/>
      <c r="O521" s="168"/>
      <c r="P521" s="115"/>
      <c r="Q521" s="305"/>
      <c r="R521" s="169"/>
      <c r="S521" s="305"/>
      <c r="T521" s="305"/>
      <c r="U521" s="305"/>
      <c r="V521" s="305"/>
      <c r="W521" s="305"/>
      <c r="X521" s="305"/>
    </row>
    <row r="522" spans="5:24" s="114" customFormat="1">
      <c r="E522" s="168"/>
      <c r="F522" s="115"/>
      <c r="I522" s="304"/>
      <c r="J522" s="304"/>
      <c r="O522" s="168"/>
      <c r="P522" s="115"/>
      <c r="Q522" s="305"/>
      <c r="R522" s="169"/>
      <c r="S522" s="305"/>
      <c r="T522" s="305"/>
      <c r="U522" s="305"/>
      <c r="V522" s="305"/>
      <c r="W522" s="305"/>
      <c r="X522" s="305"/>
    </row>
    <row r="523" spans="5:24" s="114" customFormat="1">
      <c r="E523" s="168"/>
      <c r="F523" s="115"/>
      <c r="I523" s="304"/>
      <c r="J523" s="304"/>
      <c r="O523" s="168"/>
      <c r="P523" s="115"/>
      <c r="Q523" s="305"/>
      <c r="R523" s="169"/>
      <c r="S523" s="305"/>
      <c r="T523" s="305"/>
      <c r="U523" s="305"/>
      <c r="V523" s="305"/>
      <c r="W523" s="305"/>
      <c r="X523" s="305"/>
    </row>
    <row r="524" spans="5:24" s="114" customFormat="1">
      <c r="E524" s="168"/>
      <c r="F524" s="115"/>
      <c r="I524" s="304"/>
      <c r="J524" s="304"/>
      <c r="O524" s="168"/>
      <c r="P524" s="115"/>
      <c r="Q524" s="305"/>
      <c r="R524" s="169"/>
      <c r="S524" s="305"/>
      <c r="T524" s="305"/>
      <c r="U524" s="305"/>
      <c r="V524" s="305"/>
      <c r="W524" s="305"/>
      <c r="X524" s="305"/>
    </row>
    <row r="525" spans="5:24" s="114" customFormat="1">
      <c r="E525" s="168"/>
      <c r="F525" s="115"/>
      <c r="I525" s="304"/>
      <c r="J525" s="304"/>
      <c r="O525" s="168"/>
      <c r="P525" s="115"/>
      <c r="Q525" s="305"/>
      <c r="R525" s="169"/>
      <c r="S525" s="305"/>
      <c r="T525" s="305"/>
      <c r="U525" s="305"/>
      <c r="V525" s="305"/>
      <c r="W525" s="305"/>
      <c r="X525" s="305"/>
    </row>
    <row r="526" spans="5:24" s="114" customFormat="1">
      <c r="E526" s="168"/>
      <c r="F526" s="115"/>
      <c r="I526" s="304"/>
      <c r="J526" s="304"/>
      <c r="O526" s="168"/>
      <c r="P526" s="115"/>
      <c r="Q526" s="305"/>
      <c r="R526" s="169"/>
      <c r="S526" s="305"/>
      <c r="T526" s="305"/>
      <c r="U526" s="305"/>
      <c r="V526" s="305"/>
      <c r="W526" s="305"/>
      <c r="X526" s="305"/>
    </row>
    <row r="527" spans="5:24" s="114" customFormat="1">
      <c r="E527" s="168"/>
      <c r="F527" s="115"/>
      <c r="I527" s="304"/>
      <c r="J527" s="304"/>
      <c r="O527" s="168"/>
      <c r="P527" s="115"/>
      <c r="Q527" s="305"/>
      <c r="R527" s="169"/>
      <c r="S527" s="305"/>
      <c r="T527" s="305"/>
      <c r="U527" s="305"/>
      <c r="V527" s="305"/>
      <c r="W527" s="305"/>
      <c r="X527" s="305"/>
    </row>
    <row r="528" spans="5:24" s="114" customFormat="1">
      <c r="E528" s="168"/>
      <c r="F528" s="115"/>
      <c r="I528" s="304"/>
      <c r="J528" s="304"/>
      <c r="O528" s="168"/>
      <c r="P528" s="115"/>
      <c r="Q528" s="305"/>
      <c r="R528" s="169"/>
      <c r="S528" s="305"/>
      <c r="T528" s="305"/>
      <c r="U528" s="305"/>
      <c r="V528" s="305"/>
      <c r="W528" s="305"/>
      <c r="X528" s="305"/>
    </row>
    <row r="529" spans="5:24" s="114" customFormat="1">
      <c r="E529" s="168"/>
      <c r="F529" s="115"/>
      <c r="I529" s="304"/>
      <c r="J529" s="304"/>
      <c r="O529" s="168"/>
      <c r="P529" s="115"/>
      <c r="Q529" s="305"/>
      <c r="R529" s="169"/>
      <c r="S529" s="305"/>
      <c r="T529" s="305"/>
      <c r="U529" s="305"/>
      <c r="V529" s="305"/>
      <c r="W529" s="305"/>
      <c r="X529" s="305"/>
    </row>
    <row r="530" spans="5:24" s="114" customFormat="1">
      <c r="E530" s="168"/>
      <c r="F530" s="115"/>
      <c r="I530" s="304"/>
      <c r="J530" s="304"/>
      <c r="O530" s="168"/>
      <c r="P530" s="115"/>
      <c r="Q530" s="305"/>
      <c r="R530" s="169"/>
      <c r="S530" s="305"/>
      <c r="T530" s="305"/>
      <c r="U530" s="305"/>
      <c r="V530" s="305"/>
      <c r="W530" s="305"/>
      <c r="X530" s="305"/>
    </row>
    <row r="531" spans="5:24" s="114" customFormat="1">
      <c r="E531" s="168"/>
      <c r="F531" s="115"/>
      <c r="I531" s="304"/>
      <c r="J531" s="304"/>
      <c r="O531" s="168"/>
      <c r="P531" s="115"/>
      <c r="Q531" s="305"/>
      <c r="R531" s="169"/>
      <c r="S531" s="305"/>
      <c r="T531" s="305"/>
      <c r="U531" s="305"/>
      <c r="V531" s="305"/>
      <c r="W531" s="305"/>
      <c r="X531" s="305"/>
    </row>
    <row r="532" spans="5:24" s="114" customFormat="1">
      <c r="E532" s="168"/>
      <c r="F532" s="115"/>
      <c r="I532" s="304"/>
      <c r="J532" s="304"/>
      <c r="O532" s="168"/>
      <c r="P532" s="115"/>
      <c r="Q532" s="305"/>
      <c r="R532" s="169"/>
      <c r="S532" s="305"/>
      <c r="T532" s="305"/>
      <c r="U532" s="305"/>
      <c r="V532" s="305"/>
      <c r="W532" s="305"/>
      <c r="X532" s="305"/>
    </row>
    <row r="533" spans="5:24" s="114" customFormat="1">
      <c r="E533" s="168"/>
      <c r="F533" s="115"/>
      <c r="I533" s="304"/>
      <c r="J533" s="304"/>
      <c r="O533" s="168"/>
      <c r="P533" s="115"/>
      <c r="Q533" s="305"/>
      <c r="R533" s="169"/>
      <c r="S533" s="305"/>
      <c r="T533" s="305"/>
      <c r="U533" s="305"/>
      <c r="V533" s="305"/>
      <c r="W533" s="305"/>
      <c r="X533" s="305"/>
    </row>
    <row r="534" spans="5:24">
      <c r="Q534" s="305"/>
      <c r="S534" s="305"/>
      <c r="T534" s="305"/>
      <c r="U534" s="305"/>
      <c r="V534" s="305"/>
      <c r="W534" s="305"/>
      <c r="X534" s="305"/>
    </row>
    <row r="535" spans="5:24">
      <c r="Q535" s="305"/>
      <c r="S535" s="305"/>
      <c r="T535" s="305"/>
      <c r="U535" s="305"/>
      <c r="V535" s="305"/>
      <c r="W535" s="305"/>
      <c r="X535" s="305"/>
    </row>
    <row r="536" spans="5:24">
      <c r="W536" s="305"/>
      <c r="X536" s="305"/>
    </row>
  </sheetData>
  <sheetProtection formatCells="0" formatColumns="0" formatRows="0" insertColumns="0" insertRows="0" insertHyperlinks="0" deleteColumns="0" deleteRows="0" sort="0" autoFilter="0" pivotTables="0"/>
  <mergeCells count="75">
    <mergeCell ref="V105:V115"/>
    <mergeCell ref="V117:V137"/>
    <mergeCell ref="V139:V144"/>
    <mergeCell ref="V149:V155"/>
    <mergeCell ref="X146:X147"/>
    <mergeCell ref="X105:X115"/>
    <mergeCell ref="I149:I155"/>
    <mergeCell ref="J105:J115"/>
    <mergeCell ref="R105:R109"/>
    <mergeCell ref="I146:I147"/>
    <mergeCell ref="J146:J147"/>
    <mergeCell ref="K146:K147"/>
    <mergeCell ref="I105:I115"/>
    <mergeCell ref="X168:X173"/>
    <mergeCell ref="I117:I137"/>
    <mergeCell ref="I139:I144"/>
    <mergeCell ref="I157:I166"/>
    <mergeCell ref="I168:I173"/>
    <mergeCell ref="J168:J173"/>
    <mergeCell ref="J117:J137"/>
    <mergeCell ref="J139:J144"/>
    <mergeCell ref="J149:J155"/>
    <mergeCell ref="J157:J166"/>
    <mergeCell ref="V168:V173"/>
    <mergeCell ref="V157:V166"/>
    <mergeCell ref="X157:X166"/>
    <mergeCell ref="X149:X155"/>
    <mergeCell ref="X117:X137"/>
    <mergeCell ref="X139:X144"/>
    <mergeCell ref="X6:X12"/>
    <mergeCell ref="X14:X19"/>
    <mergeCell ref="X21:X24"/>
    <mergeCell ref="X26:X38"/>
    <mergeCell ref="X40:X55"/>
    <mergeCell ref="I73:I80"/>
    <mergeCell ref="V82:V103"/>
    <mergeCell ref="S2:W2"/>
    <mergeCell ref="V6:V12"/>
    <mergeCell ref="V14:V19"/>
    <mergeCell ref="V21:V24"/>
    <mergeCell ref="V26:V38"/>
    <mergeCell ref="I26:I38"/>
    <mergeCell ref="I40:I55"/>
    <mergeCell ref="I57:I71"/>
    <mergeCell ref="I82:I103"/>
    <mergeCell ref="V73:V80"/>
    <mergeCell ref="J73:J80"/>
    <mergeCell ref="J82:J103"/>
    <mergeCell ref="V40:V55"/>
    <mergeCell ref="R14:R15"/>
    <mergeCell ref="B2:H2"/>
    <mergeCell ref="L2:Q2"/>
    <mergeCell ref="I6:I12"/>
    <mergeCell ref="I14:I19"/>
    <mergeCell ref="I21:I24"/>
    <mergeCell ref="J6:J12"/>
    <mergeCell ref="J14:J19"/>
    <mergeCell ref="J21:J24"/>
    <mergeCell ref="X73:X80"/>
    <mergeCell ref="X82:X103"/>
    <mergeCell ref="R99:R100"/>
    <mergeCell ref="R102:R103"/>
    <mergeCell ref="R97:R98"/>
    <mergeCell ref="R94:R95"/>
    <mergeCell ref="R87:R89"/>
    <mergeCell ref="X57:X71"/>
    <mergeCell ref="V57:V71"/>
    <mergeCell ref="R43:R44"/>
    <mergeCell ref="R51:R52"/>
    <mergeCell ref="R16:R17"/>
    <mergeCell ref="J26:J38"/>
    <mergeCell ref="J40:J55"/>
    <mergeCell ref="J57:J71"/>
    <mergeCell ref="R61:R71"/>
    <mergeCell ref="R28:R38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0:V55">
    <cfRule type="cellIs" dxfId="21" priority="1" operator="notEqual">
      <formula>0</formula>
    </cfRule>
  </conditionalFormatting>
  <conditionalFormatting sqref="W7:W27 W30:W57 W59 W63:W96 W98:W104 W107:W121 W123:W124 W127:W148 W155:W156 W166:W167 W169:W173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9"/>
  <sheetViews>
    <sheetView zoomScale="85" zoomScaleNormal="85" workbookViewId="0">
      <pane xSplit="5" ySplit="15" topLeftCell="V16" activePane="bottomRight" state="frozen"/>
      <selection pane="bottomRight" activeCell="F9" sqref="F9:CP9"/>
      <selection pane="bottomLeft" activeCell="H13" sqref="H13"/>
      <selection pane="topRight" activeCell="H13" sqref="H13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21.5703125" bestFit="1" customWidth="1"/>
    <col min="7" max="10" width="24.42578125" bestFit="1" customWidth="1"/>
    <col min="11" max="94" width="15.42578125" bestFit="1" customWidth="1"/>
    <col min="95" max="95" width="9.42578125" style="238"/>
  </cols>
  <sheetData>
    <row r="1" spans="1:572">
      <c r="D1" s="234" t="s">
        <v>619</v>
      </c>
      <c r="E1" s="235"/>
      <c r="F1" s="236">
        <v>45600</v>
      </c>
      <c r="G1" s="237">
        <f>F1+7</f>
        <v>45607</v>
      </c>
      <c r="H1" s="237">
        <f>G1+7</f>
        <v>45614</v>
      </c>
      <c r="I1" s="237">
        <f t="shared" ref="I1:BT1" si="0">H1+7</f>
        <v>45621</v>
      </c>
      <c r="J1" s="237">
        <f t="shared" si="0"/>
        <v>45628</v>
      </c>
      <c r="K1" s="237">
        <f t="shared" si="0"/>
        <v>45635</v>
      </c>
      <c r="L1" s="237">
        <f t="shared" si="0"/>
        <v>45642</v>
      </c>
      <c r="M1" s="237">
        <f t="shared" si="0"/>
        <v>45649</v>
      </c>
      <c r="N1" s="237">
        <f t="shared" si="0"/>
        <v>45656</v>
      </c>
      <c r="O1" s="237">
        <f t="shared" si="0"/>
        <v>45663</v>
      </c>
      <c r="P1" s="237">
        <f t="shared" si="0"/>
        <v>45670</v>
      </c>
      <c r="Q1" s="237">
        <f t="shared" si="0"/>
        <v>45677</v>
      </c>
      <c r="R1" s="237">
        <f t="shared" si="0"/>
        <v>45684</v>
      </c>
      <c r="S1" s="237">
        <f t="shared" si="0"/>
        <v>45691</v>
      </c>
      <c r="T1" s="237">
        <f t="shared" si="0"/>
        <v>45698</v>
      </c>
      <c r="U1" s="237">
        <f t="shared" si="0"/>
        <v>45705</v>
      </c>
      <c r="V1" s="237">
        <f t="shared" si="0"/>
        <v>45712</v>
      </c>
      <c r="W1" s="237">
        <f t="shared" si="0"/>
        <v>45719</v>
      </c>
      <c r="X1" s="237">
        <f t="shared" si="0"/>
        <v>45726</v>
      </c>
      <c r="Y1" s="237">
        <f t="shared" si="0"/>
        <v>45733</v>
      </c>
      <c r="Z1" s="237">
        <f t="shared" si="0"/>
        <v>45740</v>
      </c>
      <c r="AA1" s="237">
        <f t="shared" si="0"/>
        <v>45747</v>
      </c>
      <c r="AB1" s="237">
        <f t="shared" si="0"/>
        <v>45754</v>
      </c>
      <c r="AC1" s="237">
        <f t="shared" si="0"/>
        <v>45761</v>
      </c>
      <c r="AD1" s="237">
        <f t="shared" si="0"/>
        <v>45768</v>
      </c>
      <c r="AE1" s="237">
        <f t="shared" si="0"/>
        <v>45775</v>
      </c>
      <c r="AF1" s="237">
        <f t="shared" si="0"/>
        <v>45782</v>
      </c>
      <c r="AG1" s="237">
        <f t="shared" si="0"/>
        <v>45789</v>
      </c>
      <c r="AH1" s="237">
        <f t="shared" si="0"/>
        <v>45796</v>
      </c>
      <c r="AI1" s="237">
        <f t="shared" si="0"/>
        <v>45803</v>
      </c>
      <c r="AJ1" s="237">
        <f t="shared" si="0"/>
        <v>45810</v>
      </c>
      <c r="AK1" s="237">
        <f t="shared" si="0"/>
        <v>45817</v>
      </c>
      <c r="AL1" s="237">
        <f t="shared" si="0"/>
        <v>45824</v>
      </c>
      <c r="AM1" s="237">
        <f t="shared" si="0"/>
        <v>45831</v>
      </c>
      <c r="AN1" s="237">
        <f t="shared" si="0"/>
        <v>45838</v>
      </c>
      <c r="AO1" s="237">
        <f t="shared" si="0"/>
        <v>45845</v>
      </c>
      <c r="AP1" s="237">
        <f t="shared" si="0"/>
        <v>45852</v>
      </c>
      <c r="AQ1" s="237">
        <f t="shared" si="0"/>
        <v>45859</v>
      </c>
      <c r="AR1" s="237">
        <f t="shared" si="0"/>
        <v>45866</v>
      </c>
      <c r="AS1" s="237">
        <f t="shared" si="0"/>
        <v>45873</v>
      </c>
      <c r="AT1" s="237">
        <f t="shared" si="0"/>
        <v>45880</v>
      </c>
      <c r="AU1" s="237">
        <f t="shared" si="0"/>
        <v>45887</v>
      </c>
      <c r="AV1" s="237">
        <f t="shared" si="0"/>
        <v>45894</v>
      </c>
      <c r="AW1" s="237">
        <f t="shared" si="0"/>
        <v>45901</v>
      </c>
      <c r="AX1" s="237">
        <f t="shared" si="0"/>
        <v>45908</v>
      </c>
      <c r="AY1" s="237">
        <f t="shared" si="0"/>
        <v>45915</v>
      </c>
      <c r="AZ1" s="237">
        <f t="shared" si="0"/>
        <v>45922</v>
      </c>
      <c r="BA1" s="237">
        <f t="shared" si="0"/>
        <v>45929</v>
      </c>
      <c r="BB1" s="237">
        <f t="shared" si="0"/>
        <v>45936</v>
      </c>
      <c r="BC1" s="237">
        <f t="shared" si="0"/>
        <v>45943</v>
      </c>
      <c r="BD1" s="237">
        <f t="shared" si="0"/>
        <v>45950</v>
      </c>
      <c r="BE1" s="237">
        <f t="shared" si="0"/>
        <v>45957</v>
      </c>
      <c r="BF1" s="237">
        <f t="shared" si="0"/>
        <v>45964</v>
      </c>
      <c r="BG1" s="237">
        <f t="shared" si="0"/>
        <v>45971</v>
      </c>
      <c r="BH1" s="237">
        <f t="shared" si="0"/>
        <v>45978</v>
      </c>
      <c r="BI1" s="237">
        <f t="shared" si="0"/>
        <v>45985</v>
      </c>
      <c r="BJ1" s="237">
        <f t="shared" si="0"/>
        <v>45992</v>
      </c>
      <c r="BK1" s="237">
        <f t="shared" si="0"/>
        <v>45999</v>
      </c>
      <c r="BL1" s="237">
        <f t="shared" si="0"/>
        <v>46006</v>
      </c>
      <c r="BM1" s="237">
        <f t="shared" si="0"/>
        <v>46013</v>
      </c>
      <c r="BN1" s="237">
        <f t="shared" si="0"/>
        <v>46020</v>
      </c>
      <c r="BO1" s="237">
        <f t="shared" si="0"/>
        <v>46027</v>
      </c>
      <c r="BP1" s="237">
        <f t="shared" si="0"/>
        <v>46034</v>
      </c>
      <c r="BQ1" s="237">
        <f t="shared" si="0"/>
        <v>46041</v>
      </c>
      <c r="BR1" s="237">
        <f t="shared" si="0"/>
        <v>46048</v>
      </c>
      <c r="BS1" s="237">
        <f t="shared" si="0"/>
        <v>46055</v>
      </c>
      <c r="BT1" s="237">
        <f t="shared" si="0"/>
        <v>46062</v>
      </c>
      <c r="BU1" s="237">
        <f t="shared" ref="BU1:CJ1" si="1">BT1+7</f>
        <v>46069</v>
      </c>
      <c r="BV1" s="237">
        <f t="shared" si="1"/>
        <v>46076</v>
      </c>
      <c r="BW1" s="237">
        <f t="shared" si="1"/>
        <v>46083</v>
      </c>
      <c r="BX1" s="237">
        <f t="shared" si="1"/>
        <v>46090</v>
      </c>
      <c r="BY1" s="237">
        <f t="shared" si="1"/>
        <v>46097</v>
      </c>
      <c r="BZ1" s="237">
        <f t="shared" si="1"/>
        <v>46104</v>
      </c>
      <c r="CA1" s="237">
        <f t="shared" si="1"/>
        <v>46111</v>
      </c>
      <c r="CB1" s="237">
        <f t="shared" si="1"/>
        <v>46118</v>
      </c>
      <c r="CC1" s="237">
        <f t="shared" si="1"/>
        <v>46125</v>
      </c>
      <c r="CD1" s="237">
        <f t="shared" si="1"/>
        <v>46132</v>
      </c>
      <c r="CE1" s="237">
        <f t="shared" si="1"/>
        <v>46139</v>
      </c>
      <c r="CF1" s="237">
        <f t="shared" si="1"/>
        <v>46146</v>
      </c>
      <c r="CG1" s="237">
        <f t="shared" si="1"/>
        <v>46153</v>
      </c>
      <c r="CH1" s="237">
        <f t="shared" si="1"/>
        <v>46160</v>
      </c>
      <c r="CI1" s="237">
        <f t="shared" si="1"/>
        <v>46167</v>
      </c>
      <c r="CJ1" s="237">
        <f t="shared" si="1"/>
        <v>46174</v>
      </c>
      <c r="CK1" s="237">
        <f t="shared" ref="CK1:CP1" si="2">CJ1+7</f>
        <v>46181</v>
      </c>
      <c r="CL1" s="237">
        <f t="shared" si="2"/>
        <v>46188</v>
      </c>
      <c r="CM1" s="237">
        <f t="shared" si="2"/>
        <v>46195</v>
      </c>
      <c r="CN1" s="237">
        <f t="shared" si="2"/>
        <v>46202</v>
      </c>
      <c r="CO1" s="237">
        <f t="shared" si="2"/>
        <v>46209</v>
      </c>
      <c r="CP1" s="237">
        <f t="shared" si="2"/>
        <v>46216</v>
      </c>
    </row>
    <row r="2" spans="1:572" s="238" customFormat="1">
      <c r="A2" s="954" t="s">
        <v>256</v>
      </c>
      <c r="B2" s="239"/>
      <c r="C2" s="240" t="s">
        <v>354</v>
      </c>
      <c r="D2" s="240" t="s">
        <v>354</v>
      </c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5"/>
      <c r="B3" s="242" t="s">
        <v>260</v>
      </c>
      <c r="C3" s="243">
        <f>'Revenue Tracking'!D4</f>
        <v>16024328.9396773</v>
      </c>
      <c r="D3" s="243">
        <f>SUM(F3:CP3)</f>
        <v>16024328.939677302</v>
      </c>
      <c r="E3" s="244"/>
      <c r="F3" s="245">
        <f>SUMIFS('Revenue Tracking'!$F$12:$F$28, 'Revenue Tracking'!$H$12:$H$28, "&gt;="&amp;F1,'Revenue Tracking'!$H$12:$H$28, "&lt;"&amp;G1)</f>
        <v>0</v>
      </c>
      <c r="G3" s="245">
        <f>SUMIFS('Revenue Tracking'!$F$12:$F$28, 'Revenue Tracking'!$H$12:$H$28, "&gt;="&amp;G1,'Revenue Tracking'!$H$12:$H$28, "&lt;"&amp;H1)</f>
        <v>1602432.89396773</v>
      </c>
      <c r="H3" s="245">
        <f>SUMIFS('Revenue Tracking'!$F$12:$F$28, 'Revenue Tracking'!$H$12:$H$28, "&gt;="&amp;H1,'Revenue Tracking'!$H$12:$H$28, "&lt;"&amp;I1)</f>
        <v>7210948.0228547845</v>
      </c>
      <c r="I3" s="245">
        <f>SUMIFS('Revenue Tracking'!$F$12:$F$28, 'Revenue Tracking'!$H$12:$H$28, "&gt;="&amp;I1,'Revenue Tracking'!$H$12:$H$28, "&lt;"&amp;J1)</f>
        <v>0</v>
      </c>
      <c r="J3" s="245">
        <f>SUMIFS('Revenue Tracking'!$F$12:$F$28, 'Revenue Tracking'!$H$12:$H$28, "&gt;="&amp;J1,'Revenue Tracking'!$H$12:$H$28, "&lt;"&amp;K1)</f>
        <v>0</v>
      </c>
      <c r="K3" s="245">
        <f>SUMIFS('Revenue Tracking'!$F$12:$F$28, 'Revenue Tracking'!$H$12:$H$28, "&gt;="&amp;K1,'Revenue Tracking'!$H$12:$H$28, "&lt;"&amp;L1)</f>
        <v>0</v>
      </c>
      <c r="L3" s="245">
        <f>SUMIFS('Revenue Tracking'!$F$12:$F$28, 'Revenue Tracking'!$H$12:$H$28, "&gt;="&amp;L1,'Revenue Tracking'!$H$12:$H$28, "&lt;"&amp;M1)</f>
        <v>0</v>
      </c>
      <c r="M3" s="245">
        <f>SUMIFS('Revenue Tracking'!$F$12:$F$28, 'Revenue Tracking'!$H$12:$H$28, "&gt;="&amp;M1,'Revenue Tracking'!$H$12:$H$28, "&lt;"&amp;N1)</f>
        <v>0</v>
      </c>
      <c r="N3" s="245">
        <f>SUMIFS('Revenue Tracking'!$F$12:$F$28, 'Revenue Tracking'!$H$12:$H$28, "&gt;="&amp;N1,'Revenue Tracking'!$H$12:$H$28, "&lt;"&amp;O1)</f>
        <v>0</v>
      </c>
      <c r="O3" s="245">
        <f>SUMIFS('Revenue Tracking'!$F$12:$F$28, 'Revenue Tracking'!$H$12:$H$28, "&gt;="&amp;O1,'Revenue Tracking'!$H$12:$H$28, "&lt;"&amp;P1)</f>
        <v>0</v>
      </c>
      <c r="P3" s="245">
        <f>SUMIFS('Revenue Tracking'!$F$12:$F$28, 'Revenue Tracking'!$H$12:$H$28, "&gt;="&amp;P1,'Revenue Tracking'!$H$12:$H$28, "&lt;"&amp;Q1)</f>
        <v>0</v>
      </c>
      <c r="Q3" s="245">
        <f>SUMIFS('Revenue Tracking'!$F$12:$F$28, 'Revenue Tracking'!$H$12:$H$28, "&gt;="&amp;Q1,'Revenue Tracking'!$H$12:$H$28, "&lt;"&amp;R1)</f>
        <v>0</v>
      </c>
      <c r="R3" s="245">
        <f>SUMIFS('Revenue Tracking'!$F$12:$F$28, 'Revenue Tracking'!$H$12:$H$28, "&gt;="&amp;R1,'Revenue Tracking'!$H$12:$H$28, "&lt;"&amp;S1)</f>
        <v>0</v>
      </c>
      <c r="S3" s="245">
        <f>SUMIFS('Revenue Tracking'!$F$12:$F$28, 'Revenue Tracking'!$H$12:$H$28, "&gt;="&amp;S1,'Revenue Tracking'!$H$12:$H$28, "&lt;"&amp;T1)</f>
        <v>4807298.68190319</v>
      </c>
      <c r="T3" s="245">
        <f>SUMIFS('Revenue Tracking'!$F$12:$F$28, 'Revenue Tracking'!$H$12:$H$28, "&gt;="&amp;T1,'Revenue Tracking'!$H$12:$H$28, "&lt;"&amp;U1)</f>
        <v>0</v>
      </c>
      <c r="U3" s="245">
        <f>SUMIFS('Revenue Tracking'!$F$12:$F$28, 'Revenue Tracking'!$H$12:$H$28, "&gt;="&amp;U1,'Revenue Tracking'!$H$12:$H$28, "&lt;"&amp;V1)</f>
        <v>0</v>
      </c>
      <c r="V3" s="245">
        <f>SUMIFS('Revenue Tracking'!$F$12:$F$28, 'Revenue Tracking'!$H$12:$H$28, "&gt;="&amp;V1,'Revenue Tracking'!$H$12:$H$28, "&lt;"&amp;W1)</f>
        <v>0</v>
      </c>
      <c r="W3" s="245">
        <f>SUMIFS('Revenue Tracking'!$F$12:$F$28, 'Revenue Tracking'!$H$12:$H$28, "&gt;="&amp;W1,'Revenue Tracking'!$H$12:$H$28, "&lt;"&amp;X1)</f>
        <v>801216.446983865</v>
      </c>
      <c r="X3" s="245">
        <f>SUMIFS('Revenue Tracking'!$F$12:$F$28, 'Revenue Tracking'!$H$12:$H$28, "&gt;="&amp;X1,'Revenue Tracking'!$H$12:$H$28, "&lt;"&amp;Y1)</f>
        <v>0</v>
      </c>
      <c r="Y3" s="245">
        <f>SUMIFS('Revenue Tracking'!$F$12:$F$28, 'Revenue Tracking'!$H$12:$H$28, "&gt;="&amp;Y1,'Revenue Tracking'!$H$12:$H$28, "&lt;"&amp;Z1)</f>
        <v>0</v>
      </c>
      <c r="Z3" s="245">
        <f>SUMIFS('Revenue Tracking'!$F$12:$F$28, 'Revenue Tracking'!$H$12:$H$28, "&gt;="&amp;Z1,'Revenue Tracking'!$H$12:$H$28, "&lt;"&amp;AA1)</f>
        <v>0</v>
      </c>
      <c r="AA3" s="245">
        <f>SUMIFS('Revenue Tracking'!$F$12:$F$28, 'Revenue Tracking'!$H$12:$H$28, "&gt;="&amp;AA1,'Revenue Tracking'!$H$12:$H$28, "&lt;"&amp;AB1)</f>
        <v>0</v>
      </c>
      <c r="AB3" s="245">
        <f>SUMIFS('Revenue Tracking'!$F$12:$F$28, 'Revenue Tracking'!$H$12:$H$28, "&gt;="&amp;AB1,'Revenue Tracking'!$H$12:$H$28, "&lt;"&amp;AC1)</f>
        <v>0</v>
      </c>
      <c r="AC3" s="245">
        <f>SUMIFS('Revenue Tracking'!$F$12:$F$28, 'Revenue Tracking'!$H$12:$H$28, "&gt;="&amp;AC1,'Revenue Tracking'!$H$12:$H$28, "&lt;"&amp;AD1)</f>
        <v>0</v>
      </c>
      <c r="AD3" s="245">
        <f>SUMIFS('Revenue Tracking'!$F$12:$F$28, 'Revenue Tracking'!$H$12:$H$28, "&gt;="&amp;AD1,'Revenue Tracking'!$H$12:$H$28, "&lt;"&amp;AE1)</f>
        <v>801216.446983865</v>
      </c>
      <c r="AE3" s="245">
        <f>SUMIFS('Revenue Tracking'!$F$12:$F$28, 'Revenue Tracking'!$H$12:$H$28, "&gt;="&amp;AE1,'Revenue Tracking'!$H$12:$H$28, "&lt;"&amp;AF1)</f>
        <v>0</v>
      </c>
      <c r="AF3" s="245">
        <f>SUMIFS('Revenue Tracking'!$F$12:$F$28, 'Revenue Tracking'!$H$12:$H$28, "&gt;="&amp;AF1,'Revenue Tracking'!$H$12:$H$28, "&lt;"&amp;AG1)</f>
        <v>0</v>
      </c>
      <c r="AG3" s="245">
        <f>SUMIFS('Revenue Tracking'!$F$12:$F$28, 'Revenue Tracking'!$H$12:$H$28, "&gt;="&amp;AG1,'Revenue Tracking'!$H$12:$H$28, "&lt;"&amp;AH1)</f>
        <v>0</v>
      </c>
      <c r="AH3" s="245">
        <f>SUMIFS('Revenue Tracking'!$F$12:$F$28, 'Revenue Tracking'!$H$12:$H$28, "&gt;="&amp;AH1,'Revenue Tracking'!$H$12:$H$28, "&lt;"&amp;AI1)</f>
        <v>0</v>
      </c>
      <c r="AI3" s="245">
        <f>SUMIFS('Revenue Tracking'!$F$12:$F$28, 'Revenue Tracking'!$H$12:$H$28, "&gt;="&amp;AI1,'Revenue Tracking'!$H$12:$H$28, "&lt;"&amp;AJ1)</f>
        <v>0</v>
      </c>
      <c r="AJ3" s="245">
        <f>SUMIFS('Revenue Tracking'!$F$12:$F$28, 'Revenue Tracking'!$H$12:$H$28, "&gt;="&amp;AJ1,'Revenue Tracking'!$H$12:$H$28, "&lt;"&amp;AK1)</f>
        <v>0</v>
      </c>
      <c r="AK3" s="245">
        <f>SUMIFS('Revenue Tracking'!$F$12:$F$28, 'Revenue Tracking'!$H$12:$H$28, "&gt;="&amp;AK1,'Revenue Tracking'!$H$12:$H$28, "&lt;"&amp;AL1)</f>
        <v>0</v>
      </c>
      <c r="AL3" s="245">
        <f>SUMIFS('Revenue Tracking'!$F$12:$F$28, 'Revenue Tracking'!$H$12:$H$28, "&gt;="&amp;AL1,'Revenue Tracking'!$H$12:$H$28, "&lt;"&amp;AM1)</f>
        <v>0</v>
      </c>
      <c r="AM3" s="245">
        <f>SUMIFS('Revenue Tracking'!$F$12:$F$28, 'Revenue Tracking'!$H$12:$H$28, "&gt;="&amp;AM1,'Revenue Tracking'!$H$12:$H$28, "&lt;"&amp;AN1)</f>
        <v>0</v>
      </c>
      <c r="AN3" s="245">
        <f>SUMIFS('Revenue Tracking'!$F$12:$F$28, 'Revenue Tracking'!$H$12:$H$28, "&gt;="&amp;AN1,'Revenue Tracking'!$H$12:$H$28, "&lt;"&amp;AO1)</f>
        <v>0</v>
      </c>
      <c r="AO3" s="245">
        <f>SUMIFS('Revenue Tracking'!$F$12:$F$28, 'Revenue Tracking'!$H$12:$H$28, "&gt;="&amp;AO1,'Revenue Tracking'!$H$12:$H$28, "&lt;"&amp;AP1)</f>
        <v>0</v>
      </c>
      <c r="AP3" s="245">
        <f>SUMIFS('Revenue Tracking'!$F$12:$F$28, 'Revenue Tracking'!$H$12:$H$28, "&gt;="&amp;AP1,'Revenue Tracking'!$H$12:$H$28, "&lt;"&amp;AQ1)</f>
        <v>0</v>
      </c>
      <c r="AQ3" s="245">
        <f>SUMIFS('Revenue Tracking'!$F$12:$F$28, 'Revenue Tracking'!$H$12:$H$28, "&gt;="&amp;AQ1,'Revenue Tracking'!$H$12:$H$28, "&lt;"&amp;AR1)</f>
        <v>0</v>
      </c>
      <c r="AR3" s="245">
        <f>SUMIFS('Revenue Tracking'!$F$12:$F$28, 'Revenue Tracking'!$H$12:$H$28, "&gt;="&amp;AR1,'Revenue Tracking'!$H$12:$H$28, "&lt;"&amp;AS1)</f>
        <v>0</v>
      </c>
      <c r="AS3" s="245">
        <f>SUMIFS('Revenue Tracking'!$F$12:$F$28, 'Revenue Tracking'!$H$12:$H$28, "&gt;="&amp;AS1,'Revenue Tracking'!$H$12:$H$28, "&lt;"&amp;AT1)</f>
        <v>0</v>
      </c>
      <c r="AT3" s="245">
        <f>SUMIFS('Revenue Tracking'!$F$12:$F$28, 'Revenue Tracking'!$H$12:$H$28, "&gt;="&amp;AT1,'Revenue Tracking'!$H$12:$H$28, "&lt;"&amp;AU1)</f>
        <v>0</v>
      </c>
      <c r="AU3" s="245">
        <f>SUMIFS('Revenue Tracking'!$F$12:$F$28, 'Revenue Tracking'!$H$12:$H$28, "&gt;="&amp;AU1,'Revenue Tracking'!$H$12:$H$28, "&lt;"&amp;AV1)</f>
        <v>0</v>
      </c>
      <c r="AV3" s="245">
        <f>SUMIFS('Revenue Tracking'!$F$12:$F$28, 'Revenue Tracking'!$H$12:$H$28, "&gt;="&amp;AV1,'Revenue Tracking'!$H$12:$H$28, "&lt;"&amp;AW1)</f>
        <v>0</v>
      </c>
      <c r="AW3" s="245">
        <f>SUMIFS('Revenue Tracking'!$F$12:$F$28, 'Revenue Tracking'!$H$12:$H$28, "&gt;="&amp;AW1,'Revenue Tracking'!$H$12:$H$28, "&lt;"&amp;AX1)</f>
        <v>0</v>
      </c>
      <c r="AX3" s="245">
        <f>SUMIFS('Revenue Tracking'!$F$12:$F$28, 'Revenue Tracking'!$H$12:$H$28, "&gt;="&amp;AX1,'Revenue Tracking'!$H$12:$H$28, "&lt;"&amp;AY1)</f>
        <v>0</v>
      </c>
      <c r="AY3" s="245">
        <f>SUMIFS('Revenue Tracking'!$F$12:$F$28, 'Revenue Tracking'!$H$12:$H$28, "&gt;="&amp;AY1,'Revenue Tracking'!$H$12:$H$28, "&lt;"&amp;AZ1)</f>
        <v>0</v>
      </c>
      <c r="AZ3" s="245">
        <f>SUMIFS('Revenue Tracking'!$F$12:$F$28, 'Revenue Tracking'!$H$12:$H$28, "&gt;="&amp;AZ1,'Revenue Tracking'!$H$12:$H$28, "&lt;"&amp;BA1)</f>
        <v>0</v>
      </c>
      <c r="BA3" s="245">
        <f>SUMIFS('Revenue Tracking'!$F$12:$F$28, 'Revenue Tracking'!$H$12:$H$28, "&gt;="&amp;BA1,'Revenue Tracking'!$H$12:$H$28, "&lt;"&amp;BB1)</f>
        <v>0</v>
      </c>
      <c r="BB3" s="245">
        <f>SUMIFS('Revenue Tracking'!$F$12:$F$28, 'Revenue Tracking'!$H$12:$H$28, "&gt;="&amp;BB1,'Revenue Tracking'!$H$12:$H$28, "&lt;"&amp;BC1)</f>
        <v>0</v>
      </c>
      <c r="BC3" s="245">
        <f>SUMIFS('Revenue Tracking'!$F$12:$F$28, 'Revenue Tracking'!$H$12:$H$28, "&gt;="&amp;BC1,'Revenue Tracking'!$H$12:$H$28, "&lt;"&amp;BD1)</f>
        <v>0</v>
      </c>
      <c r="BD3" s="245">
        <f>SUMIFS('Revenue Tracking'!$F$12:$F$28, 'Revenue Tracking'!$H$12:$H$28, "&gt;="&amp;BD1,'Revenue Tracking'!$H$12:$H$28, "&lt;"&amp;BE1)</f>
        <v>0</v>
      </c>
      <c r="BE3" s="245">
        <f>SUMIFS('Revenue Tracking'!$F$12:$F$28, 'Revenue Tracking'!$H$12:$H$28, "&gt;="&amp;BE1,'Revenue Tracking'!$H$12:$H$28, "&lt;"&amp;BF1)</f>
        <v>0</v>
      </c>
      <c r="BF3" s="245">
        <f>SUMIFS('Revenue Tracking'!$F$12:$F$28, 'Revenue Tracking'!$H$12:$H$28, "&gt;="&amp;BF1,'Revenue Tracking'!$H$12:$H$28, "&lt;"&amp;BG1)</f>
        <v>0</v>
      </c>
      <c r="BG3" s="245">
        <f>SUMIFS('Revenue Tracking'!$F$12:$F$28, 'Revenue Tracking'!$H$12:$H$28, "&gt;="&amp;BG1,'Revenue Tracking'!$H$12:$H$28, "&lt;"&amp;BH1)</f>
        <v>0</v>
      </c>
      <c r="BH3" s="245">
        <f>SUMIFS('Revenue Tracking'!$F$12:$F$28, 'Revenue Tracking'!$H$12:$H$28, "&gt;="&amp;BH1,'Revenue Tracking'!$H$12:$H$28, "&lt;"&amp;BI1)</f>
        <v>0</v>
      </c>
      <c r="BI3" s="245">
        <f>SUMIFS('Revenue Tracking'!$F$12:$F$28, 'Revenue Tracking'!$H$12:$H$28, "&gt;="&amp;BI1,'Revenue Tracking'!$H$12:$H$28, "&lt;"&amp;BJ1)</f>
        <v>0</v>
      </c>
      <c r="BJ3" s="245">
        <f>SUMIFS('Revenue Tracking'!$F$12:$F$28, 'Revenue Tracking'!$H$12:$H$28, "&gt;="&amp;BJ1,'Revenue Tracking'!$H$12:$H$28, "&lt;"&amp;BK1)</f>
        <v>0</v>
      </c>
      <c r="BK3" s="245">
        <f>SUMIFS('Revenue Tracking'!$F$12:$F$28, 'Revenue Tracking'!$H$12:$H$28, "&gt;="&amp;BK1,'Revenue Tracking'!$H$12:$H$28, "&lt;"&amp;BL1)</f>
        <v>0</v>
      </c>
      <c r="BL3" s="245">
        <f>SUMIFS('Revenue Tracking'!$F$12:$F$28, 'Revenue Tracking'!$H$12:$H$28, "&gt;="&amp;BL1,'Revenue Tracking'!$H$12:$H$28, "&lt;"&amp;BM1)</f>
        <v>0</v>
      </c>
      <c r="BM3" s="245">
        <f>SUMIFS('Revenue Tracking'!$F$12:$F$28, 'Revenue Tracking'!$H$12:$H$28, "&gt;="&amp;BM1,'Revenue Tracking'!$H$12:$H$28, "&lt;"&amp;BN1)</f>
        <v>0</v>
      </c>
      <c r="BN3" s="245">
        <f>SUMIFS('Revenue Tracking'!$F$12:$F$28, 'Revenue Tracking'!$H$12:$H$28, "&gt;="&amp;BN1,'Revenue Tracking'!$H$12:$H$28, "&lt;"&amp;BO1)</f>
        <v>0</v>
      </c>
      <c r="BO3" s="245">
        <f>SUMIFS('Revenue Tracking'!$F$12:$F$28, 'Revenue Tracking'!$H$12:$H$28, "&gt;="&amp;BO1,'Revenue Tracking'!$H$12:$H$28, "&lt;"&amp;BP1)</f>
        <v>0</v>
      </c>
      <c r="BP3" s="245">
        <f>SUMIFS('Revenue Tracking'!$F$12:$F$28, 'Revenue Tracking'!$H$12:$H$28, "&gt;="&amp;BP1,'Revenue Tracking'!$H$12:$H$28, "&lt;"&amp;BQ1)</f>
        <v>0</v>
      </c>
      <c r="BQ3" s="245">
        <f>SUMIFS('Revenue Tracking'!$F$12:$F$28, 'Revenue Tracking'!$H$12:$H$28, "&gt;="&amp;BQ1,'Revenue Tracking'!$H$12:$H$28, "&lt;"&amp;BR1)</f>
        <v>0</v>
      </c>
      <c r="BR3" s="245">
        <f>SUMIFS('Revenue Tracking'!$F$12:$F$28, 'Revenue Tracking'!$H$12:$H$28, "&gt;="&amp;BR1,'Revenue Tracking'!$H$12:$H$28, "&lt;"&amp;BS1)</f>
        <v>0</v>
      </c>
      <c r="BS3" s="245">
        <f>SUMIFS('Revenue Tracking'!$F$12:$F$28, 'Revenue Tracking'!$H$12:$H$28, "&gt;="&amp;BS1,'Revenue Tracking'!$H$12:$H$28, "&lt;"&amp;BT1)</f>
        <v>400608.2234919325</v>
      </c>
      <c r="BT3" s="245">
        <f>SUMIFS('Revenue Tracking'!$F$12:$F$28, 'Revenue Tracking'!$H$12:$H$28, "&gt;="&amp;BT1,'Revenue Tracking'!$H$12:$H$28, "&lt;"&amp;BU1)</f>
        <v>0</v>
      </c>
      <c r="BU3" s="245">
        <f>SUMIFS('Revenue Tracking'!$F$12:$F$28, 'Revenue Tracking'!$H$12:$H$28, "&gt;="&amp;BU1,'Revenue Tracking'!$H$12:$H$28, "&lt;"&amp;BV1)</f>
        <v>0</v>
      </c>
      <c r="BV3" s="245">
        <f>SUMIFS('Revenue Tracking'!$F$12:$F$28, 'Revenue Tracking'!$H$12:$H$28, "&gt;="&amp;BV1,'Revenue Tracking'!$H$12:$H$28, "&lt;"&amp;BW1)</f>
        <v>400608.2234919325</v>
      </c>
      <c r="BW3" s="245">
        <f>SUMIFS('Revenue Tracking'!$F$12:$F$28, 'Revenue Tracking'!$H$12:$H$28, "&gt;="&amp;BW1,'Revenue Tracking'!$H$12:$H$28, "&lt;"&amp;BX1)</f>
        <v>0</v>
      </c>
      <c r="BX3" s="245">
        <f>SUMIFS('Revenue Tracking'!$F$12:$F$28, 'Revenue Tracking'!$H$12:$H$28, "&gt;="&amp;BX1,'Revenue Tracking'!$H$12:$H$28, "&lt;"&amp;BY1)</f>
        <v>0</v>
      </c>
      <c r="BY3" s="245">
        <f>SUMIFS('Revenue Tracking'!$F$12:$F$28, 'Revenue Tracking'!$H$12:$H$28, "&gt;="&amp;BY1,'Revenue Tracking'!$H$12:$H$28, "&lt;"&amp;BZ1)</f>
        <v>0</v>
      </c>
      <c r="BZ3" s="245">
        <f>SUMIFS('Revenue Tracking'!$F$12:$F$28, 'Revenue Tracking'!$H$12:$H$28, "&gt;="&amp;BZ1,'Revenue Tracking'!$H$12:$H$28, "&lt;"&amp;CA1)</f>
        <v>0</v>
      </c>
      <c r="CA3" s="245">
        <f>SUMIFS('Revenue Tracking'!$F$12:$F$28, 'Revenue Tracking'!$H$12:$H$28, "&gt;="&amp;CA1,'Revenue Tracking'!$H$12:$H$28, "&lt;"&amp;CB1)</f>
        <v>0</v>
      </c>
      <c r="CB3" s="245">
        <f>SUMIFS('Revenue Tracking'!$F$12:$F$28, 'Revenue Tracking'!$H$12:$H$28, "&gt;="&amp;CB1,'Revenue Tracking'!$H$12:$H$28, "&lt;"&amp;CC1)</f>
        <v>0</v>
      </c>
      <c r="CC3" s="245">
        <f>SUMIFS('Revenue Tracking'!$F$12:$F$28, 'Revenue Tracking'!$H$12:$H$28, "&gt;="&amp;CC1,'Revenue Tracking'!$H$12:$H$28, "&lt;"&amp;CD1)</f>
        <v>0</v>
      </c>
      <c r="CD3" s="245">
        <f>SUMIFS('Revenue Tracking'!$F$12:$F$28, 'Revenue Tracking'!$H$12:$H$28, "&gt;="&amp;CD1,'Revenue Tracking'!$H$12:$H$28, "&lt;"&amp;CE1)</f>
        <v>0</v>
      </c>
      <c r="CE3" s="245">
        <f>SUMIFS('Revenue Tracking'!$F$12:$F$28, 'Revenue Tracking'!$H$12:$H$28, "&gt;="&amp;CE1,'Revenue Tracking'!$H$12:$H$28, "&lt;"&amp;CF1)</f>
        <v>0</v>
      </c>
      <c r="CF3" s="245">
        <f>SUMIFS('Revenue Tracking'!$F$12:$F$28, 'Revenue Tracking'!$H$12:$H$28, "&gt;="&amp;CF1,'Revenue Tracking'!$H$12:$H$28, "&lt;"&amp;CG1)</f>
        <v>0</v>
      </c>
      <c r="CG3" s="245">
        <f>SUMIFS('Revenue Tracking'!$F$12:$F$28, 'Revenue Tracking'!$H$12:$H$28, "&gt;="&amp;CG1,'Revenue Tracking'!$H$12:$H$28, "&lt;"&amp;CH1)</f>
        <v>0</v>
      </c>
      <c r="CH3" s="245">
        <f>SUMIFS('Revenue Tracking'!$F$12:$F$28, 'Revenue Tracking'!$H$12:$H$28, "&gt;="&amp;CH1,'Revenue Tracking'!$H$12:$H$28, "&lt;"&amp;CI1)</f>
        <v>0</v>
      </c>
      <c r="CI3" s="245">
        <f>SUMIFS('Revenue Tracking'!$F$12:$F$28, 'Revenue Tracking'!$H$12:$H$28, "&gt;="&amp;CI1,'Revenue Tracking'!$H$12:$H$28, "&lt;"&amp;CJ1)</f>
        <v>0</v>
      </c>
      <c r="CJ3" s="245">
        <f>SUMIFS('Revenue Tracking'!$F$12:$F$28, 'Revenue Tracking'!$H$12:$H$28, "&gt;="&amp;CJ1,'Revenue Tracking'!$H$12:$H$28, "&lt;"&amp;CK1)</f>
        <v>0</v>
      </c>
      <c r="CK3" s="245">
        <f>SUMIFS('Revenue Tracking'!$F$12:$F$28, 'Revenue Tracking'!$H$12:$H$28, "&gt;="&amp;CK1,'Revenue Tracking'!$H$12:$H$28, "&lt;"&amp;CL1)</f>
        <v>0</v>
      </c>
      <c r="CL3" s="245">
        <f>SUMIFS('Revenue Tracking'!$F$12:$F$28, 'Revenue Tracking'!$H$12:$H$28, "&gt;="&amp;CL1,'Revenue Tracking'!$H$12:$H$28, "&lt;"&amp;CM1)</f>
        <v>0</v>
      </c>
      <c r="CM3" s="245">
        <f>SUMIFS('Revenue Tracking'!$F$12:$F$28, 'Revenue Tracking'!$H$12:$H$28, "&gt;="&amp;CM1,'Revenue Tracking'!$H$12:$H$28, "&lt;"&amp;CN1)</f>
        <v>0</v>
      </c>
      <c r="CN3" s="245">
        <f>SUMIFS('Revenue Tracking'!$F$12:$F$28, 'Revenue Tracking'!$H$12:$H$28, "&gt;="&amp;CN1,'Revenue Tracking'!$H$12:$H$28, "&lt;"&amp;CO1)</f>
        <v>0</v>
      </c>
      <c r="CO3" s="245">
        <f>SUMIFS('Revenue Tracking'!$F$12:$F$28, 'Revenue Tracking'!$H$12:$H$28, "&gt;="&amp;CO1,'Revenue Tracking'!$H$12:$H$28, "&lt;"&amp;CP1)</f>
        <v>0</v>
      </c>
      <c r="CP3" s="245">
        <f>SUMIFS('Revenue Tracking'!$F$12:$F$28, 'Revenue Tracking'!$H$12:$H$28, "&gt;="&amp;CP1,'Revenue Tracking'!$H$12:$H$28, "&lt;"&amp;CQ1)</f>
        <v>0</v>
      </c>
    </row>
    <row r="4" spans="1:572">
      <c r="A4" s="955"/>
      <c r="B4" s="242" t="s">
        <v>620</v>
      </c>
      <c r="C4" s="243"/>
      <c r="D4" s="243"/>
      <c r="E4" s="244"/>
      <c r="F4" s="245">
        <f>F3</f>
        <v>0</v>
      </c>
      <c r="G4" s="245">
        <f>F4+G3</f>
        <v>1602432.89396773</v>
      </c>
      <c r="H4" s="245">
        <f>G4+H3</f>
        <v>8813380.9168225154</v>
      </c>
      <c r="I4" s="245">
        <f t="shared" ref="I4:BT4" si="3">H4+I3</f>
        <v>8813380.9168225154</v>
      </c>
      <c r="J4" s="245">
        <f t="shared" si="3"/>
        <v>8813380.9168225154</v>
      </c>
      <c r="K4" s="245">
        <f t="shared" si="3"/>
        <v>8813380.9168225154</v>
      </c>
      <c r="L4" s="245">
        <f t="shared" si="3"/>
        <v>8813380.9168225154</v>
      </c>
      <c r="M4" s="245">
        <f t="shared" si="3"/>
        <v>8813380.9168225154</v>
      </c>
      <c r="N4" s="245">
        <f t="shared" si="3"/>
        <v>8813380.9168225154</v>
      </c>
      <c r="O4" s="245">
        <f t="shared" si="3"/>
        <v>8813380.9168225154</v>
      </c>
      <c r="P4" s="245">
        <f t="shared" si="3"/>
        <v>8813380.9168225154</v>
      </c>
      <c r="Q4" s="245">
        <f t="shared" si="3"/>
        <v>8813380.9168225154</v>
      </c>
      <c r="R4" s="245">
        <f t="shared" si="3"/>
        <v>8813380.9168225154</v>
      </c>
      <c r="S4" s="245">
        <f t="shared" si="3"/>
        <v>13620679.598725706</v>
      </c>
      <c r="T4" s="245">
        <f t="shared" si="3"/>
        <v>13620679.598725706</v>
      </c>
      <c r="U4" s="245">
        <f t="shared" si="3"/>
        <v>13620679.598725706</v>
      </c>
      <c r="V4" s="245">
        <f t="shared" si="3"/>
        <v>13620679.598725706</v>
      </c>
      <c r="W4" s="245">
        <f t="shared" si="3"/>
        <v>14421896.045709571</v>
      </c>
      <c r="X4" s="245">
        <f t="shared" si="3"/>
        <v>14421896.045709571</v>
      </c>
      <c r="Y4" s="245">
        <f t="shared" si="3"/>
        <v>14421896.045709571</v>
      </c>
      <c r="Z4" s="245">
        <f t="shared" si="3"/>
        <v>14421896.045709571</v>
      </c>
      <c r="AA4" s="245">
        <f t="shared" si="3"/>
        <v>14421896.045709571</v>
      </c>
      <c r="AB4" s="245">
        <f t="shared" si="3"/>
        <v>14421896.045709571</v>
      </c>
      <c r="AC4" s="245">
        <f t="shared" si="3"/>
        <v>14421896.045709571</v>
      </c>
      <c r="AD4" s="245">
        <f t="shared" si="3"/>
        <v>15223112.492693435</v>
      </c>
      <c r="AE4" s="245">
        <f t="shared" si="3"/>
        <v>15223112.492693435</v>
      </c>
      <c r="AF4" s="245">
        <f t="shared" si="3"/>
        <v>15223112.492693435</v>
      </c>
      <c r="AG4" s="245">
        <f t="shared" si="3"/>
        <v>15223112.492693435</v>
      </c>
      <c r="AH4" s="245">
        <f t="shared" si="3"/>
        <v>15223112.492693435</v>
      </c>
      <c r="AI4" s="245">
        <f t="shared" si="3"/>
        <v>15223112.492693435</v>
      </c>
      <c r="AJ4" s="245">
        <f t="shared" si="3"/>
        <v>15223112.492693435</v>
      </c>
      <c r="AK4" s="245">
        <f t="shared" si="3"/>
        <v>15223112.492693435</v>
      </c>
      <c r="AL4" s="245">
        <f t="shared" si="3"/>
        <v>15223112.492693435</v>
      </c>
      <c r="AM4" s="245">
        <f t="shared" si="3"/>
        <v>15223112.492693435</v>
      </c>
      <c r="AN4" s="245">
        <f t="shared" si="3"/>
        <v>15223112.492693435</v>
      </c>
      <c r="AO4" s="245">
        <f t="shared" si="3"/>
        <v>15223112.492693435</v>
      </c>
      <c r="AP4" s="245">
        <f t="shared" si="3"/>
        <v>15223112.492693435</v>
      </c>
      <c r="AQ4" s="245">
        <f t="shared" si="3"/>
        <v>15223112.492693435</v>
      </c>
      <c r="AR4" s="245">
        <f t="shared" si="3"/>
        <v>15223112.492693435</v>
      </c>
      <c r="AS4" s="245">
        <f t="shared" si="3"/>
        <v>15223112.492693435</v>
      </c>
      <c r="AT4" s="245">
        <f t="shared" si="3"/>
        <v>15223112.492693435</v>
      </c>
      <c r="AU4" s="245">
        <f t="shared" si="3"/>
        <v>15223112.492693435</v>
      </c>
      <c r="AV4" s="245">
        <f t="shared" si="3"/>
        <v>15223112.492693435</v>
      </c>
      <c r="AW4" s="245">
        <f t="shared" si="3"/>
        <v>15223112.492693435</v>
      </c>
      <c r="AX4" s="245">
        <f t="shared" si="3"/>
        <v>15223112.492693435</v>
      </c>
      <c r="AY4" s="245">
        <f t="shared" si="3"/>
        <v>15223112.492693435</v>
      </c>
      <c r="AZ4" s="245">
        <f t="shared" si="3"/>
        <v>15223112.492693435</v>
      </c>
      <c r="BA4" s="245">
        <f t="shared" si="3"/>
        <v>15223112.492693435</v>
      </c>
      <c r="BB4" s="245">
        <f t="shared" si="3"/>
        <v>15223112.492693435</v>
      </c>
      <c r="BC4" s="245">
        <f t="shared" si="3"/>
        <v>15223112.492693435</v>
      </c>
      <c r="BD4" s="245">
        <f t="shared" si="3"/>
        <v>15223112.492693435</v>
      </c>
      <c r="BE4" s="245">
        <f t="shared" si="3"/>
        <v>15223112.492693435</v>
      </c>
      <c r="BF4" s="245">
        <f t="shared" si="3"/>
        <v>15223112.492693435</v>
      </c>
      <c r="BG4" s="245">
        <f t="shared" si="3"/>
        <v>15223112.492693435</v>
      </c>
      <c r="BH4" s="245">
        <f t="shared" si="3"/>
        <v>15223112.492693435</v>
      </c>
      <c r="BI4" s="245">
        <f t="shared" si="3"/>
        <v>15223112.492693435</v>
      </c>
      <c r="BJ4" s="245">
        <f t="shared" si="3"/>
        <v>15223112.492693435</v>
      </c>
      <c r="BK4" s="245">
        <f t="shared" si="3"/>
        <v>15223112.492693435</v>
      </c>
      <c r="BL4" s="245">
        <f t="shared" si="3"/>
        <v>15223112.492693435</v>
      </c>
      <c r="BM4" s="245">
        <f t="shared" si="3"/>
        <v>15223112.492693435</v>
      </c>
      <c r="BN4" s="245">
        <f t="shared" si="3"/>
        <v>15223112.492693435</v>
      </c>
      <c r="BO4" s="245">
        <f t="shared" si="3"/>
        <v>15223112.492693435</v>
      </c>
      <c r="BP4" s="245">
        <f t="shared" si="3"/>
        <v>15223112.492693435</v>
      </c>
      <c r="BQ4" s="245">
        <f t="shared" si="3"/>
        <v>15223112.492693435</v>
      </c>
      <c r="BR4" s="245">
        <f t="shared" si="3"/>
        <v>15223112.492693435</v>
      </c>
      <c r="BS4" s="245">
        <f t="shared" si="3"/>
        <v>15623720.716185369</v>
      </c>
      <c r="BT4" s="245">
        <f t="shared" si="3"/>
        <v>15623720.716185369</v>
      </c>
      <c r="BU4" s="245">
        <f t="shared" ref="BU4:CJ4" si="4">BT4+BU3</f>
        <v>15623720.716185369</v>
      </c>
      <c r="BV4" s="245">
        <f t="shared" si="4"/>
        <v>16024328.939677302</v>
      </c>
      <c r="BW4" s="245">
        <f t="shared" si="4"/>
        <v>16024328.939677302</v>
      </c>
      <c r="BX4" s="245">
        <f t="shared" si="4"/>
        <v>16024328.939677302</v>
      </c>
      <c r="BY4" s="245">
        <f t="shared" si="4"/>
        <v>16024328.939677302</v>
      </c>
      <c r="BZ4" s="245">
        <f t="shared" si="4"/>
        <v>16024328.939677302</v>
      </c>
      <c r="CA4" s="245">
        <f t="shared" si="4"/>
        <v>16024328.939677302</v>
      </c>
      <c r="CB4" s="245">
        <f t="shared" si="4"/>
        <v>16024328.939677302</v>
      </c>
      <c r="CC4" s="245">
        <f t="shared" si="4"/>
        <v>16024328.939677302</v>
      </c>
      <c r="CD4" s="245">
        <f t="shared" si="4"/>
        <v>16024328.939677302</v>
      </c>
      <c r="CE4" s="245">
        <f t="shared" si="4"/>
        <v>16024328.939677302</v>
      </c>
      <c r="CF4" s="245">
        <f t="shared" si="4"/>
        <v>16024328.939677302</v>
      </c>
      <c r="CG4" s="245">
        <f t="shared" si="4"/>
        <v>16024328.939677302</v>
      </c>
      <c r="CH4" s="245">
        <f t="shared" si="4"/>
        <v>16024328.939677302</v>
      </c>
      <c r="CI4" s="245">
        <f t="shared" si="4"/>
        <v>16024328.939677302</v>
      </c>
      <c r="CJ4" s="245">
        <f t="shared" si="4"/>
        <v>16024328.939677302</v>
      </c>
      <c r="CK4" s="245">
        <f t="shared" ref="CK4" si="5">CJ4+CK3</f>
        <v>16024328.939677302</v>
      </c>
      <c r="CL4" s="245">
        <f t="shared" ref="CL4" si="6">CK4+CL3</f>
        <v>16024328.939677302</v>
      </c>
      <c r="CM4" s="245">
        <f t="shared" ref="CM4" si="7">CL4+CM3</f>
        <v>16024328.939677302</v>
      </c>
      <c r="CN4" s="245">
        <f t="shared" ref="CN4" si="8">CM4+CN3</f>
        <v>16024328.939677302</v>
      </c>
      <c r="CO4" s="245">
        <f t="shared" ref="CO4" si="9">CN4+CO3</f>
        <v>16024328.939677302</v>
      </c>
      <c r="CP4" s="245">
        <f t="shared" ref="CP4" si="10">CO4+CP3</f>
        <v>16024328.939677302</v>
      </c>
    </row>
    <row r="5" spans="1:572" s="250" customFormat="1">
      <c r="A5" s="955"/>
      <c r="B5" s="246" t="s">
        <v>262</v>
      </c>
      <c r="C5" s="247">
        <f>'Revenue Tracking'!D5</f>
        <v>13780793.746280435</v>
      </c>
      <c r="D5" s="247">
        <f>SUM(F5:CP5)</f>
        <v>12360544.945410868</v>
      </c>
      <c r="E5" s="244"/>
      <c r="F5" s="248">
        <f>SUMIFS('Expenditure Breakdown'!$G$6:$G$173, 'Expenditure Breakdown'!$H$6:$H$173, "&gt;="&amp;F1,'Expenditure Breakdown'!$H$6:$H$173, "&lt;"&amp;G1)</f>
        <v>0</v>
      </c>
      <c r="G5" s="248">
        <f>SUMIFS('Expenditure Breakdown'!$G$6:$G$173, 'Expenditure Breakdown'!$H$6:$H$173, "&gt;="&amp;G1,'Expenditure Breakdown'!$H$6:$H$173, "&lt;"&amp;H1)</f>
        <v>0</v>
      </c>
      <c r="H5" s="248">
        <f>SUMIFS('Expenditure Breakdown'!$G$6:$G$173, 'Expenditure Breakdown'!$H$6:$H$173, "&gt;="&amp;H1,'Expenditure Breakdown'!$H$6:$H$173, "&lt;"&amp;I1)</f>
        <v>0</v>
      </c>
      <c r="I5" s="248">
        <f>SUMIFS('Expenditure Breakdown'!$G$6:$G$173, 'Expenditure Breakdown'!$H$6:$H$173, "&gt;="&amp;I1,'Expenditure Breakdown'!$H$6:$H$173, "&lt;"&amp;J1)</f>
        <v>0</v>
      </c>
      <c r="J5" s="248">
        <f>SUMIFS('Expenditure Breakdown'!$G$6:$G$173, 'Expenditure Breakdown'!$H$6:$H$173, "&gt;="&amp;J1,'Expenditure Breakdown'!$H$6:$H$173, "&lt;"&amp;K1)</f>
        <v>0</v>
      </c>
      <c r="K5" s="248">
        <f>SUMIFS('Expenditure Breakdown'!$G$6:$G$173, 'Expenditure Breakdown'!$H$6:$H$173, "&gt;="&amp;K1,'Expenditure Breakdown'!$H$6:$H$173, "&lt;"&amp;L1)</f>
        <v>7922543.6320000002</v>
      </c>
      <c r="L5" s="248">
        <f>SUMIFS('Expenditure Breakdown'!$G$6:$G$173, 'Expenditure Breakdown'!$H$6:$H$173, "&gt;="&amp;L1,'Expenditure Breakdown'!$H$6:$H$173, "&lt;"&amp;M1)</f>
        <v>0</v>
      </c>
      <c r="M5" s="248">
        <f>SUMIFS('Expenditure Breakdown'!$G$6:$G$173, 'Expenditure Breakdown'!$H$6:$H$173, "&gt;="&amp;M1,'Expenditure Breakdown'!$H$6:$H$173, "&lt;"&amp;N1)</f>
        <v>609828.62086956529</v>
      </c>
      <c r="N5" s="248">
        <f>SUMIFS('Expenditure Breakdown'!$G$6:$G$173, 'Expenditure Breakdown'!$H$6:$H$173, "&gt;="&amp;N1,'Expenditure Breakdown'!$H$6:$H$173, "&lt;"&amp;O1)</f>
        <v>304914.31043478264</v>
      </c>
      <c r="O5" s="248">
        <f>SUMIFS('Expenditure Breakdown'!$G$6:$G$173, 'Expenditure Breakdown'!$H$6:$H$173, "&gt;="&amp;O1,'Expenditure Breakdown'!$H$6:$H$173, "&lt;"&amp;P1)</f>
        <v>656771.46565217385</v>
      </c>
      <c r="P5" s="248">
        <f>SUMIFS('Expenditure Breakdown'!$G$6:$G$173, 'Expenditure Breakdown'!$H$6:$H$173, "&gt;="&amp;P1,'Expenditure Breakdown'!$H$6:$H$173, "&lt;"&amp;Q1)</f>
        <v>0</v>
      </c>
      <c r="Q5" s="248">
        <f>SUMIFS('Expenditure Breakdown'!$G$6:$G$173, 'Expenditure Breakdown'!$H$6:$H$173, "&gt;="&amp;Q1,'Expenditure Breakdown'!$H$6:$H$173, "&lt;"&amp;R1)</f>
        <v>0</v>
      </c>
      <c r="R5" s="248">
        <f>SUMIFS('Expenditure Breakdown'!$G$6:$G$173, 'Expenditure Breakdown'!$H$6:$H$173, "&gt;="&amp;R1,'Expenditure Breakdown'!$H$6:$H$173, "&lt;"&amp;S1)</f>
        <v>0</v>
      </c>
      <c r="S5" s="248">
        <f>SUMIFS('Expenditure Breakdown'!$G$6:$G$173, 'Expenditure Breakdown'!$H$6:$H$173, "&gt;="&amp;S1,'Expenditure Breakdown'!$H$6:$H$173, "&lt;"&amp;T1)</f>
        <v>656096</v>
      </c>
      <c r="T5" s="248">
        <f>SUMIFS('Expenditure Breakdown'!$G$6:$G$173, 'Expenditure Breakdown'!$H$6:$H$173, "&gt;="&amp;T1,'Expenditure Breakdown'!$H$6:$H$173, "&lt;"&amp;U1)</f>
        <v>1507600</v>
      </c>
      <c r="U5" s="248">
        <f>SUMIFS('Expenditure Breakdown'!$G$6:$G$173, 'Expenditure Breakdown'!$H$6:$H$173, "&gt;="&amp;U1,'Expenditure Breakdown'!$H$6:$H$173, "&lt;"&amp;V1)</f>
        <v>0</v>
      </c>
      <c r="V5" s="248">
        <f>SUMIFS('Expenditure Breakdown'!$G$6:$G$173, 'Expenditure Breakdown'!$H$6:$H$173, "&gt;="&amp;V1,'Expenditure Breakdown'!$H$6:$H$173, "&lt;"&amp;W1)</f>
        <v>5171.2</v>
      </c>
      <c r="W5" s="248">
        <f>SUMIFS('Expenditure Breakdown'!$G$6:$G$173, 'Expenditure Breakdown'!$H$6:$H$173, "&gt;="&amp;W1,'Expenditure Breakdown'!$H$6:$H$173, "&lt;"&amp;X1)</f>
        <v>0</v>
      </c>
      <c r="X5" s="248">
        <f>SUMIFS('Expenditure Breakdown'!$G$6:$G$173, 'Expenditure Breakdown'!$H$6:$H$173, "&gt;="&amp;X1,'Expenditure Breakdown'!$H$6:$H$173, "&lt;"&amp;Y1)</f>
        <v>0</v>
      </c>
      <c r="Y5" s="248">
        <f>SUMIFS('Expenditure Breakdown'!$G$6:$G$173, 'Expenditure Breakdown'!$H$6:$H$173, "&gt;="&amp;Y1,'Expenditure Breakdown'!$H$6:$H$173, "&lt;"&amp;Z1)</f>
        <v>0</v>
      </c>
      <c r="Z5" s="248">
        <f>SUMIFS('Expenditure Breakdown'!$G$6:$G$173, 'Expenditure Breakdown'!$H$6:$H$173, "&gt;="&amp;Z1,'Expenditure Breakdown'!$H$6:$H$173, "&lt;"&amp;AA1)</f>
        <v>0</v>
      </c>
      <c r="AA5" s="248">
        <f>SUMIFS('Expenditure Breakdown'!$G$6:$G$173, 'Expenditure Breakdown'!$H$6:$H$173, "&gt;="&amp;AA1,'Expenditure Breakdown'!$H$6:$H$173, "&lt;"&amp;AB1)</f>
        <v>0</v>
      </c>
      <c r="AB5" s="248">
        <f>SUMIFS('Expenditure Breakdown'!$G$6:$G$173, 'Expenditure Breakdown'!$H$6:$H$173, "&gt;="&amp;AB1,'Expenditure Breakdown'!$H$6:$H$173, "&lt;"&amp;AC1)</f>
        <v>0</v>
      </c>
      <c r="AC5" s="248">
        <f>SUMIFS('Expenditure Breakdown'!$G$6:$G$173, 'Expenditure Breakdown'!$H$6:$H$173, "&gt;="&amp;AC1,'Expenditure Breakdown'!$H$6:$H$173, "&lt;"&amp;AD1)</f>
        <v>0</v>
      </c>
      <c r="AD5" s="248">
        <f>SUMIFS('Expenditure Breakdown'!$G$6:$G$173, 'Expenditure Breakdown'!$H$6:$H$173, "&gt;="&amp;AD1,'Expenditure Breakdown'!$H$6:$H$173, "&lt;"&amp;AE1)</f>
        <v>0</v>
      </c>
      <c r="AE5" s="248">
        <f>SUMIFS('Expenditure Breakdown'!$G$6:$G$173, 'Expenditure Breakdown'!$H$6:$H$173, "&gt;="&amp;AE1,'Expenditure Breakdown'!$H$6:$H$173, "&lt;"&amp;AF1)</f>
        <v>0</v>
      </c>
      <c r="AF5" s="248">
        <f>SUMIFS('Expenditure Breakdown'!$G$6:$G$173, 'Expenditure Breakdown'!$H$6:$H$173, "&gt;="&amp;AF1,'Expenditure Breakdown'!$H$6:$H$173, "&lt;"&amp;AG1)</f>
        <v>0</v>
      </c>
      <c r="AG5" s="248">
        <f>SUMIFS('Expenditure Breakdown'!$G$6:$G$173, 'Expenditure Breakdown'!$H$6:$H$173, "&gt;="&amp;AG1,'Expenditure Breakdown'!$H$6:$H$173, "&lt;"&amp;AH1)</f>
        <v>0</v>
      </c>
      <c r="AH5" s="248">
        <f>SUMIFS('Expenditure Breakdown'!$G$6:$G$173, 'Expenditure Breakdown'!$H$6:$H$173, "&gt;="&amp;AH1,'Expenditure Breakdown'!$H$6:$H$173, "&lt;"&amp;AI1)</f>
        <v>0</v>
      </c>
      <c r="AI5" s="248">
        <f>SUMIFS('Expenditure Breakdown'!$G$6:$G$173, 'Expenditure Breakdown'!$H$6:$H$173, "&gt;="&amp;AI1,'Expenditure Breakdown'!$H$6:$H$173, "&lt;"&amp;AJ1)</f>
        <v>0</v>
      </c>
      <c r="AJ5" s="248">
        <f>SUMIFS('Expenditure Breakdown'!$G$6:$G$173, 'Expenditure Breakdown'!$H$6:$H$173, "&gt;="&amp;AJ1,'Expenditure Breakdown'!$H$6:$H$173, "&lt;"&amp;AK1)</f>
        <v>0</v>
      </c>
      <c r="AK5" s="248">
        <f>SUMIFS('Expenditure Breakdown'!$G$6:$G$173, 'Expenditure Breakdown'!$H$6:$H$173, "&gt;="&amp;AK1,'Expenditure Breakdown'!$H$6:$H$173, "&lt;"&amp;AL1)</f>
        <v>0</v>
      </c>
      <c r="AL5" s="248">
        <f>SUMIFS('Expenditure Breakdown'!$G$6:$G$173, 'Expenditure Breakdown'!$H$6:$H$173, "&gt;="&amp;AL1,'Expenditure Breakdown'!$H$6:$H$173, "&lt;"&amp;AM1)</f>
        <v>0</v>
      </c>
      <c r="AM5" s="248">
        <f>SUMIFS('Expenditure Breakdown'!$G$6:$G$173, 'Expenditure Breakdown'!$H$6:$H$173, "&gt;="&amp;AM1,'Expenditure Breakdown'!$H$6:$H$173, "&lt;"&amp;AN1)</f>
        <v>0</v>
      </c>
      <c r="AN5" s="248">
        <f>SUMIFS('Expenditure Breakdown'!$G$6:$G$173, 'Expenditure Breakdown'!$H$6:$H$173, "&gt;="&amp;AN1,'Expenditure Breakdown'!$H$6:$H$173, "&lt;"&amp;AO1)</f>
        <v>0</v>
      </c>
      <c r="AO5" s="248">
        <f>SUMIFS('Expenditure Breakdown'!$G$6:$G$173, 'Expenditure Breakdown'!$H$6:$H$173, "&gt;="&amp;AO1,'Expenditure Breakdown'!$H$6:$H$173, "&lt;"&amp;AP1)</f>
        <v>0</v>
      </c>
      <c r="AP5" s="248">
        <f>SUMIFS('Expenditure Breakdown'!$G$6:$G$173, 'Expenditure Breakdown'!$H$6:$H$173, "&gt;="&amp;AP1,'Expenditure Breakdown'!$H$6:$H$173, "&lt;"&amp;AQ1)</f>
        <v>0</v>
      </c>
      <c r="AQ5" s="248">
        <f>SUMIFS('Expenditure Breakdown'!$G$6:$G$173, 'Expenditure Breakdown'!$H$6:$H$173, "&gt;="&amp;AQ1,'Expenditure Breakdown'!$H$6:$H$173, "&lt;"&amp;AR1)</f>
        <v>0</v>
      </c>
      <c r="AR5" s="248">
        <f>SUMIFS('Expenditure Breakdown'!$G$6:$G$173, 'Expenditure Breakdown'!$H$6:$H$173, "&gt;="&amp;AR1,'Expenditure Breakdown'!$H$6:$H$173, "&lt;"&amp;AS1)</f>
        <v>0</v>
      </c>
      <c r="AS5" s="248">
        <f>SUMIFS('Expenditure Breakdown'!$G$6:$G$173, 'Expenditure Breakdown'!$H$6:$H$173, "&gt;="&amp;AS1,'Expenditure Breakdown'!$H$6:$H$173, "&lt;"&amp;AT1)</f>
        <v>0</v>
      </c>
      <c r="AT5" s="248">
        <f>SUMIFS('Expenditure Breakdown'!$G$6:$G$173, 'Expenditure Breakdown'!$H$6:$H$173, "&gt;="&amp;AT1,'Expenditure Breakdown'!$H$6:$H$173, "&lt;"&amp;AU1)</f>
        <v>0</v>
      </c>
      <c r="AU5" s="248">
        <f>SUMIFS('Expenditure Breakdown'!$G$6:$G$173, 'Expenditure Breakdown'!$H$6:$H$173, "&gt;="&amp;AU1,'Expenditure Breakdown'!$H$6:$H$173, "&lt;"&amp;AV1)</f>
        <v>0</v>
      </c>
      <c r="AV5" s="248">
        <f>SUMIFS('Expenditure Breakdown'!$G$6:$G$173, 'Expenditure Breakdown'!$H$6:$H$173, "&gt;="&amp;AV1,'Expenditure Breakdown'!$H$6:$H$173, "&lt;"&amp;AW1)</f>
        <v>0</v>
      </c>
      <c r="AW5" s="248">
        <f>SUMIFS('Expenditure Breakdown'!$G$6:$G$173, 'Expenditure Breakdown'!$H$6:$H$173, "&gt;="&amp;AW1,'Expenditure Breakdown'!$H$6:$H$173, "&lt;"&amp;AX1)</f>
        <v>0</v>
      </c>
      <c r="AX5" s="248">
        <f>SUMIFS('Expenditure Breakdown'!$G$6:$G$173, 'Expenditure Breakdown'!$H$6:$H$173, "&gt;="&amp;AX1,'Expenditure Breakdown'!$H$6:$H$173, "&lt;"&amp;AY1)</f>
        <v>0</v>
      </c>
      <c r="AY5" s="248">
        <f>SUMIFS('Expenditure Breakdown'!$G$6:$G$173, 'Expenditure Breakdown'!$H$6:$H$173, "&gt;="&amp;AY1,'Expenditure Breakdown'!$H$6:$H$173, "&lt;"&amp;AZ1)</f>
        <v>0</v>
      </c>
      <c r="AZ5" s="248">
        <f>SUMIFS('Expenditure Breakdown'!$G$6:$G$173, 'Expenditure Breakdown'!$H$6:$H$173, "&gt;="&amp;AZ1,'Expenditure Breakdown'!$H$6:$H$173, "&lt;"&amp;BA1)</f>
        <v>0</v>
      </c>
      <c r="BA5" s="248">
        <f>SUMIFS('Expenditure Breakdown'!$G$6:$G$173, 'Expenditure Breakdown'!$H$6:$H$173, "&gt;="&amp;BA1,'Expenditure Breakdown'!$H$6:$H$173, "&lt;"&amp;BB1)</f>
        <v>0</v>
      </c>
      <c r="BB5" s="248">
        <f>SUMIFS('Expenditure Breakdown'!$G$6:$G$173, 'Expenditure Breakdown'!$H$6:$H$173, "&gt;="&amp;BB1,'Expenditure Breakdown'!$H$6:$H$173, "&lt;"&amp;BC1)</f>
        <v>0</v>
      </c>
      <c r="BC5" s="248">
        <f>SUMIFS('Expenditure Breakdown'!$G$6:$G$173, 'Expenditure Breakdown'!$H$6:$H$173, "&gt;="&amp;BC1,'Expenditure Breakdown'!$H$6:$H$173, "&lt;"&amp;BD1)</f>
        <v>697619.71645434783</v>
      </c>
      <c r="BD5" s="248">
        <f>SUMIFS('Expenditure Breakdown'!$G$6:$G$173, 'Expenditure Breakdown'!$H$6:$H$173, "&gt;="&amp;BD1,'Expenditure Breakdown'!$H$6:$H$173, "&lt;"&amp;BE1)</f>
        <v>0</v>
      </c>
      <c r="BE5" s="248">
        <f>SUMIFS('Expenditure Breakdown'!$G$6:$G$173, 'Expenditure Breakdown'!$H$6:$H$173, "&gt;="&amp;BE1,'Expenditure Breakdown'!$H$6:$H$173, "&lt;"&amp;BF1)</f>
        <v>0</v>
      </c>
      <c r="BF5" s="248">
        <f>SUMIFS('Expenditure Breakdown'!$G$6:$G$173, 'Expenditure Breakdown'!$H$6:$H$173, "&gt;="&amp;BF1,'Expenditure Breakdown'!$H$6:$H$173, "&lt;"&amp;BG1)</f>
        <v>0</v>
      </c>
      <c r="BG5" s="248">
        <f>SUMIFS('Expenditure Breakdown'!$G$6:$G$173, 'Expenditure Breakdown'!$H$6:$H$173, "&gt;="&amp;BG1,'Expenditure Breakdown'!$H$6:$H$173, "&lt;"&amp;BH1)</f>
        <v>0</v>
      </c>
      <c r="BH5" s="248">
        <f>SUMIFS('Expenditure Breakdown'!$G$6:$G$173, 'Expenditure Breakdown'!$H$6:$H$173, "&gt;="&amp;BH1,'Expenditure Breakdown'!$H$6:$H$173, "&lt;"&amp;BI1)</f>
        <v>0</v>
      </c>
      <c r="BI5" s="248">
        <f>SUMIFS('Expenditure Breakdown'!$G$6:$G$173, 'Expenditure Breakdown'!$H$6:$H$173, "&gt;="&amp;BI1,'Expenditure Breakdown'!$H$6:$H$173, "&lt;"&amp;BJ1)</f>
        <v>0</v>
      </c>
      <c r="BJ5" s="248">
        <f>SUMIFS('Expenditure Breakdown'!$G$6:$G$173, 'Expenditure Breakdown'!$H$6:$H$173, "&gt;="&amp;BJ1,'Expenditure Breakdown'!$H$6:$H$173, "&lt;"&amp;BK1)</f>
        <v>0</v>
      </c>
      <c r="BK5" s="248">
        <f>SUMIFS('Expenditure Breakdown'!$G$6:$G$173, 'Expenditure Breakdown'!$H$6:$H$173, "&gt;="&amp;BK1,'Expenditure Breakdown'!$H$6:$H$173, "&lt;"&amp;BL1)</f>
        <v>0</v>
      </c>
      <c r="BL5" s="248">
        <f>SUMIFS('Expenditure Breakdown'!$G$6:$G$173, 'Expenditure Breakdown'!$H$6:$H$173, "&gt;="&amp;BL1,'Expenditure Breakdown'!$H$6:$H$173, "&lt;"&amp;BM1)</f>
        <v>0</v>
      </c>
      <c r="BM5" s="248">
        <f>SUMIFS('Expenditure Breakdown'!$G$6:$G$173, 'Expenditure Breakdown'!$H$6:$H$173, "&gt;="&amp;BM1,'Expenditure Breakdown'!$H$6:$H$173, "&lt;"&amp;BN1)</f>
        <v>0</v>
      </c>
      <c r="BN5" s="248">
        <f>SUMIFS('Expenditure Breakdown'!$G$6:$G$173, 'Expenditure Breakdown'!$H$6:$H$173, "&gt;="&amp;BN1,'Expenditure Breakdown'!$H$6:$H$173, "&lt;"&amp;BO1)</f>
        <v>0</v>
      </c>
      <c r="BO5" s="248">
        <f>SUMIFS('Expenditure Breakdown'!$G$6:$G$173, 'Expenditure Breakdown'!$H$6:$H$173, "&gt;="&amp;BO1,'Expenditure Breakdown'!$H$6:$H$173, "&lt;"&amp;BP1)</f>
        <v>0</v>
      </c>
      <c r="BP5" s="248">
        <f>SUMIFS('Expenditure Breakdown'!$G$6:$G$173, 'Expenditure Breakdown'!$H$6:$H$173, "&gt;="&amp;BP1,'Expenditure Breakdown'!$H$6:$H$173, "&lt;"&amp;BQ1)</f>
        <v>0</v>
      </c>
      <c r="BQ5" s="248">
        <f>SUMIFS('Expenditure Breakdown'!$G$6:$G$173, 'Expenditure Breakdown'!$H$6:$H$173, "&gt;="&amp;BQ1,'Expenditure Breakdown'!$H$6:$H$173, "&lt;"&amp;BR1)</f>
        <v>0</v>
      </c>
      <c r="BR5" s="248">
        <f>SUMIFS('Expenditure Breakdown'!$G$6:$G$173, 'Expenditure Breakdown'!$H$6:$H$173, "&gt;="&amp;BR1,'Expenditure Breakdown'!$H$6:$H$173, "&lt;"&amp;BS1)</f>
        <v>0</v>
      </c>
      <c r="BS5" s="248">
        <f>SUMIFS('Expenditure Breakdown'!$G$6:$G$173, 'Expenditure Breakdown'!$H$6:$H$173, "&gt;="&amp;BS1,'Expenditure Breakdown'!$H$6:$H$173, "&lt;"&amp;BT1)</f>
        <v>0</v>
      </c>
      <c r="BT5" s="248">
        <f>SUMIFS('Expenditure Breakdown'!$G$6:$G$173, 'Expenditure Breakdown'!$H$6:$H$173, "&gt;="&amp;BT1,'Expenditure Breakdown'!$H$6:$H$173, "&lt;"&amp;BU1)</f>
        <v>0</v>
      </c>
      <c r="BU5" s="248">
        <f>SUMIFS('Expenditure Breakdown'!$G$6:$G$173, 'Expenditure Breakdown'!$H$6:$H$173, "&gt;="&amp;BU1,'Expenditure Breakdown'!$H$6:$H$173, "&lt;"&amp;BV1)</f>
        <v>0</v>
      </c>
      <c r="BV5" s="248">
        <f>SUMIFS('Expenditure Breakdown'!$G$6:$G$173, 'Expenditure Breakdown'!$H$6:$H$173, "&gt;="&amp;BV1,'Expenditure Breakdown'!$H$6:$H$173, "&lt;"&amp;BW1)</f>
        <v>0</v>
      </c>
      <c r="BW5" s="248">
        <f>SUMIFS('Expenditure Breakdown'!$G$6:$G$173, 'Expenditure Breakdown'!$H$6:$H$173, "&gt;="&amp;BW1,'Expenditure Breakdown'!$H$6:$H$173, "&lt;"&amp;BX1)</f>
        <v>0</v>
      </c>
      <c r="BX5" s="248">
        <f>SUMIFS('Expenditure Breakdown'!$G$6:$G$173, 'Expenditure Breakdown'!$H$6:$H$173, "&gt;="&amp;BX1,'Expenditure Breakdown'!$H$6:$H$173, "&lt;"&amp;BY1)</f>
        <v>0</v>
      </c>
      <c r="BY5" s="248">
        <f>SUMIFS('Expenditure Breakdown'!$G$6:$G$173, 'Expenditure Breakdown'!$H$6:$H$173, "&gt;="&amp;BY1,'Expenditure Breakdown'!$H$6:$H$173, "&lt;"&amp;BZ1)</f>
        <v>0</v>
      </c>
      <c r="BZ5" s="248">
        <f>SUMIFS('Expenditure Breakdown'!$G$6:$G$173, 'Expenditure Breakdown'!$H$6:$H$173, "&gt;="&amp;BZ1,'Expenditure Breakdown'!$H$6:$H$173, "&lt;"&amp;CA1)</f>
        <v>0</v>
      </c>
      <c r="CA5" s="248">
        <f>SUMIFS('Expenditure Breakdown'!$G$6:$G$173, 'Expenditure Breakdown'!$H$6:$H$173, "&gt;="&amp;CA1,'Expenditure Breakdown'!$H$6:$H$173, "&lt;"&amp;CB1)</f>
        <v>0</v>
      </c>
      <c r="CB5" s="248">
        <f>SUMIFS('Expenditure Breakdown'!$G$6:$G$173, 'Expenditure Breakdown'!$H$6:$H$173, "&gt;="&amp;CB1,'Expenditure Breakdown'!$H$6:$H$173, "&lt;"&amp;CC1)</f>
        <v>0</v>
      </c>
      <c r="CC5" s="248">
        <f>SUMIFS('Expenditure Breakdown'!$G$6:$G$173, 'Expenditure Breakdown'!$H$6:$H$173, "&gt;="&amp;CC1,'Expenditure Breakdown'!$H$6:$H$173, "&lt;"&amp;CD1)</f>
        <v>0</v>
      </c>
      <c r="CD5" s="248">
        <f>SUMIFS('Expenditure Breakdown'!$G$6:$G$173, 'Expenditure Breakdown'!$H$6:$H$173, "&gt;="&amp;CD1,'Expenditure Breakdown'!$H$6:$H$173, "&lt;"&amp;CE1)</f>
        <v>0</v>
      </c>
      <c r="CE5" s="248">
        <f>SUMIFS('Expenditure Breakdown'!$G$6:$G$173, 'Expenditure Breakdown'!$H$6:$H$173, "&gt;="&amp;CE1,'Expenditure Breakdown'!$H$6:$H$173, "&lt;"&amp;CF1)</f>
        <v>0</v>
      </c>
      <c r="CF5" s="248">
        <f>SUMIFS('Expenditure Breakdown'!$G$6:$G$173, 'Expenditure Breakdown'!$H$6:$H$173, "&gt;="&amp;CF1,'Expenditure Breakdown'!$H$6:$H$173, "&lt;"&amp;CG1)</f>
        <v>0</v>
      </c>
      <c r="CG5" s="248">
        <f>SUMIFS('Expenditure Breakdown'!$G$6:$G$173, 'Expenditure Breakdown'!$H$6:$H$173, "&gt;="&amp;CG1,'Expenditure Breakdown'!$H$6:$H$173, "&lt;"&amp;CH1)</f>
        <v>0</v>
      </c>
      <c r="CH5" s="248">
        <f>SUMIFS('Expenditure Breakdown'!$G$6:$G$173, 'Expenditure Breakdown'!$H$6:$H$173, "&gt;="&amp;CH1,'Expenditure Breakdown'!$H$6:$H$173, "&lt;"&amp;CI1)</f>
        <v>0</v>
      </c>
      <c r="CI5" s="248">
        <f>SUMIFS('Expenditure Breakdown'!$G$6:$G$173, 'Expenditure Breakdown'!$H$6:$H$173, "&gt;="&amp;CI1,'Expenditure Breakdown'!$H$6:$H$173, "&lt;"&amp;CJ1)</f>
        <v>0</v>
      </c>
      <c r="CJ5" s="248">
        <f>SUMIFS('Expenditure Breakdown'!$G$6:$G$173, 'Expenditure Breakdown'!$H$6:$H$173, "&gt;="&amp;CJ1,'Expenditure Breakdown'!$H$6:$H$173, "&lt;"&amp;CK1)</f>
        <v>0</v>
      </c>
      <c r="CK5" s="248">
        <f>SUMIFS('Expenditure Breakdown'!$G$6:$G$173, 'Expenditure Breakdown'!$H$6:$H$173, "&gt;="&amp;CK1,'Expenditure Breakdown'!$H$6:$H$173, "&lt;"&amp;CL1)</f>
        <v>0</v>
      </c>
      <c r="CL5" s="248">
        <f>SUMIFS('Expenditure Breakdown'!$G$6:$G$173, 'Expenditure Breakdown'!$H$6:$H$173, "&gt;="&amp;CL1,'Expenditure Breakdown'!$H$6:$H$173, "&lt;"&amp;CM1)</f>
        <v>0</v>
      </c>
      <c r="CM5" s="248">
        <f>SUMIFS('Expenditure Breakdown'!$G$6:$G$173, 'Expenditure Breakdown'!$H$6:$H$173, "&gt;="&amp;CM1,'Expenditure Breakdown'!$H$6:$H$173, "&lt;"&amp;CN1)</f>
        <v>0</v>
      </c>
      <c r="CN5" s="248">
        <f>SUMIFS('Expenditure Breakdown'!$G$6:$G$173, 'Expenditure Breakdown'!$H$6:$H$173, "&gt;="&amp;CN1,'Expenditure Breakdown'!$H$6:$H$173, "&lt;"&amp;CO1)</f>
        <v>0</v>
      </c>
      <c r="CO5" s="248">
        <f>SUMIFS('Expenditure Breakdown'!$G$6:$G$173, 'Expenditure Breakdown'!$H$6:$H$173, "&gt;="&amp;CO1,'Expenditure Breakdown'!$H$6:$H$173, "&lt;"&amp;CP1)</f>
        <v>0</v>
      </c>
      <c r="CP5" s="248">
        <f>SUMIFS('Expenditure Breakdown'!$G$6:$G$173, 'Expenditure Breakdown'!$H$6:$H$173, "&gt;="&amp;CP1,'Expenditure Breakdown'!$H$6:$H$173, "&lt;"&amp;CQ1)</f>
        <v>0</v>
      </c>
      <c r="CQ5" s="238"/>
      <c r="CR5" s="249"/>
      <c r="CS5" s="249"/>
    </row>
    <row r="6" spans="1:572" s="250" customFormat="1">
      <c r="A6" s="955"/>
      <c r="B6" s="246" t="s">
        <v>621</v>
      </c>
      <c r="C6" s="247"/>
      <c r="D6" s="247"/>
      <c r="E6" s="244"/>
      <c r="F6" s="248">
        <f>F5</f>
        <v>0</v>
      </c>
      <c r="G6" s="248">
        <f>F6+G5</f>
        <v>0</v>
      </c>
      <c r="H6" s="248">
        <f>G6+H5</f>
        <v>0</v>
      </c>
      <c r="I6" s="248">
        <f t="shared" ref="I6:BT6" si="11">H6+I5</f>
        <v>0</v>
      </c>
      <c r="J6" s="248">
        <f t="shared" si="11"/>
        <v>0</v>
      </c>
      <c r="K6" s="248">
        <f t="shared" si="11"/>
        <v>7922543.6320000002</v>
      </c>
      <c r="L6" s="248">
        <f t="shared" si="11"/>
        <v>7922543.6320000002</v>
      </c>
      <c r="M6" s="248">
        <f t="shared" si="11"/>
        <v>8532372.252869565</v>
      </c>
      <c r="N6" s="248">
        <f t="shared" si="11"/>
        <v>8837286.5633043479</v>
      </c>
      <c r="O6" s="248">
        <f t="shared" si="11"/>
        <v>9494058.0289565213</v>
      </c>
      <c r="P6" s="248">
        <f t="shared" si="11"/>
        <v>9494058.0289565213</v>
      </c>
      <c r="Q6" s="248">
        <f t="shared" si="11"/>
        <v>9494058.0289565213</v>
      </c>
      <c r="R6" s="248">
        <f t="shared" si="11"/>
        <v>9494058.0289565213</v>
      </c>
      <c r="S6" s="248">
        <f t="shared" si="11"/>
        <v>10150154.028956521</v>
      </c>
      <c r="T6" s="248">
        <f t="shared" si="11"/>
        <v>11657754.028956521</v>
      </c>
      <c r="U6" s="248">
        <f t="shared" si="11"/>
        <v>11657754.028956521</v>
      </c>
      <c r="V6" s="248">
        <f t="shared" si="11"/>
        <v>11662925.228956521</v>
      </c>
      <c r="W6" s="248">
        <f t="shared" si="11"/>
        <v>11662925.228956521</v>
      </c>
      <c r="X6" s="248">
        <f t="shared" si="11"/>
        <v>11662925.228956521</v>
      </c>
      <c r="Y6" s="248">
        <f t="shared" si="11"/>
        <v>11662925.228956521</v>
      </c>
      <c r="Z6" s="248">
        <f t="shared" si="11"/>
        <v>11662925.228956521</v>
      </c>
      <c r="AA6" s="248">
        <f t="shared" si="11"/>
        <v>11662925.228956521</v>
      </c>
      <c r="AB6" s="248">
        <f t="shared" si="11"/>
        <v>11662925.228956521</v>
      </c>
      <c r="AC6" s="248">
        <f t="shared" si="11"/>
        <v>11662925.228956521</v>
      </c>
      <c r="AD6" s="248">
        <f t="shared" si="11"/>
        <v>11662925.228956521</v>
      </c>
      <c r="AE6" s="248">
        <f t="shared" si="11"/>
        <v>11662925.228956521</v>
      </c>
      <c r="AF6" s="248">
        <f t="shared" si="11"/>
        <v>11662925.228956521</v>
      </c>
      <c r="AG6" s="248">
        <f t="shared" si="11"/>
        <v>11662925.228956521</v>
      </c>
      <c r="AH6" s="248">
        <f t="shared" si="11"/>
        <v>11662925.228956521</v>
      </c>
      <c r="AI6" s="248">
        <f t="shared" si="11"/>
        <v>11662925.228956521</v>
      </c>
      <c r="AJ6" s="248">
        <f t="shared" si="11"/>
        <v>11662925.228956521</v>
      </c>
      <c r="AK6" s="248">
        <f t="shared" si="11"/>
        <v>11662925.228956521</v>
      </c>
      <c r="AL6" s="248">
        <f t="shared" si="11"/>
        <v>11662925.228956521</v>
      </c>
      <c r="AM6" s="248">
        <f t="shared" si="11"/>
        <v>11662925.228956521</v>
      </c>
      <c r="AN6" s="248">
        <f t="shared" si="11"/>
        <v>11662925.228956521</v>
      </c>
      <c r="AO6" s="248">
        <f t="shared" si="11"/>
        <v>11662925.228956521</v>
      </c>
      <c r="AP6" s="248">
        <f t="shared" si="11"/>
        <v>11662925.228956521</v>
      </c>
      <c r="AQ6" s="248">
        <f t="shared" si="11"/>
        <v>11662925.228956521</v>
      </c>
      <c r="AR6" s="248">
        <f t="shared" si="11"/>
        <v>11662925.228956521</v>
      </c>
      <c r="AS6" s="248">
        <f t="shared" si="11"/>
        <v>11662925.228956521</v>
      </c>
      <c r="AT6" s="248">
        <f t="shared" si="11"/>
        <v>11662925.228956521</v>
      </c>
      <c r="AU6" s="248">
        <f t="shared" si="11"/>
        <v>11662925.228956521</v>
      </c>
      <c r="AV6" s="248">
        <f t="shared" si="11"/>
        <v>11662925.228956521</v>
      </c>
      <c r="AW6" s="248">
        <f t="shared" si="11"/>
        <v>11662925.228956521</v>
      </c>
      <c r="AX6" s="248">
        <f t="shared" si="11"/>
        <v>11662925.228956521</v>
      </c>
      <c r="AY6" s="248">
        <f t="shared" si="11"/>
        <v>11662925.228956521</v>
      </c>
      <c r="AZ6" s="248">
        <f t="shared" si="11"/>
        <v>11662925.228956521</v>
      </c>
      <c r="BA6" s="248">
        <f t="shared" si="11"/>
        <v>11662925.228956521</v>
      </c>
      <c r="BB6" s="248">
        <f t="shared" si="11"/>
        <v>11662925.228956521</v>
      </c>
      <c r="BC6" s="248">
        <f t="shared" si="11"/>
        <v>12360544.945410868</v>
      </c>
      <c r="BD6" s="248">
        <f t="shared" si="11"/>
        <v>12360544.945410868</v>
      </c>
      <c r="BE6" s="248">
        <f t="shared" si="11"/>
        <v>12360544.945410868</v>
      </c>
      <c r="BF6" s="248">
        <f t="shared" si="11"/>
        <v>12360544.945410868</v>
      </c>
      <c r="BG6" s="248">
        <f t="shared" si="11"/>
        <v>12360544.945410868</v>
      </c>
      <c r="BH6" s="248">
        <f t="shared" si="11"/>
        <v>12360544.945410868</v>
      </c>
      <c r="BI6" s="248">
        <f t="shared" si="11"/>
        <v>12360544.945410868</v>
      </c>
      <c r="BJ6" s="248">
        <f t="shared" si="11"/>
        <v>12360544.945410868</v>
      </c>
      <c r="BK6" s="248">
        <f t="shared" si="11"/>
        <v>12360544.945410868</v>
      </c>
      <c r="BL6" s="248">
        <f t="shared" si="11"/>
        <v>12360544.945410868</v>
      </c>
      <c r="BM6" s="248">
        <f t="shared" si="11"/>
        <v>12360544.945410868</v>
      </c>
      <c r="BN6" s="248">
        <f t="shared" si="11"/>
        <v>12360544.945410868</v>
      </c>
      <c r="BO6" s="248">
        <f t="shared" si="11"/>
        <v>12360544.945410868</v>
      </c>
      <c r="BP6" s="248">
        <f t="shared" si="11"/>
        <v>12360544.945410868</v>
      </c>
      <c r="BQ6" s="248">
        <f t="shared" si="11"/>
        <v>12360544.945410868</v>
      </c>
      <c r="BR6" s="248">
        <f t="shared" si="11"/>
        <v>12360544.945410868</v>
      </c>
      <c r="BS6" s="248">
        <f t="shared" si="11"/>
        <v>12360544.945410868</v>
      </c>
      <c r="BT6" s="248">
        <f t="shared" si="11"/>
        <v>12360544.945410868</v>
      </c>
      <c r="BU6" s="248">
        <f t="shared" ref="BU6:CJ6" si="12">BT6+BU5</f>
        <v>12360544.945410868</v>
      </c>
      <c r="BV6" s="248">
        <f t="shared" si="12"/>
        <v>12360544.945410868</v>
      </c>
      <c r="BW6" s="248">
        <f t="shared" si="12"/>
        <v>12360544.945410868</v>
      </c>
      <c r="BX6" s="248">
        <f t="shared" si="12"/>
        <v>12360544.945410868</v>
      </c>
      <c r="BY6" s="248">
        <f t="shared" si="12"/>
        <v>12360544.945410868</v>
      </c>
      <c r="BZ6" s="248">
        <f t="shared" si="12"/>
        <v>12360544.945410868</v>
      </c>
      <c r="CA6" s="248">
        <f t="shared" si="12"/>
        <v>12360544.945410868</v>
      </c>
      <c r="CB6" s="248">
        <f t="shared" si="12"/>
        <v>12360544.945410868</v>
      </c>
      <c r="CC6" s="248">
        <f t="shared" si="12"/>
        <v>12360544.945410868</v>
      </c>
      <c r="CD6" s="248">
        <f t="shared" si="12"/>
        <v>12360544.945410868</v>
      </c>
      <c r="CE6" s="248">
        <f t="shared" si="12"/>
        <v>12360544.945410868</v>
      </c>
      <c r="CF6" s="248">
        <f t="shared" si="12"/>
        <v>12360544.945410868</v>
      </c>
      <c r="CG6" s="248">
        <f t="shared" si="12"/>
        <v>12360544.945410868</v>
      </c>
      <c r="CH6" s="248">
        <f t="shared" si="12"/>
        <v>12360544.945410868</v>
      </c>
      <c r="CI6" s="248">
        <f t="shared" si="12"/>
        <v>12360544.945410868</v>
      </c>
      <c r="CJ6" s="248">
        <f t="shared" si="12"/>
        <v>12360544.945410868</v>
      </c>
      <c r="CK6" s="248">
        <f t="shared" ref="CK6" si="13">CJ6+CK5</f>
        <v>12360544.945410868</v>
      </c>
      <c r="CL6" s="248">
        <f t="shared" ref="CL6" si="14">CK6+CL5</f>
        <v>12360544.945410868</v>
      </c>
      <c r="CM6" s="248">
        <f t="shared" ref="CM6" si="15">CL6+CM5</f>
        <v>12360544.945410868</v>
      </c>
      <c r="CN6" s="248">
        <f t="shared" ref="CN6" si="16">CM6+CN5</f>
        <v>12360544.945410868</v>
      </c>
      <c r="CO6" s="248">
        <f t="shared" ref="CO6" si="17">CN6+CO5</f>
        <v>12360544.945410868</v>
      </c>
      <c r="CP6" s="248">
        <f t="shared" ref="CP6" si="18">CO6+CP5</f>
        <v>12360544.945410868</v>
      </c>
      <c r="CQ6" s="238"/>
      <c r="CR6" s="249"/>
    </row>
    <row r="7" spans="1:572">
      <c r="A7" s="955"/>
      <c r="B7" s="251" t="s">
        <v>622</v>
      </c>
      <c r="C7" s="252"/>
      <c r="D7" s="252"/>
      <c r="E7" s="253"/>
      <c r="F7" s="254">
        <f t="shared" ref="F7:H7" si="19">F4-F6</f>
        <v>0</v>
      </c>
      <c r="G7" s="254">
        <f t="shared" si="19"/>
        <v>1602432.89396773</v>
      </c>
      <c r="H7" s="254">
        <f t="shared" si="19"/>
        <v>8813380.9168225154</v>
      </c>
      <c r="I7" s="254">
        <f t="shared" ref="I7:BT7" si="20">I4-I6</f>
        <v>8813380.9168225154</v>
      </c>
      <c r="J7" s="254">
        <f t="shared" si="20"/>
        <v>8813380.9168225154</v>
      </c>
      <c r="K7" s="254">
        <f t="shared" si="20"/>
        <v>890837.28482251521</v>
      </c>
      <c r="L7" s="254">
        <f t="shared" si="20"/>
        <v>890837.28482251521</v>
      </c>
      <c r="M7" s="254">
        <f t="shared" si="20"/>
        <v>281008.66395295039</v>
      </c>
      <c r="N7" s="254">
        <f t="shared" si="20"/>
        <v>-23905.646481832489</v>
      </c>
      <c r="O7" s="254">
        <f t="shared" si="20"/>
        <v>-680677.11213400587</v>
      </c>
      <c r="P7" s="254">
        <f t="shared" si="20"/>
        <v>-680677.11213400587</v>
      </c>
      <c r="Q7" s="254">
        <f t="shared" si="20"/>
        <v>-680677.11213400587</v>
      </c>
      <c r="R7" s="254">
        <f t="shared" si="20"/>
        <v>-680677.11213400587</v>
      </c>
      <c r="S7" s="254">
        <f t="shared" si="20"/>
        <v>3470525.569769185</v>
      </c>
      <c r="T7" s="254">
        <f t="shared" si="20"/>
        <v>1962925.569769185</v>
      </c>
      <c r="U7" s="254">
        <f t="shared" si="20"/>
        <v>1962925.569769185</v>
      </c>
      <c r="V7" s="254">
        <f t="shared" si="20"/>
        <v>1957754.3697691858</v>
      </c>
      <c r="W7" s="254">
        <f t="shared" si="20"/>
        <v>2758970.8167530503</v>
      </c>
      <c r="X7" s="254">
        <f t="shared" si="20"/>
        <v>2758970.8167530503</v>
      </c>
      <c r="Y7" s="254">
        <f t="shared" si="20"/>
        <v>2758970.8167530503</v>
      </c>
      <c r="Z7" s="254">
        <f t="shared" si="20"/>
        <v>2758970.8167530503</v>
      </c>
      <c r="AA7" s="254">
        <f t="shared" si="20"/>
        <v>2758970.8167530503</v>
      </c>
      <c r="AB7" s="254">
        <f t="shared" si="20"/>
        <v>2758970.8167530503</v>
      </c>
      <c r="AC7" s="254">
        <f t="shared" si="20"/>
        <v>2758970.8167530503</v>
      </c>
      <c r="AD7" s="254">
        <f t="shared" si="20"/>
        <v>3560187.2637369148</v>
      </c>
      <c r="AE7" s="254">
        <f t="shared" si="20"/>
        <v>3560187.2637369148</v>
      </c>
      <c r="AF7" s="254">
        <f t="shared" si="20"/>
        <v>3560187.2637369148</v>
      </c>
      <c r="AG7" s="254">
        <f t="shared" si="20"/>
        <v>3560187.2637369148</v>
      </c>
      <c r="AH7" s="254">
        <f t="shared" si="20"/>
        <v>3560187.2637369148</v>
      </c>
      <c r="AI7" s="254">
        <f t="shared" si="20"/>
        <v>3560187.2637369148</v>
      </c>
      <c r="AJ7" s="254">
        <f t="shared" si="20"/>
        <v>3560187.2637369148</v>
      </c>
      <c r="AK7" s="254">
        <f t="shared" si="20"/>
        <v>3560187.2637369148</v>
      </c>
      <c r="AL7" s="254">
        <f t="shared" si="20"/>
        <v>3560187.2637369148</v>
      </c>
      <c r="AM7" s="254">
        <f t="shared" si="20"/>
        <v>3560187.2637369148</v>
      </c>
      <c r="AN7" s="254">
        <f t="shared" si="20"/>
        <v>3560187.2637369148</v>
      </c>
      <c r="AO7" s="254">
        <f t="shared" si="20"/>
        <v>3560187.2637369148</v>
      </c>
      <c r="AP7" s="254">
        <f t="shared" si="20"/>
        <v>3560187.2637369148</v>
      </c>
      <c r="AQ7" s="254">
        <f t="shared" si="20"/>
        <v>3560187.2637369148</v>
      </c>
      <c r="AR7" s="254">
        <f t="shared" si="20"/>
        <v>3560187.2637369148</v>
      </c>
      <c r="AS7" s="254">
        <f t="shared" si="20"/>
        <v>3560187.2637369148</v>
      </c>
      <c r="AT7" s="254">
        <f t="shared" si="20"/>
        <v>3560187.2637369148</v>
      </c>
      <c r="AU7" s="254">
        <f t="shared" si="20"/>
        <v>3560187.2637369148</v>
      </c>
      <c r="AV7" s="254">
        <f t="shared" si="20"/>
        <v>3560187.2637369148</v>
      </c>
      <c r="AW7" s="254">
        <f t="shared" si="20"/>
        <v>3560187.2637369148</v>
      </c>
      <c r="AX7" s="254">
        <f t="shared" si="20"/>
        <v>3560187.2637369148</v>
      </c>
      <c r="AY7" s="254">
        <f t="shared" si="20"/>
        <v>3560187.2637369148</v>
      </c>
      <c r="AZ7" s="254">
        <f t="shared" si="20"/>
        <v>3560187.2637369148</v>
      </c>
      <c r="BA7" s="254">
        <f t="shared" si="20"/>
        <v>3560187.2637369148</v>
      </c>
      <c r="BB7" s="254">
        <f t="shared" si="20"/>
        <v>3560187.2637369148</v>
      </c>
      <c r="BC7" s="254">
        <f t="shared" si="20"/>
        <v>2862567.5472825672</v>
      </c>
      <c r="BD7" s="254">
        <f t="shared" si="20"/>
        <v>2862567.5472825672</v>
      </c>
      <c r="BE7" s="254">
        <f t="shared" si="20"/>
        <v>2862567.5472825672</v>
      </c>
      <c r="BF7" s="254">
        <f t="shared" si="20"/>
        <v>2862567.5472825672</v>
      </c>
      <c r="BG7" s="254">
        <f t="shared" si="20"/>
        <v>2862567.5472825672</v>
      </c>
      <c r="BH7" s="254">
        <f t="shared" si="20"/>
        <v>2862567.5472825672</v>
      </c>
      <c r="BI7" s="254">
        <f t="shared" si="20"/>
        <v>2862567.5472825672</v>
      </c>
      <c r="BJ7" s="254">
        <f t="shared" si="20"/>
        <v>2862567.5472825672</v>
      </c>
      <c r="BK7" s="254">
        <f t="shared" si="20"/>
        <v>2862567.5472825672</v>
      </c>
      <c r="BL7" s="254">
        <f t="shared" si="20"/>
        <v>2862567.5472825672</v>
      </c>
      <c r="BM7" s="254">
        <f t="shared" si="20"/>
        <v>2862567.5472825672</v>
      </c>
      <c r="BN7" s="254">
        <f t="shared" si="20"/>
        <v>2862567.5472825672</v>
      </c>
      <c r="BO7" s="254">
        <f t="shared" si="20"/>
        <v>2862567.5472825672</v>
      </c>
      <c r="BP7" s="254">
        <f t="shared" si="20"/>
        <v>2862567.5472825672</v>
      </c>
      <c r="BQ7" s="254">
        <f t="shared" si="20"/>
        <v>2862567.5472825672</v>
      </c>
      <c r="BR7" s="254">
        <f t="shared" si="20"/>
        <v>2862567.5472825672</v>
      </c>
      <c r="BS7" s="254">
        <f t="shared" si="20"/>
        <v>3263175.7707745004</v>
      </c>
      <c r="BT7" s="254">
        <f t="shared" si="20"/>
        <v>3263175.7707745004</v>
      </c>
      <c r="BU7" s="254">
        <f t="shared" ref="BU7:CJ7" si="21">BU4-BU6</f>
        <v>3263175.7707745004</v>
      </c>
      <c r="BV7" s="254">
        <f t="shared" si="21"/>
        <v>3663783.9942664336</v>
      </c>
      <c r="BW7" s="254">
        <f t="shared" si="21"/>
        <v>3663783.9942664336</v>
      </c>
      <c r="BX7" s="254">
        <f t="shared" si="21"/>
        <v>3663783.9942664336</v>
      </c>
      <c r="BY7" s="254">
        <f t="shared" si="21"/>
        <v>3663783.9942664336</v>
      </c>
      <c r="BZ7" s="254">
        <f t="shared" si="21"/>
        <v>3663783.9942664336</v>
      </c>
      <c r="CA7" s="254">
        <f t="shared" si="21"/>
        <v>3663783.9942664336</v>
      </c>
      <c r="CB7" s="254">
        <f t="shared" si="21"/>
        <v>3663783.9942664336</v>
      </c>
      <c r="CC7" s="254">
        <f t="shared" si="21"/>
        <v>3663783.9942664336</v>
      </c>
      <c r="CD7" s="254">
        <f t="shared" si="21"/>
        <v>3663783.9942664336</v>
      </c>
      <c r="CE7" s="254">
        <f t="shared" si="21"/>
        <v>3663783.9942664336</v>
      </c>
      <c r="CF7" s="254">
        <f t="shared" si="21"/>
        <v>3663783.9942664336</v>
      </c>
      <c r="CG7" s="254">
        <f t="shared" si="21"/>
        <v>3663783.9942664336</v>
      </c>
      <c r="CH7" s="254">
        <f t="shared" si="21"/>
        <v>3663783.9942664336</v>
      </c>
      <c r="CI7" s="254">
        <f t="shared" si="21"/>
        <v>3663783.9942664336</v>
      </c>
      <c r="CJ7" s="254">
        <f t="shared" si="21"/>
        <v>3663783.9942664336</v>
      </c>
      <c r="CK7" s="254">
        <f t="shared" ref="CK7:CP7" si="22">CK4-CK6</f>
        <v>3663783.9942664336</v>
      </c>
      <c r="CL7" s="254">
        <f t="shared" si="22"/>
        <v>3663783.9942664336</v>
      </c>
      <c r="CM7" s="254">
        <f t="shared" si="22"/>
        <v>3663783.9942664336</v>
      </c>
      <c r="CN7" s="254">
        <f t="shared" si="22"/>
        <v>3663783.9942664336</v>
      </c>
      <c r="CO7" s="254">
        <f t="shared" si="22"/>
        <v>3663783.9942664336</v>
      </c>
      <c r="CP7" s="254">
        <f t="shared" si="22"/>
        <v>3663783.9942664336</v>
      </c>
    </row>
    <row r="8" spans="1:572" s="238" customFormat="1">
      <c r="A8" s="954" t="s">
        <v>257</v>
      </c>
      <c r="B8" s="239"/>
      <c r="C8" s="240" t="s">
        <v>354</v>
      </c>
      <c r="D8" s="240" t="s">
        <v>354</v>
      </c>
      <c r="E8" s="240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5"/>
      <c r="B9" s="256" t="s">
        <v>623</v>
      </c>
      <c r="C9" s="257">
        <f>'Revenue Tracking'!F4</f>
        <v>16024328.939677302</v>
      </c>
      <c r="D9" s="257">
        <f>SUM(F9:CP9)</f>
        <v>16024328.9396773</v>
      </c>
      <c r="E9" s="244"/>
      <c r="F9" s="258">
        <f>SUMIFS('Revenue Tracking'!$F$12:$F$28, 'Revenue Tracking'!$P12:$P$28, "&gt;="&amp;F1,'Revenue Tracking'!$P$12:$P$28, "&lt;"&amp;G1)</f>
        <v>0</v>
      </c>
      <c r="G9" s="258">
        <f>SUMIFS('Revenue Tracking'!$F$12:$F$28, 'Revenue Tracking'!$P12:$P$28, "&gt;="&amp;G1,'Revenue Tracking'!$P$12:$P$28, "&lt;"&amp;H1)</f>
        <v>0</v>
      </c>
      <c r="H9" s="258">
        <f>SUMIFS('Revenue Tracking'!$F$12:$F$28, 'Revenue Tracking'!$P12:$P$28, "&gt;="&amp;H1,'Revenue Tracking'!$P$12:$P$28, "&lt;"&amp;I1)</f>
        <v>0</v>
      </c>
      <c r="I9" s="258">
        <f>SUMIFS('Revenue Tracking'!$F$12:$F$28, 'Revenue Tracking'!$P12:$P$28, "&gt;="&amp;I1,'Revenue Tracking'!$P$12:$P$28, "&lt;"&amp;J1)</f>
        <v>0</v>
      </c>
      <c r="J9" s="258">
        <f>SUMIFS('Revenue Tracking'!$F$12:$F$28, 'Revenue Tracking'!$P12:$P$28, "&gt;="&amp;J1,'Revenue Tracking'!$P$12:$P$28, "&lt;"&amp;K1)</f>
        <v>0</v>
      </c>
      <c r="K9" s="258">
        <f>SUMIFS('Revenue Tracking'!$F$12:$F$28, 'Revenue Tracking'!$P12:$P$28, "&gt;="&amp;K1,'Revenue Tracking'!$P$12:$P$28, "&lt;"&amp;L1)</f>
        <v>0</v>
      </c>
      <c r="L9" s="258">
        <f>SUMIFS('Revenue Tracking'!$F$12:$F$28, 'Revenue Tracking'!$P12:$P$28, "&gt;="&amp;L1,'Revenue Tracking'!$P$12:$P$28, "&lt;"&amp;M1)</f>
        <v>5608515.1288870545</v>
      </c>
      <c r="M9" s="258">
        <f>SUMIFS('Revenue Tracking'!$F$12:$F$28, 'Revenue Tracking'!$P12:$P$28, "&gt;="&amp;M1,'Revenue Tracking'!$P$12:$P$28, "&lt;"&amp;N1)</f>
        <v>0</v>
      </c>
      <c r="N9" s="258">
        <f>SUMIFS('Revenue Tracking'!$F$12:$F$28, 'Revenue Tracking'!$P12:$P$28, "&gt;="&amp;N1,'Revenue Tracking'!$P$12:$P$28, "&lt;"&amp;O1)</f>
        <v>0</v>
      </c>
      <c r="O9" s="258">
        <f>SUMIFS('Revenue Tracking'!$F$12:$F$28, 'Revenue Tracking'!$P12:$P$28, "&gt;="&amp;O1,'Revenue Tracking'!$P$12:$P$28, "&lt;"&amp;P1)</f>
        <v>0</v>
      </c>
      <c r="P9" s="258">
        <f>SUMIFS('Revenue Tracking'!$F$12:$F$28, 'Revenue Tracking'!$P12:$P$28, "&gt;="&amp;P1,'Revenue Tracking'!$P$12:$P$28, "&lt;"&amp;Q1)</f>
        <v>0</v>
      </c>
      <c r="Q9" s="258">
        <f>SUMIFS('Revenue Tracking'!$F$12:$F$28, 'Revenue Tracking'!$P12:$P$28, "&gt;="&amp;Q1,'Revenue Tracking'!$P$12:$P$28, "&lt;"&amp;R1)</f>
        <v>0</v>
      </c>
      <c r="R9" s="258">
        <f>SUMIFS('Revenue Tracking'!$F$12:$F$28, 'Revenue Tracking'!$P12:$P$28, "&gt;="&amp;R1,'Revenue Tracking'!$P$12:$P$28, "&lt;"&amp;S1)</f>
        <v>0</v>
      </c>
      <c r="S9" s="258">
        <f>SUMIFS('Revenue Tracking'!$F$12:$F$28, 'Revenue Tracking'!$P12:$P$28, "&gt;="&amp;S1,'Revenue Tracking'!$P$12:$P$28, "&lt;"&amp;T1)</f>
        <v>4807298.68190319</v>
      </c>
      <c r="T9" s="258">
        <f>SUMIFS('Revenue Tracking'!$F$12:$F$28, 'Revenue Tracking'!$P12:$P$28, "&gt;="&amp;T1,'Revenue Tracking'!$P$12:$P$28, "&lt;"&amp;U1)</f>
        <v>3204865.78793546</v>
      </c>
      <c r="U9" s="258">
        <f>SUMIFS('Revenue Tracking'!$F$12:$F$28, 'Revenue Tracking'!$P12:$P$28, "&gt;="&amp;U1,'Revenue Tracking'!$P$12:$P$28, "&lt;"&amp;V1)</f>
        <v>0</v>
      </c>
      <c r="V9" s="258">
        <f>SUMIFS('Revenue Tracking'!$F$12:$F$28, 'Revenue Tracking'!$P12:$P$28, "&gt;="&amp;V1,'Revenue Tracking'!$P$12:$P$28, "&lt;"&amp;W1)</f>
        <v>0</v>
      </c>
      <c r="W9" s="258">
        <f>SUMIFS('Revenue Tracking'!$F$12:$F$28, 'Revenue Tracking'!$P12:$P$28, "&gt;="&amp;W1,'Revenue Tracking'!$P$12:$P$28, "&lt;"&amp;X1)</f>
        <v>0</v>
      </c>
      <c r="X9" s="258">
        <f>SUMIFS('Revenue Tracking'!$F$12:$F$28, 'Revenue Tracking'!$P12:$P$28, "&gt;="&amp;X1,'Revenue Tracking'!$P$12:$P$28, "&lt;"&amp;Y1)</f>
        <v>0</v>
      </c>
      <c r="Y9" s="258">
        <f>SUMIFS('Revenue Tracking'!$F$12:$F$28, 'Revenue Tracking'!$P12:$P$28, "&gt;="&amp;Y1,'Revenue Tracking'!$P$12:$P$28, "&lt;"&amp;Z1)</f>
        <v>0</v>
      </c>
      <c r="Z9" s="258">
        <f>SUMIFS('Revenue Tracking'!$F$12:$F$28, 'Revenue Tracking'!$P12:$P$28, "&gt;="&amp;Z1,'Revenue Tracking'!$P$12:$P$28, "&lt;"&amp;AA1)</f>
        <v>0</v>
      </c>
      <c r="AA9" s="258">
        <f>SUMIFS('Revenue Tracking'!$F$12:$F$28, 'Revenue Tracking'!$P12:$P$28, "&gt;="&amp;AA1,'Revenue Tracking'!$P$12:$P$28, "&lt;"&amp;AB1)</f>
        <v>0</v>
      </c>
      <c r="AB9" s="258">
        <f>SUMIFS('Revenue Tracking'!$F$12:$F$28, 'Revenue Tracking'!$P12:$P$28, "&gt;="&amp;AB1,'Revenue Tracking'!$P$12:$P$28, "&lt;"&amp;AC1)</f>
        <v>0</v>
      </c>
      <c r="AC9" s="258">
        <f>SUMIFS('Revenue Tracking'!$F$12:$F$28, 'Revenue Tracking'!$P12:$P$28, "&gt;="&amp;AC1,'Revenue Tracking'!$P$12:$P$28, "&lt;"&amp;AD1)</f>
        <v>0</v>
      </c>
      <c r="AD9" s="258">
        <f>SUMIFS('Revenue Tracking'!$F$12:$F$28, 'Revenue Tracking'!$P12:$P$28, "&gt;="&amp;AD1,'Revenue Tracking'!$P$12:$P$28, "&lt;"&amp;AE1)</f>
        <v>801216.446983865</v>
      </c>
      <c r="AE9" s="258">
        <f>SUMIFS('Revenue Tracking'!$F$12:$F$28, 'Revenue Tracking'!$P12:$P$28, "&gt;="&amp;AE1,'Revenue Tracking'!$P$12:$P$28, "&lt;"&amp;AF1)</f>
        <v>0</v>
      </c>
      <c r="AF9" s="258">
        <f>SUMIFS('Revenue Tracking'!$F$12:$F$28, 'Revenue Tracking'!$P12:$P$28, "&gt;="&amp;AF1,'Revenue Tracking'!$P$12:$P$28, "&lt;"&amp;AG1)</f>
        <v>0</v>
      </c>
      <c r="AG9" s="258">
        <f>SUMIFS('Revenue Tracking'!$F$12:$F$28, 'Revenue Tracking'!$P12:$P$28, "&gt;="&amp;AG1,'Revenue Tracking'!$P$12:$P$28, "&lt;"&amp;AH1)</f>
        <v>0</v>
      </c>
      <c r="AH9" s="258">
        <f>SUMIFS('Revenue Tracking'!$F$12:$F$28, 'Revenue Tracking'!$P12:$P$28, "&gt;="&amp;AH1,'Revenue Tracking'!$P$12:$P$28, "&lt;"&amp;AI1)</f>
        <v>0</v>
      </c>
      <c r="AI9" s="258">
        <f>SUMIFS('Revenue Tracking'!$F$12:$F$28, 'Revenue Tracking'!$P12:$P$28, "&gt;="&amp;AI1,'Revenue Tracking'!$P$12:$P$28, "&lt;"&amp;AJ1)</f>
        <v>0</v>
      </c>
      <c r="AJ9" s="258">
        <f>SUMIFS('Revenue Tracking'!$F$12:$F$28, 'Revenue Tracking'!$P12:$P$28, "&gt;="&amp;AJ1,'Revenue Tracking'!$P$12:$P$28, "&lt;"&amp;AK1)</f>
        <v>0</v>
      </c>
      <c r="AK9" s="258">
        <f>SUMIFS('Revenue Tracking'!$F$12:$F$28, 'Revenue Tracking'!$P12:$P$28, "&gt;="&amp;AK1,'Revenue Tracking'!$P$12:$P$28, "&lt;"&amp;AL1)</f>
        <v>0</v>
      </c>
      <c r="AL9" s="258">
        <f>SUMIFS('Revenue Tracking'!$F$12:$F$28, 'Revenue Tracking'!$P12:$P$28, "&gt;="&amp;AL1,'Revenue Tracking'!$P$12:$P$28, "&lt;"&amp;AM1)</f>
        <v>0</v>
      </c>
      <c r="AM9" s="258">
        <f>SUMIFS('Revenue Tracking'!$F$12:$F$28, 'Revenue Tracking'!$P12:$P$28, "&gt;="&amp;AM1,'Revenue Tracking'!$P$12:$P$28, "&lt;"&amp;AN1)</f>
        <v>0</v>
      </c>
      <c r="AN9" s="258">
        <f>SUMIFS('Revenue Tracking'!$F$12:$F$28, 'Revenue Tracking'!$P12:$P$28, "&gt;="&amp;AN1,'Revenue Tracking'!$P$12:$P$28, "&lt;"&amp;AO1)</f>
        <v>0</v>
      </c>
      <c r="AO9" s="258">
        <f>SUMIFS('Revenue Tracking'!$F$12:$F$28, 'Revenue Tracking'!$P12:$P$28, "&gt;="&amp;AO1,'Revenue Tracking'!$P$12:$P$28, "&lt;"&amp;AP1)</f>
        <v>0</v>
      </c>
      <c r="AP9" s="258">
        <f>SUMIFS('Revenue Tracking'!$F$12:$F$28, 'Revenue Tracking'!$P12:$P$28, "&gt;="&amp;AP1,'Revenue Tracking'!$P$12:$P$28, "&lt;"&amp;AQ1)</f>
        <v>0</v>
      </c>
      <c r="AQ9" s="258">
        <f>SUMIFS('Revenue Tracking'!$F$12:$F$28, 'Revenue Tracking'!$P12:$P$28, "&gt;="&amp;AQ1,'Revenue Tracking'!$P$12:$P$28, "&lt;"&amp;AR1)</f>
        <v>0</v>
      </c>
      <c r="AR9" s="258">
        <f>SUMIFS('Revenue Tracking'!$F$12:$F$28, 'Revenue Tracking'!$P12:$P$28, "&gt;="&amp;AR1,'Revenue Tracking'!$P$12:$P$28, "&lt;"&amp;AS1)</f>
        <v>0</v>
      </c>
      <c r="AS9" s="258">
        <f>SUMIFS('Revenue Tracking'!$F$12:$F$28, 'Revenue Tracking'!$P12:$P$28, "&gt;="&amp;AS1,'Revenue Tracking'!$P$12:$P$28, "&lt;"&amp;AT1)</f>
        <v>0</v>
      </c>
      <c r="AT9" s="258">
        <f>SUMIFS('Revenue Tracking'!$F$12:$F$28, 'Revenue Tracking'!$P12:$P$28, "&gt;="&amp;AT1,'Revenue Tracking'!$P$12:$P$28, "&lt;"&amp;AU1)</f>
        <v>0</v>
      </c>
      <c r="AU9" s="258">
        <f>SUMIFS('Revenue Tracking'!$F$12:$F$28, 'Revenue Tracking'!$P12:$P$28, "&gt;="&amp;AU1,'Revenue Tracking'!$P$12:$P$28, "&lt;"&amp;AV1)</f>
        <v>0</v>
      </c>
      <c r="AV9" s="258">
        <f>SUMIFS('Revenue Tracking'!$F$12:$F$28, 'Revenue Tracking'!$P12:$P$28, "&gt;="&amp;AV1,'Revenue Tracking'!$P$12:$P$28, "&lt;"&amp;AW1)</f>
        <v>0</v>
      </c>
      <c r="AW9" s="258">
        <f>SUMIFS('Revenue Tracking'!$F$12:$F$28, 'Revenue Tracking'!$P12:$P$28, "&gt;="&amp;AW1,'Revenue Tracking'!$P$12:$P$28, "&lt;"&amp;AX1)</f>
        <v>0</v>
      </c>
      <c r="AX9" s="258">
        <f>SUMIFS('Revenue Tracking'!$F$12:$F$28, 'Revenue Tracking'!$P12:$P$28, "&gt;="&amp;AX1,'Revenue Tracking'!$P$12:$P$28, "&lt;"&amp;AY1)</f>
        <v>0</v>
      </c>
      <c r="AY9" s="258">
        <f>SUMIFS('Revenue Tracking'!$F$12:$F$28, 'Revenue Tracking'!$P12:$P$28, "&gt;="&amp;AY1,'Revenue Tracking'!$P$12:$P$28, "&lt;"&amp;AZ1)</f>
        <v>0</v>
      </c>
      <c r="AZ9" s="258">
        <f>SUMIFS('Revenue Tracking'!$F$12:$F$28, 'Revenue Tracking'!$P12:$P$28, "&gt;="&amp;AZ1,'Revenue Tracking'!$P$12:$P$28, "&lt;"&amp;BA1)</f>
        <v>0</v>
      </c>
      <c r="BA9" s="258">
        <f>SUMIFS('Revenue Tracking'!$F$12:$F$28, 'Revenue Tracking'!$P12:$P$28, "&gt;="&amp;BA1,'Revenue Tracking'!$P$12:$P$28, "&lt;"&amp;BB1)</f>
        <v>0</v>
      </c>
      <c r="BB9" s="258">
        <f>SUMIFS('Revenue Tracking'!$F$12:$F$28, 'Revenue Tracking'!$P12:$P$28, "&gt;="&amp;BB1,'Revenue Tracking'!$P$12:$P$28, "&lt;"&amp;BC1)</f>
        <v>0</v>
      </c>
      <c r="BC9" s="258">
        <f>SUMIFS('Revenue Tracking'!$F$12:$F$28, 'Revenue Tracking'!$P12:$P$28, "&gt;="&amp;BC1,'Revenue Tracking'!$P$12:$P$28, "&lt;"&amp;BD1)</f>
        <v>0</v>
      </c>
      <c r="BD9" s="258">
        <f>SUMIFS('Revenue Tracking'!$F$12:$F$28, 'Revenue Tracking'!$P12:$P$28, "&gt;="&amp;BD1,'Revenue Tracking'!$P$12:$P$28, "&lt;"&amp;BE1)</f>
        <v>0</v>
      </c>
      <c r="BE9" s="258">
        <f>SUMIFS('Revenue Tracking'!$F$12:$F$28, 'Revenue Tracking'!$P12:$P$28, "&gt;="&amp;BE1,'Revenue Tracking'!$P$12:$P$28, "&lt;"&amp;BF1)</f>
        <v>0</v>
      </c>
      <c r="BF9" s="258">
        <f>SUMIFS('Revenue Tracking'!$F$12:$F$28, 'Revenue Tracking'!$P12:$P$28, "&gt;="&amp;BF1,'Revenue Tracking'!$P$12:$P$28, "&lt;"&amp;BG1)</f>
        <v>801216.446983865</v>
      </c>
      <c r="BG9" s="258">
        <f>SUMIFS('Revenue Tracking'!$F$12:$F$28, 'Revenue Tracking'!$P12:$P$28, "&gt;="&amp;BG1,'Revenue Tracking'!$P$12:$P$28, "&lt;"&amp;BH1)</f>
        <v>0</v>
      </c>
      <c r="BH9" s="258">
        <f>SUMIFS('Revenue Tracking'!$F$12:$F$28, 'Revenue Tracking'!$P12:$P$28, "&gt;="&amp;BH1,'Revenue Tracking'!$P$12:$P$28, "&lt;"&amp;BI1)</f>
        <v>0</v>
      </c>
      <c r="BI9" s="258">
        <f>SUMIFS('Revenue Tracking'!$F$12:$F$28, 'Revenue Tracking'!$P12:$P$28, "&gt;="&amp;BI1,'Revenue Tracking'!$P$12:$P$28, "&lt;"&amp;BJ1)</f>
        <v>0</v>
      </c>
      <c r="BJ9" s="258">
        <f>SUMIFS('Revenue Tracking'!$F$12:$F$28, 'Revenue Tracking'!$P12:$P$28, "&gt;="&amp;BJ1,'Revenue Tracking'!$P$12:$P$28, "&lt;"&amp;BK1)</f>
        <v>0</v>
      </c>
      <c r="BK9" s="258">
        <f>SUMIFS('Revenue Tracking'!$F$12:$F$28, 'Revenue Tracking'!$P12:$P$28, "&gt;="&amp;BK1,'Revenue Tracking'!$P$12:$P$28, "&lt;"&amp;BL1)</f>
        <v>0</v>
      </c>
      <c r="BL9" s="258">
        <f>SUMIFS('Revenue Tracking'!$F$12:$F$28, 'Revenue Tracking'!$P12:$P$28, "&gt;="&amp;BL1,'Revenue Tracking'!$P$12:$P$28, "&lt;"&amp;BM1)</f>
        <v>0</v>
      </c>
      <c r="BM9" s="258">
        <f>SUMIFS('Revenue Tracking'!$F$12:$F$28, 'Revenue Tracking'!$P12:$P$28, "&gt;="&amp;BM1,'Revenue Tracking'!$P$12:$P$28, "&lt;"&amp;BN1)</f>
        <v>0</v>
      </c>
      <c r="BN9" s="258">
        <f>SUMIFS('Revenue Tracking'!$F$12:$F$28, 'Revenue Tracking'!$P12:$P$28, "&gt;="&amp;BN1,'Revenue Tracking'!$P$12:$P$28, "&lt;"&amp;BO1)</f>
        <v>0</v>
      </c>
      <c r="BO9" s="258">
        <f>SUMIFS('Revenue Tracking'!$F$12:$F$28, 'Revenue Tracking'!$P12:$P$28, "&gt;="&amp;BO1,'Revenue Tracking'!$P$12:$P$28, "&lt;"&amp;BP1)</f>
        <v>0</v>
      </c>
      <c r="BP9" s="258">
        <f>SUMIFS('Revenue Tracking'!$F$12:$F$28, 'Revenue Tracking'!$P12:$P$28, "&gt;="&amp;BP1,'Revenue Tracking'!$P$12:$P$28, "&lt;"&amp;BQ1)</f>
        <v>0</v>
      </c>
      <c r="BQ9" s="258">
        <f>SUMIFS('Revenue Tracking'!$F$12:$F$28, 'Revenue Tracking'!$P12:$P$28, "&gt;="&amp;BQ1,'Revenue Tracking'!$P$12:$P$28, "&lt;"&amp;BR1)</f>
        <v>0</v>
      </c>
      <c r="BR9" s="258">
        <f>SUMIFS('Revenue Tracking'!$F$12:$F$28, 'Revenue Tracking'!$P12:$P$28, "&gt;="&amp;BR1,'Revenue Tracking'!$P$12:$P$28, "&lt;"&amp;BS1)</f>
        <v>0</v>
      </c>
      <c r="BS9" s="258">
        <f>SUMIFS('Revenue Tracking'!$F$12:$F$28, 'Revenue Tracking'!$P12:$P$28, "&gt;="&amp;BS1,'Revenue Tracking'!$P$12:$P$28, "&lt;"&amp;BT1)</f>
        <v>400608.2234919325</v>
      </c>
      <c r="BT9" s="258">
        <f>SUMIFS('Revenue Tracking'!$F$12:$F$28, 'Revenue Tracking'!$P12:$P$28, "&gt;="&amp;BT1,'Revenue Tracking'!$P$12:$P$28, "&lt;"&amp;BU1)</f>
        <v>0</v>
      </c>
      <c r="BU9" s="258">
        <f>SUMIFS('Revenue Tracking'!$F$12:$F$28, 'Revenue Tracking'!$P12:$P$28, "&gt;="&amp;BU1,'Revenue Tracking'!$P$12:$P$28, "&lt;"&amp;BV1)</f>
        <v>0</v>
      </c>
      <c r="BV9" s="258">
        <f>SUMIFS('Revenue Tracking'!$F$12:$F$28, 'Revenue Tracking'!$P12:$P$28, "&gt;="&amp;BV1,'Revenue Tracking'!$P$12:$P$28, "&lt;"&amp;BW1)</f>
        <v>400608.2234919325</v>
      </c>
      <c r="BW9" s="258">
        <f>SUMIFS('Revenue Tracking'!$F$12:$F$28, 'Revenue Tracking'!$P12:$P$28, "&gt;="&amp;BW1,'Revenue Tracking'!$P$12:$P$28, "&lt;"&amp;BX1)</f>
        <v>0</v>
      </c>
      <c r="BX9" s="258">
        <f>SUMIFS('Revenue Tracking'!$F$12:$F$28, 'Revenue Tracking'!$P12:$P$28, "&gt;="&amp;BX1,'Revenue Tracking'!$P$12:$P$28, "&lt;"&amp;BY1)</f>
        <v>0</v>
      </c>
      <c r="BY9" s="258">
        <f>SUMIFS('Revenue Tracking'!$F$12:$F$28, 'Revenue Tracking'!$P12:$P$28, "&gt;="&amp;BY1,'Revenue Tracking'!$P$12:$P$28, "&lt;"&amp;BZ1)</f>
        <v>0</v>
      </c>
      <c r="BZ9" s="258">
        <f>SUMIFS('Revenue Tracking'!$F$12:$F$28, 'Revenue Tracking'!$P12:$P$28, "&gt;="&amp;BZ1,'Revenue Tracking'!$P$12:$P$28, "&lt;"&amp;CA1)</f>
        <v>0</v>
      </c>
      <c r="CA9" s="258">
        <f>SUMIFS('Revenue Tracking'!$F$12:$F$28, 'Revenue Tracking'!$P12:$P$28, "&gt;="&amp;CA1,'Revenue Tracking'!$P$12:$P$28, "&lt;"&amp;CB1)</f>
        <v>0</v>
      </c>
      <c r="CB9" s="258">
        <f>SUMIFS('Revenue Tracking'!$F$12:$F$28, 'Revenue Tracking'!$P12:$P$28, "&gt;="&amp;CB1,'Revenue Tracking'!$P$12:$P$28, "&lt;"&amp;CC1)</f>
        <v>0</v>
      </c>
      <c r="CC9" s="258">
        <f>SUMIFS('Revenue Tracking'!$F$12:$F$28, 'Revenue Tracking'!$P12:$P$28, "&gt;="&amp;CC1,'Revenue Tracking'!$P$12:$P$28, "&lt;"&amp;CD1)</f>
        <v>0</v>
      </c>
      <c r="CD9" s="258">
        <f>SUMIFS('Revenue Tracking'!$F$12:$F$28, 'Revenue Tracking'!$P12:$P$28, "&gt;="&amp;CD1,'Revenue Tracking'!$P$12:$P$28, "&lt;"&amp;CE1)</f>
        <v>0</v>
      </c>
      <c r="CE9" s="258">
        <f>SUMIFS('Revenue Tracking'!$F$12:$F$28, 'Revenue Tracking'!$P12:$P$28, "&gt;="&amp;CE1,'Revenue Tracking'!$P$12:$P$28, "&lt;"&amp;CF1)</f>
        <v>0</v>
      </c>
      <c r="CF9" s="258">
        <f>SUMIFS('Revenue Tracking'!$F$12:$F$28, 'Revenue Tracking'!$P12:$P$28, "&gt;="&amp;CF1,'Revenue Tracking'!$P$12:$P$28, "&lt;"&amp;CG1)</f>
        <v>0</v>
      </c>
      <c r="CG9" s="258">
        <f>SUMIFS('Revenue Tracking'!$F$12:$F$28, 'Revenue Tracking'!$P12:$P$28, "&gt;="&amp;CG1,'Revenue Tracking'!$P$12:$P$28, "&lt;"&amp;CH1)</f>
        <v>0</v>
      </c>
      <c r="CH9" s="258">
        <f>SUMIFS('Revenue Tracking'!$F$12:$F$28, 'Revenue Tracking'!$P12:$P$28, "&gt;="&amp;CH1,'Revenue Tracking'!$P$12:$P$28, "&lt;"&amp;CI1)</f>
        <v>0</v>
      </c>
      <c r="CI9" s="258">
        <f>SUMIFS('Revenue Tracking'!$F$12:$F$28, 'Revenue Tracking'!$P12:$P$28, "&gt;="&amp;CI1,'Revenue Tracking'!$P$12:$P$28, "&lt;"&amp;CJ1)</f>
        <v>0</v>
      </c>
      <c r="CJ9" s="258">
        <f>SUMIFS('Revenue Tracking'!$F$12:$F$28, 'Revenue Tracking'!$P12:$P$28, "&gt;="&amp;CJ1,'Revenue Tracking'!$P$12:$P$28, "&lt;"&amp;CK1)</f>
        <v>0</v>
      </c>
      <c r="CK9" s="258">
        <f>SUMIFS('Revenue Tracking'!$F$12:$F$28, 'Revenue Tracking'!$P12:$P$28, "&gt;="&amp;CK1,'Revenue Tracking'!$P$12:$P$28, "&lt;"&amp;CL1)</f>
        <v>0</v>
      </c>
      <c r="CL9" s="258">
        <f>SUMIFS('Revenue Tracking'!$F$12:$F$28, 'Revenue Tracking'!$P12:$P$28, "&gt;="&amp;CL1,'Revenue Tracking'!$P$12:$P$28, "&lt;"&amp;CM1)</f>
        <v>0</v>
      </c>
      <c r="CM9" s="258">
        <f>SUMIFS('Revenue Tracking'!$F$12:$F$28, 'Revenue Tracking'!$P12:$P$28, "&gt;="&amp;CM1,'Revenue Tracking'!$P$12:$P$28, "&lt;"&amp;CN1)</f>
        <v>0</v>
      </c>
      <c r="CN9" s="258">
        <f>SUMIFS('Revenue Tracking'!$F$12:$F$28, 'Revenue Tracking'!$P12:$P$28, "&gt;="&amp;CN1,'Revenue Tracking'!$P$12:$P$28, "&lt;"&amp;CO1)</f>
        <v>0</v>
      </c>
      <c r="CO9" s="258">
        <f>SUMIFS('Revenue Tracking'!$F$12:$F$28, 'Revenue Tracking'!$P12:$P$28, "&gt;="&amp;CO1,'Revenue Tracking'!$P$12:$P$28, "&lt;"&amp;CP1)</f>
        <v>0</v>
      </c>
      <c r="CP9" s="258">
        <f>SUMIFS('Revenue Tracking'!$F$12:$F$28, 'Revenue Tracking'!$P12:$P$28, "&gt;="&amp;CP1,'Revenue Tracking'!$P$12:$P$28, "&lt;"&amp;CQ1)</f>
        <v>0</v>
      </c>
    </row>
    <row r="10" spans="1:572">
      <c r="A10" s="955"/>
      <c r="B10" s="256" t="s">
        <v>624</v>
      </c>
      <c r="C10" s="257"/>
      <c r="D10" s="257"/>
      <c r="E10" s="244"/>
      <c r="F10" s="258">
        <f>F9</f>
        <v>0</v>
      </c>
      <c r="G10" s="258">
        <f>F10+G9</f>
        <v>0</v>
      </c>
      <c r="H10" s="258">
        <f>G10+H9</f>
        <v>0</v>
      </c>
      <c r="I10" s="258">
        <f t="shared" ref="I10:BT10" si="23">H10+I9</f>
        <v>0</v>
      </c>
      <c r="J10" s="258">
        <f t="shared" si="23"/>
        <v>0</v>
      </c>
      <c r="K10" s="258">
        <f t="shared" si="23"/>
        <v>0</v>
      </c>
      <c r="L10" s="258">
        <f t="shared" si="23"/>
        <v>5608515.1288870545</v>
      </c>
      <c r="M10" s="258">
        <f t="shared" si="23"/>
        <v>5608515.1288870545</v>
      </c>
      <c r="N10" s="258">
        <f t="shared" si="23"/>
        <v>5608515.1288870545</v>
      </c>
      <c r="O10" s="258">
        <f t="shared" si="23"/>
        <v>5608515.1288870545</v>
      </c>
      <c r="P10" s="258">
        <f t="shared" si="23"/>
        <v>5608515.1288870545</v>
      </c>
      <c r="Q10" s="258">
        <f t="shared" si="23"/>
        <v>5608515.1288870545</v>
      </c>
      <c r="R10" s="258">
        <f t="shared" si="23"/>
        <v>5608515.1288870545</v>
      </c>
      <c r="S10" s="258">
        <f t="shared" si="23"/>
        <v>10415813.810790244</v>
      </c>
      <c r="T10" s="258">
        <f t="shared" si="23"/>
        <v>13620679.598725704</v>
      </c>
      <c r="U10" s="258">
        <f t="shared" si="23"/>
        <v>13620679.598725704</v>
      </c>
      <c r="V10" s="258">
        <f t="shared" si="23"/>
        <v>13620679.598725704</v>
      </c>
      <c r="W10" s="258">
        <f t="shared" si="23"/>
        <v>13620679.598725704</v>
      </c>
      <c r="X10" s="258">
        <f t="shared" si="23"/>
        <v>13620679.598725704</v>
      </c>
      <c r="Y10" s="258">
        <f t="shared" si="23"/>
        <v>13620679.598725704</v>
      </c>
      <c r="Z10" s="258">
        <f t="shared" si="23"/>
        <v>13620679.598725704</v>
      </c>
      <c r="AA10" s="258">
        <f t="shared" si="23"/>
        <v>13620679.598725704</v>
      </c>
      <c r="AB10" s="258">
        <f t="shared" si="23"/>
        <v>13620679.598725704</v>
      </c>
      <c r="AC10" s="258">
        <f t="shared" si="23"/>
        <v>13620679.598725704</v>
      </c>
      <c r="AD10" s="258">
        <f t="shared" si="23"/>
        <v>14421896.045709569</v>
      </c>
      <c r="AE10" s="258">
        <f t="shared" si="23"/>
        <v>14421896.045709569</v>
      </c>
      <c r="AF10" s="258">
        <f t="shared" si="23"/>
        <v>14421896.045709569</v>
      </c>
      <c r="AG10" s="258">
        <f t="shared" si="23"/>
        <v>14421896.045709569</v>
      </c>
      <c r="AH10" s="258">
        <f t="shared" si="23"/>
        <v>14421896.045709569</v>
      </c>
      <c r="AI10" s="258">
        <f t="shared" si="23"/>
        <v>14421896.045709569</v>
      </c>
      <c r="AJ10" s="258">
        <f t="shared" si="23"/>
        <v>14421896.045709569</v>
      </c>
      <c r="AK10" s="258">
        <f t="shared" si="23"/>
        <v>14421896.045709569</v>
      </c>
      <c r="AL10" s="258">
        <f t="shared" si="23"/>
        <v>14421896.045709569</v>
      </c>
      <c r="AM10" s="258">
        <f t="shared" si="23"/>
        <v>14421896.045709569</v>
      </c>
      <c r="AN10" s="258">
        <f t="shared" si="23"/>
        <v>14421896.045709569</v>
      </c>
      <c r="AO10" s="258">
        <f t="shared" si="23"/>
        <v>14421896.045709569</v>
      </c>
      <c r="AP10" s="258">
        <f t="shared" si="23"/>
        <v>14421896.045709569</v>
      </c>
      <c r="AQ10" s="258">
        <f t="shared" si="23"/>
        <v>14421896.045709569</v>
      </c>
      <c r="AR10" s="258">
        <f t="shared" si="23"/>
        <v>14421896.045709569</v>
      </c>
      <c r="AS10" s="258">
        <f t="shared" si="23"/>
        <v>14421896.045709569</v>
      </c>
      <c r="AT10" s="258">
        <f t="shared" si="23"/>
        <v>14421896.045709569</v>
      </c>
      <c r="AU10" s="258">
        <f t="shared" si="23"/>
        <v>14421896.045709569</v>
      </c>
      <c r="AV10" s="258">
        <f t="shared" si="23"/>
        <v>14421896.045709569</v>
      </c>
      <c r="AW10" s="258">
        <f t="shared" si="23"/>
        <v>14421896.045709569</v>
      </c>
      <c r="AX10" s="258">
        <f t="shared" si="23"/>
        <v>14421896.045709569</v>
      </c>
      <c r="AY10" s="258">
        <f t="shared" si="23"/>
        <v>14421896.045709569</v>
      </c>
      <c r="AZ10" s="258">
        <f t="shared" si="23"/>
        <v>14421896.045709569</v>
      </c>
      <c r="BA10" s="258">
        <f t="shared" si="23"/>
        <v>14421896.045709569</v>
      </c>
      <c r="BB10" s="258">
        <f t="shared" si="23"/>
        <v>14421896.045709569</v>
      </c>
      <c r="BC10" s="258">
        <f t="shared" si="23"/>
        <v>14421896.045709569</v>
      </c>
      <c r="BD10" s="258">
        <f t="shared" si="23"/>
        <v>14421896.045709569</v>
      </c>
      <c r="BE10" s="258">
        <f t="shared" si="23"/>
        <v>14421896.045709569</v>
      </c>
      <c r="BF10" s="258">
        <f t="shared" si="23"/>
        <v>15223112.492693434</v>
      </c>
      <c r="BG10" s="258">
        <f t="shared" si="23"/>
        <v>15223112.492693434</v>
      </c>
      <c r="BH10" s="258">
        <f t="shared" si="23"/>
        <v>15223112.492693434</v>
      </c>
      <c r="BI10" s="258">
        <f t="shared" si="23"/>
        <v>15223112.492693434</v>
      </c>
      <c r="BJ10" s="258">
        <f t="shared" si="23"/>
        <v>15223112.492693434</v>
      </c>
      <c r="BK10" s="258">
        <f t="shared" si="23"/>
        <v>15223112.492693434</v>
      </c>
      <c r="BL10" s="258">
        <f t="shared" si="23"/>
        <v>15223112.492693434</v>
      </c>
      <c r="BM10" s="258">
        <f t="shared" si="23"/>
        <v>15223112.492693434</v>
      </c>
      <c r="BN10" s="258">
        <f t="shared" si="23"/>
        <v>15223112.492693434</v>
      </c>
      <c r="BO10" s="258">
        <f t="shared" si="23"/>
        <v>15223112.492693434</v>
      </c>
      <c r="BP10" s="258">
        <f t="shared" si="23"/>
        <v>15223112.492693434</v>
      </c>
      <c r="BQ10" s="258">
        <f t="shared" si="23"/>
        <v>15223112.492693434</v>
      </c>
      <c r="BR10" s="258">
        <f t="shared" si="23"/>
        <v>15223112.492693434</v>
      </c>
      <c r="BS10" s="258">
        <f t="shared" si="23"/>
        <v>15623720.716185367</v>
      </c>
      <c r="BT10" s="258">
        <f t="shared" si="23"/>
        <v>15623720.716185367</v>
      </c>
      <c r="BU10" s="258">
        <f t="shared" ref="BU10:CJ10" si="24">BT10+BU9</f>
        <v>15623720.716185367</v>
      </c>
      <c r="BV10" s="258">
        <f t="shared" si="24"/>
        <v>16024328.9396773</v>
      </c>
      <c r="BW10" s="258">
        <f t="shared" si="24"/>
        <v>16024328.9396773</v>
      </c>
      <c r="BX10" s="258">
        <f t="shared" si="24"/>
        <v>16024328.9396773</v>
      </c>
      <c r="BY10" s="258">
        <f t="shared" si="24"/>
        <v>16024328.9396773</v>
      </c>
      <c r="BZ10" s="258">
        <f t="shared" si="24"/>
        <v>16024328.9396773</v>
      </c>
      <c r="CA10" s="258">
        <f t="shared" si="24"/>
        <v>16024328.9396773</v>
      </c>
      <c r="CB10" s="258">
        <f t="shared" si="24"/>
        <v>16024328.9396773</v>
      </c>
      <c r="CC10" s="258">
        <f t="shared" si="24"/>
        <v>16024328.9396773</v>
      </c>
      <c r="CD10" s="258">
        <f t="shared" si="24"/>
        <v>16024328.9396773</v>
      </c>
      <c r="CE10" s="258">
        <f t="shared" si="24"/>
        <v>16024328.9396773</v>
      </c>
      <c r="CF10" s="258">
        <f t="shared" si="24"/>
        <v>16024328.9396773</v>
      </c>
      <c r="CG10" s="258">
        <f t="shared" si="24"/>
        <v>16024328.9396773</v>
      </c>
      <c r="CH10" s="258">
        <f t="shared" si="24"/>
        <v>16024328.9396773</v>
      </c>
      <c r="CI10" s="258">
        <f t="shared" si="24"/>
        <v>16024328.9396773</v>
      </c>
      <c r="CJ10" s="258">
        <f t="shared" si="24"/>
        <v>16024328.9396773</v>
      </c>
      <c r="CK10" s="258">
        <f t="shared" ref="CK10" si="25">CJ10+CK9</f>
        <v>16024328.9396773</v>
      </c>
      <c r="CL10" s="258">
        <f t="shared" ref="CL10" si="26">CK10+CL9</f>
        <v>16024328.9396773</v>
      </c>
      <c r="CM10" s="258">
        <f t="shared" ref="CM10" si="27">CL10+CM9</f>
        <v>16024328.9396773</v>
      </c>
      <c r="CN10" s="258">
        <f t="shared" ref="CN10" si="28">CM10+CN9</f>
        <v>16024328.9396773</v>
      </c>
      <c r="CO10" s="258">
        <f t="shared" ref="CO10" si="29">CN10+CO9</f>
        <v>16024328.9396773</v>
      </c>
      <c r="CP10" s="258">
        <f t="shared" ref="CP10" si="30">CO10+CP9</f>
        <v>16024328.9396773</v>
      </c>
    </row>
    <row r="11" spans="1:572" s="250" customFormat="1">
      <c r="A11" s="955"/>
      <c r="B11" s="259" t="s">
        <v>625</v>
      </c>
      <c r="C11" s="260">
        <f>'Revenue Tracking'!F5</f>
        <v>14799893.871745965</v>
      </c>
      <c r="D11" s="260">
        <f>SUM(F11:CP11)</f>
        <v>14799334.241745966</v>
      </c>
      <c r="E11" s="244"/>
      <c r="F11" s="261">
        <f>SUMIFS('Expenditure Breakdown'!$Q$6:$Q$173, 'Expenditure Breakdown'!$W$6:$W$173, "&gt;="&amp;F1,'Expenditure Breakdown'!$W$6:$W$173, "&lt;"&amp;G1)</f>
        <v>0</v>
      </c>
      <c r="G11" s="261">
        <f>SUMIFS('Expenditure Breakdown'!$Q$6:$Q$173, 'Expenditure Breakdown'!$W$6:$W$173, "&gt;="&amp;G1,'Expenditure Breakdown'!$W$6:$W$173, "&lt;"&amp;H1)</f>
        <v>0</v>
      </c>
      <c r="H11" s="261">
        <f>SUMIFS('Expenditure Breakdown'!$Q$6:$Q$173, 'Expenditure Breakdown'!$W$6:$W$173, "&gt;="&amp;H1,'Expenditure Breakdown'!$W$6:$W$173, "&lt;"&amp;I1)</f>
        <v>0</v>
      </c>
      <c r="I11" s="261">
        <f>SUMIFS('Expenditure Breakdown'!$Q$6:$Q$173, 'Expenditure Breakdown'!$W$6:$W$173, "&gt;="&amp;I1,'Expenditure Breakdown'!$W$6:$W$173, "&lt;"&amp;J1)</f>
        <v>0</v>
      </c>
      <c r="J11" s="261">
        <f>SUMIFS('Expenditure Breakdown'!$Q$6:$Q$173, 'Expenditure Breakdown'!$W$6:$W$173, "&gt;="&amp;J1,'Expenditure Breakdown'!$W$6:$W$173, "&lt;"&amp;K1)</f>
        <v>0</v>
      </c>
      <c r="K11" s="261">
        <f>SUMIFS('Expenditure Breakdown'!$Q$6:$Q$173, 'Expenditure Breakdown'!$W$6:$W$173, "&gt;="&amp;K1,'Expenditure Breakdown'!$W$6:$W$173, "&lt;"&amp;L1)</f>
        <v>0</v>
      </c>
      <c r="L11" s="261">
        <f>SUMIFS('Expenditure Breakdown'!$Q$6:$Q$173, 'Expenditure Breakdown'!$W$6:$W$173, "&gt;="&amp;L1,'Expenditure Breakdown'!$W$6:$W$173, "&lt;"&amp;M1)</f>
        <v>0</v>
      </c>
      <c r="M11" s="261">
        <f>SUMIFS('Expenditure Breakdown'!$Q$6:$Q$173, 'Expenditure Breakdown'!$W$6:$W$173, "&gt;="&amp;M1,'Expenditure Breakdown'!$W$6:$W$173, "&lt;"&amp;N1)</f>
        <v>0</v>
      </c>
      <c r="N11" s="261">
        <f>SUMIFS('Expenditure Breakdown'!$Q$6:$Q$173, 'Expenditure Breakdown'!$W$6:$W$173, "&gt;="&amp;N1,'Expenditure Breakdown'!$W$6:$W$173, "&lt;"&amp;O1)</f>
        <v>0</v>
      </c>
      <c r="O11" s="261">
        <f>SUMIFS('Expenditure Breakdown'!$Q$6:$Q$173, 'Expenditure Breakdown'!$W$6:$W$173, "&gt;="&amp;O1,'Expenditure Breakdown'!$W$6:$W$173, "&lt;"&amp;P1)</f>
        <v>1475691.8409999998</v>
      </c>
      <c r="P11" s="261">
        <f>SUMIFS('Expenditure Breakdown'!$Q$6:$Q$173, 'Expenditure Breakdown'!$W$6:$W$173, "&gt;="&amp;P1,'Expenditure Breakdown'!$W$6:$W$173, "&lt;"&amp;Q1)</f>
        <v>0</v>
      </c>
      <c r="Q11" s="261">
        <f>SUMIFS('Expenditure Breakdown'!$Q$6:$Q$173, 'Expenditure Breakdown'!$W$6:$W$173, "&gt;="&amp;Q1,'Expenditure Breakdown'!$W$6:$W$173, "&lt;"&amp;R1)</f>
        <v>0</v>
      </c>
      <c r="R11" s="261">
        <f>SUMIFS('Expenditure Breakdown'!$Q$6:$Q$173, 'Expenditure Breakdown'!$W$6:$W$173, "&gt;="&amp;R1,'Expenditure Breakdown'!$W$6:$W$173, "&lt;"&amp;S1)</f>
        <v>31818</v>
      </c>
      <c r="S11" s="261">
        <f>SUMIFS('Expenditure Breakdown'!$Q$6:$Q$173, 'Expenditure Breakdown'!$W$6:$W$173, "&gt;="&amp;S1,'Expenditure Breakdown'!$W$6:$W$173, "&lt;"&amp;T1)</f>
        <v>2157906.9</v>
      </c>
      <c r="T11" s="261">
        <f>SUMIFS('Expenditure Breakdown'!$Q$6:$Q$173, 'Expenditure Breakdown'!$W$6:$W$173, "&gt;="&amp;T1,'Expenditure Breakdown'!$W$6:$W$173, "&lt;"&amp;U1)</f>
        <v>14956</v>
      </c>
      <c r="U11" s="261">
        <f>SUMIFS('Expenditure Breakdown'!$Q$6:$Q$173, 'Expenditure Breakdown'!$W$6:$W$173, "&gt;="&amp;U1,'Expenditure Breakdown'!$W$6:$W$173, "&lt;"&amp;V1)</f>
        <v>3919877.51</v>
      </c>
      <c r="V11" s="261">
        <f>SUMIFS('Expenditure Breakdown'!$Q$6:$Q$173, 'Expenditure Breakdown'!$W$6:$W$173, "&gt;="&amp;V1,'Expenditure Breakdown'!$W$6:$W$173, "&lt;"&amp;W1)</f>
        <v>2300329.36</v>
      </c>
      <c r="W11" s="261">
        <f>SUMIFS('Expenditure Breakdown'!$Q$6:$Q$173, 'Expenditure Breakdown'!$W$6:$W$173, "&gt;="&amp;W1,'Expenditure Breakdown'!$W$6:$W$173, "&lt;"&amp;X1)</f>
        <v>58178.95</v>
      </c>
      <c r="X11" s="261">
        <f>SUMIFS('Expenditure Breakdown'!$Q$6:$Q$173, 'Expenditure Breakdown'!$W$6:$W$173, "&gt;="&amp;X1,'Expenditure Breakdown'!$W$6:$W$173, "&lt;"&amp;Y1)</f>
        <v>119894.62</v>
      </c>
      <c r="Y11" s="261">
        <f>SUMIFS('Expenditure Breakdown'!$Q$6:$Q$173, 'Expenditure Breakdown'!$W$6:$W$173, "&gt;="&amp;Y1,'Expenditure Breakdown'!$W$6:$W$173, "&lt;"&amp;Z1)</f>
        <v>23950</v>
      </c>
      <c r="Z11" s="261">
        <f>SUMIFS('Expenditure Breakdown'!$Q$6:$Q$173, 'Expenditure Breakdown'!$W$6:$W$173, "&gt;="&amp;Z1,'Expenditure Breakdown'!$W$6:$W$173, "&lt;"&amp;AA1)</f>
        <v>1279207.5</v>
      </c>
      <c r="AA11" s="261">
        <f>SUMIFS('Expenditure Breakdown'!$Q$6:$Q$173, 'Expenditure Breakdown'!$W$6:$W$173, "&gt;="&amp;AA1,'Expenditure Breakdown'!$W$6:$W$173, "&lt;"&amp;AB1)</f>
        <v>106204.724</v>
      </c>
      <c r="AB11" s="261">
        <f>SUMIFS('Expenditure Breakdown'!$Q$6:$Q$173, 'Expenditure Breakdown'!$W$6:$W$173, "&gt;="&amp;AB1,'Expenditure Breakdown'!$W$6:$W$173, "&lt;"&amp;AC1)</f>
        <v>690003.05700000003</v>
      </c>
      <c r="AC11" s="261">
        <f>SUMIFS('Expenditure Breakdown'!$Q$6:$Q$173, 'Expenditure Breakdown'!$W$6:$W$173, "&gt;="&amp;AC1,'Expenditure Breakdown'!$W$6:$W$173, "&lt;"&amp;AD1)</f>
        <v>326926.7585</v>
      </c>
      <c r="AD11" s="261">
        <f>SUMIFS('Expenditure Breakdown'!$Q$6:$Q$173, 'Expenditure Breakdown'!$W$6:$W$173, "&gt;="&amp;AD1,'Expenditure Breakdown'!$W$6:$W$173, "&lt;"&amp;AE1)</f>
        <v>0</v>
      </c>
      <c r="AE11" s="261">
        <f>SUMIFS('Expenditure Breakdown'!$Q$6:$Q$173, 'Expenditure Breakdown'!$W$6:$W$173, "&gt;="&amp;AE1,'Expenditure Breakdown'!$W$6:$W$173, "&lt;"&amp;AF1)</f>
        <v>39607.629999999997</v>
      </c>
      <c r="AF11" s="261">
        <f>SUMIFS('Expenditure Breakdown'!$Q$6:$Q$173, 'Expenditure Breakdown'!$W$6:$W$173, "&gt;="&amp;AF1,'Expenditure Breakdown'!$W$6:$W$173, "&lt;"&amp;AG1)</f>
        <v>1310929.4310000001</v>
      </c>
      <c r="AG11" s="261">
        <f>SUMIFS('Expenditure Breakdown'!$Q$6:$Q$173, 'Expenditure Breakdown'!$W$6:$W$173, "&gt;="&amp;AG1,'Expenditure Breakdown'!$W$6:$W$173, "&lt;"&amp;AH1)</f>
        <v>11163.75</v>
      </c>
      <c r="AH11" s="261">
        <f>SUMIFS('Expenditure Breakdown'!$Q$6:$Q$173, 'Expenditure Breakdown'!$W$6:$W$173, "&gt;="&amp;AH1,'Expenditure Breakdown'!$W$6:$W$173, "&lt;"&amp;AI1)</f>
        <v>0</v>
      </c>
      <c r="AI11" s="261">
        <f>SUMIFS('Expenditure Breakdown'!$Q$6:$Q$173, 'Expenditure Breakdown'!$W$6:$W$173, "&gt;="&amp;AI1,'Expenditure Breakdown'!$W$6:$W$173, "&lt;"&amp;AJ1)</f>
        <v>224214.11174596625</v>
      </c>
      <c r="AJ11" s="261">
        <f>SUMIFS('Expenditure Breakdown'!$Q$6:$Q$173, 'Expenditure Breakdown'!$W$6:$W$173, "&gt;="&amp;AJ1,'Expenditure Breakdown'!$W$6:$W$173, "&lt;"&amp;AK1)</f>
        <v>19647.39</v>
      </c>
      <c r="AK11" s="261">
        <f>SUMIFS('Expenditure Breakdown'!$Q$6:$Q$173, 'Expenditure Breakdown'!$W$6:$W$173, "&gt;="&amp;AK1,'Expenditure Breakdown'!$W$6:$W$173, "&lt;"&amp;AL1)</f>
        <v>21652.79</v>
      </c>
      <c r="AL11" s="261">
        <f>SUMIFS('Expenditure Breakdown'!$Q$6:$Q$173, 'Expenditure Breakdown'!$W$6:$W$173, "&gt;="&amp;AL1,'Expenditure Breakdown'!$W$6:$W$173, "&lt;"&amp;AM1)</f>
        <v>87000</v>
      </c>
      <c r="AM11" s="261">
        <f>SUMIFS('Expenditure Breakdown'!$Q$6:$Q$173, 'Expenditure Breakdown'!$W$6:$W$173, "&gt;="&amp;AM1,'Expenditure Breakdown'!$W$6:$W$173, "&lt;"&amp;AN1)</f>
        <v>120734.71</v>
      </c>
      <c r="AN11" s="261">
        <f>SUMIFS('Expenditure Breakdown'!$Q$6:$Q$173, 'Expenditure Breakdown'!$W$6:$W$173, "&gt;="&amp;AN1,'Expenditure Breakdown'!$W$6:$W$173, "&lt;"&amp;AO1)</f>
        <v>90413.68</v>
      </c>
      <c r="AO11" s="261">
        <f>SUMIFS('Expenditure Breakdown'!$Q$6:$Q$173, 'Expenditure Breakdown'!$W$6:$W$173, "&gt;="&amp;AO1,'Expenditure Breakdown'!$W$6:$W$173, "&lt;"&amp;AP1)</f>
        <v>16453</v>
      </c>
      <c r="AP11" s="261">
        <f>SUMIFS('Expenditure Breakdown'!$Q$6:$Q$173, 'Expenditure Breakdown'!$W$6:$W$173, "&gt;="&amp;AP1,'Expenditure Breakdown'!$W$6:$W$173, "&lt;"&amp;AQ1)</f>
        <v>5305</v>
      </c>
      <c r="AQ11" s="261">
        <f>SUMIFS('Expenditure Breakdown'!$Q$6:$Q$173, 'Expenditure Breakdown'!$W$6:$W$173, "&gt;="&amp;AQ1,'Expenditure Breakdown'!$W$6:$W$173, "&lt;"&amp;AR1)</f>
        <v>27933</v>
      </c>
      <c r="AR11" s="261">
        <f>SUMIFS('Expenditure Breakdown'!$Q$6:$Q$173, 'Expenditure Breakdown'!$W$6:$W$173, "&gt;="&amp;AR1,'Expenditure Breakdown'!$W$6:$W$173, "&lt;"&amp;AS1)</f>
        <v>0</v>
      </c>
      <c r="AS11" s="261">
        <f>SUMIFS('Expenditure Breakdown'!$Q$6:$Q$173, 'Expenditure Breakdown'!$W$6:$W$173, "&gt;="&amp;AS1,'Expenditure Breakdown'!$W$6:$W$173, "&lt;"&amp;AT1)</f>
        <v>26281.4</v>
      </c>
      <c r="AT11" s="261">
        <f>SUMIFS('Expenditure Breakdown'!$Q$6:$Q$173, 'Expenditure Breakdown'!$W$6:$W$173, "&gt;="&amp;AT1,'Expenditure Breakdown'!$W$6:$W$173, "&lt;"&amp;AU1)</f>
        <v>0</v>
      </c>
      <c r="AU11" s="261">
        <f>SUMIFS('Expenditure Breakdown'!$Q$6:$Q$173, 'Expenditure Breakdown'!$W$6:$W$173, "&gt;="&amp;AU1,'Expenditure Breakdown'!$W$6:$W$173, "&lt;"&amp;AV1)</f>
        <v>244707.56850000002</v>
      </c>
      <c r="AV11" s="261">
        <f>SUMIFS('Expenditure Breakdown'!$Q$6:$Q$173, 'Expenditure Breakdown'!$W$6:$W$173, "&gt;="&amp;AV1,'Expenditure Breakdown'!$W$6:$W$173, "&lt;"&amp;AW1)</f>
        <v>-28982.679999999993</v>
      </c>
      <c r="AW11" s="261">
        <f>SUMIFS('Expenditure Breakdown'!$Q$6:$Q$173, 'Expenditure Breakdown'!$W$6:$W$173, "&gt;="&amp;AW1,'Expenditure Breakdown'!$W$6:$W$173, "&lt;"&amp;AX1)</f>
        <v>4368.24</v>
      </c>
      <c r="AX11" s="261">
        <f>SUMIFS('Expenditure Breakdown'!$Q$6:$Q$173, 'Expenditure Breakdown'!$W$6:$W$173, "&gt;="&amp;AX1,'Expenditure Breakdown'!$W$6:$W$173, "&lt;"&amp;AY1)</f>
        <v>0</v>
      </c>
      <c r="AY11" s="261">
        <f>SUMIFS('Expenditure Breakdown'!$Q$6:$Q$173, 'Expenditure Breakdown'!$W$6:$W$173, "&gt;="&amp;AY1,'Expenditure Breakdown'!$W$6:$W$173, "&lt;"&amp;AZ1)</f>
        <v>0</v>
      </c>
      <c r="AZ11" s="261">
        <f>SUMIFS('Expenditure Breakdown'!$Q$6:$Q$173, 'Expenditure Breakdown'!$W$6:$W$173, "&gt;="&amp;AZ1,'Expenditure Breakdown'!$W$6:$W$173, "&lt;"&amp;BA1)</f>
        <v>0</v>
      </c>
      <c r="BA11" s="261">
        <f>SUMIFS('Expenditure Breakdown'!$Q$6:$Q$173, 'Expenditure Breakdown'!$W$6:$W$173, "&gt;="&amp;BA1,'Expenditure Breakdown'!$W$6:$W$173, "&lt;"&amp;BB1)</f>
        <v>55800</v>
      </c>
      <c r="BB11" s="261">
        <f>SUMIFS('Expenditure Breakdown'!$Q$6:$Q$173, 'Expenditure Breakdown'!$W$6:$W$173, "&gt;="&amp;BB1,'Expenditure Breakdown'!$W$6:$W$173, "&lt;"&amp;BC1)</f>
        <v>0</v>
      </c>
      <c r="BC11" s="261">
        <f>SUMIFS('Expenditure Breakdown'!$Q$6:$Q$173, 'Expenditure Breakdown'!$W$6:$W$173, "&gt;="&amp;BC1,'Expenditure Breakdown'!$W$6:$W$173, "&lt;"&amp;BD1)</f>
        <v>0</v>
      </c>
      <c r="BD11" s="261">
        <f>SUMIFS('Expenditure Breakdown'!$Q$6:$Q$173, 'Expenditure Breakdown'!$W$6:$W$173, "&gt;="&amp;BD1,'Expenditure Breakdown'!$W$6:$W$173, "&lt;"&amp;BE1)</f>
        <v>0</v>
      </c>
      <c r="BE11" s="261">
        <f>SUMIFS('Expenditure Breakdown'!$Q$6:$Q$173, 'Expenditure Breakdown'!$W$6:$W$173, "&gt;="&amp;BE1,'Expenditure Breakdown'!$W$6:$W$173, "&lt;"&amp;BF1)</f>
        <v>0</v>
      </c>
      <c r="BF11" s="261">
        <f>SUMIFS('Expenditure Breakdown'!$Q$6:$Q$173, 'Expenditure Breakdown'!$W$6:$W$173, "&gt;="&amp;BF1,'Expenditure Breakdown'!$W$6:$W$173, "&lt;"&amp;BG1)</f>
        <v>0</v>
      </c>
      <c r="BG11" s="261">
        <f>SUMIFS('Expenditure Breakdown'!$Q$6:$Q$173, 'Expenditure Breakdown'!$W$6:$W$173, "&gt;="&amp;BG1,'Expenditure Breakdown'!$W$6:$W$173, "&lt;"&amp;BH1)</f>
        <v>0</v>
      </c>
      <c r="BH11" s="261">
        <f>SUMIFS('Expenditure Breakdown'!$Q$6:$Q$173, 'Expenditure Breakdown'!$W$6:$W$173, "&gt;="&amp;BH1,'Expenditure Breakdown'!$W$6:$W$173, "&lt;"&amp;BI1)</f>
        <v>0</v>
      </c>
      <c r="BI11" s="261">
        <f>SUMIFS('Expenditure Breakdown'!$Q$6:$Q$173, 'Expenditure Breakdown'!$W$6:$W$173, "&gt;="&amp;BI1,'Expenditure Breakdown'!$W$6:$W$173, "&lt;"&amp;BJ1)</f>
        <v>0</v>
      </c>
      <c r="BJ11" s="261">
        <f>SUMIFS('Expenditure Breakdown'!$Q$6:$Q$173, 'Expenditure Breakdown'!$W$6:$W$173, "&gt;="&amp;BJ1,'Expenditure Breakdown'!$W$6:$W$173, "&lt;"&amp;BK1)</f>
        <v>0</v>
      </c>
      <c r="BK11" s="261">
        <f>SUMIFS('Expenditure Breakdown'!$Q$6:$Q$173, 'Expenditure Breakdown'!$W$6:$W$173, "&gt;="&amp;BK1,'Expenditure Breakdown'!$W$6:$W$173, "&lt;"&amp;BL1)</f>
        <v>0</v>
      </c>
      <c r="BL11" s="261">
        <f>SUMIFS('Expenditure Breakdown'!$Q$6:$Q$173, 'Expenditure Breakdown'!$W$6:$W$173, "&gt;="&amp;BL1,'Expenditure Breakdown'!$W$6:$W$173, "&lt;"&amp;BM1)</f>
        <v>0</v>
      </c>
      <c r="BM11" s="261">
        <f>SUMIFS('Expenditure Breakdown'!$Q$6:$Q$173, 'Expenditure Breakdown'!$W$6:$W$173, "&gt;="&amp;BM1,'Expenditure Breakdown'!$W$6:$W$173, "&lt;"&amp;BN1)</f>
        <v>0</v>
      </c>
      <c r="BN11" s="261">
        <f>SUMIFS('Expenditure Breakdown'!$Q$6:$Q$173, 'Expenditure Breakdown'!$W$6:$W$173, "&gt;="&amp;BN1,'Expenditure Breakdown'!$W$6:$W$173, "&lt;"&amp;BO1)</f>
        <v>0</v>
      </c>
      <c r="BO11" s="261">
        <f>SUMIFS('Expenditure Breakdown'!$Q$6:$Q$173, 'Expenditure Breakdown'!$W$6:$W$173, "&gt;="&amp;BO1,'Expenditure Breakdown'!$W$6:$W$173, "&lt;"&amp;BP1)</f>
        <v>0</v>
      </c>
      <c r="BP11" s="261">
        <f>SUMIFS('Expenditure Breakdown'!$Q$6:$Q$173, 'Expenditure Breakdown'!$W$6:$W$173, "&gt;="&amp;BP1,'Expenditure Breakdown'!$W$6:$W$173, "&lt;"&amp;BQ1)</f>
        <v>0</v>
      </c>
      <c r="BQ11" s="261">
        <f>SUMIFS('Expenditure Breakdown'!$Q$6:$Q$173, 'Expenditure Breakdown'!$W$6:$W$173, "&gt;="&amp;BQ1,'Expenditure Breakdown'!$W$6:$W$173, "&lt;"&amp;BR1)</f>
        <v>0</v>
      </c>
      <c r="BR11" s="261">
        <f>SUMIFS('Expenditure Breakdown'!$Q$6:$Q$173, 'Expenditure Breakdown'!$W$6:$W$173, "&gt;="&amp;BR1,'Expenditure Breakdown'!$W$6:$W$173, "&lt;"&amp;BS1)</f>
        <v>0</v>
      </c>
      <c r="BS11" s="261">
        <f>SUMIFS('Expenditure Breakdown'!$Q$6:$Q$173, 'Expenditure Breakdown'!$W$6:$W$173, "&gt;="&amp;BS1,'Expenditure Breakdown'!$W$6:$W$173, "&lt;"&amp;BT1)</f>
        <v>17160</v>
      </c>
      <c r="BT11" s="261">
        <f>SUMIFS('Expenditure Breakdown'!$Q$6:$Q$173, 'Expenditure Breakdown'!$W$6:$W$173, "&gt;="&amp;BT1,'Expenditure Breakdown'!$W$6:$W$173, "&lt;"&amp;BU1)</f>
        <v>0</v>
      </c>
      <c r="BU11" s="261">
        <f>SUMIFS('Expenditure Breakdown'!$Q$6:$Q$173, 'Expenditure Breakdown'!$W$6:$W$173, "&gt;="&amp;BU1,'Expenditure Breakdown'!$W$6:$W$173, "&lt;"&amp;BV1)</f>
        <v>0</v>
      </c>
      <c r="BV11" s="261">
        <f>SUMIFS('Expenditure Breakdown'!$Q$6:$Q$173, 'Expenditure Breakdown'!$W$6:$W$173, "&gt;="&amp;BV1,'Expenditure Breakdown'!$W$6:$W$173, "&lt;"&amp;BW1)</f>
        <v>0</v>
      </c>
      <c r="BW11" s="261">
        <f>SUMIFS('Expenditure Breakdown'!$Q$6:$Q$173, 'Expenditure Breakdown'!$W$6:$W$173, "&gt;="&amp;BW1,'Expenditure Breakdown'!$W$6:$W$173, "&lt;"&amp;BX1)</f>
        <v>0</v>
      </c>
      <c r="BX11" s="261">
        <f>SUMIFS('Expenditure Breakdown'!$Q$6:$Q$173, 'Expenditure Breakdown'!$W$6:$W$173, "&gt;="&amp;BX1,'Expenditure Breakdown'!$W$6:$W$173, "&lt;"&amp;BY1)</f>
        <v>0</v>
      </c>
      <c r="BY11" s="261">
        <f>SUMIFS('Expenditure Breakdown'!$Q$6:$Q$173, 'Expenditure Breakdown'!$W$6:$W$173, "&gt;="&amp;BY1,'Expenditure Breakdown'!$W$6:$W$173, "&lt;"&amp;BZ1)</f>
        <v>0</v>
      </c>
      <c r="BZ11" s="261">
        <f>SUMIFS('Expenditure Breakdown'!$Q$6:$Q$173, 'Expenditure Breakdown'!$W$6:$W$173, "&gt;="&amp;BZ1,'Expenditure Breakdown'!$W$6:$W$173, "&lt;"&amp;CA1)</f>
        <v>0</v>
      </c>
      <c r="CA11" s="261">
        <f>SUMIFS('Expenditure Breakdown'!$Q$6:$Q$173, 'Expenditure Breakdown'!$W$6:$W$173, "&gt;="&amp;CA1,'Expenditure Breakdown'!$W$6:$W$173, "&lt;"&amp;CB1)</f>
        <v>0</v>
      </c>
      <c r="CB11" s="261">
        <f>SUMIFS('Expenditure Breakdown'!$Q$6:$Q$173, 'Expenditure Breakdown'!$W$6:$W$173, "&gt;="&amp;CB1,'Expenditure Breakdown'!$W$6:$W$173, "&lt;"&amp;CC1)</f>
        <v>0</v>
      </c>
      <c r="CC11" s="261">
        <f>SUMIFS('Expenditure Breakdown'!$Q$6:$Q$173, 'Expenditure Breakdown'!$W$6:$W$173, "&gt;="&amp;CC1,'Expenditure Breakdown'!$W$6:$W$173, "&lt;"&amp;CD1)</f>
        <v>0</v>
      </c>
      <c r="CD11" s="261">
        <f>SUMIFS('Expenditure Breakdown'!$Q$6:$Q$173, 'Expenditure Breakdown'!$W$6:$W$173, "&gt;="&amp;CD1,'Expenditure Breakdown'!$W$6:$W$173, "&lt;"&amp;CE1)</f>
        <v>0</v>
      </c>
      <c r="CE11" s="261">
        <f>SUMIFS('Expenditure Breakdown'!$Q$6:$Q$173, 'Expenditure Breakdown'!$W$6:$W$173, "&gt;="&amp;CE1,'Expenditure Breakdown'!$W$6:$W$173, "&lt;"&amp;CF1)</f>
        <v>0</v>
      </c>
      <c r="CF11" s="261">
        <f>SUMIFS('Expenditure Breakdown'!$Q$6:$Q$173, 'Expenditure Breakdown'!$W$6:$W$173, "&gt;="&amp;CF1,'Expenditure Breakdown'!$W$6:$W$173, "&lt;"&amp;CG1)</f>
        <v>0</v>
      </c>
      <c r="CG11" s="261">
        <f>SUMIFS('Expenditure Breakdown'!$Q$6:$Q$173, 'Expenditure Breakdown'!$W$6:$W$173, "&gt;="&amp;CG1,'Expenditure Breakdown'!$W$6:$W$173, "&lt;"&amp;CH1)</f>
        <v>0</v>
      </c>
      <c r="CH11" s="261">
        <f>SUMIFS('Expenditure Breakdown'!$Q$6:$Q$173, 'Expenditure Breakdown'!$W$6:$W$173, "&gt;="&amp;CH1,'Expenditure Breakdown'!$W$6:$W$173, "&lt;"&amp;CI1)</f>
        <v>0</v>
      </c>
      <c r="CI11" s="261">
        <f>SUMIFS('Expenditure Breakdown'!$Q$6:$Q$173, 'Expenditure Breakdown'!$W$6:$W$173, "&gt;="&amp;CI1,'Expenditure Breakdown'!$W$6:$W$173, "&lt;"&amp;CJ1)</f>
        <v>0</v>
      </c>
      <c r="CJ11" s="261">
        <f>SUMIFS('Expenditure Breakdown'!$Q$6:$Q$173, 'Expenditure Breakdown'!$W$6:$W$173, "&gt;="&amp;CJ1,'Expenditure Breakdown'!$W$6:$W$173, "&lt;"&amp;CK1)</f>
        <v>0</v>
      </c>
      <c r="CK11" s="261">
        <f>SUMIFS('Expenditure Breakdown'!$Q$6:$Q$173, 'Expenditure Breakdown'!$W$6:$W$173, "&gt;="&amp;CK1,'Expenditure Breakdown'!$W$6:$W$173, "&lt;"&amp;CL1)</f>
        <v>0</v>
      </c>
      <c r="CL11" s="261">
        <f>SUMIFS('Expenditure Breakdown'!$Q$6:$Q$173, 'Expenditure Breakdown'!$W$6:$W$173, "&gt;="&amp;CL1,'Expenditure Breakdown'!$W$6:$W$173, "&lt;"&amp;CM1)</f>
        <v>0</v>
      </c>
      <c r="CM11" s="261">
        <f>SUMIFS('Expenditure Breakdown'!$Q$6:$Q$173, 'Expenditure Breakdown'!$W$6:$W$173, "&gt;="&amp;CM1,'Expenditure Breakdown'!$W$6:$W$173, "&lt;"&amp;CN1)</f>
        <v>0</v>
      </c>
      <c r="CN11" s="261">
        <f>SUMIFS('Expenditure Breakdown'!$Q$6:$Q$173, 'Expenditure Breakdown'!$W$6:$W$173, "&gt;="&amp;CN1,'Expenditure Breakdown'!$W$6:$W$173, "&lt;"&amp;CO1)</f>
        <v>0</v>
      </c>
      <c r="CO11" s="261">
        <f>SUMIFS('Expenditure Breakdown'!$Q$6:$Q$173, 'Expenditure Breakdown'!$W$6:$W$173, "&gt;="&amp;CO1,'Expenditure Breakdown'!$W$6:$W$173, "&lt;"&amp;CP1)</f>
        <v>0</v>
      </c>
      <c r="CP11" s="261">
        <f>SUMIFS('Expenditure Breakdown'!$Q$6:$Q$173, 'Expenditure Breakdown'!$W$6:$W$173, "&gt;="&amp;CP1,'Expenditure Breakdown'!$W$6:$W$173, "&lt;"&amp;CQ1)</f>
        <v>0</v>
      </c>
      <c r="CQ11" s="238"/>
      <c r="CR11" s="249"/>
      <c r="CS11" s="249"/>
    </row>
    <row r="12" spans="1:572" s="250" customFormat="1">
      <c r="A12" s="955"/>
      <c r="B12" s="259" t="s">
        <v>626</v>
      </c>
      <c r="C12" s="260"/>
      <c r="D12" s="260"/>
      <c r="E12" s="244"/>
      <c r="F12" s="261">
        <f>F11</f>
        <v>0</v>
      </c>
      <c r="G12" s="261">
        <f>F12+G11</f>
        <v>0</v>
      </c>
      <c r="H12" s="261">
        <f>G12+H11</f>
        <v>0</v>
      </c>
      <c r="I12" s="261">
        <f t="shared" ref="I12:BT12" si="31">H12+I11</f>
        <v>0</v>
      </c>
      <c r="J12" s="261">
        <f t="shared" si="31"/>
        <v>0</v>
      </c>
      <c r="K12" s="261">
        <f t="shared" si="31"/>
        <v>0</v>
      </c>
      <c r="L12" s="261">
        <f t="shared" si="31"/>
        <v>0</v>
      </c>
      <c r="M12" s="261">
        <f t="shared" si="31"/>
        <v>0</v>
      </c>
      <c r="N12" s="261">
        <f t="shared" si="31"/>
        <v>0</v>
      </c>
      <c r="O12" s="261">
        <f t="shared" si="31"/>
        <v>1475691.8409999998</v>
      </c>
      <c r="P12" s="261">
        <f t="shared" si="31"/>
        <v>1475691.8409999998</v>
      </c>
      <c r="Q12" s="261">
        <f t="shared" si="31"/>
        <v>1475691.8409999998</v>
      </c>
      <c r="R12" s="261">
        <f t="shared" si="31"/>
        <v>1507509.8409999998</v>
      </c>
      <c r="S12" s="261">
        <f t="shared" si="31"/>
        <v>3665416.7409999995</v>
      </c>
      <c r="T12" s="261">
        <f t="shared" si="31"/>
        <v>3680372.7409999995</v>
      </c>
      <c r="U12" s="261">
        <f t="shared" si="31"/>
        <v>7600250.2509999992</v>
      </c>
      <c r="V12" s="261">
        <f t="shared" si="31"/>
        <v>9900579.6109999996</v>
      </c>
      <c r="W12" s="261">
        <f t="shared" si="31"/>
        <v>9958758.5609999988</v>
      </c>
      <c r="X12" s="261">
        <f t="shared" si="31"/>
        <v>10078653.180999998</v>
      </c>
      <c r="Y12" s="261">
        <f t="shared" si="31"/>
        <v>10102603.180999998</v>
      </c>
      <c r="Z12" s="261">
        <f t="shared" si="31"/>
        <v>11381810.680999998</v>
      </c>
      <c r="AA12" s="261">
        <f t="shared" si="31"/>
        <v>11488015.404999997</v>
      </c>
      <c r="AB12" s="261">
        <f t="shared" si="31"/>
        <v>12178018.461999997</v>
      </c>
      <c r="AC12" s="261">
        <f t="shared" si="31"/>
        <v>12504945.220499998</v>
      </c>
      <c r="AD12" s="261">
        <f t="shared" si="31"/>
        <v>12504945.220499998</v>
      </c>
      <c r="AE12" s="261">
        <f t="shared" si="31"/>
        <v>12544552.850499999</v>
      </c>
      <c r="AF12" s="261">
        <f t="shared" si="31"/>
        <v>13855482.281499999</v>
      </c>
      <c r="AG12" s="261">
        <f t="shared" si="31"/>
        <v>13866646.031499999</v>
      </c>
      <c r="AH12" s="261">
        <f t="shared" si="31"/>
        <v>13866646.031499999</v>
      </c>
      <c r="AI12" s="261">
        <f t="shared" si="31"/>
        <v>14090860.143245965</v>
      </c>
      <c r="AJ12" s="261">
        <f t="shared" si="31"/>
        <v>14110507.533245966</v>
      </c>
      <c r="AK12" s="261">
        <f t="shared" si="31"/>
        <v>14132160.323245965</v>
      </c>
      <c r="AL12" s="261">
        <f t="shared" si="31"/>
        <v>14219160.323245965</v>
      </c>
      <c r="AM12" s="261">
        <f t="shared" si="31"/>
        <v>14339895.033245966</v>
      </c>
      <c r="AN12" s="261">
        <f t="shared" si="31"/>
        <v>14430308.713245966</v>
      </c>
      <c r="AO12" s="261">
        <f t="shared" si="31"/>
        <v>14446761.713245966</v>
      </c>
      <c r="AP12" s="261">
        <f t="shared" si="31"/>
        <v>14452066.713245966</v>
      </c>
      <c r="AQ12" s="261">
        <f t="shared" si="31"/>
        <v>14479999.713245966</v>
      </c>
      <c r="AR12" s="261">
        <f t="shared" si="31"/>
        <v>14479999.713245966</v>
      </c>
      <c r="AS12" s="261">
        <f t="shared" si="31"/>
        <v>14506281.113245966</v>
      </c>
      <c r="AT12" s="261">
        <f t="shared" si="31"/>
        <v>14506281.113245966</v>
      </c>
      <c r="AU12" s="261">
        <f t="shared" si="31"/>
        <v>14750988.681745965</v>
      </c>
      <c r="AV12" s="261">
        <f t="shared" si="31"/>
        <v>14722006.001745965</v>
      </c>
      <c r="AW12" s="261">
        <f t="shared" si="31"/>
        <v>14726374.241745966</v>
      </c>
      <c r="AX12" s="261">
        <f t="shared" si="31"/>
        <v>14726374.241745966</v>
      </c>
      <c r="AY12" s="261">
        <f t="shared" si="31"/>
        <v>14726374.241745966</v>
      </c>
      <c r="AZ12" s="261">
        <f t="shared" si="31"/>
        <v>14726374.241745966</v>
      </c>
      <c r="BA12" s="261">
        <f t="shared" si="31"/>
        <v>14782174.241745966</v>
      </c>
      <c r="BB12" s="261">
        <f t="shared" si="31"/>
        <v>14782174.241745966</v>
      </c>
      <c r="BC12" s="261">
        <f t="shared" si="31"/>
        <v>14782174.241745966</v>
      </c>
      <c r="BD12" s="261">
        <f t="shared" si="31"/>
        <v>14782174.241745966</v>
      </c>
      <c r="BE12" s="261">
        <f t="shared" si="31"/>
        <v>14782174.241745966</v>
      </c>
      <c r="BF12" s="261">
        <f t="shared" si="31"/>
        <v>14782174.241745966</v>
      </c>
      <c r="BG12" s="261">
        <f t="shared" si="31"/>
        <v>14782174.241745966</v>
      </c>
      <c r="BH12" s="261">
        <f t="shared" si="31"/>
        <v>14782174.241745966</v>
      </c>
      <c r="BI12" s="261">
        <f t="shared" si="31"/>
        <v>14782174.241745966</v>
      </c>
      <c r="BJ12" s="261">
        <f t="shared" si="31"/>
        <v>14782174.241745966</v>
      </c>
      <c r="BK12" s="261">
        <f t="shared" si="31"/>
        <v>14782174.241745966</v>
      </c>
      <c r="BL12" s="261">
        <f t="shared" si="31"/>
        <v>14782174.241745966</v>
      </c>
      <c r="BM12" s="261">
        <f t="shared" si="31"/>
        <v>14782174.241745966</v>
      </c>
      <c r="BN12" s="261">
        <f t="shared" si="31"/>
        <v>14782174.241745966</v>
      </c>
      <c r="BO12" s="261">
        <f t="shared" si="31"/>
        <v>14782174.241745966</v>
      </c>
      <c r="BP12" s="261">
        <f t="shared" si="31"/>
        <v>14782174.241745966</v>
      </c>
      <c r="BQ12" s="261">
        <f t="shared" si="31"/>
        <v>14782174.241745966</v>
      </c>
      <c r="BR12" s="261">
        <f t="shared" si="31"/>
        <v>14782174.241745966</v>
      </c>
      <c r="BS12" s="261">
        <f t="shared" si="31"/>
        <v>14799334.241745966</v>
      </c>
      <c r="BT12" s="261">
        <f t="shared" si="31"/>
        <v>14799334.241745966</v>
      </c>
      <c r="BU12" s="261">
        <f t="shared" ref="BU12:CJ12" si="32">BT12+BU11</f>
        <v>14799334.241745966</v>
      </c>
      <c r="BV12" s="261">
        <f t="shared" si="32"/>
        <v>14799334.241745966</v>
      </c>
      <c r="BW12" s="261">
        <f t="shared" si="32"/>
        <v>14799334.241745966</v>
      </c>
      <c r="BX12" s="261">
        <f t="shared" si="32"/>
        <v>14799334.241745966</v>
      </c>
      <c r="BY12" s="261">
        <f t="shared" si="32"/>
        <v>14799334.241745966</v>
      </c>
      <c r="BZ12" s="261">
        <f t="shared" si="32"/>
        <v>14799334.241745966</v>
      </c>
      <c r="CA12" s="261">
        <f t="shared" si="32"/>
        <v>14799334.241745966</v>
      </c>
      <c r="CB12" s="261">
        <f t="shared" si="32"/>
        <v>14799334.241745966</v>
      </c>
      <c r="CC12" s="261">
        <f t="shared" si="32"/>
        <v>14799334.241745966</v>
      </c>
      <c r="CD12" s="261">
        <f t="shared" si="32"/>
        <v>14799334.241745966</v>
      </c>
      <c r="CE12" s="261">
        <f t="shared" si="32"/>
        <v>14799334.241745966</v>
      </c>
      <c r="CF12" s="261">
        <f t="shared" si="32"/>
        <v>14799334.241745966</v>
      </c>
      <c r="CG12" s="261">
        <f t="shared" si="32"/>
        <v>14799334.241745966</v>
      </c>
      <c r="CH12" s="261">
        <f t="shared" si="32"/>
        <v>14799334.241745966</v>
      </c>
      <c r="CI12" s="261">
        <f t="shared" si="32"/>
        <v>14799334.241745966</v>
      </c>
      <c r="CJ12" s="261">
        <f t="shared" si="32"/>
        <v>14799334.241745966</v>
      </c>
      <c r="CK12" s="261">
        <f t="shared" ref="CK12" si="33">CJ12+CK11</f>
        <v>14799334.241745966</v>
      </c>
      <c r="CL12" s="261">
        <f t="shared" ref="CL12" si="34">CK12+CL11</f>
        <v>14799334.241745966</v>
      </c>
      <c r="CM12" s="261">
        <f t="shared" ref="CM12" si="35">CL12+CM11</f>
        <v>14799334.241745966</v>
      </c>
      <c r="CN12" s="261">
        <f t="shared" ref="CN12" si="36">CM12+CN11</f>
        <v>14799334.241745966</v>
      </c>
      <c r="CO12" s="261">
        <f t="shared" ref="CO12" si="37">CN12+CO11</f>
        <v>14799334.241745966</v>
      </c>
      <c r="CP12" s="261">
        <f t="shared" ref="CP12" si="38">CO12+CP11</f>
        <v>14799334.241745966</v>
      </c>
      <c r="CQ12" s="238"/>
      <c r="CR12" s="249"/>
    </row>
    <row r="13" spans="1:572" s="238" customFormat="1">
      <c r="A13" s="955"/>
      <c r="E13" s="244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5"/>
      <c r="B14" s="251" t="s">
        <v>627</v>
      </c>
      <c r="C14" s="252"/>
      <c r="D14" s="252"/>
      <c r="E14" s="253"/>
      <c r="F14" s="254">
        <f t="shared" ref="F14:H14" si="39">F10-F12</f>
        <v>0</v>
      </c>
      <c r="G14" s="254">
        <f t="shared" si="39"/>
        <v>0</v>
      </c>
      <c r="H14" s="254">
        <f t="shared" si="39"/>
        <v>0</v>
      </c>
      <c r="I14" s="254">
        <f t="shared" ref="I14:BT14" si="40">I10-I12</f>
        <v>0</v>
      </c>
      <c r="J14" s="254">
        <f t="shared" si="40"/>
        <v>0</v>
      </c>
      <c r="K14" s="254">
        <f t="shared" si="40"/>
        <v>0</v>
      </c>
      <c r="L14" s="254">
        <f t="shared" si="40"/>
        <v>5608515.1288870545</v>
      </c>
      <c r="M14" s="254">
        <f t="shared" si="40"/>
        <v>5608515.1288870545</v>
      </c>
      <c r="N14" s="254">
        <f t="shared" si="40"/>
        <v>5608515.1288870545</v>
      </c>
      <c r="O14" s="254">
        <f t="shared" si="40"/>
        <v>4132823.2878870545</v>
      </c>
      <c r="P14" s="254">
        <f t="shared" si="40"/>
        <v>4132823.2878870545</v>
      </c>
      <c r="Q14" s="254">
        <f t="shared" si="40"/>
        <v>4132823.2878870545</v>
      </c>
      <c r="R14" s="254">
        <f t="shared" si="40"/>
        <v>4101005.2878870545</v>
      </c>
      <c r="S14" s="254">
        <f t="shared" si="40"/>
        <v>6750397.069790245</v>
      </c>
      <c r="T14" s="254">
        <f t="shared" si="40"/>
        <v>9940306.857725706</v>
      </c>
      <c r="U14" s="254">
        <f t="shared" si="40"/>
        <v>6020429.3477257052</v>
      </c>
      <c r="V14" s="254">
        <f t="shared" si="40"/>
        <v>3720099.9877257049</v>
      </c>
      <c r="W14" s="254">
        <f t="shared" si="40"/>
        <v>3661921.0377257057</v>
      </c>
      <c r="X14" s="254">
        <f t="shared" si="40"/>
        <v>3542026.4177257065</v>
      </c>
      <c r="Y14" s="254">
        <f t="shared" si="40"/>
        <v>3518076.4177257065</v>
      </c>
      <c r="Z14" s="254">
        <f t="shared" si="40"/>
        <v>2238868.9177257065</v>
      </c>
      <c r="AA14" s="254">
        <f t="shared" si="40"/>
        <v>2132664.193725707</v>
      </c>
      <c r="AB14" s="254">
        <f t="shared" si="40"/>
        <v>1442661.136725707</v>
      </c>
      <c r="AC14" s="254">
        <f t="shared" si="40"/>
        <v>1115734.3782257065</v>
      </c>
      <c r="AD14" s="254">
        <f t="shared" si="40"/>
        <v>1916950.825209571</v>
      </c>
      <c r="AE14" s="254">
        <f t="shared" si="40"/>
        <v>1877343.1952095702</v>
      </c>
      <c r="AF14" s="254">
        <f t="shared" si="40"/>
        <v>566413.76420957036</v>
      </c>
      <c r="AG14" s="254">
        <f t="shared" si="40"/>
        <v>555250.01420957036</v>
      </c>
      <c r="AH14" s="254">
        <f t="shared" si="40"/>
        <v>555250.01420957036</v>
      </c>
      <c r="AI14" s="254">
        <f t="shared" si="40"/>
        <v>331035.90246360376</v>
      </c>
      <c r="AJ14" s="254">
        <f t="shared" si="40"/>
        <v>311388.51246360317</v>
      </c>
      <c r="AK14" s="254">
        <f t="shared" si="40"/>
        <v>289735.72246360406</v>
      </c>
      <c r="AL14" s="254">
        <f t="shared" si="40"/>
        <v>202735.72246360406</v>
      </c>
      <c r="AM14" s="254">
        <f t="shared" si="40"/>
        <v>82001.012463603169</v>
      </c>
      <c r="AN14" s="254">
        <f t="shared" si="40"/>
        <v>-8412.6675363965333</v>
      </c>
      <c r="AO14" s="254">
        <f t="shared" si="40"/>
        <v>-24865.667536396533</v>
      </c>
      <c r="AP14" s="254">
        <f t="shared" si="40"/>
        <v>-30170.667536396533</v>
      </c>
      <c r="AQ14" s="254">
        <f t="shared" si="40"/>
        <v>-58103.667536396533</v>
      </c>
      <c r="AR14" s="254">
        <f t="shared" si="40"/>
        <v>-58103.667536396533</v>
      </c>
      <c r="AS14" s="254">
        <f t="shared" si="40"/>
        <v>-84385.067536396906</v>
      </c>
      <c r="AT14" s="254">
        <f t="shared" si="40"/>
        <v>-84385.067536396906</v>
      </c>
      <c r="AU14" s="254">
        <f t="shared" si="40"/>
        <v>-329092.63603639603</v>
      </c>
      <c r="AV14" s="254">
        <f t="shared" si="40"/>
        <v>-300109.95603639632</v>
      </c>
      <c r="AW14" s="254">
        <f t="shared" si="40"/>
        <v>-304478.19603639655</v>
      </c>
      <c r="AX14" s="254">
        <f t="shared" si="40"/>
        <v>-304478.19603639655</v>
      </c>
      <c r="AY14" s="254">
        <f t="shared" si="40"/>
        <v>-304478.19603639655</v>
      </c>
      <c r="AZ14" s="254">
        <f t="shared" si="40"/>
        <v>-304478.19603639655</v>
      </c>
      <c r="BA14" s="254">
        <f t="shared" si="40"/>
        <v>-360278.19603639655</v>
      </c>
      <c r="BB14" s="254">
        <f t="shared" si="40"/>
        <v>-360278.19603639655</v>
      </c>
      <c r="BC14" s="254">
        <f t="shared" si="40"/>
        <v>-360278.19603639655</v>
      </c>
      <c r="BD14" s="254">
        <f t="shared" si="40"/>
        <v>-360278.19603639655</v>
      </c>
      <c r="BE14" s="254">
        <f t="shared" si="40"/>
        <v>-360278.19603639655</v>
      </c>
      <c r="BF14" s="254">
        <f t="shared" si="40"/>
        <v>440938.25094746798</v>
      </c>
      <c r="BG14" s="254">
        <f t="shared" si="40"/>
        <v>440938.25094746798</v>
      </c>
      <c r="BH14" s="254">
        <f t="shared" si="40"/>
        <v>440938.25094746798</v>
      </c>
      <c r="BI14" s="254">
        <f t="shared" si="40"/>
        <v>440938.25094746798</v>
      </c>
      <c r="BJ14" s="254">
        <f t="shared" si="40"/>
        <v>440938.25094746798</v>
      </c>
      <c r="BK14" s="254">
        <f t="shared" si="40"/>
        <v>440938.25094746798</v>
      </c>
      <c r="BL14" s="254">
        <f t="shared" si="40"/>
        <v>440938.25094746798</v>
      </c>
      <c r="BM14" s="254">
        <f t="shared" si="40"/>
        <v>440938.25094746798</v>
      </c>
      <c r="BN14" s="254">
        <f t="shared" si="40"/>
        <v>440938.25094746798</v>
      </c>
      <c r="BO14" s="254">
        <f t="shared" si="40"/>
        <v>440938.25094746798</v>
      </c>
      <c r="BP14" s="254">
        <f t="shared" si="40"/>
        <v>440938.25094746798</v>
      </c>
      <c r="BQ14" s="254">
        <f t="shared" si="40"/>
        <v>440938.25094746798</v>
      </c>
      <c r="BR14" s="254">
        <f t="shared" si="40"/>
        <v>440938.25094746798</v>
      </c>
      <c r="BS14" s="254">
        <f t="shared" si="40"/>
        <v>824386.47443940118</v>
      </c>
      <c r="BT14" s="254">
        <f t="shared" si="40"/>
        <v>824386.47443940118</v>
      </c>
      <c r="BU14" s="254">
        <f t="shared" ref="BU14:CJ14" si="41">BU10-BU12</f>
        <v>824386.47443940118</v>
      </c>
      <c r="BV14" s="254">
        <f t="shared" si="41"/>
        <v>1224994.6979313344</v>
      </c>
      <c r="BW14" s="254">
        <f t="shared" si="41"/>
        <v>1224994.6979313344</v>
      </c>
      <c r="BX14" s="254">
        <f t="shared" si="41"/>
        <v>1224994.6979313344</v>
      </c>
      <c r="BY14" s="254">
        <f t="shared" si="41"/>
        <v>1224994.6979313344</v>
      </c>
      <c r="BZ14" s="254">
        <f t="shared" si="41"/>
        <v>1224994.6979313344</v>
      </c>
      <c r="CA14" s="254">
        <f t="shared" si="41"/>
        <v>1224994.6979313344</v>
      </c>
      <c r="CB14" s="254">
        <f t="shared" si="41"/>
        <v>1224994.6979313344</v>
      </c>
      <c r="CC14" s="254">
        <f t="shared" si="41"/>
        <v>1224994.6979313344</v>
      </c>
      <c r="CD14" s="254">
        <f t="shared" si="41"/>
        <v>1224994.6979313344</v>
      </c>
      <c r="CE14" s="254">
        <f t="shared" si="41"/>
        <v>1224994.6979313344</v>
      </c>
      <c r="CF14" s="254">
        <f t="shared" si="41"/>
        <v>1224994.6979313344</v>
      </c>
      <c r="CG14" s="254">
        <f t="shared" si="41"/>
        <v>1224994.6979313344</v>
      </c>
      <c r="CH14" s="254">
        <f t="shared" si="41"/>
        <v>1224994.6979313344</v>
      </c>
      <c r="CI14" s="254">
        <f t="shared" si="41"/>
        <v>1224994.6979313344</v>
      </c>
      <c r="CJ14" s="254">
        <f t="shared" si="41"/>
        <v>1224994.6979313344</v>
      </c>
      <c r="CK14" s="254">
        <f t="shared" ref="CK14:CP14" si="42">CK10-CK12</f>
        <v>1224994.6979313344</v>
      </c>
      <c r="CL14" s="254">
        <f t="shared" si="42"/>
        <v>1224994.6979313344</v>
      </c>
      <c r="CM14" s="254">
        <f t="shared" si="42"/>
        <v>1224994.6979313344</v>
      </c>
      <c r="CN14" s="254">
        <f t="shared" si="42"/>
        <v>1224994.6979313344</v>
      </c>
      <c r="CO14" s="254">
        <f t="shared" si="42"/>
        <v>1224994.6979313344</v>
      </c>
      <c r="CP14" s="254">
        <f t="shared" si="42"/>
        <v>1224994.6979313344</v>
      </c>
    </row>
    <row r="15" spans="1:572" s="238" customFormat="1"/>
    <row r="16" spans="1:572" s="238" customFormat="1">
      <c r="C16" s="240" t="s">
        <v>354</v>
      </c>
      <c r="D16" s="240" t="s">
        <v>354</v>
      </c>
    </row>
    <row r="17" spans="1:95">
      <c r="A17" s="956"/>
      <c r="B17" s="242" t="s">
        <v>628</v>
      </c>
      <c r="C17" s="526">
        <f>C3-D17</f>
        <v>1.3926148414611816E-2</v>
      </c>
      <c r="D17" s="243">
        <f>SUM(F17:CP17)</f>
        <v>16024328.925751152</v>
      </c>
      <c r="E17" s="253"/>
      <c r="F17" s="261">
        <f>SUMIFS('Expenditure Breakdown'!$U$6:$U$173, 'Expenditure Breakdown'!$T$6:$T$173, "&gt;="&amp;F1,'Expenditure Breakdown'!$T$6:$T$173, "&lt;"&amp;G1)</f>
        <v>0</v>
      </c>
      <c r="G17" s="261">
        <f>SUMIFS('Expenditure Breakdown'!$U$6:$U$173, 'Expenditure Breakdown'!$T$6:$T$173, "&gt;="&amp;G1,'Expenditure Breakdown'!$T$6:$T$173, "&lt;"&amp;H1)</f>
        <v>0</v>
      </c>
      <c r="H17" s="261">
        <f>SUMIFS('Expenditure Breakdown'!$U$6:$U$173, 'Expenditure Breakdown'!$T$6:$T$173, "&gt;="&amp;H1,'Expenditure Breakdown'!$T$6:$T$173, "&lt;"&amp;I1)</f>
        <v>0</v>
      </c>
      <c r="I17" s="261">
        <f>SUMIFS('Expenditure Breakdown'!$U$6:$U$173, 'Expenditure Breakdown'!$T$6:$T$173, "&gt;="&amp;I1,'Expenditure Breakdown'!$T$6:$T$173, "&lt;"&amp;J1)</f>
        <v>0</v>
      </c>
      <c r="J17" s="261">
        <f>SUMIFS('Expenditure Breakdown'!$U$6:$U$173, 'Expenditure Breakdown'!$T$6:$T$173, "&gt;="&amp;J1,'Expenditure Breakdown'!$T$6:$T$173, "&lt;"&amp;K1)</f>
        <v>0</v>
      </c>
      <c r="K17" s="261">
        <f>SUMIFS('Expenditure Breakdown'!$U$6:$U$173, 'Expenditure Breakdown'!$T$6:$T$173, "&gt;="&amp;K1,'Expenditure Breakdown'!$T$6:$T$173, "&lt;"&amp;L1)</f>
        <v>0</v>
      </c>
      <c r="L17" s="261">
        <f>SUMIFS('Expenditure Breakdown'!$U$6:$U$173, 'Expenditure Breakdown'!$T$6:$T$173, "&gt;="&amp;L1,'Expenditure Breakdown'!$T$6:$T$173, "&lt;"&amp;M1)</f>
        <v>0</v>
      </c>
      <c r="M17" s="261">
        <f>SUMIFS('Expenditure Breakdown'!$U$6:$U$173, 'Expenditure Breakdown'!$T$6:$T$173, "&gt;="&amp;M1,'Expenditure Breakdown'!$T$6:$T$173, "&lt;"&amp;N1)</f>
        <v>0</v>
      </c>
      <c r="N17" s="261">
        <f>SUMIFS('Expenditure Breakdown'!$U$6:$U$173, 'Expenditure Breakdown'!$T$6:$T$173, "&gt;="&amp;N1,'Expenditure Breakdown'!$T$6:$T$173, "&lt;"&amp;O1)</f>
        <v>5250104.3368507773</v>
      </c>
      <c r="O17" s="261">
        <f>SUMIFS('Expenditure Breakdown'!$U$6:$U$173, 'Expenditure Breakdown'!$T$6:$T$173, "&gt;="&amp;O1,'Expenditure Breakdown'!$T$6:$T$173, "&lt;"&amp;P1)</f>
        <v>0</v>
      </c>
      <c r="P17" s="261">
        <f>SUMIFS('Expenditure Breakdown'!$U$6:$U$173, 'Expenditure Breakdown'!$T$6:$T$173, "&gt;="&amp;P1,'Expenditure Breakdown'!$T$6:$T$173, "&lt;"&amp;Q1)</f>
        <v>0</v>
      </c>
      <c r="Q17" s="261">
        <f>SUMIFS('Expenditure Breakdown'!$U$6:$U$173, 'Expenditure Breakdown'!$T$6:$T$173, "&gt;="&amp;Q1,'Expenditure Breakdown'!$T$6:$T$173, "&lt;"&amp;R1)</f>
        <v>0</v>
      </c>
      <c r="R17" s="261">
        <f>SUMIFS('Expenditure Breakdown'!$U$6:$U$173, 'Expenditure Breakdown'!$T$6:$T$173, "&gt;="&amp;R1,'Expenditure Breakdown'!$T$6:$T$173, "&lt;"&amp;S1)</f>
        <v>4143486.4555554688</v>
      </c>
      <c r="S17" s="261">
        <f>SUMIFS('Expenditure Breakdown'!$U$6:$U$173, 'Expenditure Breakdown'!$T$6:$T$173, "&gt;="&amp;S1,'Expenditure Breakdown'!$T$6:$T$173, "&lt;"&amp;T1)</f>
        <v>0</v>
      </c>
      <c r="T17" s="261">
        <f>SUMIFS('Expenditure Breakdown'!$U$6:$U$173, 'Expenditure Breakdown'!$T$6:$T$173, "&gt;="&amp;T1,'Expenditure Breakdown'!$T$6:$T$173, "&lt;"&amp;U1)</f>
        <v>0</v>
      </c>
      <c r="U17" s="261">
        <f>SUMIFS('Expenditure Breakdown'!$U$6:$U$173, 'Expenditure Breakdown'!$T$6:$T$173, "&gt;="&amp;U1,'Expenditure Breakdown'!$T$6:$T$173, "&lt;"&amp;V1)</f>
        <v>0</v>
      </c>
      <c r="V17" s="261">
        <f>SUMIFS('Expenditure Breakdown'!$U$6:$U$173, 'Expenditure Breakdown'!$T$6:$T$173, "&gt;="&amp;V1,'Expenditure Breakdown'!$T$6:$T$173, "&lt;"&amp;W1)</f>
        <v>2531182.3613349763</v>
      </c>
      <c r="W17" s="261">
        <f>SUMIFS('Expenditure Breakdown'!$U$6:$U$173, 'Expenditure Breakdown'!$T$6:$T$173, "&gt;="&amp;W1,'Expenditure Breakdown'!$T$6:$T$173, "&lt;"&amp;X1)</f>
        <v>0</v>
      </c>
      <c r="X17" s="261">
        <f>SUMIFS('Expenditure Breakdown'!$U$6:$U$173, 'Expenditure Breakdown'!$T$6:$T$173, "&gt;="&amp;X1,'Expenditure Breakdown'!$T$6:$T$173, "&lt;"&amp;Y1)</f>
        <v>0</v>
      </c>
      <c r="Y17" s="261">
        <f>SUMIFS('Expenditure Breakdown'!$U$6:$U$173, 'Expenditure Breakdown'!$T$6:$T$173, "&gt;="&amp;Y1,'Expenditure Breakdown'!$T$6:$T$173, "&lt;"&amp;Z1)</f>
        <v>0</v>
      </c>
      <c r="Z17" s="261">
        <f>SUMIFS('Expenditure Breakdown'!$U$6:$U$173, 'Expenditure Breakdown'!$T$6:$T$173, "&gt;="&amp;Z1,'Expenditure Breakdown'!$T$6:$T$173, "&lt;"&amp;AA1)</f>
        <v>0</v>
      </c>
      <c r="AA17" s="261">
        <f>SUMIFS('Expenditure Breakdown'!$U$6:$U$173, 'Expenditure Breakdown'!$T$6:$T$173, "&gt;="&amp;AA1,'Expenditure Breakdown'!$T$6:$T$173, "&lt;"&amp;AB1)</f>
        <v>807251.36709088099</v>
      </c>
      <c r="AB17" s="261">
        <f>SUMIFS('Expenditure Breakdown'!$U$6:$U$173, 'Expenditure Breakdown'!$T$6:$T$173, "&gt;="&amp;AB1,'Expenditure Breakdown'!$T$6:$T$173, "&lt;"&amp;AC1)</f>
        <v>0</v>
      </c>
      <c r="AC17" s="261">
        <f>SUMIFS('Expenditure Breakdown'!$U$6:$U$173, 'Expenditure Breakdown'!$T$6:$T$173, "&gt;="&amp;AC1,'Expenditure Breakdown'!$T$6:$T$173, "&lt;"&amp;AD1)</f>
        <v>0</v>
      </c>
      <c r="AD17" s="261">
        <f>SUMIFS('Expenditure Breakdown'!$U$6:$U$173, 'Expenditure Breakdown'!$T$6:$T$173, "&gt;="&amp;AD1,'Expenditure Breakdown'!$T$6:$T$173, "&lt;"&amp;AE1)</f>
        <v>0</v>
      </c>
      <c r="AE17" s="261">
        <f>SUMIFS('Expenditure Breakdown'!$U$6:$U$173, 'Expenditure Breakdown'!$T$6:$T$173, "&gt;="&amp;AE1,'Expenditure Breakdown'!$T$6:$T$173, "&lt;"&amp;AF1)</f>
        <v>1998064.1710520359</v>
      </c>
      <c r="AF17" s="261">
        <f>SUMIFS('Expenditure Breakdown'!$U$6:$U$173, 'Expenditure Breakdown'!$T$6:$T$173, "&gt;="&amp;AF1,'Expenditure Breakdown'!$T$6:$T$173, "&lt;"&amp;AG1)</f>
        <v>0</v>
      </c>
      <c r="AG17" s="261">
        <f>SUMIFS('Expenditure Breakdown'!$U$6:$U$173, 'Expenditure Breakdown'!$T$6:$T$173, "&gt;="&amp;AG1,'Expenditure Breakdown'!$T$6:$T$173, "&lt;"&amp;AH1)</f>
        <v>0</v>
      </c>
      <c r="AH17" s="261">
        <f>SUMIFS('Expenditure Breakdown'!$U$6:$U$173, 'Expenditure Breakdown'!$T$6:$T$173, "&gt;="&amp;AH1,'Expenditure Breakdown'!$T$6:$T$173, "&lt;"&amp;AI1)</f>
        <v>0</v>
      </c>
      <c r="AI17" s="261">
        <f>SUMIFS('Expenditure Breakdown'!$U$6:$U$173, 'Expenditure Breakdown'!$T$6:$T$173, "&gt;="&amp;AI1,'Expenditure Breakdown'!$T$6:$T$173, "&lt;"&amp;AJ1)</f>
        <v>1063381.7473336954</v>
      </c>
      <c r="AJ17" s="261">
        <f>SUMIFS('Expenditure Breakdown'!$U$6:$U$173, 'Expenditure Breakdown'!$T$6:$T$173, "&gt;="&amp;AJ1,'Expenditure Breakdown'!$T$6:$T$173, "&lt;"&amp;AK1)</f>
        <v>0</v>
      </c>
      <c r="AK17" s="261">
        <f>SUMIFS('Expenditure Breakdown'!$U$6:$U$173, 'Expenditure Breakdown'!$T$6:$T$173, "&gt;="&amp;AK1,'Expenditure Breakdown'!$T$6:$T$173, "&lt;"&amp;AL1)</f>
        <v>0</v>
      </c>
      <c r="AL17" s="261">
        <f>SUMIFS('Expenditure Breakdown'!$U$6:$U$173, 'Expenditure Breakdown'!$T$6:$T$173, "&gt;="&amp;AL1,'Expenditure Breakdown'!$T$6:$T$173, "&lt;"&amp;AM1)</f>
        <v>0</v>
      </c>
      <c r="AM17" s="261">
        <f>SUMIFS('Expenditure Breakdown'!$U$6:$U$173, 'Expenditure Breakdown'!$T$6:$T$173, "&gt;="&amp;AM1,'Expenditure Breakdown'!$T$6:$T$173, "&lt;"&amp;AN1)</f>
        <v>0</v>
      </c>
      <c r="AN17" s="261">
        <f>SUMIFS('Expenditure Breakdown'!$U$6:$U$173, 'Expenditure Breakdown'!$T$6:$T$173, "&gt;="&amp;AN1,'Expenditure Breakdown'!$T$6:$T$173, "&lt;"&amp;AO1)</f>
        <v>220618.57582738574</v>
      </c>
      <c r="AO17" s="261">
        <f>SUMIFS('Expenditure Breakdown'!$U$6:$U$173, 'Expenditure Breakdown'!$T$6:$T$173, "&gt;="&amp;AO1,'Expenditure Breakdown'!$T$6:$T$173, "&lt;"&amp;AP1)</f>
        <v>0</v>
      </c>
      <c r="AP17" s="261">
        <f>SUMIFS('Expenditure Breakdown'!$U$6:$U$173, 'Expenditure Breakdown'!$T$6:$T$173, "&gt;="&amp;AP1,'Expenditure Breakdown'!$T$6:$T$173, "&lt;"&amp;AQ1)</f>
        <v>0</v>
      </c>
      <c r="AQ17" s="261">
        <f>SUMIFS('Expenditure Breakdown'!$U$6:$U$173, 'Expenditure Breakdown'!$T$6:$T$173, "&gt;="&amp;AQ1,'Expenditure Breakdown'!$T$6:$T$173, "&lt;"&amp;AR1)</f>
        <v>0</v>
      </c>
      <c r="AR17" s="261">
        <f>SUMIFS('Expenditure Breakdown'!$U$6:$U$173, 'Expenditure Breakdown'!$T$6:$T$173, "&gt;="&amp;AR1,'Expenditure Breakdown'!$T$6:$T$173, "&lt;"&amp;AS1)</f>
        <v>2704.8742877996197</v>
      </c>
      <c r="AS17" s="261">
        <f>SUMIFS('Expenditure Breakdown'!$U$6:$U$173, 'Expenditure Breakdown'!$T$6:$T$173, "&gt;="&amp;AS1,'Expenditure Breakdown'!$T$6:$T$173, "&lt;"&amp;AT1)</f>
        <v>0</v>
      </c>
      <c r="AT17" s="261">
        <f>SUMIFS('Expenditure Breakdown'!$U$6:$U$173, 'Expenditure Breakdown'!$T$6:$T$173, "&gt;="&amp;AT1,'Expenditure Breakdown'!$T$6:$T$173, "&lt;"&amp;AU1)</f>
        <v>0</v>
      </c>
      <c r="AU17" s="261">
        <f>SUMIFS('Expenditure Breakdown'!$U$6:$U$173, 'Expenditure Breakdown'!$T$6:$T$173, "&gt;="&amp;AU1,'Expenditure Breakdown'!$T$6:$T$173, "&lt;"&amp;AV1)</f>
        <v>0</v>
      </c>
      <c r="AV17" s="261">
        <f>SUMIFS('Expenditure Breakdown'!$U$6:$U$173, 'Expenditure Breakdown'!$T$6:$T$173, "&gt;="&amp;AV1,'Expenditure Breakdown'!$T$6:$T$173, "&lt;"&amp;AW1)</f>
        <v>7535.0364181319565</v>
      </c>
      <c r="AW17" s="261">
        <f>SUMIFS('Expenditure Breakdown'!$U$6:$U$173, 'Expenditure Breakdown'!$T$6:$T$173, "&gt;="&amp;AW1,'Expenditure Breakdown'!$T$6:$T$173, "&lt;"&amp;AX1)</f>
        <v>0</v>
      </c>
      <c r="AX17" s="261">
        <f>SUMIFS('Expenditure Breakdown'!$U$6:$U$173, 'Expenditure Breakdown'!$T$6:$T$173, "&gt;="&amp;AX1,'Expenditure Breakdown'!$T$6:$T$173, "&lt;"&amp;AY1)</f>
        <v>0</v>
      </c>
      <c r="AY17" s="261">
        <f>SUMIFS('Expenditure Breakdown'!$U$6:$U$173, 'Expenditure Breakdown'!$T$6:$T$173, "&gt;="&amp;AY1,'Expenditure Breakdown'!$T$6:$T$173, "&lt;"&amp;AZ1)</f>
        <v>0</v>
      </c>
      <c r="AZ17" s="261">
        <f>SUMIFS('Expenditure Breakdown'!$U$6:$U$173, 'Expenditure Breakdown'!$T$6:$T$173, "&gt;="&amp;AZ1,'Expenditure Breakdown'!$T$6:$T$173, "&lt;"&amp;BA1)</f>
        <v>0</v>
      </c>
      <c r="BA17" s="261">
        <f>SUMIFS('Expenditure Breakdown'!$U$6:$U$173, 'Expenditure Breakdown'!$T$6:$T$173, "&gt;="&amp;BA1,'Expenditure Breakdown'!$T$6:$T$173, "&lt;"&amp;BB1)</f>
        <v>0</v>
      </c>
      <c r="BB17" s="261">
        <f>SUMIFS('Expenditure Breakdown'!$U$6:$U$173, 'Expenditure Breakdown'!$T$6:$T$173, "&gt;="&amp;BB1,'Expenditure Breakdown'!$T$6:$T$173, "&lt;"&amp;BC1)</f>
        <v>0</v>
      </c>
      <c r="BC17" s="261">
        <f>SUMIFS('Expenditure Breakdown'!$U$6:$U$173, 'Expenditure Breakdown'!$T$6:$T$173, "&gt;="&amp;BC1,'Expenditure Breakdown'!$T$6:$T$173, "&lt;"&amp;BD1)</f>
        <v>0</v>
      </c>
      <c r="BD17" s="261">
        <f>SUMIFS('Expenditure Breakdown'!$U$6:$U$173, 'Expenditure Breakdown'!$T$6:$T$173, "&gt;="&amp;BD1,'Expenditure Breakdown'!$T$6:$T$173, "&lt;"&amp;BE1)</f>
        <v>0</v>
      </c>
      <c r="BE17" s="261">
        <f>SUMIFS('Expenditure Breakdown'!$U$6:$U$173, 'Expenditure Breakdown'!$T$6:$T$173, "&gt;="&amp;BE1,'Expenditure Breakdown'!$T$6:$T$173, "&lt;"&amp;BF1)</f>
        <v>0</v>
      </c>
      <c r="BF17" s="261">
        <f>SUMIFS('Expenditure Breakdown'!$U$6:$U$173, 'Expenditure Breakdown'!$T$6:$T$173, "&gt;="&amp;BF1,'Expenditure Breakdown'!$T$6:$T$173, "&lt;"&amp;BG1)</f>
        <v>0</v>
      </c>
      <c r="BG17" s="261">
        <f>SUMIFS('Expenditure Breakdown'!$U$6:$U$173, 'Expenditure Breakdown'!$T$6:$T$173, "&gt;="&amp;BG1,'Expenditure Breakdown'!$T$6:$T$173, "&lt;"&amp;BH1)</f>
        <v>0</v>
      </c>
      <c r="BH17" s="261">
        <f>SUMIFS('Expenditure Breakdown'!$U$6:$U$173, 'Expenditure Breakdown'!$T$6:$T$173, "&gt;="&amp;BH1,'Expenditure Breakdown'!$T$6:$T$173, "&lt;"&amp;BI1)</f>
        <v>0</v>
      </c>
      <c r="BI17" s="261">
        <f>SUMIFS('Expenditure Breakdown'!$U$6:$U$173, 'Expenditure Breakdown'!$T$6:$T$173, "&gt;="&amp;BI1,'Expenditure Breakdown'!$T$6:$T$173, "&lt;"&amp;BJ1)</f>
        <v>0</v>
      </c>
      <c r="BJ17" s="261">
        <f>SUMIFS('Expenditure Breakdown'!$U$6:$U$173, 'Expenditure Breakdown'!$T$6:$T$173, "&gt;="&amp;BJ1,'Expenditure Breakdown'!$T$6:$T$173, "&lt;"&amp;BK1)</f>
        <v>0</v>
      </c>
      <c r="BK17" s="261">
        <f>SUMIFS('Expenditure Breakdown'!$U$6:$U$173, 'Expenditure Breakdown'!$T$6:$T$173, "&gt;="&amp;BK1,'Expenditure Breakdown'!$T$6:$T$173, "&lt;"&amp;BL1)</f>
        <v>0</v>
      </c>
      <c r="BL17" s="261">
        <f>SUMIFS('Expenditure Breakdown'!$U$6:$U$173, 'Expenditure Breakdown'!$T$6:$T$173, "&gt;="&amp;BL1,'Expenditure Breakdown'!$T$6:$T$173, "&lt;"&amp;BM1)</f>
        <v>0</v>
      </c>
      <c r="BM17" s="261">
        <f>SUMIFS('Expenditure Breakdown'!$U$6:$U$173, 'Expenditure Breakdown'!$T$6:$T$173, "&gt;="&amp;BM1,'Expenditure Breakdown'!$T$6:$T$173, "&lt;"&amp;BN1)</f>
        <v>0</v>
      </c>
      <c r="BN17" s="261">
        <f>SUMIFS('Expenditure Breakdown'!$U$6:$U$173, 'Expenditure Breakdown'!$T$6:$T$173, "&gt;="&amp;BN1,'Expenditure Breakdown'!$T$6:$T$173, "&lt;"&amp;BO1)</f>
        <v>0</v>
      </c>
      <c r="BO17" s="261">
        <f>SUMIFS('Expenditure Breakdown'!$U$6:$U$173, 'Expenditure Breakdown'!$T$6:$T$173, "&gt;="&amp;BO1,'Expenditure Breakdown'!$T$6:$T$173, "&lt;"&amp;BP1)</f>
        <v>0</v>
      </c>
      <c r="BP17" s="261">
        <f>SUMIFS('Expenditure Breakdown'!$U$6:$U$173, 'Expenditure Breakdown'!$T$6:$T$173, "&gt;="&amp;BP1,'Expenditure Breakdown'!$T$6:$T$173, "&lt;"&amp;BQ1)</f>
        <v>0</v>
      </c>
      <c r="BQ17" s="261">
        <f>SUMIFS('Expenditure Breakdown'!$U$6:$U$173, 'Expenditure Breakdown'!$T$6:$T$173, "&gt;="&amp;BQ1,'Expenditure Breakdown'!$T$6:$T$173, "&lt;"&amp;BR1)</f>
        <v>0</v>
      </c>
      <c r="BR17" s="261">
        <f>SUMIFS('Expenditure Breakdown'!$U$6:$U$173, 'Expenditure Breakdown'!$T$6:$T$173, "&gt;="&amp;BR1,'Expenditure Breakdown'!$T$6:$T$173, "&lt;"&amp;BS1)</f>
        <v>0</v>
      </c>
      <c r="BS17" s="261">
        <f>SUMIFS('Expenditure Breakdown'!$U$6:$U$173, 'Expenditure Breakdown'!$T$6:$T$173, "&gt;="&amp;BS1,'Expenditure Breakdown'!$T$6:$T$173, "&lt;"&amp;BT1)</f>
        <v>0</v>
      </c>
      <c r="BT17" s="261">
        <f>SUMIFS('Expenditure Breakdown'!$U$6:$U$173, 'Expenditure Breakdown'!$T$6:$T$173, "&gt;="&amp;BT1,'Expenditure Breakdown'!$T$6:$T$173, "&lt;"&amp;BU1)</f>
        <v>0</v>
      </c>
      <c r="BU17" s="261">
        <f>SUMIFS('Expenditure Breakdown'!$U$6:$U$173, 'Expenditure Breakdown'!$T$6:$T$173, "&gt;="&amp;BU1,'Expenditure Breakdown'!$T$6:$T$173, "&lt;"&amp;BV1)</f>
        <v>0</v>
      </c>
      <c r="BV17" s="261">
        <f>SUMIFS('Expenditure Breakdown'!$U$6:$U$173, 'Expenditure Breakdown'!$T$6:$T$173, "&gt;="&amp;BV1,'Expenditure Breakdown'!$T$6:$T$173, "&lt;"&amp;BW1)</f>
        <v>0</v>
      </c>
      <c r="BW17" s="261">
        <f>SUMIFS('Expenditure Breakdown'!$U$6:$U$173, 'Expenditure Breakdown'!$T$6:$T$173, "&gt;="&amp;BW1,'Expenditure Breakdown'!$T$6:$T$173, "&lt;"&amp;BX1)</f>
        <v>0</v>
      </c>
      <c r="BX17" s="261">
        <f>SUMIFS('Expenditure Breakdown'!$U$6:$U$173, 'Expenditure Breakdown'!$T$6:$T$173, "&gt;="&amp;BX1,'Expenditure Breakdown'!$T$6:$T$173, "&lt;"&amp;BY1)</f>
        <v>0</v>
      </c>
      <c r="BY17" s="261">
        <f>SUMIFS('Expenditure Breakdown'!$U$6:$U$173, 'Expenditure Breakdown'!$T$6:$T$173, "&gt;="&amp;BY1,'Expenditure Breakdown'!$T$6:$T$173, "&lt;"&amp;BZ1)</f>
        <v>0</v>
      </c>
      <c r="BZ17" s="261">
        <f>SUMIFS('Expenditure Breakdown'!$U$6:$U$173, 'Expenditure Breakdown'!$T$6:$T$173, "&gt;="&amp;BZ1,'Expenditure Breakdown'!$T$6:$T$173, "&lt;"&amp;CA1)</f>
        <v>0</v>
      </c>
      <c r="CA17" s="261">
        <f>SUMIFS('Expenditure Breakdown'!$U$6:$U$173, 'Expenditure Breakdown'!$T$6:$T$173, "&gt;="&amp;CA1,'Expenditure Breakdown'!$T$6:$T$173, "&lt;"&amp;CB1)</f>
        <v>0</v>
      </c>
      <c r="CB17" s="261">
        <f>SUMIFS('Expenditure Breakdown'!$U$6:$U$173, 'Expenditure Breakdown'!$T$6:$T$173, "&gt;="&amp;CB1,'Expenditure Breakdown'!$T$6:$T$173, "&lt;"&amp;CC1)</f>
        <v>0</v>
      </c>
      <c r="CC17" s="261">
        <f>SUMIFS('Expenditure Breakdown'!$U$6:$U$173, 'Expenditure Breakdown'!$T$6:$T$173, "&gt;="&amp;CC1,'Expenditure Breakdown'!$T$6:$T$173, "&lt;"&amp;CD1)</f>
        <v>0</v>
      </c>
      <c r="CD17" s="261">
        <f>SUMIFS('Expenditure Breakdown'!$U$6:$U$173, 'Expenditure Breakdown'!$T$6:$T$173, "&gt;="&amp;CD1,'Expenditure Breakdown'!$T$6:$T$173, "&lt;"&amp;CE1)</f>
        <v>0</v>
      </c>
      <c r="CE17" s="261">
        <f>SUMIFS('Expenditure Breakdown'!$U$6:$U$173, 'Expenditure Breakdown'!$T$6:$T$173, "&gt;="&amp;CE1,'Expenditure Breakdown'!$T$6:$T$173, "&lt;"&amp;CF1)</f>
        <v>0</v>
      </c>
      <c r="CF17" s="261">
        <f>SUMIFS('Expenditure Breakdown'!$U$6:$U$173, 'Expenditure Breakdown'!$T$6:$T$173, "&gt;="&amp;CF1,'Expenditure Breakdown'!$T$6:$T$173, "&lt;"&amp;CG1)</f>
        <v>0</v>
      </c>
      <c r="CG17" s="261">
        <f>SUMIFS('Expenditure Breakdown'!$U$6:$U$173, 'Expenditure Breakdown'!$T$6:$T$173, "&gt;="&amp;CG1,'Expenditure Breakdown'!$T$6:$T$173, "&lt;"&amp;CH1)</f>
        <v>0</v>
      </c>
      <c r="CH17" s="261">
        <f>SUMIFS('Expenditure Breakdown'!$U$6:$U$173, 'Expenditure Breakdown'!$T$6:$T$173, "&gt;="&amp;CH1,'Expenditure Breakdown'!$T$6:$T$173, "&lt;"&amp;CI1)</f>
        <v>0</v>
      </c>
      <c r="CI17" s="261">
        <f>SUMIFS('Expenditure Breakdown'!$U$6:$U$173, 'Expenditure Breakdown'!$T$6:$T$173, "&gt;="&amp;CI1,'Expenditure Breakdown'!$T$6:$T$173, "&lt;"&amp;CJ1)</f>
        <v>0</v>
      </c>
      <c r="CJ17" s="261">
        <f>SUMIFS('Expenditure Breakdown'!$U$6:$U$173, 'Expenditure Breakdown'!$T$6:$T$173, "&gt;="&amp;CJ1,'Expenditure Breakdown'!$T$6:$T$173, "&lt;"&amp;CK1)</f>
        <v>0</v>
      </c>
      <c r="CK17" s="261">
        <f>SUMIFS('Expenditure Breakdown'!$U$6:$U$173, 'Expenditure Breakdown'!$T$6:$T$173, "&gt;="&amp;CK1,'Expenditure Breakdown'!$T$6:$T$173, "&lt;"&amp;CL1)</f>
        <v>0</v>
      </c>
      <c r="CL17" s="261">
        <f>SUMIFS('Expenditure Breakdown'!$U$6:$U$173, 'Expenditure Breakdown'!$T$6:$T$173, "&gt;="&amp;CL1,'Expenditure Breakdown'!$T$6:$T$173, "&lt;"&amp;CM1)</f>
        <v>0</v>
      </c>
      <c r="CM17" s="261">
        <f>SUMIFS('Expenditure Breakdown'!$U$6:$U$173, 'Expenditure Breakdown'!$T$6:$T$173, "&gt;="&amp;CM1,'Expenditure Breakdown'!$T$6:$T$173, "&lt;"&amp;CN1)</f>
        <v>0</v>
      </c>
      <c r="CN17" s="261">
        <f>SUMIFS('Expenditure Breakdown'!$U$6:$U$173, 'Expenditure Breakdown'!$T$6:$T$173, "&gt;="&amp;CN1,'Expenditure Breakdown'!$T$6:$T$173, "&lt;"&amp;CO1)</f>
        <v>0</v>
      </c>
      <c r="CO17" s="261">
        <f>SUMIFS('Expenditure Breakdown'!$U$6:$U$173, 'Expenditure Breakdown'!$T$6:$T$173, "&gt;="&amp;CO1,'Expenditure Breakdown'!$T$6:$T$173, "&lt;"&amp;CP1)</f>
        <v>0</v>
      </c>
      <c r="CP17" s="261">
        <f>SUMIFS('Expenditure Breakdown'!$U$6:$U$173, 'Expenditure Breakdown'!$T$6:$T$173, "&gt;="&amp;CP1,'Expenditure Breakdown'!$T$6:$T$173, "&lt;"&amp;CQ1)</f>
        <v>0</v>
      </c>
    </row>
    <row r="18" spans="1:95">
      <c r="A18" s="956"/>
      <c r="B18" s="242" t="s">
        <v>629</v>
      </c>
      <c r="C18" s="526">
        <f>D17-D18</f>
        <v>0</v>
      </c>
      <c r="D18" s="243">
        <f>MAX(F18:CP18)</f>
        <v>16024328.925751152</v>
      </c>
      <c r="E18" s="253"/>
      <c r="F18" s="261">
        <f>F17</f>
        <v>0</v>
      </c>
      <c r="G18" s="261">
        <f>F18+G17</f>
        <v>0</v>
      </c>
      <c r="H18" s="261">
        <f>G18+H17</f>
        <v>0</v>
      </c>
      <c r="I18" s="261">
        <f t="shared" ref="I18:BT18" si="43">H18+I17</f>
        <v>0</v>
      </c>
      <c r="J18" s="261">
        <f t="shared" si="43"/>
        <v>0</v>
      </c>
      <c r="K18" s="261">
        <f t="shared" si="43"/>
        <v>0</v>
      </c>
      <c r="L18" s="261">
        <f t="shared" si="43"/>
        <v>0</v>
      </c>
      <c r="M18" s="261">
        <f t="shared" si="43"/>
        <v>0</v>
      </c>
      <c r="N18" s="261">
        <f t="shared" si="43"/>
        <v>5250104.3368507773</v>
      </c>
      <c r="O18" s="261">
        <f t="shared" si="43"/>
        <v>5250104.3368507773</v>
      </c>
      <c r="P18" s="261">
        <f t="shared" si="43"/>
        <v>5250104.3368507773</v>
      </c>
      <c r="Q18" s="261">
        <f t="shared" si="43"/>
        <v>5250104.3368507773</v>
      </c>
      <c r="R18" s="261">
        <f t="shared" si="43"/>
        <v>9393590.7924062461</v>
      </c>
      <c r="S18" s="261">
        <f t="shared" si="43"/>
        <v>9393590.7924062461</v>
      </c>
      <c r="T18" s="261">
        <f t="shared" si="43"/>
        <v>9393590.7924062461</v>
      </c>
      <c r="U18" s="261">
        <f t="shared" si="43"/>
        <v>9393590.7924062461</v>
      </c>
      <c r="V18" s="261">
        <f t="shared" si="43"/>
        <v>11924773.153741222</v>
      </c>
      <c r="W18" s="261">
        <f t="shared" si="43"/>
        <v>11924773.153741222</v>
      </c>
      <c r="X18" s="261">
        <f t="shared" si="43"/>
        <v>11924773.153741222</v>
      </c>
      <c r="Y18" s="261">
        <f t="shared" si="43"/>
        <v>11924773.153741222</v>
      </c>
      <c r="Z18" s="261">
        <f t="shared" si="43"/>
        <v>11924773.153741222</v>
      </c>
      <c r="AA18" s="261">
        <f t="shared" si="43"/>
        <v>12732024.520832103</v>
      </c>
      <c r="AB18" s="261">
        <f t="shared" si="43"/>
        <v>12732024.520832103</v>
      </c>
      <c r="AC18" s="261">
        <f t="shared" si="43"/>
        <v>12732024.520832103</v>
      </c>
      <c r="AD18" s="261">
        <f t="shared" si="43"/>
        <v>12732024.520832103</v>
      </c>
      <c r="AE18" s="261">
        <f t="shared" si="43"/>
        <v>14730088.691884138</v>
      </c>
      <c r="AF18" s="261">
        <f t="shared" si="43"/>
        <v>14730088.691884138</v>
      </c>
      <c r="AG18" s="261">
        <f t="shared" si="43"/>
        <v>14730088.691884138</v>
      </c>
      <c r="AH18" s="261">
        <f t="shared" si="43"/>
        <v>14730088.691884138</v>
      </c>
      <c r="AI18" s="261">
        <f t="shared" si="43"/>
        <v>15793470.439217834</v>
      </c>
      <c r="AJ18" s="261">
        <f t="shared" si="43"/>
        <v>15793470.439217834</v>
      </c>
      <c r="AK18" s="261">
        <f t="shared" si="43"/>
        <v>15793470.439217834</v>
      </c>
      <c r="AL18" s="261">
        <f t="shared" si="43"/>
        <v>15793470.439217834</v>
      </c>
      <c r="AM18" s="261">
        <f t="shared" si="43"/>
        <v>15793470.439217834</v>
      </c>
      <c r="AN18" s="261">
        <f t="shared" si="43"/>
        <v>16014089.01504522</v>
      </c>
      <c r="AO18" s="261">
        <f t="shared" si="43"/>
        <v>16014089.01504522</v>
      </c>
      <c r="AP18" s="261">
        <f t="shared" si="43"/>
        <v>16014089.01504522</v>
      </c>
      <c r="AQ18" s="261">
        <f t="shared" si="43"/>
        <v>16014089.01504522</v>
      </c>
      <c r="AR18" s="261">
        <f t="shared" si="43"/>
        <v>16016793.889333019</v>
      </c>
      <c r="AS18" s="261">
        <f t="shared" si="43"/>
        <v>16016793.889333019</v>
      </c>
      <c r="AT18" s="261">
        <f t="shared" si="43"/>
        <v>16016793.889333019</v>
      </c>
      <c r="AU18" s="261">
        <f t="shared" si="43"/>
        <v>16016793.889333019</v>
      </c>
      <c r="AV18" s="261">
        <f t="shared" si="43"/>
        <v>16024328.925751152</v>
      </c>
      <c r="AW18" s="261">
        <f t="shared" si="43"/>
        <v>16024328.925751152</v>
      </c>
      <c r="AX18" s="261">
        <f t="shared" si="43"/>
        <v>16024328.925751152</v>
      </c>
      <c r="AY18" s="261">
        <f t="shared" si="43"/>
        <v>16024328.925751152</v>
      </c>
      <c r="AZ18" s="261">
        <f t="shared" si="43"/>
        <v>16024328.925751152</v>
      </c>
      <c r="BA18" s="261">
        <f t="shared" si="43"/>
        <v>16024328.925751152</v>
      </c>
      <c r="BB18" s="261">
        <f t="shared" si="43"/>
        <v>16024328.925751152</v>
      </c>
      <c r="BC18" s="261">
        <f t="shared" si="43"/>
        <v>16024328.925751152</v>
      </c>
      <c r="BD18" s="261">
        <f t="shared" si="43"/>
        <v>16024328.925751152</v>
      </c>
      <c r="BE18" s="261">
        <f t="shared" si="43"/>
        <v>16024328.925751152</v>
      </c>
      <c r="BF18" s="261">
        <f t="shared" si="43"/>
        <v>16024328.925751152</v>
      </c>
      <c r="BG18" s="261">
        <f t="shared" si="43"/>
        <v>16024328.925751152</v>
      </c>
      <c r="BH18" s="261">
        <f t="shared" si="43"/>
        <v>16024328.925751152</v>
      </c>
      <c r="BI18" s="261">
        <f t="shared" si="43"/>
        <v>16024328.925751152</v>
      </c>
      <c r="BJ18" s="261">
        <f t="shared" si="43"/>
        <v>16024328.925751152</v>
      </c>
      <c r="BK18" s="261">
        <f t="shared" si="43"/>
        <v>16024328.925751152</v>
      </c>
      <c r="BL18" s="261">
        <f t="shared" si="43"/>
        <v>16024328.925751152</v>
      </c>
      <c r="BM18" s="261">
        <f t="shared" si="43"/>
        <v>16024328.925751152</v>
      </c>
      <c r="BN18" s="261">
        <f t="shared" si="43"/>
        <v>16024328.925751152</v>
      </c>
      <c r="BO18" s="261">
        <f t="shared" si="43"/>
        <v>16024328.925751152</v>
      </c>
      <c r="BP18" s="261">
        <f t="shared" si="43"/>
        <v>16024328.925751152</v>
      </c>
      <c r="BQ18" s="261">
        <f t="shared" si="43"/>
        <v>16024328.925751152</v>
      </c>
      <c r="BR18" s="261">
        <f t="shared" si="43"/>
        <v>16024328.925751152</v>
      </c>
      <c r="BS18" s="261">
        <f t="shared" si="43"/>
        <v>16024328.925751152</v>
      </c>
      <c r="BT18" s="261">
        <f t="shared" si="43"/>
        <v>16024328.925751152</v>
      </c>
      <c r="BU18" s="261">
        <f t="shared" ref="BU18:CJ18" si="44">BT18+BU17</f>
        <v>16024328.925751152</v>
      </c>
      <c r="BV18" s="261">
        <f t="shared" si="44"/>
        <v>16024328.925751152</v>
      </c>
      <c r="BW18" s="261">
        <f t="shared" si="44"/>
        <v>16024328.925751152</v>
      </c>
      <c r="BX18" s="261">
        <f t="shared" si="44"/>
        <v>16024328.925751152</v>
      </c>
      <c r="BY18" s="261">
        <f t="shared" si="44"/>
        <v>16024328.925751152</v>
      </c>
      <c r="BZ18" s="261">
        <f t="shared" si="44"/>
        <v>16024328.925751152</v>
      </c>
      <c r="CA18" s="261">
        <f t="shared" si="44"/>
        <v>16024328.925751152</v>
      </c>
      <c r="CB18" s="261">
        <f t="shared" si="44"/>
        <v>16024328.925751152</v>
      </c>
      <c r="CC18" s="261">
        <f t="shared" si="44"/>
        <v>16024328.925751152</v>
      </c>
      <c r="CD18" s="261">
        <f t="shared" si="44"/>
        <v>16024328.925751152</v>
      </c>
      <c r="CE18" s="261">
        <f t="shared" si="44"/>
        <v>16024328.925751152</v>
      </c>
      <c r="CF18" s="261">
        <f t="shared" si="44"/>
        <v>16024328.925751152</v>
      </c>
      <c r="CG18" s="261">
        <f t="shared" si="44"/>
        <v>16024328.925751152</v>
      </c>
      <c r="CH18" s="261">
        <f t="shared" si="44"/>
        <v>16024328.925751152</v>
      </c>
      <c r="CI18" s="261">
        <f t="shared" si="44"/>
        <v>16024328.925751152</v>
      </c>
      <c r="CJ18" s="261">
        <f t="shared" si="44"/>
        <v>16024328.925751152</v>
      </c>
      <c r="CK18" s="261">
        <f t="shared" ref="CK18" si="45">CJ18+CK17</f>
        <v>16024328.925751152</v>
      </c>
      <c r="CL18" s="261">
        <f t="shared" ref="CL18" si="46">CK18+CL17</f>
        <v>16024328.925751152</v>
      </c>
      <c r="CM18" s="261">
        <f t="shared" ref="CM18" si="47">CL18+CM17</f>
        <v>16024328.925751152</v>
      </c>
      <c r="CN18" s="261">
        <f t="shared" ref="CN18" si="48">CM18+CN17</f>
        <v>16024328.925751152</v>
      </c>
      <c r="CO18" s="261">
        <f t="shared" ref="CO18" si="49">CN18+CO17</f>
        <v>16024328.925751152</v>
      </c>
      <c r="CP18" s="261">
        <f t="shared" ref="CP18" si="50">CO18+CP17</f>
        <v>16024328.925751152</v>
      </c>
    </row>
    <row r="19" spans="1:95" s="238" customFormat="1"/>
    <row r="20" spans="1:95">
      <c r="D20" s="613"/>
      <c r="E20" s="238"/>
    </row>
    <row r="21" spans="1:95">
      <c r="E21" s="238"/>
    </row>
    <row r="22" spans="1:95" s="238" customFormat="1"/>
    <row r="24" spans="1:95" s="613" customFormat="1">
      <c r="CQ24" s="735"/>
    </row>
    <row r="29" spans="1:95">
      <c r="F29" s="736"/>
      <c r="G29" s="736"/>
      <c r="H29" s="736"/>
      <c r="I29" s="736"/>
      <c r="J29" s="736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C1" zoomScale="85" zoomScaleNormal="85" workbookViewId="0">
      <selection activeCell="N7" sqref="N7"/>
    </sheetView>
  </sheetViews>
  <sheetFormatPr defaultColWidth="12.5703125" defaultRowHeight="14.45"/>
  <cols>
    <col min="1" max="1" width="36.85546875" style="489" bestFit="1" customWidth="1"/>
    <col min="2" max="2" width="15.85546875" style="490" bestFit="1" customWidth="1"/>
    <col min="3" max="3" width="6.85546875" style="489" bestFit="1" customWidth="1"/>
    <col min="4" max="6" width="14.5703125" style="489" bestFit="1" customWidth="1"/>
    <col min="7" max="7" width="12.85546875" style="489" bestFit="1" customWidth="1"/>
    <col min="8" max="9" width="14.5703125" style="489" bestFit="1" customWidth="1"/>
    <col min="10" max="10" width="12.85546875" style="489" bestFit="1" customWidth="1"/>
    <col min="11" max="12" width="11.140625" style="489" bestFit="1" customWidth="1"/>
    <col min="13" max="13" width="15.5703125" style="489" bestFit="1" customWidth="1"/>
    <col min="14" max="14" width="16" style="489" bestFit="1" customWidth="1"/>
    <col min="15" max="15" width="15.42578125" style="489" bestFit="1" customWidth="1"/>
    <col min="16" max="18" width="11.42578125" style="489" bestFit="1" customWidth="1"/>
    <col min="19" max="19" width="13.5703125" style="489" bestFit="1" customWidth="1"/>
    <col min="20" max="16384" width="12.5703125" style="489"/>
  </cols>
  <sheetData>
    <row r="1" spans="1:20">
      <c r="A1" s="514" t="s">
        <v>353</v>
      </c>
      <c r="B1" t="s">
        <v>630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4" t="s">
        <v>631</v>
      </c>
      <c r="B3" s="514" t="s">
        <v>632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4" t="s">
        <v>633</v>
      </c>
      <c r="B4"/>
      <c r="C4" t="s">
        <v>634</v>
      </c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t="s">
        <v>635</v>
      </c>
      <c r="N4"/>
      <c r="O4"/>
      <c r="P4"/>
      <c r="Q4"/>
      <c r="R4"/>
      <c r="S4"/>
      <c r="T4"/>
    </row>
    <row r="5" spans="1:20">
      <c r="A5" s="515" t="s">
        <v>634</v>
      </c>
      <c r="B5" s="516"/>
      <c r="C5" s="516"/>
      <c r="D5" s="516"/>
      <c r="E5" s="516"/>
      <c r="F5" s="516"/>
      <c r="G5" s="516"/>
      <c r="H5" s="516"/>
      <c r="I5" s="516"/>
      <c r="J5" s="516"/>
      <c r="K5" s="516"/>
      <c r="L5" s="516"/>
      <c r="M5" s="516"/>
      <c r="N5"/>
      <c r="O5"/>
      <c r="P5"/>
      <c r="Q5"/>
      <c r="R5"/>
      <c r="S5"/>
      <c r="T5"/>
    </row>
    <row r="6" spans="1:20">
      <c r="A6" s="515" t="s">
        <v>488</v>
      </c>
      <c r="B6" s="516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/>
      <c r="O6"/>
      <c r="P6"/>
      <c r="Q6"/>
      <c r="R6"/>
      <c r="S6"/>
      <c r="T6"/>
    </row>
    <row r="7" spans="1:20">
      <c r="A7" s="515" t="s">
        <v>582</v>
      </c>
      <c r="B7" s="516"/>
      <c r="C7" s="516"/>
      <c r="D7" s="516"/>
      <c r="E7" s="516"/>
      <c r="F7" s="516"/>
      <c r="G7" s="516"/>
      <c r="H7" s="516"/>
      <c r="I7" s="516"/>
      <c r="J7" s="516"/>
      <c r="K7" s="516"/>
      <c r="L7" s="516"/>
      <c r="M7" s="516"/>
      <c r="N7"/>
      <c r="O7"/>
      <c r="P7"/>
      <c r="Q7"/>
      <c r="R7"/>
      <c r="S7"/>
      <c r="T7"/>
    </row>
    <row r="8" spans="1:20">
      <c r="A8" s="515" t="s">
        <v>359</v>
      </c>
      <c r="B8" s="516">
        <v>0</v>
      </c>
      <c r="C8" s="516">
        <v>0</v>
      </c>
      <c r="D8" s="516">
        <v>4699920.0344086001</v>
      </c>
      <c r="E8" s="516"/>
      <c r="F8" s="516"/>
      <c r="G8" s="516"/>
      <c r="H8" s="516"/>
      <c r="I8" s="516">
        <v>0</v>
      </c>
      <c r="J8" s="516"/>
      <c r="K8" s="516">
        <v>0</v>
      </c>
      <c r="L8" s="516"/>
      <c r="M8" s="516">
        <v>4699920.0344086001</v>
      </c>
      <c r="N8"/>
      <c r="O8"/>
      <c r="P8"/>
      <c r="Q8"/>
      <c r="R8"/>
      <c r="S8"/>
      <c r="T8"/>
    </row>
    <row r="9" spans="1:20">
      <c r="A9" s="515" t="s">
        <v>379</v>
      </c>
      <c r="B9" s="516"/>
      <c r="C9" s="516">
        <v>0</v>
      </c>
      <c r="D9" s="516"/>
      <c r="E9" s="516">
        <v>1990010.132356771</v>
      </c>
      <c r="F9" s="516">
        <v>1236675.889148609</v>
      </c>
      <c r="G9" s="516"/>
      <c r="H9" s="516"/>
      <c r="I9" s="516"/>
      <c r="J9" s="516"/>
      <c r="K9" s="516"/>
      <c r="L9" s="516">
        <v>0</v>
      </c>
      <c r="M9" s="516">
        <v>3226686.02150538</v>
      </c>
      <c r="N9"/>
      <c r="O9"/>
      <c r="P9"/>
      <c r="Q9"/>
      <c r="R9"/>
      <c r="S9"/>
      <c r="T9"/>
    </row>
    <row r="10" spans="1:20">
      <c r="A10" s="515" t="s">
        <v>399</v>
      </c>
      <c r="B10" s="516"/>
      <c r="C10" s="516">
        <v>0</v>
      </c>
      <c r="D10" s="516"/>
      <c r="E10" s="516">
        <v>705479.56989247305</v>
      </c>
      <c r="F10" s="516"/>
      <c r="G10" s="516"/>
      <c r="H10" s="516"/>
      <c r="I10" s="516"/>
      <c r="J10" s="516"/>
      <c r="K10" s="516"/>
      <c r="L10" s="516"/>
      <c r="M10" s="516">
        <v>705479.56989247305</v>
      </c>
      <c r="N10"/>
      <c r="O10"/>
      <c r="P10"/>
      <c r="Q10"/>
      <c r="R10"/>
      <c r="S10"/>
      <c r="T10"/>
    </row>
    <row r="11" spans="1:20">
      <c r="A11" s="515" t="s">
        <v>411</v>
      </c>
      <c r="B11" s="516"/>
      <c r="C11" s="516">
        <v>0</v>
      </c>
      <c r="D11" s="516">
        <v>542107.78446558013</v>
      </c>
      <c r="E11" s="516">
        <v>290003.51882912021</v>
      </c>
      <c r="F11" s="516">
        <v>193335.67921941346</v>
      </c>
      <c r="G11" s="516">
        <v>128890.45340366673</v>
      </c>
      <c r="H11" s="516">
        <v>420189.03465534007</v>
      </c>
      <c r="I11" s="516"/>
      <c r="J11" s="516">
        <v>52109.225572453477</v>
      </c>
      <c r="K11" s="516"/>
      <c r="L11" s="516"/>
      <c r="M11" s="516">
        <v>1626635.6961455741</v>
      </c>
      <c r="N11"/>
      <c r="O11"/>
      <c r="P11"/>
      <c r="Q11"/>
      <c r="R11"/>
      <c r="S11"/>
      <c r="T11"/>
    </row>
    <row r="12" spans="1:20">
      <c r="A12" s="515" t="s">
        <v>433</v>
      </c>
      <c r="B12" s="516"/>
      <c r="C12" s="516"/>
      <c r="D12" s="516"/>
      <c r="E12" s="516">
        <v>75275.970162964135</v>
      </c>
      <c r="F12" s="516">
        <v>226571.35919752839</v>
      </c>
      <c r="G12" s="516">
        <v>135393.99811516414</v>
      </c>
      <c r="H12" s="516"/>
      <c r="I12" s="516">
        <v>155016.73960232985</v>
      </c>
      <c r="J12" s="516">
        <v>0</v>
      </c>
      <c r="K12" s="516"/>
      <c r="L12" s="516"/>
      <c r="M12" s="516">
        <v>592258.06707798643</v>
      </c>
      <c r="N12"/>
      <c r="O12"/>
      <c r="P12"/>
      <c r="Q12"/>
      <c r="R12"/>
      <c r="S12"/>
      <c r="T12"/>
    </row>
    <row r="13" spans="1:20">
      <c r="A13" s="515" t="s">
        <v>477</v>
      </c>
      <c r="B13" s="516">
        <v>0</v>
      </c>
      <c r="C13" s="516"/>
      <c r="D13" s="516"/>
      <c r="E13" s="516">
        <v>480584.15055997926</v>
      </c>
      <c r="F13" s="516">
        <v>403722.75074151432</v>
      </c>
      <c r="G13" s="516">
        <v>195973.53042961576</v>
      </c>
      <c r="H13" s="516">
        <v>465437.13238785235</v>
      </c>
      <c r="I13" s="516"/>
      <c r="J13" s="516">
        <v>73490.073646385354</v>
      </c>
      <c r="K13" s="516"/>
      <c r="L13" s="516"/>
      <c r="M13" s="516">
        <v>1619207.6377653473</v>
      </c>
      <c r="N13"/>
      <c r="O13"/>
      <c r="P13"/>
      <c r="Q13"/>
      <c r="R13"/>
      <c r="S13"/>
      <c r="T13"/>
    </row>
    <row r="14" spans="1:20">
      <c r="A14" s="515" t="s">
        <v>491</v>
      </c>
      <c r="B14" s="516">
        <v>0</v>
      </c>
      <c r="C14" s="516">
        <v>0</v>
      </c>
      <c r="D14" s="516"/>
      <c r="E14" s="516">
        <v>8098.8322427598778</v>
      </c>
      <c r="F14" s="516">
        <v>80505.978842134355</v>
      </c>
      <c r="G14" s="516">
        <v>71044.972621336026</v>
      </c>
      <c r="H14" s="516">
        <v>398720.91479275259</v>
      </c>
      <c r="I14" s="516">
        <v>87469.705787120867</v>
      </c>
      <c r="J14" s="516">
        <v>0</v>
      </c>
      <c r="K14" s="516"/>
      <c r="L14" s="516"/>
      <c r="M14" s="516">
        <v>645840.40428610367</v>
      </c>
      <c r="N14" s="516">
        <f>SUM(M8:M14)</f>
        <v>13116027.431081465</v>
      </c>
      <c r="O14"/>
      <c r="P14"/>
      <c r="Q14"/>
      <c r="R14"/>
      <c r="S14"/>
      <c r="T14"/>
    </row>
    <row r="15" spans="1:20">
      <c r="A15" s="515" t="s">
        <v>546</v>
      </c>
      <c r="B15" s="516"/>
      <c r="C15" s="516"/>
      <c r="D15" s="516"/>
      <c r="E15" s="516">
        <v>503243.47826086974</v>
      </c>
      <c r="F15" s="516">
        <v>335495.6521739132</v>
      </c>
      <c r="G15" s="516">
        <v>223663.76757108516</v>
      </c>
      <c r="H15" s="516">
        <v>531201.44982021942</v>
      </c>
      <c r="I15" s="516"/>
      <c r="J15" s="516">
        <v>83873.9130434783</v>
      </c>
      <c r="K15" s="516"/>
      <c r="L15" s="516"/>
      <c r="M15" s="516">
        <v>1677478.2608695657</v>
      </c>
      <c r="N15"/>
      <c r="O15"/>
      <c r="P15"/>
      <c r="Q15"/>
      <c r="R15"/>
      <c r="S15"/>
      <c r="T15"/>
    </row>
    <row r="16" spans="1:20">
      <c r="A16" s="515" t="s">
        <v>550</v>
      </c>
      <c r="B16" s="516">
        <v>0</v>
      </c>
      <c r="C16" s="516">
        <v>0</v>
      </c>
      <c r="D16" s="516"/>
      <c r="E16" s="516">
        <v>81701.034595639503</v>
      </c>
      <c r="F16" s="516">
        <v>45331.253513459706</v>
      </c>
      <c r="G16" s="516">
        <v>48227.475317262448</v>
      </c>
      <c r="H16" s="516">
        <v>69073.256445634324</v>
      </c>
      <c r="I16" s="516"/>
      <c r="J16" s="516">
        <v>10906.30368096918</v>
      </c>
      <c r="K16" s="516"/>
      <c r="L16" s="516"/>
      <c r="M16" s="516">
        <v>255239.32355296516</v>
      </c>
      <c r="N16"/>
      <c r="O16"/>
      <c r="P16"/>
      <c r="Q16"/>
      <c r="R16"/>
      <c r="S16"/>
      <c r="T16"/>
    </row>
    <row r="17" spans="1:20">
      <c r="A17" s="515" t="s">
        <v>568</v>
      </c>
      <c r="B17" s="516"/>
      <c r="C17" s="516"/>
      <c r="D17" s="516">
        <v>0</v>
      </c>
      <c r="E17" s="516">
        <v>5746.4982592502702</v>
      </c>
      <c r="F17" s="516"/>
      <c r="G17" s="516"/>
      <c r="H17" s="516">
        <v>111937.31615210755</v>
      </c>
      <c r="I17" s="516">
        <v>63837.92304592135</v>
      </c>
      <c r="J17" s="516"/>
      <c r="K17" s="516"/>
      <c r="L17" s="516"/>
      <c r="M17" s="516">
        <v>181521.73745727917</v>
      </c>
      <c r="N17"/>
      <c r="O17"/>
      <c r="P17"/>
      <c r="Q17"/>
      <c r="R17"/>
      <c r="S17"/>
      <c r="T17"/>
    </row>
    <row r="18" spans="1:20">
      <c r="A18" s="515" t="s">
        <v>586</v>
      </c>
      <c r="B18" s="516"/>
      <c r="C18" s="516"/>
      <c r="D18" s="516"/>
      <c r="E18" s="516"/>
      <c r="F18" s="516"/>
      <c r="G18" s="516"/>
      <c r="H18" s="516"/>
      <c r="I18" s="516">
        <v>755562.17778903199</v>
      </c>
      <c r="J18" s="516"/>
      <c r="K18" s="516"/>
      <c r="L18" s="516">
        <v>0</v>
      </c>
      <c r="M18" s="516">
        <v>755562.17778903199</v>
      </c>
      <c r="N18"/>
      <c r="O18"/>
      <c r="P18"/>
      <c r="Q18"/>
      <c r="R18"/>
      <c r="S18"/>
      <c r="T18"/>
    </row>
    <row r="19" spans="1:20">
      <c r="A19" s="515" t="s">
        <v>597</v>
      </c>
      <c r="B19" s="516"/>
      <c r="C19" s="516"/>
      <c r="D19" s="516">
        <v>8076.5179765965195</v>
      </c>
      <c r="E19" s="516">
        <v>3343.2703956426249</v>
      </c>
      <c r="F19" s="516">
        <v>9543.7984984037721</v>
      </c>
      <c r="G19" s="516">
        <v>4057.1696327506424</v>
      </c>
      <c r="H19" s="516">
        <v>1505.0667981295369</v>
      </c>
      <c r="I19" s="516">
        <v>1495.2011092913194</v>
      </c>
      <c r="J19" s="516">
        <v>239.05988409940696</v>
      </c>
      <c r="K19" s="516">
        <v>2704.8742877996197</v>
      </c>
      <c r="L19" s="516">
        <v>7535.0364181319565</v>
      </c>
      <c r="M19" s="516">
        <v>38499.995000845403</v>
      </c>
      <c r="N19"/>
      <c r="O19"/>
      <c r="P19"/>
      <c r="Q19"/>
      <c r="R19"/>
      <c r="S19"/>
      <c r="T19"/>
    </row>
    <row r="20" spans="1:20">
      <c r="A20" s="515" t="s">
        <v>600</v>
      </c>
      <c r="B20" s="516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  <c r="N20"/>
      <c r="O20"/>
      <c r="P20"/>
      <c r="Q20"/>
      <c r="R20"/>
      <c r="S20"/>
      <c r="T20"/>
    </row>
    <row r="21" spans="1:20">
      <c r="A21" s="515" t="s">
        <v>635</v>
      </c>
      <c r="B21" s="516">
        <v>0</v>
      </c>
      <c r="C21" s="516">
        <v>0</v>
      </c>
      <c r="D21" s="516">
        <v>5250104.3368507773</v>
      </c>
      <c r="E21" s="516">
        <v>4143486.4555554688</v>
      </c>
      <c r="F21" s="516">
        <v>2531182.3613349758</v>
      </c>
      <c r="G21" s="516">
        <v>807251.36709088087</v>
      </c>
      <c r="H21" s="516">
        <v>1998064.1710520363</v>
      </c>
      <c r="I21" s="516">
        <v>1063381.7473336954</v>
      </c>
      <c r="J21" s="516">
        <v>220618.57582738571</v>
      </c>
      <c r="K21" s="516">
        <v>2704.8742877996197</v>
      </c>
      <c r="L21" s="516">
        <v>7535.0364181319565</v>
      </c>
      <c r="M21" s="516">
        <v>16024328.925751152</v>
      </c>
      <c r="N21"/>
      <c r="O21" s="516"/>
      <c r="P21" s="516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5306329.45</v>
      </c>
      <c r="E23">
        <v>4143486.46</v>
      </c>
      <c r="F23">
        <v>2534966.69</v>
      </c>
      <c r="G23">
        <v>807251.37</v>
      </c>
      <c r="H23">
        <v>1998064.17</v>
      </c>
      <c r="I23">
        <v>1063381.75</v>
      </c>
      <c r="J23">
        <f>220618.58-60009.45</f>
        <v>160609.13</v>
      </c>
      <c r="K23"/>
      <c r="L23"/>
      <c r="M23"/>
      <c r="N23"/>
      <c r="O23" s="611"/>
      <c r="P23" s="857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 s="611">
        <f>GETPIVOTDATA("REVENUE RECOGNITION AMOUNT",$A$3,"INVOICE RAISED DATE",DATE(2024,12,31))-D23</f>
        <v>-56225.113149222918</v>
      </c>
      <c r="E25" s="611">
        <f>GETPIVOTDATA("REVENUE RECOGNITION AMOUNT",$A$3,"INVOICE RAISED DATE",DATE(2025,1,31))-E23</f>
        <v>-4.4445311650633812E-3</v>
      </c>
      <c r="F25" s="611">
        <f>GETPIVOTDATA("REVENUE RECOGNITION AMOUNT",$A$3,"INVOICE RAISED DATE",DATE(2025,2,28))-F23</f>
        <v>-3784.3286650241353</v>
      </c>
      <c r="G25" s="611">
        <f>GETPIVOTDATA("REVENUE RECOGNITION AMOUNT",$A$3,"INVOICE RAISED DATE",DATE(2025,3,31))-G23</f>
        <v>-2.9091191245242953E-3</v>
      </c>
      <c r="H25" s="611">
        <f>GETPIVOTDATA("REVENUE RECOGNITION AMOUNT",$A$3,"INVOICE RAISED DATE",DATE(2025,4,30))-H23</f>
        <v>1.0520364157855511E-3</v>
      </c>
      <c r="I25" s="611">
        <f>GETPIVOTDATA("REVENUE RECOGNITION AMOUNT",$A$3,"INVOICE RAISED DATE",DATE(2025,5,31))-I23</f>
        <v>-2.6663045864552259E-3</v>
      </c>
      <c r="J25" s="611">
        <f>GETPIVOTDATA("REVENUE RECOGNITION AMOUNT",$A$3,"INVOICE RAISED DATE",DATE(2025,6,30))-J23</f>
        <v>60009.445827385702</v>
      </c>
      <c r="K25"/>
      <c r="L25"/>
      <c r="M25" s="857">
        <f>SUM(D25:L25)</f>
        <v>-4.9547798116691411E-3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topLeftCell="A4" workbookViewId="0">
      <selection activeCell="F25" sqref="F25"/>
    </sheetView>
  </sheetViews>
  <sheetFormatPr defaultColWidth="8.42578125" defaultRowHeight="14.45"/>
  <cols>
    <col min="1" max="1" width="20.140625" bestFit="1" customWidth="1"/>
    <col min="2" max="2" width="15.42578125" style="611" bestFit="1" customWidth="1"/>
    <col min="3" max="3" width="5.85546875" style="611" bestFit="1" customWidth="1"/>
    <col min="4" max="6" width="13.7109375" style="611" bestFit="1" customWidth="1"/>
    <col min="7" max="7" width="12.28515625" style="611" bestFit="1" customWidth="1"/>
    <col min="8" max="8" width="13.7109375" style="611" bestFit="1" customWidth="1"/>
    <col min="9" max="9" width="12.28515625" style="611" bestFit="1" customWidth="1"/>
    <col min="10" max="10" width="12.28515625" bestFit="1" customWidth="1"/>
    <col min="11" max="12" width="11.140625" bestFit="1" customWidth="1"/>
    <col min="13" max="13" width="14.5703125" bestFit="1" customWidth="1"/>
    <col min="14" max="14" width="16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4">
      <c r="A3" s="514" t="s">
        <v>636</v>
      </c>
      <c r="B3" s="514" t="s">
        <v>632</v>
      </c>
      <c r="C3"/>
      <c r="D3"/>
      <c r="E3"/>
      <c r="F3"/>
      <c r="G3"/>
      <c r="H3"/>
      <c r="I3"/>
    </row>
    <row r="4" spans="1:14">
      <c r="A4" s="514" t="s">
        <v>633</v>
      </c>
      <c r="B4" t="s">
        <v>634</v>
      </c>
      <c r="C4"/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t="s">
        <v>635</v>
      </c>
    </row>
    <row r="5" spans="1:14">
      <c r="A5" s="515" t="s">
        <v>488</v>
      </c>
      <c r="B5" s="625"/>
      <c r="C5" s="625"/>
      <c r="D5" s="625"/>
      <c r="E5" s="625"/>
      <c r="F5" s="625"/>
      <c r="G5" s="625"/>
      <c r="H5" s="625"/>
      <c r="I5" s="625"/>
      <c r="J5" s="625"/>
      <c r="K5" s="625"/>
      <c r="L5" s="625"/>
      <c r="M5" s="625"/>
    </row>
    <row r="6" spans="1:14">
      <c r="A6" s="515" t="s">
        <v>582</v>
      </c>
      <c r="B6" s="625"/>
      <c r="C6" s="625">
        <v>0</v>
      </c>
      <c r="D6" s="625"/>
      <c r="E6" s="625"/>
      <c r="F6" s="625"/>
      <c r="G6" s="625"/>
      <c r="H6" s="625"/>
      <c r="I6" s="625"/>
      <c r="J6" s="625"/>
      <c r="K6" s="625"/>
      <c r="L6" s="625"/>
      <c r="M6" s="625">
        <v>0</v>
      </c>
    </row>
    <row r="7" spans="1:14">
      <c r="A7" s="515" t="s">
        <v>634</v>
      </c>
      <c r="B7" s="625"/>
      <c r="C7" s="625"/>
      <c r="D7" s="625"/>
      <c r="E7" s="625"/>
      <c r="F7" s="625"/>
      <c r="G7" s="625"/>
      <c r="H7" s="625"/>
      <c r="I7" s="625"/>
      <c r="J7" s="625"/>
      <c r="K7" s="625"/>
      <c r="L7" s="625"/>
      <c r="M7" s="625"/>
    </row>
    <row r="8" spans="1:14">
      <c r="A8" s="515" t="s">
        <v>359</v>
      </c>
      <c r="B8" s="625"/>
      <c r="C8" s="625"/>
      <c r="D8" s="625">
        <v>4254751.8</v>
      </c>
      <c r="E8" s="625"/>
      <c r="F8" s="625"/>
      <c r="G8" s="625"/>
      <c r="H8" s="625"/>
      <c r="I8" s="625">
        <v>685.71</v>
      </c>
      <c r="J8" s="625"/>
      <c r="K8" s="625">
        <v>221.43</v>
      </c>
      <c r="L8" s="625"/>
      <c r="M8" s="625">
        <v>4255658.9399999995</v>
      </c>
    </row>
    <row r="9" spans="1:14">
      <c r="A9" s="515" t="s">
        <v>379</v>
      </c>
      <c r="B9" s="625">
        <v>0</v>
      </c>
      <c r="C9" s="625"/>
      <c r="D9" s="625"/>
      <c r="E9" s="625">
        <v>1914000</v>
      </c>
      <c r="F9" s="625">
        <v>1189440</v>
      </c>
      <c r="G9" s="625"/>
      <c r="H9" s="625"/>
      <c r="I9" s="625"/>
      <c r="J9" s="625"/>
      <c r="K9" s="625"/>
      <c r="L9" s="625">
        <v>55800</v>
      </c>
      <c r="M9" s="625">
        <v>3159240</v>
      </c>
    </row>
    <row r="10" spans="1:14">
      <c r="A10" s="515" t="s">
        <v>399</v>
      </c>
      <c r="B10" s="625">
        <v>0</v>
      </c>
      <c r="C10" s="625"/>
      <c r="D10" s="625"/>
      <c r="E10" s="625">
        <v>346295</v>
      </c>
      <c r="F10" s="625"/>
      <c r="G10" s="625"/>
      <c r="H10" s="625">
        <v>39048</v>
      </c>
      <c r="I10" s="625"/>
      <c r="J10" s="625"/>
      <c r="K10" s="625"/>
      <c r="L10" s="625"/>
      <c r="M10" s="625">
        <v>385343</v>
      </c>
    </row>
    <row r="11" spans="1:14">
      <c r="A11" s="515" t="s">
        <v>411</v>
      </c>
      <c r="B11" s="625">
        <v>0</v>
      </c>
      <c r="C11" s="625"/>
      <c r="D11" s="625">
        <v>611800</v>
      </c>
      <c r="E11" s="625">
        <v>327285.75</v>
      </c>
      <c r="F11" s="625">
        <v>218190.5</v>
      </c>
      <c r="G11" s="625">
        <v>145460.334</v>
      </c>
      <c r="H11" s="625">
        <v>345468.29099999997</v>
      </c>
      <c r="I11" s="625"/>
      <c r="J11" s="625">
        <v>54547.625</v>
      </c>
      <c r="K11" s="625"/>
      <c r="L11" s="625"/>
      <c r="M11" s="625">
        <v>1702752.5</v>
      </c>
    </row>
    <row r="12" spans="1:14">
      <c r="A12" s="515" t="s">
        <v>433</v>
      </c>
      <c r="B12" s="625"/>
      <c r="C12" s="625"/>
      <c r="D12" s="625"/>
      <c r="E12" s="625">
        <v>51331</v>
      </c>
      <c r="F12" s="625">
        <v>124822.36</v>
      </c>
      <c r="G12" s="625">
        <v>106466.98999999999</v>
      </c>
      <c r="H12" s="625"/>
      <c r="I12" s="625">
        <v>120509.63</v>
      </c>
      <c r="J12" s="625">
        <v>16453</v>
      </c>
      <c r="K12" s="625"/>
      <c r="L12" s="625"/>
      <c r="M12" s="625">
        <v>419582.98</v>
      </c>
    </row>
    <row r="13" spans="1:14">
      <c r="A13" s="515" t="s">
        <v>477</v>
      </c>
      <c r="B13" s="625"/>
      <c r="C13" s="625"/>
      <c r="D13" s="625"/>
      <c r="E13" s="625">
        <v>416420.66099999996</v>
      </c>
      <c r="F13" s="625">
        <v>418711.77400000003</v>
      </c>
      <c r="G13" s="625">
        <v>185075.85</v>
      </c>
      <c r="H13" s="625">
        <v>439555.14149999997</v>
      </c>
      <c r="I13" s="625"/>
      <c r="J13" s="625">
        <v>69403.443500000008</v>
      </c>
      <c r="K13" s="625"/>
      <c r="L13" s="625"/>
      <c r="M13" s="625">
        <v>1529166.87</v>
      </c>
    </row>
    <row r="14" spans="1:14">
      <c r="A14" s="515" t="s">
        <v>491</v>
      </c>
      <c r="B14" s="625">
        <v>0</v>
      </c>
      <c r="C14" s="625"/>
      <c r="D14" s="625"/>
      <c r="E14" s="625">
        <v>12000</v>
      </c>
      <c r="F14" s="625">
        <v>80529.335999999996</v>
      </c>
      <c r="G14" s="625">
        <v>160209.484</v>
      </c>
      <c r="H14" s="625">
        <v>216455</v>
      </c>
      <c r="I14" s="625">
        <v>12609</v>
      </c>
      <c r="J14" s="625">
        <v>10519</v>
      </c>
      <c r="K14" s="625"/>
      <c r="L14" s="625"/>
      <c r="M14" s="625">
        <v>492321.82</v>
      </c>
      <c r="N14" s="625">
        <f>SUM(M8:M14)</f>
        <v>11944066.109999999</v>
      </c>
    </row>
    <row r="15" spans="1:14">
      <c r="A15" s="515" t="s">
        <v>546</v>
      </c>
      <c r="B15" s="625"/>
      <c r="C15" s="625"/>
      <c r="D15" s="625"/>
      <c r="E15" s="625">
        <v>615750</v>
      </c>
      <c r="F15" s="625">
        <v>410500</v>
      </c>
      <c r="G15" s="625">
        <v>273666.66599999997</v>
      </c>
      <c r="H15" s="625">
        <v>649958.33399999992</v>
      </c>
      <c r="I15" s="625"/>
      <c r="J15" s="625">
        <v>102625</v>
      </c>
      <c r="K15" s="625"/>
      <c r="L15" s="625"/>
      <c r="M15" s="625">
        <v>2052500</v>
      </c>
    </row>
    <row r="16" spans="1:14">
      <c r="A16" s="515" t="s">
        <v>550</v>
      </c>
      <c r="B16" s="625"/>
      <c r="C16" s="625"/>
      <c r="D16" s="625"/>
      <c r="E16" s="625">
        <v>138339</v>
      </c>
      <c r="F16" s="625">
        <v>72526</v>
      </c>
      <c r="G16" s="625">
        <v>79850.667000000001</v>
      </c>
      <c r="H16" s="625">
        <v>115482.83299999998</v>
      </c>
      <c r="I16" s="625"/>
      <c r="J16" s="625">
        <v>18131.5</v>
      </c>
      <c r="K16" s="625"/>
      <c r="L16" s="625"/>
      <c r="M16" s="625">
        <v>424330</v>
      </c>
    </row>
    <row r="17" spans="1:14">
      <c r="A17" s="515" t="s">
        <v>568</v>
      </c>
      <c r="B17" s="625"/>
      <c r="C17" s="625"/>
      <c r="D17" s="625">
        <v>0</v>
      </c>
      <c r="E17" s="625">
        <v>5100</v>
      </c>
      <c r="F17" s="625"/>
      <c r="G17" s="625"/>
      <c r="H17" s="625">
        <v>79700</v>
      </c>
      <c r="I17" s="625">
        <v>35647.39</v>
      </c>
      <c r="J17" s="625"/>
      <c r="K17" s="625"/>
      <c r="L17" s="625"/>
      <c r="M17" s="625">
        <v>120447.39</v>
      </c>
    </row>
    <row r="18" spans="1:14">
      <c r="A18" s="515" t="s">
        <v>586</v>
      </c>
      <c r="B18" s="625"/>
      <c r="C18" s="625"/>
      <c r="D18" s="625"/>
      <c r="E18" s="625"/>
      <c r="F18" s="625"/>
      <c r="G18" s="625"/>
      <c r="H18" s="625"/>
      <c r="I18" s="625">
        <v>200304.11174596625</v>
      </c>
      <c r="J18" s="625"/>
      <c r="K18" s="625"/>
      <c r="L18" s="625">
        <v>-34704.109999999986</v>
      </c>
      <c r="M18" s="625">
        <v>165600.00174596626</v>
      </c>
    </row>
    <row r="19" spans="1:14">
      <c r="A19" s="515" t="s">
        <v>597</v>
      </c>
      <c r="B19" s="625"/>
      <c r="C19" s="625"/>
      <c r="D19" s="625">
        <v>7446.43</v>
      </c>
      <c r="E19" s="625">
        <v>2931</v>
      </c>
      <c r="F19" s="625">
        <v>12977.95</v>
      </c>
      <c r="G19" s="625">
        <v>3958.29</v>
      </c>
      <c r="H19" s="625">
        <v>1491.59</v>
      </c>
      <c r="I19" s="625">
        <v>1352.79</v>
      </c>
      <c r="J19" s="625">
        <v>194.68</v>
      </c>
      <c r="K19" s="625">
        <v>2331.4</v>
      </c>
      <c r="L19" s="625">
        <v>4368.24</v>
      </c>
      <c r="M19" s="625">
        <v>37052.370000000003</v>
      </c>
    </row>
    <row r="20" spans="1:14">
      <c r="A20" s="515" t="s">
        <v>600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>
        <v>33238</v>
      </c>
      <c r="L20" s="625">
        <v>5500</v>
      </c>
      <c r="M20" s="625">
        <v>38738</v>
      </c>
    </row>
    <row r="21" spans="1:14">
      <c r="A21" s="515" t="s">
        <v>635</v>
      </c>
      <c r="B21" s="625">
        <v>0</v>
      </c>
      <c r="C21" s="625">
        <v>0</v>
      </c>
      <c r="D21" s="625">
        <v>4873998.2299999995</v>
      </c>
      <c r="E21" s="625">
        <v>3829452.4109999998</v>
      </c>
      <c r="F21" s="625">
        <v>2527697.9199999999</v>
      </c>
      <c r="G21" s="625">
        <v>954688.28100000008</v>
      </c>
      <c r="H21" s="625">
        <v>1887159.1895000001</v>
      </c>
      <c r="I21" s="625">
        <v>371108.63174596627</v>
      </c>
      <c r="J21" s="625">
        <v>271874.24849999999</v>
      </c>
      <c r="K21" s="625">
        <v>35790.83</v>
      </c>
      <c r="L21" s="625">
        <v>30964.130000000012</v>
      </c>
      <c r="M21" s="625">
        <v>14782733.871745965</v>
      </c>
      <c r="N21" s="625">
        <f>SUM(M6:M20)</f>
        <v>14782733.871745965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637</v>
      </c>
    </row>
    <row r="2" spans="1:4">
      <c r="A2" s="958"/>
      <c r="B2" s="958"/>
      <c r="C2" s="958"/>
      <c r="D2" s="71"/>
    </row>
    <row r="3" spans="1:4">
      <c r="A3" s="957" t="s">
        <v>638</v>
      </c>
      <c r="B3" s="957"/>
      <c r="C3" s="957"/>
      <c r="D3" s="112">
        <v>0.32</v>
      </c>
    </row>
    <row r="4" spans="1:4">
      <c r="A4" s="957" t="s">
        <v>639</v>
      </c>
      <c r="B4" s="957"/>
      <c r="C4" s="957"/>
      <c r="D4" s="112">
        <v>0.5</v>
      </c>
    </row>
    <row r="5" spans="1:4">
      <c r="A5" s="957" t="s">
        <v>640</v>
      </c>
      <c r="B5" s="957"/>
      <c r="C5" s="957"/>
      <c r="D5" s="112">
        <v>0.15</v>
      </c>
    </row>
    <row r="6" spans="1:4">
      <c r="A6" s="957" t="s">
        <v>641</v>
      </c>
      <c r="B6" s="957"/>
      <c r="C6" s="957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2.85546875" style="88" customWidth="1"/>
    <col min="14" max="14" width="45.42578125" style="88" customWidth="1"/>
    <col min="15" max="16384" width="9.42578125" style="88"/>
  </cols>
  <sheetData>
    <row r="2" spans="2:14" s="94" customFormat="1" ht="18">
      <c r="B2" s="959" t="s">
        <v>642</v>
      </c>
      <c r="C2" s="959"/>
      <c r="D2" s="959"/>
      <c r="E2" s="959"/>
      <c r="F2" s="959"/>
      <c r="G2" s="959"/>
      <c r="H2" s="959"/>
      <c r="I2" s="959"/>
      <c r="J2" s="959"/>
      <c r="K2" s="959"/>
      <c r="L2" s="959"/>
      <c r="M2" s="959"/>
      <c r="N2" s="959"/>
    </row>
    <row r="4" spans="2:14" ht="12.95">
      <c r="B4" s="92" t="s">
        <v>643</v>
      </c>
      <c r="C4" s="86"/>
      <c r="D4" s="90" t="s">
        <v>644</v>
      </c>
      <c r="E4" s="95"/>
      <c r="F4" s="90" t="s">
        <v>645</v>
      </c>
      <c r="H4" s="90" t="s">
        <v>646</v>
      </c>
      <c r="I4" s="95"/>
      <c r="J4" s="90" t="s">
        <v>647</v>
      </c>
      <c r="L4" s="90" t="s">
        <v>646</v>
      </c>
      <c r="M4" s="90"/>
      <c r="N4" s="90" t="s">
        <v>648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649</v>
      </c>
      <c r="H7" s="99"/>
      <c r="I7" s="95"/>
      <c r="J7" s="107" t="s">
        <v>649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377</v>
      </c>
      <c r="C9" s="92"/>
      <c r="D9" s="90">
        <f>SUM(D10:D11)</f>
        <v>1190898</v>
      </c>
      <c r="E9" s="95"/>
      <c r="F9" s="90">
        <f>SUM(F10:F13)</f>
        <v>0</v>
      </c>
      <c r="H9" s="106">
        <f>$D$9-F9</f>
        <v>1190898</v>
      </c>
      <c r="I9" s="95"/>
      <c r="J9" s="90">
        <f>SUM(J10:J13)</f>
        <v>0</v>
      </c>
      <c r="L9" s="106">
        <f>$D$9-J9</f>
        <v>1190898</v>
      </c>
      <c r="M9" s="106"/>
    </row>
    <row r="10" spans="2:14" ht="12.95">
      <c r="B10" s="108" t="s">
        <v>377</v>
      </c>
      <c r="C10" s="86"/>
      <c r="D10" s="89">
        <f>'Expenditure Breakdown'!G14</f>
        <v>1190898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650</v>
      </c>
      <c r="C11" s="86"/>
      <c r="D11" s="89">
        <f>'Expenditure Breakdown'!G16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651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652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649</v>
      </c>
      <c r="H15" s="99"/>
      <c r="I15" s="95"/>
      <c r="J15" s="107" t="s">
        <v>649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653</v>
      </c>
      <c r="C17" s="92"/>
      <c r="D17" s="90">
        <f>SUM(D18:D19)</f>
        <v>656096</v>
      </c>
      <c r="E17" s="95"/>
      <c r="F17" s="90">
        <f>SUM(F18:F20)</f>
        <v>0</v>
      </c>
      <c r="H17" s="106">
        <f>$D$17- F17</f>
        <v>656096</v>
      </c>
      <c r="I17" s="95"/>
      <c r="J17" s="90">
        <f>SUM(J18:J20)</f>
        <v>0</v>
      </c>
      <c r="L17" s="106">
        <f>$D$17- J17</f>
        <v>656096</v>
      </c>
      <c r="M17" s="106"/>
    </row>
    <row r="18" spans="2:13">
      <c r="B18" s="108" t="s">
        <v>653</v>
      </c>
      <c r="C18" s="86"/>
      <c r="D18" s="89">
        <f>'Expenditure Breakdown'!G21</f>
        <v>656096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652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649</v>
      </c>
      <c r="H21" s="99"/>
      <c r="I21" s="95"/>
      <c r="J21" s="107" t="s">
        <v>649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654</v>
      </c>
      <c r="C23" s="92"/>
      <c r="D23" s="90">
        <f>SUM(D24:D25)</f>
        <v>557200</v>
      </c>
      <c r="E23" s="95"/>
      <c r="F23" s="90">
        <f>SUM(F24:F25)</f>
        <v>0</v>
      </c>
      <c r="H23" s="106">
        <f>$D$23- F23</f>
        <v>557200</v>
      </c>
      <c r="I23" s="95"/>
      <c r="J23" s="90">
        <f>SUM(J24:J25)</f>
        <v>0</v>
      </c>
      <c r="L23" s="106">
        <f>$D$23- J23</f>
        <v>557200</v>
      </c>
      <c r="M23" s="106"/>
    </row>
    <row r="24" spans="2:13">
      <c r="B24" s="108" t="s">
        <v>654</v>
      </c>
      <c r="C24" s="86"/>
      <c r="D24" s="89">
        <f>'Expenditure Breakdown'!G26</f>
        <v>557200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652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649</v>
      </c>
      <c r="H27" s="99"/>
      <c r="I27" s="95"/>
      <c r="J27" s="107" t="s">
        <v>649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655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Breakdown'!D40</f>
        <v>SolarEdge Gateway</v>
      </c>
      <c r="C30" s="86"/>
      <c r="D30" s="89">
        <f>'Expenditure Breakdown'!G40</f>
        <v>4300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652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649</v>
      </c>
      <c r="H34" s="99"/>
      <c r="I34" s="95"/>
      <c r="J34" s="107" t="s">
        <v>649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656</v>
      </c>
      <c r="C36" s="92"/>
      <c r="D36" s="90">
        <f>SUM(D37:D41)</f>
        <v>100000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657</v>
      </c>
      <c r="C37" s="86"/>
      <c r="D37" s="89">
        <f>'Expenditure Breakdown'!G82</f>
        <v>100000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658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659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660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661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662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663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959" t="s">
        <v>664</v>
      </c>
      <c r="C2" s="959"/>
      <c r="D2" s="959"/>
      <c r="E2" s="959"/>
      <c r="F2" s="959"/>
      <c r="G2" s="959"/>
      <c r="H2" s="959"/>
      <c r="I2" s="959"/>
      <c r="J2" s="959"/>
      <c r="K2" s="959"/>
      <c r="L2" s="959"/>
      <c r="M2" s="959"/>
      <c r="N2" s="959"/>
      <c r="O2" s="959"/>
    </row>
    <row r="4" spans="2:15" ht="12.95">
      <c r="B4" s="92" t="s">
        <v>643</v>
      </c>
      <c r="C4" s="86"/>
      <c r="D4" s="90" t="s">
        <v>644</v>
      </c>
      <c r="E4" s="95"/>
      <c r="F4" s="95"/>
      <c r="G4" s="90" t="s">
        <v>665</v>
      </c>
      <c r="H4" s="96"/>
      <c r="J4" s="90" t="s">
        <v>646</v>
      </c>
      <c r="L4" s="90" t="s">
        <v>666</v>
      </c>
      <c r="M4" s="96"/>
      <c r="O4" s="90" t="s">
        <v>646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368</v>
      </c>
      <c r="C6" s="86"/>
      <c r="D6" s="89">
        <f>'Expenditure Breakdown'!AA8</f>
        <v>1505863.104347826</v>
      </c>
      <c r="E6" s="95">
        <f>D6/(1000*'Project Plan'!$E$3)</f>
        <v>0.80312698898550716</v>
      </c>
      <c r="F6" s="95"/>
      <c r="G6" s="89">
        <v>277892.90999999997</v>
      </c>
      <c r="H6" s="96">
        <f>G6/('Project Plan'!$E$3*1000)</f>
        <v>0.14820955199999999</v>
      </c>
      <c r="J6" s="99">
        <f>D6-G6</f>
        <v>1227970.1943478261</v>
      </c>
      <c r="L6" s="89"/>
      <c r="M6" s="96">
        <f>L6/('Project Plan'!$E$3*1000)</f>
        <v>0</v>
      </c>
      <c r="O6" s="99">
        <f>D6-L6</f>
        <v>1505863.104347826</v>
      </c>
    </row>
    <row r="7" spans="2:15" ht="12.95">
      <c r="B7" s="86" t="s">
        <v>369</v>
      </c>
      <c r="C7" s="86"/>
      <c r="D7" s="89">
        <f>'Expenditure Breakdown'!AA9</f>
        <v>955571.19999999995</v>
      </c>
      <c r="E7" s="95">
        <f>D7/(1000*'Project Plan'!$E$3)</f>
        <v>0.50963797333333327</v>
      </c>
      <c r="F7" s="95"/>
      <c r="G7" s="89">
        <v>142158.25</v>
      </c>
      <c r="H7" s="96">
        <f>G7/('Project Plan'!$E$3*1000)</f>
        <v>7.5817733333333331E-2</v>
      </c>
      <c r="J7" s="99">
        <f t="shared" ref="J7:J12" si="0">D7-G7</f>
        <v>813412.95</v>
      </c>
      <c r="L7" s="89"/>
      <c r="M7" s="96">
        <f>L7/('Project Plan'!$E$3*1000)</f>
        <v>0</v>
      </c>
      <c r="O7" s="99">
        <f t="shared" ref="O7:O12" si="1">D7-L7</f>
        <v>955571.19999999995</v>
      </c>
    </row>
    <row r="8" spans="2:15" ht="12.95">
      <c r="B8" s="86" t="s">
        <v>373</v>
      </c>
      <c r="C8" s="86"/>
      <c r="D8" s="89">
        <f>'Expenditure Breakdown'!AA10</f>
        <v>1074640</v>
      </c>
      <c r="E8" s="95">
        <f>D8/(1000*'Project Plan'!$E$3)</f>
        <v>0.57314133333333328</v>
      </c>
      <c r="F8" s="95"/>
      <c r="G8" s="89">
        <v>96174</v>
      </c>
      <c r="H8" s="96">
        <f>G8/('Project Plan'!$E$3*1000)</f>
        <v>5.12928E-2</v>
      </c>
      <c r="J8" s="99">
        <f t="shared" si="0"/>
        <v>978466</v>
      </c>
      <c r="L8" s="89"/>
      <c r="M8" s="96">
        <f>L8/('Project Plan'!$E$3*1000)</f>
        <v>0</v>
      </c>
      <c r="O8" s="99">
        <f t="shared" si="1"/>
        <v>1074640</v>
      </c>
    </row>
    <row r="9" spans="2:15" ht="12.95">
      <c r="B9" s="86" t="s">
        <v>375</v>
      </c>
      <c r="C9" s="86"/>
      <c r="D9" s="89">
        <f>'Expenditure Breakdown'!AA12</f>
        <v>468640</v>
      </c>
      <c r="E9" s="95">
        <f>D9/(1000*'Project Plan'!$E$3)</f>
        <v>0.24994133333333332</v>
      </c>
      <c r="F9" s="95"/>
      <c r="G9" s="89">
        <v>230160</v>
      </c>
      <c r="H9" s="96">
        <f>G9/('Project Plan'!$E$3*1000)</f>
        <v>0.122752</v>
      </c>
      <c r="J9" s="99">
        <f t="shared" si="0"/>
        <v>238480</v>
      </c>
      <c r="L9" s="89"/>
      <c r="M9" s="96">
        <f>L9/('Project Plan'!$E$3*1000)</f>
        <v>0</v>
      </c>
      <c r="O9" s="99">
        <f t="shared" si="1"/>
        <v>468640</v>
      </c>
    </row>
    <row r="10" spans="2:15">
      <c r="B10" s="86" t="s">
        <v>376</v>
      </c>
      <c r="C10" s="86"/>
      <c r="D10" s="89">
        <f>'Expenditure Breakdown'!AA13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383</v>
      </c>
      <c r="C11" s="86"/>
      <c r="D11" s="89">
        <f>'Expenditure Breakdown'!AA14</f>
        <v>74707.679999999993</v>
      </c>
      <c r="E11" s="98"/>
      <c r="F11" s="98"/>
      <c r="G11" s="89">
        <v>29257.61</v>
      </c>
      <c r="H11" s="91"/>
      <c r="J11" s="99">
        <f t="shared" si="0"/>
        <v>45450.069999999992</v>
      </c>
      <c r="L11" s="89"/>
      <c r="M11" s="91"/>
      <c r="O11" s="99">
        <f t="shared" si="1"/>
        <v>74707.679999999993</v>
      </c>
    </row>
    <row r="12" spans="2:15">
      <c r="B12" s="86" t="s">
        <v>388</v>
      </c>
      <c r="C12" s="86"/>
      <c r="D12" s="89">
        <f>'Expenditure Breakdown'!AA16</f>
        <v>51892.5</v>
      </c>
      <c r="E12" s="98"/>
      <c r="F12" s="98"/>
      <c r="G12" s="89"/>
      <c r="H12" s="91"/>
      <c r="J12" s="99">
        <f t="shared" si="0"/>
        <v>51892.5</v>
      </c>
      <c r="L12" s="89"/>
      <c r="M12" s="91"/>
      <c r="O12" s="99">
        <f t="shared" si="1"/>
        <v>51892.5</v>
      </c>
    </row>
    <row r="13" spans="2:15">
      <c r="B13" s="86" t="s">
        <v>392</v>
      </c>
      <c r="C13" s="86"/>
      <c r="D13" s="89">
        <f>'Expenditure Breakdown'!AA17</f>
        <v>32400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662</v>
      </c>
      <c r="C15" s="92"/>
      <c r="D15" s="90">
        <f>SUM(D6:D13)</f>
        <v>4172214.4843478263</v>
      </c>
      <c r="E15" s="95"/>
      <c r="F15" s="95"/>
      <c r="G15" s="90">
        <f>SUM(G6:G13)</f>
        <v>775642.7699999999</v>
      </c>
      <c r="H15" s="96"/>
      <c r="J15" s="101">
        <f>SUM(J6:J14)</f>
        <v>3364171.7143478259</v>
      </c>
      <c r="L15" s="90">
        <f>SUM(L6:L13)</f>
        <v>0</v>
      </c>
      <c r="M15" s="96"/>
      <c r="O15" s="101">
        <f>SUM(O6:O14)</f>
        <v>4139814.4843478263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643</v>
      </c>
      <c r="C18" s="86"/>
      <c r="D18" s="90" t="s">
        <v>644</v>
      </c>
      <c r="E18" s="95"/>
      <c r="F18" s="95"/>
      <c r="G18" s="90" t="s">
        <v>667</v>
      </c>
      <c r="H18" s="96"/>
      <c r="J18" s="90" t="s">
        <v>646</v>
      </c>
      <c r="L18" s="90" t="s">
        <v>668</v>
      </c>
      <c r="M18" s="96"/>
      <c r="O18" s="90" t="s">
        <v>646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669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1505863.104347826</v>
      </c>
    </row>
    <row r="21" spans="2:15" ht="12.95">
      <c r="B21" s="86" t="s">
        <v>670</v>
      </c>
      <c r="C21" s="86"/>
      <c r="D21" s="89">
        <f>'Expenditure Breakdown'!C71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955571.19999999995</v>
      </c>
    </row>
    <row r="22" spans="2:15" ht="12.95">
      <c r="B22" s="86" t="s">
        <v>671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1074640</v>
      </c>
    </row>
    <row r="23" spans="2:15" ht="12.95">
      <c r="B23" s="86" t="s">
        <v>672</v>
      </c>
      <c r="C23" s="86"/>
      <c r="D23" s="89">
        <f>SUM('Expenditure Breakdown'!G32:G32)</f>
        <v>537300</v>
      </c>
      <c r="E23" s="95">
        <f>D23/(1000*'Project Plan'!$E$3)</f>
        <v>0.28655999999999998</v>
      </c>
      <c r="F23" s="95"/>
      <c r="G23" s="89"/>
      <c r="H23" s="96"/>
      <c r="J23" s="99">
        <f t="shared" si="2"/>
        <v>537300</v>
      </c>
      <c r="L23" s="89"/>
      <c r="M23" s="96"/>
      <c r="O23" s="99">
        <f t="shared" si="3"/>
        <v>468640</v>
      </c>
    </row>
    <row r="24" spans="2:15">
      <c r="B24" s="86" t="s">
        <v>388</v>
      </c>
      <c r="C24" s="86"/>
      <c r="D24" s="89">
        <f>'Expenditure Breakdown'!G144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673</v>
      </c>
      <c r="C25" s="86"/>
      <c r="D25" s="89">
        <f>SUM('Expenditure Breakdown'!G117:G125)</f>
        <v>92792.5</v>
      </c>
      <c r="E25" s="98"/>
      <c r="F25" s="98"/>
      <c r="G25" s="89"/>
      <c r="H25" s="91"/>
      <c r="J25" s="99">
        <f t="shared" si="2"/>
        <v>92792.5</v>
      </c>
      <c r="L25" s="89"/>
      <c r="M25" s="91"/>
      <c r="O25" s="99">
        <f t="shared" si="3"/>
        <v>74707.679999999993</v>
      </c>
    </row>
    <row r="26" spans="2:15">
      <c r="B26" s="86" t="s">
        <v>376</v>
      </c>
      <c r="C26" s="86"/>
      <c r="D26" s="89">
        <f>'Expenditure Breakdown'!G137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51892.5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662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4139814.4843478263</v>
      </c>
    </row>
    <row r="32" spans="2:15" ht="13.5" thickBot="1">
      <c r="B32" s="102" t="s">
        <v>674</v>
      </c>
      <c r="C32" s="103"/>
      <c r="D32" s="103"/>
    </row>
    <row r="33" spans="2:4" ht="12.95" thickTop="1"/>
    <row r="34" spans="2:4">
      <c r="B34" s="88" t="s">
        <v>644</v>
      </c>
      <c r="D34" s="99">
        <f>D15</f>
        <v>4172214.4843478263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4172214.4843478263</v>
      </c>
    </row>
    <row r="41" spans="2:4" ht="12.95">
      <c r="B41" s="105"/>
      <c r="C41" s="105"/>
      <c r="D41" s="106"/>
    </row>
    <row r="42" spans="2:4">
      <c r="B42" s="86" t="s">
        <v>675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61" t="str">
        <f>D15</f>
        <v>Trident Steel GP</v>
      </c>
      <c r="C1" s="961"/>
      <c r="D1" s="961"/>
      <c r="E1" s="960" t="s">
        <v>676</v>
      </c>
      <c r="F1" s="960"/>
      <c r="G1" s="960"/>
      <c r="H1" s="960"/>
      <c r="I1" s="960"/>
      <c r="J1" s="960"/>
      <c r="K1" s="77"/>
      <c r="L1" s="77"/>
      <c r="M1" s="77"/>
      <c r="N1" s="77"/>
    </row>
    <row r="2" spans="2:14" ht="6.75" customHeight="1"/>
    <row r="3" spans="2:14">
      <c r="B3" s="72" t="s">
        <v>677</v>
      </c>
      <c r="C3" s="72" t="s">
        <v>678</v>
      </c>
      <c r="D3" s="72" t="s">
        <v>679</v>
      </c>
      <c r="E3" s="78" t="s">
        <v>680</v>
      </c>
      <c r="F3" s="78" t="s">
        <v>681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682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683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684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685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686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687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688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689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690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691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GP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65E9EDC1-441B-4E16-B7BE-57AFD76322D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2026-01-30T08:21:09Z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