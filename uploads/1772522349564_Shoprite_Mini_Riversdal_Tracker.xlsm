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5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oedolph Venter\Desktop\"/>
    </mc:Choice>
  </mc:AlternateContent>
  <xr:revisionPtr revIDLastSave="3" documentId="13_ncr:1_{43460C6A-0A33-4B39-BCEB-4D8E7BD085B6}" xr6:coauthVersionLast="47" xr6:coauthVersionMax="47" xr10:uidLastSave="{2BE265B7-C449-49E6-A8EE-774499E195FD}"/>
  <bookViews>
    <workbookView xWindow="-28920" yWindow="720" windowWidth="29040" windowHeight="15720" tabRatio="859" firstSheet="8" activeTab="11" xr2:uid="{E6903F24-528D-4F70-BAAE-8243B2418312}"/>
  </bookViews>
  <sheets>
    <sheet name="Certificate - Financial Close" sheetId="24" r:id="rId1"/>
    <sheet name="Certificate - Planning" sheetId="23" r:id="rId2"/>
    <sheet name="Change Register" sheetId="10" r:id="rId3"/>
    <sheet name="Compliance" sheetId="22" r:id="rId4"/>
    <sheet name="BOQ" sheetId="20" r:id="rId5"/>
    <sheet name="PO-Mounting Structure" sheetId="26" state="hidden" r:id="rId6"/>
    <sheet name="PO Generator" sheetId="25" r:id="rId7"/>
    <sheet name="Project Plan" sheetId="2" r:id="rId8"/>
    <sheet name="Revenue Tracking" sheetId="5" r:id="rId9"/>
    <sheet name="Expenditure Tracking" sheetId="3" r:id="rId10"/>
    <sheet name="Expenditure Breakdown" sheetId="18" r:id="rId11"/>
    <sheet name="Cashflow" sheetId="6" r:id="rId12"/>
    <sheet name="Chart1" sheetId="11" r:id="rId13"/>
    <sheet name="Finance - Revenue" sheetId="13" r:id="rId14"/>
    <sheet name="Finance - COS" sheetId="14" r:id="rId15"/>
    <sheet name="Data" sheetId="8" state="hidden" r:id="rId16"/>
  </sheets>
  <externalReferences>
    <externalReference r:id="rId17"/>
  </externalReferences>
  <definedNames>
    <definedName name="_xlpm.e" hidden="1" xlm="1">#NAME?</definedName>
    <definedName name="_xlpm.s" hidden="1" xlm="1">#NAME?</definedName>
    <definedName name="Inverter_Capacity">#REF!</definedName>
    <definedName name="Inverter_Supplier">#REF!</definedName>
    <definedName name="_xlnm.Print_Area" localSheetId="0">'Certificate - Financial Close'!$A$1:$F$26</definedName>
    <definedName name="_xlnm.Print_Area" localSheetId="1">'Certificate - Planning'!$A$1:$F$32</definedName>
    <definedName name="_xlnm.Print_Area" localSheetId="6">'PO Generator'!$A$1:$J$47</definedName>
    <definedName name="_xlnm.Print_Area" localSheetId="5">'PO-Mounting Structure'!$A$1:$J$47</definedName>
    <definedName name="_xlnm.Print_Area" localSheetId="7">'Project Plan'!$B$58:$G$63</definedName>
    <definedName name="Project_Size" localSheetId="13">'Finance - Revenue'!Projectsize</definedName>
    <definedName name="Project_Size">Projectsize</definedName>
    <definedName name="Projectsize" localSheetId="13">#REF!</definedName>
    <definedName name="Projectsize">#REF!</definedName>
    <definedName name="Roedolph">"Roedolph Venter"</definedName>
    <definedName name="Security_Serv" localSheetId="13">#REF!</definedName>
    <definedName name="Security_Serv">#REF!</definedName>
    <definedName name="SSS" localSheetId="13">#REF!</definedName>
    <definedName name="SSS">#REF!</definedName>
    <definedName name="USD_ZAR">#REF!</definedName>
  </definedNames>
  <calcPr calcId="191028"/>
  <pivotCaches>
    <pivotCache cacheId="4889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7" i="5" l="1"/>
  <c r="I20" i="2"/>
  <c r="E20" i="2"/>
  <c r="Z33" i="18"/>
  <c r="Z32" i="18"/>
  <c r="Z31" i="18"/>
  <c r="Z30" i="18"/>
  <c r="Z29" i="18"/>
  <c r="O58" i="18"/>
  <c r="W80" i="18"/>
  <c r="W79" i="18"/>
  <c r="U87" i="18"/>
  <c r="U86" i="18"/>
  <c r="U85" i="18"/>
  <c r="U84" i="18"/>
  <c r="U83" i="18"/>
  <c r="U82" i="18"/>
  <c r="U81" i="18"/>
  <c r="U80" i="18"/>
  <c r="U79" i="18"/>
  <c r="Q80" i="18"/>
  <c r="Q79" i="18"/>
  <c r="P6" i="18"/>
  <c r="O6" i="18"/>
  <c r="G79" i="18"/>
  <c r="K12" i="2"/>
  <c r="E26" i="2"/>
  <c r="M11" i="2"/>
  <c r="I46" i="26"/>
  <c r="I28" i="26"/>
  <c r="I29" i="26" s="1"/>
  <c r="I30" i="26" s="1"/>
  <c r="I27" i="26"/>
  <c r="I26" i="26"/>
  <c r="I25" i="26"/>
  <c r="I24" i="26"/>
  <c r="I23" i="26"/>
  <c r="I22" i="26"/>
  <c r="I21" i="26"/>
  <c r="I20" i="26"/>
  <c r="I19" i="26"/>
  <c r="C16" i="26"/>
  <c r="C15" i="26"/>
  <c r="C14" i="26"/>
  <c r="I13" i="26"/>
  <c r="C13" i="26"/>
  <c r="I12" i="26"/>
  <c r="O1" i="26"/>
  <c r="M40" i="2"/>
  <c r="W66" i="2" s="1"/>
  <c r="M36" i="2"/>
  <c r="W65" i="2" s="1"/>
  <c r="M29" i="2"/>
  <c r="W64" i="2" s="1"/>
  <c r="M22" i="2"/>
  <c r="W63" i="2" s="1"/>
  <c r="W61" i="2"/>
  <c r="M46" i="2"/>
  <c r="W67" i="2" s="1"/>
  <c r="R106" i="18"/>
  <c r="R58" i="18"/>
  <c r="R32" i="18"/>
  <c r="Z51" i="18"/>
  <c r="AH50" i="18"/>
  <c r="AH49" i="18"/>
  <c r="AH48" i="18"/>
  <c r="AH47" i="18"/>
  <c r="AI47" i="18" s="1"/>
  <c r="AH46" i="18"/>
  <c r="AI46" i="18" s="1"/>
  <c r="AH45" i="18"/>
  <c r="AH44" i="18"/>
  <c r="AD45" i="18"/>
  <c r="AD46" i="18"/>
  <c r="AE46" i="18" s="1"/>
  <c r="AD47" i="18"/>
  <c r="AE47" i="18" s="1"/>
  <c r="AD48" i="18"/>
  <c r="AD49" i="18"/>
  <c r="AD50" i="18"/>
  <c r="AD44" i="18"/>
  <c r="AD55" i="18" s="1"/>
  <c r="AD56" i="18" s="1"/>
  <c r="AI30" i="18"/>
  <c r="AI29" i="18"/>
  <c r="AE30" i="18"/>
  <c r="AE29" i="18"/>
  <c r="AH38" i="18"/>
  <c r="AH39" i="18" s="1"/>
  <c r="AD38" i="18"/>
  <c r="AD39" i="18" s="1"/>
  <c r="O1" i="25"/>
  <c r="C16" i="25"/>
  <c r="C13" i="25"/>
  <c r="C15" i="25"/>
  <c r="C14" i="25"/>
  <c r="M166" i="8"/>
  <c r="M167" i="8"/>
  <c r="M168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2" i="8"/>
  <c r="I13" i="25"/>
  <c r="I46" i="25"/>
  <c r="I27" i="25"/>
  <c r="I26" i="25"/>
  <c r="I25" i="25"/>
  <c r="I24" i="25"/>
  <c r="I23" i="25"/>
  <c r="I22" i="25"/>
  <c r="I21" i="25"/>
  <c r="I20" i="25"/>
  <c r="I19" i="25"/>
  <c r="I28" i="25" s="1"/>
  <c r="I29" i="25" s="1"/>
  <c r="I30" i="25" s="1"/>
  <c r="I12" i="25"/>
  <c r="I13" i="2" l="1"/>
  <c r="AH55" i="18"/>
  <c r="AH56" i="18" s="1"/>
  <c r="Q4" i="5"/>
  <c r="K13" i="2" l="1"/>
  <c r="M52" i="2"/>
  <c r="W68" i="2" s="1"/>
  <c r="I14" i="2" l="1"/>
  <c r="N12" i="2"/>
  <c r="W120" i="18"/>
  <c r="W53" i="18"/>
  <c r="W45" i="18"/>
  <c r="W21" i="18"/>
  <c r="T28" i="18"/>
  <c r="T14" i="18"/>
  <c r="T44" i="18" s="1"/>
  <c r="K14" i="2" l="1"/>
  <c r="N13" i="2"/>
  <c r="G12" i="2"/>
  <c r="E13" i="2" s="1"/>
  <c r="G13" i="2" s="1"/>
  <c r="G104" i="18"/>
  <c r="G1" i="6"/>
  <c r="H1" i="6" s="1"/>
  <c r="W137" i="18"/>
  <c r="W136" i="18"/>
  <c r="W135" i="18"/>
  <c r="W134" i="18"/>
  <c r="T55" i="18"/>
  <c r="I15" i="2" l="1"/>
  <c r="I16" i="2"/>
  <c r="E14" i="2"/>
  <c r="G14" i="2" s="1"/>
  <c r="I1" i="6"/>
  <c r="K16" i="2" l="1"/>
  <c r="I17" i="2"/>
  <c r="K17" i="2" s="1"/>
  <c r="I25" i="2"/>
  <c r="K25" i="2" s="1"/>
  <c r="I26" i="2" s="1"/>
  <c r="K15" i="2"/>
  <c r="K11" i="2" s="1"/>
  <c r="I11" i="2"/>
  <c r="E16" i="2"/>
  <c r="E17" i="2" s="1"/>
  <c r="E15" i="2"/>
  <c r="J1" i="6"/>
  <c r="J11" i="2" l="1"/>
  <c r="K26" i="2"/>
  <c r="I27" i="2"/>
  <c r="K27" i="2" s="1"/>
  <c r="G17" i="2"/>
  <c r="G16" i="2"/>
  <c r="K1" i="6"/>
  <c r="I19" i="2" l="1"/>
  <c r="I31" i="2"/>
  <c r="I23" i="2"/>
  <c r="K20" i="2"/>
  <c r="K19" i="2" s="1"/>
  <c r="J19" i="2" s="1"/>
  <c r="I37" i="2"/>
  <c r="I33" i="2"/>
  <c r="K33" i="2" s="1"/>
  <c r="E25" i="2"/>
  <c r="G15" i="2"/>
  <c r="G11" i="2" s="1"/>
  <c r="E11" i="2"/>
  <c r="L1" i="6"/>
  <c r="K37" i="2" l="1"/>
  <c r="K23" i="2"/>
  <c r="K31" i="2"/>
  <c r="E23" i="2"/>
  <c r="E37" i="2"/>
  <c r="G37" i="2" s="1"/>
  <c r="E31" i="2"/>
  <c r="E33" i="2"/>
  <c r="G20" i="2"/>
  <c r="E19" i="2"/>
  <c r="F11" i="2"/>
  <c r="G25" i="2"/>
  <c r="M1" i="6"/>
  <c r="I24" i="2" l="1"/>
  <c r="I32" i="2"/>
  <c r="G19" i="2"/>
  <c r="F19" i="2" s="1"/>
  <c r="G33" i="2"/>
  <c r="G31" i="2"/>
  <c r="E32" i="2" s="1"/>
  <c r="G32" i="2" s="1"/>
  <c r="E38" i="2" s="1"/>
  <c r="N1" i="6"/>
  <c r="K32" i="2" l="1"/>
  <c r="K24" i="2"/>
  <c r="K22" i="2" s="1"/>
  <c r="I22" i="2"/>
  <c r="M19" i="2"/>
  <c r="W62" i="2" s="1"/>
  <c r="G23" i="2"/>
  <c r="G38" i="2"/>
  <c r="E36" i="2"/>
  <c r="O1" i="6"/>
  <c r="J22" i="2" l="1"/>
  <c r="I38" i="2"/>
  <c r="E27" i="2"/>
  <c r="G27" i="2" s="1"/>
  <c r="G26" i="2"/>
  <c r="E34" i="2"/>
  <c r="G36" i="2"/>
  <c r="F36" i="2" s="1"/>
  <c r="E24" i="2"/>
  <c r="P1" i="6"/>
  <c r="K38" i="2" l="1"/>
  <c r="I36" i="2"/>
  <c r="E29" i="2"/>
  <c r="G34" i="2"/>
  <c r="G29" i="2" s="1"/>
  <c r="G24" i="2"/>
  <c r="G22" i="2" s="1"/>
  <c r="E22" i="2"/>
  <c r="Q1" i="6"/>
  <c r="I34" i="2" l="1"/>
  <c r="K36" i="2"/>
  <c r="J36" i="2" s="1"/>
  <c r="F29" i="2"/>
  <c r="E41" i="2"/>
  <c r="E44" i="2" s="1"/>
  <c r="F22" i="2"/>
  <c r="R1" i="6"/>
  <c r="K34" i="2" l="1"/>
  <c r="K29" i="2" s="1"/>
  <c r="I29" i="2"/>
  <c r="G41" i="2"/>
  <c r="E43" i="2"/>
  <c r="G43" i="2" s="1"/>
  <c r="S1" i="6"/>
  <c r="J29" i="2" l="1"/>
  <c r="I41" i="2"/>
  <c r="E42" i="2"/>
  <c r="G42" i="2" s="1"/>
  <c r="G40" i="2" s="1"/>
  <c r="E47" i="2"/>
  <c r="T1" i="6"/>
  <c r="I43" i="2" l="1"/>
  <c r="K43" i="2" s="1"/>
  <c r="I44" i="2"/>
  <c r="K44" i="2" s="1"/>
  <c r="K41" i="2"/>
  <c r="G44" i="2"/>
  <c r="E40" i="2"/>
  <c r="U1" i="6"/>
  <c r="I42" i="2" l="1"/>
  <c r="I47" i="2"/>
  <c r="F40" i="2"/>
  <c r="G47" i="2"/>
  <c r="V1" i="6"/>
  <c r="K47" i="2" l="1"/>
  <c r="K42" i="2"/>
  <c r="K40" i="2" s="1"/>
  <c r="J40" i="2" s="1"/>
  <c r="I40" i="2"/>
  <c r="E48" i="2"/>
  <c r="W1" i="6"/>
  <c r="I48" i="2" l="1"/>
  <c r="N43" i="2"/>
  <c r="G48" i="2"/>
  <c r="E49" i="2" s="1"/>
  <c r="G49" i="2" s="1"/>
  <c r="E50" i="2" s="1"/>
  <c r="X1" i="6"/>
  <c r="K48" i="2" l="1"/>
  <c r="G50" i="2"/>
  <c r="G46" i="2"/>
  <c r="E53" i="2" s="1"/>
  <c r="G53" i="2" s="1"/>
  <c r="E46" i="2"/>
  <c r="Y1" i="6"/>
  <c r="I49" i="2" l="1"/>
  <c r="W94" i="18"/>
  <c r="F46" i="2"/>
  <c r="E54" i="2"/>
  <c r="E55" i="2"/>
  <c r="G55" i="2" s="1"/>
  <c r="Z1" i="6"/>
  <c r="K49" i="2" l="1"/>
  <c r="I46" i="2"/>
  <c r="N48" i="2"/>
  <c r="G54" i="2"/>
  <c r="E52" i="2"/>
  <c r="AA1" i="6"/>
  <c r="I50" i="2" l="1"/>
  <c r="K50" i="2" s="1"/>
  <c r="K46" i="2"/>
  <c r="G52" i="2"/>
  <c r="F52" i="2" s="1"/>
  <c r="H17" i="5"/>
  <c r="AB1" i="6"/>
  <c r="I53" i="2" l="1"/>
  <c r="J46" i="2"/>
  <c r="N49" i="2"/>
  <c r="AC1" i="6"/>
  <c r="K53" i="2" l="1"/>
  <c r="W95" i="18"/>
  <c r="W96" i="18" s="1"/>
  <c r="AD1" i="6"/>
  <c r="I55" i="2" l="1"/>
  <c r="K55" i="2" s="1"/>
  <c r="I54" i="2"/>
  <c r="N50" i="2"/>
  <c r="AE1" i="6"/>
  <c r="K54" i="2" l="1"/>
  <c r="K52" i="2" s="1"/>
  <c r="J52" i="2" s="1"/>
  <c r="I52" i="2"/>
  <c r="AF1" i="6"/>
  <c r="AG1" i="6" l="1"/>
  <c r="AH1" i="6" l="1"/>
  <c r="AI1" i="6" l="1"/>
  <c r="AJ1" i="6" l="1"/>
  <c r="AK1" i="6" l="1"/>
  <c r="AL1" i="6" l="1"/>
  <c r="AM1" i="6" l="1"/>
  <c r="AN1" i="6" l="1"/>
  <c r="AO1" i="6" l="1"/>
  <c r="AP1" i="6" l="1"/>
  <c r="AQ1" i="6" l="1"/>
  <c r="AR1" i="6" l="1"/>
  <c r="AS1" i="6" l="1"/>
  <c r="AT1" i="6" l="1"/>
  <c r="AU1" i="6" l="1"/>
  <c r="AV1" i="6" l="1"/>
  <c r="AW1" i="6" l="1"/>
  <c r="AX1" i="6" l="1"/>
  <c r="AY1" i="6" l="1"/>
  <c r="AZ1" i="6" l="1"/>
  <c r="BA1" i="6" l="1"/>
  <c r="BB1" i="6" l="1"/>
  <c r="BC1" i="6" l="1"/>
  <c r="BD1" i="6" l="1"/>
  <c r="BE1" i="6" l="1"/>
  <c r="BF1" i="6" l="1"/>
  <c r="BG1" i="6" l="1"/>
  <c r="BH1" i="6" l="1"/>
  <c r="BI1" i="6" l="1"/>
  <c r="BJ1" i="6" l="1"/>
  <c r="BK1" i="6" l="1"/>
  <c r="BL1" i="6" l="1"/>
  <c r="BM1" i="6" l="1"/>
  <c r="BN1" i="6" l="1"/>
  <c r="BO1" i="6" l="1"/>
  <c r="BP1" i="6" l="1"/>
  <c r="BQ1" i="6" l="1"/>
  <c r="BR1" i="6" l="1"/>
  <c r="BS1" i="6" l="1"/>
  <c r="BT1" i="6" l="1"/>
  <c r="BU1" i="6" l="1"/>
  <c r="BV1" i="6" l="1"/>
  <c r="BW1" i="6" l="1"/>
  <c r="BX1" i="6" l="1"/>
  <c r="BY1" i="6" l="1"/>
  <c r="BZ1" i="6" l="1"/>
  <c r="CA1" i="6" l="1"/>
  <c r="CB1" i="6" l="1"/>
  <c r="CC1" i="6" l="1"/>
  <c r="CD1" i="6" l="1"/>
  <c r="CE1" i="6" l="1"/>
  <c r="CF1" i="6" l="1"/>
  <c r="CG1" i="6" l="1"/>
  <c r="CH1" i="6" l="1"/>
  <c r="CI1" i="6" l="1"/>
  <c r="CJ1" i="6" l="1"/>
  <c r="CK1" i="6" l="1"/>
  <c r="CL1" i="6" l="1"/>
  <c r="CM1" i="6" l="1"/>
  <c r="CN1" i="6" l="1"/>
  <c r="CO1" i="6" l="1"/>
  <c r="CP1" i="6" l="1"/>
  <c r="CQ1" i="6" l="1"/>
  <c r="CR1" i="6" l="1"/>
  <c r="CS1" i="6" l="1"/>
  <c r="CT1" i="6" l="1"/>
  <c r="CU1" i="6" l="1"/>
  <c r="CV1" i="6" l="1"/>
  <c r="CW1" i="6" l="1"/>
  <c r="CX1" i="6" l="1"/>
  <c r="CY1" i="6" l="1"/>
  <c r="CZ1" i="6" l="1"/>
  <c r="DA1" i="6" l="1"/>
  <c r="DB1" i="6" l="1"/>
  <c r="DC1" i="6" l="1"/>
  <c r="DD1" i="6" l="1"/>
  <c r="DE1" i="6" l="1"/>
  <c r="DF1" i="6" l="1"/>
  <c r="DG1" i="6" l="1"/>
  <c r="DH1" i="6" l="1"/>
  <c r="DI1" i="6" l="1"/>
  <c r="DJ1" i="6" l="1"/>
  <c r="DK1" i="6" l="1"/>
  <c r="DL1" i="6" l="1"/>
  <c r="DM1" i="6" l="1"/>
  <c r="DN1" i="6" l="1"/>
  <c r="DO1" i="6" l="1"/>
  <c r="DP1" i="6" l="1"/>
  <c r="DQ1" i="6" l="1"/>
  <c r="DR1" i="6" l="1"/>
  <c r="DS1" i="6" l="1"/>
  <c r="DT1" i="6" l="1"/>
  <c r="DU1" i="6" l="1"/>
  <c r="DV1" i="6" l="1"/>
  <c r="DW1" i="6" l="1"/>
  <c r="DX1" i="6" l="1"/>
  <c r="DY1" i="6" l="1"/>
  <c r="DZ1" i="6" l="1"/>
  <c r="EA1" i="6" l="1"/>
  <c r="EB1" i="6" l="1"/>
  <c r="EC1" i="6" l="1"/>
  <c r="ED1" i="6" l="1"/>
  <c r="EE1" i="6" l="1"/>
  <c r="EF1" i="6" l="1"/>
  <c r="EG1" i="6" l="1"/>
  <c r="EH1" i="6" l="1"/>
  <c r="EI1" i="6" l="1"/>
  <c r="EJ1" i="6" l="1"/>
  <c r="EK1" i="6" l="1"/>
  <c r="EL1" i="6" l="1"/>
  <c r="EM1" i="6" l="1"/>
  <c r="EN1" i="6" l="1"/>
  <c r="EO1" i="6" l="1"/>
  <c r="EP1" i="6" l="1"/>
  <c r="EQ1" i="6" l="1"/>
  <c r="ER1" i="6" l="1"/>
  <c r="ES1" i="6" l="1"/>
  <c r="ET1" i="6" l="1"/>
  <c r="EU1" i="6" l="1"/>
  <c r="EV1" i="6" l="1"/>
  <c r="EW1" i="6" l="1"/>
  <c r="EX1" i="6" l="1"/>
  <c r="EY1" i="6" l="1"/>
  <c r="EZ1" i="6" l="1"/>
  <c r="FA1" i="6" l="1"/>
  <c r="FB1" i="6" l="1"/>
  <c r="FC1" i="6" l="1"/>
  <c r="FD1" i="6" l="1"/>
  <c r="FE1" i="6" l="1"/>
  <c r="FF1" i="6" l="1"/>
  <c r="FG1" i="6" l="1"/>
  <c r="FH1" i="6" l="1"/>
  <c r="FI1" i="6" l="1"/>
  <c r="FJ1" i="6" l="1"/>
  <c r="FK1" i="6" l="1"/>
  <c r="FL1" i="6" l="1"/>
  <c r="FM1" i="6" l="1"/>
  <c r="FN1" i="6" l="1"/>
  <c r="FO1" i="6" l="1"/>
  <c r="FP1" i="6" l="1"/>
  <c r="FQ1" i="6" l="1"/>
  <c r="FR1" i="6" l="1"/>
  <c r="FS1" i="6" l="1"/>
  <c r="FT1" i="6" l="1"/>
  <c r="FU1" i="6" l="1"/>
  <c r="FV1" i="6" l="1"/>
  <c r="FW1" i="6" l="1"/>
  <c r="FX1" i="6" l="1"/>
  <c r="FY1" i="6" l="1"/>
  <c r="FZ1" i="6" l="1"/>
  <c r="GA1" i="6" l="1"/>
  <c r="GB1" i="6" l="1"/>
  <c r="GC1" i="6" l="1"/>
  <c r="GD1" i="6" l="1"/>
  <c r="GE1" i="6" l="1"/>
  <c r="GF1" i="6" l="1"/>
  <c r="GG1" i="6" l="1"/>
  <c r="GH1" i="6" l="1"/>
  <c r="GI1" i="6" l="1"/>
  <c r="GJ1" i="6" l="1"/>
  <c r="GK1" i="6" l="1"/>
  <c r="GL1" i="6" l="1"/>
  <c r="GM1" i="6" l="1"/>
  <c r="GN1" i="6" l="1"/>
  <c r="GO1" i="6" l="1"/>
  <c r="GP1" i="6" l="1"/>
  <c r="GQ1" i="6" l="1"/>
  <c r="GR1" i="6" l="1"/>
  <c r="GS1" i="6" l="1"/>
  <c r="GT1" i="6" l="1"/>
  <c r="GU1" i="6" l="1"/>
  <c r="GV1" i="6" l="1"/>
  <c r="GW1" i="6" l="1"/>
  <c r="GX1" i="6" l="1"/>
  <c r="GY1" i="6" l="1"/>
  <c r="GZ1" i="6" l="1"/>
  <c r="HA1" i="6" l="1"/>
  <c r="HB1" i="6" l="1"/>
  <c r="HC1" i="6" l="1"/>
  <c r="HD1" i="6" l="1"/>
  <c r="HE1" i="6" l="1"/>
  <c r="HF1" i="6" l="1"/>
  <c r="HG1" i="6" l="1"/>
  <c r="HH1" i="6" l="1"/>
  <c r="HI1" i="6" l="1"/>
  <c r="HJ1" i="6" l="1"/>
  <c r="HK1" i="6" l="1"/>
  <c r="HL1" i="6" l="1"/>
  <c r="HM1" i="6" l="1"/>
  <c r="HN1" i="6" l="1"/>
  <c r="HO1" i="6" l="1"/>
  <c r="HP1" i="6" l="1"/>
  <c r="HQ1" i="6" l="1"/>
  <c r="HR1" i="6" l="1"/>
  <c r="HS1" i="6" l="1"/>
  <c r="HT1" i="6" l="1"/>
  <c r="HU1" i="6" l="1"/>
  <c r="HV1" i="6" l="1"/>
  <c r="HW1" i="6" l="1"/>
  <c r="HX1" i="6" l="1"/>
  <c r="HY1" i="6" l="1"/>
  <c r="HZ1" i="6" l="1"/>
  <c r="IA1" i="6" l="1"/>
  <c r="IB1" i="6" l="1"/>
  <c r="IC1" i="6" l="1"/>
  <c r="ID1" i="6" l="1"/>
  <c r="IE1" i="6" l="1"/>
  <c r="IF1" i="6" l="1"/>
  <c r="IG1" i="6" l="1"/>
  <c r="IH1" i="6" l="1"/>
  <c r="II1" i="6" l="1"/>
  <c r="IJ1" i="6" l="1"/>
  <c r="IK1" i="6" l="1"/>
  <c r="IL1" i="6" l="1"/>
  <c r="IM1" i="6" l="1"/>
  <c r="IN1" i="6" l="1"/>
  <c r="IO1" i="6" l="1"/>
  <c r="IP1" i="6" l="1"/>
  <c r="IQ1" i="6" l="1"/>
  <c r="IR1" i="6" l="1"/>
  <c r="IS1" i="6" l="1"/>
  <c r="IT1" i="6" l="1"/>
  <c r="IU1" i="6" l="1"/>
  <c r="IV1" i="6" l="1"/>
  <c r="IW1" i="6" l="1"/>
  <c r="IX1" i="6" l="1"/>
  <c r="IY1" i="6" l="1"/>
  <c r="IZ1" i="6" l="1"/>
  <c r="JA1" i="6" l="1"/>
  <c r="JB1" i="6" l="1"/>
  <c r="JC1" i="6" l="1"/>
  <c r="JD1" i="6" l="1"/>
  <c r="JE1" i="6" l="1"/>
  <c r="JF1" i="6" l="1"/>
  <c r="JG1" i="6" l="1"/>
  <c r="JH1" i="6" l="1"/>
  <c r="JI1" i="6" l="1"/>
  <c r="JJ1" i="6" l="1"/>
  <c r="JK1" i="6" l="1"/>
  <c r="JL1" i="6" l="1"/>
  <c r="JM1" i="6" l="1"/>
  <c r="JN1" i="6" l="1"/>
  <c r="JO1" i="6" l="1"/>
  <c r="JP1" i="6" l="1"/>
  <c r="JQ1" i="6" l="1"/>
  <c r="JR1" i="6" l="1"/>
  <c r="JS1" i="6" l="1"/>
  <c r="JT1" i="6" l="1"/>
  <c r="JU1" i="6" l="1"/>
  <c r="JV1" i="6" l="1"/>
  <c r="JW1" i="6" l="1"/>
  <c r="JX1" i="6" l="1"/>
  <c r="JY1" i="6" l="1"/>
  <c r="JZ1" i="6" l="1"/>
  <c r="KA1" i="6" l="1"/>
  <c r="KB1" i="6" l="1"/>
  <c r="KC1" i="6" l="1"/>
  <c r="KD1" i="6" l="1"/>
  <c r="KE1" i="6" l="1"/>
  <c r="J102" i="18" l="1"/>
  <c r="J79" i="18"/>
  <c r="N14" i="2" l="1"/>
  <c r="W6" i="18" l="1"/>
  <c r="W90" i="18"/>
  <c r="W91" i="18"/>
  <c r="W14" i="18" l="1"/>
  <c r="W44" i="18" s="1"/>
  <c r="W28" i="18"/>
  <c r="W127" i="18" l="1"/>
  <c r="W121" i="18" l="1"/>
  <c r="W3" i="5" l="1"/>
  <c r="V3" i="5"/>
  <c r="J127" i="18" l="1"/>
  <c r="G127" i="18"/>
  <c r="H14" i="5" l="1"/>
  <c r="W128" i="18"/>
  <c r="W129" i="18" s="1"/>
  <c r="W130" i="18" s="1"/>
  <c r="W131" i="18" s="1"/>
  <c r="T119" i="18"/>
  <c r="W46" i="18"/>
  <c r="I44" i="18"/>
  <c r="X118" i="18" l="1"/>
  <c r="H15" i="5" l="1"/>
  <c r="T158" i="18"/>
  <c r="T157" i="18"/>
  <c r="T156" i="18"/>
  <c r="T155" i="18"/>
  <c r="T154" i="18"/>
  <c r="T153" i="18"/>
  <c r="T152" i="18"/>
  <c r="T151" i="18"/>
  <c r="T150" i="18"/>
  <c r="T149" i="18"/>
  <c r="T148" i="18"/>
  <c r="T147" i="18"/>
  <c r="T146" i="18"/>
  <c r="T145" i="18"/>
  <c r="T144" i="18"/>
  <c r="T143" i="18"/>
  <c r="T142" i="18"/>
  <c r="T141" i="18"/>
  <c r="T140" i="18"/>
  <c r="T139" i="18"/>
  <c r="T138" i="18"/>
  <c r="T133" i="18"/>
  <c r="T132" i="18"/>
  <c r="T131" i="18"/>
  <c r="T130" i="18"/>
  <c r="T129" i="18"/>
  <c r="T128" i="18"/>
  <c r="T126" i="18"/>
  <c r="T125" i="18"/>
  <c r="T124" i="18"/>
  <c r="T123" i="18"/>
  <c r="T122" i="18"/>
  <c r="T117" i="18"/>
  <c r="T116" i="18"/>
  <c r="T115" i="18"/>
  <c r="T114" i="18"/>
  <c r="T105" i="18"/>
  <c r="T104" i="18"/>
  <c r="T103" i="18"/>
  <c r="T101" i="18"/>
  <c r="T100" i="18"/>
  <c r="T99" i="18"/>
  <c r="T98" i="18"/>
  <c r="T89" i="18"/>
  <c r="T88" i="18"/>
  <c r="T87" i="18"/>
  <c r="T86" i="18"/>
  <c r="T85" i="18"/>
  <c r="T83" i="18"/>
  <c r="T82" i="18"/>
  <c r="T81" i="18"/>
  <c r="T78" i="18"/>
  <c r="T77" i="18"/>
  <c r="T76" i="18"/>
  <c r="T75" i="18"/>
  <c r="T74" i="18"/>
  <c r="T73" i="18"/>
  <c r="T72" i="18"/>
  <c r="T71" i="18"/>
  <c r="T70" i="18"/>
  <c r="T69" i="18"/>
  <c r="T68" i="18"/>
  <c r="T67" i="18"/>
  <c r="T66" i="18"/>
  <c r="T57" i="18"/>
  <c r="T56" i="18"/>
  <c r="T54" i="18"/>
  <c r="T52" i="18"/>
  <c r="T51" i="18"/>
  <c r="T50" i="18"/>
  <c r="T49" i="18"/>
  <c r="T48" i="18"/>
  <c r="T47" i="18"/>
  <c r="T43" i="18"/>
  <c r="T42" i="18"/>
  <c r="T41" i="18"/>
  <c r="T40" i="18"/>
  <c r="T31" i="18"/>
  <c r="T30" i="18"/>
  <c r="T29" i="18"/>
  <c r="T27" i="18"/>
  <c r="T26" i="18"/>
  <c r="T25" i="18"/>
  <c r="T24" i="18"/>
  <c r="T23" i="18"/>
  <c r="T22" i="18"/>
  <c r="T20" i="18"/>
  <c r="T19" i="18"/>
  <c r="T18" i="18"/>
  <c r="T17" i="18"/>
  <c r="T16" i="18"/>
  <c r="T15" i="18"/>
  <c r="T12" i="18"/>
  <c r="T11" i="18"/>
  <c r="T10" i="18"/>
  <c r="T9" i="18"/>
  <c r="T8" i="18"/>
  <c r="Q14" i="18"/>
  <c r="C4" i="24" l="1"/>
  <c r="C7" i="23"/>
  <c r="C4" i="23"/>
  <c r="Q124" i="18"/>
  <c r="P14" i="5" l="1"/>
  <c r="P15" i="5" l="1"/>
  <c r="H52" i="18"/>
  <c r="H44" i="18" s="1"/>
  <c r="H45" i="18" s="1"/>
  <c r="H46" i="18" s="1"/>
  <c r="H6" i="18" l="1"/>
  <c r="H19" i="3" l="1"/>
  <c r="T7" i="18"/>
  <c r="Q28" i="18"/>
  <c r="X13" i="18"/>
  <c r="Q6" i="18"/>
  <c r="T58" i="2"/>
  <c r="S58" i="2"/>
  <c r="S68" i="2"/>
  <c r="S67" i="2"/>
  <c r="S66" i="2"/>
  <c r="S65" i="2"/>
  <c r="S64" i="2"/>
  <c r="S63" i="2"/>
  <c r="S62" i="2"/>
  <c r="S61" i="2"/>
  <c r="X44" i="18"/>
  <c r="AO13" i="5"/>
  <c r="G105" i="18"/>
  <c r="Z18" i="18" s="1"/>
  <c r="V70" i="18"/>
  <c r="X79" i="18"/>
  <c r="I124" i="18"/>
  <c r="G103" i="18"/>
  <c r="Z17" i="18" s="1"/>
  <c r="Z49" i="18" s="1"/>
  <c r="G102" i="18"/>
  <c r="Z16" i="18" s="1"/>
  <c r="Z48" i="18" s="1"/>
  <c r="G90" i="18"/>
  <c r="Z15" i="18" s="1"/>
  <c r="G89" i="18"/>
  <c r="Z14" i="18" s="1"/>
  <c r="G52" i="18"/>
  <c r="G29" i="18"/>
  <c r="G21" i="18"/>
  <c r="G13" i="18"/>
  <c r="G6" i="18"/>
  <c r="Q127" i="18"/>
  <c r="J134" i="18"/>
  <c r="J118" i="18"/>
  <c r="J89" i="18"/>
  <c r="J52" i="18"/>
  <c r="J44" i="18"/>
  <c r="J28" i="18"/>
  <c r="J21" i="18"/>
  <c r="J13" i="18"/>
  <c r="J6" i="18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X147" i="18"/>
  <c r="H23" i="3" s="1"/>
  <c r="I147" i="18"/>
  <c r="F23" i="3" s="1"/>
  <c r="X124" i="18"/>
  <c r="X70" i="18"/>
  <c r="I70" i="18"/>
  <c r="F15" i="3" s="1"/>
  <c r="I79" i="18"/>
  <c r="F16" i="3" s="1"/>
  <c r="T19" i="2"/>
  <c r="S19" i="2"/>
  <c r="G25" i="3"/>
  <c r="D4" i="5"/>
  <c r="F13" i="5" s="1"/>
  <c r="E46" i="5"/>
  <c r="E47" i="5"/>
  <c r="E21" i="5"/>
  <c r="I118" i="18"/>
  <c r="X21" i="18"/>
  <c r="Q64" i="18" l="1"/>
  <c r="Q63" i="18"/>
  <c r="AA29" i="18"/>
  <c r="Z46" i="18"/>
  <c r="AA46" i="18" s="1"/>
  <c r="Z47" i="18"/>
  <c r="AA47" i="18" s="1"/>
  <c r="AA30" i="18"/>
  <c r="Z50" i="18"/>
  <c r="O90" i="18"/>
  <c r="I13" i="18"/>
  <c r="F10" i="3" s="1"/>
  <c r="Z12" i="18"/>
  <c r="Z27" i="18" s="1"/>
  <c r="Z13" i="18"/>
  <c r="Z28" i="18" s="1"/>
  <c r="O106" i="18"/>
  <c r="U49" i="18"/>
  <c r="U50" i="18"/>
  <c r="U45" i="18"/>
  <c r="U48" i="18"/>
  <c r="U47" i="18"/>
  <c r="U46" i="18"/>
  <c r="U44" i="18"/>
  <c r="I134" i="18"/>
  <c r="F22" i="3" s="1"/>
  <c r="Q137" i="18"/>
  <c r="U15" i="18"/>
  <c r="I6" i="18"/>
  <c r="I21" i="18"/>
  <c r="I28" i="18"/>
  <c r="F12" i="3" s="1"/>
  <c r="Q134" i="18"/>
  <c r="I127" i="18"/>
  <c r="F21" i="3" s="1"/>
  <c r="F19" i="3"/>
  <c r="J19" i="3" s="1"/>
  <c r="I89" i="18"/>
  <c r="U13" i="18"/>
  <c r="J2" i="18"/>
  <c r="J4" i="18" s="1"/>
  <c r="F20" i="3"/>
  <c r="Q136" i="18"/>
  <c r="Q135" i="18"/>
  <c r="U14" i="18"/>
  <c r="H10" i="3"/>
  <c r="U17" i="18"/>
  <c r="I52" i="18"/>
  <c r="U16" i="18"/>
  <c r="U19" i="18"/>
  <c r="U18" i="18"/>
  <c r="U118" i="18"/>
  <c r="H20" i="3"/>
  <c r="I102" i="18"/>
  <c r="N15" i="2"/>
  <c r="J23" i="3"/>
  <c r="F18" i="5"/>
  <c r="F15" i="5"/>
  <c r="X6" i="18"/>
  <c r="F14" i="5"/>
  <c r="F17" i="5"/>
  <c r="F16" i="5"/>
  <c r="F19" i="5"/>
  <c r="C3" i="6"/>
  <c r="H15" i="3"/>
  <c r="J15" i="3" s="1"/>
  <c r="Q91" i="18"/>
  <c r="Q90" i="18"/>
  <c r="Q93" i="18"/>
  <c r="Q92" i="18"/>
  <c r="Q94" i="18"/>
  <c r="Q61" i="18"/>
  <c r="X127" i="18"/>
  <c r="F13" i="3"/>
  <c r="H11" i="3"/>
  <c r="U23" i="18"/>
  <c r="U22" i="18"/>
  <c r="U120" i="18"/>
  <c r="U122" i="18"/>
  <c r="U121" i="18"/>
  <c r="U119" i="18"/>
  <c r="H13" i="3"/>
  <c r="H16" i="3"/>
  <c r="J16" i="3" s="1"/>
  <c r="U25" i="18"/>
  <c r="U26" i="18"/>
  <c r="U21" i="18"/>
  <c r="U24" i="18"/>
  <c r="Q95" i="18" l="1"/>
  <c r="Q96" i="18"/>
  <c r="X89" i="18" s="1"/>
  <c r="U91" i="18" s="1"/>
  <c r="Q106" i="18"/>
  <c r="Q112" i="18"/>
  <c r="Q111" i="18"/>
  <c r="Z44" i="18"/>
  <c r="O32" i="18"/>
  <c r="Q35" i="18" s="1"/>
  <c r="Z45" i="18"/>
  <c r="Q62" i="18"/>
  <c r="Q36" i="18"/>
  <c r="Q32" i="18"/>
  <c r="Q60" i="18"/>
  <c r="Q59" i="18"/>
  <c r="Q34" i="18"/>
  <c r="Z22" i="18"/>
  <c r="Z23" i="18" s="1"/>
  <c r="Z24" i="18" s="1"/>
  <c r="Q58" i="18"/>
  <c r="Z38" i="18"/>
  <c r="Z39" i="18" s="1"/>
  <c r="Q108" i="18"/>
  <c r="Q109" i="18"/>
  <c r="Q107" i="18"/>
  <c r="Q110" i="18"/>
  <c r="V13" i="18"/>
  <c r="J20" i="3"/>
  <c r="X134" i="18"/>
  <c r="H22" i="3" s="1"/>
  <c r="J22" i="3" s="1"/>
  <c r="F17" i="3"/>
  <c r="F14" i="3"/>
  <c r="J10" i="3"/>
  <c r="F11" i="3"/>
  <c r="J11" i="3" s="1"/>
  <c r="I2" i="18"/>
  <c r="F9" i="3"/>
  <c r="V118" i="18"/>
  <c r="U136" i="18"/>
  <c r="F18" i="3"/>
  <c r="N16" i="2"/>
  <c r="J13" i="3"/>
  <c r="F21" i="5"/>
  <c r="F4" i="5" s="1"/>
  <c r="C9" i="6" s="1"/>
  <c r="U11" i="18"/>
  <c r="H9" i="3"/>
  <c r="U7" i="18"/>
  <c r="U8" i="18"/>
  <c r="U9" i="18"/>
  <c r="U10" i="18"/>
  <c r="U6" i="18"/>
  <c r="U144" i="18"/>
  <c r="U131" i="18"/>
  <c r="U127" i="18"/>
  <c r="H21" i="3"/>
  <c r="J21" i="3" s="1"/>
  <c r="U132" i="18"/>
  <c r="U128" i="18"/>
  <c r="U129" i="18"/>
  <c r="U130" i="18"/>
  <c r="V79" i="18"/>
  <c r="V44" i="18"/>
  <c r="V21" i="18"/>
  <c r="U143" i="18" l="1"/>
  <c r="Q38" i="18"/>
  <c r="Q37" i="18"/>
  <c r="U141" i="18"/>
  <c r="U138" i="18"/>
  <c r="U145" i="18"/>
  <c r="Z55" i="18"/>
  <c r="Z56" i="18" s="1"/>
  <c r="Q33" i="18"/>
  <c r="X28" i="18" s="1"/>
  <c r="U38" i="18" s="1"/>
  <c r="X52" i="18"/>
  <c r="U64" i="18" s="1"/>
  <c r="U142" i="18"/>
  <c r="U139" i="18"/>
  <c r="X102" i="18"/>
  <c r="U113" i="18" s="1"/>
  <c r="U135" i="18"/>
  <c r="U140" i="18"/>
  <c r="H16" i="5"/>
  <c r="U32" i="18"/>
  <c r="U42" i="18"/>
  <c r="U134" i="18"/>
  <c r="V134" i="18" s="1"/>
  <c r="U137" i="18"/>
  <c r="N26" i="2"/>
  <c r="N25" i="2"/>
  <c r="N27" i="2"/>
  <c r="U90" i="18"/>
  <c r="F5" i="3"/>
  <c r="D5" i="5" s="1"/>
  <c r="D6" i="5" s="1"/>
  <c r="U97" i="18"/>
  <c r="J9" i="3"/>
  <c r="F47" i="5"/>
  <c r="F45" i="5" s="1"/>
  <c r="U94" i="18"/>
  <c r="U93" i="18"/>
  <c r="U96" i="18"/>
  <c r="U92" i="18"/>
  <c r="U95" i="18"/>
  <c r="T61" i="2"/>
  <c r="U105" i="18"/>
  <c r="U104" i="18"/>
  <c r="U114" i="18"/>
  <c r="U112" i="18"/>
  <c r="V127" i="18"/>
  <c r="H14" i="3"/>
  <c r="J14" i="3" s="1"/>
  <c r="V6" i="18"/>
  <c r="H17" i="3"/>
  <c r="J17" i="3" s="1"/>
  <c r="U98" i="18"/>
  <c r="U99" i="18"/>
  <c r="U100" i="18"/>
  <c r="U89" i="18"/>
  <c r="U63" i="18" l="1"/>
  <c r="U68" i="18"/>
  <c r="U102" i="18"/>
  <c r="U115" i="18"/>
  <c r="H18" i="3"/>
  <c r="J18" i="3" s="1"/>
  <c r="U103" i="18"/>
  <c r="U39" i="18"/>
  <c r="U30" i="18"/>
  <c r="U35" i="18"/>
  <c r="U33" i="18"/>
  <c r="U40" i="18"/>
  <c r="H12" i="3"/>
  <c r="J12" i="3" s="1"/>
  <c r="U28" i="18"/>
  <c r="U31" i="18"/>
  <c r="U65" i="18"/>
  <c r="U60" i="18"/>
  <c r="U58" i="18"/>
  <c r="U53" i="18"/>
  <c r="U52" i="18"/>
  <c r="U67" i="18"/>
  <c r="U66" i="18"/>
  <c r="U54" i="18"/>
  <c r="U37" i="18"/>
  <c r="U57" i="18"/>
  <c r="U55" i="18"/>
  <c r="U59" i="18"/>
  <c r="U62" i="18"/>
  <c r="U56" i="18"/>
  <c r="U111" i="18"/>
  <c r="U36" i="18"/>
  <c r="X2" i="18"/>
  <c r="U108" i="18"/>
  <c r="U110" i="18"/>
  <c r="U61" i="18"/>
  <c r="U34" i="18"/>
  <c r="U109" i="18"/>
  <c r="U29" i="18"/>
  <c r="U41" i="18"/>
  <c r="U106" i="18"/>
  <c r="U107" i="18"/>
  <c r="D7" i="5"/>
  <c r="P4" i="5"/>
  <c r="F25" i="3"/>
  <c r="F41" i="5"/>
  <c r="F44" i="5"/>
  <c r="C5" i="6"/>
  <c r="F42" i="5"/>
  <c r="F43" i="5"/>
  <c r="N17" i="2"/>
  <c r="N11" i="2" s="1"/>
  <c r="H5" i="3"/>
  <c r="V89" i="18"/>
  <c r="V28" i="18" l="1"/>
  <c r="V102" i="18"/>
  <c r="V52" i="18"/>
  <c r="F46" i="5"/>
  <c r="N37" i="2"/>
  <c r="U61" i="2"/>
  <c r="V61" i="2"/>
  <c r="J5" i="3"/>
  <c r="F5" i="5"/>
  <c r="H25" i="3"/>
  <c r="W58" i="18" l="1"/>
  <c r="T90" i="18"/>
  <c r="W106" i="18"/>
  <c r="W32" i="18"/>
  <c r="W59" i="18"/>
  <c r="T59" i="18" s="1"/>
  <c r="W107" i="18"/>
  <c r="W33" i="18"/>
  <c r="T91" i="18"/>
  <c r="N20" i="2"/>
  <c r="N19" i="2" s="1"/>
  <c r="H21" i="18"/>
  <c r="H13" i="18"/>
  <c r="T62" i="2"/>
  <c r="F6" i="5"/>
  <c r="F7" i="5" s="1"/>
  <c r="C11" i="6"/>
  <c r="T107" i="18" l="1"/>
  <c r="T33" i="18"/>
  <c r="T58" i="18"/>
  <c r="T106" i="18"/>
  <c r="T32" i="18"/>
  <c r="N33" i="2"/>
  <c r="N31" i="2"/>
  <c r="N32" i="2"/>
  <c r="H28" i="18"/>
  <c r="V62" i="2"/>
  <c r="H89" i="18" l="1"/>
  <c r="N24" i="2"/>
  <c r="N23" i="2"/>
  <c r="U62" i="2"/>
  <c r="N22" i="2" l="1"/>
  <c r="H104" i="18"/>
  <c r="H102" i="18"/>
  <c r="H103" i="18"/>
  <c r="H105" i="18"/>
  <c r="T63" i="2"/>
  <c r="H3" i="6" l="1"/>
  <c r="BU3" i="6"/>
  <c r="ER3" i="6"/>
  <c r="JM3" i="6"/>
  <c r="DW3" i="6"/>
  <c r="AM3" i="6"/>
  <c r="FU3" i="6"/>
  <c r="IB3" i="6"/>
  <c r="EY3" i="6"/>
  <c r="IY3" i="6"/>
  <c r="KE3" i="6"/>
  <c r="II3" i="6"/>
  <c r="FK3" i="6"/>
  <c r="FI3" i="6"/>
  <c r="FX3" i="6"/>
  <c r="KB3" i="6"/>
  <c r="AL3" i="6"/>
  <c r="IA3" i="6"/>
  <c r="EQ3" i="6"/>
  <c r="DE3" i="6"/>
  <c r="CA3" i="6"/>
  <c r="JR3" i="6"/>
  <c r="IE3" i="6"/>
  <c r="GY3" i="6"/>
  <c r="CS3" i="6"/>
  <c r="BD3" i="6"/>
  <c r="ES3" i="6"/>
  <c r="BA3" i="6"/>
  <c r="IC3" i="6"/>
  <c r="AJ3" i="6"/>
  <c r="AN3" i="6"/>
  <c r="FA3" i="6"/>
  <c r="HK3" i="6"/>
  <c r="CI3" i="6"/>
  <c r="CM3" i="6"/>
  <c r="IN3" i="6"/>
  <c r="DF3" i="6"/>
  <c r="HQ3" i="6"/>
  <c r="GR3" i="6"/>
  <c r="CR3" i="6"/>
  <c r="CK3" i="6"/>
  <c r="HP3" i="6"/>
  <c r="FG3" i="6"/>
  <c r="EO3" i="6"/>
  <c r="IS3" i="6"/>
  <c r="KD3" i="6"/>
  <c r="CC3" i="6"/>
  <c r="AB3" i="6"/>
  <c r="FM3" i="6"/>
  <c r="JV3" i="6"/>
  <c r="BF3" i="6"/>
  <c r="FS3" i="6"/>
  <c r="I3" i="6"/>
  <c r="HN3" i="6"/>
  <c r="AA3" i="6"/>
  <c r="DH3" i="6"/>
  <c r="HT3" i="6"/>
  <c r="FW3" i="6"/>
  <c r="JN3" i="6"/>
  <c r="DD3" i="6"/>
  <c r="GB3" i="6"/>
  <c r="FN3" i="6"/>
  <c r="J3" i="6"/>
  <c r="CF3" i="6"/>
  <c r="GV3" i="6"/>
  <c r="AH3" i="6"/>
  <c r="FV3" i="6"/>
  <c r="N3" i="6"/>
  <c r="BC3" i="6"/>
  <c r="AD3" i="6"/>
  <c r="IV3" i="6"/>
  <c r="BS3" i="6"/>
  <c r="IH3" i="6"/>
  <c r="EG3" i="6"/>
  <c r="BJ3" i="6"/>
  <c r="Z3" i="6"/>
  <c r="HW3" i="6"/>
  <c r="IT3" i="6"/>
  <c r="GQ3" i="6"/>
  <c r="BY3" i="6"/>
  <c r="CY3" i="6"/>
  <c r="KC3" i="6"/>
  <c r="FB3" i="6"/>
  <c r="BE3" i="6"/>
  <c r="EM3" i="6"/>
  <c r="FY3" i="6"/>
  <c r="IM3" i="6"/>
  <c r="FP3" i="6"/>
  <c r="ID3" i="6"/>
  <c r="BP3" i="6"/>
  <c r="DB3" i="6"/>
  <c r="X3" i="6"/>
  <c r="GH3" i="6"/>
  <c r="EB3" i="6"/>
  <c r="DX3" i="6"/>
  <c r="GM3" i="6"/>
  <c r="HV3" i="6"/>
  <c r="IX3" i="6"/>
  <c r="FT3" i="6"/>
  <c r="IZ3" i="6"/>
  <c r="AR3" i="6"/>
  <c r="BH3" i="6"/>
  <c r="JD3" i="6"/>
  <c r="CT3" i="6"/>
  <c r="JG3" i="6"/>
  <c r="DZ3" i="6"/>
  <c r="CN3" i="6"/>
  <c r="JF3" i="6"/>
  <c r="DK3" i="6"/>
  <c r="BX3" i="6"/>
  <c r="GO3" i="6"/>
  <c r="IQ3" i="6"/>
  <c r="IG3" i="6"/>
  <c r="CH3" i="6"/>
  <c r="V3" i="6"/>
  <c r="EP3" i="6"/>
  <c r="GN3" i="6"/>
  <c r="FJ3" i="6"/>
  <c r="AC3" i="6"/>
  <c r="CE3" i="6"/>
  <c r="HI3" i="6"/>
  <c r="DG3" i="6"/>
  <c r="HL3" i="6"/>
  <c r="GD3" i="6"/>
  <c r="JB3" i="6"/>
  <c r="FC3" i="6"/>
  <c r="EX3" i="6"/>
  <c r="JC3" i="6"/>
  <c r="BZ3" i="6"/>
  <c r="AF3" i="6"/>
  <c r="IP3" i="6"/>
  <c r="DQ3" i="6"/>
  <c r="DY3" i="6"/>
  <c r="EK3" i="6"/>
  <c r="DO3" i="6"/>
  <c r="HO3" i="6"/>
  <c r="EN3" i="6"/>
  <c r="CO3" i="6"/>
  <c r="JT3" i="6"/>
  <c r="GU3" i="6"/>
  <c r="DI3" i="6"/>
  <c r="AQ3" i="6"/>
  <c r="BV3" i="6"/>
  <c r="EL3" i="6"/>
  <c r="O3" i="6"/>
  <c r="CX3" i="6"/>
  <c r="AZ3" i="6"/>
  <c r="AV3" i="6"/>
  <c r="GG3" i="6"/>
  <c r="AE3" i="6"/>
  <c r="EH3" i="6"/>
  <c r="EV3" i="6"/>
  <c r="G3" i="6"/>
  <c r="R3" i="6"/>
  <c r="KA3" i="6"/>
  <c r="EF3" i="6"/>
  <c r="JQ3" i="6"/>
  <c r="BO3" i="6"/>
  <c r="BT3" i="6"/>
  <c r="IO3" i="6"/>
  <c r="FL3" i="6"/>
  <c r="BK3" i="6"/>
  <c r="EW3" i="6"/>
  <c r="HJ3" i="6"/>
  <c r="JL3" i="6"/>
  <c r="GE3" i="6"/>
  <c r="AG3" i="6"/>
  <c r="FE3" i="6"/>
  <c r="JX3" i="6"/>
  <c r="FD3" i="6"/>
  <c r="BQ3" i="6"/>
  <c r="K3" i="6"/>
  <c r="BB3" i="6"/>
  <c r="T3" i="6"/>
  <c r="FZ3" i="6"/>
  <c r="HU3" i="6"/>
  <c r="HY3" i="6"/>
  <c r="CZ3" i="6"/>
  <c r="GZ3" i="6"/>
  <c r="BW3" i="6"/>
  <c r="L3" i="6"/>
  <c r="HA3" i="6"/>
  <c r="DS3" i="6"/>
  <c r="EE3" i="6"/>
  <c r="JZ3" i="6"/>
  <c r="GX3" i="6"/>
  <c r="HM3" i="6"/>
  <c r="IK3" i="6"/>
  <c r="HF3" i="6"/>
  <c r="JY3" i="6"/>
  <c r="GF3" i="6"/>
  <c r="IJ3" i="6"/>
  <c r="GI3" i="6"/>
  <c r="CJ3" i="6"/>
  <c r="AO3" i="6"/>
  <c r="EI3" i="6"/>
  <c r="AP3" i="6"/>
  <c r="AK3" i="6"/>
  <c r="DR3" i="6"/>
  <c r="IU3" i="6"/>
  <c r="JK3" i="6"/>
  <c r="FR3" i="6"/>
  <c r="CB3" i="6"/>
  <c r="FO3" i="6"/>
  <c r="JH3" i="6"/>
  <c r="CV3" i="6"/>
  <c r="HX3" i="6"/>
  <c r="AY3" i="6"/>
  <c r="AU3" i="6"/>
  <c r="BI3" i="6"/>
  <c r="IW3" i="6"/>
  <c r="AI3" i="6"/>
  <c r="EJ3" i="6"/>
  <c r="CP3" i="6"/>
  <c r="GL3" i="6"/>
  <c r="CW3" i="6"/>
  <c r="GP3" i="6"/>
  <c r="JW3" i="6"/>
  <c r="DU3" i="6"/>
  <c r="IL3" i="6"/>
  <c r="EU3" i="6"/>
  <c r="ET3" i="6"/>
  <c r="DV3" i="6"/>
  <c r="JO3" i="6"/>
  <c r="U3" i="6"/>
  <c r="DT3" i="6"/>
  <c r="GA3" i="6"/>
  <c r="ED3" i="6"/>
  <c r="JU3" i="6"/>
  <c r="HD3" i="6"/>
  <c r="HZ3" i="6"/>
  <c r="Y3" i="6"/>
  <c r="HG3" i="6"/>
  <c r="CL3" i="6"/>
  <c r="GW3" i="6"/>
  <c r="BM3" i="6"/>
  <c r="GT3" i="6"/>
  <c r="JE3" i="6"/>
  <c r="IF3" i="6"/>
  <c r="DN3" i="6"/>
  <c r="P3" i="6"/>
  <c r="GJ3" i="6"/>
  <c r="GS3" i="6"/>
  <c r="IR3" i="6"/>
  <c r="DJ3" i="6"/>
  <c r="AX3" i="6"/>
  <c r="AT3" i="6"/>
  <c r="HE3" i="6"/>
  <c r="HR3" i="6"/>
  <c r="Q3" i="6"/>
  <c r="JI3" i="6"/>
  <c r="DA3" i="6"/>
  <c r="AW3" i="6"/>
  <c r="JA3" i="6"/>
  <c r="FF3" i="6"/>
  <c r="W3" i="6"/>
  <c r="JJ3" i="6"/>
  <c r="DM3" i="6"/>
  <c r="DC3" i="6"/>
  <c r="BL3" i="6"/>
  <c r="GK3" i="6"/>
  <c r="CQ3" i="6"/>
  <c r="M3" i="6"/>
  <c r="BR3" i="6"/>
  <c r="CD3" i="6"/>
  <c r="GC3" i="6"/>
  <c r="JP3" i="6"/>
  <c r="CG3" i="6"/>
  <c r="S3" i="6"/>
  <c r="HC3" i="6"/>
  <c r="DL3" i="6"/>
  <c r="EA3" i="6"/>
  <c r="CU3" i="6"/>
  <c r="BN3" i="6"/>
  <c r="FQ3" i="6"/>
  <c r="JS3" i="6"/>
  <c r="EZ3" i="6"/>
  <c r="HS3" i="6"/>
  <c r="HB3" i="6"/>
  <c r="EC3" i="6"/>
  <c r="HH3" i="6"/>
  <c r="AS3" i="6"/>
  <c r="BG3" i="6"/>
  <c r="FH3" i="6"/>
  <c r="DP3" i="6"/>
  <c r="W118" i="18"/>
  <c r="P16" i="5"/>
  <c r="J9" i="2"/>
  <c r="H90" i="18"/>
  <c r="H29" i="18"/>
  <c r="T65" i="2"/>
  <c r="U63" i="2"/>
  <c r="V63" i="2"/>
  <c r="W92" i="18"/>
  <c r="W60" i="18" l="1"/>
  <c r="T60" i="18" s="1"/>
  <c r="W108" i="18"/>
  <c r="W102" i="18" s="1"/>
  <c r="T102" i="18" s="1"/>
  <c r="W34" i="18"/>
  <c r="T92" i="18"/>
  <c r="N38" i="2"/>
  <c r="N36" i="2" s="1"/>
  <c r="N34" i="2"/>
  <c r="N29" i="2" s="1"/>
  <c r="T108" i="18" l="1"/>
  <c r="T34" i="18"/>
  <c r="T64" i="2"/>
  <c r="U65" i="2"/>
  <c r="V65" i="2"/>
  <c r="U64" i="2" l="1"/>
  <c r="W93" i="18"/>
  <c r="V64" i="2"/>
  <c r="W61" i="18" l="1"/>
  <c r="T61" i="18" s="1"/>
  <c r="W109" i="18"/>
  <c r="T93" i="18"/>
  <c r="W35" i="18"/>
  <c r="N41" i="2"/>
  <c r="G9" i="6" l="1"/>
  <c r="AC9" i="6"/>
  <c r="AY9" i="6"/>
  <c r="BU9" i="6"/>
  <c r="CQ9" i="6"/>
  <c r="DM9" i="6"/>
  <c r="EI9" i="6"/>
  <c r="FE9" i="6"/>
  <c r="GA9" i="6"/>
  <c r="GW9" i="6"/>
  <c r="HS9" i="6"/>
  <c r="IO9" i="6"/>
  <c r="JK9" i="6"/>
  <c r="CA9" i="6"/>
  <c r="FK9" i="6"/>
  <c r="AJ9" i="6"/>
  <c r="EP9" i="6"/>
  <c r="IV9" i="6"/>
  <c r="AK9" i="6"/>
  <c r="GI9" i="6"/>
  <c r="AM9" i="6"/>
  <c r="ER9" i="6"/>
  <c r="IX9" i="6"/>
  <c r="DA9" i="6"/>
  <c r="HG9" i="6"/>
  <c r="ET9" i="6"/>
  <c r="IY9" i="6"/>
  <c r="CG9" i="6"/>
  <c r="JW9" i="6"/>
  <c r="DD9" i="6"/>
  <c r="JB9" i="6"/>
  <c r="DE9" i="6"/>
  <c r="JD9" i="6"/>
  <c r="EB9" i="6"/>
  <c r="EC9" i="6"/>
  <c r="AT9" i="6"/>
  <c r="HN9" i="6"/>
  <c r="BQ9" i="6"/>
  <c r="IK9" i="6"/>
  <c r="CN9" i="6"/>
  <c r="FC9" i="6"/>
  <c r="AX9" i="6"/>
  <c r="IN9" i="6"/>
  <c r="H9" i="6"/>
  <c r="AE9" i="6"/>
  <c r="AZ9" i="6"/>
  <c r="BV9" i="6"/>
  <c r="CR9" i="6"/>
  <c r="DN9" i="6"/>
  <c r="EJ9" i="6"/>
  <c r="FF9" i="6"/>
  <c r="GB9" i="6"/>
  <c r="GX9" i="6"/>
  <c r="HT9" i="6"/>
  <c r="IP9" i="6"/>
  <c r="JL9" i="6"/>
  <c r="JM9" i="6"/>
  <c r="JN9" i="6"/>
  <c r="IT9" i="6"/>
  <c r="BE9" i="6"/>
  <c r="DS9" i="6"/>
  <c r="HC9" i="6"/>
  <c r="IU9" i="6"/>
  <c r="CX9" i="6"/>
  <c r="GH9" i="6"/>
  <c r="O9" i="6"/>
  <c r="DU9" i="6"/>
  <c r="JS9" i="6"/>
  <c r="CZ9" i="6"/>
  <c r="GJ9" i="6"/>
  <c r="AL9" i="6"/>
  <c r="ES9" i="6"/>
  <c r="IC9" i="6"/>
  <c r="CF9" i="6"/>
  <c r="ID9" i="6"/>
  <c r="BK9" i="6"/>
  <c r="JA9" i="6"/>
  <c r="BL9" i="6"/>
  <c r="FR9" i="6"/>
  <c r="JX9" i="6"/>
  <c r="EA9" i="6"/>
  <c r="HK9" i="6"/>
  <c r="BN9" i="6"/>
  <c r="GP9" i="6"/>
  <c r="BO9" i="6"/>
  <c r="FU9" i="6"/>
  <c r="X9" i="6"/>
  <c r="GR9" i="6"/>
  <c r="Y9" i="6"/>
  <c r="GT9" i="6"/>
  <c r="Z9" i="6"/>
  <c r="EF9" i="6"/>
  <c r="JH9" i="6"/>
  <c r="DL9" i="6"/>
  <c r="KE9" i="6"/>
  <c r="DK9" i="6"/>
  <c r="JJ9" i="6"/>
  <c r="I9" i="6"/>
  <c r="AD9" i="6"/>
  <c r="BA9" i="6"/>
  <c r="BW9" i="6"/>
  <c r="CS9" i="6"/>
  <c r="DO9" i="6"/>
  <c r="EK9" i="6"/>
  <c r="FG9" i="6"/>
  <c r="GC9" i="6"/>
  <c r="GY9" i="6"/>
  <c r="HU9" i="6"/>
  <c r="IQ9" i="6"/>
  <c r="J9" i="6"/>
  <c r="AF9" i="6"/>
  <c r="BB9" i="6"/>
  <c r="BX9" i="6"/>
  <c r="CT9" i="6"/>
  <c r="DP9" i="6"/>
  <c r="EL9" i="6"/>
  <c r="FH9" i="6"/>
  <c r="GD9" i="6"/>
  <c r="GZ9" i="6"/>
  <c r="HV9" i="6"/>
  <c r="IR9" i="6"/>
  <c r="HB9" i="6"/>
  <c r="JP9" i="6"/>
  <c r="CW9" i="6"/>
  <c r="GF9" i="6"/>
  <c r="BF9" i="6"/>
  <c r="FL9" i="6"/>
  <c r="JR9" i="6"/>
  <c r="CY9" i="6"/>
  <c r="IB9" i="6"/>
  <c r="DV9" i="6"/>
  <c r="JT9" i="6"/>
  <c r="IZ9" i="6"/>
  <c r="DB9" i="6"/>
  <c r="HH9" i="6"/>
  <c r="DC9" i="6"/>
  <c r="HI9" i="6"/>
  <c r="DZ9" i="6"/>
  <c r="BM9" i="6"/>
  <c r="AR9" i="6"/>
  <c r="FT9" i="6"/>
  <c r="V9" i="6"/>
  <c r="HM9" i="6"/>
  <c r="ED9" i="6"/>
  <c r="FA9" i="6"/>
  <c r="FB9" i="6"/>
  <c r="KD9" i="6"/>
  <c r="GU9" i="6"/>
  <c r="EH9" i="6"/>
  <c r="K9" i="6"/>
  <c r="AG9" i="6"/>
  <c r="BC9" i="6"/>
  <c r="BY9" i="6"/>
  <c r="CU9" i="6"/>
  <c r="DQ9" i="6"/>
  <c r="EM9" i="6"/>
  <c r="FJ9" i="6"/>
  <c r="GE9" i="6"/>
  <c r="HA9" i="6"/>
  <c r="HW9" i="6"/>
  <c r="IS9" i="6"/>
  <c r="JO9" i="6"/>
  <c r="JQ9" i="6"/>
  <c r="DT9" i="6"/>
  <c r="HZ9" i="6"/>
  <c r="BG9" i="6"/>
  <c r="HE9" i="6"/>
  <c r="IW9" i="6"/>
  <c r="BH9" i="6"/>
  <c r="HF9" i="6"/>
  <c r="DW9" i="6"/>
  <c r="JV9" i="6"/>
  <c r="AN9" i="6"/>
  <c r="GL9" i="6"/>
  <c r="AO9" i="6"/>
  <c r="FQ9" i="6"/>
  <c r="AP9" i="6"/>
  <c r="IG9" i="6"/>
  <c r="EW9" i="6"/>
  <c r="JY9" i="6"/>
  <c r="CJ9" i="6"/>
  <c r="IH9" i="6"/>
  <c r="AS9" i="6"/>
  <c r="GQ9" i="6"/>
  <c r="CM9" i="6"/>
  <c r="IJ9" i="6"/>
  <c r="EE9" i="6"/>
  <c r="AV9" i="6"/>
  <c r="HP9" i="6"/>
  <c r="AA9" i="6"/>
  <c r="FY9" i="6"/>
  <c r="BT9" i="6"/>
  <c r="GV9" i="6"/>
  <c r="L9" i="6"/>
  <c r="AH9" i="6"/>
  <c r="BD9" i="6"/>
  <c r="BZ9" i="6"/>
  <c r="CV9" i="6"/>
  <c r="DR9" i="6"/>
  <c r="EN9" i="6"/>
  <c r="FI9" i="6"/>
  <c r="GG9" i="6"/>
  <c r="HX9" i="6"/>
  <c r="AI9" i="6"/>
  <c r="EO9" i="6"/>
  <c r="HY9" i="6"/>
  <c r="CB9" i="6"/>
  <c r="HD9" i="6"/>
  <c r="CC9" i="6"/>
  <c r="EQ9" i="6"/>
  <c r="P9" i="6"/>
  <c r="FN9" i="6"/>
  <c r="BI9" i="6"/>
  <c r="GK9" i="6"/>
  <c r="BJ9" i="6"/>
  <c r="JU9" i="6"/>
  <c r="DY9" i="6"/>
  <c r="T9" i="6"/>
  <c r="HJ9" i="6"/>
  <c r="CI9" i="6"/>
  <c r="GO9" i="6"/>
  <c r="DF9" i="6"/>
  <c r="JC9" i="6"/>
  <c r="DG9" i="6"/>
  <c r="JF9" i="6"/>
  <c r="EZ9" i="6"/>
  <c r="JE9" i="6"/>
  <c r="FW9" i="6"/>
  <c r="KC9" i="6"/>
  <c r="DJ9" i="6"/>
  <c r="BS9" i="6"/>
  <c r="HQ9" i="6"/>
  <c r="FD9" i="6"/>
  <c r="M9" i="6"/>
  <c r="IE9" i="6"/>
  <c r="EV9" i="6"/>
  <c r="U9" i="6"/>
  <c r="IF9" i="6"/>
  <c r="EX9" i="6"/>
  <c r="CK9" i="6"/>
  <c r="II9" i="6"/>
  <c r="FV9" i="6"/>
  <c r="AU9" i="6"/>
  <c r="JG9" i="6"/>
  <c r="GS9" i="6"/>
  <c r="EG9" i="6"/>
  <c r="AB9" i="6"/>
  <c r="N9" i="6"/>
  <c r="BP9" i="6"/>
  <c r="DI9" i="6"/>
  <c r="FX9" i="6"/>
  <c r="AW9" i="6"/>
  <c r="IM9" i="6"/>
  <c r="FZ9" i="6"/>
  <c r="FM9" i="6"/>
  <c r="CD9" i="6"/>
  <c r="IA9" i="6"/>
  <c r="CE9" i="6"/>
  <c r="FO9" i="6"/>
  <c r="R9" i="6"/>
  <c r="DX9" i="6"/>
  <c r="FP9" i="6"/>
  <c r="S9" i="6"/>
  <c r="EU9" i="6"/>
  <c r="GM9" i="6"/>
  <c r="CH9" i="6"/>
  <c r="GN9" i="6"/>
  <c r="AQ9" i="6"/>
  <c r="FS9" i="6"/>
  <c r="W9" i="6"/>
  <c r="HL9" i="6"/>
  <c r="JZ9" i="6"/>
  <c r="EY9" i="6"/>
  <c r="KA9" i="6"/>
  <c r="DH9" i="6"/>
  <c r="KB9" i="6"/>
  <c r="CL9" i="6"/>
  <c r="HO9" i="6"/>
  <c r="BR9" i="6"/>
  <c r="IL9" i="6"/>
  <c r="CO9" i="6"/>
  <c r="JI9" i="6"/>
  <c r="CP9" i="6"/>
  <c r="HR9" i="6"/>
  <c r="Q9" i="6"/>
  <c r="T109" i="18"/>
  <c r="T35" i="18"/>
  <c r="N42" i="2"/>
  <c r="N44" i="2"/>
  <c r="N40" i="2" l="1"/>
  <c r="N47" i="2"/>
  <c r="N46" i="2" s="1"/>
  <c r="H134" i="18"/>
  <c r="H135" i="18" s="1"/>
  <c r="H127" i="18"/>
  <c r="K2" i="2" l="1"/>
  <c r="K3" i="2" s="1"/>
  <c r="K4" i="2" s="1"/>
  <c r="T66" i="2"/>
  <c r="U66" i="2" l="1"/>
  <c r="V66" i="2"/>
  <c r="T94" i="18" l="1"/>
  <c r="W110" i="18"/>
  <c r="W62" i="18"/>
  <c r="T62" i="18" s="1"/>
  <c r="W36" i="18"/>
  <c r="T110" i="18" l="1"/>
  <c r="T36" i="18"/>
  <c r="T67" i="2"/>
  <c r="N53" i="2" l="1"/>
  <c r="W63" i="18" l="1"/>
  <c r="T63" i="18" s="1"/>
  <c r="T95" i="18"/>
  <c r="W111" i="18"/>
  <c r="W37" i="18"/>
  <c r="T97" i="18"/>
  <c r="T65" i="18"/>
  <c r="W64" i="18"/>
  <c r="T64" i="18" s="1"/>
  <c r="T96" i="18"/>
  <c r="W38" i="18"/>
  <c r="W112" i="18"/>
  <c r="U67" i="2"/>
  <c r="V67" i="2"/>
  <c r="H11" i="6" l="1"/>
  <c r="AO11" i="6"/>
  <c r="GX11" i="6"/>
  <c r="AQ11" i="6"/>
  <c r="IR11" i="6"/>
  <c r="GR11" i="6"/>
  <c r="FP11" i="6"/>
  <c r="CW11" i="6"/>
  <c r="DR11" i="6"/>
  <c r="JF11" i="6"/>
  <c r="BN11" i="6"/>
  <c r="DG11" i="6"/>
  <c r="V11" i="6"/>
  <c r="AA11" i="6"/>
  <c r="GN11" i="6"/>
  <c r="O11" i="6"/>
  <c r="AI11" i="6"/>
  <c r="FN11" i="6"/>
  <c r="N11" i="6"/>
  <c r="EG11" i="6"/>
  <c r="JC11" i="6"/>
  <c r="DT11" i="6"/>
  <c r="CF11" i="6"/>
  <c r="HJ11" i="6"/>
  <c r="BI11" i="6"/>
  <c r="ER11" i="6"/>
  <c r="BV11" i="6"/>
  <c r="HO11" i="6"/>
  <c r="BP11" i="6"/>
  <c r="AR11" i="6"/>
  <c r="HH11" i="6"/>
  <c r="BZ11" i="6"/>
  <c r="JM11" i="6"/>
  <c r="GV11" i="6"/>
  <c r="AC11" i="6"/>
  <c r="JW11" i="6"/>
  <c r="HT11" i="6"/>
  <c r="JY11" i="6"/>
  <c r="IS11" i="6"/>
  <c r="BR11" i="6"/>
  <c r="FQ11" i="6"/>
  <c r="GG11" i="6"/>
  <c r="EN11" i="6"/>
  <c r="FA11" i="6"/>
  <c r="JZ11" i="6"/>
  <c r="KA11" i="6"/>
  <c r="Y11" i="6"/>
  <c r="KE11" i="6"/>
  <c r="X11" i="6"/>
  <c r="Q11" i="6"/>
  <c r="FC11" i="6"/>
  <c r="JP11" i="6"/>
  <c r="DY11" i="6"/>
  <c r="IX11" i="6"/>
  <c r="HF11" i="6"/>
  <c r="GO11" i="6"/>
  <c r="ES11" i="6"/>
  <c r="JU11" i="6"/>
  <c r="AB11" i="6"/>
  <c r="IE11" i="6"/>
  <c r="CG11" i="6"/>
  <c r="BO11" i="6"/>
  <c r="BQ11" i="6"/>
  <c r="EA11" i="6"/>
  <c r="BY11" i="6"/>
  <c r="FT11" i="6"/>
  <c r="EK11" i="6"/>
  <c r="FM11" i="6"/>
  <c r="BK11" i="6"/>
  <c r="HZ11" i="6"/>
  <c r="EE11" i="6"/>
  <c r="FI11" i="6"/>
  <c r="DD11" i="6"/>
  <c r="DC11" i="6"/>
  <c r="GB11" i="6"/>
  <c r="CV11" i="6"/>
  <c r="AY11" i="6"/>
  <c r="GM11" i="6"/>
  <c r="IP11" i="6"/>
  <c r="HL11" i="6"/>
  <c r="CA11" i="6"/>
  <c r="Z11" i="6"/>
  <c r="EV11" i="6"/>
  <c r="HD11" i="6"/>
  <c r="FJ11" i="6"/>
  <c r="CN11" i="6"/>
  <c r="JE11" i="6"/>
  <c r="HM11" i="6"/>
  <c r="KC11" i="6"/>
  <c r="JH11" i="6"/>
  <c r="FY11" i="6"/>
  <c r="J11" i="6"/>
  <c r="DU11" i="6"/>
  <c r="DK11" i="6"/>
  <c r="AX11" i="6"/>
  <c r="BT11" i="6"/>
  <c r="BD11" i="6"/>
  <c r="AJ11" i="6"/>
  <c r="EP11" i="6"/>
  <c r="JK11" i="6"/>
  <c r="EQ11" i="6"/>
  <c r="AH11" i="6"/>
  <c r="AK11" i="6"/>
  <c r="CS11" i="6"/>
  <c r="IW11" i="6"/>
  <c r="GZ11" i="6"/>
  <c r="GJ11" i="6"/>
  <c r="IC11" i="6"/>
  <c r="FU11" i="6"/>
  <c r="DQ11" i="6"/>
  <c r="GL11" i="6"/>
  <c r="BH11" i="6"/>
  <c r="EU11" i="6"/>
  <c r="BE11" i="6"/>
  <c r="FR11" i="6"/>
  <c r="FF11" i="6"/>
  <c r="HN11" i="6"/>
  <c r="CL11" i="6"/>
  <c r="BU11" i="6"/>
  <c r="U11" i="6"/>
  <c r="JL11" i="6"/>
  <c r="CK11" i="6"/>
  <c r="IU11" i="6"/>
  <c r="AW11" i="6"/>
  <c r="FS11" i="6"/>
  <c r="BG11" i="6"/>
  <c r="GF11" i="6"/>
  <c r="HP11" i="6"/>
  <c r="FV11" i="6"/>
  <c r="GS11" i="6"/>
  <c r="HY11" i="6"/>
  <c r="IN11" i="6"/>
  <c r="IA11" i="6"/>
  <c r="BB11" i="6"/>
  <c r="EF11" i="6"/>
  <c r="JX11" i="6"/>
  <c r="BJ11" i="6"/>
  <c r="EL11" i="6"/>
  <c r="GI11" i="6"/>
  <c r="BC11" i="6"/>
  <c r="FK11" i="6"/>
  <c r="CI11" i="6"/>
  <c r="FG11" i="6"/>
  <c r="DN11" i="6"/>
  <c r="AL11" i="6"/>
  <c r="AV11" i="6"/>
  <c r="JB11" i="6"/>
  <c r="CE11" i="6"/>
  <c r="CQ11" i="6"/>
  <c r="W11" i="6"/>
  <c r="IQ11" i="6"/>
  <c r="ED11" i="6"/>
  <c r="FL11" i="6"/>
  <c r="DM11" i="6"/>
  <c r="EB11" i="6"/>
  <c r="CZ11" i="6"/>
  <c r="HX11" i="6"/>
  <c r="BS11" i="6"/>
  <c r="DI11" i="6"/>
  <c r="DJ11" i="6"/>
  <c r="GT11" i="6"/>
  <c r="EH11" i="6"/>
  <c r="ID11" i="6"/>
  <c r="AF11" i="6"/>
  <c r="JG11" i="6"/>
  <c r="BX11" i="6"/>
  <c r="AP11" i="6"/>
  <c r="AD11" i="6"/>
  <c r="AT11" i="6"/>
  <c r="FH11" i="6"/>
  <c r="IT11" i="6"/>
  <c r="IM11" i="6"/>
  <c r="CU11" i="6"/>
  <c r="BM11" i="6"/>
  <c r="GC11" i="6"/>
  <c r="CJ11" i="6"/>
  <c r="GK11" i="6"/>
  <c r="DE11" i="6"/>
  <c r="HK11" i="6"/>
  <c r="DL11" i="6"/>
  <c r="IH11" i="6"/>
  <c r="HV11" i="6"/>
  <c r="AU11" i="6"/>
  <c r="IV11" i="6"/>
  <c r="JJ11" i="6"/>
  <c r="EC11" i="6"/>
  <c r="DA11" i="6"/>
  <c r="FB11" i="6"/>
  <c r="GH11" i="6"/>
  <c r="GU11" i="6"/>
  <c r="DX11" i="6"/>
  <c r="HE11" i="6"/>
  <c r="IL11" i="6"/>
  <c r="AN11" i="6"/>
  <c r="FZ11" i="6"/>
  <c r="BA11" i="6"/>
  <c r="DF11" i="6"/>
  <c r="AM11" i="6"/>
  <c r="T11" i="6"/>
  <c r="HI11" i="6"/>
  <c r="KB11" i="6"/>
  <c r="DB11" i="6"/>
  <c r="L11" i="6"/>
  <c r="AG11" i="6"/>
  <c r="EJ11" i="6"/>
  <c r="AS11" i="6"/>
  <c r="R11" i="6"/>
  <c r="EI11" i="6"/>
  <c r="II11" i="6"/>
  <c r="JN11" i="6"/>
  <c r="IK11" i="6"/>
  <c r="CY11" i="6"/>
  <c r="FD11" i="6"/>
  <c r="M11" i="6"/>
  <c r="CD11" i="6"/>
  <c r="GW11" i="6"/>
  <c r="IB11" i="6"/>
  <c r="DP11" i="6"/>
  <c r="JR11" i="6"/>
  <c r="G11" i="6"/>
  <c r="JS11" i="6"/>
  <c r="DH11" i="6"/>
  <c r="HG11" i="6"/>
  <c r="CH11" i="6"/>
  <c r="CR11" i="6"/>
  <c r="FX11" i="6"/>
  <c r="JA11" i="6"/>
  <c r="GY11" i="6"/>
  <c r="GE11" i="6"/>
  <c r="BL11" i="6"/>
  <c r="EX11" i="6"/>
  <c r="FE11" i="6"/>
  <c r="EZ11" i="6"/>
  <c r="JO11" i="6"/>
  <c r="IJ11" i="6"/>
  <c r="DZ11" i="6"/>
  <c r="EO11" i="6"/>
  <c r="DS11" i="6"/>
  <c r="CB11" i="6"/>
  <c r="IY11" i="6"/>
  <c r="BW11" i="6"/>
  <c r="GD11" i="6"/>
  <c r="AZ11" i="6"/>
  <c r="HR11" i="6"/>
  <c r="DW11" i="6"/>
  <c r="GP11" i="6"/>
  <c r="CO11" i="6"/>
  <c r="JD11" i="6"/>
  <c r="HU11" i="6"/>
  <c r="HQ11" i="6"/>
  <c r="GA11" i="6"/>
  <c r="CM11" i="6"/>
  <c r="P11" i="6"/>
  <c r="EW11" i="6"/>
  <c r="JI11" i="6"/>
  <c r="EY11" i="6"/>
  <c r="K11" i="6"/>
  <c r="FW11" i="6"/>
  <c r="AE11" i="6"/>
  <c r="IF11" i="6"/>
  <c r="HB11" i="6"/>
  <c r="HC11" i="6"/>
  <c r="JV11" i="6"/>
  <c r="CC11" i="6"/>
  <c r="CP11" i="6"/>
  <c r="DV11" i="6"/>
  <c r="HA11" i="6"/>
  <c r="HS11" i="6"/>
  <c r="KD11" i="6"/>
  <c r="JQ11" i="6"/>
  <c r="I11" i="6"/>
  <c r="JT11" i="6"/>
  <c r="CT11" i="6"/>
  <c r="IO11" i="6"/>
  <c r="BF11" i="6"/>
  <c r="IZ11" i="6"/>
  <c r="HW11" i="6"/>
  <c r="S11" i="6"/>
  <c r="DO11" i="6"/>
  <c r="CX11" i="6"/>
  <c r="FO11" i="6"/>
  <c r="IG11" i="6"/>
  <c r="EM11" i="6"/>
  <c r="GQ11" i="6"/>
  <c r="ET11" i="6"/>
  <c r="T38" i="18"/>
  <c r="T112" i="18"/>
  <c r="T39" i="18"/>
  <c r="T113" i="18"/>
  <c r="T37" i="18"/>
  <c r="T111" i="18"/>
  <c r="N55" i="2"/>
  <c r="N54" i="2"/>
  <c r="N52" i="2" l="1"/>
  <c r="F9" i="6"/>
  <c r="D9" i="6" l="1"/>
  <c r="F10" i="6"/>
  <c r="G10" i="6" s="1"/>
  <c r="H10" i="6" s="1"/>
  <c r="I10" i="6" l="1"/>
  <c r="F9" i="2"/>
  <c r="J10" i="6" l="1"/>
  <c r="H118" i="18"/>
  <c r="H119" i="18" l="1"/>
  <c r="H120" i="18" s="1"/>
  <c r="HV5" i="6" s="1"/>
  <c r="DR5" i="6"/>
  <c r="P5" i="6"/>
  <c r="EL5" i="6"/>
  <c r="FW5" i="6"/>
  <c r="BK5" i="6"/>
  <c r="KE5" i="6"/>
  <c r="EE5" i="6"/>
  <c r="GD5" i="6"/>
  <c r="DK5" i="6"/>
  <c r="CL5" i="6"/>
  <c r="IX5" i="6"/>
  <c r="EO5" i="6"/>
  <c r="FF5" i="6"/>
  <c r="T5" i="6"/>
  <c r="ED5" i="6"/>
  <c r="GZ5" i="6"/>
  <c r="FN5" i="6"/>
  <c r="AP5" i="6"/>
  <c r="FL5" i="6"/>
  <c r="GO5" i="6"/>
  <c r="IM5" i="6"/>
  <c r="CA5" i="6"/>
  <c r="DW5" i="6"/>
  <c r="JX5" i="6"/>
  <c r="BG5" i="6"/>
  <c r="FS5" i="6"/>
  <c r="ES5" i="6"/>
  <c r="IO5" i="6"/>
  <c r="FD5" i="6"/>
  <c r="BI5" i="6"/>
  <c r="HU5" i="6"/>
  <c r="AY5" i="6"/>
  <c r="FP5" i="6"/>
  <c r="CX5" i="6"/>
  <c r="DO5" i="6"/>
  <c r="FC5" i="6"/>
  <c r="HS5" i="6"/>
  <c r="IF5" i="6"/>
  <c r="HE5" i="6"/>
  <c r="GG5" i="6"/>
  <c r="JZ5" i="6"/>
  <c r="GV5" i="6"/>
  <c r="GW5" i="6"/>
  <c r="EQ5" i="6"/>
  <c r="V5" i="6"/>
  <c r="CT5" i="6"/>
  <c r="AZ5" i="6"/>
  <c r="N5" i="6"/>
  <c r="BW5" i="6"/>
  <c r="EH5" i="6"/>
  <c r="IN5" i="6"/>
  <c r="JJ5" i="6"/>
  <c r="FG5" i="6"/>
  <c r="AS5" i="6"/>
  <c r="HO5" i="6"/>
  <c r="BL5" i="6"/>
  <c r="Y5" i="6"/>
  <c r="JG5" i="6"/>
  <c r="IE5" i="6"/>
  <c r="FM5" i="6"/>
  <c r="DH5" i="6"/>
  <c r="JC5" i="6"/>
  <c r="CW5" i="6"/>
  <c r="AA5" i="6"/>
  <c r="HL5" i="6"/>
  <c r="BD5" i="6"/>
  <c r="FO5" i="6"/>
  <c r="GH5" i="6"/>
  <c r="AV5" i="6"/>
  <c r="CB5" i="6"/>
  <c r="JB5" i="6"/>
  <c r="JO5" i="6"/>
  <c r="DQ5" i="6"/>
  <c r="HQ5" i="6"/>
  <c r="JV5" i="6"/>
  <c r="EB5" i="6"/>
  <c r="FB5" i="6"/>
  <c r="DT5" i="6"/>
  <c r="HM5" i="6"/>
  <c r="EZ5" i="6"/>
  <c r="M5" i="6"/>
  <c r="FK5" i="6"/>
  <c r="CR5" i="6"/>
  <c r="I5" i="6"/>
  <c r="JD5" i="6"/>
  <c r="GU5" i="6"/>
  <c r="AH5" i="6"/>
  <c r="BY5" i="6"/>
  <c r="EX5" i="6"/>
  <c r="JI5" i="6"/>
  <c r="CQ5" i="6"/>
  <c r="FV5" i="6"/>
  <c r="CM5" i="6"/>
  <c r="EM5" i="6"/>
  <c r="CI5" i="6"/>
  <c r="GE5" i="6"/>
  <c r="JW5" i="6"/>
  <c r="DN5" i="6"/>
  <c r="JF5" i="6"/>
  <c r="AG5" i="6"/>
  <c r="KC5" i="6"/>
  <c r="BX5" i="6"/>
  <c r="BE5" i="6"/>
  <c r="CE5" i="6"/>
  <c r="FH5" i="6"/>
  <c r="DY5" i="6"/>
  <c r="JU5" i="6"/>
  <c r="DZ5" i="6"/>
  <c r="AF5" i="6"/>
  <c r="Z5" i="6"/>
  <c r="H5" i="6"/>
  <c r="CO5" i="6"/>
  <c r="DL5" i="6"/>
  <c r="DA5" i="6"/>
  <c r="EF5" i="6"/>
  <c r="K10" i="6"/>
  <c r="F3" i="6"/>
  <c r="L5" i="6" l="1"/>
  <c r="GP5" i="6"/>
  <c r="HZ5" i="6"/>
  <c r="EJ5" i="6"/>
  <c r="CJ5" i="6"/>
  <c r="JP5" i="6"/>
  <c r="DB5" i="6"/>
  <c r="EV5" i="6"/>
  <c r="DX5" i="6"/>
  <c r="BN5" i="6"/>
  <c r="HY5" i="6"/>
  <c r="DJ5" i="6"/>
  <c r="CU5" i="6"/>
  <c r="FE5" i="6"/>
  <c r="DU5" i="6"/>
  <c r="BB5" i="6"/>
  <c r="EC5" i="6"/>
  <c r="JN5" i="6"/>
  <c r="AI5" i="6"/>
  <c r="BV5" i="6"/>
  <c r="AE5" i="6"/>
  <c r="BC5" i="6"/>
  <c r="BU5" i="6"/>
  <c r="IA5" i="6"/>
  <c r="IT5" i="6"/>
  <c r="IB5" i="6"/>
  <c r="CC5" i="6"/>
  <c r="CH5" i="6"/>
  <c r="HH5" i="6"/>
  <c r="IV5" i="6"/>
  <c r="BS5" i="6"/>
  <c r="AJ5" i="6"/>
  <c r="GA5" i="6"/>
  <c r="BT5" i="6"/>
  <c r="AM5" i="6"/>
  <c r="FZ5" i="6"/>
  <c r="CS5" i="6"/>
  <c r="DE5" i="6"/>
  <c r="HP5" i="6"/>
  <c r="HD5" i="6"/>
  <c r="GS5" i="6"/>
  <c r="IL5" i="6"/>
  <c r="GB5" i="6"/>
  <c r="FU5" i="6"/>
  <c r="CF5" i="6"/>
  <c r="FQ5" i="6"/>
  <c r="CN5" i="6"/>
  <c r="X5" i="6"/>
  <c r="HR5" i="6"/>
  <c r="FX5" i="6"/>
  <c r="HA5" i="6"/>
  <c r="AQ5" i="6"/>
  <c r="FJ5" i="6"/>
  <c r="FI5" i="6"/>
  <c r="AC5" i="6"/>
  <c r="BH5" i="6"/>
  <c r="IQ5" i="6"/>
  <c r="FA5" i="6"/>
  <c r="DC5" i="6"/>
  <c r="HN5" i="6"/>
  <c r="CD5" i="6"/>
  <c r="EN5" i="6"/>
  <c r="AX5" i="6"/>
  <c r="GL5" i="6"/>
  <c r="CK5" i="6"/>
  <c r="AN5" i="6"/>
  <c r="JA5" i="6"/>
  <c r="BA5" i="6"/>
  <c r="O5" i="6"/>
  <c r="S5" i="6"/>
  <c r="EG5" i="6"/>
  <c r="KD5" i="6"/>
  <c r="EU5" i="6"/>
  <c r="IP5" i="6"/>
  <c r="KA5" i="6"/>
  <c r="K5" i="6"/>
  <c r="BZ5" i="6"/>
  <c r="HG5" i="6"/>
  <c r="GQ5" i="6"/>
  <c r="IG5" i="6"/>
  <c r="J5" i="6"/>
  <c r="IU5" i="6"/>
  <c r="FY5" i="6"/>
  <c r="HT5" i="6"/>
  <c r="KB5" i="6"/>
  <c r="JE5" i="6"/>
  <c r="ET5" i="6"/>
  <c r="FR5" i="6"/>
  <c r="EK5" i="6"/>
  <c r="CP5" i="6"/>
  <c r="IZ5" i="6"/>
  <c r="GX5" i="6"/>
  <c r="AB5" i="6"/>
  <c r="Q5" i="6"/>
  <c r="AT5" i="6"/>
  <c r="FT5" i="6"/>
  <c r="II5" i="6"/>
  <c r="AR5" i="6"/>
  <c r="AL5" i="6"/>
  <c r="IC5" i="6"/>
  <c r="BR5" i="6"/>
  <c r="EA5" i="6"/>
  <c r="AK5" i="6"/>
  <c r="HB5" i="6"/>
  <c r="IW5" i="6"/>
  <c r="CY5" i="6"/>
  <c r="JR5" i="6"/>
  <c r="EP5" i="6"/>
  <c r="BM5" i="6"/>
  <c r="W5" i="6"/>
  <c r="AO5" i="6"/>
  <c r="HW5" i="6"/>
  <c r="GJ5" i="6"/>
  <c r="DF5" i="6"/>
  <c r="DM5" i="6"/>
  <c r="DV5" i="6"/>
  <c r="BQ5" i="6"/>
  <c r="CG5" i="6"/>
  <c r="AU5" i="6"/>
  <c r="DP5" i="6"/>
  <c r="GK5" i="6"/>
  <c r="HX5" i="6"/>
  <c r="JK5" i="6"/>
  <c r="JH5" i="6"/>
  <c r="IR5" i="6"/>
  <c r="CV5" i="6"/>
  <c r="DS5" i="6"/>
  <c r="JT5" i="6"/>
  <c r="IK5" i="6"/>
  <c r="GT5" i="6"/>
  <c r="BJ5" i="6"/>
  <c r="ER5" i="6"/>
  <c r="DD5" i="6"/>
  <c r="G5" i="6"/>
  <c r="CZ5" i="6"/>
  <c r="DG5" i="6"/>
  <c r="GF5" i="6"/>
  <c r="ID5" i="6"/>
  <c r="AW5" i="6"/>
  <c r="GC5" i="6"/>
  <c r="AD5" i="6"/>
  <c r="GN5" i="6"/>
  <c r="IS5" i="6"/>
  <c r="HI5" i="6"/>
  <c r="HK5" i="6"/>
  <c r="EY5" i="6"/>
  <c r="EI5" i="6"/>
  <c r="IH5" i="6"/>
  <c r="IY5" i="6"/>
  <c r="JY5" i="6"/>
  <c r="R5" i="6"/>
  <c r="JL5" i="6"/>
  <c r="GR5" i="6"/>
  <c r="DI5" i="6"/>
  <c r="U5" i="6"/>
  <c r="JQ5" i="6"/>
  <c r="BP5" i="6"/>
  <c r="HJ5" i="6"/>
  <c r="JS5" i="6"/>
  <c r="IJ5" i="6"/>
  <c r="GY5" i="6"/>
  <c r="HC5" i="6"/>
  <c r="GM5" i="6"/>
  <c r="JM5" i="6"/>
  <c r="BO5" i="6"/>
  <c r="GI5" i="6"/>
  <c r="HF5" i="6"/>
  <c r="BF5" i="6"/>
  <c r="EW5" i="6"/>
  <c r="L10" i="6"/>
  <c r="F5" i="6"/>
  <c r="F6" i="6" s="1"/>
  <c r="D3" i="6"/>
  <c r="F4" i="6"/>
  <c r="G4" i="6" s="1"/>
  <c r="H4" i="6" s="1"/>
  <c r="G6" i="6" l="1"/>
  <c r="H6" i="6" s="1"/>
  <c r="I6" i="6" s="1"/>
  <c r="J6" i="6" s="1"/>
  <c r="K6" i="6" s="1"/>
  <c r="L6" i="6" s="1"/>
  <c r="M6" i="6" s="1"/>
  <c r="N6" i="6" s="1"/>
  <c r="O6" i="6" s="1"/>
  <c r="P6" i="6" s="1"/>
  <c r="Q6" i="6" s="1"/>
  <c r="R6" i="6" s="1"/>
  <c r="S6" i="6" s="1"/>
  <c r="T6" i="6" s="1"/>
  <c r="U6" i="6" s="1"/>
  <c r="V6" i="6" s="1"/>
  <c r="W6" i="6" s="1"/>
  <c r="X6" i="6" s="1"/>
  <c r="Y6" i="6" s="1"/>
  <c r="Z6" i="6" s="1"/>
  <c r="AA6" i="6" s="1"/>
  <c r="AB6" i="6" s="1"/>
  <c r="AC6" i="6" s="1"/>
  <c r="AD6" i="6" s="1"/>
  <c r="AE6" i="6" s="1"/>
  <c r="AF6" i="6" s="1"/>
  <c r="AG6" i="6" s="1"/>
  <c r="AH6" i="6" s="1"/>
  <c r="AI6" i="6" s="1"/>
  <c r="AJ6" i="6" s="1"/>
  <c r="AK6" i="6" s="1"/>
  <c r="AL6" i="6" s="1"/>
  <c r="AM6" i="6" s="1"/>
  <c r="AN6" i="6" s="1"/>
  <c r="AO6" i="6" s="1"/>
  <c r="AP6" i="6" s="1"/>
  <c r="AQ6" i="6" s="1"/>
  <c r="AR6" i="6" s="1"/>
  <c r="AS6" i="6" s="1"/>
  <c r="AT6" i="6" s="1"/>
  <c r="AU6" i="6" s="1"/>
  <c r="AV6" i="6" s="1"/>
  <c r="AW6" i="6" s="1"/>
  <c r="AX6" i="6" s="1"/>
  <c r="AY6" i="6" s="1"/>
  <c r="AZ6" i="6" s="1"/>
  <c r="BA6" i="6" s="1"/>
  <c r="BB6" i="6" s="1"/>
  <c r="BC6" i="6" s="1"/>
  <c r="BD6" i="6" s="1"/>
  <c r="BE6" i="6" s="1"/>
  <c r="BF6" i="6" s="1"/>
  <c r="BG6" i="6" s="1"/>
  <c r="BH6" i="6" s="1"/>
  <c r="BI6" i="6" s="1"/>
  <c r="BJ6" i="6" s="1"/>
  <c r="BK6" i="6" s="1"/>
  <c r="BL6" i="6" s="1"/>
  <c r="BM6" i="6" s="1"/>
  <c r="BN6" i="6" s="1"/>
  <c r="BO6" i="6" s="1"/>
  <c r="BP6" i="6" s="1"/>
  <c r="BQ6" i="6" s="1"/>
  <c r="BR6" i="6" s="1"/>
  <c r="BS6" i="6" s="1"/>
  <c r="BT6" i="6" s="1"/>
  <c r="BU6" i="6" s="1"/>
  <c r="BV6" i="6" s="1"/>
  <c r="BW6" i="6" s="1"/>
  <c r="BX6" i="6" s="1"/>
  <c r="BY6" i="6" s="1"/>
  <c r="BZ6" i="6" s="1"/>
  <c r="CA6" i="6" s="1"/>
  <c r="CB6" i="6" s="1"/>
  <c r="CC6" i="6" s="1"/>
  <c r="CD6" i="6" s="1"/>
  <c r="CE6" i="6" s="1"/>
  <c r="CF6" i="6" s="1"/>
  <c r="CG6" i="6" s="1"/>
  <c r="CH6" i="6" s="1"/>
  <c r="CI6" i="6" s="1"/>
  <c r="CJ6" i="6" s="1"/>
  <c r="CK6" i="6" s="1"/>
  <c r="CL6" i="6" s="1"/>
  <c r="CM6" i="6" s="1"/>
  <c r="CN6" i="6" s="1"/>
  <c r="CO6" i="6" s="1"/>
  <c r="CP6" i="6" s="1"/>
  <c r="CQ6" i="6" s="1"/>
  <c r="CR6" i="6" s="1"/>
  <c r="CS6" i="6" s="1"/>
  <c r="CT6" i="6" s="1"/>
  <c r="CU6" i="6" s="1"/>
  <c r="CV6" i="6" s="1"/>
  <c r="CW6" i="6" s="1"/>
  <c r="CX6" i="6" s="1"/>
  <c r="CY6" i="6" s="1"/>
  <c r="CZ6" i="6" s="1"/>
  <c r="DA6" i="6" s="1"/>
  <c r="DB6" i="6" s="1"/>
  <c r="DC6" i="6" s="1"/>
  <c r="DD6" i="6" s="1"/>
  <c r="DE6" i="6" s="1"/>
  <c r="DF6" i="6" s="1"/>
  <c r="DG6" i="6" s="1"/>
  <c r="DH6" i="6" s="1"/>
  <c r="DI6" i="6" s="1"/>
  <c r="DJ6" i="6" s="1"/>
  <c r="DK6" i="6" s="1"/>
  <c r="DL6" i="6" s="1"/>
  <c r="DM6" i="6" s="1"/>
  <c r="DN6" i="6" s="1"/>
  <c r="DO6" i="6" s="1"/>
  <c r="DP6" i="6" s="1"/>
  <c r="DQ6" i="6" s="1"/>
  <c r="DR6" i="6" s="1"/>
  <c r="DS6" i="6" s="1"/>
  <c r="DT6" i="6" s="1"/>
  <c r="DU6" i="6" s="1"/>
  <c r="DV6" i="6" s="1"/>
  <c r="DW6" i="6" s="1"/>
  <c r="DX6" i="6" s="1"/>
  <c r="DY6" i="6" s="1"/>
  <c r="DZ6" i="6" s="1"/>
  <c r="EA6" i="6" s="1"/>
  <c r="EB6" i="6" s="1"/>
  <c r="EC6" i="6" s="1"/>
  <c r="ED6" i="6" s="1"/>
  <c r="EE6" i="6" s="1"/>
  <c r="EF6" i="6" s="1"/>
  <c r="EG6" i="6" s="1"/>
  <c r="EH6" i="6" s="1"/>
  <c r="EI6" i="6" s="1"/>
  <c r="EJ6" i="6" s="1"/>
  <c r="EK6" i="6" s="1"/>
  <c r="EL6" i="6" s="1"/>
  <c r="EM6" i="6" s="1"/>
  <c r="EN6" i="6" s="1"/>
  <c r="EO6" i="6" s="1"/>
  <c r="EP6" i="6" s="1"/>
  <c r="EQ6" i="6" s="1"/>
  <c r="ER6" i="6" s="1"/>
  <c r="ES6" i="6" s="1"/>
  <c r="ET6" i="6" s="1"/>
  <c r="EU6" i="6" s="1"/>
  <c r="EV6" i="6" s="1"/>
  <c r="EW6" i="6" s="1"/>
  <c r="EX6" i="6" s="1"/>
  <c r="EY6" i="6" s="1"/>
  <c r="EZ6" i="6" s="1"/>
  <c r="FA6" i="6" s="1"/>
  <c r="FB6" i="6" s="1"/>
  <c r="FC6" i="6" s="1"/>
  <c r="FD6" i="6" s="1"/>
  <c r="FE6" i="6" s="1"/>
  <c r="FF6" i="6" s="1"/>
  <c r="FG6" i="6" s="1"/>
  <c r="FH6" i="6" s="1"/>
  <c r="FI6" i="6" s="1"/>
  <c r="FJ6" i="6" s="1"/>
  <c r="FK6" i="6" s="1"/>
  <c r="FL6" i="6" s="1"/>
  <c r="FM6" i="6" s="1"/>
  <c r="FN6" i="6" s="1"/>
  <c r="FO6" i="6" s="1"/>
  <c r="FP6" i="6" s="1"/>
  <c r="FQ6" i="6" s="1"/>
  <c r="FR6" i="6" s="1"/>
  <c r="FS6" i="6" s="1"/>
  <c r="FT6" i="6" s="1"/>
  <c r="FU6" i="6" s="1"/>
  <c r="FV6" i="6" s="1"/>
  <c r="FW6" i="6" s="1"/>
  <c r="FX6" i="6" s="1"/>
  <c r="FY6" i="6" s="1"/>
  <c r="FZ6" i="6" s="1"/>
  <c r="GA6" i="6" s="1"/>
  <c r="GB6" i="6" s="1"/>
  <c r="GC6" i="6" s="1"/>
  <c r="GD6" i="6" s="1"/>
  <c r="GE6" i="6" s="1"/>
  <c r="GF6" i="6" s="1"/>
  <c r="GG6" i="6" s="1"/>
  <c r="GH6" i="6" s="1"/>
  <c r="GI6" i="6" s="1"/>
  <c r="GJ6" i="6" s="1"/>
  <c r="GK6" i="6" s="1"/>
  <c r="GL6" i="6" s="1"/>
  <c r="GM6" i="6" s="1"/>
  <c r="GN6" i="6" s="1"/>
  <c r="GO6" i="6" s="1"/>
  <c r="GP6" i="6" s="1"/>
  <c r="GQ6" i="6" s="1"/>
  <c r="GR6" i="6" s="1"/>
  <c r="GS6" i="6" s="1"/>
  <c r="GT6" i="6" s="1"/>
  <c r="GU6" i="6" s="1"/>
  <c r="GV6" i="6" s="1"/>
  <c r="GW6" i="6" s="1"/>
  <c r="GX6" i="6" s="1"/>
  <c r="GY6" i="6" s="1"/>
  <c r="GZ6" i="6" s="1"/>
  <c r="HA6" i="6" s="1"/>
  <c r="HB6" i="6" s="1"/>
  <c r="HC6" i="6" s="1"/>
  <c r="HD6" i="6" s="1"/>
  <c r="HE6" i="6" s="1"/>
  <c r="HF6" i="6" s="1"/>
  <c r="HG6" i="6" s="1"/>
  <c r="HH6" i="6" s="1"/>
  <c r="HI6" i="6" s="1"/>
  <c r="HJ6" i="6" s="1"/>
  <c r="HK6" i="6" s="1"/>
  <c r="HL6" i="6" s="1"/>
  <c r="HM6" i="6" s="1"/>
  <c r="HN6" i="6" s="1"/>
  <c r="HO6" i="6" s="1"/>
  <c r="HP6" i="6" s="1"/>
  <c r="HQ6" i="6" s="1"/>
  <c r="HR6" i="6" s="1"/>
  <c r="HS6" i="6" s="1"/>
  <c r="HT6" i="6" s="1"/>
  <c r="HU6" i="6" s="1"/>
  <c r="HV6" i="6" s="1"/>
  <c r="HW6" i="6" s="1"/>
  <c r="HX6" i="6" s="1"/>
  <c r="HY6" i="6" s="1"/>
  <c r="HZ6" i="6" s="1"/>
  <c r="IA6" i="6" s="1"/>
  <c r="IB6" i="6" s="1"/>
  <c r="IC6" i="6" s="1"/>
  <c r="ID6" i="6" s="1"/>
  <c r="IE6" i="6" s="1"/>
  <c r="IF6" i="6" s="1"/>
  <c r="IG6" i="6" s="1"/>
  <c r="IH6" i="6" s="1"/>
  <c r="II6" i="6" s="1"/>
  <c r="IJ6" i="6" s="1"/>
  <c r="IK6" i="6" s="1"/>
  <c r="IL6" i="6" s="1"/>
  <c r="IM6" i="6" s="1"/>
  <c r="IN6" i="6" s="1"/>
  <c r="IO6" i="6" s="1"/>
  <c r="IP6" i="6" s="1"/>
  <c r="IQ6" i="6" s="1"/>
  <c r="IR6" i="6" s="1"/>
  <c r="IS6" i="6" s="1"/>
  <c r="IT6" i="6" s="1"/>
  <c r="IU6" i="6" s="1"/>
  <c r="IV6" i="6" s="1"/>
  <c r="IW6" i="6" s="1"/>
  <c r="IX6" i="6" s="1"/>
  <c r="IY6" i="6" s="1"/>
  <c r="IZ6" i="6" s="1"/>
  <c r="JA6" i="6" s="1"/>
  <c r="JB6" i="6" s="1"/>
  <c r="JC6" i="6" s="1"/>
  <c r="JD6" i="6" s="1"/>
  <c r="JE6" i="6" s="1"/>
  <c r="JF6" i="6" s="1"/>
  <c r="JG6" i="6" s="1"/>
  <c r="JH6" i="6" s="1"/>
  <c r="JI6" i="6" s="1"/>
  <c r="JJ6" i="6" s="1"/>
  <c r="JK6" i="6" s="1"/>
  <c r="JL6" i="6" s="1"/>
  <c r="JM6" i="6" s="1"/>
  <c r="JN6" i="6" s="1"/>
  <c r="JO6" i="6" s="1"/>
  <c r="JP6" i="6" s="1"/>
  <c r="JQ6" i="6" s="1"/>
  <c r="JR6" i="6" s="1"/>
  <c r="JS6" i="6" s="1"/>
  <c r="JT6" i="6" s="1"/>
  <c r="JU6" i="6" s="1"/>
  <c r="JV6" i="6" s="1"/>
  <c r="JW6" i="6" s="1"/>
  <c r="JX6" i="6" s="1"/>
  <c r="JY6" i="6" s="1"/>
  <c r="JZ6" i="6" s="1"/>
  <c r="KA6" i="6" s="1"/>
  <c r="KB6" i="6" s="1"/>
  <c r="KC6" i="6" s="1"/>
  <c r="KD6" i="6" s="1"/>
  <c r="KE6" i="6" s="1"/>
  <c r="I4" i="6"/>
  <c r="M10" i="6"/>
  <c r="D5" i="6"/>
  <c r="F7" i="6"/>
  <c r="G7" i="6" l="1"/>
  <c r="H7" i="6"/>
  <c r="N10" i="6"/>
  <c r="J4" i="6"/>
  <c r="I7" i="6"/>
  <c r="M9" i="2"/>
  <c r="T68" i="2"/>
  <c r="N9" i="2"/>
  <c r="V68" i="2"/>
  <c r="U68" i="2"/>
  <c r="K4" i="6" l="1"/>
  <c r="J7" i="6"/>
  <c r="O10" i="6"/>
  <c r="T118" i="18"/>
  <c r="T121" i="18"/>
  <c r="T127" i="18"/>
  <c r="F11" i="6"/>
  <c r="F12" i="6" s="1"/>
  <c r="G12" i="6" s="1"/>
  <c r="H12" i="6" s="1"/>
  <c r="F17" i="6" l="1"/>
  <c r="F18" i="6" s="1"/>
  <c r="G17" i="6"/>
  <c r="V17" i="6"/>
  <c r="Z17" i="6"/>
  <c r="AY17" i="6"/>
  <c r="IL17" i="6"/>
  <c r="BU17" i="6"/>
  <c r="DJ17" i="6"/>
  <c r="CG17" i="6"/>
  <c r="FO17" i="6"/>
  <c r="BB17" i="6"/>
  <c r="HM17" i="6"/>
  <c r="II17" i="6"/>
  <c r="JH17" i="6"/>
  <c r="P17" i="6"/>
  <c r="IR17" i="6"/>
  <c r="JQ17" i="6"/>
  <c r="BQ17" i="6"/>
  <c r="CM17" i="6"/>
  <c r="GB17" i="6"/>
  <c r="AX17" i="6"/>
  <c r="AJ17" i="6"/>
  <c r="KC17" i="6"/>
  <c r="CY17" i="6"/>
  <c r="GA17" i="6"/>
  <c r="EK17" i="6"/>
  <c r="FW17" i="6"/>
  <c r="CK17" i="6"/>
  <c r="IF17" i="6"/>
  <c r="FC17" i="6"/>
  <c r="DA17" i="6"/>
  <c r="CI17" i="6"/>
  <c r="AM17" i="6"/>
  <c r="CP17" i="6"/>
  <c r="IH17" i="6"/>
  <c r="HU17" i="6"/>
  <c r="AS17" i="6"/>
  <c r="CW17" i="6"/>
  <c r="HE17" i="6"/>
  <c r="JE17" i="6"/>
  <c r="JK17" i="6"/>
  <c r="IB17" i="6"/>
  <c r="HF17" i="6"/>
  <c r="AE17" i="6"/>
  <c r="AR17" i="6"/>
  <c r="DQ17" i="6"/>
  <c r="BT17" i="6"/>
  <c r="FA17" i="6"/>
  <c r="FZ17" i="6"/>
  <c r="GE17" i="6"/>
  <c r="DO17" i="6"/>
  <c r="HL17" i="6"/>
  <c r="ID17" i="6"/>
  <c r="GO17" i="6"/>
  <c r="GJ17" i="6"/>
  <c r="KD17" i="6"/>
  <c r="DT17" i="6"/>
  <c r="DY17" i="6"/>
  <c r="CC17" i="6"/>
  <c r="EE17" i="6"/>
  <c r="IP17" i="6"/>
  <c r="HJ17" i="6"/>
  <c r="JF17" i="6"/>
  <c r="JM17" i="6"/>
  <c r="IM17" i="6"/>
  <c r="HV17" i="6"/>
  <c r="IV17" i="6"/>
  <c r="JT17" i="6"/>
  <c r="CR17" i="6"/>
  <c r="JJ17" i="6"/>
  <c r="JG17" i="6"/>
  <c r="GI17" i="6"/>
  <c r="EW17" i="6"/>
  <c r="T17" i="6"/>
  <c r="BY17" i="6"/>
  <c r="EJ17" i="6"/>
  <c r="GU17" i="6"/>
  <c r="JA17" i="6"/>
  <c r="DK17" i="6"/>
  <c r="I17" i="6"/>
  <c r="AO17" i="6"/>
  <c r="FH17" i="6"/>
  <c r="EG17" i="6"/>
  <c r="HB17" i="6"/>
  <c r="AL17" i="6"/>
  <c r="JS17" i="6"/>
  <c r="HO17" i="6"/>
  <c r="HH17" i="6"/>
  <c r="DZ17" i="6"/>
  <c r="HR17" i="6"/>
  <c r="HD17" i="6"/>
  <c r="HZ17" i="6"/>
  <c r="AD17" i="6"/>
  <c r="BX17" i="6"/>
  <c r="BA17" i="6"/>
  <c r="GW17" i="6"/>
  <c r="IQ17" i="6"/>
  <c r="BD17" i="6"/>
  <c r="DC17" i="6"/>
  <c r="K17" i="6"/>
  <c r="EC17" i="6"/>
  <c r="S17" i="6"/>
  <c r="EM17" i="6"/>
  <c r="FI17" i="6"/>
  <c r="GH17" i="6"/>
  <c r="Q17" i="6"/>
  <c r="JI17" i="6"/>
  <c r="JX17" i="6"/>
  <c r="ED17" i="6"/>
  <c r="GL17" i="6"/>
  <c r="KE17" i="6"/>
  <c r="AW17" i="6"/>
  <c r="L17" i="6"/>
  <c r="CZ17" i="6"/>
  <c r="EV17" i="6"/>
  <c r="BG17" i="6"/>
  <c r="AN17" i="6"/>
  <c r="EB17" i="6"/>
  <c r="ER17" i="6"/>
  <c r="EY17" i="6"/>
  <c r="FJ17" i="6"/>
  <c r="JZ17" i="6"/>
  <c r="CH17" i="6"/>
  <c r="GF17" i="6"/>
  <c r="AH17" i="6"/>
  <c r="DW17" i="6"/>
  <c r="AP17" i="6"/>
  <c r="IS17" i="6"/>
  <c r="IN17" i="6"/>
  <c r="DU17" i="6"/>
  <c r="DH17" i="6"/>
  <c r="GN17" i="6"/>
  <c r="IW17" i="6"/>
  <c r="DX17" i="6"/>
  <c r="GZ17" i="6"/>
  <c r="BF17" i="6"/>
  <c r="HT17" i="6"/>
  <c r="HI17" i="6"/>
  <c r="HS17" i="6"/>
  <c r="JY17" i="6"/>
  <c r="CB17" i="6"/>
  <c r="IC17" i="6"/>
  <c r="IO17" i="6"/>
  <c r="BS17" i="6"/>
  <c r="AF17" i="6"/>
  <c r="IJ17" i="6"/>
  <c r="BP17" i="6"/>
  <c r="IE17" i="6"/>
  <c r="IY17" i="6"/>
  <c r="IK17" i="6"/>
  <c r="BJ17" i="6"/>
  <c r="FR17" i="6"/>
  <c r="CT17" i="6"/>
  <c r="EA17" i="6"/>
  <c r="CQ17" i="6"/>
  <c r="DP17" i="6"/>
  <c r="IG17" i="6"/>
  <c r="GK17" i="6"/>
  <c r="BN17" i="6"/>
  <c r="IX17" i="6"/>
  <c r="AU17" i="6"/>
  <c r="GQ17" i="6"/>
  <c r="HG17" i="6"/>
  <c r="CS17" i="6"/>
  <c r="IA17" i="6"/>
  <c r="EF17" i="6"/>
  <c r="AA17" i="6"/>
  <c r="CF17" i="6"/>
  <c r="DL17" i="6"/>
  <c r="EQ17" i="6"/>
  <c r="AZ17" i="6"/>
  <c r="M17" i="6"/>
  <c r="FL17" i="6"/>
  <c r="FV17" i="6"/>
  <c r="IU17" i="6"/>
  <c r="BL17" i="6"/>
  <c r="JR17" i="6"/>
  <c r="CD17" i="6"/>
  <c r="DF17" i="6"/>
  <c r="ET17" i="6"/>
  <c r="KA17" i="6"/>
  <c r="EL17" i="6"/>
  <c r="BO17" i="6"/>
  <c r="X17" i="6"/>
  <c r="EI17" i="6"/>
  <c r="EN17" i="6"/>
  <c r="FK17" i="6"/>
  <c r="FP17" i="6"/>
  <c r="DM17" i="6"/>
  <c r="EU17" i="6"/>
  <c r="U17" i="6"/>
  <c r="GM17" i="6"/>
  <c r="CA17" i="6"/>
  <c r="EZ17" i="6"/>
  <c r="GC17" i="6"/>
  <c r="HW17" i="6"/>
  <c r="HP17" i="6"/>
  <c r="GG17" i="6"/>
  <c r="AT17" i="6"/>
  <c r="FY17" i="6"/>
  <c r="HY17" i="6"/>
  <c r="BV17" i="6"/>
  <c r="JP17" i="6"/>
  <c r="JN17" i="6"/>
  <c r="W17" i="6"/>
  <c r="DG17" i="6"/>
  <c r="GS17" i="6"/>
  <c r="JC17" i="6"/>
  <c r="JL17" i="6"/>
  <c r="AI17" i="6"/>
  <c r="HA17" i="6"/>
  <c r="FE17" i="6"/>
  <c r="CL17" i="6"/>
  <c r="FS17" i="6"/>
  <c r="GX17" i="6"/>
  <c r="FX17" i="6"/>
  <c r="GY17" i="6"/>
  <c r="BI17" i="6"/>
  <c r="O17" i="6"/>
  <c r="DB17" i="6"/>
  <c r="BE17" i="6"/>
  <c r="CO17" i="6"/>
  <c r="CE17" i="6"/>
  <c r="CV17" i="6"/>
  <c r="EX17" i="6"/>
  <c r="DS17" i="6"/>
  <c r="BW17" i="6"/>
  <c r="CJ17" i="6"/>
  <c r="KB17" i="6"/>
  <c r="JO17" i="6"/>
  <c r="DE17" i="6"/>
  <c r="GT17" i="6"/>
  <c r="CX17" i="6"/>
  <c r="FU17" i="6"/>
  <c r="BM17" i="6"/>
  <c r="HK17" i="6"/>
  <c r="FT17" i="6"/>
  <c r="FM17" i="6"/>
  <c r="JU17" i="6"/>
  <c r="BK17" i="6"/>
  <c r="H17" i="6"/>
  <c r="CU17" i="6"/>
  <c r="DN17" i="6"/>
  <c r="CN17" i="6"/>
  <c r="JW17" i="6"/>
  <c r="IZ17" i="6"/>
  <c r="AB17" i="6"/>
  <c r="HN17" i="6"/>
  <c r="N17" i="6"/>
  <c r="GR17" i="6"/>
  <c r="IT17" i="6"/>
  <c r="DR17" i="6"/>
  <c r="HX17" i="6"/>
  <c r="GD17" i="6"/>
  <c r="AQ17" i="6"/>
  <c r="AG17" i="6"/>
  <c r="FQ17" i="6"/>
  <c r="AV17" i="6"/>
  <c r="J17" i="6"/>
  <c r="R17" i="6"/>
  <c r="FD17" i="6"/>
  <c r="EH17" i="6"/>
  <c r="HQ17" i="6"/>
  <c r="GV17" i="6"/>
  <c r="FN17" i="6"/>
  <c r="AK17" i="6"/>
  <c r="AC17" i="6"/>
  <c r="DD17" i="6"/>
  <c r="BH17" i="6"/>
  <c r="DV17" i="6"/>
  <c r="FB17" i="6"/>
  <c r="GP17" i="6"/>
  <c r="BR17" i="6"/>
  <c r="BZ17" i="6"/>
  <c r="DI17" i="6"/>
  <c r="ES17" i="6"/>
  <c r="EO17" i="6"/>
  <c r="EP17" i="6"/>
  <c r="HC17" i="6"/>
  <c r="Y17" i="6"/>
  <c r="FF17" i="6"/>
  <c r="JV17" i="6"/>
  <c r="JB17" i="6"/>
  <c r="FG17" i="6"/>
  <c r="JD17" i="6"/>
  <c r="BC17" i="6"/>
  <c r="P10" i="6"/>
  <c r="I12" i="6"/>
  <c r="H14" i="6"/>
  <c r="L4" i="6"/>
  <c r="K7" i="6"/>
  <c r="G14" i="6"/>
  <c r="U3" i="5"/>
  <c r="T3" i="5"/>
  <c r="D11" i="6"/>
  <c r="F14" i="6"/>
  <c r="G18" i="6" l="1"/>
  <c r="H18" i="6" s="1"/>
  <c r="I18" i="6" s="1"/>
  <c r="J18" i="6" s="1"/>
  <c r="K18" i="6" s="1"/>
  <c r="L18" i="6" s="1"/>
  <c r="M18" i="6" s="1"/>
  <c r="N18" i="6" s="1"/>
  <c r="O18" i="6" s="1"/>
  <c r="P18" i="6" s="1"/>
  <c r="Q18" i="6" s="1"/>
  <c r="R18" i="6" s="1"/>
  <c r="S18" i="6" s="1"/>
  <c r="T18" i="6" s="1"/>
  <c r="U18" i="6" s="1"/>
  <c r="V18" i="6" s="1"/>
  <c r="W18" i="6" s="1"/>
  <c r="X18" i="6" s="1"/>
  <c r="Y18" i="6" s="1"/>
  <c r="Z18" i="6" s="1"/>
  <c r="AA18" i="6" s="1"/>
  <c r="AB18" i="6" s="1"/>
  <c r="AC18" i="6" s="1"/>
  <c r="AD18" i="6" s="1"/>
  <c r="AE18" i="6" s="1"/>
  <c r="AF18" i="6" s="1"/>
  <c r="AG18" i="6" s="1"/>
  <c r="AH18" i="6" s="1"/>
  <c r="AI18" i="6" s="1"/>
  <c r="AJ18" i="6" s="1"/>
  <c r="AK18" i="6" s="1"/>
  <c r="AL18" i="6" s="1"/>
  <c r="AM18" i="6" s="1"/>
  <c r="AN18" i="6" s="1"/>
  <c r="AO18" i="6" s="1"/>
  <c r="AP18" i="6" s="1"/>
  <c r="AQ18" i="6" s="1"/>
  <c r="AR18" i="6" s="1"/>
  <c r="AS18" i="6" s="1"/>
  <c r="AT18" i="6" s="1"/>
  <c r="AU18" i="6" s="1"/>
  <c r="AV18" i="6" s="1"/>
  <c r="AW18" i="6" s="1"/>
  <c r="AX18" i="6" s="1"/>
  <c r="AY18" i="6" s="1"/>
  <c r="AZ18" i="6" s="1"/>
  <c r="BA18" i="6" s="1"/>
  <c r="BB18" i="6" s="1"/>
  <c r="BC18" i="6" s="1"/>
  <c r="BD18" i="6" s="1"/>
  <c r="BE18" i="6" s="1"/>
  <c r="BF18" i="6" s="1"/>
  <c r="BG18" i="6" s="1"/>
  <c r="BH18" i="6" s="1"/>
  <c r="BI18" i="6" s="1"/>
  <c r="BJ18" i="6" s="1"/>
  <c r="BK18" i="6" s="1"/>
  <c r="BL18" i="6" s="1"/>
  <c r="BM18" i="6" s="1"/>
  <c r="BN18" i="6" s="1"/>
  <c r="BO18" i="6" s="1"/>
  <c r="BP18" i="6" s="1"/>
  <c r="BQ18" i="6" s="1"/>
  <c r="BR18" i="6" s="1"/>
  <c r="BS18" i="6" s="1"/>
  <c r="BT18" i="6" s="1"/>
  <c r="BU18" i="6" s="1"/>
  <c r="BV18" i="6" s="1"/>
  <c r="BW18" i="6" s="1"/>
  <c r="BX18" i="6" s="1"/>
  <c r="BY18" i="6" s="1"/>
  <c r="BZ18" i="6" s="1"/>
  <c r="CA18" i="6" s="1"/>
  <c r="CB18" i="6" s="1"/>
  <c r="CC18" i="6" s="1"/>
  <c r="CD18" i="6" s="1"/>
  <c r="CE18" i="6" s="1"/>
  <c r="CF18" i="6" s="1"/>
  <c r="CG18" i="6" s="1"/>
  <c r="CH18" i="6" s="1"/>
  <c r="CI18" i="6" s="1"/>
  <c r="CJ18" i="6" s="1"/>
  <c r="CK18" i="6" s="1"/>
  <c r="CL18" i="6" s="1"/>
  <c r="CM18" i="6" s="1"/>
  <c r="CN18" i="6" s="1"/>
  <c r="CO18" i="6" s="1"/>
  <c r="CP18" i="6" s="1"/>
  <c r="CQ18" i="6" s="1"/>
  <c r="CR18" i="6" s="1"/>
  <c r="CS18" i="6" s="1"/>
  <c r="CT18" i="6" s="1"/>
  <c r="CU18" i="6" s="1"/>
  <c r="CV18" i="6" s="1"/>
  <c r="CW18" i="6" s="1"/>
  <c r="CX18" i="6" s="1"/>
  <c r="CY18" i="6" s="1"/>
  <c r="CZ18" i="6" s="1"/>
  <c r="DA18" i="6" s="1"/>
  <c r="DB18" i="6" s="1"/>
  <c r="DC18" i="6" s="1"/>
  <c r="DD18" i="6" s="1"/>
  <c r="DE18" i="6" s="1"/>
  <c r="DF18" i="6" s="1"/>
  <c r="DG18" i="6" s="1"/>
  <c r="DH18" i="6" s="1"/>
  <c r="DI18" i="6" s="1"/>
  <c r="DJ18" i="6" s="1"/>
  <c r="DK18" i="6" s="1"/>
  <c r="DL18" i="6" s="1"/>
  <c r="DM18" i="6" s="1"/>
  <c r="DN18" i="6" s="1"/>
  <c r="DO18" i="6" s="1"/>
  <c r="DP18" i="6" s="1"/>
  <c r="DQ18" i="6" s="1"/>
  <c r="DR18" i="6" s="1"/>
  <c r="DS18" i="6" s="1"/>
  <c r="DT18" i="6" s="1"/>
  <c r="DU18" i="6" s="1"/>
  <c r="DV18" i="6" s="1"/>
  <c r="DW18" i="6" s="1"/>
  <c r="DX18" i="6" s="1"/>
  <c r="DY18" i="6" s="1"/>
  <c r="DZ18" i="6" s="1"/>
  <c r="EA18" i="6" s="1"/>
  <c r="EB18" i="6" s="1"/>
  <c r="EC18" i="6" s="1"/>
  <c r="ED18" i="6" s="1"/>
  <c r="EE18" i="6" s="1"/>
  <c r="EF18" i="6" s="1"/>
  <c r="EG18" i="6" s="1"/>
  <c r="EH18" i="6" s="1"/>
  <c r="EI18" i="6" s="1"/>
  <c r="EJ18" i="6" s="1"/>
  <c r="EK18" i="6" s="1"/>
  <c r="EL18" i="6" s="1"/>
  <c r="EM18" i="6" s="1"/>
  <c r="EN18" i="6" s="1"/>
  <c r="EO18" i="6" s="1"/>
  <c r="EP18" i="6" s="1"/>
  <c r="EQ18" i="6" s="1"/>
  <c r="ER18" i="6" s="1"/>
  <c r="ES18" i="6" s="1"/>
  <c r="ET18" i="6" s="1"/>
  <c r="EU18" i="6" s="1"/>
  <c r="EV18" i="6" s="1"/>
  <c r="EW18" i="6" s="1"/>
  <c r="EX18" i="6" s="1"/>
  <c r="EY18" i="6" s="1"/>
  <c r="EZ18" i="6" s="1"/>
  <c r="FA18" i="6" s="1"/>
  <c r="FB18" i="6" s="1"/>
  <c r="FC18" i="6" s="1"/>
  <c r="FD18" i="6" s="1"/>
  <c r="FE18" i="6" s="1"/>
  <c r="FF18" i="6" s="1"/>
  <c r="FG18" i="6" s="1"/>
  <c r="FH18" i="6" s="1"/>
  <c r="FI18" i="6" s="1"/>
  <c r="FJ18" i="6" s="1"/>
  <c r="FK18" i="6" s="1"/>
  <c r="FL18" i="6" s="1"/>
  <c r="FM18" i="6" s="1"/>
  <c r="FN18" i="6" s="1"/>
  <c r="FO18" i="6" s="1"/>
  <c r="FP18" i="6" s="1"/>
  <c r="FQ18" i="6" s="1"/>
  <c r="FR18" i="6" s="1"/>
  <c r="FS18" i="6" s="1"/>
  <c r="FT18" i="6" s="1"/>
  <c r="FU18" i="6" s="1"/>
  <c r="FV18" i="6" s="1"/>
  <c r="FW18" i="6" s="1"/>
  <c r="FX18" i="6" s="1"/>
  <c r="FY18" i="6" s="1"/>
  <c r="FZ18" i="6" s="1"/>
  <c r="GA18" i="6" s="1"/>
  <c r="GB18" i="6" s="1"/>
  <c r="GC18" i="6" s="1"/>
  <c r="GD18" i="6" s="1"/>
  <c r="GE18" i="6" s="1"/>
  <c r="GF18" i="6" s="1"/>
  <c r="GG18" i="6" s="1"/>
  <c r="GH18" i="6" s="1"/>
  <c r="GI18" i="6" s="1"/>
  <c r="GJ18" i="6" s="1"/>
  <c r="GK18" i="6" s="1"/>
  <c r="GL18" i="6" s="1"/>
  <c r="GM18" i="6" s="1"/>
  <c r="GN18" i="6" s="1"/>
  <c r="GO18" i="6" s="1"/>
  <c r="GP18" i="6" s="1"/>
  <c r="GQ18" i="6" s="1"/>
  <c r="GR18" i="6" s="1"/>
  <c r="GS18" i="6" s="1"/>
  <c r="GT18" i="6" s="1"/>
  <c r="GU18" i="6" s="1"/>
  <c r="GV18" i="6" s="1"/>
  <c r="GW18" i="6" s="1"/>
  <c r="GX18" i="6" s="1"/>
  <c r="GY18" i="6" s="1"/>
  <c r="GZ18" i="6" s="1"/>
  <c r="HA18" i="6" s="1"/>
  <c r="HB18" i="6" s="1"/>
  <c r="HC18" i="6" s="1"/>
  <c r="HD18" i="6" s="1"/>
  <c r="HE18" i="6" s="1"/>
  <c r="HF18" i="6" s="1"/>
  <c r="HG18" i="6" s="1"/>
  <c r="HH18" i="6" s="1"/>
  <c r="HI18" i="6" s="1"/>
  <c r="HJ18" i="6" s="1"/>
  <c r="HK18" i="6" s="1"/>
  <c r="HL18" i="6" s="1"/>
  <c r="HM18" i="6" s="1"/>
  <c r="HN18" i="6" s="1"/>
  <c r="HO18" i="6" s="1"/>
  <c r="HP18" i="6" s="1"/>
  <c r="HQ18" i="6" s="1"/>
  <c r="HR18" i="6" s="1"/>
  <c r="HS18" i="6" s="1"/>
  <c r="HT18" i="6" s="1"/>
  <c r="HU18" i="6" s="1"/>
  <c r="HV18" i="6" s="1"/>
  <c r="HW18" i="6" s="1"/>
  <c r="HX18" i="6" s="1"/>
  <c r="HY18" i="6" s="1"/>
  <c r="HZ18" i="6" s="1"/>
  <c r="IA18" i="6" s="1"/>
  <c r="IB18" i="6" s="1"/>
  <c r="IC18" i="6" s="1"/>
  <c r="ID18" i="6" s="1"/>
  <c r="IE18" i="6" s="1"/>
  <c r="IF18" i="6" s="1"/>
  <c r="IG18" i="6" s="1"/>
  <c r="IH18" i="6" s="1"/>
  <c r="II18" i="6" s="1"/>
  <c r="IJ18" i="6" s="1"/>
  <c r="IK18" i="6" s="1"/>
  <c r="IL18" i="6" s="1"/>
  <c r="IM18" i="6" s="1"/>
  <c r="IN18" i="6" s="1"/>
  <c r="IO18" i="6" s="1"/>
  <c r="IP18" i="6" s="1"/>
  <c r="IQ18" i="6" s="1"/>
  <c r="IR18" i="6" s="1"/>
  <c r="IS18" i="6" s="1"/>
  <c r="IT18" i="6" s="1"/>
  <c r="IU18" i="6" s="1"/>
  <c r="IV18" i="6" s="1"/>
  <c r="IW18" i="6" s="1"/>
  <c r="IX18" i="6" s="1"/>
  <c r="IY18" i="6" s="1"/>
  <c r="IZ18" i="6" s="1"/>
  <c r="JA18" i="6" s="1"/>
  <c r="JB18" i="6" s="1"/>
  <c r="JC18" i="6" s="1"/>
  <c r="JD18" i="6" s="1"/>
  <c r="JE18" i="6" s="1"/>
  <c r="JF18" i="6" s="1"/>
  <c r="JG18" i="6" s="1"/>
  <c r="JH18" i="6" s="1"/>
  <c r="JI18" i="6" s="1"/>
  <c r="JJ18" i="6" s="1"/>
  <c r="JK18" i="6" s="1"/>
  <c r="JL18" i="6" s="1"/>
  <c r="JM18" i="6" s="1"/>
  <c r="JN18" i="6" s="1"/>
  <c r="JO18" i="6" s="1"/>
  <c r="JP18" i="6" s="1"/>
  <c r="JQ18" i="6" s="1"/>
  <c r="JR18" i="6" s="1"/>
  <c r="JS18" i="6" s="1"/>
  <c r="JT18" i="6" s="1"/>
  <c r="JU18" i="6" s="1"/>
  <c r="JV18" i="6" s="1"/>
  <c r="JW18" i="6" s="1"/>
  <c r="JX18" i="6" s="1"/>
  <c r="JY18" i="6" s="1"/>
  <c r="JZ18" i="6" s="1"/>
  <c r="KA18" i="6" s="1"/>
  <c r="KB18" i="6" s="1"/>
  <c r="KC18" i="6" s="1"/>
  <c r="KD18" i="6" s="1"/>
  <c r="KE18" i="6" s="1"/>
  <c r="M4" i="6"/>
  <c r="L7" i="6"/>
  <c r="J12" i="6"/>
  <c r="I14" i="6"/>
  <c r="Q10" i="6"/>
  <c r="D17" i="6"/>
  <c r="R10" i="6" l="1"/>
  <c r="K12" i="6"/>
  <c r="J14" i="6"/>
  <c r="N4" i="6"/>
  <c r="M7" i="6"/>
  <c r="C17" i="6"/>
  <c r="D18" i="6"/>
  <c r="C18" i="6" s="1"/>
  <c r="O4" i="6" l="1"/>
  <c r="N7" i="6"/>
  <c r="L12" i="6"/>
  <c r="K14" i="6"/>
  <c r="S10" i="6"/>
  <c r="T10" i="6" l="1"/>
  <c r="M12" i="6"/>
  <c r="L14" i="6"/>
  <c r="O7" i="6"/>
  <c r="P4" i="6"/>
  <c r="P7" i="6" l="1"/>
  <c r="Q4" i="6"/>
  <c r="N12" i="6"/>
  <c r="M14" i="6"/>
  <c r="U10" i="6"/>
  <c r="V10" i="6" l="1"/>
  <c r="O12" i="6"/>
  <c r="N14" i="6"/>
  <c r="R4" i="6"/>
  <c r="Q7" i="6"/>
  <c r="R7" i="6" l="1"/>
  <c r="S4" i="6"/>
  <c r="P12" i="6"/>
  <c r="O14" i="6"/>
  <c r="W10" i="6"/>
  <c r="X10" i="6" l="1"/>
  <c r="Q12" i="6"/>
  <c r="P14" i="6"/>
  <c r="T4" i="6"/>
  <c r="S7" i="6"/>
  <c r="U4" i="6" l="1"/>
  <c r="T7" i="6"/>
  <c r="R12" i="6"/>
  <c r="Q14" i="6"/>
  <c r="Y10" i="6"/>
  <c r="Z10" i="6" l="1"/>
  <c r="S12" i="6"/>
  <c r="R14" i="6"/>
  <c r="V4" i="6"/>
  <c r="U7" i="6"/>
  <c r="W4" i="6" l="1"/>
  <c r="V7" i="6"/>
  <c r="T12" i="6"/>
  <c r="S14" i="6"/>
  <c r="AA10" i="6"/>
  <c r="AB10" i="6" l="1"/>
  <c r="U12" i="6"/>
  <c r="T14" i="6"/>
  <c r="X4" i="6"/>
  <c r="W7" i="6"/>
  <c r="X7" i="6" l="1"/>
  <c r="Y4" i="6"/>
  <c r="V12" i="6"/>
  <c r="U14" i="6"/>
  <c r="AC10" i="6"/>
  <c r="AD10" i="6" l="1"/>
  <c r="W12" i="6"/>
  <c r="V14" i="6"/>
  <c r="Y7" i="6"/>
  <c r="Z4" i="6"/>
  <c r="Z7" i="6" l="1"/>
  <c r="AA4" i="6"/>
  <c r="X12" i="6"/>
  <c r="W14" i="6"/>
  <c r="AE10" i="6"/>
  <c r="AF10" i="6" l="1"/>
  <c r="Y12" i="6"/>
  <c r="X14" i="6"/>
  <c r="AA7" i="6"/>
  <c r="AB4" i="6"/>
  <c r="AC4" i="6" l="1"/>
  <c r="AB7" i="6"/>
  <c r="Z12" i="6"/>
  <c r="Y14" i="6"/>
  <c r="AG10" i="6"/>
  <c r="AH10" i="6" l="1"/>
  <c r="AA12" i="6"/>
  <c r="Z14" i="6"/>
  <c r="AD4" i="6"/>
  <c r="AC7" i="6"/>
  <c r="AD7" i="6" l="1"/>
  <c r="AE4" i="6"/>
  <c r="AB12" i="6"/>
  <c r="AA14" i="6"/>
  <c r="AI10" i="6"/>
  <c r="AJ10" i="6" l="1"/>
  <c r="AC12" i="6"/>
  <c r="AB14" i="6"/>
  <c r="AE7" i="6"/>
  <c r="AF4" i="6"/>
  <c r="AF7" i="6" l="1"/>
  <c r="AG4" i="6"/>
  <c r="AD12" i="6"/>
  <c r="AC14" i="6"/>
  <c r="AK10" i="6"/>
  <c r="AL10" i="6" l="1"/>
  <c r="AE12" i="6"/>
  <c r="AD14" i="6"/>
  <c r="AH4" i="6"/>
  <c r="AG7" i="6"/>
  <c r="AI4" i="6" l="1"/>
  <c r="AH7" i="6"/>
  <c r="AF12" i="6"/>
  <c r="AE14" i="6"/>
  <c r="AM10" i="6"/>
  <c r="AN10" i="6" l="1"/>
  <c r="AG12" i="6"/>
  <c r="AF14" i="6"/>
  <c r="AJ4" i="6"/>
  <c r="AI7" i="6"/>
  <c r="AJ7" i="6" l="1"/>
  <c r="AK4" i="6"/>
  <c r="AH12" i="6"/>
  <c r="AG14" i="6"/>
  <c r="AO10" i="6"/>
  <c r="AP10" i="6" l="1"/>
  <c r="AI12" i="6"/>
  <c r="AH14" i="6"/>
  <c r="AL4" i="6"/>
  <c r="AK7" i="6"/>
  <c r="AM4" i="6" l="1"/>
  <c r="AL7" i="6"/>
  <c r="AJ12" i="6"/>
  <c r="AI14" i="6"/>
  <c r="AQ10" i="6"/>
  <c r="AR10" i="6" l="1"/>
  <c r="AK12" i="6"/>
  <c r="AJ14" i="6"/>
  <c r="AN4" i="6"/>
  <c r="AM7" i="6"/>
  <c r="AN7" i="6" l="1"/>
  <c r="AO4" i="6"/>
  <c r="AL12" i="6"/>
  <c r="AK14" i="6"/>
  <c r="AS10" i="6"/>
  <c r="AT10" i="6" l="1"/>
  <c r="AM12" i="6"/>
  <c r="AL14" i="6"/>
  <c r="AP4" i="6"/>
  <c r="AO7" i="6"/>
  <c r="AQ4" i="6" l="1"/>
  <c r="AP7" i="6"/>
  <c r="AN12" i="6"/>
  <c r="AM14" i="6"/>
  <c r="AU10" i="6"/>
  <c r="AV10" i="6" l="1"/>
  <c r="AO12" i="6"/>
  <c r="AN14" i="6"/>
  <c r="AQ7" i="6"/>
  <c r="AR4" i="6"/>
  <c r="AS4" i="6" l="1"/>
  <c r="AR7" i="6"/>
  <c r="AP12" i="6"/>
  <c r="AO14" i="6"/>
  <c r="AW10" i="6"/>
  <c r="AX10" i="6" l="1"/>
  <c r="AQ12" i="6"/>
  <c r="AP14" i="6"/>
  <c r="AT4" i="6"/>
  <c r="AS7" i="6"/>
  <c r="AT7" i="6" l="1"/>
  <c r="AU4" i="6"/>
  <c r="AR12" i="6"/>
  <c r="AQ14" i="6"/>
  <c r="AY10" i="6"/>
  <c r="AZ10" i="6" l="1"/>
  <c r="AS12" i="6"/>
  <c r="AR14" i="6"/>
  <c r="AU7" i="6"/>
  <c r="AV4" i="6"/>
  <c r="AW4" i="6" l="1"/>
  <c r="AV7" i="6"/>
  <c r="AT12" i="6"/>
  <c r="AS14" i="6"/>
  <c r="BA10" i="6"/>
  <c r="BB10" i="6" l="1"/>
  <c r="AU12" i="6"/>
  <c r="AT14" i="6"/>
  <c r="AW7" i="6"/>
  <c r="AX4" i="6"/>
  <c r="AX7" i="6" l="1"/>
  <c r="AY4" i="6"/>
  <c r="AV12" i="6"/>
  <c r="AU14" i="6"/>
  <c r="BC10" i="6"/>
  <c r="BD10" i="6" l="1"/>
  <c r="AW12" i="6"/>
  <c r="AV14" i="6"/>
  <c r="AY7" i="6"/>
  <c r="AZ4" i="6"/>
  <c r="BA4" i="6" l="1"/>
  <c r="AZ7" i="6"/>
  <c r="AX12" i="6"/>
  <c r="AW14" i="6"/>
  <c r="BE10" i="6"/>
  <c r="BF10" i="6" l="1"/>
  <c r="AY12" i="6"/>
  <c r="AX14" i="6"/>
  <c r="BB4" i="6"/>
  <c r="BA7" i="6"/>
  <c r="BC4" i="6" l="1"/>
  <c r="BB7" i="6"/>
  <c r="AZ12" i="6"/>
  <c r="AY14" i="6"/>
  <c r="BG10" i="6"/>
  <c r="BH10" i="6" l="1"/>
  <c r="BA12" i="6"/>
  <c r="AZ14" i="6"/>
  <c r="BD4" i="6"/>
  <c r="BC7" i="6"/>
  <c r="BE4" i="6" l="1"/>
  <c r="BD7" i="6"/>
  <c r="BB12" i="6"/>
  <c r="BA14" i="6"/>
  <c r="BI10" i="6"/>
  <c r="BJ10" i="6" l="1"/>
  <c r="BC12" i="6"/>
  <c r="BB14" i="6"/>
  <c r="BF4" i="6"/>
  <c r="BE7" i="6"/>
  <c r="BG4" i="6" l="1"/>
  <c r="BF7" i="6"/>
  <c r="BD12" i="6"/>
  <c r="BC14" i="6"/>
  <c r="BK10" i="6"/>
  <c r="BL10" i="6" l="1"/>
  <c r="BE12" i="6"/>
  <c r="BD14" i="6"/>
  <c r="BH4" i="6"/>
  <c r="BG7" i="6"/>
  <c r="BH7" i="6" l="1"/>
  <c r="BI4" i="6"/>
  <c r="BF12" i="6"/>
  <c r="BE14" i="6"/>
  <c r="BM10" i="6"/>
  <c r="BJ4" i="6" l="1"/>
  <c r="BI7" i="6"/>
  <c r="BN10" i="6"/>
  <c r="BG12" i="6"/>
  <c r="BF14" i="6"/>
  <c r="BH12" i="6" l="1"/>
  <c r="BG14" i="6"/>
  <c r="BO10" i="6"/>
  <c r="BJ7" i="6"/>
  <c r="BK4" i="6"/>
  <c r="BL4" i="6" l="1"/>
  <c r="BK7" i="6"/>
  <c r="BP10" i="6"/>
  <c r="BI12" i="6"/>
  <c r="BH14" i="6"/>
  <c r="BJ12" i="6" l="1"/>
  <c r="BI14" i="6"/>
  <c r="BQ10" i="6"/>
  <c r="BM4" i="6"/>
  <c r="BL7" i="6"/>
  <c r="BN4" i="6" l="1"/>
  <c r="BM7" i="6"/>
  <c r="BR10" i="6"/>
  <c r="BK12" i="6"/>
  <c r="BJ14" i="6"/>
  <c r="BL12" i="6" l="1"/>
  <c r="BK14" i="6"/>
  <c r="BS10" i="6"/>
  <c r="BO4" i="6"/>
  <c r="BN7" i="6"/>
  <c r="BP4" i="6" l="1"/>
  <c r="BO7" i="6"/>
  <c r="BT10" i="6"/>
  <c r="BM12" i="6"/>
  <c r="BL14" i="6"/>
  <c r="BN12" i="6" l="1"/>
  <c r="BM14" i="6"/>
  <c r="BU10" i="6"/>
  <c r="BP7" i="6"/>
  <c r="BQ4" i="6"/>
  <c r="BQ7" i="6" l="1"/>
  <c r="BR4" i="6"/>
  <c r="BV10" i="6"/>
  <c r="BO12" i="6"/>
  <c r="BN14" i="6"/>
  <c r="BW10" i="6" l="1"/>
  <c r="BP12" i="6"/>
  <c r="BO14" i="6"/>
  <c r="BR7" i="6"/>
  <c r="BS4" i="6"/>
  <c r="BS7" i="6" l="1"/>
  <c r="BT4" i="6"/>
  <c r="BQ12" i="6"/>
  <c r="BP14" i="6"/>
  <c r="BX10" i="6"/>
  <c r="BY10" i="6" l="1"/>
  <c r="BT7" i="6"/>
  <c r="BU4" i="6"/>
  <c r="BR12" i="6"/>
  <c r="BQ14" i="6"/>
  <c r="BS12" i="6" l="1"/>
  <c r="BR14" i="6"/>
  <c r="BU7" i="6"/>
  <c r="BV4" i="6"/>
  <c r="BZ10" i="6"/>
  <c r="CA10" i="6" l="1"/>
  <c r="BV7" i="6"/>
  <c r="BW4" i="6"/>
  <c r="BT12" i="6"/>
  <c r="BS14" i="6"/>
  <c r="BU12" i="6" l="1"/>
  <c r="BT14" i="6"/>
  <c r="BW7" i="6"/>
  <c r="BX4" i="6"/>
  <c r="CB10" i="6"/>
  <c r="CC10" i="6" l="1"/>
  <c r="BX7" i="6"/>
  <c r="BY4" i="6"/>
  <c r="BV12" i="6"/>
  <c r="BU14" i="6"/>
  <c r="CD10" i="6" l="1"/>
  <c r="BW12" i="6"/>
  <c r="BV14" i="6"/>
  <c r="BZ4" i="6"/>
  <c r="BY7" i="6"/>
  <c r="CE10" i="6" l="1"/>
  <c r="CA4" i="6"/>
  <c r="BZ7" i="6"/>
  <c r="BX12" i="6"/>
  <c r="BW14" i="6"/>
  <c r="BY12" i="6" l="1"/>
  <c r="BX14" i="6"/>
  <c r="CB4" i="6"/>
  <c r="CA7" i="6"/>
  <c r="CF10" i="6"/>
  <c r="CG10" i="6" l="1"/>
  <c r="CB7" i="6"/>
  <c r="CC4" i="6"/>
  <c r="BZ12" i="6"/>
  <c r="BY14" i="6"/>
  <c r="CD4" i="6" l="1"/>
  <c r="CC7" i="6"/>
  <c r="CA12" i="6"/>
  <c r="BZ14" i="6"/>
  <c r="CH10" i="6"/>
  <c r="CI10" i="6" l="1"/>
  <c r="CB12" i="6"/>
  <c r="CA14" i="6"/>
  <c r="CD7" i="6"/>
  <c r="CE4" i="6"/>
  <c r="CF4" i="6" l="1"/>
  <c r="CE7" i="6"/>
  <c r="CC12" i="6"/>
  <c r="CB14" i="6"/>
  <c r="CJ10" i="6"/>
  <c r="CK10" i="6" l="1"/>
  <c r="CD12" i="6"/>
  <c r="CC14" i="6"/>
  <c r="CF7" i="6"/>
  <c r="CG4" i="6"/>
  <c r="CH4" i="6" l="1"/>
  <c r="CG7" i="6"/>
  <c r="CE12" i="6"/>
  <c r="CD14" i="6"/>
  <c r="CL10" i="6"/>
  <c r="CM10" i="6" l="1"/>
  <c r="CF12" i="6"/>
  <c r="CE14" i="6"/>
  <c r="CH7" i="6"/>
  <c r="CI4" i="6"/>
  <c r="CJ4" i="6" l="1"/>
  <c r="CI7" i="6"/>
  <c r="CG12" i="6"/>
  <c r="CF14" i="6"/>
  <c r="CN10" i="6"/>
  <c r="CO10" i="6" l="1"/>
  <c r="CH12" i="6"/>
  <c r="CG14" i="6"/>
  <c r="CK4" i="6"/>
  <c r="CJ7" i="6"/>
  <c r="CL4" i="6" l="1"/>
  <c r="CK7" i="6"/>
  <c r="CI12" i="6"/>
  <c r="CH14" i="6"/>
  <c r="CP10" i="6"/>
  <c r="CQ10" i="6" l="1"/>
  <c r="CJ12" i="6"/>
  <c r="CI14" i="6"/>
  <c r="CL7" i="6"/>
  <c r="CM4" i="6"/>
  <c r="CM7" i="6" l="1"/>
  <c r="CN4" i="6"/>
  <c r="CK12" i="6"/>
  <c r="CJ14" i="6"/>
  <c r="CR10" i="6"/>
  <c r="CS10" i="6" l="1"/>
  <c r="CL12" i="6"/>
  <c r="CK14" i="6"/>
  <c r="CO4" i="6"/>
  <c r="CN7" i="6"/>
  <c r="CP4" i="6" l="1"/>
  <c r="CO7" i="6"/>
  <c r="CM12" i="6"/>
  <c r="CL14" i="6"/>
  <c r="CT10" i="6"/>
  <c r="CU10" i="6" l="1"/>
  <c r="CN12" i="6"/>
  <c r="CM14" i="6"/>
  <c r="CQ4" i="6"/>
  <c r="CP7" i="6"/>
  <c r="CR4" i="6" l="1"/>
  <c r="CQ7" i="6"/>
  <c r="CO12" i="6"/>
  <c r="CN14" i="6"/>
  <c r="CV10" i="6"/>
  <c r="CW10" i="6" l="1"/>
  <c r="CP12" i="6"/>
  <c r="CO14" i="6"/>
  <c r="CS4" i="6"/>
  <c r="CR7" i="6"/>
  <c r="CT4" i="6" l="1"/>
  <c r="CS7" i="6"/>
  <c r="CQ12" i="6"/>
  <c r="CP14" i="6"/>
  <c r="CX10" i="6"/>
  <c r="CY10" i="6" l="1"/>
  <c r="CR12" i="6"/>
  <c r="CQ14" i="6"/>
  <c r="CU4" i="6"/>
  <c r="CT7" i="6"/>
  <c r="CV4" i="6" l="1"/>
  <c r="CU7" i="6"/>
  <c r="CS12" i="6"/>
  <c r="CR14" i="6"/>
  <c r="CZ10" i="6"/>
  <c r="DA10" i="6" l="1"/>
  <c r="CT12" i="6"/>
  <c r="CS14" i="6"/>
  <c r="CW4" i="6"/>
  <c r="CV7" i="6"/>
  <c r="CX4" i="6" l="1"/>
  <c r="CW7" i="6"/>
  <c r="CU12" i="6"/>
  <c r="CT14" i="6"/>
  <c r="DB10" i="6"/>
  <c r="DC10" i="6" l="1"/>
  <c r="CV12" i="6"/>
  <c r="CU14" i="6"/>
  <c r="CX7" i="6"/>
  <c r="CY4" i="6"/>
  <c r="CY7" i="6" l="1"/>
  <c r="CZ4" i="6"/>
  <c r="CW12" i="6"/>
  <c r="CV14" i="6"/>
  <c r="DD10" i="6"/>
  <c r="DE10" i="6" l="1"/>
  <c r="CX12" i="6"/>
  <c r="CW14" i="6"/>
  <c r="CZ7" i="6"/>
  <c r="DA4" i="6"/>
  <c r="DB4" i="6" l="1"/>
  <c r="DA7" i="6"/>
  <c r="CY12" i="6"/>
  <c r="CX14" i="6"/>
  <c r="DF10" i="6"/>
  <c r="DG10" i="6" l="1"/>
  <c r="CZ12" i="6"/>
  <c r="CY14" i="6"/>
  <c r="DB7" i="6"/>
  <c r="DC4" i="6"/>
  <c r="DC7" i="6" l="1"/>
  <c r="DD4" i="6"/>
  <c r="DA12" i="6"/>
  <c r="CZ14" i="6"/>
  <c r="DH10" i="6"/>
  <c r="DI10" i="6" l="1"/>
  <c r="DB12" i="6"/>
  <c r="DA14" i="6"/>
  <c r="DD7" i="6"/>
  <c r="DE4" i="6"/>
  <c r="DE7" i="6" l="1"/>
  <c r="DF4" i="6"/>
  <c r="DC12" i="6"/>
  <c r="DB14" i="6"/>
  <c r="DJ10" i="6"/>
  <c r="DK10" i="6" l="1"/>
  <c r="DD12" i="6"/>
  <c r="DC14" i="6"/>
  <c r="DF7" i="6"/>
  <c r="DG4" i="6"/>
  <c r="DG7" i="6" l="1"/>
  <c r="DH4" i="6"/>
  <c r="DE12" i="6"/>
  <c r="DD14" i="6"/>
  <c r="DL10" i="6"/>
  <c r="DM10" i="6" l="1"/>
  <c r="DF12" i="6"/>
  <c r="DE14" i="6"/>
  <c r="DH7" i="6"/>
  <c r="DI4" i="6"/>
  <c r="DI7" i="6" l="1"/>
  <c r="DJ4" i="6"/>
  <c r="DG12" i="6"/>
  <c r="DF14" i="6"/>
  <c r="DN10" i="6"/>
  <c r="DO10" i="6" l="1"/>
  <c r="DH12" i="6"/>
  <c r="DG14" i="6"/>
  <c r="DJ7" i="6"/>
  <c r="DK4" i="6"/>
  <c r="DK7" i="6" l="1"/>
  <c r="DL4" i="6"/>
  <c r="DI12" i="6"/>
  <c r="DH14" i="6"/>
  <c r="DP10" i="6"/>
  <c r="DQ10" i="6" l="1"/>
  <c r="DJ12" i="6"/>
  <c r="DI14" i="6"/>
  <c r="DL7" i="6"/>
  <c r="DM4" i="6"/>
  <c r="DN4" i="6" l="1"/>
  <c r="DM7" i="6"/>
  <c r="DK12" i="6"/>
  <c r="DJ14" i="6"/>
  <c r="DR10" i="6"/>
  <c r="DS10" i="6" l="1"/>
  <c r="DL12" i="6"/>
  <c r="DK14" i="6"/>
  <c r="DO4" i="6"/>
  <c r="DN7" i="6"/>
  <c r="DP4" i="6" l="1"/>
  <c r="DO7" i="6"/>
  <c r="DM12" i="6"/>
  <c r="DL14" i="6"/>
  <c r="DT10" i="6"/>
  <c r="DU10" i="6" l="1"/>
  <c r="DN12" i="6"/>
  <c r="DM14" i="6"/>
  <c r="DQ4" i="6"/>
  <c r="DP7" i="6"/>
  <c r="DR4" i="6" l="1"/>
  <c r="DQ7" i="6"/>
  <c r="DO12" i="6"/>
  <c r="DN14" i="6"/>
  <c r="DV10" i="6"/>
  <c r="DW10" i="6" l="1"/>
  <c r="DP12" i="6"/>
  <c r="DO14" i="6"/>
  <c r="DS4" i="6"/>
  <c r="DR7" i="6"/>
  <c r="DT4" i="6" l="1"/>
  <c r="DS7" i="6"/>
  <c r="DQ12" i="6"/>
  <c r="DP14" i="6"/>
  <c r="DX10" i="6"/>
  <c r="DY10" i="6" l="1"/>
  <c r="DR12" i="6"/>
  <c r="DQ14" i="6"/>
  <c r="DU4" i="6"/>
  <c r="DT7" i="6"/>
  <c r="DV4" i="6" l="1"/>
  <c r="DU7" i="6"/>
  <c r="DZ10" i="6"/>
  <c r="DS12" i="6"/>
  <c r="DR14" i="6"/>
  <c r="DT12" i="6" l="1"/>
  <c r="DS14" i="6"/>
  <c r="EA10" i="6"/>
  <c r="DW4" i="6"/>
  <c r="DV7" i="6"/>
  <c r="DX4" i="6" l="1"/>
  <c r="DW7" i="6"/>
  <c r="EB10" i="6"/>
  <c r="DU12" i="6"/>
  <c r="DT14" i="6"/>
  <c r="EC10" i="6" l="1"/>
  <c r="DV12" i="6"/>
  <c r="DU14" i="6"/>
  <c r="DX7" i="6"/>
  <c r="DY4" i="6"/>
  <c r="DY7" i="6" l="1"/>
  <c r="DZ4" i="6"/>
  <c r="DW12" i="6"/>
  <c r="DV14" i="6"/>
  <c r="ED10" i="6"/>
  <c r="EE10" i="6" l="1"/>
  <c r="DX12" i="6"/>
  <c r="DW14" i="6"/>
  <c r="DZ7" i="6"/>
  <c r="EA4" i="6"/>
  <c r="EA7" i="6" l="1"/>
  <c r="EB4" i="6"/>
  <c r="DY12" i="6"/>
  <c r="DX14" i="6"/>
  <c r="EF10" i="6"/>
  <c r="EG10" i="6" l="1"/>
  <c r="DZ12" i="6"/>
  <c r="DY14" i="6"/>
  <c r="EB7" i="6"/>
  <c r="EC4" i="6"/>
  <c r="ED4" i="6" l="1"/>
  <c r="EC7" i="6"/>
  <c r="EA12" i="6"/>
  <c r="DZ14" i="6"/>
  <c r="EH10" i="6"/>
  <c r="EI10" i="6" l="1"/>
  <c r="EB12" i="6"/>
  <c r="EA14" i="6"/>
  <c r="ED7" i="6"/>
  <c r="EE4" i="6"/>
  <c r="EE7" i="6" l="1"/>
  <c r="EF4" i="6"/>
  <c r="EC12" i="6"/>
  <c r="EB14" i="6"/>
  <c r="EJ10" i="6"/>
  <c r="EK10" i="6" l="1"/>
  <c r="ED12" i="6"/>
  <c r="EC14" i="6"/>
  <c r="EG4" i="6"/>
  <c r="EF7" i="6"/>
  <c r="EH4" i="6" l="1"/>
  <c r="EG7" i="6"/>
  <c r="EE12" i="6"/>
  <c r="ED14" i="6"/>
  <c r="EL10" i="6"/>
  <c r="EM10" i="6" l="1"/>
  <c r="EF12" i="6"/>
  <c r="EE14" i="6"/>
  <c r="EH7" i="6"/>
  <c r="EI4" i="6"/>
  <c r="EN10" i="6" l="1"/>
  <c r="EJ4" i="6"/>
  <c r="EI7" i="6"/>
  <c r="EG12" i="6"/>
  <c r="EF14" i="6"/>
  <c r="EH12" i="6" l="1"/>
  <c r="EG14" i="6"/>
  <c r="EJ7" i="6"/>
  <c r="EK4" i="6"/>
  <c r="EO10" i="6"/>
  <c r="EK7" i="6" l="1"/>
  <c r="EL4" i="6"/>
  <c r="EP10" i="6"/>
  <c r="EI12" i="6"/>
  <c r="EH14" i="6"/>
  <c r="EJ12" i="6" l="1"/>
  <c r="EI14" i="6"/>
  <c r="EQ10" i="6"/>
  <c r="EL7" i="6"/>
  <c r="EM4" i="6"/>
  <c r="EN4" i="6" l="1"/>
  <c r="EM7" i="6"/>
  <c r="ER10" i="6"/>
  <c r="EK12" i="6"/>
  <c r="EJ14" i="6"/>
  <c r="EL12" i="6" l="1"/>
  <c r="EK14" i="6"/>
  <c r="ES10" i="6"/>
  <c r="EO4" i="6"/>
  <c r="EN7" i="6"/>
  <c r="EP4" i="6" l="1"/>
  <c r="EO7" i="6"/>
  <c r="ET10" i="6"/>
  <c r="EM12" i="6"/>
  <c r="EL14" i="6"/>
  <c r="EN12" i="6" l="1"/>
  <c r="EM14" i="6"/>
  <c r="EU10" i="6"/>
  <c r="EP7" i="6"/>
  <c r="EQ4" i="6"/>
  <c r="EQ7" i="6" l="1"/>
  <c r="ER4" i="6"/>
  <c r="EV10" i="6"/>
  <c r="EO12" i="6"/>
  <c r="EN14" i="6"/>
  <c r="EP12" i="6" l="1"/>
  <c r="EO14" i="6"/>
  <c r="EW10" i="6"/>
  <c r="ES4" i="6"/>
  <c r="ER7" i="6"/>
  <c r="EX10" i="6" l="1"/>
  <c r="ET4" i="6"/>
  <c r="ES7" i="6"/>
  <c r="EQ12" i="6"/>
  <c r="EP14" i="6"/>
  <c r="ER12" i="6" l="1"/>
  <c r="EQ14" i="6"/>
  <c r="ET7" i="6"/>
  <c r="EU4" i="6"/>
  <c r="EY10" i="6"/>
  <c r="EZ10" i="6" l="1"/>
  <c r="EV4" i="6"/>
  <c r="EU7" i="6"/>
  <c r="ES12" i="6"/>
  <c r="ER14" i="6"/>
  <c r="ET12" i="6" l="1"/>
  <c r="ES14" i="6"/>
  <c r="EW4" i="6"/>
  <c r="EV7" i="6"/>
  <c r="FA10" i="6"/>
  <c r="FB10" i="6" l="1"/>
  <c r="EX4" i="6"/>
  <c r="EW7" i="6"/>
  <c r="EU12" i="6"/>
  <c r="ET14" i="6"/>
  <c r="EV12" i="6" l="1"/>
  <c r="EU14" i="6"/>
  <c r="EY4" i="6"/>
  <c r="EX7" i="6"/>
  <c r="FC10" i="6"/>
  <c r="FD10" i="6" l="1"/>
  <c r="EZ4" i="6"/>
  <c r="EY7" i="6"/>
  <c r="EW12" i="6"/>
  <c r="EV14" i="6"/>
  <c r="EX12" i="6" l="1"/>
  <c r="EW14" i="6"/>
  <c r="EZ7" i="6"/>
  <c r="FA4" i="6"/>
  <c r="FE10" i="6"/>
  <c r="FF10" i="6" l="1"/>
  <c r="FA7" i="6"/>
  <c r="FB4" i="6"/>
  <c r="EY12" i="6"/>
  <c r="EX14" i="6"/>
  <c r="EZ12" i="6" l="1"/>
  <c r="EY14" i="6"/>
  <c r="FB7" i="6"/>
  <c r="FC4" i="6"/>
  <c r="FG10" i="6"/>
  <c r="FH10" i="6" l="1"/>
  <c r="FC7" i="6"/>
  <c r="FD4" i="6"/>
  <c r="FA12" i="6"/>
  <c r="EZ14" i="6"/>
  <c r="FB12" i="6" l="1"/>
  <c r="FA14" i="6"/>
  <c r="FD7" i="6"/>
  <c r="FE4" i="6"/>
  <c r="FI10" i="6"/>
  <c r="FJ10" i="6" l="1"/>
  <c r="FF4" i="6"/>
  <c r="FE7" i="6"/>
  <c r="FC12" i="6"/>
  <c r="FB14" i="6"/>
  <c r="FD12" i="6" l="1"/>
  <c r="FC14" i="6"/>
  <c r="FG4" i="6"/>
  <c r="FF7" i="6"/>
  <c r="FK10" i="6"/>
  <c r="FL10" i="6" l="1"/>
  <c r="FG7" i="6"/>
  <c r="FH4" i="6"/>
  <c r="FE12" i="6"/>
  <c r="FD14" i="6"/>
  <c r="FH7" i="6" l="1"/>
  <c r="FI4" i="6"/>
  <c r="FF12" i="6"/>
  <c r="FE14" i="6"/>
  <c r="FM10" i="6"/>
  <c r="FN10" i="6" l="1"/>
  <c r="FG12" i="6"/>
  <c r="FF14" i="6"/>
  <c r="FJ4" i="6"/>
  <c r="FI7" i="6"/>
  <c r="FK4" i="6" l="1"/>
  <c r="FJ7" i="6"/>
  <c r="FH12" i="6"/>
  <c r="FG14" i="6"/>
  <c r="FO10" i="6"/>
  <c r="FP10" i="6" l="1"/>
  <c r="FI12" i="6"/>
  <c r="FH14" i="6"/>
  <c r="FL4" i="6"/>
  <c r="FK7" i="6"/>
  <c r="FM4" i="6" l="1"/>
  <c r="FL7" i="6"/>
  <c r="FJ12" i="6"/>
  <c r="FI14" i="6"/>
  <c r="FQ10" i="6"/>
  <c r="FR10" i="6" l="1"/>
  <c r="FK12" i="6"/>
  <c r="FJ14" i="6"/>
  <c r="FM7" i="6"/>
  <c r="FN4" i="6"/>
  <c r="FN7" i="6" l="1"/>
  <c r="FO4" i="6"/>
  <c r="FL12" i="6"/>
  <c r="FK14" i="6"/>
  <c r="FS10" i="6"/>
  <c r="FT10" i="6" l="1"/>
  <c r="FM12" i="6"/>
  <c r="FL14" i="6"/>
  <c r="FP4" i="6"/>
  <c r="FO7" i="6"/>
  <c r="FU10" i="6" l="1"/>
  <c r="FP7" i="6"/>
  <c r="FQ4" i="6"/>
  <c r="FN12" i="6"/>
  <c r="FM14" i="6"/>
  <c r="FO12" i="6" l="1"/>
  <c r="FN14" i="6"/>
  <c r="FQ7" i="6"/>
  <c r="FR4" i="6"/>
  <c r="FV10" i="6"/>
  <c r="FW10" i="6" l="1"/>
  <c r="FR7" i="6"/>
  <c r="FS4" i="6"/>
  <c r="FP12" i="6"/>
  <c r="FO14" i="6"/>
  <c r="FQ12" i="6" l="1"/>
  <c r="FP14" i="6"/>
  <c r="FX10" i="6"/>
  <c r="FS7" i="6"/>
  <c r="FT4" i="6"/>
  <c r="FT7" i="6" l="1"/>
  <c r="FU4" i="6"/>
  <c r="FY10" i="6"/>
  <c r="FR12" i="6"/>
  <c r="FQ14" i="6"/>
  <c r="FS12" i="6" l="1"/>
  <c r="FR14" i="6"/>
  <c r="FZ10" i="6"/>
  <c r="FV4" i="6"/>
  <c r="FU7" i="6"/>
  <c r="FV7" i="6" l="1"/>
  <c r="FW4" i="6"/>
  <c r="GA10" i="6"/>
  <c r="FT12" i="6"/>
  <c r="FS14" i="6"/>
  <c r="FU12" i="6" l="1"/>
  <c r="FT14" i="6"/>
  <c r="GB10" i="6"/>
  <c r="FW7" i="6"/>
  <c r="FX4" i="6"/>
  <c r="FY4" i="6" l="1"/>
  <c r="FX7" i="6"/>
  <c r="GC10" i="6"/>
  <c r="FV12" i="6"/>
  <c r="FU14" i="6"/>
  <c r="FW12" i="6" l="1"/>
  <c r="FV14" i="6"/>
  <c r="GD10" i="6"/>
  <c r="FZ4" i="6"/>
  <c r="FY7" i="6"/>
  <c r="GE10" i="6" l="1"/>
  <c r="GA4" i="6"/>
  <c r="FZ7" i="6"/>
  <c r="FX12" i="6"/>
  <c r="FW14" i="6"/>
  <c r="FY12" i="6" l="1"/>
  <c r="FX14" i="6"/>
  <c r="GA7" i="6"/>
  <c r="GB4" i="6"/>
  <c r="GF10" i="6"/>
  <c r="GG10" i="6" l="1"/>
  <c r="GB7" i="6"/>
  <c r="GC4" i="6"/>
  <c r="FZ12" i="6"/>
  <c r="FY14" i="6"/>
  <c r="GA12" i="6" l="1"/>
  <c r="FZ14" i="6"/>
  <c r="GD4" i="6"/>
  <c r="GC7" i="6"/>
  <c r="GH10" i="6"/>
  <c r="GI10" i="6" l="1"/>
  <c r="GE4" i="6"/>
  <c r="GD7" i="6"/>
  <c r="GB12" i="6"/>
  <c r="GA14" i="6"/>
  <c r="GC12" i="6" l="1"/>
  <c r="GB14" i="6"/>
  <c r="GF4" i="6"/>
  <c r="GE7" i="6"/>
  <c r="GJ10" i="6"/>
  <c r="GK10" i="6" l="1"/>
  <c r="GG4" i="6"/>
  <c r="GF7" i="6"/>
  <c r="GD12" i="6"/>
  <c r="GC14" i="6"/>
  <c r="GE12" i="6" l="1"/>
  <c r="GD14" i="6"/>
  <c r="GH4" i="6"/>
  <c r="GG7" i="6"/>
  <c r="GL10" i="6"/>
  <c r="GM10" i="6" l="1"/>
  <c r="GI4" i="6"/>
  <c r="GH7" i="6"/>
  <c r="GF12" i="6"/>
  <c r="GE14" i="6"/>
  <c r="GG12" i="6" l="1"/>
  <c r="GF14" i="6"/>
  <c r="GJ4" i="6"/>
  <c r="GI7" i="6"/>
  <c r="GN10" i="6"/>
  <c r="GO10" i="6" l="1"/>
  <c r="GK4" i="6"/>
  <c r="GJ7" i="6"/>
  <c r="GH12" i="6"/>
  <c r="GG14" i="6"/>
  <c r="GI12" i="6" l="1"/>
  <c r="GH14" i="6"/>
  <c r="GL4" i="6"/>
  <c r="GK7" i="6"/>
  <c r="GP10" i="6"/>
  <c r="GQ10" i="6" l="1"/>
  <c r="GL7" i="6"/>
  <c r="GM4" i="6"/>
  <c r="GJ12" i="6"/>
  <c r="GI14" i="6"/>
  <c r="GN4" i="6" l="1"/>
  <c r="GM7" i="6"/>
  <c r="GK12" i="6"/>
  <c r="GJ14" i="6"/>
  <c r="GR10" i="6"/>
  <c r="GS10" i="6" l="1"/>
  <c r="GL12" i="6"/>
  <c r="GK14" i="6"/>
  <c r="GO4" i="6"/>
  <c r="GN7" i="6"/>
  <c r="GP4" i="6" l="1"/>
  <c r="GO7" i="6"/>
  <c r="GM12" i="6"/>
  <c r="GL14" i="6"/>
  <c r="GT10" i="6"/>
  <c r="GU10" i="6" l="1"/>
  <c r="GN12" i="6"/>
  <c r="GM14" i="6"/>
  <c r="GQ4" i="6"/>
  <c r="GP7" i="6"/>
  <c r="GQ7" i="6" l="1"/>
  <c r="GR4" i="6"/>
  <c r="GO12" i="6"/>
  <c r="GN14" i="6"/>
  <c r="GV10" i="6"/>
  <c r="GP12" i="6" l="1"/>
  <c r="GO14" i="6"/>
  <c r="GR7" i="6"/>
  <c r="GS4" i="6"/>
  <c r="GW10" i="6"/>
  <c r="GX10" i="6" l="1"/>
  <c r="GS7" i="6"/>
  <c r="GT4" i="6"/>
  <c r="GQ12" i="6"/>
  <c r="GP14" i="6"/>
  <c r="GR12" i="6" l="1"/>
  <c r="GQ14" i="6"/>
  <c r="GT7" i="6"/>
  <c r="GU4" i="6"/>
  <c r="GY10" i="6"/>
  <c r="GZ10" i="6" l="1"/>
  <c r="GU7" i="6"/>
  <c r="GV4" i="6"/>
  <c r="GS12" i="6"/>
  <c r="GR14" i="6"/>
  <c r="GV7" i="6" l="1"/>
  <c r="GW4" i="6"/>
  <c r="GT12" i="6"/>
  <c r="GS14" i="6"/>
  <c r="HA10" i="6"/>
  <c r="HB10" i="6" l="1"/>
  <c r="GU12" i="6"/>
  <c r="GT14" i="6"/>
  <c r="GW7" i="6"/>
  <c r="GX4" i="6"/>
  <c r="GX7" i="6" l="1"/>
  <c r="GY4" i="6"/>
  <c r="GV12" i="6"/>
  <c r="GU14" i="6"/>
  <c r="HC10" i="6"/>
  <c r="HD10" i="6" l="1"/>
  <c r="GW12" i="6"/>
  <c r="GV14" i="6"/>
  <c r="GZ4" i="6"/>
  <c r="GY7" i="6"/>
  <c r="HA4" i="6" l="1"/>
  <c r="GZ7" i="6"/>
  <c r="GX12" i="6"/>
  <c r="GW14" i="6"/>
  <c r="HE10" i="6"/>
  <c r="HF10" i="6" l="1"/>
  <c r="GY12" i="6"/>
  <c r="GX14" i="6"/>
  <c r="HB4" i="6"/>
  <c r="HA7" i="6"/>
  <c r="HC4" i="6" l="1"/>
  <c r="HB7" i="6"/>
  <c r="GZ12" i="6"/>
  <c r="GY14" i="6"/>
  <c r="HG10" i="6"/>
  <c r="HH10" i="6" l="1"/>
  <c r="HA12" i="6"/>
  <c r="GZ14" i="6"/>
  <c r="HD4" i="6"/>
  <c r="HC7" i="6"/>
  <c r="HE4" i="6" l="1"/>
  <c r="HD7" i="6"/>
  <c r="HB12" i="6"/>
  <c r="HA14" i="6"/>
  <c r="HI10" i="6"/>
  <c r="HJ10" i="6" l="1"/>
  <c r="HC12" i="6"/>
  <c r="HB14" i="6"/>
  <c r="HE7" i="6"/>
  <c r="HF4" i="6"/>
  <c r="HF7" i="6" l="1"/>
  <c r="HG4" i="6"/>
  <c r="HD12" i="6"/>
  <c r="HC14" i="6"/>
  <c r="HK10" i="6"/>
  <c r="HL10" i="6" l="1"/>
  <c r="HE12" i="6"/>
  <c r="HD14" i="6"/>
  <c r="HH4" i="6"/>
  <c r="HG7" i="6"/>
  <c r="HH7" i="6" l="1"/>
  <c r="HI4" i="6"/>
  <c r="HF12" i="6"/>
  <c r="HE14" i="6"/>
  <c r="HM10" i="6"/>
  <c r="HN10" i="6" l="1"/>
  <c r="HG12" i="6"/>
  <c r="HF14" i="6"/>
  <c r="HJ4" i="6"/>
  <c r="HI7" i="6"/>
  <c r="HK4" i="6" l="1"/>
  <c r="HJ7" i="6"/>
  <c r="HH12" i="6"/>
  <c r="HG14" i="6"/>
  <c r="HO10" i="6"/>
  <c r="HP10" i="6" l="1"/>
  <c r="HI12" i="6"/>
  <c r="HH14" i="6"/>
  <c r="HL4" i="6"/>
  <c r="HK7" i="6"/>
  <c r="HM4" i="6" l="1"/>
  <c r="HL7" i="6"/>
  <c r="HJ12" i="6"/>
  <c r="HI14" i="6"/>
  <c r="HQ10" i="6"/>
  <c r="HR10" i="6" l="1"/>
  <c r="HK12" i="6"/>
  <c r="HJ14" i="6"/>
  <c r="HN4" i="6"/>
  <c r="HM7" i="6"/>
  <c r="HN7" i="6" l="1"/>
  <c r="HO4" i="6"/>
  <c r="HL12" i="6"/>
  <c r="HK14" i="6"/>
  <c r="HS10" i="6"/>
  <c r="HT10" i="6" l="1"/>
  <c r="HM12" i="6"/>
  <c r="HL14" i="6"/>
  <c r="HO7" i="6"/>
  <c r="HP4" i="6"/>
  <c r="HQ4" i="6" l="1"/>
  <c r="HP7" i="6"/>
  <c r="HN12" i="6"/>
  <c r="HM14" i="6"/>
  <c r="HU10" i="6"/>
  <c r="HV10" i="6" l="1"/>
  <c r="HO12" i="6"/>
  <c r="HN14" i="6"/>
  <c r="HR4" i="6"/>
  <c r="HQ7" i="6"/>
  <c r="HP12" i="6" l="1"/>
  <c r="HO14" i="6"/>
  <c r="HS4" i="6"/>
  <c r="HR7" i="6"/>
  <c r="HW10" i="6"/>
  <c r="HX10" i="6" l="1"/>
  <c r="HT4" i="6"/>
  <c r="HS7" i="6"/>
  <c r="HQ12" i="6"/>
  <c r="HP14" i="6"/>
  <c r="HU4" i="6" l="1"/>
  <c r="HT7" i="6"/>
  <c r="HR12" i="6"/>
  <c r="HQ14" i="6"/>
  <c r="HY10" i="6"/>
  <c r="HZ10" i="6" l="1"/>
  <c r="HS12" i="6"/>
  <c r="HR14" i="6"/>
  <c r="HV4" i="6"/>
  <c r="HU7" i="6"/>
  <c r="HW4" i="6" l="1"/>
  <c r="HV7" i="6"/>
  <c r="HT12" i="6"/>
  <c r="HS14" i="6"/>
  <c r="IA10" i="6"/>
  <c r="IB10" i="6" l="1"/>
  <c r="HU12" i="6"/>
  <c r="HT14" i="6"/>
  <c r="HX4" i="6"/>
  <c r="HW7" i="6"/>
  <c r="HY4" i="6" l="1"/>
  <c r="HX7" i="6"/>
  <c r="HV12" i="6"/>
  <c r="HU14" i="6"/>
  <c r="IC10" i="6"/>
  <c r="ID10" i="6" l="1"/>
  <c r="HW12" i="6"/>
  <c r="HV14" i="6"/>
  <c r="HZ4" i="6"/>
  <c r="HY7" i="6"/>
  <c r="HZ7" i="6" l="1"/>
  <c r="IA4" i="6"/>
  <c r="HX12" i="6"/>
  <c r="HW14" i="6"/>
  <c r="IE10" i="6"/>
  <c r="IF10" i="6" l="1"/>
  <c r="HY12" i="6"/>
  <c r="HX14" i="6"/>
  <c r="IA7" i="6"/>
  <c r="IB4" i="6"/>
  <c r="IB7" i="6" l="1"/>
  <c r="IC4" i="6"/>
  <c r="HZ12" i="6"/>
  <c r="HY14" i="6"/>
  <c r="IG10" i="6"/>
  <c r="IH10" i="6" l="1"/>
  <c r="ID4" i="6"/>
  <c r="IC7" i="6"/>
  <c r="IA12" i="6"/>
  <c r="HZ14" i="6"/>
  <c r="IB12" i="6" l="1"/>
  <c r="IA14" i="6"/>
  <c r="II10" i="6"/>
  <c r="ID7" i="6"/>
  <c r="IE4" i="6"/>
  <c r="IF4" i="6" l="1"/>
  <c r="IE7" i="6"/>
  <c r="IJ10" i="6"/>
  <c r="IC12" i="6"/>
  <c r="IB14" i="6"/>
  <c r="IK10" i="6" l="1"/>
  <c r="ID12" i="6"/>
  <c r="IC14" i="6"/>
  <c r="IG4" i="6"/>
  <c r="IF7" i="6"/>
  <c r="IH4" i="6" l="1"/>
  <c r="IG7" i="6"/>
  <c r="IE12" i="6"/>
  <c r="ID14" i="6"/>
  <c r="IL10" i="6"/>
  <c r="IM10" i="6" l="1"/>
  <c r="IF12" i="6"/>
  <c r="IE14" i="6"/>
  <c r="IH7" i="6"/>
  <c r="II4" i="6"/>
  <c r="IG12" i="6" l="1"/>
  <c r="IF14" i="6"/>
  <c r="IJ4" i="6"/>
  <c r="II7" i="6"/>
  <c r="IN10" i="6"/>
  <c r="IO10" i="6" l="1"/>
  <c r="IJ7" i="6"/>
  <c r="IK4" i="6"/>
  <c r="IH12" i="6"/>
  <c r="IG14" i="6"/>
  <c r="IK7" i="6" l="1"/>
  <c r="IL4" i="6"/>
  <c r="II12" i="6"/>
  <c r="IH14" i="6"/>
  <c r="IP10" i="6"/>
  <c r="IQ10" i="6" l="1"/>
  <c r="IJ12" i="6"/>
  <c r="II14" i="6"/>
  <c r="IM4" i="6"/>
  <c r="IL7" i="6"/>
  <c r="IM7" i="6" l="1"/>
  <c r="IN4" i="6"/>
  <c r="IK12" i="6"/>
  <c r="IJ14" i="6"/>
  <c r="IR10" i="6"/>
  <c r="IN7" i="6" l="1"/>
  <c r="IO4" i="6"/>
  <c r="IS10" i="6"/>
  <c r="IL12" i="6"/>
  <c r="IK14" i="6"/>
  <c r="IT10" i="6" l="1"/>
  <c r="IM12" i="6"/>
  <c r="IL14" i="6"/>
  <c r="IP4" i="6"/>
  <c r="IO7" i="6"/>
  <c r="IQ4" i="6" l="1"/>
  <c r="IP7" i="6"/>
  <c r="IN12" i="6"/>
  <c r="IM14" i="6"/>
  <c r="IU10" i="6"/>
  <c r="IV10" i="6" l="1"/>
  <c r="IO12" i="6"/>
  <c r="IN14" i="6"/>
  <c r="IR4" i="6"/>
  <c r="IQ7" i="6"/>
  <c r="IS4" i="6" l="1"/>
  <c r="IR7" i="6"/>
  <c r="IP12" i="6"/>
  <c r="IO14" i="6"/>
  <c r="IW10" i="6"/>
  <c r="IX10" i="6" l="1"/>
  <c r="IQ12" i="6"/>
  <c r="IP14" i="6"/>
  <c r="IT4" i="6"/>
  <c r="IS7" i="6"/>
  <c r="IU4" i="6" l="1"/>
  <c r="IT7" i="6"/>
  <c r="IR12" i="6"/>
  <c r="IQ14" i="6"/>
  <c r="IY10" i="6"/>
  <c r="IZ10" i="6" l="1"/>
  <c r="IS12" i="6"/>
  <c r="IR14" i="6"/>
  <c r="IV4" i="6"/>
  <c r="IU7" i="6"/>
  <c r="IW4" i="6" l="1"/>
  <c r="IV7" i="6"/>
  <c r="IT12" i="6"/>
  <c r="IS14" i="6"/>
  <c r="JA10" i="6"/>
  <c r="JB10" i="6" l="1"/>
  <c r="IU12" i="6"/>
  <c r="IT14" i="6"/>
  <c r="IX4" i="6"/>
  <c r="IW7" i="6"/>
  <c r="IX7" i="6" l="1"/>
  <c r="IY4" i="6"/>
  <c r="IV12" i="6"/>
  <c r="IU14" i="6"/>
  <c r="JC10" i="6"/>
  <c r="JD10" i="6" l="1"/>
  <c r="IW12" i="6"/>
  <c r="IV14" i="6"/>
  <c r="IZ4" i="6"/>
  <c r="IY7" i="6"/>
  <c r="IZ7" i="6" l="1"/>
  <c r="JA4" i="6"/>
  <c r="IX12" i="6"/>
  <c r="IW14" i="6"/>
  <c r="JE10" i="6"/>
  <c r="JF10" i="6" l="1"/>
  <c r="IY12" i="6"/>
  <c r="IX14" i="6"/>
  <c r="JB4" i="6"/>
  <c r="JA7" i="6"/>
  <c r="JB7" i="6" l="1"/>
  <c r="JC4" i="6"/>
  <c r="IZ12" i="6"/>
  <c r="IY14" i="6"/>
  <c r="JG10" i="6"/>
  <c r="JH10" i="6" l="1"/>
  <c r="JA12" i="6"/>
  <c r="IZ14" i="6"/>
  <c r="JC7" i="6"/>
  <c r="JD4" i="6"/>
  <c r="JD7" i="6" l="1"/>
  <c r="JE4" i="6"/>
  <c r="JB12" i="6"/>
  <c r="JA14" i="6"/>
  <c r="JI10" i="6"/>
  <c r="JJ10" i="6" l="1"/>
  <c r="JC12" i="6"/>
  <c r="JB14" i="6"/>
  <c r="JE7" i="6"/>
  <c r="JF4" i="6"/>
  <c r="JF7" i="6" l="1"/>
  <c r="JG4" i="6"/>
  <c r="JD12" i="6"/>
  <c r="JC14" i="6"/>
  <c r="JK10" i="6"/>
  <c r="JL10" i="6" l="1"/>
  <c r="JE12" i="6"/>
  <c r="JD14" i="6"/>
  <c r="JG7" i="6"/>
  <c r="JH4" i="6"/>
  <c r="JI4" i="6" l="1"/>
  <c r="JH7" i="6"/>
  <c r="JF12" i="6"/>
  <c r="JE14" i="6"/>
  <c r="JM10" i="6"/>
  <c r="JN10" i="6" l="1"/>
  <c r="JG12" i="6"/>
  <c r="JF14" i="6"/>
  <c r="JJ4" i="6"/>
  <c r="JI7" i="6"/>
  <c r="JK4" i="6" l="1"/>
  <c r="JJ7" i="6"/>
  <c r="JH12" i="6"/>
  <c r="JG14" i="6"/>
  <c r="JO10" i="6"/>
  <c r="JP10" i="6" l="1"/>
  <c r="JI12" i="6"/>
  <c r="JH14" i="6"/>
  <c r="JL4" i="6"/>
  <c r="JK7" i="6"/>
  <c r="JM4" i="6" l="1"/>
  <c r="JL7" i="6"/>
  <c r="JJ12" i="6"/>
  <c r="JI14" i="6"/>
  <c r="JQ10" i="6"/>
  <c r="JR10" i="6" l="1"/>
  <c r="JK12" i="6"/>
  <c r="JJ14" i="6"/>
  <c r="JN4" i="6"/>
  <c r="JM7" i="6"/>
  <c r="JS10" i="6" l="1"/>
  <c r="JO4" i="6"/>
  <c r="JN7" i="6"/>
  <c r="JL12" i="6"/>
  <c r="JK14" i="6"/>
  <c r="JP4" i="6" l="1"/>
  <c r="JO7" i="6"/>
  <c r="JM12" i="6"/>
  <c r="JL14" i="6"/>
  <c r="JT10" i="6"/>
  <c r="JU10" i="6" l="1"/>
  <c r="JN12" i="6"/>
  <c r="JM14" i="6"/>
  <c r="JQ4" i="6"/>
  <c r="JP7" i="6"/>
  <c r="JR4" i="6" l="1"/>
  <c r="JQ7" i="6"/>
  <c r="JO12" i="6"/>
  <c r="JN14" i="6"/>
  <c r="JV10" i="6"/>
  <c r="JW10" i="6" l="1"/>
  <c r="JP12" i="6"/>
  <c r="JO14" i="6"/>
  <c r="JR7" i="6"/>
  <c r="JS4" i="6"/>
  <c r="JT4" i="6" l="1"/>
  <c r="JS7" i="6"/>
  <c r="JQ12" i="6"/>
  <c r="JP14" i="6"/>
  <c r="JX10" i="6"/>
  <c r="JY10" i="6" l="1"/>
  <c r="JR12" i="6"/>
  <c r="JQ14" i="6"/>
  <c r="JU4" i="6"/>
  <c r="JT7" i="6"/>
  <c r="JV4" i="6" l="1"/>
  <c r="JU7" i="6"/>
  <c r="JS12" i="6"/>
  <c r="JR14" i="6"/>
  <c r="JZ10" i="6"/>
  <c r="KA10" i="6" l="1"/>
  <c r="JT12" i="6"/>
  <c r="JS14" i="6"/>
  <c r="JV7" i="6"/>
  <c r="JW4" i="6"/>
  <c r="JX4" i="6" l="1"/>
  <c r="JW7" i="6"/>
  <c r="JU12" i="6"/>
  <c r="JT14" i="6"/>
  <c r="KB10" i="6"/>
  <c r="KC10" i="6" l="1"/>
  <c r="JV12" i="6"/>
  <c r="JU14" i="6"/>
  <c r="JY4" i="6"/>
  <c r="JX7" i="6"/>
  <c r="JZ4" i="6" l="1"/>
  <c r="JY7" i="6"/>
  <c r="JW12" i="6"/>
  <c r="JV14" i="6"/>
  <c r="KD10" i="6"/>
  <c r="KE10" i="6" l="1"/>
  <c r="JX12" i="6"/>
  <c r="JW14" i="6"/>
  <c r="KA4" i="6"/>
  <c r="JZ7" i="6"/>
  <c r="JY12" i="6" l="1"/>
  <c r="JX14" i="6"/>
  <c r="KB4" i="6"/>
  <c r="KA7" i="6"/>
  <c r="KB7" i="6" l="1"/>
  <c r="KC4" i="6"/>
  <c r="JZ12" i="6"/>
  <c r="JY14" i="6"/>
  <c r="KA12" i="6" l="1"/>
  <c r="JZ14" i="6"/>
  <c r="KC7" i="6"/>
  <c r="KD4" i="6"/>
  <c r="KD7" i="6" l="1"/>
  <c r="KE4" i="6"/>
  <c r="KB12" i="6"/>
  <c r="KA14" i="6"/>
  <c r="KE7" i="6" l="1"/>
  <c r="KC12" i="6"/>
  <c r="KB14" i="6"/>
  <c r="KD12" i="6" l="1"/>
  <c r="KC14" i="6"/>
  <c r="KE12" i="6" l="1"/>
  <c r="KD14" i="6"/>
  <c r="KE14" i="6" l="1"/>
</calcChain>
</file>

<file path=xl/sharedStrings.xml><?xml version="1.0" encoding="utf-8"?>
<sst xmlns="http://schemas.openxmlformats.org/spreadsheetml/2006/main" count="877" uniqueCount="452">
  <si>
    <t>Emergent Energy – Financial Close Completion Certificate</t>
  </si>
  <si>
    <t>FINANCIAL CLOSE CERTIFICATE</t>
  </si>
  <si>
    <t xml:space="preserve">Project Name: </t>
  </si>
  <si>
    <t>COO:</t>
  </si>
  <si>
    <t>Johannes Potgieter</t>
  </si>
  <si>
    <t>Programme Manager:</t>
  </si>
  <si>
    <t>Roedolph Venter</t>
  </si>
  <si>
    <t>HoPD:</t>
  </si>
  <si>
    <t>Natasha Watkins-Baker</t>
  </si>
  <si>
    <t>Date of Phase Completion:</t>
  </si>
  <si>
    <t>Phase Deliverables Checklist: (Y/N)</t>
  </si>
  <si>
    <t>Product Agreement</t>
  </si>
  <si>
    <t>EPC Agreement</t>
  </si>
  <si>
    <t>O&amp;M Agreeement</t>
  </si>
  <si>
    <t>Cost Proposal</t>
  </si>
  <si>
    <t>Deposit Received</t>
  </si>
  <si>
    <t>Risks / Notes</t>
  </si>
  <si>
    <t>Acknowledgement and Acceptance:</t>
  </si>
  <si>
    <t>Role</t>
  </si>
  <si>
    <t>Name</t>
  </si>
  <si>
    <t>Signature</t>
  </si>
  <si>
    <t>Date</t>
  </si>
  <si>
    <t>Emergent Energy – Planning Phase Completion Certificate</t>
  </si>
  <si>
    <t>PLANNING CERTIFICATE</t>
  </si>
  <si>
    <t xml:space="preserve">Client Representative: </t>
  </si>
  <si>
    <t xml:space="preserve">Project Manager: </t>
  </si>
  <si>
    <t xml:space="preserve">Project Engineer: </t>
  </si>
  <si>
    <t>Project Introduction Presentation</t>
  </si>
  <si>
    <t>Project Brief</t>
  </si>
  <si>
    <t>Engineering Pack</t>
  </si>
  <si>
    <t>BOQ</t>
  </si>
  <si>
    <t>PO – Material &amp; Equipment</t>
  </si>
  <si>
    <t>PO - Contractors</t>
  </si>
  <si>
    <t>HSE – NOC</t>
  </si>
  <si>
    <t>HSE – EE File</t>
  </si>
  <si>
    <t>HSE – Contractor File</t>
  </si>
  <si>
    <t>SSEG Application</t>
  </si>
  <si>
    <t>Change Register</t>
  </si>
  <si>
    <t>ID</t>
  </si>
  <si>
    <t>Description</t>
  </si>
  <si>
    <t>Supporting Image (If Applicable)</t>
  </si>
  <si>
    <t>Impact</t>
  </si>
  <si>
    <t>Proposed Date</t>
  </si>
  <si>
    <t>Proposed By</t>
  </si>
  <si>
    <t>Status</t>
  </si>
  <si>
    <t>Approved By</t>
  </si>
  <si>
    <t>Approved Date</t>
  </si>
  <si>
    <t xml:space="preserve">Results / Comments </t>
  </si>
  <si>
    <t>DEC001</t>
  </si>
  <si>
    <t>DEC002</t>
  </si>
  <si>
    <t>DEC003</t>
  </si>
  <si>
    <t>DEC004</t>
  </si>
  <si>
    <t>HSE</t>
  </si>
  <si>
    <t xml:space="preserve"> Description</t>
  </si>
  <si>
    <t>NOC</t>
  </si>
  <si>
    <t>7.1 Agreement</t>
  </si>
  <si>
    <t>13.2 Agreement</t>
  </si>
  <si>
    <t xml:space="preserve">EE File </t>
  </si>
  <si>
    <t>Subbie File</t>
  </si>
  <si>
    <t>SSEG</t>
  </si>
  <si>
    <t>PTI</t>
  </si>
  <si>
    <t>Commissioning Approval</t>
  </si>
  <si>
    <t>Item</t>
  </si>
  <si>
    <t>Supplier</t>
  </si>
  <si>
    <t>Quantity</t>
  </si>
  <si>
    <t>Comments</t>
  </si>
  <si>
    <t>PV Module</t>
  </si>
  <si>
    <t>DC Cable Red &amp; Black</t>
  </si>
  <si>
    <t>Inverters</t>
  </si>
  <si>
    <t>Mounting Structure</t>
  </si>
  <si>
    <t>Current Transformers (Production)</t>
  </si>
  <si>
    <t>Current Transformers (Consumption)</t>
  </si>
  <si>
    <t>Solar Production Meter (Techistter)</t>
  </si>
  <si>
    <t xml:space="preserve">Grid Consumption Meter </t>
  </si>
  <si>
    <t>Wi-Fi Router &amp; Sim</t>
  </si>
  <si>
    <t>Switch</t>
  </si>
  <si>
    <t>Back Up Battery</t>
  </si>
  <si>
    <t>PVDB</t>
  </si>
  <si>
    <t>Supplier List</t>
  </si>
  <si>
    <t>Accuenergy</t>
  </si>
  <si>
    <t>Krannich</t>
  </si>
  <si>
    <t>Menlo</t>
  </si>
  <si>
    <t>Red Pole</t>
  </si>
  <si>
    <t>Schletter</t>
  </si>
  <si>
    <t>Switchboard</t>
  </si>
  <si>
    <t>Techsitter</t>
  </si>
  <si>
    <t>Document Name:</t>
  </si>
  <si>
    <t xml:space="preserve">Tel: </t>
  </si>
  <si>
    <t xml:space="preserve">+27 21 828 4202    +27 11 028 8060 </t>
  </si>
  <si>
    <t xml:space="preserve">E-mail: </t>
  </si>
  <si>
    <t>info@emergentenergy.co.za</t>
  </si>
  <si>
    <t>Physical:</t>
  </si>
  <si>
    <t>CPT - No.1 Waterhouse Pl, Century City, Cape Town, 7441</t>
  </si>
  <si>
    <t>JHB - 89 Bute Lane, Sandown, Sandton</t>
  </si>
  <si>
    <t>Postal:</t>
  </si>
  <si>
    <t>PO Box 23877, Claremont 7735</t>
  </si>
  <si>
    <t>VAT#:</t>
  </si>
  <si>
    <t>Purchase Order</t>
  </si>
  <si>
    <t>Supplier:</t>
  </si>
  <si>
    <t>Schletter Solar</t>
  </si>
  <si>
    <t>Date:</t>
  </si>
  <si>
    <t>Project:</t>
  </si>
  <si>
    <t>Address:</t>
  </si>
  <si>
    <t>PO Ref:</t>
  </si>
  <si>
    <t>PO1234-DDF-q8o3619i</t>
  </si>
  <si>
    <t>Contact:</t>
  </si>
  <si>
    <t>Item #</t>
  </si>
  <si>
    <t xml:space="preserve">Part Number </t>
  </si>
  <si>
    <t>QTY</t>
  </si>
  <si>
    <t>Unit</t>
  </si>
  <si>
    <t>Price per Unit</t>
  </si>
  <si>
    <t>Sub-Total</t>
  </si>
  <si>
    <t>Sub-Total:</t>
  </si>
  <si>
    <t xml:space="preserve">VAT: </t>
  </si>
  <si>
    <t>Total:</t>
  </si>
  <si>
    <t>Payment Terms</t>
  </si>
  <si>
    <t>All invoicing is to be sent to accounts@emergy.co.za &amp; projectmanager@emergentenergy.co.za</t>
  </si>
  <si>
    <t>Delivery Instructions</t>
  </si>
  <si>
    <t>Delivery date: 29/01/2026
Delivery address: 95 Main Rd, Rondebosch, Cape Town
Site Contact: Justin 084 620 9664</t>
  </si>
  <si>
    <t>Notify the site contact when the order is dispatched.</t>
  </si>
  <si>
    <t xml:space="preserve">Project Manager:    </t>
  </si>
  <si>
    <t>Mizelda Isaacs</t>
  </si>
  <si>
    <t>PROJECT PLAN</t>
  </si>
  <si>
    <t>Shoprite Mini Riversdal</t>
  </si>
  <si>
    <t>Net Work Days</t>
  </si>
  <si>
    <t>Put your comments here</t>
  </si>
  <si>
    <t>PROJECT SIZE (kWp)</t>
  </si>
  <si>
    <t>Total Weeks</t>
  </si>
  <si>
    <t>PROJECT DEVELOPER</t>
  </si>
  <si>
    <t>Cole Bisset</t>
  </si>
  <si>
    <t>kW/Week Installation Rate</t>
  </si>
  <si>
    <t>PROJECT MANAGERS</t>
  </si>
  <si>
    <t>Justin Franke</t>
  </si>
  <si>
    <t>CONTRACT VALUE</t>
  </si>
  <si>
    <t>Phase:</t>
  </si>
  <si>
    <t>Financial Close</t>
  </si>
  <si>
    <t>No.</t>
  </si>
  <si>
    <t>HIGH LEVEL PROGRAMME</t>
  </si>
  <si>
    <t>Planned Start</t>
  </si>
  <si>
    <t>Duration</t>
  </si>
  <si>
    <t>Planned End</t>
  </si>
  <si>
    <t>Actual Start</t>
  </si>
  <si>
    <t>Actual End</t>
  </si>
  <si>
    <t>Expected Status</t>
  </si>
  <si>
    <t>Comment</t>
  </si>
  <si>
    <t>Project Initiation</t>
  </si>
  <si>
    <t>1.1</t>
  </si>
  <si>
    <t>Project Charter Handover</t>
  </si>
  <si>
    <t>1.2</t>
  </si>
  <si>
    <t>Deposit</t>
  </si>
  <si>
    <t>1.6</t>
  </si>
  <si>
    <t>HSE Readiness and Signoff</t>
  </si>
  <si>
    <t>1.7</t>
  </si>
  <si>
    <t>Project Introduction</t>
  </si>
  <si>
    <t>1.8</t>
  </si>
  <si>
    <t>Installer Kick Off</t>
  </si>
  <si>
    <t>1.9</t>
  </si>
  <si>
    <t>Project Review</t>
  </si>
  <si>
    <t>Site Establishment</t>
  </si>
  <si>
    <t>2.1</t>
  </si>
  <si>
    <t>Solar Contractor Establishment</t>
  </si>
  <si>
    <t>AC Installation</t>
  </si>
  <si>
    <t>3.1</t>
  </si>
  <si>
    <t>Inverters delivered</t>
  </si>
  <si>
    <t>3.2</t>
  </si>
  <si>
    <t>Inverters Mounted</t>
  </si>
  <si>
    <t>3.3</t>
  </si>
  <si>
    <t xml:space="preserve">Solar DB Lead Time </t>
  </si>
  <si>
    <t>3.4</t>
  </si>
  <si>
    <t>AC Works</t>
  </si>
  <si>
    <t>3.5</t>
  </si>
  <si>
    <t>AC Tie-In</t>
  </si>
  <si>
    <t>DC Works</t>
  </si>
  <si>
    <t>4.1</t>
  </si>
  <si>
    <t>Mounting Structure delivered</t>
  </si>
  <si>
    <t>4.2</t>
  </si>
  <si>
    <t>Mounting Structure installation</t>
  </si>
  <si>
    <t>4.3</t>
  </si>
  <si>
    <t>DC Cable delivered</t>
  </si>
  <si>
    <t>4.4</t>
  </si>
  <si>
    <t>DC Stringing</t>
  </si>
  <si>
    <t>Module installation</t>
  </si>
  <si>
    <t>5.1</t>
  </si>
  <si>
    <t>Module delivery</t>
  </si>
  <si>
    <t>5.2</t>
  </si>
  <si>
    <t>Module mounting</t>
  </si>
  <si>
    <t>Commissioning</t>
  </si>
  <si>
    <t>6.1</t>
  </si>
  <si>
    <t>Energy Flowing</t>
  </si>
  <si>
    <t>6.2</t>
  </si>
  <si>
    <t>IV Curve Testing</t>
  </si>
  <si>
    <t>6.3</t>
  </si>
  <si>
    <t>Commissioning Report Completed</t>
  </si>
  <si>
    <t>6.4</t>
  </si>
  <si>
    <t>System Performance Monitoring Period</t>
  </si>
  <si>
    <t>QA Inspections</t>
  </si>
  <si>
    <t>7.1</t>
  </si>
  <si>
    <t>Red-Team Inspection</t>
  </si>
  <si>
    <t>7.2</t>
  </si>
  <si>
    <t>Snag Completion</t>
  </si>
  <si>
    <t>7.3</t>
  </si>
  <si>
    <t>Approval and Signoff - Commissioning Report</t>
  </si>
  <si>
    <t>7.4</t>
  </si>
  <si>
    <t>Installer Review</t>
  </si>
  <si>
    <t>Project Closure</t>
  </si>
  <si>
    <t>8.1</t>
  </si>
  <si>
    <t>Handover documentation</t>
  </si>
  <si>
    <t>8.2</t>
  </si>
  <si>
    <t>Handover to Client</t>
  </si>
  <si>
    <t>8.3</t>
  </si>
  <si>
    <t>Handover to Matriarch</t>
  </si>
  <si>
    <t>Milestone</t>
  </si>
  <si>
    <t>Start Date</t>
  </si>
  <si>
    <t>End Date</t>
  </si>
  <si>
    <t>Progress</t>
  </si>
  <si>
    <t xml:space="preserve">HIGH LEVEL PROJECT REVENUE TRACKING </t>
  </si>
  <si>
    <t>2026 Budget Revenue</t>
  </si>
  <si>
    <t>2026 Budget COS</t>
  </si>
  <si>
    <t>2026 Actual Revenue</t>
  </si>
  <si>
    <t>2026 Actual COS</t>
  </si>
  <si>
    <t>COSTED</t>
  </si>
  <si>
    <t>ACTUAL</t>
  </si>
  <si>
    <t xml:space="preserve">FINANCIAL REVIEW </t>
  </si>
  <si>
    <t>TIMELINE REVIEW</t>
  </si>
  <si>
    <t>VO PM LIMIT</t>
  </si>
  <si>
    <t>CURRENT VO Total</t>
  </si>
  <si>
    <t>Planned Revenue</t>
  </si>
  <si>
    <t>Planned Expenditure</t>
  </si>
  <si>
    <t>Planned Profit</t>
  </si>
  <si>
    <t>End Date - PC</t>
  </si>
  <si>
    <t>Planned Margin</t>
  </si>
  <si>
    <t>CONTRACT</t>
  </si>
  <si>
    <t>PAYMENT MILESTONE</t>
  </si>
  <si>
    <t>%</t>
  </si>
  <si>
    <t>VALUE</t>
  </si>
  <si>
    <t>PLANNED PAYMENT DATE</t>
  </si>
  <si>
    <t>INVOICE NUMBER</t>
  </si>
  <si>
    <t>INVOICE RAISED DATE</t>
  </si>
  <si>
    <t>PAYMENT RECEIVED DATE</t>
  </si>
  <si>
    <t>MILESTONE NOTES &amp; COMMENTS</t>
  </si>
  <si>
    <t>Acceptance and Initial Deposit</t>
  </si>
  <si>
    <t>004949</t>
  </si>
  <si>
    <t>Delivery of Panels</t>
  </si>
  <si>
    <t>Delivery of Inverters</t>
  </si>
  <si>
    <t>Practical Completion</t>
  </si>
  <si>
    <t>Handover</t>
  </si>
  <si>
    <t>-</t>
  </si>
  <si>
    <t xml:space="preserve">KEY: </t>
  </si>
  <si>
    <t>contains an error (in result or a check has failed)</t>
  </si>
  <si>
    <t>Red Font - IF TEXT : content not yet confirmed</t>
  </si>
  <si>
    <t>Red Font - IF NUMBER: Negative value</t>
  </si>
  <si>
    <t xml:space="preserve">Anything in yellow is a concern or risk for noting or action </t>
  </si>
  <si>
    <t>confirmed</t>
  </si>
  <si>
    <t xml:space="preserve">[ADD INITIALS: comment for noting in square brackets, use colour or red to draw attention if important] </t>
  </si>
  <si>
    <t>[RT: When adding rows into sheet, ensure you insert between first and last row of each category]</t>
  </si>
  <si>
    <t>end of sheet - do not insert information below/beyond this</t>
  </si>
  <si>
    <t>Deposit - Project commencement</t>
  </si>
  <si>
    <t xml:space="preserve">Practical Completion </t>
  </si>
  <si>
    <t>Total</t>
  </si>
  <si>
    <t xml:space="preserve">HIGH LEVEL PROJECT EXPENDITURE TRACKING </t>
  </si>
  <si>
    <t>Difference from Costed</t>
  </si>
  <si>
    <t>EXPENDITURE</t>
  </si>
  <si>
    <t>Costed
Expenditure</t>
  </si>
  <si>
    <t>Actual
Expenditure</t>
  </si>
  <si>
    <t>Saving / Overrun</t>
  </si>
  <si>
    <t>Comments on variations from planned expenditure</t>
  </si>
  <si>
    <t xml:space="preserve">check: </t>
  </si>
  <si>
    <t>COSTED EXPENDITURE BREAKDOWN</t>
  </si>
  <si>
    <t>ACTUAL EXPENDITURE BREAKDOWN</t>
  </si>
  <si>
    <t>FINANCE ONLY</t>
  </si>
  <si>
    <t xml:space="preserve">No. </t>
  </si>
  <si>
    <t>Product / Service</t>
  </si>
  <si>
    <t>Description of Work</t>
  </si>
  <si>
    <t>Rate / Unit</t>
  </si>
  <si>
    <t>Budget Total</t>
  </si>
  <si>
    <t>FORECASTED PAYMENT DATE</t>
  </si>
  <si>
    <t>Total COS</t>
  </si>
  <si>
    <t>Product/ Service</t>
  </si>
  <si>
    <t xml:space="preserve">Actual Total </t>
  </si>
  <si>
    <t>PO NUMBER</t>
  </si>
  <si>
    <t>REVENUE RECOGNITION AMOUNT</t>
  </si>
  <si>
    <t>CHECK</t>
  </si>
  <si>
    <t>FINANCE PAYMENT DATE</t>
  </si>
  <si>
    <t>Panels</t>
  </si>
  <si>
    <t>Panels Budget</t>
  </si>
  <si>
    <t>1. Panels</t>
  </si>
  <si>
    <t>Panel Size TBC - 620W as placeholder</t>
  </si>
  <si>
    <t>Delivery Budget</t>
  </si>
  <si>
    <t>BUDGET</t>
  </si>
  <si>
    <t>Installer Allocation</t>
  </si>
  <si>
    <t>AC Equipment</t>
  </si>
  <si>
    <t>Inverter Budget</t>
  </si>
  <si>
    <t>2. Inverters</t>
  </si>
  <si>
    <t>DC Equipment</t>
  </si>
  <si>
    <t>Huawei 100KTL</t>
  </si>
  <si>
    <t>AC Labour</t>
  </si>
  <si>
    <t>DC Labour</t>
  </si>
  <si>
    <t>Offloading</t>
  </si>
  <si>
    <t>Scaffolding</t>
  </si>
  <si>
    <t>Storage</t>
  </si>
  <si>
    <t>Telehandler</t>
  </si>
  <si>
    <t>Trenching</t>
  </si>
  <si>
    <t>Mounting Structures</t>
  </si>
  <si>
    <t>Structure Budget</t>
  </si>
  <si>
    <t>3. Mounting Structures</t>
  </si>
  <si>
    <t>Schletter Structure</t>
  </si>
  <si>
    <t>Other</t>
  </si>
  <si>
    <t>Less 15%</t>
  </si>
  <si>
    <t>R/Wp</t>
  </si>
  <si>
    <t>Installer Price - Installer 1</t>
  </si>
  <si>
    <t>Installer Price - Installer 2</t>
  </si>
  <si>
    <t>Installer Price - Installer 3</t>
  </si>
  <si>
    <t>DC Cable Budget</t>
  </si>
  <si>
    <t>4. DC Equipment</t>
  </si>
  <si>
    <t>DC Cable</t>
  </si>
  <si>
    <t>DC Equipment Budget</t>
  </si>
  <si>
    <t>Lifelines</t>
  </si>
  <si>
    <t>Project Kick Off</t>
  </si>
  <si>
    <t>Forklift</t>
  </si>
  <si>
    <t>Geda</t>
  </si>
  <si>
    <t>AC Installation Complete</t>
  </si>
  <si>
    <t>Logistics</t>
  </si>
  <si>
    <t>DC Installation Complete</t>
  </si>
  <si>
    <t>Commissioning Complete</t>
  </si>
  <si>
    <t>Handover Document Complete</t>
  </si>
  <si>
    <t>End of Defects Period</t>
  </si>
  <si>
    <t>After Negotiations</t>
  </si>
  <si>
    <t>Monitoring</t>
  </si>
  <si>
    <t>Smartlogger 3000</t>
  </si>
  <si>
    <t>5. Monitoring</t>
  </si>
  <si>
    <t>Comms DB</t>
  </si>
  <si>
    <t>CTs &amp; Meters</t>
  </si>
  <si>
    <t>Revenue Grade Meter</t>
  </si>
  <si>
    <t>AC Equipment Budget</t>
  </si>
  <si>
    <t>6. AC Equipment</t>
  </si>
  <si>
    <t>BESS</t>
  </si>
  <si>
    <t>7.BESS</t>
  </si>
  <si>
    <t xml:space="preserve">Product Add On </t>
  </si>
  <si>
    <t>Catladder</t>
  </si>
  <si>
    <t xml:space="preserve">8. Product Add On </t>
  </si>
  <si>
    <t>Catladder Deposit</t>
  </si>
  <si>
    <t>Catladder Balance</t>
  </si>
  <si>
    <t>Only services to be capture below, products above</t>
  </si>
  <si>
    <t>AC &amp; DC Installation</t>
  </si>
  <si>
    <t>AC Installation Budget</t>
  </si>
  <si>
    <t>9. AC &amp; DC installation</t>
  </si>
  <si>
    <t>DC Installation Budget</t>
  </si>
  <si>
    <t>Site Logistics</t>
  </si>
  <si>
    <t>10. Site Logistics</t>
  </si>
  <si>
    <t>Security</t>
  </si>
  <si>
    <t>Due Dilligence</t>
  </si>
  <si>
    <t>Electrical PrEng sign off</t>
  </si>
  <si>
    <t>11. Due Dilligence</t>
  </si>
  <si>
    <t>Structural sign off</t>
  </si>
  <si>
    <t>Structural Sign Off</t>
  </si>
  <si>
    <t>Scada for CoCT</t>
  </si>
  <si>
    <t>Red Team Inspection</t>
  </si>
  <si>
    <t>BDP Commission</t>
  </si>
  <si>
    <t>PD Fee</t>
  </si>
  <si>
    <t>12. BDP Commission</t>
  </si>
  <si>
    <t>Engineering</t>
  </si>
  <si>
    <t>Matriarch Defects Period</t>
  </si>
  <si>
    <t>13. Engineering</t>
  </si>
  <si>
    <t>Matriarch Defects Period - 1.25%</t>
  </si>
  <si>
    <t>Management</t>
  </si>
  <si>
    <t xml:space="preserve">Project manager </t>
  </si>
  <si>
    <t>Planner time</t>
  </si>
  <si>
    <t>De Snagging</t>
  </si>
  <si>
    <t>General Expenses</t>
  </si>
  <si>
    <t>Car Travel</t>
  </si>
  <si>
    <t>14. General Expenses</t>
  </si>
  <si>
    <t>Travel</t>
  </si>
  <si>
    <t>Installer Accommodation</t>
  </si>
  <si>
    <t>Service Add On</t>
  </si>
  <si>
    <t>15. Service Add On</t>
  </si>
  <si>
    <t>Panel Procurement Budget</t>
  </si>
  <si>
    <t>Inverter Procurement Budget</t>
  </si>
  <si>
    <t>Mounting Structure Budget</t>
  </si>
  <si>
    <t>Monitoring Budget</t>
  </si>
  <si>
    <t>Optional Extras Budget</t>
  </si>
  <si>
    <t>MV Equipment Budget</t>
  </si>
  <si>
    <t>ADD ON</t>
  </si>
  <si>
    <t>Check Meter</t>
  </si>
  <si>
    <t>Generator</t>
  </si>
  <si>
    <t>Services</t>
  </si>
  <si>
    <t>AC Installer Budget</t>
  </si>
  <si>
    <t>DC Installer Budget</t>
  </si>
  <si>
    <t>In-House Expense Budget</t>
  </si>
  <si>
    <t>Compliance Budget</t>
  </si>
  <si>
    <t>Offloading Budget</t>
  </si>
  <si>
    <t>Roof Access Budget for Equipment</t>
  </si>
  <si>
    <t>Site storage</t>
  </si>
  <si>
    <t>On Site Security</t>
  </si>
  <si>
    <t>Roof Access Budget for Installers</t>
  </si>
  <si>
    <t>EPC Management Fee</t>
  </si>
  <si>
    <t>Expenses</t>
  </si>
  <si>
    <t>Total EE Expense Budget</t>
  </si>
  <si>
    <t>[RT: Double Check the first date is always a MONDAY]</t>
  </si>
  <si>
    <t>PLANNED</t>
  </si>
  <si>
    <t xml:space="preserve">Planned Revenue - Cumulative </t>
  </si>
  <si>
    <t xml:space="preserve">Planned Expenditure - Cumulative </t>
  </si>
  <si>
    <t xml:space="preserve">PLANNED CashFlow </t>
  </si>
  <si>
    <t>Actual + Planned Revenue</t>
  </si>
  <si>
    <t xml:space="preserve">Actual + Planned Revenue - Cumulative </t>
  </si>
  <si>
    <t>Actual + Planned Expenditure</t>
  </si>
  <si>
    <t xml:space="preserve">Actual + Planned Expenditure - Cumulative </t>
  </si>
  <si>
    <t xml:space="preserve">ACTUAL CashFlow </t>
  </si>
  <si>
    <t xml:space="preserve">Revenue Recognition </t>
  </si>
  <si>
    <t>Revenue Recognition Cumulative</t>
  </si>
  <si>
    <t>Sum of REVENUE RECOGNITION AMOUNT</t>
  </si>
  <si>
    <t>Column Labels</t>
  </si>
  <si>
    <t>Row Labels</t>
  </si>
  <si>
    <t>(blank)</t>
  </si>
  <si>
    <t>Grand Total</t>
  </si>
  <si>
    <t xml:space="preserve">Sum of Actual Total </t>
  </si>
  <si>
    <t>Database Supplier List</t>
  </si>
  <si>
    <t>Public holidays</t>
  </si>
  <si>
    <t>Drop down list</t>
  </si>
  <si>
    <t>Project Phases</t>
  </si>
  <si>
    <t>PM</t>
  </si>
  <si>
    <t>New Years Day</t>
  </si>
  <si>
    <t>Approved</t>
  </si>
  <si>
    <t>DLP</t>
  </si>
  <si>
    <t>Human Rights day</t>
  </si>
  <si>
    <t>Pending</t>
  </si>
  <si>
    <t>Keith Abdulla</t>
  </si>
  <si>
    <t>Good Friday</t>
  </si>
  <si>
    <t>Declined</t>
  </si>
  <si>
    <t>Planning</t>
  </si>
  <si>
    <t>JT Moorosi</t>
  </si>
  <si>
    <t>Family Day</t>
  </si>
  <si>
    <t>Abandoned</t>
  </si>
  <si>
    <t>Construction</t>
  </si>
  <si>
    <t>Lloyd Brown</t>
  </si>
  <si>
    <t>Freedom Day</t>
  </si>
  <si>
    <t>QA</t>
  </si>
  <si>
    <t xml:space="preserve">Freedom DayObserved </t>
  </si>
  <si>
    <t>Eon Van Rensburg</t>
  </si>
  <si>
    <t>Workers day</t>
  </si>
  <si>
    <t>Commercial Closed</t>
  </si>
  <si>
    <t>Shaun Shrives</t>
  </si>
  <si>
    <t>Youth Day Holiday</t>
  </si>
  <si>
    <t>Compliance Handover</t>
  </si>
  <si>
    <t>Womens Day</t>
  </si>
  <si>
    <t>Closed</t>
  </si>
  <si>
    <t>Kashmil Samuels</t>
  </si>
  <si>
    <t>Heritage Day</t>
  </si>
  <si>
    <t>Hold</t>
  </si>
  <si>
    <t>Day of Reconciliation</t>
  </si>
  <si>
    <t>Manual dates</t>
  </si>
  <si>
    <t>Christmas Day</t>
  </si>
  <si>
    <t>Builders Break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</si>
</sst>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_-&quot;R&quot;* #,##0.00_-;\-&quot;R&quot;* #,##0.00_-;_-&quot;R&quot;* &quot;-&quot;??_-;_-@_-"/>
    <numFmt numFmtId="165" formatCode="&quot;R&quot;#,##0_);[Red]\(&quot;R&quot;#,##0\)"/>
    <numFmt numFmtId="166" formatCode="&quot;R&quot;#,##0.00_);[Red]\(&quot;R&quot;#,##0.00\)"/>
    <numFmt numFmtId="167" formatCode="_(&quot;R&quot;* #,##0.00_);_(&quot;R&quot;* \(#,##0.00\);_(&quot;R&quot;* &quot;-&quot;??_);_(@_)"/>
    <numFmt numFmtId="168" formatCode="_-[$R-1C09]* #,##0.00_-;\-[$R-1C09]* #,##0.00_-;_-[$R-1C09]* &quot;-&quot;??_-;_-@_-"/>
    <numFmt numFmtId="169" formatCode="&quot;R&quot;#,##0.00"/>
    <numFmt numFmtId="170" formatCode="_-[$R-1C09]* #,##0.0000_-;\-[$R-1C09]* #,##0.0000_-;_-[$R-1C09]* &quot;-&quot;??_-;_-@_-"/>
  </numFmts>
  <fonts count="5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Proxima Nova Lt"/>
    </font>
    <font>
      <sz val="11"/>
      <name val="Proxima Nova Lt"/>
    </font>
    <font>
      <sz val="11"/>
      <color theme="1"/>
      <name val="Proxima Nova Lt"/>
    </font>
    <font>
      <b/>
      <sz val="11"/>
      <color theme="1"/>
      <name val="Proxima Nova Lt"/>
    </font>
    <font>
      <b/>
      <sz val="11"/>
      <name val="Proxima Nova Lt"/>
    </font>
    <font>
      <sz val="11"/>
      <color rgb="FFFF0000"/>
      <name val="Proxima Nova Lt"/>
    </font>
    <font>
      <b/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Proxima Nova Lt"/>
    </font>
    <font>
      <b/>
      <sz val="11"/>
      <color rgb="FF00B050"/>
      <name val="Proxima Nova Lt"/>
    </font>
    <font>
      <b/>
      <sz val="11"/>
      <color rgb="FFFF0000"/>
      <name val="Proxima Nova Lt"/>
    </font>
    <font>
      <b/>
      <sz val="9"/>
      <color theme="1"/>
      <name val="Proxima Nova Lt"/>
    </font>
    <font>
      <sz val="9"/>
      <name val="Proxima Nova Lt"/>
    </font>
    <font>
      <sz val="10"/>
      <color theme="1"/>
      <name val="Proxima Nova Lt"/>
    </font>
    <font>
      <b/>
      <sz val="10"/>
      <color theme="1"/>
      <name val="Proxima Nova Lt"/>
    </font>
    <font>
      <b/>
      <sz val="10"/>
      <color rgb="FF00B050"/>
      <name val="Proxima Nova Lt"/>
    </font>
    <font>
      <sz val="10"/>
      <color rgb="FFFF0000"/>
      <name val="Proxima Nova Lt"/>
    </font>
    <font>
      <sz val="10"/>
      <color theme="0"/>
      <name val="Proxima Nova Lt"/>
    </font>
    <font>
      <sz val="10"/>
      <name val="Proxima Nova Lt"/>
    </font>
    <font>
      <b/>
      <sz val="8"/>
      <color theme="1"/>
      <name val="Proxima Nova Lt"/>
    </font>
    <font>
      <b/>
      <sz val="9"/>
      <color rgb="FFFF0000"/>
      <name val="Proxima Nova Lt"/>
    </font>
    <font>
      <sz val="8"/>
      <color theme="1"/>
      <name val="Proxima Nova Lt"/>
    </font>
    <font>
      <b/>
      <sz val="10"/>
      <name val="Proxima Nova Lt"/>
    </font>
    <font>
      <sz val="11"/>
      <color theme="8" tint="0.79998168889431442"/>
      <name val="Proxima Nova Lt"/>
    </font>
    <font>
      <sz val="11"/>
      <color rgb="FF00B050"/>
      <name val="Proxima Nova Lt"/>
    </font>
    <font>
      <sz val="11"/>
      <color theme="7" tint="0.79998168889431442"/>
      <name val="Proxima Nova Lt"/>
    </font>
    <font>
      <i/>
      <sz val="10"/>
      <color theme="1"/>
      <name val="Proxima Nova Lt"/>
    </font>
    <font>
      <i/>
      <sz val="11"/>
      <color rgb="FFFF0000"/>
      <name val="Calibri"/>
      <family val="2"/>
      <scheme val="minor"/>
    </font>
    <font>
      <sz val="11"/>
      <color theme="0"/>
      <name val="Proxima Nova Lt"/>
    </font>
    <font>
      <b/>
      <sz val="14"/>
      <color theme="0"/>
      <name val="Calibri"/>
      <family val="2"/>
      <scheme val="minor"/>
    </font>
    <font>
      <b/>
      <sz val="18"/>
      <color rgb="FFFF0000"/>
      <name val="Proxima Nova Lt"/>
    </font>
    <font>
      <b/>
      <sz val="10"/>
      <color rgb="FFFF0000"/>
      <name val="Proxima Nova Lt"/>
    </font>
    <font>
      <sz val="11"/>
      <name val="Calibri"/>
      <family val="2"/>
      <scheme val="minor"/>
    </font>
    <font>
      <b/>
      <sz val="18"/>
      <name val="Proxima Nova Lt"/>
    </font>
    <font>
      <b/>
      <sz val="12"/>
      <color rgb="FFFF0000"/>
      <name val="Proxima Nova Lt"/>
    </font>
    <font>
      <b/>
      <sz val="10"/>
      <color theme="1"/>
      <name val="Arial"/>
      <family val="2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b/>
      <sz val="14"/>
      <color theme="9"/>
      <name val="Calibri"/>
      <family val="2"/>
      <scheme val="minor"/>
    </font>
    <font>
      <sz val="10"/>
      <color theme="1"/>
      <name val="Cambria"/>
      <family val="1"/>
    </font>
    <font>
      <sz val="10"/>
      <color theme="1"/>
      <name val="Fairwater Script"/>
    </font>
    <font>
      <sz val="10"/>
      <color theme="1"/>
      <name val="Calibri"/>
      <family val="2"/>
      <scheme val="minor"/>
    </font>
    <font>
      <b/>
      <u/>
      <sz val="10"/>
      <color theme="1"/>
      <name val="Proxima Nova Lt"/>
    </font>
    <font>
      <sz val="22"/>
      <color theme="0"/>
      <name val="Proxima Nova Rg"/>
    </font>
    <font>
      <sz val="14"/>
      <name val="Calibri"/>
      <family val="2"/>
      <scheme val="minor"/>
    </font>
    <font>
      <sz val="11"/>
      <color theme="1"/>
      <name val="Edwardian Script ITC"/>
      <family val="4"/>
    </font>
    <font>
      <b/>
      <sz val="12"/>
      <color theme="1"/>
      <name val="Proxima Nova Lt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1EA34A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ck">
        <color rgb="FFFF0000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rgb="FFC00000"/>
      </left>
      <right/>
      <top style="medium">
        <color indexed="64"/>
      </top>
      <bottom/>
      <diagonal/>
    </border>
    <border>
      <left style="thick">
        <color rgb="FFC00000"/>
      </left>
      <right/>
      <top style="thin">
        <color indexed="64"/>
      </top>
      <bottom style="thin">
        <color indexed="64"/>
      </bottom>
      <diagonal/>
    </border>
    <border>
      <left style="thick">
        <color rgb="FFC00000"/>
      </left>
      <right/>
      <top/>
      <bottom/>
      <diagonal/>
    </border>
    <border>
      <left style="medium">
        <color indexed="64"/>
      </left>
      <right style="thick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C00000"/>
      </right>
      <top/>
      <bottom/>
      <diagonal/>
    </border>
    <border>
      <left style="medium">
        <color indexed="64"/>
      </left>
      <right style="thick">
        <color rgb="FFC00000"/>
      </right>
      <top style="medium">
        <color indexed="64"/>
      </top>
      <bottom/>
      <diagonal/>
    </border>
    <border>
      <left style="thick">
        <color rgb="FFC00000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rgb="FFC00000"/>
      </right>
      <top style="thin">
        <color indexed="64"/>
      </top>
      <bottom style="medium">
        <color indexed="64"/>
      </bottom>
      <diagonal/>
    </border>
    <border>
      <left style="thick">
        <color rgb="FFC00000"/>
      </left>
      <right/>
      <top style="medium">
        <color indexed="64"/>
      </top>
      <bottom style="medium">
        <color indexed="64"/>
      </bottom>
      <diagonal/>
    </border>
    <border>
      <left style="thick">
        <color rgb="FFC00000"/>
      </left>
      <right/>
      <top/>
      <bottom style="thin">
        <color indexed="64"/>
      </bottom>
      <diagonal/>
    </border>
    <border>
      <left style="medium">
        <color indexed="64"/>
      </left>
      <right style="thick">
        <color rgb="FFC00000"/>
      </right>
      <top/>
      <bottom style="thin">
        <color indexed="64"/>
      </bottom>
      <diagonal/>
    </border>
    <border>
      <left style="medium">
        <color indexed="64"/>
      </left>
      <right style="thick">
        <color rgb="FFC00000"/>
      </right>
      <top style="medium">
        <color indexed="64"/>
      </top>
      <bottom style="medium">
        <color indexed="64"/>
      </bottom>
      <diagonal/>
    </border>
    <border>
      <left style="thick">
        <color rgb="FFC00000"/>
      </left>
      <right/>
      <top style="thin">
        <color indexed="64"/>
      </top>
      <bottom/>
      <diagonal/>
    </border>
    <border>
      <left style="medium">
        <color indexed="64"/>
      </left>
      <right style="thick">
        <color rgb="FFC00000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ck">
        <color rgb="FFC00000"/>
      </left>
      <right style="medium">
        <color indexed="64"/>
      </right>
      <top style="thin">
        <color indexed="64"/>
      </top>
      <bottom/>
      <diagonal/>
    </border>
    <border>
      <left style="thick">
        <color rgb="FFC00000"/>
      </left>
      <right style="medium">
        <color indexed="64"/>
      </right>
      <top/>
      <bottom/>
      <diagonal/>
    </border>
    <border>
      <left style="thick">
        <color rgb="FFC00000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C0000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C00000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780">
    <xf numFmtId="0" fontId="0" fillId="0" borderId="0" xfId="0"/>
    <xf numFmtId="0" fontId="5" fillId="2" borderId="0" xfId="0" applyFont="1" applyFill="1" applyProtection="1"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168" fontId="5" fillId="2" borderId="0" xfId="0" applyNumberFormat="1" applyFont="1" applyFill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0" fillId="0" borderId="2" xfId="0" applyBorder="1"/>
    <xf numFmtId="0" fontId="2" fillId="6" borderId="2" xfId="0" applyFont="1" applyFill="1" applyBorder="1" applyAlignment="1">
      <alignment horizontal="center" vertical="center"/>
    </xf>
    <xf numFmtId="0" fontId="12" fillId="0" borderId="0" xfId="0" applyFont="1"/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wrapText="1"/>
    </xf>
    <xf numFmtId="0" fontId="0" fillId="0" borderId="2" xfId="0" applyBorder="1" applyAlignment="1">
      <alignment horizontal="center" vertical="center" wrapText="1"/>
    </xf>
    <xf numFmtId="0" fontId="2" fillId="5" borderId="0" xfId="0" applyFont="1" applyFill="1"/>
    <xf numFmtId="0" fontId="2" fillId="6" borderId="2" xfId="0" applyFont="1" applyFill="1" applyBorder="1" applyAlignment="1">
      <alignment horizontal="center" vertical="center" wrapText="1"/>
    </xf>
    <xf numFmtId="15" fontId="12" fillId="0" borderId="17" xfId="0" applyNumberFormat="1" applyFont="1" applyBorder="1"/>
    <xf numFmtId="15" fontId="12" fillId="0" borderId="13" xfId="0" applyNumberFormat="1" applyFont="1" applyBorder="1"/>
    <xf numFmtId="0" fontId="12" fillId="0" borderId="17" xfId="0" applyFont="1" applyBorder="1"/>
    <xf numFmtId="0" fontId="12" fillId="0" borderId="13" xfId="0" applyFont="1" applyBorder="1"/>
    <xf numFmtId="0" fontId="12" fillId="0" borderId="11" xfId="0" applyFont="1" applyBorder="1"/>
    <xf numFmtId="0" fontId="12" fillId="10" borderId="0" xfId="0" applyFont="1" applyFill="1"/>
    <xf numFmtId="0" fontId="18" fillId="5" borderId="0" xfId="0" applyFont="1" applyFill="1"/>
    <xf numFmtId="0" fontId="18" fillId="5" borderId="0" xfId="0" applyFont="1" applyFill="1" applyAlignment="1">
      <alignment horizontal="center"/>
    </xf>
    <xf numFmtId="167" fontId="18" fillId="5" borderId="0" xfId="0" applyNumberFormat="1" applyFont="1" applyFill="1"/>
    <xf numFmtId="0" fontId="18" fillId="5" borderId="0" xfId="0" applyFont="1" applyFill="1" applyProtection="1"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5" fillId="5" borderId="0" xfId="0" applyFont="1" applyFill="1" applyProtection="1">
      <protection locked="0"/>
    </xf>
    <xf numFmtId="0" fontId="5" fillId="5" borderId="0" xfId="0" applyFont="1" applyFill="1" applyAlignment="1" applyProtection="1">
      <alignment horizontal="center"/>
      <protection locked="0"/>
    </xf>
    <xf numFmtId="0" fontId="6" fillId="5" borderId="0" xfId="0" applyFont="1" applyFill="1" applyProtection="1">
      <protection locked="0"/>
    </xf>
    <xf numFmtId="0" fontId="19" fillId="7" borderId="11" xfId="0" applyFont="1" applyFill="1" applyBorder="1" applyAlignment="1" applyProtection="1">
      <alignment horizontal="center" vertical="center"/>
      <protection locked="0"/>
    </xf>
    <xf numFmtId="167" fontId="18" fillId="5" borderId="0" xfId="0" applyNumberFormat="1" applyFont="1" applyFill="1" applyProtection="1">
      <protection locked="0"/>
    </xf>
    <xf numFmtId="0" fontId="18" fillId="5" borderId="0" xfId="0" applyFont="1" applyFill="1" applyAlignment="1" applyProtection="1">
      <alignment horizontal="center"/>
      <protection locked="0"/>
    </xf>
    <xf numFmtId="0" fontId="16" fillId="5" borderId="0" xfId="0" applyFont="1" applyFill="1" applyProtection="1">
      <protection locked="0"/>
    </xf>
    <xf numFmtId="0" fontId="25" fillId="5" borderId="0" xfId="0" applyFont="1" applyFill="1" applyProtection="1">
      <protection locked="0"/>
    </xf>
    <xf numFmtId="0" fontId="6" fillId="2" borderId="0" xfId="0" applyFont="1" applyFill="1" applyProtection="1">
      <protection locked="0"/>
    </xf>
    <xf numFmtId="0" fontId="13" fillId="5" borderId="0" xfId="0" applyFont="1" applyFill="1" applyProtection="1">
      <protection locked="0"/>
    </xf>
    <xf numFmtId="0" fontId="25" fillId="5" borderId="2" xfId="0" applyFont="1" applyFill="1" applyBorder="1" applyProtection="1">
      <protection locked="0"/>
    </xf>
    <xf numFmtId="0" fontId="16" fillId="2" borderId="0" xfId="0" applyFont="1" applyFill="1" applyProtection="1">
      <protection locked="0"/>
    </xf>
    <xf numFmtId="0" fontId="13" fillId="2" borderId="0" xfId="0" applyFont="1" applyFill="1" applyProtection="1">
      <protection locked="0"/>
    </xf>
    <xf numFmtId="0" fontId="19" fillId="5" borderId="0" xfId="0" applyFont="1" applyFill="1" applyAlignment="1" applyProtection="1">
      <alignment horizontal="center"/>
      <protection locked="0"/>
    </xf>
    <xf numFmtId="0" fontId="6" fillId="7" borderId="2" xfId="1" applyNumberFormat="1" applyFont="1" applyFill="1" applyBorder="1" applyAlignment="1" applyProtection="1">
      <alignment horizontal="center" vertical="center" wrapText="1"/>
    </xf>
    <xf numFmtId="0" fontId="6" fillId="7" borderId="2" xfId="1" applyNumberFormat="1" applyFont="1" applyFill="1" applyBorder="1" applyAlignment="1" applyProtection="1">
      <alignment horizontal="center" vertical="center"/>
    </xf>
    <xf numFmtId="0" fontId="19" fillId="5" borderId="0" xfId="0" applyFont="1" applyFill="1" applyAlignment="1" applyProtection="1">
      <alignment horizontal="left"/>
      <protection locked="0"/>
    </xf>
    <xf numFmtId="0" fontId="18" fillId="0" borderId="0" xfId="0" applyFont="1" applyProtection="1">
      <protection locked="0"/>
    </xf>
    <xf numFmtId="43" fontId="18" fillId="5" borderId="0" xfId="1" applyFont="1" applyFill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19" fillId="7" borderId="2" xfId="0" applyFont="1" applyFill="1" applyBorder="1" applyAlignment="1" applyProtection="1">
      <alignment horizontal="center"/>
      <protection locked="0"/>
    </xf>
    <xf numFmtId="0" fontId="19" fillId="7" borderId="9" xfId="0" applyFont="1" applyFill="1" applyBorder="1" applyProtection="1">
      <protection locked="0"/>
    </xf>
    <xf numFmtId="0" fontId="19" fillId="7" borderId="14" xfId="0" applyFont="1" applyFill="1" applyBorder="1" applyProtection="1">
      <protection locked="0"/>
    </xf>
    <xf numFmtId="0" fontId="18" fillId="5" borderId="0" xfId="0" applyFont="1" applyFill="1" applyAlignment="1" applyProtection="1">
      <alignment wrapText="1"/>
      <protection locked="0"/>
    </xf>
    <xf numFmtId="9" fontId="23" fillId="0" borderId="2" xfId="0" applyNumberFormat="1" applyFont="1" applyBorder="1" applyAlignment="1" applyProtection="1">
      <alignment horizontal="center"/>
      <protection locked="0"/>
    </xf>
    <xf numFmtId="167" fontId="23" fillId="0" borderId="2" xfId="0" applyNumberFormat="1" applyFont="1" applyBorder="1" applyProtection="1">
      <protection locked="0"/>
    </xf>
    <xf numFmtId="9" fontId="18" fillId="5" borderId="0" xfId="0" applyNumberFormat="1" applyFont="1" applyFill="1" applyAlignment="1" applyProtection="1">
      <alignment horizontal="center"/>
      <protection locked="0"/>
    </xf>
    <xf numFmtId="0" fontId="18" fillId="2" borderId="0" xfId="0" applyFont="1" applyFill="1" applyProtection="1">
      <protection locked="0"/>
    </xf>
    <xf numFmtId="0" fontId="18" fillId="2" borderId="0" xfId="0" applyFont="1" applyFill="1" applyAlignment="1" applyProtection="1">
      <alignment horizontal="center"/>
      <protection locked="0"/>
    </xf>
    <xf numFmtId="167" fontId="22" fillId="2" borderId="0" xfId="0" applyNumberFormat="1" applyFont="1" applyFill="1" applyProtection="1">
      <protection locked="0"/>
    </xf>
    <xf numFmtId="0" fontId="19" fillId="5" borderId="0" xfId="0" applyFont="1" applyFill="1" applyAlignment="1" applyProtection="1">
      <alignment vertical="top"/>
      <protection locked="0"/>
    </xf>
    <xf numFmtId="0" fontId="21" fillId="10" borderId="0" xfId="0" applyFont="1" applyFill="1" applyAlignment="1" applyProtection="1">
      <alignment horizontal="left" wrapText="1"/>
      <protection locked="0"/>
    </xf>
    <xf numFmtId="167" fontId="22" fillId="5" borderId="0" xfId="0" applyNumberFormat="1" applyFont="1" applyFill="1" applyProtection="1">
      <protection locked="0"/>
    </xf>
    <xf numFmtId="0" fontId="21" fillId="5" borderId="0" xfId="0" applyFont="1" applyFill="1" applyAlignment="1" applyProtection="1">
      <alignment horizontal="left"/>
      <protection locked="0"/>
    </xf>
    <xf numFmtId="0" fontId="18" fillId="5" borderId="0" xfId="0" applyFont="1" applyFill="1" applyAlignment="1" applyProtection="1">
      <alignment horizontal="left"/>
      <protection locked="0"/>
    </xf>
    <xf numFmtId="167" fontId="23" fillId="5" borderId="0" xfId="0" applyNumberFormat="1" applyFont="1" applyFill="1" applyProtection="1">
      <protection locked="0"/>
    </xf>
    <xf numFmtId="0" fontId="21" fillId="4" borderId="0" xfId="0" applyFont="1" applyFill="1" applyAlignment="1" applyProtection="1">
      <alignment horizontal="left"/>
      <protection locked="0"/>
    </xf>
    <xf numFmtId="0" fontId="18" fillId="4" borderId="0" xfId="0" applyFont="1" applyFill="1" applyAlignment="1" applyProtection="1">
      <alignment horizontal="left"/>
      <protection locked="0"/>
    </xf>
    <xf numFmtId="167" fontId="23" fillId="5" borderId="0" xfId="0" applyNumberFormat="1" applyFont="1" applyFill="1" applyAlignment="1" applyProtection="1">
      <alignment horizontal="left"/>
      <protection locked="0"/>
    </xf>
    <xf numFmtId="0" fontId="22" fillId="2" borderId="0" xfId="0" applyFont="1" applyFill="1" applyAlignment="1" applyProtection="1">
      <alignment horizontal="left" wrapText="1"/>
      <protection locked="0"/>
    </xf>
    <xf numFmtId="0" fontId="23" fillId="0" borderId="2" xfId="0" applyFont="1" applyBorder="1" applyAlignment="1" applyProtection="1">
      <alignment horizontal="center"/>
      <protection locked="0"/>
    </xf>
    <xf numFmtId="0" fontId="23" fillId="0" borderId="2" xfId="0" applyFont="1" applyBorder="1" applyProtection="1">
      <protection locked="0"/>
    </xf>
    <xf numFmtId="0" fontId="23" fillId="0" borderId="1" xfId="0" applyFont="1" applyBorder="1" applyAlignment="1" applyProtection="1">
      <alignment horizontal="center"/>
      <protection locked="0"/>
    </xf>
    <xf numFmtId="0" fontId="23" fillId="0" borderId="1" xfId="0" applyFont="1" applyBorder="1" applyProtection="1">
      <protection locked="0"/>
    </xf>
    <xf numFmtId="9" fontId="23" fillId="0" borderId="1" xfId="0" applyNumberFormat="1" applyFont="1" applyBorder="1" applyAlignment="1" applyProtection="1">
      <alignment horizontal="center"/>
      <protection locked="0"/>
    </xf>
    <xf numFmtId="167" fontId="23" fillId="0" borderId="1" xfId="0" applyNumberFormat="1" applyFont="1" applyBorder="1" applyProtection="1">
      <protection locked="0"/>
    </xf>
    <xf numFmtId="0" fontId="18" fillId="3" borderId="10" xfId="0" applyFont="1" applyFill="1" applyBorder="1" applyAlignment="1" applyProtection="1">
      <alignment horizontal="center"/>
      <protection locked="0"/>
    </xf>
    <xf numFmtId="0" fontId="18" fillId="3" borderId="15" xfId="0" applyFont="1" applyFill="1" applyBorder="1" applyProtection="1">
      <protection locked="0"/>
    </xf>
    <xf numFmtId="9" fontId="18" fillId="3" borderId="15" xfId="0" applyNumberFormat="1" applyFont="1" applyFill="1" applyBorder="1" applyAlignment="1" applyProtection="1">
      <alignment horizontal="center"/>
      <protection locked="0"/>
    </xf>
    <xf numFmtId="167" fontId="18" fillId="3" borderId="16" xfId="0" applyNumberFormat="1" applyFont="1" applyFill="1" applyBorder="1" applyProtection="1">
      <protection locked="0"/>
    </xf>
    <xf numFmtId="0" fontId="35" fillId="0" borderId="15" xfId="0" applyFont="1" applyBorder="1" applyAlignment="1" applyProtection="1">
      <alignment horizontal="left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19" fillId="7" borderId="26" xfId="0" applyFont="1" applyFill="1" applyBorder="1" applyAlignment="1" applyProtection="1">
      <alignment horizontal="center" wrapText="1"/>
      <protection locked="0"/>
    </xf>
    <xf numFmtId="0" fontId="13" fillId="5" borderId="0" xfId="0" applyFont="1" applyFill="1" applyAlignment="1" applyProtection="1">
      <alignment horizontal="center"/>
      <protection locked="0"/>
    </xf>
    <xf numFmtId="167" fontId="5" fillId="5" borderId="0" xfId="0" applyNumberFormat="1" applyFont="1" applyFill="1" applyAlignment="1" applyProtection="1">
      <alignment horizontal="center"/>
      <protection locked="0"/>
    </xf>
    <xf numFmtId="0" fontId="13" fillId="2" borderId="0" xfId="0" applyFont="1" applyFill="1" applyAlignment="1" applyProtection="1">
      <alignment horizontal="center"/>
      <protection locked="0"/>
    </xf>
    <xf numFmtId="167" fontId="5" fillId="2" borderId="0" xfId="0" applyNumberFormat="1" applyFont="1" applyFill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9" fillId="5" borderId="0" xfId="0" applyFont="1" applyFill="1" applyAlignment="1" applyProtection="1">
      <alignment horizontal="center" vertical="center"/>
      <protection locked="0"/>
    </xf>
    <xf numFmtId="167" fontId="14" fillId="5" borderId="0" xfId="0" applyNumberFormat="1" applyFont="1" applyFill="1" applyProtection="1">
      <protection locked="0"/>
    </xf>
    <xf numFmtId="15" fontId="36" fillId="0" borderId="2" xfId="0" applyNumberFormat="1" applyFont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13" fillId="7" borderId="18" xfId="0" applyFont="1" applyFill="1" applyBorder="1" applyAlignment="1" applyProtection="1">
      <alignment horizontal="center"/>
      <protection locked="0"/>
    </xf>
    <xf numFmtId="0" fontId="3" fillId="7" borderId="20" xfId="0" applyFont="1" applyFill="1" applyBorder="1" applyAlignment="1" applyProtection="1">
      <alignment horizontal="right"/>
      <protection locked="0"/>
    </xf>
    <xf numFmtId="0" fontId="33" fillId="5" borderId="0" xfId="0" applyFont="1" applyFill="1" applyProtection="1">
      <protection locked="0"/>
    </xf>
    <xf numFmtId="0" fontId="13" fillId="7" borderId="21" xfId="0" applyFont="1" applyFill="1" applyBorder="1" applyAlignment="1" applyProtection="1">
      <alignment horizontal="center"/>
      <protection locked="0"/>
    </xf>
    <xf numFmtId="0" fontId="3" fillId="7" borderId="22" xfId="0" applyFont="1" applyFill="1" applyBorder="1" applyAlignment="1" applyProtection="1">
      <alignment horizontal="right"/>
      <protection locked="0"/>
    </xf>
    <xf numFmtId="0" fontId="33" fillId="7" borderId="0" xfId="0" applyFont="1" applyFill="1" applyAlignment="1" applyProtection="1">
      <alignment horizontal="center"/>
      <protection locked="0"/>
    </xf>
    <xf numFmtId="0" fontId="33" fillId="7" borderId="0" xfId="0" applyFont="1" applyFill="1" applyProtection="1">
      <protection locked="0"/>
    </xf>
    <xf numFmtId="0" fontId="13" fillId="7" borderId="23" xfId="0" applyFont="1" applyFill="1" applyBorder="1" applyAlignment="1" applyProtection="1">
      <alignment horizontal="center"/>
      <protection locked="0"/>
    </xf>
    <xf numFmtId="0" fontId="3" fillId="7" borderId="25" xfId="0" applyFont="1" applyFill="1" applyBorder="1" applyAlignment="1" applyProtection="1">
      <alignment horizontal="right"/>
      <protection locked="0"/>
    </xf>
    <xf numFmtId="0" fontId="6" fillId="5" borderId="0" xfId="0" applyFont="1" applyFill="1" applyAlignment="1" applyProtection="1">
      <alignment horizontal="center"/>
      <protection locked="0"/>
    </xf>
    <xf numFmtId="16" fontId="32" fillId="0" borderId="0" xfId="0" applyNumberFormat="1" applyFont="1" applyAlignment="1">
      <alignment horizontal="right"/>
    </xf>
    <xf numFmtId="16" fontId="32" fillId="2" borderId="0" xfId="0" applyNumberFormat="1" applyFont="1" applyFill="1" applyAlignment="1">
      <alignment horizontal="right"/>
    </xf>
    <xf numFmtId="15" fontId="0" fillId="0" borderId="2" xfId="0" applyNumberFormat="1" applyBorder="1"/>
    <xf numFmtId="15" fontId="0" fillId="3" borderId="2" xfId="0" applyNumberFormat="1" applyFill="1" applyBorder="1"/>
    <xf numFmtId="0" fontId="0" fillId="2" borderId="0" xfId="0" applyFill="1"/>
    <xf numFmtId="0" fontId="9" fillId="2" borderId="14" xfId="0" applyFont="1" applyFill="1" applyBorder="1"/>
    <xf numFmtId="0" fontId="9" fillId="2" borderId="0" xfId="0" applyFont="1" applyFill="1" applyAlignment="1">
      <alignment horizontal="center"/>
    </xf>
    <xf numFmtId="16" fontId="0" fillId="2" borderId="0" xfId="0" applyNumberFormat="1" applyFill="1"/>
    <xf numFmtId="0" fontId="0" fillId="6" borderId="14" xfId="0" applyFill="1" applyBorder="1"/>
    <xf numFmtId="167" fontId="0" fillId="6" borderId="2" xfId="0" applyNumberFormat="1" applyFill="1" applyBorder="1"/>
    <xf numFmtId="167" fontId="0" fillId="2" borderId="2" xfId="0" applyNumberFormat="1" applyFill="1" applyBorder="1"/>
    <xf numFmtId="3" fontId="0" fillId="6" borderId="2" xfId="0" applyNumberFormat="1" applyFill="1" applyBorder="1" applyAlignment="1">
      <alignment horizontal="right"/>
    </xf>
    <xf numFmtId="0" fontId="0" fillId="12" borderId="14" xfId="0" applyFill="1" applyBorder="1"/>
    <xf numFmtId="167" fontId="0" fillId="12" borderId="2" xfId="0" applyNumberFormat="1" applyFill="1" applyBorder="1"/>
    <xf numFmtId="3" fontId="0" fillId="12" borderId="2" xfId="0" applyNumberFormat="1" applyFill="1" applyBorder="1" applyAlignment="1">
      <alignment horizontal="right"/>
    </xf>
    <xf numFmtId="0" fontId="10" fillId="3" borderId="0" xfId="0" applyFont="1" applyFill="1"/>
    <xf numFmtId="0" fontId="0" fillId="3" borderId="0" xfId="0" applyFill="1"/>
    <xf numFmtId="0" fontId="0" fillId="3" borderId="14" xfId="0" applyFill="1" applyBorder="1" applyAlignment="1">
      <alignment horizontal="right"/>
    </xf>
    <xf numFmtId="0" fontId="0" fillId="3" borderId="2" xfId="0" applyFill="1" applyBorder="1"/>
    <xf numFmtId="0" fontId="0" fillId="2" borderId="2" xfId="0" applyFill="1" applyBorder="1"/>
    <xf numFmtId="3" fontId="0" fillId="3" borderId="2" xfId="0" applyNumberFormat="1" applyFill="1" applyBorder="1" applyAlignment="1">
      <alignment horizontal="right"/>
    </xf>
    <xf numFmtId="3" fontId="0" fillId="2" borderId="0" xfId="0" applyNumberFormat="1" applyFill="1" applyAlignment="1">
      <alignment horizontal="right"/>
    </xf>
    <xf numFmtId="0" fontId="0" fillId="7" borderId="14" xfId="0" applyFill="1" applyBorder="1"/>
    <xf numFmtId="167" fontId="0" fillId="7" borderId="2" xfId="0" applyNumberFormat="1" applyFill="1" applyBorder="1"/>
    <xf numFmtId="3" fontId="0" fillId="7" borderId="2" xfId="0" applyNumberFormat="1" applyFill="1" applyBorder="1" applyAlignment="1">
      <alignment horizontal="right"/>
    </xf>
    <xf numFmtId="0" fontId="0" fillId="13" borderId="14" xfId="0" applyFill="1" applyBorder="1"/>
    <xf numFmtId="167" fontId="0" fillId="13" borderId="2" xfId="0" applyNumberFormat="1" applyFill="1" applyBorder="1"/>
    <xf numFmtId="3" fontId="0" fillId="13" borderId="2" xfId="0" applyNumberFormat="1" applyFill="1" applyBorder="1" applyAlignment="1">
      <alignment horizontal="right"/>
    </xf>
    <xf numFmtId="0" fontId="5" fillId="5" borderId="0" xfId="0" applyFont="1" applyFill="1"/>
    <xf numFmtId="0" fontId="5" fillId="5" borderId="0" xfId="0" applyFont="1" applyFill="1" applyAlignment="1">
      <alignment horizontal="center"/>
    </xf>
    <xf numFmtId="0" fontId="4" fillId="5" borderId="0" xfId="0" applyFont="1" applyFill="1"/>
    <xf numFmtId="0" fontId="5" fillId="0" borderId="0" xfId="0" applyFont="1" applyAlignment="1">
      <alignment horizontal="center"/>
    </xf>
    <xf numFmtId="0" fontId="6" fillId="5" borderId="0" xfId="0" applyFont="1" applyFill="1"/>
    <xf numFmtId="0" fontId="6" fillId="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167" fontId="7" fillId="5" borderId="11" xfId="0" applyNumberFormat="1" applyFont="1" applyFill="1" applyBorder="1"/>
    <xf numFmtId="167" fontId="29" fillId="5" borderId="2" xfId="0" applyNumberFormat="1" applyFont="1" applyFill="1" applyBorder="1" applyAlignment="1">
      <alignment vertical="center"/>
    </xf>
    <xf numFmtId="0" fontId="6" fillId="5" borderId="0" xfId="0" applyFont="1" applyFill="1" applyAlignment="1">
      <alignment horizontal="left"/>
    </xf>
    <xf numFmtId="0" fontId="19" fillId="7" borderId="11" xfId="0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9" fillId="7" borderId="11" xfId="0" applyFont="1" applyFill="1" applyBorder="1" applyAlignment="1">
      <alignment horizontal="center" vertical="center" wrapText="1"/>
    </xf>
    <xf numFmtId="0" fontId="19" fillId="5" borderId="0" xfId="0" applyFont="1" applyFill="1" applyAlignment="1">
      <alignment horizontal="center" vertical="center" wrapText="1"/>
    </xf>
    <xf numFmtId="0" fontId="26" fillId="5" borderId="2" xfId="0" applyFont="1" applyFill="1" applyBorder="1" applyAlignment="1">
      <alignment horizontal="center"/>
    </xf>
    <xf numFmtId="0" fontId="26" fillId="5" borderId="2" xfId="0" applyFont="1" applyFill="1" applyBorder="1"/>
    <xf numFmtId="167" fontId="18" fillId="5" borderId="2" xfId="0" applyNumberFormat="1" applyFont="1" applyFill="1" applyBorder="1"/>
    <xf numFmtId="167" fontId="23" fillId="5" borderId="2" xfId="0" applyNumberFormat="1" applyFont="1" applyFill="1" applyBorder="1"/>
    <xf numFmtId="0" fontId="18" fillId="5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right"/>
    </xf>
    <xf numFmtId="167" fontId="31" fillId="5" borderId="0" xfId="0" applyNumberFormat="1" applyFont="1" applyFill="1"/>
    <xf numFmtId="167" fontId="20" fillId="5" borderId="0" xfId="0" applyNumberFormat="1" applyFont="1" applyFill="1"/>
    <xf numFmtId="0" fontId="6" fillId="7" borderId="2" xfId="0" applyFont="1" applyFill="1" applyBorder="1" applyAlignment="1">
      <alignment horizontal="center" vertical="center" wrapText="1"/>
    </xf>
    <xf numFmtId="167" fontId="5" fillId="5" borderId="0" xfId="0" applyNumberFormat="1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0" fontId="5" fillId="5" borderId="2" xfId="0" applyFont="1" applyFill="1" applyBorder="1" applyAlignment="1">
      <alignment horizontal="center" wrapText="1"/>
    </xf>
    <xf numFmtId="0" fontId="5" fillId="5" borderId="2" xfId="0" applyFont="1" applyFill="1" applyBorder="1" applyAlignment="1">
      <alignment wrapText="1"/>
    </xf>
    <xf numFmtId="0" fontId="5" fillId="5" borderId="2" xfId="0" applyFont="1" applyFill="1" applyBorder="1" applyAlignment="1">
      <alignment horizontal="center"/>
    </xf>
    <xf numFmtId="0" fontId="5" fillId="5" borderId="2" xfId="0" applyFont="1" applyFill="1" applyBorder="1"/>
    <xf numFmtId="0" fontId="24" fillId="6" borderId="2" xfId="0" applyFont="1" applyFill="1" applyBorder="1" applyAlignment="1">
      <alignment horizontal="center"/>
    </xf>
    <xf numFmtId="0" fontId="7" fillId="6" borderId="2" xfId="0" applyFont="1" applyFill="1" applyBorder="1"/>
    <xf numFmtId="0" fontId="24" fillId="5" borderId="2" xfId="0" applyFont="1" applyFill="1" applyBorder="1" applyAlignment="1">
      <alignment horizontal="center"/>
    </xf>
    <xf numFmtId="0" fontId="4" fillId="5" borderId="2" xfId="0" applyFont="1" applyFill="1" applyBorder="1"/>
    <xf numFmtId="0" fontId="15" fillId="5" borderId="2" xfId="0" applyFont="1" applyFill="1" applyBorder="1" applyProtection="1">
      <protection locked="0"/>
    </xf>
    <xf numFmtId="0" fontId="5" fillId="5" borderId="0" xfId="0" applyFont="1" applyFill="1" applyAlignment="1" applyProtection="1">
      <alignment vertical="center"/>
      <protection locked="0"/>
    </xf>
    <xf numFmtId="0" fontId="8" fillId="5" borderId="0" xfId="0" applyFont="1" applyFill="1" applyAlignment="1" applyProtection="1">
      <alignment horizontal="center" vertical="center"/>
      <protection locked="0"/>
    </xf>
    <xf numFmtId="168" fontId="6" fillId="0" borderId="11" xfId="0" applyNumberFormat="1" applyFont="1" applyBorder="1" applyAlignment="1" applyProtection="1">
      <alignment vertical="center"/>
      <protection locked="0"/>
    </xf>
    <xf numFmtId="0" fontId="6" fillId="0" borderId="36" xfId="0" applyFont="1" applyBorder="1" applyAlignment="1" applyProtection="1">
      <alignment horizontal="center" vertical="center"/>
      <protection locked="0"/>
    </xf>
    <xf numFmtId="0" fontId="6" fillId="0" borderId="37" xfId="0" applyFont="1" applyBorder="1" applyAlignment="1" applyProtection="1">
      <alignment horizontal="center" vertical="center"/>
      <protection locked="0"/>
    </xf>
    <xf numFmtId="168" fontId="6" fillId="0" borderId="37" xfId="0" applyNumberFormat="1" applyFont="1" applyBorder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/>
      <protection locked="0"/>
    </xf>
    <xf numFmtId="0" fontId="5" fillId="2" borderId="27" xfId="0" applyFont="1" applyFill="1" applyBorder="1" applyAlignment="1" applyProtection="1">
      <alignment horizontal="center"/>
      <protection locked="0"/>
    </xf>
    <xf numFmtId="0" fontId="5" fillId="2" borderId="28" xfId="0" applyFont="1" applyFill="1" applyBorder="1" applyProtection="1">
      <protection locked="0"/>
    </xf>
    <xf numFmtId="0" fontId="5" fillId="2" borderId="28" xfId="0" applyFont="1" applyFill="1" applyBorder="1" applyAlignment="1" applyProtection="1">
      <alignment horizontal="center" vertical="center"/>
      <protection locked="0"/>
    </xf>
    <xf numFmtId="168" fontId="5" fillId="2" borderId="28" xfId="0" applyNumberFormat="1" applyFont="1" applyFill="1" applyBorder="1" applyAlignment="1" applyProtection="1">
      <alignment wrapText="1"/>
      <protection locked="0"/>
    </xf>
    <xf numFmtId="0" fontId="5" fillId="2" borderId="12" xfId="0" applyFont="1" applyFill="1" applyBorder="1" applyAlignment="1" applyProtection="1">
      <alignment vertical="center"/>
      <protection locked="0"/>
    </xf>
    <xf numFmtId="0" fontId="5" fillId="2" borderId="5" xfId="0" applyFont="1" applyFill="1" applyBorder="1" applyProtection="1">
      <protection locked="0"/>
    </xf>
    <xf numFmtId="0" fontId="13" fillId="8" borderId="33" xfId="0" applyFont="1" applyFill="1" applyBorder="1" applyAlignment="1" applyProtection="1">
      <alignment horizontal="center"/>
      <protection locked="0"/>
    </xf>
    <xf numFmtId="0" fontId="5" fillId="8" borderId="34" xfId="0" applyFont="1" applyFill="1" applyBorder="1" applyProtection="1">
      <protection locked="0"/>
    </xf>
    <xf numFmtId="0" fontId="5" fillId="8" borderId="34" xfId="0" applyFont="1" applyFill="1" applyBorder="1" applyAlignment="1" applyProtection="1">
      <alignment horizontal="center" vertical="center"/>
      <protection locked="0"/>
    </xf>
    <xf numFmtId="0" fontId="5" fillId="8" borderId="0" xfId="0" applyFont="1" applyFill="1" applyProtection="1">
      <protection locked="0"/>
    </xf>
    <xf numFmtId="0" fontId="13" fillId="8" borderId="31" xfId="0" applyFont="1" applyFill="1" applyBorder="1" applyAlignment="1" applyProtection="1">
      <alignment horizontal="center"/>
      <protection locked="0"/>
    </xf>
    <xf numFmtId="168" fontId="4" fillId="8" borderId="32" xfId="0" applyNumberFormat="1" applyFont="1" applyFill="1" applyBorder="1" applyAlignment="1" applyProtection="1">
      <alignment horizontal="center"/>
      <protection locked="0"/>
    </xf>
    <xf numFmtId="0" fontId="5" fillId="8" borderId="7" xfId="0" applyFont="1" applyFill="1" applyBorder="1" applyProtection="1">
      <protection locked="0"/>
    </xf>
    <xf numFmtId="0" fontId="13" fillId="0" borderId="39" xfId="0" applyFont="1" applyBorder="1" applyProtection="1">
      <protection locked="0"/>
    </xf>
    <xf numFmtId="0" fontId="5" fillId="0" borderId="3" xfId="0" applyFont="1" applyBorder="1" applyProtection="1">
      <protection locked="0"/>
    </xf>
    <xf numFmtId="168" fontId="5" fillId="0" borderId="3" xfId="0" applyNumberFormat="1" applyFont="1" applyBorder="1" applyProtection="1"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17" xfId="0" applyFont="1" applyBorder="1" applyAlignment="1" applyProtection="1">
      <alignment vertical="center"/>
      <protection locked="0"/>
    </xf>
    <xf numFmtId="0" fontId="13" fillId="9" borderId="33" xfId="0" applyFont="1" applyFill="1" applyBorder="1" applyAlignment="1" applyProtection="1">
      <alignment horizontal="center"/>
      <protection locked="0"/>
    </xf>
    <xf numFmtId="0" fontId="5" fillId="9" borderId="34" xfId="0" applyFont="1" applyFill="1" applyBorder="1" applyProtection="1">
      <protection locked="0"/>
    </xf>
    <xf numFmtId="0" fontId="5" fillId="9" borderId="34" xfId="0" applyFont="1" applyFill="1" applyBorder="1" applyAlignment="1" applyProtection="1">
      <alignment horizontal="center" vertical="center"/>
      <protection locked="0"/>
    </xf>
    <xf numFmtId="168" fontId="4" fillId="9" borderId="34" xfId="0" applyNumberFormat="1" applyFont="1" applyFill="1" applyBorder="1" applyAlignment="1" applyProtection="1">
      <alignment horizontal="center"/>
      <protection locked="0"/>
    </xf>
    <xf numFmtId="0" fontId="5" fillId="9" borderId="5" xfId="0" applyFont="1" applyFill="1" applyBorder="1" applyProtection="1">
      <protection locked="0"/>
    </xf>
    <xf numFmtId="0" fontId="13" fillId="9" borderId="30" xfId="0" applyFont="1" applyFill="1" applyBorder="1" applyAlignment="1" applyProtection="1">
      <alignment horizontal="center"/>
      <protection locked="0"/>
    </xf>
    <xf numFmtId="0" fontId="5" fillId="9" borderId="26" xfId="0" applyFont="1" applyFill="1" applyBorder="1" applyProtection="1">
      <protection locked="0"/>
    </xf>
    <xf numFmtId="0" fontId="5" fillId="9" borderId="0" xfId="0" applyFont="1" applyFill="1" applyProtection="1">
      <protection locked="0"/>
    </xf>
    <xf numFmtId="0" fontId="5" fillId="9" borderId="7" xfId="0" applyFont="1" applyFill="1" applyBorder="1" applyProtection="1">
      <protection locked="0"/>
    </xf>
    <xf numFmtId="0" fontId="13" fillId="0" borderId="39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68" fontId="4" fillId="0" borderId="3" xfId="0" applyNumberFormat="1" applyFont="1" applyBorder="1" applyAlignment="1" applyProtection="1">
      <alignment horizontal="center"/>
      <protection locked="0"/>
    </xf>
    <xf numFmtId="0" fontId="13" fillId="11" borderId="33" xfId="0" applyFont="1" applyFill="1" applyBorder="1" applyAlignment="1" applyProtection="1">
      <alignment horizontal="center"/>
      <protection locked="0"/>
    </xf>
    <xf numFmtId="0" fontId="5" fillId="11" borderId="34" xfId="0" applyFont="1" applyFill="1" applyBorder="1" applyAlignment="1" applyProtection="1">
      <alignment horizontal="left" vertical="center"/>
      <protection locked="0"/>
    </xf>
    <xf numFmtId="9" fontId="5" fillId="11" borderId="34" xfId="0" applyNumberFormat="1" applyFont="1" applyFill="1" applyBorder="1" applyProtection="1">
      <protection locked="0"/>
    </xf>
    <xf numFmtId="168" fontId="4" fillId="11" borderId="34" xfId="0" applyNumberFormat="1" applyFont="1" applyFill="1" applyBorder="1" applyAlignment="1" applyProtection="1">
      <alignment horizontal="center"/>
      <protection locked="0"/>
    </xf>
    <xf numFmtId="0" fontId="5" fillId="11" borderId="5" xfId="0" applyFont="1" applyFill="1" applyBorder="1" applyProtection="1">
      <protection locked="0"/>
    </xf>
    <xf numFmtId="0" fontId="13" fillId="11" borderId="29" xfId="0" applyFont="1" applyFill="1" applyBorder="1" applyAlignment="1" applyProtection="1">
      <alignment horizontal="center"/>
      <protection locked="0"/>
    </xf>
    <xf numFmtId="9" fontId="5" fillId="11" borderId="2" xfId="0" applyNumberFormat="1" applyFont="1" applyFill="1" applyBorder="1" applyProtection="1">
      <protection locked="0"/>
    </xf>
    <xf numFmtId="168" fontId="4" fillId="11" borderId="2" xfId="0" applyNumberFormat="1" applyFont="1" applyFill="1" applyBorder="1" applyAlignment="1" applyProtection="1">
      <alignment horizontal="center"/>
      <protection locked="0"/>
    </xf>
    <xf numFmtId="0" fontId="5" fillId="11" borderId="0" xfId="0" applyFont="1" applyFill="1" applyProtection="1">
      <protection locked="0"/>
    </xf>
    <xf numFmtId="0" fontId="13" fillId="11" borderId="31" xfId="0" applyFont="1" applyFill="1" applyBorder="1" applyAlignment="1" applyProtection="1">
      <alignment horizontal="center"/>
      <protection locked="0"/>
    </xf>
    <xf numFmtId="0" fontId="5" fillId="11" borderId="32" xfId="0" applyFont="1" applyFill="1" applyBorder="1" applyAlignment="1" applyProtection="1">
      <alignment horizontal="left" vertical="center"/>
      <protection locked="0"/>
    </xf>
    <xf numFmtId="9" fontId="5" fillId="11" borderId="32" xfId="0" applyNumberFormat="1" applyFont="1" applyFill="1" applyBorder="1" applyProtection="1">
      <protection locked="0"/>
    </xf>
    <xf numFmtId="168" fontId="4" fillId="11" borderId="32" xfId="0" applyNumberFormat="1" applyFont="1" applyFill="1" applyBorder="1" applyAlignment="1" applyProtection="1">
      <alignment horizontal="center"/>
      <protection locked="0"/>
    </xf>
    <xf numFmtId="0" fontId="5" fillId="11" borderId="7" xfId="0" applyFont="1" applyFill="1" applyBorder="1" applyProtection="1">
      <protection locked="0"/>
    </xf>
    <xf numFmtId="0" fontId="5" fillId="0" borderId="3" xfId="0" applyFont="1" applyBorder="1" applyAlignment="1" applyProtection="1">
      <alignment horizontal="left" vertical="center"/>
      <protection locked="0"/>
    </xf>
    <xf numFmtId="9" fontId="5" fillId="0" borderId="3" xfId="0" applyNumberFormat="1" applyFont="1" applyBorder="1" applyProtection="1">
      <protection locked="0"/>
    </xf>
    <xf numFmtId="0" fontId="5" fillId="9" borderId="34" xfId="0" applyFont="1" applyFill="1" applyBorder="1" applyAlignment="1" applyProtection="1">
      <alignment horizontal="left" vertical="center"/>
      <protection locked="0"/>
    </xf>
    <xf numFmtId="0" fontId="5" fillId="9" borderId="26" xfId="0" applyFont="1" applyFill="1" applyBorder="1" applyAlignment="1" applyProtection="1">
      <alignment horizontal="left" vertical="center"/>
      <protection locked="0"/>
    </xf>
    <xf numFmtId="0" fontId="13" fillId="9" borderId="29" xfId="0" applyFont="1" applyFill="1" applyBorder="1" applyAlignment="1" applyProtection="1">
      <alignment horizontal="center"/>
      <protection locked="0"/>
    </xf>
    <xf numFmtId="0" fontId="5" fillId="9" borderId="2" xfId="0" applyFont="1" applyFill="1" applyBorder="1" applyAlignment="1" applyProtection="1">
      <alignment horizontal="left" vertical="center"/>
      <protection locked="0"/>
    </xf>
    <xf numFmtId="0" fontId="5" fillId="9" borderId="2" xfId="0" applyFont="1" applyFill="1" applyBorder="1" applyProtection="1">
      <protection locked="0"/>
    </xf>
    <xf numFmtId="0" fontId="5" fillId="9" borderId="2" xfId="0" applyFont="1" applyFill="1" applyBorder="1" applyAlignment="1" applyProtection="1">
      <alignment horizontal="center" vertical="center"/>
      <protection locked="0"/>
    </xf>
    <xf numFmtId="168" fontId="4" fillId="9" borderId="2" xfId="0" applyNumberFormat="1" applyFont="1" applyFill="1" applyBorder="1" applyAlignment="1" applyProtection="1">
      <alignment horizontal="center"/>
      <protection locked="0"/>
    </xf>
    <xf numFmtId="0" fontId="13" fillId="9" borderId="31" xfId="0" applyFont="1" applyFill="1" applyBorder="1" applyAlignment="1" applyProtection="1">
      <alignment horizontal="center"/>
      <protection locked="0"/>
    </xf>
    <xf numFmtId="0" fontId="5" fillId="9" borderId="32" xfId="0" applyFont="1" applyFill="1" applyBorder="1" applyProtection="1">
      <protection locked="0"/>
    </xf>
    <xf numFmtId="0" fontId="5" fillId="9" borderId="32" xfId="0" applyFont="1" applyFill="1" applyBorder="1" applyAlignment="1" applyProtection="1">
      <alignment horizontal="center" vertical="center"/>
      <protection locked="0"/>
    </xf>
    <xf numFmtId="0" fontId="5" fillId="11" borderId="34" xfId="0" applyFont="1" applyFill="1" applyBorder="1" applyProtection="1">
      <protection locked="0"/>
    </xf>
    <xf numFmtId="0" fontId="13" fillId="11" borderId="30" xfId="0" applyFont="1" applyFill="1" applyBorder="1" applyAlignment="1" applyProtection="1">
      <alignment horizontal="center"/>
      <protection locked="0"/>
    </xf>
    <xf numFmtId="168" fontId="4" fillId="11" borderId="26" xfId="0" applyNumberFormat="1" applyFont="1" applyFill="1" applyBorder="1" applyAlignment="1" applyProtection="1">
      <alignment horizontal="center"/>
      <protection locked="0"/>
    </xf>
    <xf numFmtId="0" fontId="13" fillId="11" borderId="35" xfId="0" applyFont="1" applyFill="1" applyBorder="1" applyAlignment="1" applyProtection="1">
      <alignment horizontal="center"/>
      <protection locked="0"/>
    </xf>
    <xf numFmtId="0" fontId="5" fillId="11" borderId="1" xfId="0" applyFont="1" applyFill="1" applyBorder="1" applyAlignment="1" applyProtection="1">
      <alignment horizontal="left" vertical="center"/>
      <protection locked="0"/>
    </xf>
    <xf numFmtId="168" fontId="4" fillId="11" borderId="1" xfId="0" applyNumberFormat="1" applyFont="1" applyFill="1" applyBorder="1" applyAlignment="1" applyProtection="1">
      <alignment horizontal="center"/>
      <protection locked="0"/>
    </xf>
    <xf numFmtId="0" fontId="5" fillId="11" borderId="32" xfId="0" applyFont="1" applyFill="1" applyBorder="1" applyProtection="1">
      <protection locked="0"/>
    </xf>
    <xf numFmtId="168" fontId="6" fillId="0" borderId="17" xfId="0" applyNumberFormat="1" applyFont="1" applyBorder="1" applyAlignment="1" applyProtection="1">
      <alignment vertical="center"/>
      <protection locked="0"/>
    </xf>
    <xf numFmtId="9" fontId="5" fillId="9" borderId="34" xfId="0" applyNumberFormat="1" applyFont="1" applyFill="1" applyBorder="1" applyProtection="1">
      <protection locked="0"/>
    </xf>
    <xf numFmtId="9" fontId="5" fillId="9" borderId="2" xfId="0" applyNumberFormat="1" applyFont="1" applyFill="1" applyBorder="1" applyProtection="1">
      <protection locked="0"/>
    </xf>
    <xf numFmtId="9" fontId="5" fillId="9" borderId="32" xfId="0" applyNumberFormat="1" applyFont="1" applyFill="1" applyBorder="1" applyProtection="1">
      <protection locked="0"/>
    </xf>
    <xf numFmtId="168" fontId="4" fillId="9" borderId="32" xfId="0" applyNumberFormat="1" applyFont="1" applyFill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left" vertical="center"/>
      <protection locked="0"/>
    </xf>
    <xf numFmtId="0" fontId="13" fillId="11" borderId="27" xfId="0" applyFont="1" applyFill="1" applyBorder="1" applyAlignment="1" applyProtection="1">
      <alignment horizontal="center"/>
      <protection locked="0"/>
    </xf>
    <xf numFmtId="9" fontId="5" fillId="11" borderId="28" xfId="0" applyNumberFormat="1" applyFont="1" applyFill="1" applyBorder="1" applyProtection="1">
      <protection locked="0"/>
    </xf>
    <xf numFmtId="168" fontId="4" fillId="11" borderId="28" xfId="0" applyNumberFormat="1" applyFont="1" applyFill="1" applyBorder="1" applyAlignment="1" applyProtection="1">
      <alignment horizontal="center"/>
      <protection locked="0"/>
    </xf>
    <xf numFmtId="9" fontId="5" fillId="11" borderId="1" xfId="0" applyNumberFormat="1" applyFont="1" applyFill="1" applyBorder="1" applyProtection="1">
      <protection locked="0"/>
    </xf>
    <xf numFmtId="0" fontId="35" fillId="0" borderId="10" xfId="0" applyFont="1" applyBorder="1" applyAlignment="1" applyProtection="1">
      <alignment horizontal="left"/>
      <protection locked="0"/>
    </xf>
    <xf numFmtId="0" fontId="5" fillId="9" borderId="32" xfId="0" applyFont="1" applyFill="1" applyBorder="1" applyAlignment="1" applyProtection="1">
      <alignment horizontal="left" vertical="center"/>
      <protection locked="0"/>
    </xf>
    <xf numFmtId="168" fontId="4" fillId="8" borderId="34" xfId="0" applyNumberFormat="1" applyFont="1" applyFill="1" applyBorder="1" applyAlignment="1" applyProtection="1">
      <alignment horizontal="center"/>
      <protection locked="0"/>
    </xf>
    <xf numFmtId="0" fontId="5" fillId="8" borderId="5" xfId="0" applyFont="1" applyFill="1" applyBorder="1" applyProtection="1">
      <protection locked="0"/>
    </xf>
    <xf numFmtId="0" fontId="13" fillId="8" borderId="30" xfId="0" applyFont="1" applyFill="1" applyBorder="1" applyAlignment="1" applyProtection="1">
      <alignment horizontal="center"/>
      <protection locked="0"/>
    </xf>
    <xf numFmtId="0" fontId="5" fillId="8" borderId="26" xfId="0" applyFont="1" applyFill="1" applyBorder="1" applyProtection="1">
      <protection locked="0"/>
    </xf>
    <xf numFmtId="0" fontId="5" fillId="8" borderId="26" xfId="0" applyFont="1" applyFill="1" applyBorder="1" applyAlignment="1" applyProtection="1">
      <alignment horizontal="center" vertical="center"/>
      <protection locked="0"/>
    </xf>
    <xf numFmtId="168" fontId="4" fillId="8" borderId="26" xfId="0" applyNumberFormat="1" applyFont="1" applyFill="1" applyBorder="1" applyAlignment="1" applyProtection="1">
      <alignment horizontal="center"/>
      <protection locked="0"/>
    </xf>
    <xf numFmtId="0" fontId="5" fillId="8" borderId="32" xfId="0" applyFont="1" applyFill="1" applyBorder="1" applyProtection="1">
      <protection locked="0"/>
    </xf>
    <xf numFmtId="0" fontId="5" fillId="8" borderId="32" xfId="0" applyFont="1" applyFill="1" applyBorder="1" applyAlignment="1" applyProtection="1">
      <alignment horizontal="center" vertical="center"/>
      <protection locked="0"/>
    </xf>
    <xf numFmtId="168" fontId="6" fillId="0" borderId="13" xfId="0" applyNumberFormat="1" applyFont="1" applyBorder="1" applyAlignment="1" applyProtection="1">
      <alignment horizontal="center" vertical="center"/>
      <protection locked="0"/>
    </xf>
    <xf numFmtId="0" fontId="5" fillId="2" borderId="17" xfId="0" applyFont="1" applyFill="1" applyBorder="1" applyAlignment="1" applyProtection="1">
      <alignment vertical="center"/>
      <protection locked="0"/>
    </xf>
    <xf numFmtId="168" fontId="8" fillId="2" borderId="0" xfId="0" applyNumberFormat="1" applyFont="1" applyFill="1" applyAlignment="1" applyProtection="1">
      <alignment horizontal="center" vertical="center"/>
      <protection locked="0"/>
    </xf>
    <xf numFmtId="168" fontId="5" fillId="5" borderId="0" xfId="0" applyNumberFormat="1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9" borderId="34" xfId="0" applyFont="1" applyFill="1" applyBorder="1" applyProtection="1">
      <protection locked="0"/>
    </xf>
    <xf numFmtId="0" fontId="18" fillId="0" borderId="2" xfId="0" applyFont="1" applyBorder="1" applyAlignment="1" applyProtection="1">
      <alignment horizontal="center"/>
      <protection locked="0"/>
    </xf>
    <xf numFmtId="0" fontId="27" fillId="0" borderId="2" xfId="0" applyFont="1" applyBorder="1" applyProtection="1">
      <protection locked="0"/>
    </xf>
    <xf numFmtId="167" fontId="27" fillId="0" borderId="2" xfId="0" applyNumberFormat="1" applyFont="1" applyBorder="1" applyProtection="1">
      <protection locked="0"/>
    </xf>
    <xf numFmtId="0" fontId="23" fillId="5" borderId="0" xfId="0" applyFont="1" applyFill="1" applyProtection="1">
      <protection locked="0"/>
    </xf>
    <xf numFmtId="10" fontId="27" fillId="0" borderId="2" xfId="0" applyNumberFormat="1" applyFont="1" applyBorder="1" applyProtection="1">
      <protection locked="0"/>
    </xf>
    <xf numFmtId="0" fontId="19" fillId="7" borderId="2" xfId="0" applyFont="1" applyFill="1" applyBorder="1" applyAlignment="1" applyProtection="1">
      <alignment horizontal="center" wrapText="1"/>
      <protection locked="0"/>
    </xf>
    <xf numFmtId="15" fontId="18" fillId="5" borderId="0" xfId="0" applyNumberFormat="1" applyFont="1" applyFill="1" applyAlignment="1" applyProtection="1">
      <alignment horizontal="center"/>
      <protection locked="0"/>
    </xf>
    <xf numFmtId="9" fontId="19" fillId="5" borderId="0" xfId="0" applyNumberFormat="1" applyFont="1" applyFill="1" applyAlignment="1" applyProtection="1">
      <alignment horizontal="center"/>
      <protection locked="0"/>
    </xf>
    <xf numFmtId="167" fontId="19" fillId="5" borderId="0" xfId="0" applyNumberFormat="1" applyFont="1" applyFill="1" applyProtection="1">
      <protection locked="0"/>
    </xf>
    <xf numFmtId="9" fontId="6" fillId="7" borderId="26" xfId="0" applyNumberFormat="1" applyFont="1" applyFill="1" applyBorder="1" applyAlignment="1" applyProtection="1">
      <alignment horizontal="center" vertic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0" fontId="5" fillId="9" borderId="13" xfId="0" applyFont="1" applyFill="1" applyBorder="1" applyProtection="1">
      <protection locked="0"/>
    </xf>
    <xf numFmtId="0" fontId="5" fillId="11" borderId="34" xfId="0" applyFont="1" applyFill="1" applyBorder="1" applyAlignment="1" applyProtection="1">
      <alignment horizontal="center" vertical="center"/>
      <protection locked="0"/>
    </xf>
    <xf numFmtId="0" fontId="37" fillId="0" borderId="0" xfId="0" applyFont="1"/>
    <xf numFmtId="43" fontId="37" fillId="0" borderId="0" xfId="1" applyFont="1"/>
    <xf numFmtId="170" fontId="5" fillId="5" borderId="0" xfId="0" applyNumberFormat="1" applyFont="1" applyFill="1" applyAlignment="1" applyProtection="1">
      <alignment vertical="center"/>
      <protection locked="0"/>
    </xf>
    <xf numFmtId="167" fontId="0" fillId="0" borderId="0" xfId="0" applyNumberFormat="1"/>
    <xf numFmtId="168" fontId="7" fillId="0" borderId="38" xfId="0" applyNumberFormat="1" applyFont="1" applyBorder="1" applyAlignment="1" applyProtection="1">
      <alignment horizontal="center" vertical="center" wrapText="1"/>
      <protection locked="0"/>
    </xf>
    <xf numFmtId="168" fontId="7" fillId="0" borderId="45" xfId="0" applyNumberFormat="1" applyFont="1" applyBorder="1" applyAlignment="1" applyProtection="1">
      <alignment horizontal="center" vertical="center" wrapText="1"/>
      <protection locked="0"/>
    </xf>
    <xf numFmtId="169" fontId="0" fillId="6" borderId="2" xfId="0" applyNumberFormat="1" applyFill="1" applyBorder="1"/>
    <xf numFmtId="167" fontId="21" fillId="4" borderId="17" xfId="0" applyNumberFormat="1" applyFont="1" applyFill="1" applyBorder="1" applyProtection="1">
      <protection locked="0"/>
    </xf>
    <xf numFmtId="10" fontId="21" fillId="4" borderId="13" xfId="0" applyNumberFormat="1" applyFont="1" applyFill="1" applyBorder="1" applyProtection="1">
      <protection locked="0"/>
    </xf>
    <xf numFmtId="0" fontId="22" fillId="5" borderId="0" xfId="0" applyFont="1" applyFill="1" applyProtection="1">
      <protection locked="0"/>
    </xf>
    <xf numFmtId="0" fontId="19" fillId="7" borderId="2" xfId="0" applyFont="1" applyFill="1" applyBorder="1" applyAlignment="1" applyProtection="1">
      <alignment horizontal="left"/>
      <protection locked="0"/>
    </xf>
    <xf numFmtId="15" fontId="21" fillId="0" borderId="2" xfId="0" applyNumberFormat="1" applyFont="1" applyBorder="1" applyAlignment="1" applyProtection="1">
      <alignment horizontal="left"/>
      <protection locked="0"/>
    </xf>
    <xf numFmtId="0" fontId="13" fillId="9" borderId="27" xfId="0" applyFont="1" applyFill="1" applyBorder="1" applyAlignment="1" applyProtection="1">
      <alignment horizontal="center"/>
      <protection locked="0"/>
    </xf>
    <xf numFmtId="9" fontId="5" fillId="9" borderId="28" xfId="0" applyNumberFormat="1" applyFont="1" applyFill="1" applyBorder="1" applyProtection="1">
      <protection locked="0"/>
    </xf>
    <xf numFmtId="168" fontId="4" fillId="9" borderId="28" xfId="0" applyNumberFormat="1" applyFont="1" applyFill="1" applyBorder="1" applyAlignment="1" applyProtection="1">
      <alignment horizontal="center"/>
      <protection locked="0"/>
    </xf>
    <xf numFmtId="0" fontId="13" fillId="9" borderId="35" xfId="0" applyFont="1" applyFill="1" applyBorder="1" applyAlignment="1" applyProtection="1">
      <alignment horizontal="center"/>
      <protection locked="0"/>
    </xf>
    <xf numFmtId="0" fontId="5" fillId="9" borderId="1" xfId="0" applyFont="1" applyFill="1" applyBorder="1" applyAlignment="1" applyProtection="1">
      <alignment horizontal="left" vertical="center"/>
      <protection locked="0"/>
    </xf>
    <xf numFmtId="9" fontId="5" fillId="9" borderId="1" xfId="0" applyNumberFormat="1" applyFont="1" applyFill="1" applyBorder="1" applyProtection="1">
      <protection locked="0"/>
    </xf>
    <xf numFmtId="168" fontId="4" fillId="9" borderId="1" xfId="0" applyNumberFormat="1" applyFont="1" applyFill="1" applyBorder="1" applyAlignment="1" applyProtection="1">
      <alignment horizontal="center"/>
      <protection locked="0"/>
    </xf>
    <xf numFmtId="0" fontId="5" fillId="9" borderId="1" xfId="0" applyFont="1" applyFill="1" applyBorder="1" applyProtection="1">
      <protection locked="0"/>
    </xf>
    <xf numFmtId="168" fontId="5" fillId="9" borderId="5" xfId="0" applyNumberFormat="1" applyFont="1" applyFill="1" applyBorder="1" applyProtection="1">
      <protection locked="0"/>
    </xf>
    <xf numFmtId="0" fontId="4" fillId="9" borderId="2" xfId="0" applyFont="1" applyFill="1" applyBorder="1" applyProtection="1">
      <protection locked="0"/>
    </xf>
    <xf numFmtId="0" fontId="28" fillId="9" borderId="2" xfId="0" applyFont="1" applyFill="1" applyBorder="1" applyAlignment="1" applyProtection="1">
      <alignment horizontal="center" vertical="center"/>
      <protection locked="0"/>
    </xf>
    <xf numFmtId="168" fontId="4" fillId="9" borderId="2" xfId="0" applyNumberFormat="1" applyFont="1" applyFill="1" applyBorder="1" applyAlignment="1" applyProtection="1">
      <alignment horizontal="center" vertical="center"/>
      <protection locked="0"/>
    </xf>
    <xf numFmtId="0" fontId="28" fillId="9" borderId="32" xfId="0" applyFont="1" applyFill="1" applyBorder="1" applyProtection="1">
      <protection locked="0"/>
    </xf>
    <xf numFmtId="0" fontId="28" fillId="9" borderId="32" xfId="0" applyFont="1" applyFill="1" applyBorder="1" applyAlignment="1" applyProtection="1">
      <alignment horizontal="center" vertical="center"/>
      <protection locked="0"/>
    </xf>
    <xf numFmtId="0" fontId="5" fillId="11" borderId="26" xfId="0" applyFont="1" applyFill="1" applyBorder="1" applyAlignment="1" applyProtection="1">
      <alignment horizontal="center" vertical="center"/>
      <protection locked="0"/>
    </xf>
    <xf numFmtId="0" fontId="13" fillId="11" borderId="40" xfId="0" applyFont="1" applyFill="1" applyBorder="1" applyAlignment="1" applyProtection="1">
      <alignment horizontal="center"/>
      <protection locked="0"/>
    </xf>
    <xf numFmtId="0" fontId="5" fillId="11" borderId="41" xfId="0" applyFont="1" applyFill="1" applyBorder="1" applyProtection="1">
      <protection locked="0"/>
    </xf>
    <xf numFmtId="0" fontId="5" fillId="11" borderId="41" xfId="0" applyFont="1" applyFill="1" applyBorder="1" applyAlignment="1" applyProtection="1">
      <alignment horizontal="center" vertical="center"/>
      <protection locked="0"/>
    </xf>
    <xf numFmtId="168" fontId="4" fillId="11" borderId="41" xfId="0" applyNumberFormat="1" applyFont="1" applyFill="1" applyBorder="1" applyAlignment="1" applyProtection="1">
      <alignment horizontal="center"/>
      <protection locked="0"/>
    </xf>
    <xf numFmtId="0" fontId="5" fillId="11" borderId="2" xfId="0" applyFont="1" applyFill="1" applyBorder="1" applyAlignment="1" applyProtection="1">
      <alignment horizontal="center" vertical="center"/>
      <protection locked="0"/>
    </xf>
    <xf numFmtId="167" fontId="8" fillId="11" borderId="2" xfId="0" applyNumberFormat="1" applyFont="1" applyFill="1" applyBorder="1" applyAlignment="1" applyProtection="1">
      <alignment horizontal="left" vertical="center"/>
      <protection locked="0"/>
    </xf>
    <xf numFmtId="0" fontId="28" fillId="11" borderId="32" xfId="0" applyFont="1" applyFill="1" applyBorder="1" applyAlignment="1" applyProtection="1">
      <alignment horizontal="left" vertical="center"/>
      <protection locked="0"/>
    </xf>
    <xf numFmtId="165" fontId="5" fillId="0" borderId="17" xfId="0" applyNumberFormat="1" applyFont="1" applyBorder="1" applyAlignment="1" applyProtection="1">
      <alignment vertical="center"/>
      <protection locked="0"/>
    </xf>
    <xf numFmtId="0" fontId="4" fillId="0" borderId="3" xfId="0" applyFont="1" applyBorder="1" applyProtection="1">
      <protection locked="0"/>
    </xf>
    <xf numFmtId="14" fontId="33" fillId="5" borderId="0" xfId="0" applyNumberFormat="1" applyFont="1" applyFill="1" applyAlignment="1">
      <alignment horizontal="center"/>
    </xf>
    <xf numFmtId="0" fontId="33" fillId="5" borderId="0" xfId="0" applyFont="1" applyFill="1" applyAlignment="1">
      <alignment horizontal="center"/>
    </xf>
    <xf numFmtId="0" fontId="5" fillId="9" borderId="1" xfId="0" applyFont="1" applyFill="1" applyBorder="1" applyAlignment="1" applyProtection="1">
      <alignment horizontal="center" vertical="center"/>
      <protection locked="0"/>
    </xf>
    <xf numFmtId="43" fontId="0" fillId="0" borderId="0" xfId="1" applyFont="1"/>
    <xf numFmtId="0" fontId="5" fillId="11" borderId="26" xfId="0" applyFont="1" applyFill="1" applyBorder="1" applyAlignment="1" applyProtection="1">
      <alignment horizontal="left" vertical="center"/>
      <protection locked="0"/>
    </xf>
    <xf numFmtId="0" fontId="36" fillId="4" borderId="12" xfId="0" applyFont="1" applyFill="1" applyBorder="1" applyProtection="1">
      <protection locked="0"/>
    </xf>
    <xf numFmtId="16" fontId="21" fillId="4" borderId="17" xfId="0" applyNumberFormat="1" applyFont="1" applyFill="1" applyBorder="1" applyProtection="1">
      <protection locked="0"/>
    </xf>
    <xf numFmtId="0" fontId="33" fillId="7" borderId="21" xfId="0" applyFont="1" applyFill="1" applyBorder="1" applyAlignment="1" applyProtection="1">
      <alignment horizontal="left"/>
      <protection locked="0"/>
    </xf>
    <xf numFmtId="0" fontId="7" fillId="5" borderId="0" xfId="0" applyFont="1" applyFill="1" applyAlignment="1">
      <alignment horizontal="left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167" fontId="5" fillId="11" borderId="28" xfId="3" applyFont="1" applyFill="1" applyBorder="1" applyAlignment="1" applyProtection="1">
      <alignment horizontal="center"/>
      <protection locked="0"/>
    </xf>
    <xf numFmtId="0" fontId="5" fillId="9" borderId="28" xfId="0" applyFont="1" applyFill="1" applyBorder="1" applyProtection="1">
      <protection locked="0"/>
    </xf>
    <xf numFmtId="167" fontId="4" fillId="9" borderId="2" xfId="3" applyFont="1" applyFill="1" applyBorder="1" applyProtection="1">
      <protection locked="0"/>
    </xf>
    <xf numFmtId="0" fontId="4" fillId="9" borderId="32" xfId="0" applyFont="1" applyFill="1" applyBorder="1" applyProtection="1">
      <protection locked="0"/>
    </xf>
    <xf numFmtId="0" fontId="4" fillId="11" borderId="34" xfId="0" applyFont="1" applyFill="1" applyBorder="1" applyProtection="1">
      <protection locked="0"/>
    </xf>
    <xf numFmtId="0" fontId="4" fillId="11" borderId="41" xfId="0" applyFont="1" applyFill="1" applyBorder="1" applyProtection="1">
      <protection locked="0"/>
    </xf>
    <xf numFmtId="0" fontId="4" fillId="9" borderId="34" xfId="0" applyFont="1" applyFill="1" applyBorder="1" applyAlignment="1" applyProtection="1">
      <alignment horizontal="left" vertical="center"/>
      <protection locked="0"/>
    </xf>
    <xf numFmtId="0" fontId="4" fillId="9" borderId="2" xfId="0" applyFont="1" applyFill="1" applyBorder="1" applyAlignment="1" applyProtection="1">
      <alignment horizontal="left" vertical="center"/>
      <protection locked="0"/>
    </xf>
    <xf numFmtId="0" fontId="4" fillId="9" borderId="32" xfId="0" applyFont="1" applyFill="1" applyBorder="1" applyAlignment="1" applyProtection="1">
      <alignment horizontal="left" vertical="center"/>
      <protection locked="0"/>
    </xf>
    <xf numFmtId="0" fontId="4" fillId="11" borderId="34" xfId="0" applyFont="1" applyFill="1" applyBorder="1" applyAlignment="1" applyProtection="1">
      <alignment horizontal="left" vertical="center"/>
      <protection locked="0"/>
    </xf>
    <xf numFmtId="166" fontId="4" fillId="11" borderId="23" xfId="3" applyNumberFormat="1" applyFont="1" applyFill="1" applyBorder="1" applyAlignment="1" applyProtection="1">
      <alignment horizontal="left" vertical="center"/>
      <protection locked="0"/>
    </xf>
    <xf numFmtId="0" fontId="4" fillId="11" borderId="32" xfId="0" applyFont="1" applyFill="1" applyBorder="1" applyProtection="1">
      <protection locked="0"/>
    </xf>
    <xf numFmtId="0" fontId="4" fillId="9" borderId="26" xfId="0" applyFont="1" applyFill="1" applyBorder="1" applyAlignment="1" applyProtection="1">
      <alignment horizontal="left" vertical="center"/>
      <protection locked="0"/>
    </xf>
    <xf numFmtId="0" fontId="4" fillId="11" borderId="2" xfId="3" applyNumberFormat="1" applyFont="1" applyFill="1" applyBorder="1" applyAlignment="1" applyProtection="1">
      <alignment horizontal="left" vertical="center"/>
      <protection locked="0"/>
    </xf>
    <xf numFmtId="0" fontId="4" fillId="11" borderId="2" xfId="0" applyFont="1" applyFill="1" applyBorder="1" applyAlignment="1" applyProtection="1">
      <alignment horizontal="left" vertical="center"/>
      <protection locked="0"/>
    </xf>
    <xf numFmtId="0" fontId="4" fillId="11" borderId="28" xfId="0" applyFont="1" applyFill="1" applyBorder="1" applyAlignment="1" applyProtection="1">
      <alignment horizontal="left" vertical="center"/>
      <protection locked="0"/>
    </xf>
    <xf numFmtId="0" fontId="4" fillId="11" borderId="32" xfId="0" applyFont="1" applyFill="1" applyBorder="1" applyAlignment="1" applyProtection="1">
      <alignment horizontal="left" vertical="center"/>
      <protection locked="0"/>
    </xf>
    <xf numFmtId="0" fontId="4" fillId="11" borderId="1" xfId="0" applyFont="1" applyFill="1" applyBorder="1" applyAlignment="1" applyProtection="1">
      <alignment horizontal="left" vertical="center"/>
      <protection locked="0"/>
    </xf>
    <xf numFmtId="0" fontId="4" fillId="8" borderId="34" xfId="0" applyFont="1" applyFill="1" applyBorder="1" applyProtection="1">
      <protection locked="0"/>
    </xf>
    <xf numFmtId="0" fontId="4" fillId="8" borderId="2" xfId="0" applyFont="1" applyFill="1" applyBorder="1" applyProtection="1">
      <protection locked="0"/>
    </xf>
    <xf numFmtId="0" fontId="4" fillId="8" borderId="32" xfId="0" applyFont="1" applyFill="1" applyBorder="1" applyProtection="1">
      <protection locked="0"/>
    </xf>
    <xf numFmtId="167" fontId="5" fillId="9" borderId="34" xfId="3" applyFont="1" applyFill="1" applyBorder="1" applyAlignment="1" applyProtection="1">
      <alignment horizontal="center"/>
      <protection locked="0"/>
    </xf>
    <xf numFmtId="168" fontId="30" fillId="9" borderId="32" xfId="0" applyNumberFormat="1" applyFont="1" applyFill="1" applyBorder="1" applyAlignment="1" applyProtection="1">
      <alignment horizontal="left" vertical="center"/>
      <protection locked="0"/>
    </xf>
    <xf numFmtId="0" fontId="35" fillId="0" borderId="5" xfId="0" applyFont="1" applyBorder="1" applyAlignment="1" applyProtection="1">
      <alignment horizontal="left"/>
      <protection locked="0"/>
    </xf>
    <xf numFmtId="165" fontId="35" fillId="0" borderId="5" xfId="0" applyNumberFormat="1" applyFont="1" applyBorder="1" applyAlignment="1" applyProtection="1">
      <alignment horizontal="left"/>
      <protection locked="0"/>
    </xf>
    <xf numFmtId="0" fontId="4" fillId="9" borderId="52" xfId="0" applyFont="1" applyFill="1" applyBorder="1" applyAlignment="1" applyProtection="1">
      <alignment horizontal="left" vertical="center"/>
      <protection locked="0"/>
    </xf>
    <xf numFmtId="168" fontId="4" fillId="9" borderId="2" xfId="0" applyNumberFormat="1" applyFont="1" applyFill="1" applyBorder="1" applyAlignment="1" applyProtection="1">
      <alignment horizontal="left" vertical="center"/>
      <protection locked="0"/>
    </xf>
    <xf numFmtId="9" fontId="5" fillId="11" borderId="26" xfId="0" applyNumberFormat="1" applyFont="1" applyFill="1" applyBorder="1" applyProtection="1">
      <protection locked="0"/>
    </xf>
    <xf numFmtId="167" fontId="5" fillId="9" borderId="1" xfId="3" applyFont="1" applyFill="1" applyBorder="1" applyAlignment="1" applyProtection="1">
      <alignment horizontal="center"/>
      <protection locked="0"/>
    </xf>
    <xf numFmtId="16" fontId="21" fillId="4" borderId="13" xfId="0" applyNumberFormat="1" applyFont="1" applyFill="1" applyBorder="1" applyProtection="1">
      <protection locked="0"/>
    </xf>
    <xf numFmtId="0" fontId="0" fillId="0" borderId="0" xfId="0" applyAlignment="1">
      <alignment horizontal="left"/>
    </xf>
    <xf numFmtId="14" fontId="0" fillId="0" borderId="0" xfId="0" applyNumberFormat="1"/>
    <xf numFmtId="168" fontId="0" fillId="0" borderId="0" xfId="0" applyNumberFormat="1"/>
    <xf numFmtId="167" fontId="4" fillId="11" borderId="2" xfId="3" applyFont="1" applyFill="1" applyBorder="1" applyAlignment="1" applyProtection="1">
      <alignment horizontal="left" vertical="center"/>
      <protection locked="0"/>
    </xf>
    <xf numFmtId="0" fontId="5" fillId="9" borderId="26" xfId="0" applyFont="1" applyFill="1" applyBorder="1" applyAlignment="1" applyProtection="1">
      <alignment horizontal="center" vertical="center"/>
      <protection locked="0"/>
    </xf>
    <xf numFmtId="167" fontId="5" fillId="9" borderId="26" xfId="3" applyFont="1" applyFill="1" applyBorder="1" applyAlignment="1" applyProtection="1">
      <alignment horizontal="center"/>
      <protection locked="0"/>
    </xf>
    <xf numFmtId="167" fontId="5" fillId="11" borderId="26" xfId="3" applyFont="1" applyFill="1" applyBorder="1" applyAlignment="1" applyProtection="1">
      <alignment horizontal="center"/>
      <protection locked="0"/>
    </xf>
    <xf numFmtId="167" fontId="5" fillId="11" borderId="2" xfId="3" applyFont="1" applyFill="1" applyBorder="1" applyAlignment="1" applyProtection="1">
      <alignment horizontal="center"/>
      <protection locked="0"/>
    </xf>
    <xf numFmtId="167" fontId="5" fillId="11" borderId="32" xfId="3" applyFont="1" applyFill="1" applyBorder="1" applyAlignment="1" applyProtection="1">
      <alignment horizontal="center"/>
      <protection locked="0"/>
    </xf>
    <xf numFmtId="167" fontId="5" fillId="0" borderId="3" xfId="3" applyFont="1" applyBorder="1" applyAlignment="1" applyProtection="1">
      <alignment horizontal="center"/>
      <protection locked="0"/>
    </xf>
    <xf numFmtId="167" fontId="5" fillId="11" borderId="34" xfId="3" applyFont="1" applyFill="1" applyBorder="1" applyAlignment="1" applyProtection="1">
      <alignment horizontal="center"/>
      <protection locked="0"/>
    </xf>
    <xf numFmtId="0" fontId="5" fillId="11" borderId="32" xfId="0" applyFont="1" applyFill="1" applyBorder="1" applyAlignment="1" applyProtection="1">
      <alignment horizontal="center" vertical="center"/>
      <protection locked="0"/>
    </xf>
    <xf numFmtId="167" fontId="5" fillId="9" borderId="2" xfId="3" applyFont="1" applyFill="1" applyBorder="1" applyAlignment="1" applyProtection="1">
      <alignment horizontal="center"/>
      <protection locked="0"/>
    </xf>
    <xf numFmtId="167" fontId="5" fillId="9" borderId="32" xfId="3" applyFont="1" applyFill="1" applyBorder="1" applyAlignment="1" applyProtection="1">
      <alignment horizontal="center"/>
      <protection locked="0"/>
    </xf>
    <xf numFmtId="167" fontId="5" fillId="11" borderId="1" xfId="3" applyFont="1" applyFill="1" applyBorder="1" applyAlignment="1" applyProtection="1">
      <alignment horizontal="center"/>
      <protection locked="0"/>
    </xf>
    <xf numFmtId="0" fontId="5" fillId="9" borderId="28" xfId="0" applyFont="1" applyFill="1" applyBorder="1" applyAlignment="1" applyProtection="1">
      <alignment horizontal="center" vertical="center"/>
      <protection locked="0"/>
    </xf>
    <xf numFmtId="0" fontId="5" fillId="11" borderId="28" xfId="0" applyFont="1" applyFill="1" applyBorder="1" applyAlignment="1" applyProtection="1">
      <alignment horizontal="center" vertical="center"/>
      <protection locked="0"/>
    </xf>
    <xf numFmtId="167" fontId="5" fillId="5" borderId="0" xfId="3" applyFont="1" applyFill="1" applyAlignment="1" applyProtection="1">
      <alignment horizontal="center"/>
      <protection locked="0"/>
    </xf>
    <xf numFmtId="167" fontId="6" fillId="0" borderId="37" xfId="3" applyFont="1" applyBorder="1" applyAlignment="1" applyProtection="1">
      <alignment horizontal="center" vertical="center"/>
      <protection locked="0"/>
    </xf>
    <xf numFmtId="167" fontId="5" fillId="2" borderId="28" xfId="3" applyFont="1" applyFill="1" applyBorder="1" applyAlignment="1" applyProtection="1">
      <alignment horizontal="center"/>
      <protection locked="0"/>
    </xf>
    <xf numFmtId="167" fontId="5" fillId="11" borderId="41" xfId="3" applyFont="1" applyFill="1" applyBorder="1" applyAlignment="1" applyProtection="1">
      <alignment horizontal="center"/>
      <protection locked="0"/>
    </xf>
    <xf numFmtId="167" fontId="5" fillId="9" borderId="28" xfId="3" applyFont="1" applyFill="1" applyBorder="1" applyAlignment="1" applyProtection="1">
      <alignment horizontal="center"/>
      <protection locked="0"/>
    </xf>
    <xf numFmtId="167" fontId="35" fillId="0" borderId="15" xfId="3" applyFont="1" applyBorder="1" applyAlignment="1" applyProtection="1">
      <alignment horizontal="left"/>
      <protection locked="0"/>
    </xf>
    <xf numFmtId="167" fontId="5" fillId="8" borderId="34" xfId="3" applyFont="1" applyFill="1" applyBorder="1" applyAlignment="1" applyProtection="1">
      <alignment horizontal="center"/>
      <protection locked="0"/>
    </xf>
    <xf numFmtId="167" fontId="5" fillId="8" borderId="26" xfId="3" applyFont="1" applyFill="1" applyBorder="1" applyAlignment="1" applyProtection="1">
      <alignment horizontal="center"/>
      <protection locked="0"/>
    </xf>
    <xf numFmtId="167" fontId="5" fillId="8" borderId="32" xfId="3" applyFont="1" applyFill="1" applyBorder="1" applyAlignment="1" applyProtection="1">
      <alignment horizontal="center"/>
      <protection locked="0"/>
    </xf>
    <xf numFmtId="167" fontId="5" fillId="2" borderId="0" xfId="3" applyFont="1" applyFill="1" applyAlignment="1" applyProtection="1">
      <alignment horizontal="center"/>
      <protection locked="0"/>
    </xf>
    <xf numFmtId="167" fontId="5" fillId="0" borderId="0" xfId="3" applyFont="1" applyAlignment="1" applyProtection="1">
      <alignment horizontal="center"/>
      <protection locked="0"/>
    </xf>
    <xf numFmtId="0" fontId="5" fillId="11" borderId="34" xfId="3" applyNumberFormat="1" applyFont="1" applyFill="1" applyBorder="1" applyAlignment="1" applyProtection="1">
      <alignment horizontal="center" vertical="center"/>
      <protection locked="0"/>
    </xf>
    <xf numFmtId="168" fontId="8" fillId="2" borderId="46" xfId="0" applyNumberFormat="1" applyFont="1" applyFill="1" applyBorder="1" applyAlignment="1" applyProtection="1">
      <alignment horizontal="center" vertical="center" wrapText="1"/>
      <protection locked="0"/>
    </xf>
    <xf numFmtId="168" fontId="4" fillId="11" borderId="9" xfId="0" applyNumberFormat="1" applyFont="1" applyFill="1" applyBorder="1" applyAlignment="1" applyProtection="1">
      <alignment horizontal="center"/>
      <protection locked="0"/>
    </xf>
    <xf numFmtId="0" fontId="5" fillId="5" borderId="47" xfId="0" applyFont="1" applyFill="1" applyBorder="1" applyProtection="1">
      <protection locked="0"/>
    </xf>
    <xf numFmtId="0" fontId="6" fillId="5" borderId="2" xfId="0" applyFont="1" applyFill="1" applyBorder="1" applyProtection="1">
      <protection locked="0"/>
    </xf>
    <xf numFmtId="167" fontId="4" fillId="9" borderId="1" xfId="3" applyFont="1" applyFill="1" applyBorder="1" applyProtection="1">
      <protection locked="0"/>
    </xf>
    <xf numFmtId="0" fontId="4" fillId="9" borderId="1" xfId="0" applyFont="1" applyFill="1" applyBorder="1" applyProtection="1">
      <protection locked="0"/>
    </xf>
    <xf numFmtId="0" fontId="28" fillId="9" borderId="1" xfId="0" applyFont="1" applyFill="1" applyBorder="1" applyAlignment="1" applyProtection="1">
      <alignment horizontal="center" vertical="center"/>
      <protection locked="0"/>
    </xf>
    <xf numFmtId="1" fontId="5" fillId="11" borderId="26" xfId="0" applyNumberFormat="1" applyFont="1" applyFill="1" applyBorder="1" applyAlignment="1" applyProtection="1">
      <alignment horizontal="center" vertical="center"/>
      <protection locked="0"/>
    </xf>
    <xf numFmtId="168" fontId="4" fillId="0" borderId="17" xfId="0" applyNumberFormat="1" applyFont="1" applyBorder="1" applyAlignment="1" applyProtection="1">
      <alignment horizontal="center"/>
      <protection locked="0"/>
    </xf>
    <xf numFmtId="168" fontId="4" fillId="8" borderId="50" xfId="0" applyNumberFormat="1" applyFont="1" applyFill="1" applyBorder="1" applyAlignment="1" applyProtection="1">
      <alignment horizontal="center"/>
      <protection locked="0"/>
    </xf>
    <xf numFmtId="168" fontId="4" fillId="8" borderId="51" xfId="0" applyNumberFormat="1" applyFont="1" applyFill="1" applyBorder="1" applyAlignment="1" applyProtection="1">
      <alignment horizontal="center"/>
      <protection locked="0"/>
    </xf>
    <xf numFmtId="168" fontId="4" fillId="0" borderId="11" xfId="0" applyNumberFormat="1" applyFont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35" fillId="0" borderId="11" xfId="0" applyFont="1" applyBorder="1" applyAlignment="1" applyProtection="1">
      <alignment horizontal="left"/>
      <protection locked="0"/>
    </xf>
    <xf numFmtId="167" fontId="5" fillId="0" borderId="11" xfId="0" applyNumberFormat="1" applyFont="1" applyBorder="1" applyAlignment="1" applyProtection="1">
      <alignment horizontal="center"/>
      <protection locked="0"/>
    </xf>
    <xf numFmtId="0" fontId="4" fillId="0" borderId="11" xfId="0" applyFont="1" applyBorder="1" applyAlignment="1" applyProtection="1">
      <alignment horizontal="center"/>
      <protection locked="0"/>
    </xf>
    <xf numFmtId="168" fontId="8" fillId="2" borderId="62" xfId="0" applyNumberFormat="1" applyFont="1" applyFill="1" applyBorder="1" applyAlignment="1" applyProtection="1">
      <alignment horizontal="center" vertical="center" wrapText="1"/>
      <protection locked="0"/>
    </xf>
    <xf numFmtId="168" fontId="8" fillId="2" borderId="15" xfId="0" applyNumberFormat="1" applyFont="1" applyFill="1" applyBorder="1" applyAlignment="1" applyProtection="1">
      <alignment horizontal="center" vertical="center" wrapText="1"/>
      <protection locked="0"/>
    </xf>
    <xf numFmtId="167" fontId="8" fillId="11" borderId="1" xfId="0" applyNumberFormat="1" applyFont="1" applyFill="1" applyBorder="1" applyAlignment="1" applyProtection="1">
      <alignment horizontal="left" vertical="center"/>
      <protection locked="0"/>
    </xf>
    <xf numFmtId="168" fontId="4" fillId="9" borderId="1" xfId="0" applyNumberFormat="1" applyFont="1" applyFill="1" applyBorder="1" applyAlignment="1" applyProtection="1">
      <alignment horizontal="left" vertical="center"/>
      <protection locked="0"/>
    </xf>
    <xf numFmtId="0" fontId="4" fillId="9" borderId="18" xfId="0" applyFont="1" applyFill="1" applyBorder="1" applyAlignment="1" applyProtection="1">
      <alignment horizontal="left" vertical="center"/>
      <protection locked="0"/>
    </xf>
    <xf numFmtId="0" fontId="6" fillId="6" borderId="15" xfId="0" applyFont="1" applyFill="1" applyBorder="1" applyAlignment="1" applyProtection="1">
      <alignment horizontal="center"/>
      <protection locked="0"/>
    </xf>
    <xf numFmtId="168" fontId="8" fillId="9" borderId="49" xfId="0" applyNumberFormat="1" applyFont="1" applyFill="1" applyBorder="1" applyAlignment="1" applyProtection="1">
      <alignment horizontal="center"/>
      <protection locked="0"/>
    </xf>
    <xf numFmtId="168" fontId="8" fillId="9" borderId="53" xfId="0" applyNumberFormat="1" applyFont="1" applyFill="1" applyBorder="1" applyAlignment="1" applyProtection="1">
      <alignment horizontal="center"/>
      <protection locked="0"/>
    </xf>
    <xf numFmtId="168" fontId="8" fillId="9" borderId="50" xfId="0" applyNumberFormat="1" applyFont="1" applyFill="1" applyBorder="1" applyAlignment="1" applyProtection="1">
      <alignment horizontal="center"/>
      <protection locked="0"/>
    </xf>
    <xf numFmtId="0" fontId="8" fillId="0" borderId="11" xfId="0" applyFont="1" applyBorder="1" applyAlignment="1" applyProtection="1">
      <alignment horizontal="center"/>
      <protection locked="0"/>
    </xf>
    <xf numFmtId="168" fontId="8" fillId="11" borderId="51" xfId="0" applyNumberFormat="1" applyFont="1" applyFill="1" applyBorder="1" applyAlignment="1" applyProtection="1">
      <alignment horizontal="center"/>
      <protection locked="0"/>
    </xf>
    <xf numFmtId="168" fontId="8" fillId="11" borderId="49" xfId="0" applyNumberFormat="1" applyFont="1" applyFill="1" applyBorder="1" applyAlignment="1" applyProtection="1">
      <alignment horizontal="center"/>
      <protection locked="0"/>
    </xf>
    <xf numFmtId="168" fontId="8" fillId="11" borderId="50" xfId="0" applyNumberFormat="1" applyFont="1" applyFill="1" applyBorder="1" applyAlignment="1" applyProtection="1">
      <alignment horizontal="center"/>
      <protection locked="0"/>
    </xf>
    <xf numFmtId="168" fontId="8" fillId="0" borderId="11" xfId="0" applyNumberFormat="1" applyFont="1" applyBorder="1" applyAlignment="1" applyProtection="1">
      <alignment horizontal="center"/>
      <protection locked="0"/>
    </xf>
    <xf numFmtId="168" fontId="8" fillId="9" borderId="51" xfId="0" applyNumberFormat="1" applyFont="1" applyFill="1" applyBorder="1" applyAlignment="1" applyProtection="1">
      <alignment horizontal="center"/>
      <protection locked="0"/>
    </xf>
    <xf numFmtId="167" fontId="8" fillId="0" borderId="11" xfId="0" applyNumberFormat="1" applyFont="1" applyBorder="1" applyAlignment="1" applyProtection="1">
      <alignment horizontal="center"/>
      <protection locked="0"/>
    </xf>
    <xf numFmtId="168" fontId="8" fillId="11" borderId="53" xfId="0" applyNumberFormat="1" applyFont="1" applyFill="1" applyBorder="1" applyAlignment="1" applyProtection="1">
      <alignment horizontal="center"/>
      <protection locked="0"/>
    </xf>
    <xf numFmtId="168" fontId="8" fillId="0" borderId="17" xfId="0" applyNumberFormat="1" applyFont="1" applyBorder="1" applyAlignment="1" applyProtection="1">
      <alignment horizontal="center"/>
      <protection locked="0"/>
    </xf>
    <xf numFmtId="168" fontId="8" fillId="8" borderId="51" xfId="0" applyNumberFormat="1" applyFont="1" applyFill="1" applyBorder="1" applyAlignment="1" applyProtection="1">
      <alignment horizontal="center"/>
      <protection locked="0"/>
    </xf>
    <xf numFmtId="168" fontId="8" fillId="8" borderId="53" xfId="0" applyNumberFormat="1" applyFont="1" applyFill="1" applyBorder="1" applyAlignment="1" applyProtection="1">
      <alignment horizontal="center"/>
      <protection locked="0"/>
    </xf>
    <xf numFmtId="168" fontId="8" fillId="8" borderId="50" xfId="0" applyNumberFormat="1" applyFont="1" applyFill="1" applyBorder="1" applyAlignment="1" applyProtection="1">
      <alignment horizontal="center"/>
      <protection locked="0"/>
    </xf>
    <xf numFmtId="14" fontId="8" fillId="9" borderId="49" xfId="0" applyNumberFormat="1" applyFont="1" applyFill="1" applyBorder="1" applyAlignment="1" applyProtection="1">
      <alignment horizontal="center"/>
      <protection locked="0"/>
    </xf>
    <xf numFmtId="14" fontId="8" fillId="9" borderId="53" xfId="0" applyNumberFormat="1" applyFont="1" applyFill="1" applyBorder="1" applyAlignment="1" applyProtection="1">
      <alignment horizontal="center"/>
      <protection locked="0"/>
    </xf>
    <xf numFmtId="14" fontId="8" fillId="9" borderId="50" xfId="0" applyNumberFormat="1" applyFont="1" applyFill="1" applyBorder="1" applyAlignment="1" applyProtection="1">
      <alignment horizontal="center"/>
      <protection locked="0"/>
    </xf>
    <xf numFmtId="14" fontId="8" fillId="0" borderId="11" xfId="0" applyNumberFormat="1" applyFont="1" applyBorder="1" applyAlignment="1" applyProtection="1">
      <alignment horizontal="center"/>
      <protection locked="0"/>
    </xf>
    <xf numFmtId="14" fontId="8" fillId="11" borderId="51" xfId="0" applyNumberFormat="1" applyFont="1" applyFill="1" applyBorder="1" applyAlignment="1" applyProtection="1">
      <alignment horizontal="center"/>
      <protection locked="0"/>
    </xf>
    <xf numFmtId="14" fontId="8" fillId="11" borderId="49" xfId="0" applyNumberFormat="1" applyFont="1" applyFill="1" applyBorder="1" applyAlignment="1" applyProtection="1">
      <alignment horizontal="center"/>
      <protection locked="0"/>
    </xf>
    <xf numFmtId="14" fontId="8" fillId="11" borderId="50" xfId="0" applyNumberFormat="1" applyFont="1" applyFill="1" applyBorder="1" applyAlignment="1" applyProtection="1">
      <alignment horizontal="center"/>
      <protection locked="0"/>
    </xf>
    <xf numFmtId="14" fontId="8" fillId="9" borderId="51" xfId="0" applyNumberFormat="1" applyFont="1" applyFill="1" applyBorder="1" applyAlignment="1" applyProtection="1">
      <alignment horizontal="center"/>
      <protection locked="0"/>
    </xf>
    <xf numFmtId="14" fontId="8" fillId="11" borderId="53" xfId="0" applyNumberFormat="1" applyFont="1" applyFill="1" applyBorder="1" applyAlignment="1" applyProtection="1">
      <alignment horizontal="center"/>
      <protection locked="0"/>
    </xf>
    <xf numFmtId="14" fontId="8" fillId="0" borderId="17" xfId="0" applyNumberFormat="1" applyFont="1" applyBorder="1" applyAlignment="1" applyProtection="1">
      <alignment horizontal="center"/>
      <protection locked="0"/>
    </xf>
    <xf numFmtId="14" fontId="8" fillId="9" borderId="12" xfId="0" applyNumberFormat="1" applyFont="1" applyFill="1" applyBorder="1" applyAlignment="1" applyProtection="1">
      <alignment horizontal="center"/>
      <protection locked="0"/>
    </xf>
    <xf numFmtId="14" fontId="35" fillId="0" borderId="11" xfId="0" applyNumberFormat="1" applyFont="1" applyBorder="1" applyAlignment="1" applyProtection="1">
      <alignment horizontal="left"/>
      <protection locked="0"/>
    </xf>
    <xf numFmtId="14" fontId="8" fillId="8" borderId="51" xfId="0" applyNumberFormat="1" applyFont="1" applyFill="1" applyBorder="1" applyAlignment="1" applyProtection="1">
      <alignment horizontal="center"/>
      <protection locked="0"/>
    </xf>
    <xf numFmtId="14" fontId="8" fillId="8" borderId="49" xfId="0" applyNumberFormat="1" applyFont="1" applyFill="1" applyBorder="1" applyAlignment="1" applyProtection="1">
      <alignment horizontal="center"/>
      <protection locked="0"/>
    </xf>
    <xf numFmtId="14" fontId="8" fillId="8" borderId="53" xfId="0" applyNumberFormat="1" applyFont="1" applyFill="1" applyBorder="1" applyAlignment="1" applyProtection="1">
      <alignment horizontal="center"/>
      <protection locked="0"/>
    </xf>
    <xf numFmtId="14" fontId="8" fillId="8" borderId="50" xfId="0" applyNumberFormat="1" applyFont="1" applyFill="1" applyBorder="1" applyAlignment="1" applyProtection="1">
      <alignment horizontal="center"/>
      <protection locked="0"/>
    </xf>
    <xf numFmtId="14" fontId="35" fillId="0" borderId="65" xfId="0" applyNumberFormat="1" applyFont="1" applyBorder="1" applyAlignment="1" applyProtection="1">
      <alignment horizontal="left"/>
      <protection locked="0"/>
    </xf>
    <xf numFmtId="0" fontId="4" fillId="11" borderId="34" xfId="3" applyNumberFormat="1" applyFont="1" applyFill="1" applyBorder="1" applyAlignment="1" applyProtection="1">
      <alignment vertical="center"/>
      <protection locked="0"/>
    </xf>
    <xf numFmtId="0" fontId="4" fillId="11" borderId="34" xfId="2" applyNumberFormat="1" applyFont="1" applyFill="1" applyBorder="1" applyAlignment="1" applyProtection="1">
      <alignment horizontal="center" vertical="center"/>
      <protection locked="0"/>
    </xf>
    <xf numFmtId="0" fontId="4" fillId="11" borderId="26" xfId="2" applyNumberFormat="1" applyFont="1" applyFill="1" applyBorder="1" applyAlignment="1" applyProtection="1">
      <alignment horizontal="center" vertical="center"/>
      <protection locked="0"/>
    </xf>
    <xf numFmtId="0" fontId="8" fillId="5" borderId="0" xfId="0" applyFont="1" applyFill="1" applyProtection="1">
      <protection locked="0"/>
    </xf>
    <xf numFmtId="0" fontId="4" fillId="9" borderId="34" xfId="0" applyFont="1" applyFill="1" applyBorder="1" applyAlignment="1" applyProtection="1">
      <alignment horizontal="center" vertical="center"/>
      <protection locked="0"/>
    </xf>
    <xf numFmtId="0" fontId="4" fillId="9" borderId="2" xfId="0" applyFont="1" applyFill="1" applyBorder="1" applyAlignment="1" applyProtection="1">
      <alignment horizontal="center" vertical="center"/>
      <protection locked="0"/>
    </xf>
    <xf numFmtId="0" fontId="4" fillId="9" borderId="1" xfId="0" applyFont="1" applyFill="1" applyBorder="1" applyAlignment="1" applyProtection="1">
      <alignment horizontal="center" vertical="center"/>
      <protection locked="0"/>
    </xf>
    <xf numFmtId="0" fontId="4" fillId="9" borderId="32" xfId="0" applyFont="1" applyFill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11" borderId="34" xfId="0" applyFont="1" applyFill="1" applyBorder="1" applyAlignment="1" applyProtection="1">
      <alignment horizontal="center" vertical="center"/>
      <protection locked="0"/>
    </xf>
    <xf numFmtId="0" fontId="4" fillId="11" borderId="26" xfId="0" applyFont="1" applyFill="1" applyBorder="1" applyAlignment="1" applyProtection="1">
      <alignment horizontal="center" vertical="center"/>
      <protection locked="0"/>
    </xf>
    <xf numFmtId="0" fontId="4" fillId="11" borderId="41" xfId="0" applyFont="1" applyFill="1" applyBorder="1" applyAlignment="1" applyProtection="1">
      <alignment horizontal="center" vertical="center"/>
      <protection locked="0"/>
    </xf>
    <xf numFmtId="0" fontId="4" fillId="9" borderId="26" xfId="0" applyFont="1" applyFill="1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 applyProtection="1">
      <alignment horizontal="center" vertical="center"/>
      <protection locked="0"/>
    </xf>
    <xf numFmtId="0" fontId="4" fillId="11" borderId="32" xfId="0" applyFont="1" applyFill="1" applyBorder="1" applyAlignment="1" applyProtection="1">
      <alignment horizontal="center" vertical="center"/>
      <protection locked="0"/>
    </xf>
    <xf numFmtId="0" fontId="38" fillId="0" borderId="15" xfId="0" applyFont="1" applyBorder="1" applyAlignment="1" applyProtection="1">
      <alignment horizontal="left"/>
      <protection locked="0"/>
    </xf>
    <xf numFmtId="0" fontId="4" fillId="8" borderId="34" xfId="0" applyFont="1" applyFill="1" applyBorder="1" applyAlignment="1" applyProtection="1">
      <alignment horizontal="center" vertical="center"/>
      <protection locked="0"/>
    </xf>
    <xf numFmtId="0" fontId="4" fillId="8" borderId="26" xfId="0" applyFont="1" applyFill="1" applyBorder="1" applyAlignment="1" applyProtection="1">
      <alignment horizontal="center" vertical="center"/>
      <protection locked="0"/>
    </xf>
    <xf numFmtId="0" fontId="4" fillId="8" borderId="32" xfId="0" applyFont="1" applyFill="1" applyBorder="1" applyAlignment="1" applyProtection="1">
      <alignment horizontal="center" vertical="center"/>
      <protection locked="0"/>
    </xf>
    <xf numFmtId="167" fontId="4" fillId="11" borderId="26" xfId="3" applyFont="1" applyFill="1" applyBorder="1" applyAlignment="1" applyProtection="1">
      <alignment horizontal="center" vertical="center"/>
      <protection locked="0"/>
    </xf>
    <xf numFmtId="9" fontId="5" fillId="11" borderId="26" xfId="2" applyFont="1" applyFill="1" applyBorder="1" applyAlignment="1" applyProtection="1">
      <alignment horizontal="center"/>
      <protection locked="0"/>
    </xf>
    <xf numFmtId="9" fontId="5" fillId="9" borderId="1" xfId="2" applyFont="1" applyFill="1" applyBorder="1" applyAlignment="1" applyProtection="1">
      <alignment horizontal="center"/>
      <protection locked="0"/>
    </xf>
    <xf numFmtId="167" fontId="4" fillId="9" borderId="2" xfId="3" applyFont="1" applyFill="1" applyBorder="1" applyAlignment="1" applyProtection="1">
      <alignment horizontal="center" vertical="center"/>
      <protection locked="0"/>
    </xf>
    <xf numFmtId="9" fontId="5" fillId="9" borderId="2" xfId="2" applyFont="1" applyFill="1" applyBorder="1" applyAlignment="1" applyProtection="1">
      <alignment horizontal="center"/>
      <protection locked="0"/>
    </xf>
    <xf numFmtId="9" fontId="5" fillId="8" borderId="26" xfId="2" applyFont="1" applyFill="1" applyBorder="1" applyAlignment="1" applyProtection="1">
      <alignment horizontal="center"/>
      <protection locked="0"/>
    </xf>
    <xf numFmtId="14" fontId="8" fillId="9" borderId="64" xfId="0" applyNumberFormat="1" applyFont="1" applyFill="1" applyBorder="1" applyAlignment="1" applyProtection="1">
      <alignment horizontal="center" vertical="center"/>
      <protection locked="0"/>
    </xf>
    <xf numFmtId="14" fontId="8" fillId="9" borderId="57" xfId="0" applyNumberFormat="1" applyFont="1" applyFill="1" applyBorder="1" applyAlignment="1" applyProtection="1">
      <alignment horizontal="center"/>
      <protection locked="0"/>
    </xf>
    <xf numFmtId="14" fontId="8" fillId="9" borderId="67" xfId="0" applyNumberFormat="1" applyFont="1" applyFill="1" applyBorder="1" applyAlignment="1" applyProtection="1">
      <alignment horizontal="center"/>
      <protection locked="0"/>
    </xf>
    <xf numFmtId="14" fontId="8" fillId="9" borderId="61" xfId="0" applyNumberFormat="1" applyFont="1" applyFill="1" applyBorder="1" applyAlignment="1" applyProtection="1">
      <alignment horizontal="center"/>
      <protection locked="0"/>
    </xf>
    <xf numFmtId="14" fontId="8" fillId="0" borderId="65" xfId="0" applyNumberFormat="1" applyFont="1" applyBorder="1" applyAlignment="1" applyProtection="1">
      <alignment horizontal="center"/>
      <protection locked="0"/>
    </xf>
    <xf numFmtId="14" fontId="8" fillId="11" borderId="64" xfId="0" applyNumberFormat="1" applyFont="1" applyFill="1" applyBorder="1" applyAlignment="1" applyProtection="1">
      <alignment horizontal="center"/>
      <protection locked="0"/>
    </xf>
    <xf numFmtId="14" fontId="8" fillId="11" borderId="57" xfId="0" applyNumberFormat="1" applyFont="1" applyFill="1" applyBorder="1" applyAlignment="1" applyProtection="1">
      <alignment horizontal="center"/>
      <protection locked="0"/>
    </xf>
    <xf numFmtId="14" fontId="8" fillId="11" borderId="61" xfId="0" applyNumberFormat="1" applyFont="1" applyFill="1" applyBorder="1" applyAlignment="1" applyProtection="1">
      <alignment horizontal="center"/>
      <protection locked="0"/>
    </xf>
    <xf numFmtId="14" fontId="8" fillId="9" borderId="64" xfId="0" applyNumberFormat="1" applyFont="1" applyFill="1" applyBorder="1" applyAlignment="1" applyProtection="1">
      <alignment horizontal="center"/>
      <protection locked="0"/>
    </xf>
    <xf numFmtId="14" fontId="8" fillId="11" borderId="67" xfId="0" applyNumberFormat="1" applyFont="1" applyFill="1" applyBorder="1" applyAlignment="1" applyProtection="1">
      <alignment horizontal="center"/>
      <protection locked="0"/>
    </xf>
    <xf numFmtId="14" fontId="8" fillId="0" borderId="58" xfId="0" applyNumberFormat="1" applyFont="1" applyBorder="1" applyAlignment="1" applyProtection="1">
      <alignment horizontal="center"/>
      <protection locked="0"/>
    </xf>
    <xf numFmtId="14" fontId="8" fillId="9" borderId="59" xfId="0" applyNumberFormat="1" applyFont="1" applyFill="1" applyBorder="1" applyAlignment="1" applyProtection="1">
      <alignment horizontal="center"/>
      <protection locked="0"/>
    </xf>
    <xf numFmtId="14" fontId="8" fillId="8" borderId="64" xfId="0" applyNumberFormat="1" applyFont="1" applyFill="1" applyBorder="1" applyAlignment="1" applyProtection="1">
      <alignment horizontal="center"/>
      <protection locked="0"/>
    </xf>
    <xf numFmtId="14" fontId="8" fillId="8" borderId="57" xfId="0" applyNumberFormat="1" applyFont="1" applyFill="1" applyBorder="1" applyAlignment="1" applyProtection="1">
      <alignment horizontal="center"/>
      <protection locked="0"/>
    </xf>
    <xf numFmtId="14" fontId="8" fillId="8" borderId="67" xfId="0" applyNumberFormat="1" applyFont="1" applyFill="1" applyBorder="1" applyAlignment="1" applyProtection="1">
      <alignment horizontal="center"/>
      <protection locked="0"/>
    </xf>
    <xf numFmtId="14" fontId="8" fillId="8" borderId="61" xfId="0" applyNumberFormat="1" applyFont="1" applyFill="1" applyBorder="1" applyAlignment="1" applyProtection="1">
      <alignment horizontal="center"/>
      <protection locked="0"/>
    </xf>
    <xf numFmtId="0" fontId="4" fillId="9" borderId="63" xfId="0" applyFont="1" applyFill="1" applyBorder="1" applyAlignment="1" applyProtection="1">
      <alignment horizontal="center" vertical="center"/>
      <protection locked="0"/>
    </xf>
    <xf numFmtId="0" fontId="4" fillId="9" borderId="55" xfId="0" applyFont="1" applyFill="1" applyBorder="1" applyAlignment="1" applyProtection="1">
      <alignment horizontal="center"/>
      <protection locked="0"/>
    </xf>
    <xf numFmtId="0" fontId="4" fillId="9" borderId="66" xfId="0" applyFont="1" applyFill="1" applyBorder="1" applyAlignment="1" applyProtection="1">
      <alignment horizontal="center"/>
      <protection locked="0"/>
    </xf>
    <xf numFmtId="0" fontId="4" fillId="9" borderId="60" xfId="0" applyFont="1" applyFill="1" applyBorder="1" applyAlignment="1" applyProtection="1">
      <alignment horizontal="center"/>
      <protection locked="0"/>
    </xf>
    <xf numFmtId="0" fontId="4" fillId="0" borderId="62" xfId="0" applyFont="1" applyBorder="1" applyAlignment="1" applyProtection="1">
      <alignment horizontal="center"/>
      <protection locked="0"/>
    </xf>
    <xf numFmtId="0" fontId="4" fillId="11" borderId="63" xfId="0" applyFont="1" applyFill="1" applyBorder="1" applyAlignment="1" applyProtection="1">
      <alignment horizontal="center"/>
      <protection locked="0"/>
    </xf>
    <xf numFmtId="0" fontId="4" fillId="11" borderId="55" xfId="0" applyFont="1" applyFill="1" applyBorder="1" applyAlignment="1" applyProtection="1">
      <alignment horizontal="center"/>
      <protection locked="0"/>
    </xf>
    <xf numFmtId="0" fontId="4" fillId="11" borderId="60" xfId="0" applyFont="1" applyFill="1" applyBorder="1" applyAlignment="1" applyProtection="1">
      <alignment horizontal="center"/>
      <protection locked="0"/>
    </xf>
    <xf numFmtId="0" fontId="4" fillId="9" borderId="63" xfId="0" applyFont="1" applyFill="1" applyBorder="1" applyAlignment="1" applyProtection="1">
      <alignment horizontal="center"/>
      <protection locked="0"/>
    </xf>
    <xf numFmtId="0" fontId="5" fillId="0" borderId="62" xfId="0" applyFont="1" applyBorder="1" applyAlignment="1" applyProtection="1">
      <alignment horizontal="center"/>
      <protection locked="0"/>
    </xf>
    <xf numFmtId="0" fontId="4" fillId="11" borderId="66" xfId="0" applyFont="1" applyFill="1" applyBorder="1" applyAlignment="1" applyProtection="1">
      <alignment horizontal="center"/>
      <protection locked="0"/>
    </xf>
    <xf numFmtId="0" fontId="4" fillId="0" borderId="56" xfId="0" applyFont="1" applyBorder="1" applyAlignment="1" applyProtection="1">
      <alignment horizontal="center"/>
      <protection locked="0"/>
    </xf>
    <xf numFmtId="0" fontId="4" fillId="9" borderId="54" xfId="0" applyFont="1" applyFill="1" applyBorder="1" applyAlignment="1" applyProtection="1">
      <alignment horizontal="center"/>
      <protection locked="0"/>
    </xf>
    <xf numFmtId="0" fontId="35" fillId="0" borderId="62" xfId="0" applyFont="1" applyBorder="1" applyAlignment="1" applyProtection="1">
      <alignment horizontal="left"/>
      <protection locked="0"/>
    </xf>
    <xf numFmtId="0" fontId="4" fillId="8" borderId="63" xfId="0" applyFont="1" applyFill="1" applyBorder="1" applyAlignment="1" applyProtection="1">
      <alignment horizontal="center"/>
      <protection locked="0"/>
    </xf>
    <xf numFmtId="0" fontId="4" fillId="8" borderId="55" xfId="0" applyFont="1" applyFill="1" applyBorder="1" applyAlignment="1" applyProtection="1">
      <alignment horizontal="center"/>
      <protection locked="0"/>
    </xf>
    <xf numFmtId="0" fontId="4" fillId="8" borderId="66" xfId="0" applyFont="1" applyFill="1" applyBorder="1" applyAlignment="1" applyProtection="1">
      <alignment horizontal="center"/>
      <protection locked="0"/>
    </xf>
    <xf numFmtId="0" fontId="4" fillId="8" borderId="60" xfId="0" applyFont="1" applyFill="1" applyBorder="1" applyAlignment="1" applyProtection="1">
      <alignment horizontal="center"/>
      <protection locked="0"/>
    </xf>
    <xf numFmtId="0" fontId="6" fillId="14" borderId="20" xfId="0" applyFont="1" applyFill="1" applyBorder="1" applyProtection="1">
      <protection locked="0"/>
    </xf>
    <xf numFmtId="167" fontId="6" fillId="14" borderId="22" xfId="0" applyNumberFormat="1" applyFont="1" applyFill="1" applyBorder="1" applyProtection="1">
      <protection locked="0"/>
    </xf>
    <xf numFmtId="167" fontId="6" fillId="14" borderId="22" xfId="3" applyFont="1" applyFill="1" applyBorder="1" applyProtection="1">
      <protection locked="0"/>
    </xf>
    <xf numFmtId="167" fontId="6" fillId="14" borderId="25" xfId="0" applyNumberFormat="1" applyFont="1" applyFill="1" applyBorder="1" applyProtection="1">
      <protection locked="0"/>
    </xf>
    <xf numFmtId="167" fontId="39" fillId="14" borderId="22" xfId="0" applyNumberFormat="1" applyFont="1" applyFill="1" applyBorder="1" applyProtection="1">
      <protection locked="0"/>
    </xf>
    <xf numFmtId="0" fontId="6" fillId="15" borderId="20" xfId="0" applyFont="1" applyFill="1" applyBorder="1" applyProtection="1">
      <protection locked="0"/>
    </xf>
    <xf numFmtId="167" fontId="6" fillId="15" borderId="22" xfId="0" applyNumberFormat="1" applyFont="1" applyFill="1" applyBorder="1" applyProtection="1">
      <protection locked="0"/>
    </xf>
    <xf numFmtId="167" fontId="6" fillId="15" borderId="25" xfId="0" applyNumberFormat="1" applyFont="1" applyFill="1" applyBorder="1" applyProtection="1">
      <protection locked="0"/>
    </xf>
    <xf numFmtId="167" fontId="4" fillId="8" borderId="26" xfId="3" applyFont="1" applyFill="1" applyBorder="1" applyAlignment="1" applyProtection="1">
      <alignment horizontal="center" vertical="center"/>
      <protection locked="0"/>
    </xf>
    <xf numFmtId="167" fontId="4" fillId="9" borderId="2" xfId="3" applyFont="1" applyFill="1" applyBorder="1" applyAlignment="1" applyProtection="1">
      <alignment horizontal="center"/>
      <protection locked="0"/>
    </xf>
    <xf numFmtId="168" fontId="7" fillId="0" borderId="62" xfId="0" applyNumberFormat="1" applyFont="1" applyBorder="1" applyAlignment="1" applyProtection="1">
      <alignment horizontal="center" vertical="center" wrapText="1"/>
      <protection locked="0"/>
    </xf>
    <xf numFmtId="168" fontId="7" fillId="0" borderId="11" xfId="0" applyNumberFormat="1" applyFont="1" applyBorder="1" applyAlignment="1" applyProtection="1">
      <alignment horizontal="center" vertical="center" wrapText="1"/>
      <protection locked="0"/>
    </xf>
    <xf numFmtId="168" fontId="8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9" borderId="68" xfId="0" applyFont="1" applyFill="1" applyBorder="1" applyAlignment="1" applyProtection="1">
      <alignment horizontal="center" vertical="center"/>
      <protection locked="0"/>
    </xf>
    <xf numFmtId="0" fontId="4" fillId="9" borderId="69" xfId="0" applyFont="1" applyFill="1" applyBorder="1" applyAlignment="1" applyProtection="1">
      <alignment horizontal="center"/>
      <protection locked="0"/>
    </xf>
    <xf numFmtId="0" fontId="4" fillId="9" borderId="70" xfId="0" applyFont="1" applyFill="1" applyBorder="1" applyAlignment="1" applyProtection="1">
      <alignment horizontal="center"/>
      <protection locked="0"/>
    </xf>
    <xf numFmtId="0" fontId="4" fillId="9" borderId="71" xfId="0" applyFont="1" applyFill="1" applyBorder="1" applyAlignment="1" applyProtection="1">
      <alignment horizontal="center"/>
      <protection locked="0"/>
    </xf>
    <xf numFmtId="0" fontId="4" fillId="0" borderId="10" xfId="0" applyFont="1" applyBorder="1" applyAlignment="1" applyProtection="1">
      <alignment horizontal="center"/>
      <protection locked="0"/>
    </xf>
    <xf numFmtId="0" fontId="4" fillId="11" borderId="68" xfId="0" applyFont="1" applyFill="1" applyBorder="1" applyAlignment="1" applyProtection="1">
      <alignment horizontal="center"/>
      <protection locked="0"/>
    </xf>
    <xf numFmtId="0" fontId="4" fillId="11" borderId="69" xfId="0" applyFont="1" applyFill="1" applyBorder="1" applyAlignment="1" applyProtection="1">
      <alignment horizontal="center"/>
      <protection locked="0"/>
    </xf>
    <xf numFmtId="0" fontId="4" fillId="11" borderId="71" xfId="0" applyFont="1" applyFill="1" applyBorder="1" applyAlignment="1" applyProtection="1">
      <alignment horizontal="center"/>
      <protection locked="0"/>
    </xf>
    <xf numFmtId="0" fontId="4" fillId="9" borderId="68" xfId="0" applyFont="1" applyFill="1" applyBorder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4" fillId="11" borderId="70" xfId="0" applyFont="1" applyFill="1" applyBorder="1" applyAlignment="1" applyProtection="1">
      <alignment horizontal="center"/>
      <protection locked="0"/>
    </xf>
    <xf numFmtId="0" fontId="4" fillId="0" borderId="42" xfId="0" applyFont="1" applyBorder="1" applyAlignment="1" applyProtection="1">
      <alignment horizontal="center"/>
      <protection locked="0"/>
    </xf>
    <xf numFmtId="0" fontId="4" fillId="9" borderId="4" xfId="0" applyFont="1" applyFill="1" applyBorder="1" applyAlignment="1" applyProtection="1">
      <alignment horizontal="center"/>
      <protection locked="0"/>
    </xf>
    <xf numFmtId="0" fontId="4" fillId="8" borderId="68" xfId="0" applyFont="1" applyFill="1" applyBorder="1" applyAlignment="1" applyProtection="1">
      <alignment horizontal="center"/>
      <protection locked="0"/>
    </xf>
    <xf numFmtId="0" fontId="4" fillId="8" borderId="69" xfId="0" applyFont="1" applyFill="1" applyBorder="1" applyAlignment="1" applyProtection="1">
      <alignment horizontal="center"/>
      <protection locked="0"/>
    </xf>
    <xf numFmtId="0" fontId="4" fillId="8" borderId="70" xfId="0" applyFont="1" applyFill="1" applyBorder="1" applyAlignment="1" applyProtection="1">
      <alignment horizontal="center"/>
      <protection locked="0"/>
    </xf>
    <xf numFmtId="0" fontId="4" fillId="8" borderId="71" xfId="0" applyFont="1" applyFill="1" applyBorder="1" applyAlignment="1" applyProtection="1">
      <alignment horizontal="center"/>
      <protection locked="0"/>
    </xf>
    <xf numFmtId="168" fontId="4" fillId="11" borderId="2" xfId="3" applyNumberFormat="1" applyFont="1" applyFill="1" applyBorder="1" applyAlignment="1" applyProtection="1">
      <alignment horizontal="center"/>
      <protection locked="0"/>
    </xf>
    <xf numFmtId="0" fontId="4" fillId="9" borderId="55" xfId="0" applyFont="1" applyFill="1" applyBorder="1" applyAlignment="1" applyProtection="1">
      <alignment horizontal="left"/>
      <protection locked="0"/>
    </xf>
    <xf numFmtId="0" fontId="4" fillId="8" borderId="72" xfId="0" applyFont="1" applyFill="1" applyBorder="1" applyAlignment="1" applyProtection="1">
      <alignment horizontal="center"/>
      <protection locked="0"/>
    </xf>
    <xf numFmtId="0" fontId="5" fillId="8" borderId="70" xfId="0" applyFont="1" applyFill="1" applyBorder="1" applyAlignment="1" applyProtection="1">
      <alignment horizontal="center"/>
      <protection locked="0"/>
    </xf>
    <xf numFmtId="1" fontId="4" fillId="9" borderId="34" xfId="0" applyNumberFormat="1" applyFont="1" applyFill="1" applyBorder="1" applyAlignment="1" applyProtection="1">
      <alignment horizontal="center" vertical="center"/>
      <protection locked="0"/>
    </xf>
    <xf numFmtId="168" fontId="15" fillId="0" borderId="38" xfId="0" applyNumberFormat="1" applyFont="1" applyBorder="1" applyAlignment="1" applyProtection="1">
      <alignment horizontal="center" vertical="center" wrapText="1"/>
      <protection locked="0"/>
    </xf>
    <xf numFmtId="168" fontId="15" fillId="0" borderId="16" xfId="0" applyNumberFormat="1" applyFont="1" applyBorder="1" applyAlignment="1" applyProtection="1">
      <alignment horizontal="center" vertical="center" wrapText="1"/>
      <protection locked="0"/>
    </xf>
    <xf numFmtId="168" fontId="8" fillId="8" borderId="49" xfId="0" applyNumberFormat="1" applyFont="1" applyFill="1" applyBorder="1" applyAlignment="1" applyProtection="1">
      <alignment horizontal="center"/>
      <protection locked="0"/>
    </xf>
    <xf numFmtId="168" fontId="8" fillId="9" borderId="12" xfId="0" applyNumberFormat="1" applyFont="1" applyFill="1" applyBorder="1" applyAlignment="1" applyProtection="1">
      <alignment horizontal="center"/>
      <protection locked="0"/>
    </xf>
    <xf numFmtId="15" fontId="18" fillId="5" borderId="0" xfId="0" applyNumberFormat="1" applyFont="1" applyFill="1" applyProtection="1">
      <protection locked="0"/>
    </xf>
    <xf numFmtId="164" fontId="5" fillId="5" borderId="0" xfId="0" applyNumberFormat="1" applyFont="1" applyFill="1" applyProtection="1">
      <protection locked="0"/>
    </xf>
    <xf numFmtId="167" fontId="5" fillId="8" borderId="76" xfId="3" applyFont="1" applyFill="1" applyBorder="1" applyAlignment="1" applyProtection="1">
      <alignment horizontal="center"/>
      <protection locked="0"/>
    </xf>
    <xf numFmtId="167" fontId="5" fillId="8" borderId="23" xfId="3" applyFont="1" applyFill="1" applyBorder="1" applyAlignment="1" applyProtection="1">
      <alignment horizontal="center"/>
      <protection locked="0"/>
    </xf>
    <xf numFmtId="0" fontId="4" fillId="8" borderId="24" xfId="0" applyFont="1" applyFill="1" applyBorder="1" applyAlignment="1" applyProtection="1">
      <alignment horizontal="center"/>
      <protection locked="0"/>
    </xf>
    <xf numFmtId="0" fontId="4" fillId="8" borderId="19" xfId="0" applyFont="1" applyFill="1" applyBorder="1" applyAlignment="1" applyProtection="1">
      <alignment horizontal="center"/>
      <protection locked="0"/>
    </xf>
    <xf numFmtId="168" fontId="4" fillId="8" borderId="78" xfId="0" applyNumberFormat="1" applyFont="1" applyFill="1" applyBorder="1" applyAlignment="1" applyProtection="1">
      <alignment horizontal="center"/>
      <protection locked="0"/>
    </xf>
    <xf numFmtId="168" fontId="4" fillId="8" borderId="77" xfId="0" applyNumberFormat="1" applyFont="1" applyFill="1" applyBorder="1" applyAlignment="1" applyProtection="1">
      <alignment horizontal="center"/>
      <protection locked="0"/>
    </xf>
    <xf numFmtId="9" fontId="5" fillId="11" borderId="1" xfId="2" applyFont="1" applyFill="1" applyBorder="1" applyAlignment="1" applyProtection="1">
      <alignment horizontal="center"/>
      <protection locked="0"/>
    </xf>
    <xf numFmtId="0" fontId="5" fillId="0" borderId="77" xfId="0" applyFont="1" applyBorder="1" applyAlignment="1" applyProtection="1">
      <alignment horizontal="center"/>
      <protection locked="0"/>
    </xf>
    <xf numFmtId="0" fontId="4" fillId="9" borderId="24" xfId="0" applyFont="1" applyFill="1" applyBorder="1" applyAlignment="1" applyProtection="1">
      <alignment horizontal="center"/>
      <protection locked="0"/>
    </xf>
    <xf numFmtId="0" fontId="5" fillId="5" borderId="2" xfId="0" applyFont="1" applyFill="1" applyBorder="1" applyProtection="1">
      <protection locked="0"/>
    </xf>
    <xf numFmtId="0" fontId="6" fillId="5" borderId="2" xfId="0" applyFont="1" applyFill="1" applyBorder="1" applyAlignment="1" applyProtection="1">
      <alignment horizontal="center" vertical="center"/>
      <protection locked="0"/>
    </xf>
    <xf numFmtId="15" fontId="5" fillId="5" borderId="2" xfId="0" applyNumberFormat="1" applyFont="1" applyFill="1" applyBorder="1" applyAlignment="1" applyProtection="1">
      <alignment horizontal="center" vertical="center"/>
      <protection locked="0"/>
    </xf>
    <xf numFmtId="1" fontId="5" fillId="5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pivotButton="1"/>
    <xf numFmtId="14" fontId="4" fillId="9" borderId="49" xfId="0" applyNumberFormat="1" applyFont="1" applyFill="1" applyBorder="1" applyAlignment="1" applyProtection="1">
      <alignment horizontal="center"/>
      <protection locked="0"/>
    </xf>
    <xf numFmtId="14" fontId="4" fillId="9" borderId="51" xfId="0" applyNumberFormat="1" applyFont="1" applyFill="1" applyBorder="1" applyAlignment="1" applyProtection="1">
      <alignment horizontal="center"/>
      <protection locked="0"/>
    </xf>
    <xf numFmtId="164" fontId="18" fillId="5" borderId="0" xfId="0" applyNumberFormat="1" applyFont="1" applyFill="1" applyProtection="1">
      <protection locked="0"/>
    </xf>
    <xf numFmtId="169" fontId="33" fillId="7" borderId="23" xfId="0" applyNumberFormat="1" applyFont="1" applyFill="1" applyBorder="1" applyAlignment="1" applyProtection="1">
      <alignment horizontal="left" vertical="center"/>
      <protection locked="0"/>
    </xf>
    <xf numFmtId="14" fontId="4" fillId="11" borderId="49" xfId="0" applyNumberFormat="1" applyFont="1" applyFill="1" applyBorder="1" applyAlignment="1" applyProtection="1">
      <alignment horizontal="center"/>
      <protection locked="0"/>
    </xf>
    <xf numFmtId="168" fontId="5" fillId="2" borderId="5" xfId="0" applyNumberFormat="1" applyFont="1" applyFill="1" applyBorder="1" applyAlignment="1" applyProtection="1">
      <alignment wrapText="1"/>
      <protection locked="0"/>
    </xf>
    <xf numFmtId="0" fontId="5" fillId="0" borderId="48" xfId="0" applyFont="1" applyBorder="1" applyAlignment="1" applyProtection="1">
      <alignment vertical="center"/>
      <protection locked="0"/>
    </xf>
    <xf numFmtId="168" fontId="6" fillId="0" borderId="48" xfId="0" applyNumberFormat="1" applyFont="1" applyBorder="1" applyAlignment="1" applyProtection="1">
      <alignment vertical="center"/>
      <protection locked="0"/>
    </xf>
    <xf numFmtId="168" fontId="6" fillId="0" borderId="8" xfId="0" applyNumberFormat="1" applyFont="1" applyBorder="1" applyAlignment="1" applyProtection="1">
      <alignment horizontal="center" vertical="center"/>
      <protection locked="0"/>
    </xf>
    <xf numFmtId="14" fontId="4" fillId="9" borderId="51" xfId="0" applyNumberFormat="1" applyFont="1" applyFill="1" applyBorder="1" applyAlignment="1" applyProtection="1">
      <alignment horizontal="center" vertical="center"/>
      <protection locked="0"/>
    </xf>
    <xf numFmtId="14" fontId="4" fillId="9" borderId="53" xfId="0" applyNumberFormat="1" applyFont="1" applyFill="1" applyBorder="1" applyAlignment="1" applyProtection="1">
      <alignment horizontal="center"/>
      <protection locked="0"/>
    </xf>
    <xf numFmtId="14" fontId="4" fillId="9" borderId="50" xfId="0" applyNumberFormat="1" applyFont="1" applyFill="1" applyBorder="1" applyAlignment="1" applyProtection="1">
      <alignment horizontal="center"/>
      <protection locked="0"/>
    </xf>
    <xf numFmtId="14" fontId="4" fillId="0" borderId="11" xfId="0" applyNumberFormat="1" applyFont="1" applyBorder="1" applyAlignment="1" applyProtection="1">
      <alignment horizontal="center"/>
      <protection locked="0"/>
    </xf>
    <xf numFmtId="14" fontId="4" fillId="11" borderId="51" xfId="0" applyNumberFormat="1" applyFont="1" applyFill="1" applyBorder="1" applyAlignment="1" applyProtection="1">
      <alignment horizontal="center"/>
      <protection locked="0"/>
    </xf>
    <xf numFmtId="14" fontId="4" fillId="11" borderId="50" xfId="0" applyNumberFormat="1" applyFont="1" applyFill="1" applyBorder="1" applyAlignment="1" applyProtection="1">
      <alignment horizontal="center"/>
      <protection locked="0"/>
    </xf>
    <xf numFmtId="14" fontId="5" fillId="0" borderId="11" xfId="0" applyNumberFormat="1" applyFont="1" applyBorder="1" applyAlignment="1" applyProtection="1">
      <alignment horizontal="center"/>
      <protection locked="0"/>
    </xf>
    <xf numFmtId="14" fontId="4" fillId="0" borderId="17" xfId="0" applyNumberFormat="1" applyFont="1" applyBorder="1" applyAlignment="1" applyProtection="1">
      <alignment horizontal="center"/>
      <protection locked="0"/>
    </xf>
    <xf numFmtId="14" fontId="4" fillId="9" borderId="12" xfId="0" applyNumberFormat="1" applyFont="1" applyFill="1" applyBorder="1" applyAlignment="1" applyProtection="1">
      <alignment horizontal="center"/>
      <protection locked="0"/>
    </xf>
    <xf numFmtId="14" fontId="4" fillId="9" borderId="13" xfId="0" applyNumberFormat="1" applyFont="1" applyFill="1" applyBorder="1" applyAlignment="1" applyProtection="1">
      <alignment horizontal="center"/>
      <protection locked="0"/>
    </xf>
    <xf numFmtId="14" fontId="4" fillId="11" borderId="53" xfId="0" applyNumberFormat="1" applyFont="1" applyFill="1" applyBorder="1" applyAlignment="1" applyProtection="1">
      <alignment horizontal="center"/>
      <protection locked="0"/>
    </xf>
    <xf numFmtId="14" fontId="4" fillId="8" borderId="51" xfId="0" applyNumberFormat="1" applyFont="1" applyFill="1" applyBorder="1" applyAlignment="1" applyProtection="1">
      <alignment horizontal="center"/>
      <protection locked="0"/>
    </xf>
    <xf numFmtId="14" fontId="4" fillId="8" borderId="49" xfId="0" applyNumberFormat="1" applyFont="1" applyFill="1" applyBorder="1" applyAlignment="1" applyProtection="1">
      <alignment horizontal="center"/>
      <protection locked="0"/>
    </xf>
    <xf numFmtId="14" fontId="4" fillId="8" borderId="53" xfId="0" applyNumberFormat="1" applyFont="1" applyFill="1" applyBorder="1" applyAlignment="1" applyProtection="1">
      <alignment horizontal="center"/>
      <protection locked="0"/>
    </xf>
    <xf numFmtId="14" fontId="4" fillId="8" borderId="50" xfId="0" applyNumberFormat="1" applyFont="1" applyFill="1" applyBorder="1" applyAlignment="1" applyProtection="1">
      <alignment horizontal="center"/>
      <protection locked="0"/>
    </xf>
    <xf numFmtId="0" fontId="33" fillId="7" borderId="21" xfId="0" applyFont="1" applyFill="1" applyBorder="1" applyProtection="1">
      <protection locked="0"/>
    </xf>
    <xf numFmtId="0" fontId="33" fillId="7" borderId="18" xfId="0" applyFont="1" applyFill="1" applyBorder="1" applyProtection="1">
      <protection locked="0"/>
    </xf>
    <xf numFmtId="0" fontId="33" fillId="7" borderId="19" xfId="0" applyFont="1" applyFill="1" applyBorder="1" applyProtection="1">
      <protection locked="0"/>
    </xf>
    <xf numFmtId="0" fontId="33" fillId="7" borderId="20" xfId="0" applyFont="1" applyFill="1" applyBorder="1" applyProtection="1">
      <protection locked="0"/>
    </xf>
    <xf numFmtId="169" fontId="33" fillId="7" borderId="24" xfId="0" applyNumberFormat="1" applyFont="1" applyFill="1" applyBorder="1" applyAlignment="1" applyProtection="1">
      <alignment vertical="center"/>
      <protection locked="0"/>
    </xf>
    <xf numFmtId="169" fontId="33" fillId="7" borderId="25" xfId="0" applyNumberFormat="1" applyFont="1" applyFill="1" applyBorder="1" applyAlignment="1" applyProtection="1">
      <alignment vertical="center"/>
      <protection locked="0"/>
    </xf>
    <xf numFmtId="15" fontId="6" fillId="5" borderId="2" xfId="0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9" fontId="19" fillId="5" borderId="24" xfId="2" applyFont="1" applyFill="1" applyBorder="1" applyAlignment="1">
      <alignment horizontal="center" vertical="center"/>
    </xf>
    <xf numFmtId="15" fontId="13" fillId="5" borderId="2" xfId="0" applyNumberFormat="1" applyFont="1" applyFill="1" applyBorder="1" applyAlignment="1">
      <alignment horizontal="center" vertical="center" wrapText="1"/>
    </xf>
    <xf numFmtId="0" fontId="13" fillId="5" borderId="2" xfId="0" applyFont="1" applyFill="1" applyBorder="1" applyAlignment="1">
      <alignment horizontal="center" vertical="center" wrapText="1"/>
    </xf>
    <xf numFmtId="167" fontId="5" fillId="5" borderId="0" xfId="0" applyNumberFormat="1" applyFont="1" applyFill="1" applyAlignment="1">
      <alignment horizontal="center" vertical="center"/>
    </xf>
    <xf numFmtId="9" fontId="19" fillId="5" borderId="2" xfId="2" applyFont="1" applyFill="1" applyBorder="1" applyAlignment="1" applyProtection="1">
      <alignment horizontal="center" vertical="center"/>
      <protection locked="0"/>
    </xf>
    <xf numFmtId="0" fontId="5" fillId="5" borderId="2" xfId="0" applyFont="1" applyFill="1" applyBorder="1" applyAlignment="1">
      <alignment horizontal="center" vertical="center" wrapText="1"/>
    </xf>
    <xf numFmtId="167" fontId="6" fillId="5" borderId="0" xfId="0" applyNumberFormat="1" applyFont="1" applyFill="1" applyAlignment="1">
      <alignment horizontal="center" vertical="center"/>
    </xf>
    <xf numFmtId="15" fontId="17" fillId="5" borderId="2" xfId="0" applyNumberFormat="1" applyFont="1" applyFill="1" applyBorder="1" applyAlignment="1">
      <alignment horizontal="center" vertical="center" wrapText="1"/>
    </xf>
    <xf numFmtId="0" fontId="5" fillId="5" borderId="0" xfId="0" applyFont="1" applyFill="1" applyAlignment="1">
      <alignment horizontal="center" vertical="center"/>
    </xf>
    <xf numFmtId="0" fontId="6" fillId="7" borderId="2" xfId="0" applyFont="1" applyFill="1" applyBorder="1" applyAlignment="1" applyProtection="1">
      <alignment horizontal="center" vertical="center"/>
      <protection locked="0"/>
    </xf>
    <xf numFmtId="0" fontId="6" fillId="7" borderId="2" xfId="0" applyFont="1" applyFill="1" applyBorder="1" applyAlignment="1" applyProtection="1">
      <alignment horizontal="center" vertical="center" wrapText="1"/>
      <protection locked="0"/>
    </xf>
    <xf numFmtId="14" fontId="33" fillId="5" borderId="0" xfId="0" applyNumberFormat="1" applyFont="1" applyFill="1" applyProtection="1">
      <protection locked="0"/>
    </xf>
    <xf numFmtId="0" fontId="16" fillId="5" borderId="11" xfId="0" applyFont="1" applyFill="1" applyBorder="1" applyAlignment="1" applyProtection="1">
      <alignment horizontal="left"/>
      <protection locked="0"/>
    </xf>
    <xf numFmtId="1" fontId="16" fillId="5" borderId="11" xfId="0" applyNumberFormat="1" applyFont="1" applyFill="1" applyBorder="1" applyAlignment="1" applyProtection="1">
      <alignment horizontal="left"/>
      <protection locked="0"/>
    </xf>
    <xf numFmtId="0" fontId="18" fillId="0" borderId="2" xfId="0" applyFont="1" applyBorder="1" applyAlignment="1" applyProtection="1">
      <alignment horizontal="center" vertical="center"/>
      <protection locked="0"/>
    </xf>
    <xf numFmtId="9" fontId="23" fillId="0" borderId="2" xfId="0" applyNumberFormat="1" applyFont="1" applyBorder="1" applyAlignment="1" applyProtection="1">
      <alignment horizontal="center" vertical="center"/>
      <protection locked="0"/>
    </xf>
    <xf numFmtId="167" fontId="23" fillId="0" borderId="2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15" fontId="23" fillId="0" borderId="2" xfId="0" applyNumberFormat="1" applyFont="1" applyBorder="1" applyAlignment="1" applyProtection="1">
      <alignment horizontal="center" vertical="center"/>
      <protection locked="0"/>
    </xf>
    <xf numFmtId="0" fontId="18" fillId="5" borderId="0" xfId="0" applyFont="1" applyFill="1" applyAlignment="1" applyProtection="1">
      <alignment horizontal="center" vertical="center"/>
      <protection locked="0"/>
    </xf>
    <xf numFmtId="0" fontId="18" fillId="2" borderId="0" xfId="0" applyFont="1" applyFill="1" applyAlignment="1" applyProtection="1">
      <alignment horizontal="center" vertical="center"/>
      <protection locked="0"/>
    </xf>
    <xf numFmtId="15" fontId="23" fillId="0" borderId="2" xfId="0" quotePrefix="1" applyNumberFormat="1" applyFont="1" applyBorder="1" applyAlignment="1" applyProtection="1">
      <alignment horizontal="center" vertical="center"/>
      <protection locked="0"/>
    </xf>
    <xf numFmtId="14" fontId="18" fillId="0" borderId="0" xfId="0" applyNumberFormat="1" applyFont="1" applyAlignment="1" applyProtection="1">
      <alignment horizontal="center" vertical="center"/>
      <protection locked="0"/>
    </xf>
    <xf numFmtId="15" fontId="21" fillId="0" borderId="2" xfId="0" applyNumberFormat="1" applyFont="1" applyBorder="1" applyAlignment="1" applyProtection="1">
      <alignment horizontal="center" vertical="center"/>
      <protection locked="0"/>
    </xf>
    <xf numFmtId="0" fontId="23" fillId="0" borderId="2" xfId="0" applyFont="1" applyBorder="1" applyAlignment="1" applyProtection="1">
      <alignment horizontal="center" vertical="center"/>
      <protection locked="0"/>
    </xf>
    <xf numFmtId="0" fontId="23" fillId="5" borderId="0" xfId="0" applyFont="1" applyFill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8" fillId="5" borderId="2" xfId="0" applyFont="1" applyFill="1" applyBorder="1"/>
    <xf numFmtId="0" fontId="12" fillId="0" borderId="2" xfId="0" applyFont="1" applyBorder="1"/>
    <xf numFmtId="0" fontId="40" fillId="0" borderId="2" xfId="0" applyFont="1" applyBorder="1"/>
    <xf numFmtId="1" fontId="18" fillId="5" borderId="2" xfId="0" applyNumberFormat="1" applyFont="1" applyFill="1" applyBorder="1" applyAlignment="1">
      <alignment horizontal="center" vertical="center"/>
    </xf>
    <xf numFmtId="0" fontId="15" fillId="14" borderId="19" xfId="0" applyFont="1" applyFill="1" applyBorder="1" applyProtection="1">
      <protection locked="0"/>
    </xf>
    <xf numFmtId="0" fontId="6" fillId="14" borderId="0" xfId="0" applyFont="1" applyFill="1" applyProtection="1">
      <protection locked="0"/>
    </xf>
    <xf numFmtId="0" fontId="6" fillId="14" borderId="24" xfId="0" applyFont="1" applyFill="1" applyBorder="1" applyProtection="1">
      <protection locked="0"/>
    </xf>
    <xf numFmtId="0" fontId="15" fillId="15" borderId="19" xfId="0" applyFont="1" applyFill="1" applyBorder="1" applyProtection="1">
      <protection locked="0"/>
    </xf>
    <xf numFmtId="0" fontId="6" fillId="15" borderId="0" xfId="0" applyFont="1" applyFill="1" applyProtection="1">
      <protection locked="0"/>
    </xf>
    <xf numFmtId="0" fontId="6" fillId="15" borderId="24" xfId="0" applyFont="1" applyFill="1" applyBorder="1" applyProtection="1">
      <protection locked="0"/>
    </xf>
    <xf numFmtId="0" fontId="5" fillId="5" borderId="11" xfId="0" applyFont="1" applyFill="1" applyBorder="1" applyProtection="1">
      <protection locked="0"/>
    </xf>
    <xf numFmtId="0" fontId="35" fillId="0" borderId="6" xfId="0" applyFont="1" applyBorder="1" applyAlignment="1" applyProtection="1">
      <alignment horizontal="left"/>
      <protection locked="0"/>
    </xf>
    <xf numFmtId="0" fontId="41" fillId="0" borderId="0" xfId="0" applyFont="1" applyAlignment="1">
      <alignment vertical="center"/>
    </xf>
    <xf numFmtId="0" fontId="44" fillId="0" borderId="2" xfId="0" applyFont="1" applyBorder="1" applyAlignment="1">
      <alignment vertical="center"/>
    </xf>
    <xf numFmtId="0" fontId="46" fillId="0" borderId="2" xfId="0" applyFont="1" applyBorder="1"/>
    <xf numFmtId="0" fontId="44" fillId="0" borderId="2" xfId="0" applyFont="1" applyBorder="1" applyAlignment="1">
      <alignment vertical="center" wrapText="1"/>
    </xf>
    <xf numFmtId="0" fontId="45" fillId="0" borderId="2" xfId="0" applyFont="1" applyBorder="1" applyAlignment="1">
      <alignment vertical="center" wrapText="1"/>
    </xf>
    <xf numFmtId="16" fontId="0" fillId="0" borderId="2" xfId="0" applyNumberFormat="1" applyBorder="1" applyAlignment="1">
      <alignment vertical="center" wrapText="1"/>
    </xf>
    <xf numFmtId="16" fontId="0" fillId="0" borderId="2" xfId="0" applyNumberFormat="1" applyBorder="1" applyAlignment="1">
      <alignment horizontal="center" vertical="center" wrapText="1"/>
    </xf>
    <xf numFmtId="0" fontId="0" fillId="0" borderId="0" xfId="0" applyAlignment="1">
      <alignment wrapText="1"/>
    </xf>
    <xf numFmtId="164" fontId="0" fillId="0" borderId="0" xfId="0" applyNumberFormat="1"/>
    <xf numFmtId="0" fontId="18" fillId="5" borderId="2" xfId="0" applyFont="1" applyFill="1" applyBorder="1" applyProtection="1">
      <protection locked="0"/>
    </xf>
    <xf numFmtId="167" fontId="18" fillId="5" borderId="2" xfId="3" applyFont="1" applyFill="1" applyBorder="1" applyProtection="1">
      <protection locked="0"/>
    </xf>
    <xf numFmtId="0" fontId="6" fillId="4" borderId="0" xfId="0" applyFont="1" applyFill="1" applyProtection="1">
      <protection locked="0"/>
    </xf>
    <xf numFmtId="0" fontId="5" fillId="4" borderId="0" xfId="0" applyFont="1" applyFill="1" applyProtection="1">
      <protection locked="0"/>
    </xf>
    <xf numFmtId="0" fontId="6" fillId="4" borderId="0" xfId="0" applyFont="1" applyFill="1" applyAlignment="1" applyProtection="1">
      <alignment horizontal="right"/>
      <protection locked="0"/>
    </xf>
    <xf numFmtId="0" fontId="47" fillId="4" borderId="0" xfId="0" applyFont="1" applyFill="1" applyProtection="1">
      <protection locked="0"/>
    </xf>
    <xf numFmtId="0" fontId="0" fillId="0" borderId="0" xfId="0" applyAlignment="1">
      <alignment vertical="center"/>
    </xf>
    <xf numFmtId="0" fontId="0" fillId="4" borderId="0" xfId="0" applyFill="1" applyAlignment="1">
      <alignment vertical="center"/>
    </xf>
    <xf numFmtId="0" fontId="19" fillId="0" borderId="0" xfId="0" applyFont="1" applyAlignment="1">
      <alignment vertical="center"/>
    </xf>
    <xf numFmtId="0" fontId="18" fillId="0" borderId="0" xfId="0" quotePrefix="1" applyFont="1" applyAlignment="1">
      <alignment vertical="center"/>
    </xf>
    <xf numFmtId="0" fontId="1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8" fillId="0" borderId="0" xfId="0" applyFont="1" applyAlignment="1">
      <alignment horizontal="left" vertical="center"/>
    </xf>
    <xf numFmtId="0" fontId="49" fillId="5" borderId="0" xfId="0" applyFont="1" applyFill="1" applyAlignment="1">
      <alignment vertical="center" wrapText="1"/>
    </xf>
    <xf numFmtId="0" fontId="6" fillId="0" borderId="0" xfId="0" applyFont="1" applyAlignment="1">
      <alignment horizontal="left" vertical="center"/>
    </xf>
    <xf numFmtId="0" fontId="5" fillId="0" borderId="24" xfId="0" applyFont="1" applyBorder="1" applyAlignment="1">
      <alignment horizontal="left" vertical="center"/>
    </xf>
    <xf numFmtId="14" fontId="5" fillId="0" borderId="24" xfId="0" applyNumberFormat="1" applyFont="1" applyBorder="1" applyAlignment="1">
      <alignment horizontal="left" vertical="center"/>
    </xf>
    <xf numFmtId="0" fontId="18" fillId="0" borderId="79" xfId="0" applyFont="1" applyBorder="1" applyAlignment="1">
      <alignment horizontal="left" vertical="center"/>
    </xf>
    <xf numFmtId="0" fontId="3" fillId="17" borderId="2" xfId="0" applyFont="1" applyFill="1" applyBorder="1" applyAlignment="1">
      <alignment horizontal="center" vertical="center" wrapText="1"/>
    </xf>
    <xf numFmtId="0" fontId="3" fillId="17" borderId="2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 wrapText="1"/>
    </xf>
    <xf numFmtId="168" fontId="5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68" fontId="5" fillId="0" borderId="2" xfId="0" applyNumberFormat="1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24" xfId="0" applyBorder="1" applyAlignment="1">
      <alignment vertical="center"/>
    </xf>
    <xf numFmtId="0" fontId="5" fillId="0" borderId="24" xfId="0" applyFont="1" applyBorder="1" applyAlignment="1">
      <alignment vertical="center"/>
    </xf>
    <xf numFmtId="14" fontId="50" fillId="0" borderId="24" xfId="0" applyNumberFormat="1" applyFont="1" applyBorder="1" applyAlignment="1">
      <alignment vertical="center"/>
    </xf>
    <xf numFmtId="0" fontId="5" fillId="0" borderId="19" xfId="0" applyFont="1" applyBorder="1" applyAlignment="1">
      <alignment horizontal="left" vertical="center"/>
    </xf>
    <xf numFmtId="0" fontId="0" fillId="0" borderId="19" xfId="0" applyBorder="1" applyAlignment="1">
      <alignment vertical="center"/>
    </xf>
    <xf numFmtId="0" fontId="5" fillId="0" borderId="19" xfId="0" applyFont="1" applyBorder="1" applyAlignment="1">
      <alignment vertical="center"/>
    </xf>
    <xf numFmtId="14" fontId="5" fillId="0" borderId="19" xfId="0" applyNumberFormat="1" applyFont="1" applyBorder="1" applyAlignment="1">
      <alignment vertical="center"/>
    </xf>
    <xf numFmtId="14" fontId="5" fillId="0" borderId="19" xfId="0" applyNumberFormat="1" applyFont="1" applyBorder="1" applyAlignment="1">
      <alignment horizontal="left" vertical="center"/>
    </xf>
    <xf numFmtId="0" fontId="12" fillId="0" borderId="11" xfId="0" applyFont="1" applyBorder="1" applyAlignment="1">
      <alignment horizontal="center"/>
    </xf>
    <xf numFmtId="0" fontId="40" fillId="0" borderId="2" xfId="0" applyFont="1" applyBorder="1" applyAlignment="1">
      <alignment vertical="center"/>
    </xf>
    <xf numFmtId="0" fontId="5" fillId="0" borderId="79" xfId="0" applyFont="1" applyBorder="1" applyAlignment="1">
      <alignment horizontal="left" vertical="center"/>
    </xf>
    <xf numFmtId="0" fontId="15" fillId="15" borderId="18" xfId="0" applyFont="1" applyFill="1" applyBorder="1" applyProtection="1">
      <protection locked="0"/>
    </xf>
    <xf numFmtId="0" fontId="6" fillId="15" borderId="21" xfId="0" applyFont="1" applyFill="1" applyBorder="1" applyProtection="1">
      <protection locked="0"/>
    </xf>
    <xf numFmtId="0" fontId="6" fillId="15" borderId="23" xfId="0" applyFont="1" applyFill="1" applyBorder="1" applyProtection="1">
      <protection locked="0"/>
    </xf>
    <xf numFmtId="164" fontId="5" fillId="4" borderId="0" xfId="0" applyNumberFormat="1" applyFont="1" applyFill="1" applyProtection="1">
      <protection locked="0"/>
    </xf>
    <xf numFmtId="9" fontId="5" fillId="5" borderId="2" xfId="2" applyFont="1" applyFill="1" applyBorder="1" applyAlignment="1" applyProtection="1">
      <alignment horizontal="center" vertical="center"/>
      <protection locked="0"/>
    </xf>
    <xf numFmtId="9" fontId="5" fillId="11" borderId="28" xfId="2" applyFont="1" applyFill="1" applyBorder="1" applyAlignment="1" applyProtection="1">
      <alignment horizontal="center"/>
      <protection locked="0"/>
    </xf>
    <xf numFmtId="167" fontId="5" fillId="11" borderId="28" xfId="3" applyFont="1" applyFill="1" applyBorder="1" applyAlignment="1" applyProtection="1">
      <alignment horizontal="center" vertical="center"/>
      <protection locked="0"/>
    </xf>
    <xf numFmtId="0" fontId="44" fillId="0" borderId="2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8" xfId="0" applyBorder="1" applyAlignment="1">
      <alignment horizontal="left" vertical="top"/>
    </xf>
    <xf numFmtId="0" fontId="0" fillId="0" borderId="83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42" fillId="0" borderId="2" xfId="0" applyFont="1" applyBorder="1" applyAlignment="1">
      <alignment horizontal="center" vertical="center" wrapText="1"/>
    </xf>
    <xf numFmtId="0" fontId="2" fillId="5" borderId="79" xfId="0" applyFont="1" applyFill="1" applyBorder="1" applyAlignment="1">
      <alignment horizontal="left"/>
    </xf>
    <xf numFmtId="0" fontId="2" fillId="5" borderId="14" xfId="0" applyFont="1" applyFill="1" applyBorder="1" applyAlignment="1">
      <alignment horizontal="left"/>
    </xf>
    <xf numFmtId="0" fontId="2" fillId="5" borderId="9" xfId="0" applyFont="1" applyFill="1" applyBorder="1" applyAlignment="1">
      <alignment horizontal="right"/>
    </xf>
    <xf numFmtId="0" fontId="2" fillId="5" borderId="79" xfId="0" applyFont="1" applyFill="1" applyBorder="1" applyAlignment="1">
      <alignment horizontal="right"/>
    </xf>
    <xf numFmtId="0" fontId="2" fillId="5" borderId="80" xfId="0" applyFont="1" applyFill="1" applyBorder="1" applyAlignment="1">
      <alignment horizontal="center"/>
    </xf>
    <xf numFmtId="0" fontId="2" fillId="5" borderId="81" xfId="0" applyFont="1" applyFill="1" applyBorder="1" applyAlignment="1">
      <alignment horizontal="center"/>
    </xf>
    <xf numFmtId="0" fontId="2" fillId="5" borderId="82" xfId="0" applyFont="1" applyFill="1" applyBorder="1" applyAlignment="1">
      <alignment horizontal="center"/>
    </xf>
    <xf numFmtId="49" fontId="5" fillId="0" borderId="2" xfId="0" applyNumberFormat="1" applyFont="1" applyBorder="1" applyAlignment="1">
      <alignment horizontal="center" vertical="center" wrapText="1"/>
    </xf>
    <xf numFmtId="0" fontId="48" fillId="17" borderId="0" xfId="0" applyFont="1" applyFill="1" applyAlignment="1">
      <alignment horizontal="center" vertical="center"/>
    </xf>
    <xf numFmtId="0" fontId="5" fillId="0" borderId="24" xfId="0" applyFont="1" applyBorder="1" applyAlignment="1">
      <alignment horizontal="left" vertical="center"/>
    </xf>
    <xf numFmtId="0" fontId="5" fillId="0" borderId="79" xfId="0" applyFont="1" applyBorder="1" applyAlignment="1">
      <alignment horizontal="left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vertical="center"/>
    </xf>
    <xf numFmtId="0" fontId="16" fillId="5" borderId="10" xfId="0" applyFont="1" applyFill="1" applyBorder="1" applyAlignment="1" applyProtection="1">
      <alignment horizontal="left"/>
      <protection locked="0"/>
    </xf>
    <xf numFmtId="0" fontId="16" fillId="5" borderId="16" xfId="0" applyFont="1" applyFill="1" applyBorder="1" applyAlignment="1" applyProtection="1">
      <alignment horizontal="left"/>
      <protection locked="0"/>
    </xf>
    <xf numFmtId="0" fontId="6" fillId="7" borderId="1" xfId="0" applyFont="1" applyFill="1" applyBorder="1" applyAlignment="1" applyProtection="1">
      <alignment horizontal="center" vertical="center"/>
      <protection locked="0"/>
    </xf>
    <xf numFmtId="0" fontId="6" fillId="7" borderId="26" xfId="0" applyFont="1" applyFill="1" applyBorder="1" applyAlignment="1" applyProtection="1">
      <alignment horizontal="center" vertical="center"/>
      <protection locked="0"/>
    </xf>
    <xf numFmtId="0" fontId="16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 wrapText="1"/>
    </xf>
    <xf numFmtId="0" fontId="5" fillId="16" borderId="4" xfId="0" applyFont="1" applyFill="1" applyBorder="1" applyAlignment="1" applyProtection="1">
      <alignment horizontal="center" vertical="center"/>
      <protection locked="0"/>
    </xf>
    <xf numFmtId="0" fontId="5" fillId="16" borderId="5" xfId="0" applyFont="1" applyFill="1" applyBorder="1" applyAlignment="1" applyProtection="1">
      <alignment horizontal="center" vertical="center"/>
      <protection locked="0"/>
    </xf>
    <xf numFmtId="0" fontId="5" fillId="16" borderId="6" xfId="0" applyFont="1" applyFill="1" applyBorder="1" applyAlignment="1" applyProtection="1">
      <alignment horizontal="center" vertical="center"/>
      <protection locked="0"/>
    </xf>
    <xf numFmtId="0" fontId="5" fillId="16" borderId="42" xfId="0" applyFont="1" applyFill="1" applyBorder="1" applyAlignment="1" applyProtection="1">
      <alignment horizontal="center" vertical="center"/>
      <protection locked="0"/>
    </xf>
    <xf numFmtId="0" fontId="5" fillId="16" borderId="0" xfId="0" applyFont="1" applyFill="1" applyAlignment="1" applyProtection="1">
      <alignment horizontal="center" vertical="center"/>
      <protection locked="0"/>
    </xf>
    <xf numFmtId="0" fontId="5" fillId="16" borderId="48" xfId="0" applyFont="1" applyFill="1" applyBorder="1" applyAlignment="1" applyProtection="1">
      <alignment horizontal="center" vertical="center"/>
      <protection locked="0"/>
    </xf>
    <xf numFmtId="0" fontId="5" fillId="16" borderId="83" xfId="0" applyFont="1" applyFill="1" applyBorder="1" applyAlignment="1" applyProtection="1">
      <alignment horizontal="center" vertical="center"/>
      <protection locked="0"/>
    </xf>
    <xf numFmtId="0" fontId="5" fillId="16" borderId="7" xfId="0" applyFont="1" applyFill="1" applyBorder="1" applyAlignment="1" applyProtection="1">
      <alignment horizontal="center" vertical="center"/>
      <protection locked="0"/>
    </xf>
    <xf numFmtId="0" fontId="5" fillId="16" borderId="8" xfId="0" applyFont="1" applyFill="1" applyBorder="1" applyAlignment="1" applyProtection="1">
      <alignment horizontal="center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23" fillId="0" borderId="14" xfId="0" applyFont="1" applyBorder="1" applyAlignment="1" applyProtection="1">
      <alignment horizontal="left" vertical="center"/>
      <protection locked="0"/>
    </xf>
    <xf numFmtId="0" fontId="18" fillId="0" borderId="9" xfId="0" applyFont="1" applyBorder="1" applyAlignment="1" applyProtection="1">
      <alignment horizontal="left" vertical="center"/>
      <protection locked="0"/>
    </xf>
    <xf numFmtId="0" fontId="18" fillId="0" borderId="14" xfId="0" applyFont="1" applyBorder="1" applyAlignment="1" applyProtection="1">
      <alignment horizontal="left" vertical="center"/>
      <protection locked="0"/>
    </xf>
    <xf numFmtId="0" fontId="7" fillId="5" borderId="0" xfId="0" applyFont="1" applyFill="1" applyAlignment="1">
      <alignment horizontal="left"/>
    </xf>
    <xf numFmtId="0" fontId="7" fillId="5" borderId="0" xfId="0" applyFont="1" applyFill="1" applyAlignment="1">
      <alignment horizontal="right"/>
    </xf>
    <xf numFmtId="0" fontId="6" fillId="6" borderId="10" xfId="0" applyFont="1" applyFill="1" applyBorder="1" applyAlignment="1" applyProtection="1">
      <alignment horizontal="center"/>
      <protection locked="0"/>
    </xf>
    <xf numFmtId="0" fontId="6" fillId="6" borderId="15" xfId="0" applyFont="1" applyFill="1" applyBorder="1" applyAlignment="1" applyProtection="1">
      <alignment horizontal="center"/>
      <protection locked="0"/>
    </xf>
    <xf numFmtId="0" fontId="7" fillId="6" borderId="10" xfId="0" applyFont="1" applyFill="1" applyBorder="1" applyAlignment="1" applyProtection="1">
      <alignment horizontal="center"/>
      <protection locked="0"/>
    </xf>
    <xf numFmtId="0" fontId="7" fillId="6" borderId="15" xfId="0" applyFont="1" applyFill="1" applyBorder="1" applyAlignment="1" applyProtection="1">
      <alignment horizontal="center"/>
      <protection locked="0"/>
    </xf>
    <xf numFmtId="168" fontId="6" fillId="9" borderId="6" xfId="0" applyNumberFormat="1" applyFont="1" applyFill="1" applyBorder="1" applyAlignment="1" applyProtection="1">
      <alignment horizontal="center" vertical="center"/>
      <protection locked="0"/>
    </xf>
    <xf numFmtId="168" fontId="6" fillId="9" borderId="48" xfId="0" applyNumberFormat="1" applyFont="1" applyFill="1" applyBorder="1" applyAlignment="1" applyProtection="1">
      <alignment horizontal="center" vertical="center"/>
      <protection locked="0"/>
    </xf>
    <xf numFmtId="168" fontId="6" fillId="9" borderId="8" xfId="0" applyNumberFormat="1" applyFont="1" applyFill="1" applyBorder="1" applyAlignment="1" applyProtection="1">
      <alignment horizontal="center" vertical="center"/>
      <protection locked="0"/>
    </xf>
    <xf numFmtId="168" fontId="6" fillId="9" borderId="12" xfId="0" applyNumberFormat="1" applyFont="1" applyFill="1" applyBorder="1" applyAlignment="1" applyProtection="1">
      <alignment horizontal="center" vertical="center"/>
      <protection locked="0"/>
    </xf>
    <xf numFmtId="168" fontId="6" fillId="9" borderId="17" xfId="0" applyNumberFormat="1" applyFont="1" applyFill="1" applyBorder="1" applyAlignment="1" applyProtection="1">
      <alignment horizontal="center" vertical="center"/>
      <protection locked="0"/>
    </xf>
    <xf numFmtId="168" fontId="6" fillId="9" borderId="13" xfId="0" applyNumberFormat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15" xfId="0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 vertical="center"/>
      <protection locked="0"/>
    </xf>
    <xf numFmtId="168" fontId="6" fillId="11" borderId="6" xfId="0" applyNumberFormat="1" applyFont="1" applyFill="1" applyBorder="1" applyAlignment="1" applyProtection="1">
      <alignment horizontal="center" vertical="center"/>
      <protection locked="0"/>
    </xf>
    <xf numFmtId="168" fontId="6" fillId="11" borderId="48" xfId="0" applyNumberFormat="1" applyFont="1" applyFill="1" applyBorder="1" applyAlignment="1" applyProtection="1">
      <alignment horizontal="center" vertical="center"/>
      <protection locked="0"/>
    </xf>
    <xf numFmtId="168" fontId="6" fillId="11" borderId="8" xfId="0" applyNumberFormat="1" applyFont="1" applyFill="1" applyBorder="1" applyAlignment="1" applyProtection="1">
      <alignment horizontal="center" vertical="center"/>
      <protection locked="0"/>
    </xf>
    <xf numFmtId="168" fontId="6" fillId="11" borderId="12" xfId="0" applyNumberFormat="1" applyFont="1" applyFill="1" applyBorder="1" applyAlignment="1" applyProtection="1">
      <alignment horizontal="center" vertical="center"/>
      <protection locked="0"/>
    </xf>
    <xf numFmtId="168" fontId="6" fillId="11" borderId="17" xfId="0" applyNumberFormat="1" applyFont="1" applyFill="1" applyBorder="1" applyAlignment="1" applyProtection="1">
      <alignment horizontal="center" vertical="center"/>
      <protection locked="0"/>
    </xf>
    <xf numFmtId="168" fontId="6" fillId="11" borderId="13" xfId="0" applyNumberFormat="1" applyFont="1" applyFill="1" applyBorder="1" applyAlignment="1" applyProtection="1">
      <alignment horizontal="center" vertical="center"/>
      <protection locked="0"/>
    </xf>
    <xf numFmtId="0" fontId="4" fillId="11" borderId="73" xfId="0" applyFont="1" applyFill="1" applyBorder="1" applyAlignment="1" applyProtection="1">
      <alignment horizontal="center" vertical="center"/>
      <protection locked="0"/>
    </xf>
    <xf numFmtId="0" fontId="4" fillId="11" borderId="74" xfId="0" applyFont="1" applyFill="1" applyBorder="1" applyAlignment="1" applyProtection="1">
      <alignment horizontal="center" vertical="center"/>
      <protection locked="0"/>
    </xf>
    <xf numFmtId="0" fontId="4" fillId="11" borderId="75" xfId="0" applyFont="1" applyFill="1" applyBorder="1" applyAlignment="1" applyProtection="1">
      <alignment horizontal="center" vertical="center"/>
      <protection locked="0"/>
    </xf>
    <xf numFmtId="168" fontId="4" fillId="9" borderId="12" xfId="0" applyNumberFormat="1" applyFont="1" applyFill="1" applyBorder="1" applyAlignment="1" applyProtection="1">
      <alignment horizontal="center" vertical="center"/>
      <protection locked="0"/>
    </xf>
    <xf numFmtId="168" fontId="4" fillId="9" borderId="17" xfId="0" applyNumberFormat="1" applyFont="1" applyFill="1" applyBorder="1" applyAlignment="1" applyProtection="1">
      <alignment horizontal="center" vertical="center"/>
      <protection locked="0"/>
    </xf>
    <xf numFmtId="168" fontId="4" fillId="9" borderId="13" xfId="0" applyNumberFormat="1" applyFont="1" applyFill="1" applyBorder="1" applyAlignment="1" applyProtection="1">
      <alignment horizontal="center" vertical="center"/>
      <protection locked="0"/>
    </xf>
    <xf numFmtId="168" fontId="4" fillId="11" borderId="12" xfId="0" applyNumberFormat="1" applyFont="1" applyFill="1" applyBorder="1" applyAlignment="1" applyProtection="1">
      <alignment horizontal="center" vertical="center"/>
      <protection locked="0"/>
    </xf>
    <xf numFmtId="168" fontId="4" fillId="11" borderId="17" xfId="0" applyNumberFormat="1" applyFont="1" applyFill="1" applyBorder="1" applyAlignment="1" applyProtection="1">
      <alignment horizontal="center" vertical="center"/>
      <protection locked="0"/>
    </xf>
    <xf numFmtId="168" fontId="4" fillId="11" borderId="13" xfId="0" applyNumberFormat="1" applyFont="1" applyFill="1" applyBorder="1" applyAlignment="1" applyProtection="1">
      <alignment horizontal="center" vertical="center"/>
      <protection locked="0"/>
    </xf>
    <xf numFmtId="168" fontId="4" fillId="8" borderId="12" xfId="0" applyNumberFormat="1" applyFont="1" applyFill="1" applyBorder="1" applyAlignment="1" applyProtection="1">
      <alignment horizontal="center" vertical="center"/>
      <protection locked="0"/>
    </xf>
    <xf numFmtId="168" fontId="4" fillId="8" borderId="17" xfId="0" applyNumberFormat="1" applyFont="1" applyFill="1" applyBorder="1" applyAlignment="1" applyProtection="1">
      <alignment horizontal="center" vertical="center"/>
      <protection locked="0"/>
    </xf>
    <xf numFmtId="168" fontId="4" fillId="8" borderId="13" xfId="0" applyNumberFormat="1" applyFont="1" applyFill="1" applyBorder="1" applyAlignment="1" applyProtection="1">
      <alignment horizontal="center" vertical="center"/>
      <protection locked="0"/>
    </xf>
    <xf numFmtId="167" fontId="4" fillId="11" borderId="12" xfId="3" applyFont="1" applyFill="1" applyBorder="1" applyAlignment="1" applyProtection="1">
      <alignment horizontal="center" vertical="center"/>
      <protection locked="0"/>
    </xf>
    <xf numFmtId="167" fontId="4" fillId="11" borderId="17" xfId="3" applyFont="1" applyFill="1" applyBorder="1" applyAlignment="1" applyProtection="1">
      <alignment horizontal="center" vertical="center"/>
      <protection locked="0"/>
    </xf>
    <xf numFmtId="167" fontId="4" fillId="11" borderId="13" xfId="3" applyFont="1" applyFill="1" applyBorder="1" applyAlignment="1" applyProtection="1">
      <alignment horizontal="center" vertical="center"/>
      <protection locked="0"/>
    </xf>
    <xf numFmtId="0" fontId="4" fillId="8" borderId="73" xfId="0" applyFont="1" applyFill="1" applyBorder="1" applyAlignment="1" applyProtection="1">
      <alignment horizontal="center" vertical="center"/>
      <protection locked="0"/>
    </xf>
    <xf numFmtId="0" fontId="4" fillId="8" borderId="74" xfId="0" applyFont="1" applyFill="1" applyBorder="1" applyAlignment="1" applyProtection="1">
      <alignment horizontal="center" vertical="center"/>
      <protection locked="0"/>
    </xf>
    <xf numFmtId="0" fontId="4" fillId="8" borderId="75" xfId="0" applyFont="1" applyFill="1" applyBorder="1" applyAlignment="1" applyProtection="1">
      <alignment horizontal="center" vertical="center"/>
      <protection locked="0"/>
    </xf>
    <xf numFmtId="168" fontId="6" fillId="8" borderId="6" xfId="0" applyNumberFormat="1" applyFont="1" applyFill="1" applyBorder="1" applyAlignment="1" applyProtection="1">
      <alignment horizontal="center" vertical="center"/>
      <protection locked="0"/>
    </xf>
    <xf numFmtId="168" fontId="6" fillId="8" borderId="48" xfId="0" applyNumberFormat="1" applyFont="1" applyFill="1" applyBorder="1" applyAlignment="1" applyProtection="1">
      <alignment horizontal="center" vertical="center"/>
      <protection locked="0"/>
    </xf>
    <xf numFmtId="168" fontId="6" fillId="8" borderId="8" xfId="0" applyNumberFormat="1" applyFont="1" applyFill="1" applyBorder="1" applyAlignment="1" applyProtection="1">
      <alignment horizontal="center" vertical="center"/>
      <protection locked="0"/>
    </xf>
    <xf numFmtId="168" fontId="6" fillId="8" borderId="12" xfId="0" applyNumberFormat="1" applyFont="1" applyFill="1" applyBorder="1" applyAlignment="1" applyProtection="1">
      <alignment horizontal="center" vertical="center"/>
      <protection locked="0"/>
    </xf>
    <xf numFmtId="168" fontId="6" fillId="8" borderId="17" xfId="0" applyNumberFormat="1" applyFont="1" applyFill="1" applyBorder="1" applyAlignment="1" applyProtection="1">
      <alignment horizontal="center" vertical="center"/>
      <protection locked="0"/>
    </xf>
    <xf numFmtId="168" fontId="6" fillId="8" borderId="13" xfId="0" applyNumberFormat="1" applyFont="1" applyFill="1" applyBorder="1" applyAlignment="1" applyProtection="1">
      <alignment horizontal="center" vertical="center"/>
      <protection locked="0"/>
    </xf>
    <xf numFmtId="168" fontId="6" fillId="9" borderId="5" xfId="0" applyNumberFormat="1" applyFont="1" applyFill="1" applyBorder="1" applyAlignment="1" applyProtection="1">
      <alignment horizontal="center" vertical="center"/>
      <protection locked="0"/>
    </xf>
    <xf numFmtId="168" fontId="6" fillId="9" borderId="0" xfId="0" applyNumberFormat="1" applyFont="1" applyFill="1" applyAlignment="1" applyProtection="1">
      <alignment horizontal="center" vertical="center"/>
      <protection locked="0"/>
    </xf>
    <xf numFmtId="168" fontId="6" fillId="9" borderId="7" xfId="0" applyNumberFormat="1" applyFont="1" applyFill="1" applyBorder="1" applyAlignment="1" applyProtection="1">
      <alignment horizontal="center" vertical="center"/>
      <protection locked="0"/>
    </xf>
    <xf numFmtId="0" fontId="4" fillId="9" borderId="73" xfId="0" applyFont="1" applyFill="1" applyBorder="1" applyAlignment="1" applyProtection="1">
      <alignment horizontal="center" vertical="center"/>
      <protection locked="0"/>
    </xf>
    <xf numFmtId="0" fontId="4" fillId="9" borderId="74" xfId="0" applyFont="1" applyFill="1" applyBorder="1" applyAlignment="1" applyProtection="1">
      <alignment horizontal="center" vertical="center"/>
      <protection locked="0"/>
    </xf>
    <xf numFmtId="0" fontId="4" fillId="9" borderId="75" xfId="0" applyFont="1" applyFill="1" applyBorder="1" applyAlignment="1" applyProtection="1">
      <alignment horizontal="center" vertical="center"/>
      <protection locked="0"/>
    </xf>
    <xf numFmtId="0" fontId="5" fillId="8" borderId="12" xfId="0" applyFont="1" applyFill="1" applyBorder="1" applyAlignment="1" applyProtection="1">
      <alignment horizontal="center"/>
      <protection locked="0"/>
    </xf>
    <xf numFmtId="0" fontId="5" fillId="8" borderId="13" xfId="0" applyFont="1" applyFill="1" applyBorder="1" applyAlignment="1" applyProtection="1">
      <alignment horizontal="center"/>
      <protection locked="0"/>
    </xf>
    <xf numFmtId="0" fontId="51" fillId="5" borderId="10" xfId="0" applyFont="1" applyFill="1" applyBorder="1" applyAlignment="1" applyProtection="1">
      <alignment horizontal="center"/>
      <protection locked="0"/>
    </xf>
    <xf numFmtId="0" fontId="51" fillId="5" borderId="15" xfId="0" applyFont="1" applyFill="1" applyBorder="1" applyAlignment="1" applyProtection="1">
      <alignment horizontal="center"/>
      <protection locked="0"/>
    </xf>
    <xf numFmtId="0" fontId="51" fillId="5" borderId="16" xfId="0" applyFont="1" applyFill="1" applyBorder="1" applyAlignment="1" applyProtection="1">
      <alignment horizontal="center"/>
      <protection locked="0"/>
    </xf>
    <xf numFmtId="168" fontId="4" fillId="9" borderId="12" xfId="0" applyNumberFormat="1" applyFont="1" applyFill="1" applyBorder="1" applyAlignment="1" applyProtection="1">
      <alignment horizontal="left" vertical="center"/>
      <protection locked="0"/>
    </xf>
    <xf numFmtId="168" fontId="4" fillId="9" borderId="17" xfId="0" applyNumberFormat="1" applyFont="1" applyFill="1" applyBorder="1" applyAlignment="1" applyProtection="1">
      <alignment horizontal="left" vertical="center"/>
      <protection locked="0"/>
    </xf>
    <xf numFmtId="168" fontId="4" fillId="9" borderId="13" xfId="0" applyNumberFormat="1" applyFont="1" applyFill="1" applyBorder="1" applyAlignment="1" applyProtection="1">
      <alignment horizontal="left" vertical="center"/>
      <protection locked="0"/>
    </xf>
    <xf numFmtId="0" fontId="34" fillId="2" borderId="44" xfId="0" applyFont="1" applyFill="1" applyBorder="1" applyAlignment="1">
      <alignment horizontal="center" vertical="center" textRotation="90"/>
    </xf>
    <xf numFmtId="0" fontId="34" fillId="2" borderId="43" xfId="0" applyFont="1" applyFill="1" applyBorder="1" applyAlignment="1">
      <alignment horizontal="center" vertical="center" textRotation="90"/>
    </xf>
    <xf numFmtId="0" fontId="0" fillId="2" borderId="0" xfId="0" applyFill="1" applyAlignment="1">
      <alignment horizontal="center"/>
    </xf>
  </cellXfs>
  <cellStyles count="6">
    <cellStyle name="Comma" xfId="1" builtinId="3"/>
    <cellStyle name="Comma 2" xfId="4" xr:uid="{1A8E9B2D-72AA-484C-829D-40DDBC3133DA}"/>
    <cellStyle name="Currency" xfId="3" builtinId="4"/>
    <cellStyle name="Currency 2" xfId="5" xr:uid="{D6013B1B-D41D-4FFF-B157-877C5B7FDF9D}"/>
    <cellStyle name="Normal" xfId="0" builtinId="0"/>
    <cellStyle name="Percent" xfId="2" builtinId="5"/>
  </cellStyles>
  <dxfs count="27"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168" formatCode="_-[$R-1C09]* #,##0.00_-;\-[$R-1C09]* #,##0.00_-;_-[$R-1C09]* &quot;-&quot;??_-;_-@_-"/>
    </dxf>
  </dxfs>
  <tableStyles count="0" defaultTableStyle="TableStyleMedium2" defaultPivotStyle="PivotStyleLight16"/>
  <colors>
    <mruColors>
      <color rgb="FF66FF99"/>
      <color rgb="FFFF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1.xml"/><Relationship Id="rId18" Type="http://schemas.openxmlformats.org/officeDocument/2006/relationships/pivotCacheDefinition" Target="pivotCache/pivotCacheDefinition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Shoprite Mini Riversdal 221kW</a:t>
            </a:r>
            <a:endParaRPr lang="en-US" sz="2000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'Project Plan'!$T$60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1"/>
            <c:plus>
              <c:numRef>
                <c:f>'Project Plan'!$U$61:$U$68</c:f>
                <c:numCache>
                  <c:formatCode>0</c:formatCode>
                  <c:ptCount val="8"/>
                  <c:pt idx="0">
                    <c:v>30</c:v>
                  </c:pt>
                  <c:pt idx="1">
                    <c:v>1</c:v>
                  </c:pt>
                  <c:pt idx="2">
                    <c:v>58</c:v>
                  </c:pt>
                  <c:pt idx="3">
                    <c:v>28</c:v>
                  </c:pt>
                  <c:pt idx="4">
                    <c:v>20</c:v>
                  </c:pt>
                  <c:pt idx="5">
                    <c:v>5</c:v>
                  </c:pt>
                  <c:pt idx="6">
                    <c:v>8</c:v>
                  </c:pt>
                  <c:pt idx="7">
                    <c:v>10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165100" cap="flat" cmpd="sng" algn="ctr">
                <a:solidFill>
                  <a:schemeClr val="accent6"/>
                </a:solidFill>
                <a:round/>
              </a:ln>
              <a:effectLst/>
            </c:spPr>
          </c:errBars>
          <c:cat>
            <c:strRef>
              <c:f>'Project Plan'!$S$61:$S$68</c:f>
              <c:strCache>
                <c:ptCount val="8"/>
                <c:pt idx="0">
                  <c:v>Project Initiation</c:v>
                </c:pt>
                <c:pt idx="1">
                  <c:v>Site Establishment</c:v>
                </c:pt>
                <c:pt idx="2">
                  <c:v>AC Installation</c:v>
                </c:pt>
                <c:pt idx="3">
                  <c:v>DC Works</c:v>
                </c:pt>
                <c:pt idx="4">
                  <c:v>Module installation</c:v>
                </c:pt>
                <c:pt idx="5">
                  <c:v>Commissioning</c:v>
                </c:pt>
                <c:pt idx="6">
                  <c:v>QA Inspections</c:v>
                </c:pt>
                <c:pt idx="7">
                  <c:v>Project Closure</c:v>
                </c:pt>
              </c:strCache>
            </c:strRef>
          </c:cat>
          <c:val>
            <c:numRef>
              <c:f>'Project Plan'!$T$61:$T$68</c:f>
              <c:numCache>
                <c:formatCode>d\-mmm\-yy</c:formatCode>
                <c:ptCount val="8"/>
                <c:pt idx="0">
                  <c:v>46077</c:v>
                </c:pt>
                <c:pt idx="1">
                  <c:v>46114</c:v>
                </c:pt>
                <c:pt idx="2">
                  <c:v>46092</c:v>
                </c:pt>
                <c:pt idx="3">
                  <c:v>46114</c:v>
                </c:pt>
                <c:pt idx="4">
                  <c:v>46114</c:v>
                </c:pt>
                <c:pt idx="5">
                  <c:v>46150</c:v>
                </c:pt>
                <c:pt idx="6">
                  <c:v>46153</c:v>
                </c:pt>
                <c:pt idx="7">
                  <c:v>46161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7-400D-B675-ACBD5AF9D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344459216"/>
        <c:axId val="344458256"/>
      </c:barChart>
      <c:scatterChart>
        <c:scatterStyle val="lineMarker"/>
        <c:varyColors val="0"/>
        <c:ser>
          <c:idx val="1"/>
          <c:order val="1"/>
          <c:tx>
            <c:v>today</c:v>
          </c:tx>
          <c:spPr>
            <a:ln w="412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'Project Plan'!$S$58:$T$58</c:f>
              <c:numCache>
                <c:formatCode>m/d/yyyy</c:formatCode>
                <c:ptCount val="2"/>
                <c:pt idx="0">
                  <c:v>46084</c:v>
                </c:pt>
                <c:pt idx="1">
                  <c:v>46084</c:v>
                </c:pt>
              </c:numCache>
            </c:numRef>
          </c:xVal>
          <c:yVal>
            <c:numRef>
              <c:f>'Project Plan'!$S$59:$T$59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A7-400D-B675-ACBD5AF9D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60368"/>
        <c:axId val="248861808"/>
      </c:scatterChart>
      <c:catAx>
        <c:axId val="34445921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58256"/>
        <c:crosses val="autoZero"/>
        <c:auto val="1"/>
        <c:lblAlgn val="ctr"/>
        <c:lblOffset val="100"/>
        <c:noMultiLvlLbl val="0"/>
      </c:catAx>
      <c:valAx>
        <c:axId val="344458256"/>
        <c:scaling>
          <c:orientation val="minMax"/>
          <c:min val="4608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\-mmm\-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59216"/>
        <c:crosses val="autoZero"/>
        <c:crossBetween val="between"/>
        <c:majorUnit val="10"/>
      </c:valAx>
      <c:valAx>
        <c:axId val="248861808"/>
        <c:scaling>
          <c:orientation val="minMax"/>
          <c:max val="1"/>
        </c:scaling>
        <c:delete val="1"/>
        <c:axPos val="l"/>
        <c:numFmt formatCode="General" sourceLinked="1"/>
        <c:majorTickMark val="out"/>
        <c:minorTickMark val="none"/>
        <c:tickLblPos val="nextTo"/>
        <c:crossAx val="248860368"/>
        <c:crosses val="autoZero"/>
        <c:crossBetween val="midCat"/>
      </c:valAx>
      <c:valAx>
        <c:axId val="2488603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48861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 sz="1600" b="1"/>
              <a:t>Revenue &amp; Expenditure Tracking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Cashflow!$B$3</c:f>
              <c:strCache>
                <c:ptCount val="1"/>
                <c:pt idx="0">
                  <c:v>Planned Revenue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>
                  <a:alpha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ysDot"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Cashflow!$F$4:$KE$4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1022917.6099928118</c:v>
                </c:pt>
                <c:pt idx="13">
                  <c:v>1022917.6099928118</c:v>
                </c:pt>
                <c:pt idx="14">
                  <c:v>1738959.93698778</c:v>
                </c:pt>
                <c:pt idx="15">
                  <c:v>1738959.93698778</c:v>
                </c:pt>
                <c:pt idx="16">
                  <c:v>1738959.93698778</c:v>
                </c:pt>
                <c:pt idx="17">
                  <c:v>1738959.93698778</c:v>
                </c:pt>
                <c:pt idx="18">
                  <c:v>1738959.93698778</c:v>
                </c:pt>
                <c:pt idx="19">
                  <c:v>1943543.4589863424</c:v>
                </c:pt>
                <c:pt idx="20">
                  <c:v>1943543.4589863424</c:v>
                </c:pt>
                <c:pt idx="21">
                  <c:v>1943543.4589863424</c:v>
                </c:pt>
                <c:pt idx="22">
                  <c:v>1943543.4589863424</c:v>
                </c:pt>
                <c:pt idx="23">
                  <c:v>1943543.4589863424</c:v>
                </c:pt>
                <c:pt idx="24">
                  <c:v>1943543.4589863424</c:v>
                </c:pt>
                <c:pt idx="25">
                  <c:v>1943543.4589863424</c:v>
                </c:pt>
                <c:pt idx="26">
                  <c:v>1943543.4589863424</c:v>
                </c:pt>
                <c:pt idx="27">
                  <c:v>1943543.4589863424</c:v>
                </c:pt>
                <c:pt idx="28">
                  <c:v>1943543.4589863424</c:v>
                </c:pt>
                <c:pt idx="29">
                  <c:v>1943543.4589863424</c:v>
                </c:pt>
                <c:pt idx="30">
                  <c:v>1943543.4589863424</c:v>
                </c:pt>
                <c:pt idx="31">
                  <c:v>1943543.4589863424</c:v>
                </c:pt>
                <c:pt idx="32">
                  <c:v>1943543.4589863424</c:v>
                </c:pt>
                <c:pt idx="33">
                  <c:v>1943543.4589863424</c:v>
                </c:pt>
                <c:pt idx="34">
                  <c:v>1943543.4589863424</c:v>
                </c:pt>
                <c:pt idx="35">
                  <c:v>1943543.4589863424</c:v>
                </c:pt>
                <c:pt idx="36">
                  <c:v>1943543.4589863424</c:v>
                </c:pt>
                <c:pt idx="37">
                  <c:v>1943543.4589863424</c:v>
                </c:pt>
                <c:pt idx="38">
                  <c:v>1943543.4589863424</c:v>
                </c:pt>
                <c:pt idx="39">
                  <c:v>1943543.4589863424</c:v>
                </c:pt>
                <c:pt idx="40">
                  <c:v>1943543.4589863424</c:v>
                </c:pt>
                <c:pt idx="41">
                  <c:v>1943543.4589863424</c:v>
                </c:pt>
                <c:pt idx="42">
                  <c:v>1943543.4589863424</c:v>
                </c:pt>
                <c:pt idx="43">
                  <c:v>1943543.4589863424</c:v>
                </c:pt>
                <c:pt idx="44">
                  <c:v>1943543.4589863424</c:v>
                </c:pt>
                <c:pt idx="45">
                  <c:v>1943543.4589863424</c:v>
                </c:pt>
                <c:pt idx="46">
                  <c:v>1943543.4589863424</c:v>
                </c:pt>
                <c:pt idx="47">
                  <c:v>1943543.4589863424</c:v>
                </c:pt>
                <c:pt idx="48">
                  <c:v>1943543.4589863424</c:v>
                </c:pt>
                <c:pt idx="49">
                  <c:v>1943543.4589863424</c:v>
                </c:pt>
                <c:pt idx="50">
                  <c:v>1943543.4589863424</c:v>
                </c:pt>
                <c:pt idx="51">
                  <c:v>1943543.4589863424</c:v>
                </c:pt>
                <c:pt idx="52">
                  <c:v>1943543.4589863424</c:v>
                </c:pt>
                <c:pt idx="53">
                  <c:v>1943543.4589863424</c:v>
                </c:pt>
                <c:pt idx="54">
                  <c:v>1943543.4589863424</c:v>
                </c:pt>
                <c:pt idx="55">
                  <c:v>1943543.4589863424</c:v>
                </c:pt>
                <c:pt idx="56">
                  <c:v>1943543.4589863424</c:v>
                </c:pt>
                <c:pt idx="57">
                  <c:v>1943543.4589863424</c:v>
                </c:pt>
                <c:pt idx="58">
                  <c:v>1943543.4589863424</c:v>
                </c:pt>
                <c:pt idx="59">
                  <c:v>1943543.4589863424</c:v>
                </c:pt>
                <c:pt idx="60">
                  <c:v>1943543.4589863424</c:v>
                </c:pt>
                <c:pt idx="61">
                  <c:v>1943543.4589863424</c:v>
                </c:pt>
                <c:pt idx="62">
                  <c:v>1943543.4589863424</c:v>
                </c:pt>
                <c:pt idx="63">
                  <c:v>1943543.4589863424</c:v>
                </c:pt>
                <c:pt idx="64">
                  <c:v>1943543.4589863424</c:v>
                </c:pt>
                <c:pt idx="65">
                  <c:v>1943543.4589863424</c:v>
                </c:pt>
                <c:pt idx="66">
                  <c:v>1943543.4589863424</c:v>
                </c:pt>
                <c:pt idx="67">
                  <c:v>1943543.4589863424</c:v>
                </c:pt>
                <c:pt idx="68">
                  <c:v>1943543.4589863424</c:v>
                </c:pt>
                <c:pt idx="69">
                  <c:v>1943543.4589863424</c:v>
                </c:pt>
                <c:pt idx="70">
                  <c:v>1943543.4589863424</c:v>
                </c:pt>
                <c:pt idx="71">
                  <c:v>1943543.4589863424</c:v>
                </c:pt>
                <c:pt idx="72">
                  <c:v>2045835.2199856236</c:v>
                </c:pt>
                <c:pt idx="73">
                  <c:v>2045835.2199856236</c:v>
                </c:pt>
                <c:pt idx="74">
                  <c:v>2045835.2199856236</c:v>
                </c:pt>
                <c:pt idx="75">
                  <c:v>2045835.2199856236</c:v>
                </c:pt>
                <c:pt idx="76">
                  <c:v>2045835.2199856236</c:v>
                </c:pt>
                <c:pt idx="77">
                  <c:v>2045835.2199856236</c:v>
                </c:pt>
                <c:pt idx="78">
                  <c:v>2045835.2199856236</c:v>
                </c:pt>
                <c:pt idx="79">
                  <c:v>2045835.2199856236</c:v>
                </c:pt>
                <c:pt idx="80">
                  <c:v>2045835.2199856236</c:v>
                </c:pt>
                <c:pt idx="81">
                  <c:v>2045835.2199856236</c:v>
                </c:pt>
                <c:pt idx="82">
                  <c:v>2045835.2199856236</c:v>
                </c:pt>
                <c:pt idx="83">
                  <c:v>2045835.2199856236</c:v>
                </c:pt>
                <c:pt idx="84">
                  <c:v>2045835.2199856236</c:v>
                </c:pt>
                <c:pt idx="85">
                  <c:v>2045835.2199856236</c:v>
                </c:pt>
                <c:pt idx="86">
                  <c:v>2045835.2199856236</c:v>
                </c:pt>
                <c:pt idx="87">
                  <c:v>2045835.2199856236</c:v>
                </c:pt>
                <c:pt idx="88">
                  <c:v>2045835.2199856236</c:v>
                </c:pt>
                <c:pt idx="89">
                  <c:v>2045835.2199856236</c:v>
                </c:pt>
                <c:pt idx="90">
                  <c:v>2045835.2199856236</c:v>
                </c:pt>
                <c:pt idx="91">
                  <c:v>2045835.2199856236</c:v>
                </c:pt>
                <c:pt idx="92">
                  <c:v>2045835.2199856236</c:v>
                </c:pt>
                <c:pt idx="93">
                  <c:v>2045835.2199856236</c:v>
                </c:pt>
                <c:pt idx="94">
                  <c:v>2045835.2199856236</c:v>
                </c:pt>
                <c:pt idx="95">
                  <c:v>2045835.2199856236</c:v>
                </c:pt>
                <c:pt idx="96">
                  <c:v>2045835.2199856236</c:v>
                </c:pt>
                <c:pt idx="97">
                  <c:v>2045835.2199856236</c:v>
                </c:pt>
                <c:pt idx="98">
                  <c:v>2045835.2199856236</c:v>
                </c:pt>
                <c:pt idx="99">
                  <c:v>2045835.2199856236</c:v>
                </c:pt>
                <c:pt idx="100">
                  <c:v>2045835.2199856236</c:v>
                </c:pt>
                <c:pt idx="101">
                  <c:v>2045835.2199856236</c:v>
                </c:pt>
                <c:pt idx="102">
                  <c:v>2045835.2199856236</c:v>
                </c:pt>
                <c:pt idx="103">
                  <c:v>2045835.2199856236</c:v>
                </c:pt>
                <c:pt idx="104">
                  <c:v>2045835.2199856236</c:v>
                </c:pt>
                <c:pt idx="105">
                  <c:v>2045835.2199856236</c:v>
                </c:pt>
                <c:pt idx="106">
                  <c:v>2045835.2199856236</c:v>
                </c:pt>
                <c:pt idx="107">
                  <c:v>2045835.2199856236</c:v>
                </c:pt>
                <c:pt idx="108">
                  <c:v>2045835.2199856236</c:v>
                </c:pt>
                <c:pt idx="109">
                  <c:v>2045835.2199856236</c:v>
                </c:pt>
                <c:pt idx="110">
                  <c:v>2045835.2199856236</c:v>
                </c:pt>
                <c:pt idx="111">
                  <c:v>2045835.2199856236</c:v>
                </c:pt>
                <c:pt idx="112">
                  <c:v>2045835.2199856236</c:v>
                </c:pt>
                <c:pt idx="113">
                  <c:v>2045835.2199856236</c:v>
                </c:pt>
                <c:pt idx="114">
                  <c:v>2045835.2199856236</c:v>
                </c:pt>
                <c:pt idx="115">
                  <c:v>2045835.2199856236</c:v>
                </c:pt>
                <c:pt idx="116">
                  <c:v>2045835.2199856236</c:v>
                </c:pt>
                <c:pt idx="117">
                  <c:v>2045835.2199856236</c:v>
                </c:pt>
                <c:pt idx="118">
                  <c:v>2045835.2199856236</c:v>
                </c:pt>
                <c:pt idx="119">
                  <c:v>2045835.2199856236</c:v>
                </c:pt>
                <c:pt idx="120">
                  <c:v>2045835.2199856236</c:v>
                </c:pt>
                <c:pt idx="121">
                  <c:v>2045835.2199856236</c:v>
                </c:pt>
                <c:pt idx="122">
                  <c:v>2045835.2199856236</c:v>
                </c:pt>
                <c:pt idx="123">
                  <c:v>2045835.2199856236</c:v>
                </c:pt>
                <c:pt idx="124">
                  <c:v>2045835.2199856236</c:v>
                </c:pt>
                <c:pt idx="125">
                  <c:v>2045835.2199856236</c:v>
                </c:pt>
                <c:pt idx="126">
                  <c:v>2045835.2199856236</c:v>
                </c:pt>
                <c:pt idx="127">
                  <c:v>2045835.2199856236</c:v>
                </c:pt>
                <c:pt idx="128">
                  <c:v>2045835.2199856236</c:v>
                </c:pt>
                <c:pt idx="129">
                  <c:v>2045835.2199856236</c:v>
                </c:pt>
                <c:pt idx="130">
                  <c:v>2045835.2199856236</c:v>
                </c:pt>
                <c:pt idx="131">
                  <c:v>2045835.2199856236</c:v>
                </c:pt>
                <c:pt idx="132">
                  <c:v>2045835.2199856236</c:v>
                </c:pt>
                <c:pt idx="133">
                  <c:v>2045835.2199856236</c:v>
                </c:pt>
                <c:pt idx="134">
                  <c:v>2045835.2199856236</c:v>
                </c:pt>
                <c:pt idx="135">
                  <c:v>2045835.2199856236</c:v>
                </c:pt>
                <c:pt idx="136">
                  <c:v>2045835.2199856236</c:v>
                </c:pt>
                <c:pt idx="137">
                  <c:v>2045835.2199856236</c:v>
                </c:pt>
                <c:pt idx="138">
                  <c:v>2045835.2199856236</c:v>
                </c:pt>
                <c:pt idx="139">
                  <c:v>2045835.2199856236</c:v>
                </c:pt>
                <c:pt idx="140">
                  <c:v>2045835.2199856236</c:v>
                </c:pt>
                <c:pt idx="141">
                  <c:v>2045835.2199856236</c:v>
                </c:pt>
                <c:pt idx="142">
                  <c:v>2045835.2199856236</c:v>
                </c:pt>
                <c:pt idx="143">
                  <c:v>2045835.2199856236</c:v>
                </c:pt>
                <c:pt idx="144">
                  <c:v>2045835.2199856236</c:v>
                </c:pt>
                <c:pt idx="145">
                  <c:v>2045835.2199856236</c:v>
                </c:pt>
                <c:pt idx="146">
                  <c:v>2045835.2199856236</c:v>
                </c:pt>
                <c:pt idx="147">
                  <c:v>2045835.2199856236</c:v>
                </c:pt>
                <c:pt idx="148">
                  <c:v>2045835.2199856236</c:v>
                </c:pt>
                <c:pt idx="149">
                  <c:v>2045835.2199856236</c:v>
                </c:pt>
                <c:pt idx="150">
                  <c:v>2045835.2199856236</c:v>
                </c:pt>
                <c:pt idx="151">
                  <c:v>2045835.2199856236</c:v>
                </c:pt>
                <c:pt idx="152">
                  <c:v>2045835.2199856236</c:v>
                </c:pt>
                <c:pt idx="153">
                  <c:v>2045835.2199856236</c:v>
                </c:pt>
                <c:pt idx="154">
                  <c:v>2045835.2199856236</c:v>
                </c:pt>
                <c:pt idx="155">
                  <c:v>2045835.2199856236</c:v>
                </c:pt>
                <c:pt idx="156">
                  <c:v>2045835.2199856236</c:v>
                </c:pt>
                <c:pt idx="157">
                  <c:v>2045835.2199856236</c:v>
                </c:pt>
                <c:pt idx="158">
                  <c:v>2045835.2199856236</c:v>
                </c:pt>
                <c:pt idx="159">
                  <c:v>2045835.2199856236</c:v>
                </c:pt>
                <c:pt idx="160">
                  <c:v>2045835.2199856236</c:v>
                </c:pt>
                <c:pt idx="161">
                  <c:v>2045835.2199856236</c:v>
                </c:pt>
                <c:pt idx="162">
                  <c:v>2045835.2199856236</c:v>
                </c:pt>
                <c:pt idx="163">
                  <c:v>2045835.2199856236</c:v>
                </c:pt>
                <c:pt idx="164">
                  <c:v>2045835.2199856236</c:v>
                </c:pt>
                <c:pt idx="165">
                  <c:v>2045835.2199856236</c:v>
                </c:pt>
                <c:pt idx="166">
                  <c:v>2045835.2199856236</c:v>
                </c:pt>
                <c:pt idx="167">
                  <c:v>2045835.2199856236</c:v>
                </c:pt>
                <c:pt idx="168">
                  <c:v>2045835.2199856236</c:v>
                </c:pt>
                <c:pt idx="169">
                  <c:v>2045835.2199856236</c:v>
                </c:pt>
                <c:pt idx="170">
                  <c:v>2045835.2199856236</c:v>
                </c:pt>
                <c:pt idx="171">
                  <c:v>2045835.2199856236</c:v>
                </c:pt>
                <c:pt idx="172">
                  <c:v>2045835.2199856236</c:v>
                </c:pt>
                <c:pt idx="173">
                  <c:v>2045835.2199856236</c:v>
                </c:pt>
                <c:pt idx="174">
                  <c:v>2045835.2199856236</c:v>
                </c:pt>
                <c:pt idx="175">
                  <c:v>2045835.2199856236</c:v>
                </c:pt>
                <c:pt idx="176">
                  <c:v>2045835.2199856236</c:v>
                </c:pt>
                <c:pt idx="177">
                  <c:v>2045835.2199856236</c:v>
                </c:pt>
                <c:pt idx="178">
                  <c:v>2045835.2199856236</c:v>
                </c:pt>
                <c:pt idx="179">
                  <c:v>2045835.2199856236</c:v>
                </c:pt>
                <c:pt idx="180">
                  <c:v>2045835.2199856236</c:v>
                </c:pt>
                <c:pt idx="181">
                  <c:v>2045835.2199856236</c:v>
                </c:pt>
                <c:pt idx="182">
                  <c:v>2045835.2199856236</c:v>
                </c:pt>
                <c:pt idx="183">
                  <c:v>2045835.2199856236</c:v>
                </c:pt>
                <c:pt idx="184">
                  <c:v>2045835.2199856236</c:v>
                </c:pt>
                <c:pt idx="185">
                  <c:v>2045835.2199856236</c:v>
                </c:pt>
                <c:pt idx="186">
                  <c:v>2045835.2199856236</c:v>
                </c:pt>
                <c:pt idx="187">
                  <c:v>2045835.2199856236</c:v>
                </c:pt>
                <c:pt idx="188">
                  <c:v>2045835.2199856236</c:v>
                </c:pt>
                <c:pt idx="189">
                  <c:v>2045835.2199856236</c:v>
                </c:pt>
                <c:pt idx="190">
                  <c:v>2045835.2199856236</c:v>
                </c:pt>
                <c:pt idx="191">
                  <c:v>2045835.2199856236</c:v>
                </c:pt>
                <c:pt idx="192">
                  <c:v>2045835.2199856236</c:v>
                </c:pt>
                <c:pt idx="193">
                  <c:v>2045835.2199856236</c:v>
                </c:pt>
                <c:pt idx="194">
                  <c:v>2045835.2199856236</c:v>
                </c:pt>
                <c:pt idx="195">
                  <c:v>2045835.2199856236</c:v>
                </c:pt>
                <c:pt idx="196">
                  <c:v>2045835.2199856236</c:v>
                </c:pt>
                <c:pt idx="197">
                  <c:v>2045835.2199856236</c:v>
                </c:pt>
                <c:pt idx="198">
                  <c:v>2045835.2199856236</c:v>
                </c:pt>
                <c:pt idx="199">
                  <c:v>2045835.2199856236</c:v>
                </c:pt>
                <c:pt idx="200">
                  <c:v>2045835.2199856236</c:v>
                </c:pt>
                <c:pt idx="201">
                  <c:v>2045835.2199856236</c:v>
                </c:pt>
                <c:pt idx="202">
                  <c:v>2045835.2199856236</c:v>
                </c:pt>
                <c:pt idx="203">
                  <c:v>2045835.2199856236</c:v>
                </c:pt>
                <c:pt idx="204">
                  <c:v>2045835.2199856236</c:v>
                </c:pt>
                <c:pt idx="205">
                  <c:v>2045835.2199856236</c:v>
                </c:pt>
                <c:pt idx="206">
                  <c:v>2045835.2199856236</c:v>
                </c:pt>
                <c:pt idx="207">
                  <c:v>2045835.2199856236</c:v>
                </c:pt>
                <c:pt idx="208">
                  <c:v>2045835.2199856236</c:v>
                </c:pt>
                <c:pt idx="209">
                  <c:v>2045835.2199856236</c:v>
                </c:pt>
                <c:pt idx="210">
                  <c:v>2045835.2199856236</c:v>
                </c:pt>
                <c:pt idx="211">
                  <c:v>2045835.2199856236</c:v>
                </c:pt>
                <c:pt idx="212">
                  <c:v>2045835.2199856236</c:v>
                </c:pt>
                <c:pt idx="213">
                  <c:v>2045835.2199856236</c:v>
                </c:pt>
                <c:pt idx="214">
                  <c:v>2045835.2199856236</c:v>
                </c:pt>
                <c:pt idx="215">
                  <c:v>2045835.2199856236</c:v>
                </c:pt>
                <c:pt idx="216">
                  <c:v>2045835.2199856236</c:v>
                </c:pt>
                <c:pt idx="217">
                  <c:v>2045835.2199856236</c:v>
                </c:pt>
                <c:pt idx="218">
                  <c:v>2045835.2199856236</c:v>
                </c:pt>
                <c:pt idx="219">
                  <c:v>2045835.2199856236</c:v>
                </c:pt>
                <c:pt idx="220">
                  <c:v>2045835.2199856236</c:v>
                </c:pt>
                <c:pt idx="221">
                  <c:v>2045835.2199856236</c:v>
                </c:pt>
                <c:pt idx="222">
                  <c:v>2045835.2199856236</c:v>
                </c:pt>
                <c:pt idx="223">
                  <c:v>2045835.2199856236</c:v>
                </c:pt>
                <c:pt idx="224">
                  <c:v>2045835.2199856236</c:v>
                </c:pt>
                <c:pt idx="225">
                  <c:v>2045835.2199856236</c:v>
                </c:pt>
                <c:pt idx="226">
                  <c:v>2045835.2199856236</c:v>
                </c:pt>
                <c:pt idx="227">
                  <c:v>2045835.2199856236</c:v>
                </c:pt>
                <c:pt idx="228">
                  <c:v>2045835.2199856236</c:v>
                </c:pt>
                <c:pt idx="229">
                  <c:v>2045835.2199856236</c:v>
                </c:pt>
                <c:pt idx="230">
                  <c:v>2045835.2199856236</c:v>
                </c:pt>
                <c:pt idx="231">
                  <c:v>2045835.2199856236</c:v>
                </c:pt>
                <c:pt idx="232">
                  <c:v>2045835.2199856236</c:v>
                </c:pt>
                <c:pt idx="233">
                  <c:v>2045835.2199856236</c:v>
                </c:pt>
                <c:pt idx="234">
                  <c:v>2045835.2199856236</c:v>
                </c:pt>
                <c:pt idx="235">
                  <c:v>2045835.2199856236</c:v>
                </c:pt>
                <c:pt idx="236">
                  <c:v>2045835.2199856236</c:v>
                </c:pt>
                <c:pt idx="237">
                  <c:v>2045835.2199856236</c:v>
                </c:pt>
                <c:pt idx="238">
                  <c:v>2045835.2199856236</c:v>
                </c:pt>
                <c:pt idx="239">
                  <c:v>2045835.2199856236</c:v>
                </c:pt>
                <c:pt idx="240">
                  <c:v>2045835.2199856236</c:v>
                </c:pt>
                <c:pt idx="241">
                  <c:v>2045835.2199856236</c:v>
                </c:pt>
                <c:pt idx="242">
                  <c:v>2045835.2199856236</c:v>
                </c:pt>
                <c:pt idx="243">
                  <c:v>2045835.2199856236</c:v>
                </c:pt>
                <c:pt idx="244">
                  <c:v>2045835.2199856236</c:v>
                </c:pt>
                <c:pt idx="245">
                  <c:v>2045835.2199856236</c:v>
                </c:pt>
                <c:pt idx="246">
                  <c:v>2045835.2199856236</c:v>
                </c:pt>
                <c:pt idx="247">
                  <c:v>2045835.2199856236</c:v>
                </c:pt>
                <c:pt idx="248">
                  <c:v>2045835.2199856236</c:v>
                </c:pt>
                <c:pt idx="249">
                  <c:v>2045835.2199856236</c:v>
                </c:pt>
                <c:pt idx="250">
                  <c:v>2045835.2199856236</c:v>
                </c:pt>
                <c:pt idx="251">
                  <c:v>2045835.2199856236</c:v>
                </c:pt>
                <c:pt idx="252">
                  <c:v>2045835.2199856236</c:v>
                </c:pt>
                <c:pt idx="253">
                  <c:v>2045835.2199856236</c:v>
                </c:pt>
                <c:pt idx="254">
                  <c:v>2045835.2199856236</c:v>
                </c:pt>
                <c:pt idx="255">
                  <c:v>2045835.2199856236</c:v>
                </c:pt>
                <c:pt idx="256">
                  <c:v>2045835.2199856236</c:v>
                </c:pt>
                <c:pt idx="257">
                  <c:v>2045835.2199856236</c:v>
                </c:pt>
                <c:pt idx="258">
                  <c:v>2045835.2199856236</c:v>
                </c:pt>
                <c:pt idx="259">
                  <c:v>2045835.2199856236</c:v>
                </c:pt>
                <c:pt idx="260">
                  <c:v>2045835.2199856236</c:v>
                </c:pt>
                <c:pt idx="261">
                  <c:v>2045835.2199856236</c:v>
                </c:pt>
                <c:pt idx="262">
                  <c:v>2045835.2199856236</c:v>
                </c:pt>
                <c:pt idx="263">
                  <c:v>2045835.2199856236</c:v>
                </c:pt>
                <c:pt idx="264">
                  <c:v>2045835.2199856236</c:v>
                </c:pt>
                <c:pt idx="265">
                  <c:v>2045835.2199856236</c:v>
                </c:pt>
                <c:pt idx="266">
                  <c:v>2045835.2199856236</c:v>
                </c:pt>
                <c:pt idx="267">
                  <c:v>2045835.2199856236</c:v>
                </c:pt>
                <c:pt idx="268">
                  <c:v>2045835.2199856236</c:v>
                </c:pt>
                <c:pt idx="269">
                  <c:v>2045835.2199856236</c:v>
                </c:pt>
                <c:pt idx="270">
                  <c:v>2045835.2199856236</c:v>
                </c:pt>
                <c:pt idx="271">
                  <c:v>2045835.2199856236</c:v>
                </c:pt>
                <c:pt idx="272">
                  <c:v>2045835.2199856236</c:v>
                </c:pt>
                <c:pt idx="273">
                  <c:v>2045835.2199856236</c:v>
                </c:pt>
                <c:pt idx="274">
                  <c:v>2045835.2199856236</c:v>
                </c:pt>
                <c:pt idx="275">
                  <c:v>2045835.2199856236</c:v>
                </c:pt>
                <c:pt idx="276">
                  <c:v>2045835.2199856236</c:v>
                </c:pt>
                <c:pt idx="277">
                  <c:v>2045835.2199856236</c:v>
                </c:pt>
                <c:pt idx="278">
                  <c:v>2045835.2199856236</c:v>
                </c:pt>
                <c:pt idx="279">
                  <c:v>2045835.2199856236</c:v>
                </c:pt>
                <c:pt idx="280">
                  <c:v>2045835.2199856236</c:v>
                </c:pt>
                <c:pt idx="281">
                  <c:v>2045835.2199856236</c:v>
                </c:pt>
                <c:pt idx="282">
                  <c:v>2045835.2199856236</c:v>
                </c:pt>
                <c:pt idx="283">
                  <c:v>2045835.2199856236</c:v>
                </c:pt>
                <c:pt idx="284">
                  <c:v>2045835.2199856236</c:v>
                </c:pt>
                <c:pt idx="285">
                  <c:v>2045835.2199856236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7FF-4017-AD68-239E69E2455E}"/>
            </c:ext>
          </c:extLst>
        </c:ser>
        <c:ser>
          <c:idx val="4"/>
          <c:order val="1"/>
          <c:tx>
            <c:strRef>
              <c:f>Cashflow!$B$5</c:f>
              <c:strCache>
                <c:ptCount val="1"/>
                <c:pt idx="0">
                  <c:v>Planned Expenditure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alpha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  <a:prstDash val="sysDot"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Cashflow!$F$6:$KE$6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202055.1</c:v>
                </c:pt>
                <c:pt idx="17">
                  <c:v>320425.10000000003</c:v>
                </c:pt>
                <c:pt idx="18">
                  <c:v>504575.18888888892</c:v>
                </c:pt>
                <c:pt idx="19">
                  <c:v>904048.14541062806</c:v>
                </c:pt>
                <c:pt idx="20">
                  <c:v>966206.01936826087</c:v>
                </c:pt>
                <c:pt idx="21">
                  <c:v>1676787.7905682609</c:v>
                </c:pt>
                <c:pt idx="22">
                  <c:v>1676787.7905682609</c:v>
                </c:pt>
                <c:pt idx="23">
                  <c:v>1676787.7905682609</c:v>
                </c:pt>
                <c:pt idx="24">
                  <c:v>1676787.7905682609</c:v>
                </c:pt>
                <c:pt idx="25">
                  <c:v>1676787.7905682609</c:v>
                </c:pt>
                <c:pt idx="26">
                  <c:v>1676787.7905682609</c:v>
                </c:pt>
                <c:pt idx="27">
                  <c:v>1676787.7905682609</c:v>
                </c:pt>
                <c:pt idx="28">
                  <c:v>1676787.7905682609</c:v>
                </c:pt>
                <c:pt idx="29">
                  <c:v>1676787.7905682609</c:v>
                </c:pt>
                <c:pt idx="30">
                  <c:v>1676787.7905682609</c:v>
                </c:pt>
                <c:pt idx="31">
                  <c:v>1676787.7905682609</c:v>
                </c:pt>
                <c:pt idx="32">
                  <c:v>1676787.7905682609</c:v>
                </c:pt>
                <c:pt idx="33">
                  <c:v>1676787.7905682609</c:v>
                </c:pt>
                <c:pt idx="34">
                  <c:v>1676787.7905682609</c:v>
                </c:pt>
                <c:pt idx="35">
                  <c:v>1676787.7905682609</c:v>
                </c:pt>
                <c:pt idx="36">
                  <c:v>1676787.7905682609</c:v>
                </c:pt>
                <c:pt idx="37">
                  <c:v>1676787.7905682609</c:v>
                </c:pt>
                <c:pt idx="38">
                  <c:v>1676787.7905682609</c:v>
                </c:pt>
                <c:pt idx="39">
                  <c:v>1676787.7905682609</c:v>
                </c:pt>
                <c:pt idx="40">
                  <c:v>1676787.7905682609</c:v>
                </c:pt>
                <c:pt idx="41">
                  <c:v>1676787.7905682609</c:v>
                </c:pt>
                <c:pt idx="42">
                  <c:v>1676787.7905682609</c:v>
                </c:pt>
                <c:pt idx="43">
                  <c:v>1676787.7905682609</c:v>
                </c:pt>
                <c:pt idx="44">
                  <c:v>1676787.7905682609</c:v>
                </c:pt>
                <c:pt idx="45">
                  <c:v>1676787.7905682609</c:v>
                </c:pt>
                <c:pt idx="46">
                  <c:v>1676787.7905682609</c:v>
                </c:pt>
                <c:pt idx="47">
                  <c:v>1676787.7905682609</c:v>
                </c:pt>
                <c:pt idx="48">
                  <c:v>1676787.7905682609</c:v>
                </c:pt>
                <c:pt idx="49">
                  <c:v>1676787.7905682609</c:v>
                </c:pt>
                <c:pt idx="50">
                  <c:v>1676787.7905682609</c:v>
                </c:pt>
                <c:pt idx="51">
                  <c:v>1676787.7905682609</c:v>
                </c:pt>
                <c:pt idx="52">
                  <c:v>1676787.7905682609</c:v>
                </c:pt>
                <c:pt idx="53">
                  <c:v>1676787.7905682609</c:v>
                </c:pt>
                <c:pt idx="54">
                  <c:v>1676787.7905682609</c:v>
                </c:pt>
                <c:pt idx="55">
                  <c:v>1676787.7905682609</c:v>
                </c:pt>
                <c:pt idx="56">
                  <c:v>1676787.7905682609</c:v>
                </c:pt>
                <c:pt idx="57">
                  <c:v>1676787.7905682609</c:v>
                </c:pt>
                <c:pt idx="58">
                  <c:v>1676787.7905682609</c:v>
                </c:pt>
                <c:pt idx="59">
                  <c:v>1676787.7905682609</c:v>
                </c:pt>
                <c:pt idx="60">
                  <c:v>1676787.7905682609</c:v>
                </c:pt>
                <c:pt idx="61">
                  <c:v>1676787.7905682609</c:v>
                </c:pt>
                <c:pt idx="62">
                  <c:v>1676787.7905682609</c:v>
                </c:pt>
                <c:pt idx="63">
                  <c:v>1676787.7905682609</c:v>
                </c:pt>
                <c:pt idx="64">
                  <c:v>1676787.7905682609</c:v>
                </c:pt>
                <c:pt idx="65">
                  <c:v>1676787.7905682609</c:v>
                </c:pt>
                <c:pt idx="66">
                  <c:v>1676787.7905682609</c:v>
                </c:pt>
                <c:pt idx="67">
                  <c:v>1676787.7905682609</c:v>
                </c:pt>
                <c:pt idx="68">
                  <c:v>1676787.7905682609</c:v>
                </c:pt>
                <c:pt idx="69">
                  <c:v>1676787.7905682609</c:v>
                </c:pt>
                <c:pt idx="70">
                  <c:v>1676787.7905682609</c:v>
                </c:pt>
                <c:pt idx="71">
                  <c:v>1676787.7905682609</c:v>
                </c:pt>
                <c:pt idx="72">
                  <c:v>1676787.7905682609</c:v>
                </c:pt>
                <c:pt idx="73">
                  <c:v>1676787.7905682609</c:v>
                </c:pt>
                <c:pt idx="74">
                  <c:v>1676787.7905682609</c:v>
                </c:pt>
                <c:pt idx="75">
                  <c:v>1676787.7905682609</c:v>
                </c:pt>
                <c:pt idx="76">
                  <c:v>1676787.7905682609</c:v>
                </c:pt>
                <c:pt idx="77">
                  <c:v>1676787.7905682609</c:v>
                </c:pt>
                <c:pt idx="78">
                  <c:v>1676787.7905682609</c:v>
                </c:pt>
                <c:pt idx="79">
                  <c:v>1676787.7905682609</c:v>
                </c:pt>
                <c:pt idx="80">
                  <c:v>1676787.7905682609</c:v>
                </c:pt>
                <c:pt idx="81">
                  <c:v>1676787.7905682609</c:v>
                </c:pt>
                <c:pt idx="82">
                  <c:v>1676787.7905682609</c:v>
                </c:pt>
                <c:pt idx="83">
                  <c:v>1676787.7905682609</c:v>
                </c:pt>
                <c:pt idx="84">
                  <c:v>1676787.7905682609</c:v>
                </c:pt>
                <c:pt idx="85">
                  <c:v>1676787.7905682609</c:v>
                </c:pt>
                <c:pt idx="86">
                  <c:v>1676787.7905682609</c:v>
                </c:pt>
                <c:pt idx="87">
                  <c:v>1676787.7905682609</c:v>
                </c:pt>
                <c:pt idx="88">
                  <c:v>1676787.7905682609</c:v>
                </c:pt>
                <c:pt idx="89">
                  <c:v>1676787.7905682609</c:v>
                </c:pt>
                <c:pt idx="90">
                  <c:v>1676787.7905682609</c:v>
                </c:pt>
                <c:pt idx="91">
                  <c:v>1676787.7905682609</c:v>
                </c:pt>
                <c:pt idx="92">
                  <c:v>1676787.7905682609</c:v>
                </c:pt>
                <c:pt idx="93">
                  <c:v>1676787.7905682609</c:v>
                </c:pt>
                <c:pt idx="94">
                  <c:v>1676787.7905682609</c:v>
                </c:pt>
                <c:pt idx="95">
                  <c:v>1676787.7905682609</c:v>
                </c:pt>
                <c:pt idx="96">
                  <c:v>1676787.7905682609</c:v>
                </c:pt>
                <c:pt idx="97">
                  <c:v>1676787.7905682609</c:v>
                </c:pt>
                <c:pt idx="98">
                  <c:v>1676787.7905682609</c:v>
                </c:pt>
                <c:pt idx="99">
                  <c:v>1676787.7905682609</c:v>
                </c:pt>
                <c:pt idx="100">
                  <c:v>1676787.7905682609</c:v>
                </c:pt>
                <c:pt idx="101">
                  <c:v>1676787.7905682609</c:v>
                </c:pt>
                <c:pt idx="102">
                  <c:v>1676787.7905682609</c:v>
                </c:pt>
                <c:pt idx="103">
                  <c:v>1676787.7905682609</c:v>
                </c:pt>
                <c:pt idx="104">
                  <c:v>1676787.7905682609</c:v>
                </c:pt>
                <c:pt idx="105">
                  <c:v>1676787.7905682609</c:v>
                </c:pt>
                <c:pt idx="106">
                  <c:v>1676787.7905682609</c:v>
                </c:pt>
                <c:pt idx="107">
                  <c:v>1676787.7905682609</c:v>
                </c:pt>
                <c:pt idx="108">
                  <c:v>1676787.7905682609</c:v>
                </c:pt>
                <c:pt idx="109">
                  <c:v>1676787.7905682609</c:v>
                </c:pt>
                <c:pt idx="110">
                  <c:v>1676787.7905682609</c:v>
                </c:pt>
                <c:pt idx="111">
                  <c:v>1676787.7905682609</c:v>
                </c:pt>
                <c:pt idx="112">
                  <c:v>1676787.7905682609</c:v>
                </c:pt>
                <c:pt idx="113">
                  <c:v>1676787.7905682609</c:v>
                </c:pt>
                <c:pt idx="114">
                  <c:v>1676787.7905682609</c:v>
                </c:pt>
                <c:pt idx="115">
                  <c:v>1676787.7905682609</c:v>
                </c:pt>
                <c:pt idx="116">
                  <c:v>1676787.7905682609</c:v>
                </c:pt>
                <c:pt idx="117">
                  <c:v>1676787.7905682609</c:v>
                </c:pt>
                <c:pt idx="118">
                  <c:v>1676787.7905682609</c:v>
                </c:pt>
                <c:pt idx="119">
                  <c:v>1676787.7905682609</c:v>
                </c:pt>
                <c:pt idx="120">
                  <c:v>1676787.7905682609</c:v>
                </c:pt>
                <c:pt idx="121">
                  <c:v>1676787.7905682609</c:v>
                </c:pt>
                <c:pt idx="122">
                  <c:v>1676787.7905682609</c:v>
                </c:pt>
                <c:pt idx="123">
                  <c:v>1676787.7905682609</c:v>
                </c:pt>
                <c:pt idx="124">
                  <c:v>1676787.7905682609</c:v>
                </c:pt>
                <c:pt idx="125">
                  <c:v>1676787.7905682609</c:v>
                </c:pt>
                <c:pt idx="126">
                  <c:v>1676787.7905682609</c:v>
                </c:pt>
                <c:pt idx="127">
                  <c:v>1676787.7905682609</c:v>
                </c:pt>
                <c:pt idx="128">
                  <c:v>1676787.7905682609</c:v>
                </c:pt>
                <c:pt idx="129">
                  <c:v>1676787.7905682609</c:v>
                </c:pt>
                <c:pt idx="130">
                  <c:v>1676787.7905682609</c:v>
                </c:pt>
                <c:pt idx="131">
                  <c:v>1676787.7905682609</c:v>
                </c:pt>
                <c:pt idx="132">
                  <c:v>1676787.7905682609</c:v>
                </c:pt>
                <c:pt idx="133">
                  <c:v>1676787.7905682609</c:v>
                </c:pt>
                <c:pt idx="134">
                  <c:v>1676787.7905682609</c:v>
                </c:pt>
                <c:pt idx="135">
                  <c:v>1676787.7905682609</c:v>
                </c:pt>
                <c:pt idx="136">
                  <c:v>1676787.7905682609</c:v>
                </c:pt>
                <c:pt idx="137">
                  <c:v>1676787.7905682609</c:v>
                </c:pt>
                <c:pt idx="138">
                  <c:v>1676787.7905682609</c:v>
                </c:pt>
                <c:pt idx="139">
                  <c:v>1676787.7905682609</c:v>
                </c:pt>
                <c:pt idx="140">
                  <c:v>1676787.7905682609</c:v>
                </c:pt>
                <c:pt idx="141">
                  <c:v>1676787.7905682609</c:v>
                </c:pt>
                <c:pt idx="142">
                  <c:v>1676787.7905682609</c:v>
                </c:pt>
                <c:pt idx="143">
                  <c:v>1676787.7905682609</c:v>
                </c:pt>
                <c:pt idx="144">
                  <c:v>1676787.7905682609</c:v>
                </c:pt>
                <c:pt idx="145">
                  <c:v>1676787.7905682609</c:v>
                </c:pt>
                <c:pt idx="146">
                  <c:v>1676787.7905682609</c:v>
                </c:pt>
                <c:pt idx="147">
                  <c:v>1676787.7905682609</c:v>
                </c:pt>
                <c:pt idx="148">
                  <c:v>1676787.7905682609</c:v>
                </c:pt>
                <c:pt idx="149">
                  <c:v>1676787.7905682609</c:v>
                </c:pt>
                <c:pt idx="150">
                  <c:v>1676787.7905682609</c:v>
                </c:pt>
                <c:pt idx="151">
                  <c:v>1676787.7905682609</c:v>
                </c:pt>
                <c:pt idx="152">
                  <c:v>1676787.7905682609</c:v>
                </c:pt>
                <c:pt idx="153">
                  <c:v>1676787.7905682609</c:v>
                </c:pt>
                <c:pt idx="154">
                  <c:v>1676787.7905682609</c:v>
                </c:pt>
                <c:pt idx="155">
                  <c:v>1676787.7905682609</c:v>
                </c:pt>
                <c:pt idx="156">
                  <c:v>1676787.7905682609</c:v>
                </c:pt>
                <c:pt idx="157">
                  <c:v>1676787.7905682609</c:v>
                </c:pt>
                <c:pt idx="158">
                  <c:v>1676787.7905682609</c:v>
                </c:pt>
                <c:pt idx="159">
                  <c:v>1676787.7905682609</c:v>
                </c:pt>
                <c:pt idx="160">
                  <c:v>1676787.7905682609</c:v>
                </c:pt>
                <c:pt idx="161">
                  <c:v>1676787.7905682609</c:v>
                </c:pt>
                <c:pt idx="162">
                  <c:v>1676787.7905682609</c:v>
                </c:pt>
                <c:pt idx="163">
                  <c:v>1676787.7905682609</c:v>
                </c:pt>
                <c:pt idx="164">
                  <c:v>1676787.7905682609</c:v>
                </c:pt>
                <c:pt idx="165">
                  <c:v>1676787.7905682609</c:v>
                </c:pt>
                <c:pt idx="166">
                  <c:v>1676787.7905682609</c:v>
                </c:pt>
                <c:pt idx="167">
                  <c:v>1676787.7905682609</c:v>
                </c:pt>
                <c:pt idx="168">
                  <c:v>1676787.7905682609</c:v>
                </c:pt>
                <c:pt idx="169">
                  <c:v>1676787.7905682609</c:v>
                </c:pt>
                <c:pt idx="170">
                  <c:v>1676787.7905682609</c:v>
                </c:pt>
                <c:pt idx="171">
                  <c:v>1676787.7905682609</c:v>
                </c:pt>
                <c:pt idx="172">
                  <c:v>1676787.7905682609</c:v>
                </c:pt>
                <c:pt idx="173">
                  <c:v>1676787.7905682609</c:v>
                </c:pt>
                <c:pt idx="174">
                  <c:v>1676787.7905682609</c:v>
                </c:pt>
                <c:pt idx="175">
                  <c:v>1676787.7905682609</c:v>
                </c:pt>
                <c:pt idx="176">
                  <c:v>1676787.7905682609</c:v>
                </c:pt>
                <c:pt idx="177">
                  <c:v>1676787.7905682609</c:v>
                </c:pt>
                <c:pt idx="178">
                  <c:v>1676787.7905682609</c:v>
                </c:pt>
                <c:pt idx="179">
                  <c:v>1676787.7905682609</c:v>
                </c:pt>
                <c:pt idx="180">
                  <c:v>1676787.7905682609</c:v>
                </c:pt>
                <c:pt idx="181">
                  <c:v>1676787.7905682609</c:v>
                </c:pt>
                <c:pt idx="182">
                  <c:v>1676787.7905682609</c:v>
                </c:pt>
                <c:pt idx="183">
                  <c:v>1676787.7905682609</c:v>
                </c:pt>
                <c:pt idx="184">
                  <c:v>1676787.7905682609</c:v>
                </c:pt>
                <c:pt idx="185">
                  <c:v>1676787.7905682609</c:v>
                </c:pt>
                <c:pt idx="186">
                  <c:v>1676787.7905682609</c:v>
                </c:pt>
                <c:pt idx="187">
                  <c:v>1676787.7905682609</c:v>
                </c:pt>
                <c:pt idx="188">
                  <c:v>1676787.7905682609</c:v>
                </c:pt>
                <c:pt idx="189">
                  <c:v>1676787.7905682609</c:v>
                </c:pt>
                <c:pt idx="190">
                  <c:v>1676787.7905682609</c:v>
                </c:pt>
                <c:pt idx="191">
                  <c:v>1676787.7905682609</c:v>
                </c:pt>
                <c:pt idx="192">
                  <c:v>1676787.7905682609</c:v>
                </c:pt>
                <c:pt idx="193">
                  <c:v>1676787.7905682609</c:v>
                </c:pt>
                <c:pt idx="194">
                  <c:v>1676787.7905682609</c:v>
                </c:pt>
                <c:pt idx="195">
                  <c:v>1676787.7905682609</c:v>
                </c:pt>
                <c:pt idx="196">
                  <c:v>1676787.7905682609</c:v>
                </c:pt>
                <c:pt idx="197">
                  <c:v>1676787.7905682609</c:v>
                </c:pt>
                <c:pt idx="198">
                  <c:v>1676787.7905682609</c:v>
                </c:pt>
                <c:pt idx="199">
                  <c:v>1676787.7905682609</c:v>
                </c:pt>
                <c:pt idx="200">
                  <c:v>1676787.7905682609</c:v>
                </c:pt>
                <c:pt idx="201">
                  <c:v>1676787.7905682609</c:v>
                </c:pt>
                <c:pt idx="202">
                  <c:v>1676787.7905682609</c:v>
                </c:pt>
                <c:pt idx="203">
                  <c:v>1676787.7905682609</c:v>
                </c:pt>
                <c:pt idx="204">
                  <c:v>1676787.7905682609</c:v>
                </c:pt>
                <c:pt idx="205">
                  <c:v>1676787.7905682609</c:v>
                </c:pt>
                <c:pt idx="206">
                  <c:v>1676787.7905682609</c:v>
                </c:pt>
                <c:pt idx="207">
                  <c:v>1676787.7905682609</c:v>
                </c:pt>
                <c:pt idx="208">
                  <c:v>1676787.7905682609</c:v>
                </c:pt>
                <c:pt idx="209">
                  <c:v>1676787.7905682609</c:v>
                </c:pt>
                <c:pt idx="210">
                  <c:v>1676787.7905682609</c:v>
                </c:pt>
                <c:pt idx="211">
                  <c:v>1676787.7905682609</c:v>
                </c:pt>
                <c:pt idx="212">
                  <c:v>1676787.7905682609</c:v>
                </c:pt>
                <c:pt idx="213">
                  <c:v>1676787.7905682609</c:v>
                </c:pt>
                <c:pt idx="214">
                  <c:v>1676787.7905682609</c:v>
                </c:pt>
                <c:pt idx="215">
                  <c:v>1676787.7905682609</c:v>
                </c:pt>
                <c:pt idx="216">
                  <c:v>1676787.7905682609</c:v>
                </c:pt>
                <c:pt idx="217">
                  <c:v>1676787.7905682609</c:v>
                </c:pt>
                <c:pt idx="218">
                  <c:v>1676787.7905682609</c:v>
                </c:pt>
                <c:pt idx="219">
                  <c:v>1676787.7905682609</c:v>
                </c:pt>
                <c:pt idx="220">
                  <c:v>1676787.7905682609</c:v>
                </c:pt>
                <c:pt idx="221">
                  <c:v>1676787.7905682609</c:v>
                </c:pt>
                <c:pt idx="222">
                  <c:v>1676787.7905682609</c:v>
                </c:pt>
                <c:pt idx="223">
                  <c:v>1676787.7905682609</c:v>
                </c:pt>
                <c:pt idx="224">
                  <c:v>1676787.7905682609</c:v>
                </c:pt>
                <c:pt idx="225">
                  <c:v>1676787.7905682609</c:v>
                </c:pt>
                <c:pt idx="226">
                  <c:v>1676787.7905682609</c:v>
                </c:pt>
                <c:pt idx="227">
                  <c:v>1676787.7905682609</c:v>
                </c:pt>
                <c:pt idx="228">
                  <c:v>1676787.7905682609</c:v>
                </c:pt>
                <c:pt idx="229">
                  <c:v>1676787.7905682609</c:v>
                </c:pt>
                <c:pt idx="230">
                  <c:v>1676787.7905682609</c:v>
                </c:pt>
                <c:pt idx="231">
                  <c:v>1676787.7905682609</c:v>
                </c:pt>
                <c:pt idx="232">
                  <c:v>1676787.7905682609</c:v>
                </c:pt>
                <c:pt idx="233">
                  <c:v>1676787.7905682609</c:v>
                </c:pt>
                <c:pt idx="234">
                  <c:v>1676787.7905682609</c:v>
                </c:pt>
                <c:pt idx="235">
                  <c:v>1676787.7905682609</c:v>
                </c:pt>
                <c:pt idx="236">
                  <c:v>1676787.7905682609</c:v>
                </c:pt>
                <c:pt idx="237">
                  <c:v>1676787.7905682609</c:v>
                </c:pt>
                <c:pt idx="238">
                  <c:v>1676787.7905682609</c:v>
                </c:pt>
                <c:pt idx="239">
                  <c:v>1676787.7905682609</c:v>
                </c:pt>
                <c:pt idx="240">
                  <c:v>1676787.7905682609</c:v>
                </c:pt>
                <c:pt idx="241">
                  <c:v>1676787.7905682609</c:v>
                </c:pt>
                <c:pt idx="242">
                  <c:v>1676787.7905682609</c:v>
                </c:pt>
                <c:pt idx="243">
                  <c:v>1676787.7905682609</c:v>
                </c:pt>
                <c:pt idx="244">
                  <c:v>1676787.7905682609</c:v>
                </c:pt>
                <c:pt idx="245">
                  <c:v>1676787.7905682609</c:v>
                </c:pt>
                <c:pt idx="246">
                  <c:v>1676787.7905682609</c:v>
                </c:pt>
                <c:pt idx="247">
                  <c:v>1676787.7905682609</c:v>
                </c:pt>
                <c:pt idx="248">
                  <c:v>1676787.7905682609</c:v>
                </c:pt>
                <c:pt idx="249">
                  <c:v>1676787.7905682609</c:v>
                </c:pt>
                <c:pt idx="250">
                  <c:v>1676787.7905682609</c:v>
                </c:pt>
                <c:pt idx="251">
                  <c:v>1676787.7905682609</c:v>
                </c:pt>
                <c:pt idx="252">
                  <c:v>1676787.7905682609</c:v>
                </c:pt>
                <c:pt idx="253">
                  <c:v>1676787.7905682609</c:v>
                </c:pt>
                <c:pt idx="254">
                  <c:v>1676787.7905682609</c:v>
                </c:pt>
                <c:pt idx="255">
                  <c:v>1676787.7905682609</c:v>
                </c:pt>
                <c:pt idx="256">
                  <c:v>1676787.7905682609</c:v>
                </c:pt>
                <c:pt idx="257">
                  <c:v>1676787.7905682609</c:v>
                </c:pt>
                <c:pt idx="258">
                  <c:v>1676787.7905682609</c:v>
                </c:pt>
                <c:pt idx="259">
                  <c:v>1676787.7905682609</c:v>
                </c:pt>
                <c:pt idx="260">
                  <c:v>1676787.7905682609</c:v>
                </c:pt>
                <c:pt idx="261">
                  <c:v>1676787.7905682609</c:v>
                </c:pt>
                <c:pt idx="262">
                  <c:v>1676787.7905682609</c:v>
                </c:pt>
                <c:pt idx="263">
                  <c:v>1676787.7905682609</c:v>
                </c:pt>
                <c:pt idx="264">
                  <c:v>1676787.7905682609</c:v>
                </c:pt>
                <c:pt idx="265">
                  <c:v>1676787.7905682609</c:v>
                </c:pt>
                <c:pt idx="266">
                  <c:v>1676787.7905682609</c:v>
                </c:pt>
                <c:pt idx="267">
                  <c:v>1676787.7905682609</c:v>
                </c:pt>
                <c:pt idx="268">
                  <c:v>1676787.7905682609</c:v>
                </c:pt>
                <c:pt idx="269">
                  <c:v>1676787.7905682609</c:v>
                </c:pt>
                <c:pt idx="270">
                  <c:v>1676787.7905682609</c:v>
                </c:pt>
                <c:pt idx="271">
                  <c:v>1676787.7905682609</c:v>
                </c:pt>
                <c:pt idx="272">
                  <c:v>1676787.7905682609</c:v>
                </c:pt>
                <c:pt idx="273">
                  <c:v>1676787.7905682609</c:v>
                </c:pt>
                <c:pt idx="274">
                  <c:v>1676787.7905682609</c:v>
                </c:pt>
                <c:pt idx="275">
                  <c:v>1676787.7905682609</c:v>
                </c:pt>
                <c:pt idx="276">
                  <c:v>1676787.7905682609</c:v>
                </c:pt>
                <c:pt idx="277">
                  <c:v>1676787.7905682609</c:v>
                </c:pt>
                <c:pt idx="278">
                  <c:v>1676787.7905682609</c:v>
                </c:pt>
                <c:pt idx="279">
                  <c:v>1676787.7905682609</c:v>
                </c:pt>
                <c:pt idx="280">
                  <c:v>1676787.7905682609</c:v>
                </c:pt>
                <c:pt idx="281">
                  <c:v>1676787.7905682609</c:v>
                </c:pt>
                <c:pt idx="282">
                  <c:v>1676787.7905682609</c:v>
                </c:pt>
                <c:pt idx="283">
                  <c:v>1676787.7905682609</c:v>
                </c:pt>
                <c:pt idx="284">
                  <c:v>1676787.7905682609</c:v>
                </c:pt>
                <c:pt idx="285">
                  <c:v>1676787.7905682609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7FF-4017-AD68-239E69E2455E}"/>
            </c:ext>
          </c:extLst>
        </c:ser>
        <c:ser>
          <c:idx val="2"/>
          <c:order val="2"/>
          <c:tx>
            <c:strRef>
              <c:f>Cashflow!$B$7</c:f>
              <c:strCache>
                <c:ptCount val="1"/>
                <c:pt idx="0">
                  <c:v>PLANNED CashFlow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FF0000">
                  <a:alpha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Cashflow!$F$7:$KE$7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1022917.6099928118</c:v>
                </c:pt>
                <c:pt idx="13">
                  <c:v>1022917.6099928118</c:v>
                </c:pt>
                <c:pt idx="14">
                  <c:v>1738959.93698778</c:v>
                </c:pt>
                <c:pt idx="15">
                  <c:v>1738959.93698778</c:v>
                </c:pt>
                <c:pt idx="16">
                  <c:v>1536904.8369877799</c:v>
                </c:pt>
                <c:pt idx="17">
                  <c:v>1418534.8369877799</c:v>
                </c:pt>
                <c:pt idx="18">
                  <c:v>1234384.7480988912</c:v>
                </c:pt>
                <c:pt idx="19">
                  <c:v>1039495.3135757144</c:v>
                </c:pt>
                <c:pt idx="20">
                  <c:v>977337.43961808155</c:v>
                </c:pt>
                <c:pt idx="21">
                  <c:v>266755.66841808148</c:v>
                </c:pt>
                <c:pt idx="22">
                  <c:v>266755.66841808148</c:v>
                </c:pt>
                <c:pt idx="23">
                  <c:v>266755.66841808148</c:v>
                </c:pt>
                <c:pt idx="24">
                  <c:v>266755.66841808148</c:v>
                </c:pt>
                <c:pt idx="25">
                  <c:v>266755.66841808148</c:v>
                </c:pt>
                <c:pt idx="26">
                  <c:v>266755.66841808148</c:v>
                </c:pt>
                <c:pt idx="27">
                  <c:v>266755.66841808148</c:v>
                </c:pt>
                <c:pt idx="28">
                  <c:v>266755.66841808148</c:v>
                </c:pt>
                <c:pt idx="29">
                  <c:v>266755.66841808148</c:v>
                </c:pt>
                <c:pt idx="30">
                  <c:v>266755.66841808148</c:v>
                </c:pt>
                <c:pt idx="31">
                  <c:v>266755.66841808148</c:v>
                </c:pt>
                <c:pt idx="32">
                  <c:v>266755.66841808148</c:v>
                </c:pt>
                <c:pt idx="33">
                  <c:v>266755.66841808148</c:v>
                </c:pt>
                <c:pt idx="34">
                  <c:v>266755.66841808148</c:v>
                </c:pt>
                <c:pt idx="35">
                  <c:v>266755.66841808148</c:v>
                </c:pt>
                <c:pt idx="36">
                  <c:v>266755.66841808148</c:v>
                </c:pt>
                <c:pt idx="37">
                  <c:v>266755.66841808148</c:v>
                </c:pt>
                <c:pt idx="38">
                  <c:v>266755.66841808148</c:v>
                </c:pt>
                <c:pt idx="39">
                  <c:v>266755.66841808148</c:v>
                </c:pt>
                <c:pt idx="40">
                  <c:v>266755.66841808148</c:v>
                </c:pt>
                <c:pt idx="41">
                  <c:v>266755.66841808148</c:v>
                </c:pt>
                <c:pt idx="42">
                  <c:v>266755.66841808148</c:v>
                </c:pt>
                <c:pt idx="43">
                  <c:v>266755.66841808148</c:v>
                </c:pt>
                <c:pt idx="44">
                  <c:v>266755.66841808148</c:v>
                </c:pt>
                <c:pt idx="45">
                  <c:v>266755.66841808148</c:v>
                </c:pt>
                <c:pt idx="46">
                  <c:v>266755.66841808148</c:v>
                </c:pt>
                <c:pt idx="47">
                  <c:v>266755.66841808148</c:v>
                </c:pt>
                <c:pt idx="48">
                  <c:v>266755.66841808148</c:v>
                </c:pt>
                <c:pt idx="49">
                  <c:v>266755.66841808148</c:v>
                </c:pt>
                <c:pt idx="50">
                  <c:v>266755.66841808148</c:v>
                </c:pt>
                <c:pt idx="51">
                  <c:v>266755.66841808148</c:v>
                </c:pt>
                <c:pt idx="52">
                  <c:v>266755.66841808148</c:v>
                </c:pt>
                <c:pt idx="53">
                  <c:v>266755.66841808148</c:v>
                </c:pt>
                <c:pt idx="54">
                  <c:v>266755.66841808148</c:v>
                </c:pt>
                <c:pt idx="55">
                  <c:v>266755.66841808148</c:v>
                </c:pt>
                <c:pt idx="56">
                  <c:v>266755.66841808148</c:v>
                </c:pt>
                <c:pt idx="57">
                  <c:v>266755.66841808148</c:v>
                </c:pt>
                <c:pt idx="58">
                  <c:v>266755.66841808148</c:v>
                </c:pt>
                <c:pt idx="59">
                  <c:v>266755.66841808148</c:v>
                </c:pt>
                <c:pt idx="60">
                  <c:v>266755.66841808148</c:v>
                </c:pt>
                <c:pt idx="61">
                  <c:v>266755.66841808148</c:v>
                </c:pt>
                <c:pt idx="62">
                  <c:v>266755.66841808148</c:v>
                </c:pt>
                <c:pt idx="63">
                  <c:v>266755.66841808148</c:v>
                </c:pt>
                <c:pt idx="64">
                  <c:v>266755.66841808148</c:v>
                </c:pt>
                <c:pt idx="65">
                  <c:v>266755.66841808148</c:v>
                </c:pt>
                <c:pt idx="66">
                  <c:v>266755.66841808148</c:v>
                </c:pt>
                <c:pt idx="67">
                  <c:v>266755.66841808148</c:v>
                </c:pt>
                <c:pt idx="68">
                  <c:v>266755.66841808148</c:v>
                </c:pt>
                <c:pt idx="69">
                  <c:v>266755.66841808148</c:v>
                </c:pt>
                <c:pt idx="70">
                  <c:v>266755.66841808148</c:v>
                </c:pt>
                <c:pt idx="71">
                  <c:v>266755.66841808148</c:v>
                </c:pt>
                <c:pt idx="72">
                  <c:v>369047.42941736267</c:v>
                </c:pt>
                <c:pt idx="73">
                  <c:v>369047.42941736267</c:v>
                </c:pt>
                <c:pt idx="74">
                  <c:v>369047.42941736267</c:v>
                </c:pt>
                <c:pt idx="75">
                  <c:v>369047.42941736267</c:v>
                </c:pt>
                <c:pt idx="76">
                  <c:v>369047.42941736267</c:v>
                </c:pt>
                <c:pt idx="77">
                  <c:v>369047.42941736267</c:v>
                </c:pt>
                <c:pt idx="78">
                  <c:v>369047.42941736267</c:v>
                </c:pt>
                <c:pt idx="79">
                  <c:v>369047.42941736267</c:v>
                </c:pt>
                <c:pt idx="80">
                  <c:v>369047.42941736267</c:v>
                </c:pt>
                <c:pt idx="81">
                  <c:v>369047.42941736267</c:v>
                </c:pt>
                <c:pt idx="82">
                  <c:v>369047.42941736267</c:v>
                </c:pt>
                <c:pt idx="83">
                  <c:v>369047.42941736267</c:v>
                </c:pt>
                <c:pt idx="84">
                  <c:v>369047.42941736267</c:v>
                </c:pt>
                <c:pt idx="85">
                  <c:v>369047.42941736267</c:v>
                </c:pt>
                <c:pt idx="86">
                  <c:v>369047.42941736267</c:v>
                </c:pt>
                <c:pt idx="87">
                  <c:v>369047.42941736267</c:v>
                </c:pt>
                <c:pt idx="88">
                  <c:v>369047.42941736267</c:v>
                </c:pt>
                <c:pt idx="89">
                  <c:v>369047.42941736267</c:v>
                </c:pt>
                <c:pt idx="90">
                  <c:v>369047.42941736267</c:v>
                </c:pt>
                <c:pt idx="91">
                  <c:v>369047.42941736267</c:v>
                </c:pt>
                <c:pt idx="92">
                  <c:v>369047.42941736267</c:v>
                </c:pt>
                <c:pt idx="93">
                  <c:v>369047.42941736267</c:v>
                </c:pt>
                <c:pt idx="94">
                  <c:v>369047.42941736267</c:v>
                </c:pt>
                <c:pt idx="95">
                  <c:v>369047.42941736267</c:v>
                </c:pt>
                <c:pt idx="96">
                  <c:v>369047.42941736267</c:v>
                </c:pt>
                <c:pt idx="97">
                  <c:v>369047.42941736267</c:v>
                </c:pt>
                <c:pt idx="98">
                  <c:v>369047.42941736267</c:v>
                </c:pt>
                <c:pt idx="99">
                  <c:v>369047.42941736267</c:v>
                </c:pt>
                <c:pt idx="100">
                  <c:v>369047.42941736267</c:v>
                </c:pt>
                <c:pt idx="101">
                  <c:v>369047.42941736267</c:v>
                </c:pt>
                <c:pt idx="102">
                  <c:v>369047.42941736267</c:v>
                </c:pt>
                <c:pt idx="103">
                  <c:v>369047.42941736267</c:v>
                </c:pt>
                <c:pt idx="104">
                  <c:v>369047.42941736267</c:v>
                </c:pt>
                <c:pt idx="105">
                  <c:v>369047.42941736267</c:v>
                </c:pt>
                <c:pt idx="106">
                  <c:v>369047.42941736267</c:v>
                </c:pt>
                <c:pt idx="107">
                  <c:v>369047.42941736267</c:v>
                </c:pt>
                <c:pt idx="108">
                  <c:v>369047.42941736267</c:v>
                </c:pt>
                <c:pt idx="109">
                  <c:v>369047.42941736267</c:v>
                </c:pt>
                <c:pt idx="110">
                  <c:v>369047.42941736267</c:v>
                </c:pt>
                <c:pt idx="111">
                  <c:v>369047.42941736267</c:v>
                </c:pt>
                <c:pt idx="112">
                  <c:v>369047.42941736267</c:v>
                </c:pt>
                <c:pt idx="113">
                  <c:v>369047.42941736267</c:v>
                </c:pt>
                <c:pt idx="114">
                  <c:v>369047.42941736267</c:v>
                </c:pt>
                <c:pt idx="115">
                  <c:v>369047.42941736267</c:v>
                </c:pt>
                <c:pt idx="116">
                  <c:v>369047.42941736267</c:v>
                </c:pt>
                <c:pt idx="117">
                  <c:v>369047.42941736267</c:v>
                </c:pt>
                <c:pt idx="118">
                  <c:v>369047.42941736267</c:v>
                </c:pt>
                <c:pt idx="119">
                  <c:v>369047.42941736267</c:v>
                </c:pt>
                <c:pt idx="120">
                  <c:v>369047.42941736267</c:v>
                </c:pt>
                <c:pt idx="121">
                  <c:v>369047.42941736267</c:v>
                </c:pt>
                <c:pt idx="122">
                  <c:v>369047.42941736267</c:v>
                </c:pt>
                <c:pt idx="123">
                  <c:v>369047.42941736267</c:v>
                </c:pt>
                <c:pt idx="124">
                  <c:v>369047.42941736267</c:v>
                </c:pt>
                <c:pt idx="125">
                  <c:v>369047.42941736267</c:v>
                </c:pt>
                <c:pt idx="126">
                  <c:v>369047.42941736267</c:v>
                </c:pt>
                <c:pt idx="127">
                  <c:v>369047.42941736267</c:v>
                </c:pt>
                <c:pt idx="128">
                  <c:v>369047.42941736267</c:v>
                </c:pt>
                <c:pt idx="129">
                  <c:v>369047.42941736267</c:v>
                </c:pt>
                <c:pt idx="130">
                  <c:v>369047.42941736267</c:v>
                </c:pt>
                <c:pt idx="131">
                  <c:v>369047.42941736267</c:v>
                </c:pt>
                <c:pt idx="132">
                  <c:v>369047.42941736267</c:v>
                </c:pt>
                <c:pt idx="133">
                  <c:v>369047.42941736267</c:v>
                </c:pt>
                <c:pt idx="134">
                  <c:v>369047.42941736267</c:v>
                </c:pt>
                <c:pt idx="135">
                  <c:v>369047.42941736267</c:v>
                </c:pt>
                <c:pt idx="136">
                  <c:v>369047.42941736267</c:v>
                </c:pt>
                <c:pt idx="137">
                  <c:v>369047.42941736267</c:v>
                </c:pt>
                <c:pt idx="138">
                  <c:v>369047.42941736267</c:v>
                </c:pt>
                <c:pt idx="139">
                  <c:v>369047.42941736267</c:v>
                </c:pt>
                <c:pt idx="140">
                  <c:v>369047.42941736267</c:v>
                </c:pt>
                <c:pt idx="141">
                  <c:v>369047.42941736267</c:v>
                </c:pt>
                <c:pt idx="142">
                  <c:v>369047.42941736267</c:v>
                </c:pt>
                <c:pt idx="143">
                  <c:v>369047.42941736267</c:v>
                </c:pt>
                <c:pt idx="144">
                  <c:v>369047.42941736267</c:v>
                </c:pt>
                <c:pt idx="145">
                  <c:v>369047.42941736267</c:v>
                </c:pt>
                <c:pt idx="146">
                  <c:v>369047.42941736267</c:v>
                </c:pt>
                <c:pt idx="147">
                  <c:v>369047.42941736267</c:v>
                </c:pt>
                <c:pt idx="148">
                  <c:v>369047.42941736267</c:v>
                </c:pt>
                <c:pt idx="149">
                  <c:v>369047.42941736267</c:v>
                </c:pt>
                <c:pt idx="150">
                  <c:v>369047.42941736267</c:v>
                </c:pt>
                <c:pt idx="151">
                  <c:v>369047.42941736267</c:v>
                </c:pt>
                <c:pt idx="152">
                  <c:v>369047.42941736267</c:v>
                </c:pt>
                <c:pt idx="153">
                  <c:v>369047.42941736267</c:v>
                </c:pt>
                <c:pt idx="154">
                  <c:v>369047.42941736267</c:v>
                </c:pt>
                <c:pt idx="155">
                  <c:v>369047.42941736267</c:v>
                </c:pt>
                <c:pt idx="156">
                  <c:v>369047.42941736267</c:v>
                </c:pt>
                <c:pt idx="157">
                  <c:v>369047.42941736267</c:v>
                </c:pt>
                <c:pt idx="158">
                  <c:v>369047.42941736267</c:v>
                </c:pt>
                <c:pt idx="159">
                  <c:v>369047.42941736267</c:v>
                </c:pt>
                <c:pt idx="160">
                  <c:v>369047.42941736267</c:v>
                </c:pt>
                <c:pt idx="161">
                  <c:v>369047.42941736267</c:v>
                </c:pt>
                <c:pt idx="162">
                  <c:v>369047.42941736267</c:v>
                </c:pt>
                <c:pt idx="163">
                  <c:v>369047.42941736267</c:v>
                </c:pt>
                <c:pt idx="164">
                  <c:v>369047.42941736267</c:v>
                </c:pt>
                <c:pt idx="165">
                  <c:v>369047.42941736267</c:v>
                </c:pt>
                <c:pt idx="166">
                  <c:v>369047.42941736267</c:v>
                </c:pt>
                <c:pt idx="167">
                  <c:v>369047.42941736267</c:v>
                </c:pt>
                <c:pt idx="168">
                  <c:v>369047.42941736267</c:v>
                </c:pt>
                <c:pt idx="169">
                  <c:v>369047.42941736267</c:v>
                </c:pt>
                <c:pt idx="170">
                  <c:v>369047.42941736267</c:v>
                </c:pt>
                <c:pt idx="171">
                  <c:v>369047.42941736267</c:v>
                </c:pt>
                <c:pt idx="172">
                  <c:v>369047.42941736267</c:v>
                </c:pt>
                <c:pt idx="173">
                  <c:v>369047.42941736267</c:v>
                </c:pt>
                <c:pt idx="174">
                  <c:v>369047.42941736267</c:v>
                </c:pt>
                <c:pt idx="175">
                  <c:v>369047.42941736267</c:v>
                </c:pt>
                <c:pt idx="176">
                  <c:v>369047.42941736267</c:v>
                </c:pt>
                <c:pt idx="177">
                  <c:v>369047.42941736267</c:v>
                </c:pt>
                <c:pt idx="178">
                  <c:v>369047.42941736267</c:v>
                </c:pt>
                <c:pt idx="179">
                  <c:v>369047.42941736267</c:v>
                </c:pt>
                <c:pt idx="180">
                  <c:v>369047.42941736267</c:v>
                </c:pt>
                <c:pt idx="181">
                  <c:v>369047.42941736267</c:v>
                </c:pt>
                <c:pt idx="182">
                  <c:v>369047.42941736267</c:v>
                </c:pt>
                <c:pt idx="183">
                  <c:v>369047.42941736267</c:v>
                </c:pt>
                <c:pt idx="184">
                  <c:v>369047.42941736267</c:v>
                </c:pt>
                <c:pt idx="185">
                  <c:v>369047.42941736267</c:v>
                </c:pt>
                <c:pt idx="186">
                  <c:v>369047.42941736267</c:v>
                </c:pt>
                <c:pt idx="187">
                  <c:v>369047.42941736267</c:v>
                </c:pt>
                <c:pt idx="188">
                  <c:v>369047.42941736267</c:v>
                </c:pt>
                <c:pt idx="189">
                  <c:v>369047.42941736267</c:v>
                </c:pt>
                <c:pt idx="190">
                  <c:v>369047.42941736267</c:v>
                </c:pt>
                <c:pt idx="191">
                  <c:v>369047.42941736267</c:v>
                </c:pt>
                <c:pt idx="192">
                  <c:v>369047.42941736267</c:v>
                </c:pt>
                <c:pt idx="193">
                  <c:v>369047.42941736267</c:v>
                </c:pt>
                <c:pt idx="194">
                  <c:v>369047.42941736267</c:v>
                </c:pt>
                <c:pt idx="195">
                  <c:v>369047.42941736267</c:v>
                </c:pt>
                <c:pt idx="196">
                  <c:v>369047.42941736267</c:v>
                </c:pt>
                <c:pt idx="197">
                  <c:v>369047.42941736267</c:v>
                </c:pt>
                <c:pt idx="198">
                  <c:v>369047.42941736267</c:v>
                </c:pt>
                <c:pt idx="199">
                  <c:v>369047.42941736267</c:v>
                </c:pt>
                <c:pt idx="200">
                  <c:v>369047.42941736267</c:v>
                </c:pt>
                <c:pt idx="201">
                  <c:v>369047.42941736267</c:v>
                </c:pt>
                <c:pt idx="202">
                  <c:v>369047.42941736267</c:v>
                </c:pt>
                <c:pt idx="203">
                  <c:v>369047.42941736267</c:v>
                </c:pt>
                <c:pt idx="204">
                  <c:v>369047.42941736267</c:v>
                </c:pt>
                <c:pt idx="205">
                  <c:v>369047.42941736267</c:v>
                </c:pt>
                <c:pt idx="206">
                  <c:v>369047.42941736267</c:v>
                </c:pt>
                <c:pt idx="207">
                  <c:v>369047.42941736267</c:v>
                </c:pt>
                <c:pt idx="208">
                  <c:v>369047.42941736267</c:v>
                </c:pt>
                <c:pt idx="209">
                  <c:v>369047.42941736267</c:v>
                </c:pt>
                <c:pt idx="210">
                  <c:v>369047.42941736267</c:v>
                </c:pt>
                <c:pt idx="211">
                  <c:v>369047.42941736267</c:v>
                </c:pt>
                <c:pt idx="212">
                  <c:v>369047.42941736267</c:v>
                </c:pt>
                <c:pt idx="213">
                  <c:v>369047.42941736267</c:v>
                </c:pt>
                <c:pt idx="214">
                  <c:v>369047.42941736267</c:v>
                </c:pt>
                <c:pt idx="215">
                  <c:v>369047.42941736267</c:v>
                </c:pt>
                <c:pt idx="216">
                  <c:v>369047.42941736267</c:v>
                </c:pt>
                <c:pt idx="217">
                  <c:v>369047.42941736267</c:v>
                </c:pt>
                <c:pt idx="218">
                  <c:v>369047.42941736267</c:v>
                </c:pt>
                <c:pt idx="219">
                  <c:v>369047.42941736267</c:v>
                </c:pt>
                <c:pt idx="220">
                  <c:v>369047.42941736267</c:v>
                </c:pt>
                <c:pt idx="221">
                  <c:v>369047.42941736267</c:v>
                </c:pt>
                <c:pt idx="222">
                  <c:v>369047.42941736267</c:v>
                </c:pt>
                <c:pt idx="223">
                  <c:v>369047.42941736267</c:v>
                </c:pt>
                <c:pt idx="224">
                  <c:v>369047.42941736267</c:v>
                </c:pt>
                <c:pt idx="225">
                  <c:v>369047.42941736267</c:v>
                </c:pt>
                <c:pt idx="226">
                  <c:v>369047.42941736267</c:v>
                </c:pt>
                <c:pt idx="227">
                  <c:v>369047.42941736267</c:v>
                </c:pt>
                <c:pt idx="228">
                  <c:v>369047.42941736267</c:v>
                </c:pt>
                <c:pt idx="229">
                  <c:v>369047.42941736267</c:v>
                </c:pt>
                <c:pt idx="230">
                  <c:v>369047.42941736267</c:v>
                </c:pt>
                <c:pt idx="231">
                  <c:v>369047.42941736267</c:v>
                </c:pt>
                <c:pt idx="232">
                  <c:v>369047.42941736267</c:v>
                </c:pt>
                <c:pt idx="233">
                  <c:v>369047.42941736267</c:v>
                </c:pt>
                <c:pt idx="234">
                  <c:v>369047.42941736267</c:v>
                </c:pt>
                <c:pt idx="235">
                  <c:v>369047.42941736267</c:v>
                </c:pt>
                <c:pt idx="236">
                  <c:v>369047.42941736267</c:v>
                </c:pt>
                <c:pt idx="237">
                  <c:v>369047.42941736267</c:v>
                </c:pt>
                <c:pt idx="238">
                  <c:v>369047.42941736267</c:v>
                </c:pt>
                <c:pt idx="239">
                  <c:v>369047.42941736267</c:v>
                </c:pt>
                <c:pt idx="240">
                  <c:v>369047.42941736267</c:v>
                </c:pt>
                <c:pt idx="241">
                  <c:v>369047.42941736267</c:v>
                </c:pt>
                <c:pt idx="242">
                  <c:v>369047.42941736267</c:v>
                </c:pt>
                <c:pt idx="243">
                  <c:v>369047.42941736267</c:v>
                </c:pt>
                <c:pt idx="244">
                  <c:v>369047.42941736267</c:v>
                </c:pt>
                <c:pt idx="245">
                  <c:v>369047.42941736267</c:v>
                </c:pt>
                <c:pt idx="246">
                  <c:v>369047.42941736267</c:v>
                </c:pt>
                <c:pt idx="247">
                  <c:v>369047.42941736267</c:v>
                </c:pt>
                <c:pt idx="248">
                  <c:v>369047.42941736267</c:v>
                </c:pt>
                <c:pt idx="249">
                  <c:v>369047.42941736267</c:v>
                </c:pt>
                <c:pt idx="250">
                  <c:v>369047.42941736267</c:v>
                </c:pt>
                <c:pt idx="251">
                  <c:v>369047.42941736267</c:v>
                </c:pt>
                <c:pt idx="252">
                  <c:v>369047.42941736267</c:v>
                </c:pt>
                <c:pt idx="253">
                  <c:v>369047.42941736267</c:v>
                </c:pt>
                <c:pt idx="254">
                  <c:v>369047.42941736267</c:v>
                </c:pt>
                <c:pt idx="255">
                  <c:v>369047.42941736267</c:v>
                </c:pt>
                <c:pt idx="256">
                  <c:v>369047.42941736267</c:v>
                </c:pt>
                <c:pt idx="257">
                  <c:v>369047.42941736267</c:v>
                </c:pt>
                <c:pt idx="258">
                  <c:v>369047.42941736267</c:v>
                </c:pt>
                <c:pt idx="259">
                  <c:v>369047.42941736267</c:v>
                </c:pt>
                <c:pt idx="260">
                  <c:v>369047.42941736267</c:v>
                </c:pt>
                <c:pt idx="261">
                  <c:v>369047.42941736267</c:v>
                </c:pt>
                <c:pt idx="262">
                  <c:v>369047.42941736267</c:v>
                </c:pt>
                <c:pt idx="263">
                  <c:v>369047.42941736267</c:v>
                </c:pt>
                <c:pt idx="264">
                  <c:v>369047.42941736267</c:v>
                </c:pt>
                <c:pt idx="265">
                  <c:v>369047.42941736267</c:v>
                </c:pt>
                <c:pt idx="266">
                  <c:v>369047.42941736267</c:v>
                </c:pt>
                <c:pt idx="267">
                  <c:v>369047.42941736267</c:v>
                </c:pt>
                <c:pt idx="268">
                  <c:v>369047.42941736267</c:v>
                </c:pt>
                <c:pt idx="269">
                  <c:v>369047.42941736267</c:v>
                </c:pt>
                <c:pt idx="270">
                  <c:v>369047.42941736267</c:v>
                </c:pt>
                <c:pt idx="271">
                  <c:v>369047.42941736267</c:v>
                </c:pt>
                <c:pt idx="272">
                  <c:v>369047.42941736267</c:v>
                </c:pt>
                <c:pt idx="273">
                  <c:v>369047.42941736267</c:v>
                </c:pt>
                <c:pt idx="274">
                  <c:v>369047.42941736267</c:v>
                </c:pt>
                <c:pt idx="275">
                  <c:v>369047.42941736267</c:v>
                </c:pt>
                <c:pt idx="276">
                  <c:v>369047.42941736267</c:v>
                </c:pt>
                <c:pt idx="277">
                  <c:v>369047.42941736267</c:v>
                </c:pt>
                <c:pt idx="278">
                  <c:v>369047.42941736267</c:v>
                </c:pt>
                <c:pt idx="279">
                  <c:v>369047.42941736267</c:v>
                </c:pt>
                <c:pt idx="280">
                  <c:v>369047.42941736267</c:v>
                </c:pt>
                <c:pt idx="281">
                  <c:v>369047.42941736267</c:v>
                </c:pt>
                <c:pt idx="282">
                  <c:v>369047.42941736267</c:v>
                </c:pt>
                <c:pt idx="283">
                  <c:v>369047.42941736267</c:v>
                </c:pt>
                <c:pt idx="284">
                  <c:v>369047.42941736267</c:v>
                </c:pt>
                <c:pt idx="285">
                  <c:v>369047.42941736267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7FF-4017-AD68-239E69E2455E}"/>
            </c:ext>
          </c:extLst>
        </c:ser>
        <c:ser>
          <c:idx val="0"/>
          <c:order val="3"/>
          <c:tx>
            <c:strRef>
              <c:f>Cashflow!$B$9</c:f>
              <c:strCache>
                <c:ptCount val="1"/>
                <c:pt idx="0">
                  <c:v>Actual + Planned Revenue</c:v>
                </c:pt>
              </c:strCache>
              <c:extLst xmlns:c15="http://schemas.microsoft.com/office/drawing/2012/chart"/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Cashflow!$F$10:$KE$10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1022917.6099928118</c:v>
                </c:pt>
                <c:pt idx="13">
                  <c:v>1022917.6099928118</c:v>
                </c:pt>
                <c:pt idx="14">
                  <c:v>1738959.93698778</c:v>
                </c:pt>
                <c:pt idx="15">
                  <c:v>1738959.93698778</c:v>
                </c:pt>
                <c:pt idx="16">
                  <c:v>1738959.93698778</c:v>
                </c:pt>
                <c:pt idx="17">
                  <c:v>1738959.93698778</c:v>
                </c:pt>
                <c:pt idx="18">
                  <c:v>1738959.93698778</c:v>
                </c:pt>
                <c:pt idx="19">
                  <c:v>1943543.4589863424</c:v>
                </c:pt>
                <c:pt idx="20">
                  <c:v>1943543.4589863424</c:v>
                </c:pt>
                <c:pt idx="21">
                  <c:v>2045835.2199856236</c:v>
                </c:pt>
                <c:pt idx="22">
                  <c:v>2045835.2199856236</c:v>
                </c:pt>
                <c:pt idx="23">
                  <c:v>2045835.2199856236</c:v>
                </c:pt>
                <c:pt idx="24">
                  <c:v>2045835.2199856236</c:v>
                </c:pt>
                <c:pt idx="25">
                  <c:v>2045835.2199856236</c:v>
                </c:pt>
                <c:pt idx="26">
                  <c:v>2045835.2199856236</c:v>
                </c:pt>
                <c:pt idx="27">
                  <c:v>2045835.2199856236</c:v>
                </c:pt>
                <c:pt idx="28">
                  <c:v>2045835.2199856236</c:v>
                </c:pt>
                <c:pt idx="29">
                  <c:v>2045835.2199856236</c:v>
                </c:pt>
                <c:pt idx="30">
                  <c:v>2045835.2199856236</c:v>
                </c:pt>
                <c:pt idx="31">
                  <c:v>2045835.2199856236</c:v>
                </c:pt>
                <c:pt idx="32">
                  <c:v>2045835.2199856236</c:v>
                </c:pt>
                <c:pt idx="33">
                  <c:v>2045835.2199856236</c:v>
                </c:pt>
                <c:pt idx="34">
                  <c:v>2045835.2199856236</c:v>
                </c:pt>
                <c:pt idx="35">
                  <c:v>2045835.2199856236</c:v>
                </c:pt>
                <c:pt idx="36">
                  <c:v>2045835.2199856236</c:v>
                </c:pt>
                <c:pt idx="37">
                  <c:v>2045835.2199856236</c:v>
                </c:pt>
                <c:pt idx="38">
                  <c:v>2045835.2199856236</c:v>
                </c:pt>
                <c:pt idx="39">
                  <c:v>2045835.2199856236</c:v>
                </c:pt>
                <c:pt idx="40">
                  <c:v>2045835.2199856236</c:v>
                </c:pt>
                <c:pt idx="41">
                  <c:v>2045835.2199856236</c:v>
                </c:pt>
                <c:pt idx="42">
                  <c:v>2045835.2199856236</c:v>
                </c:pt>
                <c:pt idx="43">
                  <c:v>2045835.2199856236</c:v>
                </c:pt>
                <c:pt idx="44">
                  <c:v>2045835.2199856236</c:v>
                </c:pt>
                <c:pt idx="45">
                  <c:v>2045835.2199856236</c:v>
                </c:pt>
                <c:pt idx="46">
                  <c:v>2045835.2199856236</c:v>
                </c:pt>
                <c:pt idx="47">
                  <c:v>2045835.2199856236</c:v>
                </c:pt>
                <c:pt idx="48">
                  <c:v>2045835.2199856236</c:v>
                </c:pt>
                <c:pt idx="49">
                  <c:v>2045835.2199856236</c:v>
                </c:pt>
                <c:pt idx="50">
                  <c:v>2045835.2199856236</c:v>
                </c:pt>
                <c:pt idx="51">
                  <c:v>2045835.2199856236</c:v>
                </c:pt>
                <c:pt idx="52">
                  <c:v>2045835.2199856236</c:v>
                </c:pt>
                <c:pt idx="53">
                  <c:v>2045835.2199856236</c:v>
                </c:pt>
                <c:pt idx="54">
                  <c:v>2045835.2199856236</c:v>
                </c:pt>
                <c:pt idx="55">
                  <c:v>2045835.2199856236</c:v>
                </c:pt>
                <c:pt idx="56">
                  <c:v>2045835.2199856236</c:v>
                </c:pt>
                <c:pt idx="57">
                  <c:v>2045835.2199856236</c:v>
                </c:pt>
                <c:pt idx="58">
                  <c:v>2045835.2199856236</c:v>
                </c:pt>
                <c:pt idx="59">
                  <c:v>2045835.2199856236</c:v>
                </c:pt>
                <c:pt idx="60">
                  <c:v>2045835.2199856236</c:v>
                </c:pt>
                <c:pt idx="61">
                  <c:v>2045835.2199856236</c:v>
                </c:pt>
                <c:pt idx="62">
                  <c:v>2045835.2199856236</c:v>
                </c:pt>
                <c:pt idx="63">
                  <c:v>2045835.2199856236</c:v>
                </c:pt>
                <c:pt idx="64">
                  <c:v>2045835.2199856236</c:v>
                </c:pt>
                <c:pt idx="65">
                  <c:v>2045835.2199856236</c:v>
                </c:pt>
                <c:pt idx="66">
                  <c:v>2045835.2199856236</c:v>
                </c:pt>
                <c:pt idx="67">
                  <c:v>2045835.2199856236</c:v>
                </c:pt>
                <c:pt idx="68">
                  <c:v>2045835.2199856236</c:v>
                </c:pt>
                <c:pt idx="69">
                  <c:v>2045835.2199856236</c:v>
                </c:pt>
                <c:pt idx="70">
                  <c:v>2045835.2199856236</c:v>
                </c:pt>
                <c:pt idx="71">
                  <c:v>2045835.2199856236</c:v>
                </c:pt>
                <c:pt idx="72">
                  <c:v>2045835.2199856236</c:v>
                </c:pt>
                <c:pt idx="73">
                  <c:v>2045835.2199856236</c:v>
                </c:pt>
                <c:pt idx="74">
                  <c:v>2045835.2199856236</c:v>
                </c:pt>
                <c:pt idx="75">
                  <c:v>2045835.2199856236</c:v>
                </c:pt>
                <c:pt idx="76">
                  <c:v>2045835.2199856236</c:v>
                </c:pt>
                <c:pt idx="77">
                  <c:v>2045835.2199856236</c:v>
                </c:pt>
                <c:pt idx="78">
                  <c:v>2045835.2199856236</c:v>
                </c:pt>
                <c:pt idx="79">
                  <c:v>2045835.2199856236</c:v>
                </c:pt>
                <c:pt idx="80">
                  <c:v>2045835.2199856236</c:v>
                </c:pt>
                <c:pt idx="81">
                  <c:v>2045835.2199856236</c:v>
                </c:pt>
                <c:pt idx="82">
                  <c:v>2045835.2199856236</c:v>
                </c:pt>
                <c:pt idx="83">
                  <c:v>2045835.2199856236</c:v>
                </c:pt>
                <c:pt idx="84">
                  <c:v>2045835.2199856236</c:v>
                </c:pt>
                <c:pt idx="85">
                  <c:v>2045835.2199856236</c:v>
                </c:pt>
                <c:pt idx="86">
                  <c:v>2045835.2199856236</c:v>
                </c:pt>
                <c:pt idx="87">
                  <c:v>2045835.2199856236</c:v>
                </c:pt>
                <c:pt idx="88">
                  <c:v>2045835.2199856236</c:v>
                </c:pt>
                <c:pt idx="89">
                  <c:v>2045835.2199856236</c:v>
                </c:pt>
                <c:pt idx="90">
                  <c:v>2045835.2199856236</c:v>
                </c:pt>
                <c:pt idx="91">
                  <c:v>2045835.2199856236</c:v>
                </c:pt>
                <c:pt idx="92">
                  <c:v>2045835.2199856236</c:v>
                </c:pt>
                <c:pt idx="93">
                  <c:v>2045835.2199856236</c:v>
                </c:pt>
                <c:pt idx="94">
                  <c:v>2045835.2199856236</c:v>
                </c:pt>
                <c:pt idx="95">
                  <c:v>2045835.2199856236</c:v>
                </c:pt>
                <c:pt idx="96">
                  <c:v>2045835.2199856236</c:v>
                </c:pt>
                <c:pt idx="97">
                  <c:v>2045835.2199856236</c:v>
                </c:pt>
                <c:pt idx="98">
                  <c:v>2045835.2199856236</c:v>
                </c:pt>
                <c:pt idx="99">
                  <c:v>2045835.2199856236</c:v>
                </c:pt>
                <c:pt idx="100">
                  <c:v>2045835.2199856236</c:v>
                </c:pt>
                <c:pt idx="101">
                  <c:v>2045835.2199856236</c:v>
                </c:pt>
                <c:pt idx="102">
                  <c:v>2045835.2199856236</c:v>
                </c:pt>
                <c:pt idx="103">
                  <c:v>2045835.2199856236</c:v>
                </c:pt>
                <c:pt idx="104">
                  <c:v>2045835.2199856236</c:v>
                </c:pt>
                <c:pt idx="105">
                  <c:v>2045835.2199856236</c:v>
                </c:pt>
                <c:pt idx="106">
                  <c:v>2045835.2199856236</c:v>
                </c:pt>
                <c:pt idx="107">
                  <c:v>2045835.2199856236</c:v>
                </c:pt>
                <c:pt idx="108">
                  <c:v>2045835.2199856236</c:v>
                </c:pt>
                <c:pt idx="109">
                  <c:v>2045835.2199856236</c:v>
                </c:pt>
                <c:pt idx="110">
                  <c:v>2045835.2199856236</c:v>
                </c:pt>
                <c:pt idx="111">
                  <c:v>2045835.2199856236</c:v>
                </c:pt>
                <c:pt idx="112">
                  <c:v>2045835.2199856236</c:v>
                </c:pt>
                <c:pt idx="113">
                  <c:v>2045835.2199856236</c:v>
                </c:pt>
                <c:pt idx="114">
                  <c:v>2045835.2199856236</c:v>
                </c:pt>
                <c:pt idx="115">
                  <c:v>2045835.2199856236</c:v>
                </c:pt>
                <c:pt idx="116">
                  <c:v>2045835.2199856236</c:v>
                </c:pt>
                <c:pt idx="117">
                  <c:v>2045835.2199856236</c:v>
                </c:pt>
                <c:pt idx="118">
                  <c:v>2045835.2199856236</c:v>
                </c:pt>
                <c:pt idx="119">
                  <c:v>2045835.2199856236</c:v>
                </c:pt>
                <c:pt idx="120">
                  <c:v>2045835.2199856236</c:v>
                </c:pt>
                <c:pt idx="121">
                  <c:v>2045835.2199856236</c:v>
                </c:pt>
                <c:pt idx="122">
                  <c:v>2045835.2199856236</c:v>
                </c:pt>
                <c:pt idx="123">
                  <c:v>2045835.2199856236</c:v>
                </c:pt>
                <c:pt idx="124">
                  <c:v>2045835.2199856236</c:v>
                </c:pt>
                <c:pt idx="125">
                  <c:v>2045835.2199856236</c:v>
                </c:pt>
                <c:pt idx="126">
                  <c:v>2045835.2199856236</c:v>
                </c:pt>
                <c:pt idx="127">
                  <c:v>2045835.2199856236</c:v>
                </c:pt>
                <c:pt idx="128">
                  <c:v>2045835.2199856236</c:v>
                </c:pt>
                <c:pt idx="129">
                  <c:v>2045835.2199856236</c:v>
                </c:pt>
                <c:pt idx="130">
                  <c:v>2045835.2199856236</c:v>
                </c:pt>
                <c:pt idx="131">
                  <c:v>2045835.2199856236</c:v>
                </c:pt>
                <c:pt idx="132">
                  <c:v>2045835.2199856236</c:v>
                </c:pt>
                <c:pt idx="133">
                  <c:v>2045835.2199856236</c:v>
                </c:pt>
                <c:pt idx="134">
                  <c:v>2045835.2199856236</c:v>
                </c:pt>
                <c:pt idx="135">
                  <c:v>2045835.2199856236</c:v>
                </c:pt>
                <c:pt idx="136">
                  <c:v>2045835.2199856236</c:v>
                </c:pt>
                <c:pt idx="137">
                  <c:v>2045835.2199856236</c:v>
                </c:pt>
                <c:pt idx="138">
                  <c:v>2045835.2199856236</c:v>
                </c:pt>
                <c:pt idx="139">
                  <c:v>2045835.2199856236</c:v>
                </c:pt>
                <c:pt idx="140">
                  <c:v>2045835.2199856236</c:v>
                </c:pt>
                <c:pt idx="141">
                  <c:v>2045835.2199856236</c:v>
                </c:pt>
                <c:pt idx="142">
                  <c:v>2045835.2199856236</c:v>
                </c:pt>
                <c:pt idx="143">
                  <c:v>2045835.2199856236</c:v>
                </c:pt>
                <c:pt idx="144">
                  <c:v>2045835.2199856236</c:v>
                </c:pt>
                <c:pt idx="145">
                  <c:v>2045835.2199856236</c:v>
                </c:pt>
                <c:pt idx="146">
                  <c:v>2045835.2199856236</c:v>
                </c:pt>
                <c:pt idx="147">
                  <c:v>2045835.2199856236</c:v>
                </c:pt>
                <c:pt idx="148">
                  <c:v>2045835.2199856236</c:v>
                </c:pt>
                <c:pt idx="149">
                  <c:v>2045835.2199856236</c:v>
                </c:pt>
                <c:pt idx="150">
                  <c:v>2045835.2199856236</c:v>
                </c:pt>
                <c:pt idx="151">
                  <c:v>2045835.2199856236</c:v>
                </c:pt>
                <c:pt idx="152">
                  <c:v>2045835.2199856236</c:v>
                </c:pt>
                <c:pt idx="153">
                  <c:v>2045835.2199856236</c:v>
                </c:pt>
                <c:pt idx="154">
                  <c:v>2045835.2199856236</c:v>
                </c:pt>
                <c:pt idx="155">
                  <c:v>2045835.2199856236</c:v>
                </c:pt>
                <c:pt idx="156">
                  <c:v>2045835.2199856236</c:v>
                </c:pt>
                <c:pt idx="157">
                  <c:v>2045835.2199856236</c:v>
                </c:pt>
                <c:pt idx="158">
                  <c:v>2045835.2199856236</c:v>
                </c:pt>
                <c:pt idx="159">
                  <c:v>2045835.2199856236</c:v>
                </c:pt>
                <c:pt idx="160">
                  <c:v>2045835.2199856236</c:v>
                </c:pt>
                <c:pt idx="161">
                  <c:v>2045835.2199856236</c:v>
                </c:pt>
                <c:pt idx="162">
                  <c:v>2045835.2199856236</c:v>
                </c:pt>
                <c:pt idx="163">
                  <c:v>2045835.2199856236</c:v>
                </c:pt>
                <c:pt idx="164">
                  <c:v>2045835.2199856236</c:v>
                </c:pt>
                <c:pt idx="165">
                  <c:v>2045835.2199856236</c:v>
                </c:pt>
                <c:pt idx="166">
                  <c:v>2045835.2199856236</c:v>
                </c:pt>
                <c:pt idx="167">
                  <c:v>2045835.2199856236</c:v>
                </c:pt>
                <c:pt idx="168">
                  <c:v>2045835.2199856236</c:v>
                </c:pt>
                <c:pt idx="169">
                  <c:v>2045835.2199856236</c:v>
                </c:pt>
                <c:pt idx="170">
                  <c:v>2045835.2199856236</c:v>
                </c:pt>
                <c:pt idx="171">
                  <c:v>2045835.2199856236</c:v>
                </c:pt>
                <c:pt idx="172">
                  <c:v>2045835.2199856236</c:v>
                </c:pt>
                <c:pt idx="173">
                  <c:v>2045835.2199856236</c:v>
                </c:pt>
                <c:pt idx="174">
                  <c:v>2045835.2199856236</c:v>
                </c:pt>
                <c:pt idx="175">
                  <c:v>2045835.2199856236</c:v>
                </c:pt>
                <c:pt idx="176">
                  <c:v>2045835.2199856236</c:v>
                </c:pt>
                <c:pt idx="177">
                  <c:v>2045835.2199856236</c:v>
                </c:pt>
                <c:pt idx="178">
                  <c:v>2045835.2199856236</c:v>
                </c:pt>
                <c:pt idx="179">
                  <c:v>2045835.2199856236</c:v>
                </c:pt>
                <c:pt idx="180">
                  <c:v>2045835.2199856236</c:v>
                </c:pt>
                <c:pt idx="181">
                  <c:v>2045835.2199856236</c:v>
                </c:pt>
                <c:pt idx="182">
                  <c:v>2045835.2199856236</c:v>
                </c:pt>
                <c:pt idx="183">
                  <c:v>2045835.2199856236</c:v>
                </c:pt>
                <c:pt idx="184">
                  <c:v>2045835.2199856236</c:v>
                </c:pt>
                <c:pt idx="185">
                  <c:v>2045835.2199856236</c:v>
                </c:pt>
                <c:pt idx="186">
                  <c:v>2045835.2199856236</c:v>
                </c:pt>
                <c:pt idx="187">
                  <c:v>2045835.2199856236</c:v>
                </c:pt>
                <c:pt idx="188">
                  <c:v>2045835.2199856236</c:v>
                </c:pt>
                <c:pt idx="189">
                  <c:v>2045835.2199856236</c:v>
                </c:pt>
                <c:pt idx="190">
                  <c:v>2045835.2199856236</c:v>
                </c:pt>
                <c:pt idx="191">
                  <c:v>2045835.2199856236</c:v>
                </c:pt>
                <c:pt idx="192">
                  <c:v>2045835.2199856236</c:v>
                </c:pt>
                <c:pt idx="193">
                  <c:v>2045835.2199856236</c:v>
                </c:pt>
                <c:pt idx="194">
                  <c:v>2045835.2199856236</c:v>
                </c:pt>
                <c:pt idx="195">
                  <c:v>2045835.2199856236</c:v>
                </c:pt>
                <c:pt idx="196">
                  <c:v>2045835.2199856236</c:v>
                </c:pt>
                <c:pt idx="197">
                  <c:v>2045835.2199856236</c:v>
                </c:pt>
                <c:pt idx="198">
                  <c:v>2045835.2199856236</c:v>
                </c:pt>
                <c:pt idx="199">
                  <c:v>2045835.2199856236</c:v>
                </c:pt>
                <c:pt idx="200">
                  <c:v>2045835.2199856236</c:v>
                </c:pt>
                <c:pt idx="201">
                  <c:v>2045835.2199856236</c:v>
                </c:pt>
                <c:pt idx="202">
                  <c:v>2045835.2199856236</c:v>
                </c:pt>
                <c:pt idx="203">
                  <c:v>2045835.2199856236</c:v>
                </c:pt>
                <c:pt idx="204">
                  <c:v>2045835.2199856236</c:v>
                </c:pt>
                <c:pt idx="205">
                  <c:v>2045835.2199856236</c:v>
                </c:pt>
                <c:pt idx="206">
                  <c:v>2045835.2199856236</c:v>
                </c:pt>
                <c:pt idx="207">
                  <c:v>2045835.2199856236</c:v>
                </c:pt>
                <c:pt idx="208">
                  <c:v>2045835.2199856236</c:v>
                </c:pt>
                <c:pt idx="209">
                  <c:v>2045835.2199856236</c:v>
                </c:pt>
                <c:pt idx="210">
                  <c:v>2045835.2199856236</c:v>
                </c:pt>
                <c:pt idx="211">
                  <c:v>2045835.2199856236</c:v>
                </c:pt>
                <c:pt idx="212">
                  <c:v>2045835.2199856236</c:v>
                </c:pt>
                <c:pt idx="213">
                  <c:v>2045835.2199856236</c:v>
                </c:pt>
                <c:pt idx="214">
                  <c:v>2045835.2199856236</c:v>
                </c:pt>
                <c:pt idx="215">
                  <c:v>2045835.2199856236</c:v>
                </c:pt>
                <c:pt idx="216">
                  <c:v>2045835.2199856236</c:v>
                </c:pt>
                <c:pt idx="217">
                  <c:v>2045835.2199856236</c:v>
                </c:pt>
                <c:pt idx="218">
                  <c:v>2045835.2199856236</c:v>
                </c:pt>
                <c:pt idx="219">
                  <c:v>2045835.2199856236</c:v>
                </c:pt>
                <c:pt idx="220">
                  <c:v>2045835.2199856236</c:v>
                </c:pt>
                <c:pt idx="221">
                  <c:v>2045835.2199856236</c:v>
                </c:pt>
                <c:pt idx="222">
                  <c:v>2045835.2199856236</c:v>
                </c:pt>
                <c:pt idx="223">
                  <c:v>2045835.2199856236</c:v>
                </c:pt>
                <c:pt idx="224">
                  <c:v>2045835.2199856236</c:v>
                </c:pt>
                <c:pt idx="225">
                  <c:v>2045835.2199856236</c:v>
                </c:pt>
                <c:pt idx="226">
                  <c:v>2045835.2199856236</c:v>
                </c:pt>
                <c:pt idx="227">
                  <c:v>2045835.2199856236</c:v>
                </c:pt>
                <c:pt idx="228">
                  <c:v>2045835.2199856236</c:v>
                </c:pt>
                <c:pt idx="229">
                  <c:v>2045835.2199856236</c:v>
                </c:pt>
                <c:pt idx="230">
                  <c:v>2045835.2199856236</c:v>
                </c:pt>
                <c:pt idx="231">
                  <c:v>2045835.2199856236</c:v>
                </c:pt>
                <c:pt idx="232">
                  <c:v>2045835.2199856236</c:v>
                </c:pt>
                <c:pt idx="233">
                  <c:v>2045835.2199856236</c:v>
                </c:pt>
                <c:pt idx="234">
                  <c:v>2045835.2199856236</c:v>
                </c:pt>
                <c:pt idx="235">
                  <c:v>2045835.2199856236</c:v>
                </c:pt>
                <c:pt idx="236">
                  <c:v>2045835.2199856236</c:v>
                </c:pt>
                <c:pt idx="237">
                  <c:v>2045835.2199856236</c:v>
                </c:pt>
                <c:pt idx="238">
                  <c:v>2045835.2199856236</c:v>
                </c:pt>
                <c:pt idx="239">
                  <c:v>2045835.2199856236</c:v>
                </c:pt>
                <c:pt idx="240">
                  <c:v>2045835.2199856236</c:v>
                </c:pt>
                <c:pt idx="241">
                  <c:v>2045835.2199856236</c:v>
                </c:pt>
                <c:pt idx="242">
                  <c:v>2045835.2199856236</c:v>
                </c:pt>
                <c:pt idx="243">
                  <c:v>2045835.2199856236</c:v>
                </c:pt>
                <c:pt idx="244">
                  <c:v>2045835.2199856236</c:v>
                </c:pt>
                <c:pt idx="245">
                  <c:v>2045835.2199856236</c:v>
                </c:pt>
                <c:pt idx="246">
                  <c:v>2045835.2199856236</c:v>
                </c:pt>
                <c:pt idx="247">
                  <c:v>2045835.2199856236</c:v>
                </c:pt>
                <c:pt idx="248">
                  <c:v>2045835.2199856236</c:v>
                </c:pt>
                <c:pt idx="249">
                  <c:v>2045835.2199856236</c:v>
                </c:pt>
                <c:pt idx="250">
                  <c:v>2045835.2199856236</c:v>
                </c:pt>
                <c:pt idx="251">
                  <c:v>2045835.2199856236</c:v>
                </c:pt>
                <c:pt idx="252">
                  <c:v>2045835.2199856236</c:v>
                </c:pt>
                <c:pt idx="253">
                  <c:v>2045835.2199856236</c:v>
                </c:pt>
                <c:pt idx="254">
                  <c:v>2045835.2199856236</c:v>
                </c:pt>
                <c:pt idx="255">
                  <c:v>2045835.2199856236</c:v>
                </c:pt>
                <c:pt idx="256">
                  <c:v>2045835.2199856236</c:v>
                </c:pt>
                <c:pt idx="257">
                  <c:v>2045835.2199856236</c:v>
                </c:pt>
                <c:pt idx="258">
                  <c:v>2045835.2199856236</c:v>
                </c:pt>
                <c:pt idx="259">
                  <c:v>2045835.2199856236</c:v>
                </c:pt>
                <c:pt idx="260">
                  <c:v>2045835.2199856236</c:v>
                </c:pt>
                <c:pt idx="261">
                  <c:v>2045835.2199856236</c:v>
                </c:pt>
                <c:pt idx="262">
                  <c:v>2045835.2199856236</c:v>
                </c:pt>
                <c:pt idx="263">
                  <c:v>2045835.2199856236</c:v>
                </c:pt>
                <c:pt idx="264">
                  <c:v>2045835.2199856236</c:v>
                </c:pt>
                <c:pt idx="265">
                  <c:v>2045835.2199856236</c:v>
                </c:pt>
                <c:pt idx="266">
                  <c:v>2045835.2199856236</c:v>
                </c:pt>
                <c:pt idx="267">
                  <c:v>2045835.2199856236</c:v>
                </c:pt>
                <c:pt idx="268">
                  <c:v>2045835.2199856236</c:v>
                </c:pt>
                <c:pt idx="269">
                  <c:v>2045835.2199856236</c:v>
                </c:pt>
                <c:pt idx="270">
                  <c:v>2045835.2199856236</c:v>
                </c:pt>
                <c:pt idx="271">
                  <c:v>2045835.2199856236</c:v>
                </c:pt>
                <c:pt idx="272">
                  <c:v>2045835.2199856236</c:v>
                </c:pt>
                <c:pt idx="273">
                  <c:v>2045835.2199856236</c:v>
                </c:pt>
                <c:pt idx="274">
                  <c:v>2045835.2199856236</c:v>
                </c:pt>
                <c:pt idx="275">
                  <c:v>2045835.2199856236</c:v>
                </c:pt>
                <c:pt idx="276">
                  <c:v>2045835.2199856236</c:v>
                </c:pt>
                <c:pt idx="277">
                  <c:v>2045835.2199856236</c:v>
                </c:pt>
                <c:pt idx="278">
                  <c:v>2045835.2199856236</c:v>
                </c:pt>
                <c:pt idx="279">
                  <c:v>2045835.2199856236</c:v>
                </c:pt>
                <c:pt idx="280">
                  <c:v>2045835.2199856236</c:v>
                </c:pt>
                <c:pt idx="281">
                  <c:v>2045835.2199856236</c:v>
                </c:pt>
                <c:pt idx="282">
                  <c:v>2045835.2199856236</c:v>
                </c:pt>
                <c:pt idx="283">
                  <c:v>2045835.2199856236</c:v>
                </c:pt>
                <c:pt idx="284">
                  <c:v>2045835.2199856236</c:v>
                </c:pt>
                <c:pt idx="285">
                  <c:v>2045835.2199856236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7FF-4017-AD68-239E69E2455E}"/>
            </c:ext>
          </c:extLst>
        </c:ser>
        <c:ser>
          <c:idx val="1"/>
          <c:order val="4"/>
          <c:tx>
            <c:strRef>
              <c:f>Cashflow!$B$11</c:f>
              <c:strCache>
                <c:ptCount val="1"/>
                <c:pt idx="0">
                  <c:v>Actual + Planned Expenditure</c:v>
                </c:pt>
              </c:strCache>
              <c:extLst xmlns:c15="http://schemas.microsoft.com/office/drawing/2012/chart"/>
            </c:strRef>
          </c:tx>
          <c:spPr>
            <a:ln w="317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Cashflow!$F$12:$KE$12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33631.612359903382</c:v>
                </c:pt>
                <c:pt idx="12">
                  <c:v>84079.030899758451</c:v>
                </c:pt>
                <c:pt idx="13">
                  <c:v>85916.530899758451</c:v>
                </c:pt>
                <c:pt idx="14">
                  <c:v>85916.530899758451</c:v>
                </c:pt>
                <c:pt idx="15">
                  <c:v>85916.530899758451</c:v>
                </c:pt>
                <c:pt idx="16">
                  <c:v>223961.18089975844</c:v>
                </c:pt>
                <c:pt idx="17">
                  <c:v>309877.71179951692</c:v>
                </c:pt>
                <c:pt idx="18">
                  <c:v>425513.87676914397</c:v>
                </c:pt>
                <c:pt idx="19">
                  <c:v>459145.48912904738</c:v>
                </c:pt>
                <c:pt idx="20">
                  <c:v>649880.90766890242</c:v>
                </c:pt>
                <c:pt idx="21">
                  <c:v>1404718.4076689025</c:v>
                </c:pt>
                <c:pt idx="22">
                  <c:v>1404718.4076689025</c:v>
                </c:pt>
                <c:pt idx="23">
                  <c:v>1404718.4076689025</c:v>
                </c:pt>
                <c:pt idx="24">
                  <c:v>1421534.2138488542</c:v>
                </c:pt>
                <c:pt idx="25">
                  <c:v>1421534.2138488542</c:v>
                </c:pt>
                <c:pt idx="26">
                  <c:v>1423371.7138488542</c:v>
                </c:pt>
                <c:pt idx="27">
                  <c:v>1423371.7138488542</c:v>
                </c:pt>
                <c:pt idx="28">
                  <c:v>1423371.7138488542</c:v>
                </c:pt>
                <c:pt idx="29">
                  <c:v>1483371.7138488542</c:v>
                </c:pt>
                <c:pt idx="30">
                  <c:v>1483371.7138488542</c:v>
                </c:pt>
                <c:pt idx="31">
                  <c:v>1483371.7138488542</c:v>
                </c:pt>
                <c:pt idx="32">
                  <c:v>1483371.7138488542</c:v>
                </c:pt>
                <c:pt idx="33">
                  <c:v>1483371.7138488542</c:v>
                </c:pt>
                <c:pt idx="34">
                  <c:v>1483371.7138488542</c:v>
                </c:pt>
                <c:pt idx="35">
                  <c:v>1483371.7138488542</c:v>
                </c:pt>
                <c:pt idx="36">
                  <c:v>1483371.7138488542</c:v>
                </c:pt>
                <c:pt idx="37">
                  <c:v>1483371.7138488542</c:v>
                </c:pt>
                <c:pt idx="38">
                  <c:v>1483371.7138488542</c:v>
                </c:pt>
                <c:pt idx="39">
                  <c:v>1483371.7138488542</c:v>
                </c:pt>
                <c:pt idx="40">
                  <c:v>1483371.7138488542</c:v>
                </c:pt>
                <c:pt idx="41">
                  <c:v>1483371.7138488542</c:v>
                </c:pt>
                <c:pt idx="42">
                  <c:v>1483371.7138488542</c:v>
                </c:pt>
                <c:pt idx="43">
                  <c:v>1483371.7138488542</c:v>
                </c:pt>
                <c:pt idx="44">
                  <c:v>1483371.7138488542</c:v>
                </c:pt>
                <c:pt idx="45">
                  <c:v>1483371.7138488542</c:v>
                </c:pt>
                <c:pt idx="46">
                  <c:v>1483371.7138488542</c:v>
                </c:pt>
                <c:pt idx="47">
                  <c:v>1483371.7138488542</c:v>
                </c:pt>
                <c:pt idx="48">
                  <c:v>1483371.7138488542</c:v>
                </c:pt>
                <c:pt idx="49">
                  <c:v>1483371.7138488542</c:v>
                </c:pt>
                <c:pt idx="50">
                  <c:v>1483371.7138488542</c:v>
                </c:pt>
                <c:pt idx="51">
                  <c:v>1483371.7138488542</c:v>
                </c:pt>
                <c:pt idx="52">
                  <c:v>1483371.7138488542</c:v>
                </c:pt>
                <c:pt idx="53">
                  <c:v>1483371.7138488542</c:v>
                </c:pt>
                <c:pt idx="54">
                  <c:v>1483371.7138488542</c:v>
                </c:pt>
                <c:pt idx="55">
                  <c:v>1483371.7138488542</c:v>
                </c:pt>
                <c:pt idx="56">
                  <c:v>1483371.7138488542</c:v>
                </c:pt>
                <c:pt idx="57">
                  <c:v>1483371.7138488542</c:v>
                </c:pt>
                <c:pt idx="58">
                  <c:v>1483371.7138488542</c:v>
                </c:pt>
                <c:pt idx="59">
                  <c:v>1483371.7138488542</c:v>
                </c:pt>
                <c:pt idx="60">
                  <c:v>1483371.7138488542</c:v>
                </c:pt>
                <c:pt idx="61">
                  <c:v>1483371.7138488542</c:v>
                </c:pt>
                <c:pt idx="62">
                  <c:v>1483371.7138488542</c:v>
                </c:pt>
                <c:pt idx="63">
                  <c:v>1483371.7138488542</c:v>
                </c:pt>
                <c:pt idx="64">
                  <c:v>1483371.7138488542</c:v>
                </c:pt>
                <c:pt idx="65">
                  <c:v>1483371.7138488542</c:v>
                </c:pt>
                <c:pt idx="66">
                  <c:v>1483371.7138488542</c:v>
                </c:pt>
                <c:pt idx="67">
                  <c:v>1483371.7138488542</c:v>
                </c:pt>
                <c:pt idx="68">
                  <c:v>1483371.7138488542</c:v>
                </c:pt>
                <c:pt idx="69">
                  <c:v>1483371.7138488542</c:v>
                </c:pt>
                <c:pt idx="70">
                  <c:v>1483371.7138488542</c:v>
                </c:pt>
                <c:pt idx="71">
                  <c:v>1483371.7138488542</c:v>
                </c:pt>
                <c:pt idx="72">
                  <c:v>1483371.7138488542</c:v>
                </c:pt>
                <c:pt idx="73">
                  <c:v>1483371.7138488542</c:v>
                </c:pt>
                <c:pt idx="74">
                  <c:v>1483371.7138488542</c:v>
                </c:pt>
                <c:pt idx="75">
                  <c:v>1483371.7138488542</c:v>
                </c:pt>
                <c:pt idx="76">
                  <c:v>1483371.7138488542</c:v>
                </c:pt>
                <c:pt idx="77">
                  <c:v>1483371.7138488542</c:v>
                </c:pt>
                <c:pt idx="78">
                  <c:v>1483371.7138488542</c:v>
                </c:pt>
                <c:pt idx="79">
                  <c:v>1483371.7138488542</c:v>
                </c:pt>
                <c:pt idx="80">
                  <c:v>1483371.7138488542</c:v>
                </c:pt>
                <c:pt idx="81">
                  <c:v>1483371.7138488542</c:v>
                </c:pt>
                <c:pt idx="82">
                  <c:v>1483371.7138488542</c:v>
                </c:pt>
                <c:pt idx="83">
                  <c:v>1483371.7138488542</c:v>
                </c:pt>
                <c:pt idx="84">
                  <c:v>1483371.7138488542</c:v>
                </c:pt>
                <c:pt idx="85">
                  <c:v>1483371.7138488542</c:v>
                </c:pt>
                <c:pt idx="86">
                  <c:v>1483371.7138488542</c:v>
                </c:pt>
                <c:pt idx="87">
                  <c:v>1483371.7138488542</c:v>
                </c:pt>
                <c:pt idx="88">
                  <c:v>1483371.7138488542</c:v>
                </c:pt>
                <c:pt idx="89">
                  <c:v>1483371.7138488542</c:v>
                </c:pt>
                <c:pt idx="90">
                  <c:v>1483371.7138488542</c:v>
                </c:pt>
                <c:pt idx="91">
                  <c:v>1483371.7138488542</c:v>
                </c:pt>
                <c:pt idx="92">
                  <c:v>1483371.7138488542</c:v>
                </c:pt>
                <c:pt idx="93">
                  <c:v>1483371.7138488542</c:v>
                </c:pt>
                <c:pt idx="94">
                  <c:v>1483371.7138488542</c:v>
                </c:pt>
                <c:pt idx="95">
                  <c:v>1483371.7138488542</c:v>
                </c:pt>
                <c:pt idx="96">
                  <c:v>1483371.7138488542</c:v>
                </c:pt>
                <c:pt idx="97">
                  <c:v>1483371.7138488542</c:v>
                </c:pt>
                <c:pt idx="98">
                  <c:v>1483371.7138488542</c:v>
                </c:pt>
                <c:pt idx="99">
                  <c:v>1483371.7138488542</c:v>
                </c:pt>
                <c:pt idx="100">
                  <c:v>1483371.7138488542</c:v>
                </c:pt>
                <c:pt idx="101">
                  <c:v>1483371.7138488542</c:v>
                </c:pt>
                <c:pt idx="102">
                  <c:v>1483371.7138488542</c:v>
                </c:pt>
                <c:pt idx="103">
                  <c:v>1483371.7138488542</c:v>
                </c:pt>
                <c:pt idx="104">
                  <c:v>1483371.7138488542</c:v>
                </c:pt>
                <c:pt idx="105">
                  <c:v>1483371.7138488542</c:v>
                </c:pt>
                <c:pt idx="106">
                  <c:v>1483371.7138488542</c:v>
                </c:pt>
                <c:pt idx="107">
                  <c:v>1483371.7138488542</c:v>
                </c:pt>
                <c:pt idx="108">
                  <c:v>1483371.7138488542</c:v>
                </c:pt>
                <c:pt idx="109">
                  <c:v>1483371.7138488542</c:v>
                </c:pt>
                <c:pt idx="110">
                  <c:v>1483371.7138488542</c:v>
                </c:pt>
                <c:pt idx="111">
                  <c:v>1483371.7138488542</c:v>
                </c:pt>
                <c:pt idx="112">
                  <c:v>1483371.7138488542</c:v>
                </c:pt>
                <c:pt idx="113">
                  <c:v>1483371.7138488542</c:v>
                </c:pt>
                <c:pt idx="114">
                  <c:v>1483371.7138488542</c:v>
                </c:pt>
                <c:pt idx="115">
                  <c:v>1483371.7138488542</c:v>
                </c:pt>
                <c:pt idx="116">
                  <c:v>1483371.7138488542</c:v>
                </c:pt>
                <c:pt idx="117">
                  <c:v>1483371.7138488542</c:v>
                </c:pt>
                <c:pt idx="118">
                  <c:v>1483371.7138488542</c:v>
                </c:pt>
                <c:pt idx="119">
                  <c:v>1483371.7138488542</c:v>
                </c:pt>
                <c:pt idx="120">
                  <c:v>1483371.7138488542</c:v>
                </c:pt>
                <c:pt idx="121">
                  <c:v>1483371.7138488542</c:v>
                </c:pt>
                <c:pt idx="122">
                  <c:v>1483371.7138488542</c:v>
                </c:pt>
                <c:pt idx="123">
                  <c:v>1483371.7138488542</c:v>
                </c:pt>
                <c:pt idx="124">
                  <c:v>1483371.7138488542</c:v>
                </c:pt>
                <c:pt idx="125">
                  <c:v>1483371.7138488542</c:v>
                </c:pt>
                <c:pt idx="126">
                  <c:v>1483371.7138488542</c:v>
                </c:pt>
                <c:pt idx="127">
                  <c:v>1483371.7138488542</c:v>
                </c:pt>
                <c:pt idx="128">
                  <c:v>1483371.7138488542</c:v>
                </c:pt>
                <c:pt idx="129">
                  <c:v>1483371.7138488542</c:v>
                </c:pt>
                <c:pt idx="130">
                  <c:v>1483371.7138488542</c:v>
                </c:pt>
                <c:pt idx="131">
                  <c:v>1483371.7138488542</c:v>
                </c:pt>
                <c:pt idx="132">
                  <c:v>1483371.7138488542</c:v>
                </c:pt>
                <c:pt idx="133">
                  <c:v>1483371.7138488542</c:v>
                </c:pt>
                <c:pt idx="134">
                  <c:v>1483371.7138488542</c:v>
                </c:pt>
                <c:pt idx="135">
                  <c:v>1483371.7138488542</c:v>
                </c:pt>
                <c:pt idx="136">
                  <c:v>1483371.7138488542</c:v>
                </c:pt>
                <c:pt idx="137">
                  <c:v>1483371.7138488542</c:v>
                </c:pt>
                <c:pt idx="138">
                  <c:v>1483371.7138488542</c:v>
                </c:pt>
                <c:pt idx="139">
                  <c:v>1483371.7138488542</c:v>
                </c:pt>
                <c:pt idx="140">
                  <c:v>1483371.7138488542</c:v>
                </c:pt>
                <c:pt idx="141">
                  <c:v>1483371.7138488542</c:v>
                </c:pt>
                <c:pt idx="142">
                  <c:v>1483371.7138488542</c:v>
                </c:pt>
                <c:pt idx="143">
                  <c:v>1483371.7138488542</c:v>
                </c:pt>
                <c:pt idx="144">
                  <c:v>1483371.7138488542</c:v>
                </c:pt>
                <c:pt idx="145">
                  <c:v>1483371.7138488542</c:v>
                </c:pt>
                <c:pt idx="146">
                  <c:v>1483371.7138488542</c:v>
                </c:pt>
                <c:pt idx="147">
                  <c:v>1483371.7138488542</c:v>
                </c:pt>
                <c:pt idx="148">
                  <c:v>1483371.7138488542</c:v>
                </c:pt>
                <c:pt idx="149">
                  <c:v>1483371.7138488542</c:v>
                </c:pt>
                <c:pt idx="150">
                  <c:v>1483371.7138488542</c:v>
                </c:pt>
                <c:pt idx="151">
                  <c:v>1483371.7138488542</c:v>
                </c:pt>
                <c:pt idx="152">
                  <c:v>1483371.7138488542</c:v>
                </c:pt>
                <c:pt idx="153">
                  <c:v>1483371.7138488542</c:v>
                </c:pt>
                <c:pt idx="154">
                  <c:v>1483371.7138488542</c:v>
                </c:pt>
                <c:pt idx="155">
                  <c:v>1483371.7138488542</c:v>
                </c:pt>
                <c:pt idx="156">
                  <c:v>1483371.7138488542</c:v>
                </c:pt>
                <c:pt idx="157">
                  <c:v>1483371.7138488542</c:v>
                </c:pt>
                <c:pt idx="158">
                  <c:v>1483371.7138488542</c:v>
                </c:pt>
                <c:pt idx="159">
                  <c:v>1483371.7138488542</c:v>
                </c:pt>
                <c:pt idx="160">
                  <c:v>1483371.7138488542</c:v>
                </c:pt>
                <c:pt idx="161">
                  <c:v>1483371.7138488542</c:v>
                </c:pt>
                <c:pt idx="162">
                  <c:v>1483371.7138488542</c:v>
                </c:pt>
                <c:pt idx="163">
                  <c:v>1483371.7138488542</c:v>
                </c:pt>
                <c:pt idx="164">
                  <c:v>1483371.7138488542</c:v>
                </c:pt>
                <c:pt idx="165">
                  <c:v>1483371.7138488542</c:v>
                </c:pt>
                <c:pt idx="166">
                  <c:v>1483371.7138488542</c:v>
                </c:pt>
                <c:pt idx="167">
                  <c:v>1483371.7138488542</c:v>
                </c:pt>
                <c:pt idx="168">
                  <c:v>1483371.7138488542</c:v>
                </c:pt>
                <c:pt idx="169">
                  <c:v>1483371.7138488542</c:v>
                </c:pt>
                <c:pt idx="170">
                  <c:v>1483371.7138488542</c:v>
                </c:pt>
                <c:pt idx="171">
                  <c:v>1483371.7138488542</c:v>
                </c:pt>
                <c:pt idx="172">
                  <c:v>1483371.7138488542</c:v>
                </c:pt>
                <c:pt idx="173">
                  <c:v>1483371.7138488542</c:v>
                </c:pt>
                <c:pt idx="174">
                  <c:v>1483371.7138488542</c:v>
                </c:pt>
                <c:pt idx="175">
                  <c:v>1483371.7138488542</c:v>
                </c:pt>
                <c:pt idx="176">
                  <c:v>1483371.7138488542</c:v>
                </c:pt>
                <c:pt idx="177">
                  <c:v>1483371.7138488542</c:v>
                </c:pt>
                <c:pt idx="178">
                  <c:v>1483371.7138488542</c:v>
                </c:pt>
                <c:pt idx="179">
                  <c:v>1483371.7138488542</c:v>
                </c:pt>
                <c:pt idx="180">
                  <c:v>1483371.7138488542</c:v>
                </c:pt>
                <c:pt idx="181">
                  <c:v>1483371.7138488542</c:v>
                </c:pt>
                <c:pt idx="182">
                  <c:v>1483371.7138488542</c:v>
                </c:pt>
                <c:pt idx="183">
                  <c:v>1483371.7138488542</c:v>
                </c:pt>
                <c:pt idx="184">
                  <c:v>1483371.7138488542</c:v>
                </c:pt>
                <c:pt idx="185">
                  <c:v>1483371.7138488542</c:v>
                </c:pt>
                <c:pt idx="186">
                  <c:v>1483371.7138488542</c:v>
                </c:pt>
                <c:pt idx="187">
                  <c:v>1483371.7138488542</c:v>
                </c:pt>
                <c:pt idx="188">
                  <c:v>1483371.7138488542</c:v>
                </c:pt>
                <c:pt idx="189">
                  <c:v>1483371.7138488542</c:v>
                </c:pt>
                <c:pt idx="190">
                  <c:v>1483371.7138488542</c:v>
                </c:pt>
                <c:pt idx="191">
                  <c:v>1483371.7138488542</c:v>
                </c:pt>
                <c:pt idx="192">
                  <c:v>1483371.7138488542</c:v>
                </c:pt>
                <c:pt idx="193">
                  <c:v>1483371.7138488542</c:v>
                </c:pt>
                <c:pt idx="194">
                  <c:v>1483371.7138488542</c:v>
                </c:pt>
                <c:pt idx="195">
                  <c:v>1483371.7138488542</c:v>
                </c:pt>
                <c:pt idx="196">
                  <c:v>1483371.7138488542</c:v>
                </c:pt>
                <c:pt idx="197">
                  <c:v>1483371.7138488542</c:v>
                </c:pt>
                <c:pt idx="198">
                  <c:v>1483371.7138488542</c:v>
                </c:pt>
                <c:pt idx="199">
                  <c:v>1483371.7138488542</c:v>
                </c:pt>
                <c:pt idx="200">
                  <c:v>1483371.7138488542</c:v>
                </c:pt>
                <c:pt idx="201">
                  <c:v>1483371.7138488542</c:v>
                </c:pt>
                <c:pt idx="202">
                  <c:v>1483371.7138488542</c:v>
                </c:pt>
                <c:pt idx="203">
                  <c:v>1483371.7138488542</c:v>
                </c:pt>
                <c:pt idx="204">
                  <c:v>1483371.7138488542</c:v>
                </c:pt>
                <c:pt idx="205">
                  <c:v>1483371.7138488542</c:v>
                </c:pt>
                <c:pt idx="206">
                  <c:v>1483371.7138488542</c:v>
                </c:pt>
                <c:pt idx="207">
                  <c:v>1483371.7138488542</c:v>
                </c:pt>
                <c:pt idx="208">
                  <c:v>1483371.7138488542</c:v>
                </c:pt>
                <c:pt idx="209">
                  <c:v>1483371.7138488542</c:v>
                </c:pt>
                <c:pt idx="210">
                  <c:v>1483371.7138488542</c:v>
                </c:pt>
                <c:pt idx="211">
                  <c:v>1483371.7138488542</c:v>
                </c:pt>
                <c:pt idx="212">
                  <c:v>1483371.7138488542</c:v>
                </c:pt>
                <c:pt idx="213">
                  <c:v>1483371.7138488542</c:v>
                </c:pt>
                <c:pt idx="214">
                  <c:v>1483371.7138488542</c:v>
                </c:pt>
                <c:pt idx="215">
                  <c:v>1483371.7138488542</c:v>
                </c:pt>
                <c:pt idx="216">
                  <c:v>1483371.7138488542</c:v>
                </c:pt>
                <c:pt idx="217">
                  <c:v>1483371.7138488542</c:v>
                </c:pt>
                <c:pt idx="218">
                  <c:v>1483371.7138488542</c:v>
                </c:pt>
                <c:pt idx="219">
                  <c:v>1483371.7138488542</c:v>
                </c:pt>
                <c:pt idx="220">
                  <c:v>1483371.7138488542</c:v>
                </c:pt>
                <c:pt idx="221">
                  <c:v>1483371.7138488542</c:v>
                </c:pt>
                <c:pt idx="222">
                  <c:v>1483371.7138488542</c:v>
                </c:pt>
                <c:pt idx="223">
                  <c:v>1483371.7138488542</c:v>
                </c:pt>
                <c:pt idx="224">
                  <c:v>1483371.7138488542</c:v>
                </c:pt>
                <c:pt idx="225">
                  <c:v>1483371.7138488542</c:v>
                </c:pt>
                <c:pt idx="226">
                  <c:v>1483371.7138488542</c:v>
                </c:pt>
                <c:pt idx="227">
                  <c:v>1483371.7138488542</c:v>
                </c:pt>
                <c:pt idx="228">
                  <c:v>1483371.7138488542</c:v>
                </c:pt>
                <c:pt idx="229">
                  <c:v>1483371.7138488542</c:v>
                </c:pt>
                <c:pt idx="230">
                  <c:v>1483371.7138488542</c:v>
                </c:pt>
                <c:pt idx="231">
                  <c:v>1483371.7138488542</c:v>
                </c:pt>
                <c:pt idx="232">
                  <c:v>1483371.7138488542</c:v>
                </c:pt>
                <c:pt idx="233">
                  <c:v>1483371.7138488542</c:v>
                </c:pt>
                <c:pt idx="234">
                  <c:v>1483371.7138488542</c:v>
                </c:pt>
                <c:pt idx="235">
                  <c:v>1483371.7138488542</c:v>
                </c:pt>
                <c:pt idx="236">
                  <c:v>1483371.7138488542</c:v>
                </c:pt>
                <c:pt idx="237">
                  <c:v>1483371.7138488542</c:v>
                </c:pt>
                <c:pt idx="238">
                  <c:v>1483371.7138488542</c:v>
                </c:pt>
                <c:pt idx="239">
                  <c:v>1483371.7138488542</c:v>
                </c:pt>
                <c:pt idx="240">
                  <c:v>1483371.7138488542</c:v>
                </c:pt>
                <c:pt idx="241">
                  <c:v>1483371.7138488542</c:v>
                </c:pt>
                <c:pt idx="242">
                  <c:v>1483371.7138488542</c:v>
                </c:pt>
                <c:pt idx="243">
                  <c:v>1483371.7138488542</c:v>
                </c:pt>
                <c:pt idx="244">
                  <c:v>1483371.7138488542</c:v>
                </c:pt>
                <c:pt idx="245">
                  <c:v>1483371.7138488542</c:v>
                </c:pt>
                <c:pt idx="246">
                  <c:v>1483371.7138488542</c:v>
                </c:pt>
                <c:pt idx="247">
                  <c:v>1483371.7138488542</c:v>
                </c:pt>
                <c:pt idx="248">
                  <c:v>1483371.7138488542</c:v>
                </c:pt>
                <c:pt idx="249">
                  <c:v>1483371.7138488542</c:v>
                </c:pt>
                <c:pt idx="250">
                  <c:v>1483371.7138488542</c:v>
                </c:pt>
                <c:pt idx="251">
                  <c:v>1483371.7138488542</c:v>
                </c:pt>
                <c:pt idx="252">
                  <c:v>1483371.7138488542</c:v>
                </c:pt>
                <c:pt idx="253">
                  <c:v>1483371.7138488542</c:v>
                </c:pt>
                <c:pt idx="254">
                  <c:v>1483371.7138488542</c:v>
                </c:pt>
                <c:pt idx="255">
                  <c:v>1483371.7138488542</c:v>
                </c:pt>
                <c:pt idx="256">
                  <c:v>1483371.7138488542</c:v>
                </c:pt>
                <c:pt idx="257">
                  <c:v>1483371.7138488542</c:v>
                </c:pt>
                <c:pt idx="258">
                  <c:v>1483371.7138488542</c:v>
                </c:pt>
                <c:pt idx="259">
                  <c:v>1483371.7138488542</c:v>
                </c:pt>
                <c:pt idx="260">
                  <c:v>1483371.7138488542</c:v>
                </c:pt>
                <c:pt idx="261">
                  <c:v>1483371.7138488542</c:v>
                </c:pt>
                <c:pt idx="262">
                  <c:v>1483371.7138488542</c:v>
                </c:pt>
                <c:pt idx="263">
                  <c:v>1483371.7138488542</c:v>
                </c:pt>
                <c:pt idx="264">
                  <c:v>1483371.7138488542</c:v>
                </c:pt>
                <c:pt idx="265">
                  <c:v>1483371.7138488542</c:v>
                </c:pt>
                <c:pt idx="266">
                  <c:v>1483371.7138488542</c:v>
                </c:pt>
                <c:pt idx="267">
                  <c:v>1483371.7138488542</c:v>
                </c:pt>
                <c:pt idx="268">
                  <c:v>1483371.7138488542</c:v>
                </c:pt>
                <c:pt idx="269">
                  <c:v>1483371.7138488542</c:v>
                </c:pt>
                <c:pt idx="270">
                  <c:v>1483371.7138488542</c:v>
                </c:pt>
                <c:pt idx="271">
                  <c:v>1483371.7138488542</c:v>
                </c:pt>
                <c:pt idx="272">
                  <c:v>1483371.7138488542</c:v>
                </c:pt>
                <c:pt idx="273">
                  <c:v>1483371.7138488542</c:v>
                </c:pt>
                <c:pt idx="274">
                  <c:v>1483371.7138488542</c:v>
                </c:pt>
                <c:pt idx="275">
                  <c:v>1483371.7138488542</c:v>
                </c:pt>
                <c:pt idx="276">
                  <c:v>1483371.7138488542</c:v>
                </c:pt>
                <c:pt idx="277">
                  <c:v>1483371.7138488542</c:v>
                </c:pt>
                <c:pt idx="278">
                  <c:v>1483371.7138488542</c:v>
                </c:pt>
                <c:pt idx="279">
                  <c:v>1483371.7138488542</c:v>
                </c:pt>
                <c:pt idx="280">
                  <c:v>1483371.7138488542</c:v>
                </c:pt>
                <c:pt idx="281">
                  <c:v>1483371.7138488542</c:v>
                </c:pt>
                <c:pt idx="282">
                  <c:v>1483371.7138488542</c:v>
                </c:pt>
                <c:pt idx="283">
                  <c:v>1483371.7138488542</c:v>
                </c:pt>
                <c:pt idx="284">
                  <c:v>1483371.7138488542</c:v>
                </c:pt>
                <c:pt idx="285">
                  <c:v>1483371.7138488542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7FF-4017-AD68-239E69E2455E}"/>
            </c:ext>
          </c:extLst>
        </c:ser>
        <c:ser>
          <c:idx val="5"/>
          <c:order val="5"/>
          <c:tx>
            <c:strRef>
              <c:f>Cashflow!$B$14</c:f>
              <c:strCache>
                <c:ptCount val="1"/>
                <c:pt idx="0">
                  <c:v>ACTUAL CashFlow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</c:numRef>
          </c:cat>
          <c:val>
            <c:numRef>
              <c:f>Cashflow!$F$14:$KE$14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-33631.612359903382</c:v>
                </c:pt>
                <c:pt idx="12">
                  <c:v>938838.57909305335</c:v>
                </c:pt>
                <c:pt idx="13">
                  <c:v>937001.07909305335</c:v>
                </c:pt>
                <c:pt idx="14">
                  <c:v>1653043.4060880216</c:v>
                </c:pt>
                <c:pt idx="15">
                  <c:v>1653043.4060880216</c:v>
                </c:pt>
                <c:pt idx="16">
                  <c:v>1514998.7560880217</c:v>
                </c:pt>
                <c:pt idx="17">
                  <c:v>1429082.2251882632</c:v>
                </c:pt>
                <c:pt idx="18">
                  <c:v>1313446.0602186359</c:v>
                </c:pt>
                <c:pt idx="19">
                  <c:v>1484397.969857295</c:v>
                </c:pt>
                <c:pt idx="20">
                  <c:v>1293662.5513174399</c:v>
                </c:pt>
                <c:pt idx="21">
                  <c:v>641116.81231672107</c:v>
                </c:pt>
                <c:pt idx="22">
                  <c:v>641116.81231672107</c:v>
                </c:pt>
                <c:pt idx="23">
                  <c:v>641116.81231672107</c:v>
                </c:pt>
                <c:pt idx="24">
                  <c:v>624301.00613676943</c:v>
                </c:pt>
                <c:pt idx="25">
                  <c:v>624301.00613676943</c:v>
                </c:pt>
                <c:pt idx="26">
                  <c:v>622463.50613676943</c:v>
                </c:pt>
                <c:pt idx="27">
                  <c:v>622463.50613676943</c:v>
                </c:pt>
                <c:pt idx="28">
                  <c:v>622463.50613676943</c:v>
                </c:pt>
                <c:pt idx="29">
                  <c:v>562463.50613676943</c:v>
                </c:pt>
                <c:pt idx="30">
                  <c:v>562463.50613676943</c:v>
                </c:pt>
                <c:pt idx="31">
                  <c:v>562463.50613676943</c:v>
                </c:pt>
                <c:pt idx="32">
                  <c:v>562463.50613676943</c:v>
                </c:pt>
                <c:pt idx="33">
                  <c:v>562463.50613676943</c:v>
                </c:pt>
                <c:pt idx="34">
                  <c:v>562463.50613676943</c:v>
                </c:pt>
                <c:pt idx="35">
                  <c:v>562463.50613676943</c:v>
                </c:pt>
                <c:pt idx="36">
                  <c:v>562463.50613676943</c:v>
                </c:pt>
                <c:pt idx="37">
                  <c:v>562463.50613676943</c:v>
                </c:pt>
                <c:pt idx="38">
                  <c:v>562463.50613676943</c:v>
                </c:pt>
                <c:pt idx="39">
                  <c:v>562463.50613676943</c:v>
                </c:pt>
                <c:pt idx="40">
                  <c:v>562463.50613676943</c:v>
                </c:pt>
                <c:pt idx="41">
                  <c:v>562463.50613676943</c:v>
                </c:pt>
                <c:pt idx="42">
                  <c:v>562463.50613676943</c:v>
                </c:pt>
                <c:pt idx="43">
                  <c:v>562463.50613676943</c:v>
                </c:pt>
                <c:pt idx="44">
                  <c:v>562463.50613676943</c:v>
                </c:pt>
                <c:pt idx="45">
                  <c:v>562463.50613676943</c:v>
                </c:pt>
                <c:pt idx="46">
                  <c:v>562463.50613676943</c:v>
                </c:pt>
                <c:pt idx="47">
                  <c:v>562463.50613676943</c:v>
                </c:pt>
                <c:pt idx="48">
                  <c:v>562463.50613676943</c:v>
                </c:pt>
                <c:pt idx="49">
                  <c:v>562463.50613676943</c:v>
                </c:pt>
                <c:pt idx="50">
                  <c:v>562463.50613676943</c:v>
                </c:pt>
                <c:pt idx="51">
                  <c:v>562463.50613676943</c:v>
                </c:pt>
                <c:pt idx="52">
                  <c:v>562463.50613676943</c:v>
                </c:pt>
                <c:pt idx="53">
                  <c:v>562463.50613676943</c:v>
                </c:pt>
                <c:pt idx="54">
                  <c:v>562463.50613676943</c:v>
                </c:pt>
                <c:pt idx="55">
                  <c:v>562463.50613676943</c:v>
                </c:pt>
                <c:pt idx="56">
                  <c:v>562463.50613676943</c:v>
                </c:pt>
                <c:pt idx="57">
                  <c:v>562463.50613676943</c:v>
                </c:pt>
                <c:pt idx="58">
                  <c:v>562463.50613676943</c:v>
                </c:pt>
                <c:pt idx="59">
                  <c:v>562463.50613676943</c:v>
                </c:pt>
                <c:pt idx="60">
                  <c:v>562463.50613676943</c:v>
                </c:pt>
                <c:pt idx="61">
                  <c:v>562463.50613676943</c:v>
                </c:pt>
                <c:pt idx="62">
                  <c:v>562463.50613676943</c:v>
                </c:pt>
                <c:pt idx="63">
                  <c:v>562463.50613676943</c:v>
                </c:pt>
                <c:pt idx="64">
                  <c:v>562463.50613676943</c:v>
                </c:pt>
                <c:pt idx="65">
                  <c:v>562463.50613676943</c:v>
                </c:pt>
                <c:pt idx="66">
                  <c:v>562463.50613676943</c:v>
                </c:pt>
                <c:pt idx="67">
                  <c:v>562463.50613676943</c:v>
                </c:pt>
                <c:pt idx="68">
                  <c:v>562463.50613676943</c:v>
                </c:pt>
                <c:pt idx="69">
                  <c:v>562463.50613676943</c:v>
                </c:pt>
                <c:pt idx="70">
                  <c:v>562463.50613676943</c:v>
                </c:pt>
                <c:pt idx="71">
                  <c:v>562463.50613676943</c:v>
                </c:pt>
                <c:pt idx="72">
                  <c:v>562463.50613676943</c:v>
                </c:pt>
                <c:pt idx="73">
                  <c:v>562463.50613676943</c:v>
                </c:pt>
                <c:pt idx="74">
                  <c:v>562463.50613676943</c:v>
                </c:pt>
                <c:pt idx="75">
                  <c:v>562463.50613676943</c:v>
                </c:pt>
                <c:pt idx="76">
                  <c:v>562463.50613676943</c:v>
                </c:pt>
                <c:pt idx="77">
                  <c:v>562463.50613676943</c:v>
                </c:pt>
                <c:pt idx="78">
                  <c:v>562463.50613676943</c:v>
                </c:pt>
                <c:pt idx="79">
                  <c:v>562463.50613676943</c:v>
                </c:pt>
                <c:pt idx="80">
                  <c:v>562463.50613676943</c:v>
                </c:pt>
                <c:pt idx="81">
                  <c:v>562463.50613676943</c:v>
                </c:pt>
                <c:pt idx="82">
                  <c:v>562463.50613676943</c:v>
                </c:pt>
                <c:pt idx="83">
                  <c:v>562463.50613676943</c:v>
                </c:pt>
                <c:pt idx="84">
                  <c:v>562463.50613676943</c:v>
                </c:pt>
                <c:pt idx="85">
                  <c:v>562463.50613676943</c:v>
                </c:pt>
                <c:pt idx="86">
                  <c:v>562463.50613676943</c:v>
                </c:pt>
                <c:pt idx="87">
                  <c:v>562463.50613676943</c:v>
                </c:pt>
                <c:pt idx="88">
                  <c:v>562463.50613676943</c:v>
                </c:pt>
                <c:pt idx="89">
                  <c:v>562463.50613676943</c:v>
                </c:pt>
                <c:pt idx="90">
                  <c:v>562463.50613676943</c:v>
                </c:pt>
                <c:pt idx="91">
                  <c:v>562463.50613676943</c:v>
                </c:pt>
                <c:pt idx="92">
                  <c:v>562463.50613676943</c:v>
                </c:pt>
                <c:pt idx="93">
                  <c:v>562463.50613676943</c:v>
                </c:pt>
                <c:pt idx="94">
                  <c:v>562463.50613676943</c:v>
                </c:pt>
                <c:pt idx="95">
                  <c:v>562463.50613676943</c:v>
                </c:pt>
                <c:pt idx="96">
                  <c:v>562463.50613676943</c:v>
                </c:pt>
                <c:pt idx="97">
                  <c:v>562463.50613676943</c:v>
                </c:pt>
                <c:pt idx="98">
                  <c:v>562463.50613676943</c:v>
                </c:pt>
                <c:pt idx="99">
                  <c:v>562463.50613676943</c:v>
                </c:pt>
                <c:pt idx="100">
                  <c:v>562463.50613676943</c:v>
                </c:pt>
                <c:pt idx="101">
                  <c:v>562463.50613676943</c:v>
                </c:pt>
                <c:pt idx="102">
                  <c:v>562463.50613676943</c:v>
                </c:pt>
                <c:pt idx="103">
                  <c:v>562463.50613676943</c:v>
                </c:pt>
                <c:pt idx="104">
                  <c:v>562463.50613676943</c:v>
                </c:pt>
                <c:pt idx="105">
                  <c:v>562463.50613676943</c:v>
                </c:pt>
                <c:pt idx="106">
                  <c:v>562463.50613676943</c:v>
                </c:pt>
                <c:pt idx="107">
                  <c:v>562463.50613676943</c:v>
                </c:pt>
                <c:pt idx="108">
                  <c:v>562463.50613676943</c:v>
                </c:pt>
                <c:pt idx="109">
                  <c:v>562463.50613676943</c:v>
                </c:pt>
                <c:pt idx="110">
                  <c:v>562463.50613676943</c:v>
                </c:pt>
                <c:pt idx="111">
                  <c:v>562463.50613676943</c:v>
                </c:pt>
                <c:pt idx="112">
                  <c:v>562463.50613676943</c:v>
                </c:pt>
                <c:pt idx="113">
                  <c:v>562463.50613676943</c:v>
                </c:pt>
                <c:pt idx="114">
                  <c:v>562463.50613676943</c:v>
                </c:pt>
                <c:pt idx="115">
                  <c:v>562463.50613676943</c:v>
                </c:pt>
                <c:pt idx="116">
                  <c:v>562463.50613676943</c:v>
                </c:pt>
                <c:pt idx="117">
                  <c:v>562463.50613676943</c:v>
                </c:pt>
                <c:pt idx="118">
                  <c:v>562463.50613676943</c:v>
                </c:pt>
                <c:pt idx="119">
                  <c:v>562463.50613676943</c:v>
                </c:pt>
                <c:pt idx="120">
                  <c:v>562463.50613676943</c:v>
                </c:pt>
                <c:pt idx="121">
                  <c:v>562463.50613676943</c:v>
                </c:pt>
                <c:pt idx="122">
                  <c:v>562463.50613676943</c:v>
                </c:pt>
                <c:pt idx="123">
                  <c:v>562463.50613676943</c:v>
                </c:pt>
                <c:pt idx="124">
                  <c:v>562463.50613676943</c:v>
                </c:pt>
                <c:pt idx="125">
                  <c:v>562463.50613676943</c:v>
                </c:pt>
                <c:pt idx="126">
                  <c:v>562463.50613676943</c:v>
                </c:pt>
                <c:pt idx="127">
                  <c:v>562463.50613676943</c:v>
                </c:pt>
                <c:pt idx="128">
                  <c:v>562463.50613676943</c:v>
                </c:pt>
                <c:pt idx="129">
                  <c:v>562463.50613676943</c:v>
                </c:pt>
                <c:pt idx="130">
                  <c:v>562463.50613676943</c:v>
                </c:pt>
                <c:pt idx="131">
                  <c:v>562463.50613676943</c:v>
                </c:pt>
                <c:pt idx="132">
                  <c:v>562463.50613676943</c:v>
                </c:pt>
                <c:pt idx="133">
                  <c:v>562463.50613676943</c:v>
                </c:pt>
                <c:pt idx="134">
                  <c:v>562463.50613676943</c:v>
                </c:pt>
                <c:pt idx="135">
                  <c:v>562463.50613676943</c:v>
                </c:pt>
                <c:pt idx="136">
                  <c:v>562463.50613676943</c:v>
                </c:pt>
                <c:pt idx="137">
                  <c:v>562463.50613676943</c:v>
                </c:pt>
                <c:pt idx="138">
                  <c:v>562463.50613676943</c:v>
                </c:pt>
                <c:pt idx="139">
                  <c:v>562463.50613676943</c:v>
                </c:pt>
                <c:pt idx="140">
                  <c:v>562463.50613676943</c:v>
                </c:pt>
                <c:pt idx="141">
                  <c:v>562463.50613676943</c:v>
                </c:pt>
                <c:pt idx="142">
                  <c:v>562463.50613676943</c:v>
                </c:pt>
                <c:pt idx="143">
                  <c:v>562463.50613676943</c:v>
                </c:pt>
                <c:pt idx="144">
                  <c:v>562463.50613676943</c:v>
                </c:pt>
                <c:pt idx="145">
                  <c:v>562463.50613676943</c:v>
                </c:pt>
                <c:pt idx="146">
                  <c:v>562463.50613676943</c:v>
                </c:pt>
                <c:pt idx="147">
                  <c:v>562463.50613676943</c:v>
                </c:pt>
                <c:pt idx="148">
                  <c:v>562463.50613676943</c:v>
                </c:pt>
                <c:pt idx="149">
                  <c:v>562463.50613676943</c:v>
                </c:pt>
                <c:pt idx="150">
                  <c:v>562463.50613676943</c:v>
                </c:pt>
                <c:pt idx="151">
                  <c:v>562463.50613676943</c:v>
                </c:pt>
                <c:pt idx="152">
                  <c:v>562463.50613676943</c:v>
                </c:pt>
                <c:pt idx="153">
                  <c:v>562463.50613676943</c:v>
                </c:pt>
                <c:pt idx="154">
                  <c:v>562463.50613676943</c:v>
                </c:pt>
                <c:pt idx="155">
                  <c:v>562463.50613676943</c:v>
                </c:pt>
                <c:pt idx="156">
                  <c:v>562463.50613676943</c:v>
                </c:pt>
                <c:pt idx="157">
                  <c:v>562463.50613676943</c:v>
                </c:pt>
                <c:pt idx="158">
                  <c:v>562463.50613676943</c:v>
                </c:pt>
                <c:pt idx="159">
                  <c:v>562463.50613676943</c:v>
                </c:pt>
                <c:pt idx="160">
                  <c:v>562463.50613676943</c:v>
                </c:pt>
                <c:pt idx="161">
                  <c:v>562463.50613676943</c:v>
                </c:pt>
                <c:pt idx="162">
                  <c:v>562463.50613676943</c:v>
                </c:pt>
                <c:pt idx="163">
                  <c:v>562463.50613676943</c:v>
                </c:pt>
                <c:pt idx="164">
                  <c:v>562463.50613676943</c:v>
                </c:pt>
                <c:pt idx="165">
                  <c:v>562463.50613676943</c:v>
                </c:pt>
                <c:pt idx="166">
                  <c:v>562463.50613676943</c:v>
                </c:pt>
                <c:pt idx="167">
                  <c:v>562463.50613676943</c:v>
                </c:pt>
                <c:pt idx="168">
                  <c:v>562463.50613676943</c:v>
                </c:pt>
                <c:pt idx="169">
                  <c:v>562463.50613676943</c:v>
                </c:pt>
                <c:pt idx="170">
                  <c:v>562463.50613676943</c:v>
                </c:pt>
                <c:pt idx="171">
                  <c:v>562463.50613676943</c:v>
                </c:pt>
                <c:pt idx="172">
                  <c:v>562463.50613676943</c:v>
                </c:pt>
                <c:pt idx="173">
                  <c:v>562463.50613676943</c:v>
                </c:pt>
                <c:pt idx="174">
                  <c:v>562463.50613676943</c:v>
                </c:pt>
                <c:pt idx="175">
                  <c:v>562463.50613676943</c:v>
                </c:pt>
                <c:pt idx="176">
                  <c:v>562463.50613676943</c:v>
                </c:pt>
                <c:pt idx="177">
                  <c:v>562463.50613676943</c:v>
                </c:pt>
                <c:pt idx="178">
                  <c:v>562463.50613676943</c:v>
                </c:pt>
                <c:pt idx="179">
                  <c:v>562463.50613676943</c:v>
                </c:pt>
                <c:pt idx="180">
                  <c:v>562463.50613676943</c:v>
                </c:pt>
                <c:pt idx="181">
                  <c:v>562463.50613676943</c:v>
                </c:pt>
                <c:pt idx="182">
                  <c:v>562463.50613676943</c:v>
                </c:pt>
                <c:pt idx="183">
                  <c:v>562463.50613676943</c:v>
                </c:pt>
                <c:pt idx="184">
                  <c:v>562463.50613676943</c:v>
                </c:pt>
                <c:pt idx="185">
                  <c:v>562463.50613676943</c:v>
                </c:pt>
                <c:pt idx="186">
                  <c:v>562463.50613676943</c:v>
                </c:pt>
                <c:pt idx="187">
                  <c:v>562463.50613676943</c:v>
                </c:pt>
                <c:pt idx="188">
                  <c:v>562463.50613676943</c:v>
                </c:pt>
                <c:pt idx="189">
                  <c:v>562463.50613676943</c:v>
                </c:pt>
                <c:pt idx="190">
                  <c:v>562463.50613676943</c:v>
                </c:pt>
                <c:pt idx="191">
                  <c:v>562463.50613676943</c:v>
                </c:pt>
                <c:pt idx="192">
                  <c:v>562463.50613676943</c:v>
                </c:pt>
                <c:pt idx="193">
                  <c:v>562463.50613676943</c:v>
                </c:pt>
                <c:pt idx="194">
                  <c:v>562463.50613676943</c:v>
                </c:pt>
                <c:pt idx="195">
                  <c:v>562463.50613676943</c:v>
                </c:pt>
                <c:pt idx="196">
                  <c:v>562463.50613676943</c:v>
                </c:pt>
                <c:pt idx="197">
                  <c:v>562463.50613676943</c:v>
                </c:pt>
                <c:pt idx="198">
                  <c:v>562463.50613676943</c:v>
                </c:pt>
                <c:pt idx="199">
                  <c:v>562463.50613676943</c:v>
                </c:pt>
                <c:pt idx="200">
                  <c:v>562463.50613676943</c:v>
                </c:pt>
                <c:pt idx="201">
                  <c:v>562463.50613676943</c:v>
                </c:pt>
                <c:pt idx="202">
                  <c:v>562463.50613676943</c:v>
                </c:pt>
                <c:pt idx="203">
                  <c:v>562463.50613676943</c:v>
                </c:pt>
                <c:pt idx="204">
                  <c:v>562463.50613676943</c:v>
                </c:pt>
                <c:pt idx="205">
                  <c:v>562463.50613676943</c:v>
                </c:pt>
                <c:pt idx="206">
                  <c:v>562463.50613676943</c:v>
                </c:pt>
                <c:pt idx="207">
                  <c:v>562463.50613676943</c:v>
                </c:pt>
                <c:pt idx="208">
                  <c:v>562463.50613676943</c:v>
                </c:pt>
                <c:pt idx="209">
                  <c:v>562463.50613676943</c:v>
                </c:pt>
                <c:pt idx="210">
                  <c:v>562463.50613676943</c:v>
                </c:pt>
                <c:pt idx="211">
                  <c:v>562463.50613676943</c:v>
                </c:pt>
                <c:pt idx="212">
                  <c:v>562463.50613676943</c:v>
                </c:pt>
                <c:pt idx="213">
                  <c:v>562463.50613676943</c:v>
                </c:pt>
                <c:pt idx="214">
                  <c:v>562463.50613676943</c:v>
                </c:pt>
                <c:pt idx="215">
                  <c:v>562463.50613676943</c:v>
                </c:pt>
                <c:pt idx="216">
                  <c:v>562463.50613676943</c:v>
                </c:pt>
                <c:pt idx="217">
                  <c:v>562463.50613676943</c:v>
                </c:pt>
                <c:pt idx="218">
                  <c:v>562463.50613676943</c:v>
                </c:pt>
                <c:pt idx="219">
                  <c:v>562463.50613676943</c:v>
                </c:pt>
                <c:pt idx="220">
                  <c:v>562463.50613676943</c:v>
                </c:pt>
                <c:pt idx="221">
                  <c:v>562463.50613676943</c:v>
                </c:pt>
                <c:pt idx="222">
                  <c:v>562463.50613676943</c:v>
                </c:pt>
                <c:pt idx="223">
                  <c:v>562463.50613676943</c:v>
                </c:pt>
                <c:pt idx="224">
                  <c:v>562463.50613676943</c:v>
                </c:pt>
                <c:pt idx="225">
                  <c:v>562463.50613676943</c:v>
                </c:pt>
                <c:pt idx="226">
                  <c:v>562463.50613676943</c:v>
                </c:pt>
                <c:pt idx="227">
                  <c:v>562463.50613676943</c:v>
                </c:pt>
                <c:pt idx="228">
                  <c:v>562463.50613676943</c:v>
                </c:pt>
                <c:pt idx="229">
                  <c:v>562463.50613676943</c:v>
                </c:pt>
                <c:pt idx="230">
                  <c:v>562463.50613676943</c:v>
                </c:pt>
                <c:pt idx="231">
                  <c:v>562463.50613676943</c:v>
                </c:pt>
                <c:pt idx="232">
                  <c:v>562463.50613676943</c:v>
                </c:pt>
                <c:pt idx="233">
                  <c:v>562463.50613676943</c:v>
                </c:pt>
                <c:pt idx="234">
                  <c:v>562463.50613676943</c:v>
                </c:pt>
                <c:pt idx="235">
                  <c:v>562463.50613676943</c:v>
                </c:pt>
                <c:pt idx="236">
                  <c:v>562463.50613676943</c:v>
                </c:pt>
                <c:pt idx="237">
                  <c:v>562463.50613676943</c:v>
                </c:pt>
                <c:pt idx="238">
                  <c:v>562463.50613676943</c:v>
                </c:pt>
                <c:pt idx="239">
                  <c:v>562463.50613676943</c:v>
                </c:pt>
                <c:pt idx="240">
                  <c:v>562463.50613676943</c:v>
                </c:pt>
                <c:pt idx="241">
                  <c:v>562463.50613676943</c:v>
                </c:pt>
                <c:pt idx="242">
                  <c:v>562463.50613676943</c:v>
                </c:pt>
                <c:pt idx="243">
                  <c:v>562463.50613676943</c:v>
                </c:pt>
                <c:pt idx="244">
                  <c:v>562463.50613676943</c:v>
                </c:pt>
                <c:pt idx="245">
                  <c:v>562463.50613676943</c:v>
                </c:pt>
                <c:pt idx="246">
                  <c:v>562463.50613676943</c:v>
                </c:pt>
                <c:pt idx="247">
                  <c:v>562463.50613676943</c:v>
                </c:pt>
                <c:pt idx="248">
                  <c:v>562463.50613676943</c:v>
                </c:pt>
                <c:pt idx="249">
                  <c:v>562463.50613676943</c:v>
                </c:pt>
                <c:pt idx="250">
                  <c:v>562463.50613676943</c:v>
                </c:pt>
                <c:pt idx="251">
                  <c:v>562463.50613676943</c:v>
                </c:pt>
                <c:pt idx="252">
                  <c:v>562463.50613676943</c:v>
                </c:pt>
                <c:pt idx="253">
                  <c:v>562463.50613676943</c:v>
                </c:pt>
                <c:pt idx="254">
                  <c:v>562463.50613676943</c:v>
                </c:pt>
                <c:pt idx="255">
                  <c:v>562463.50613676943</c:v>
                </c:pt>
                <c:pt idx="256">
                  <c:v>562463.50613676943</c:v>
                </c:pt>
                <c:pt idx="257">
                  <c:v>562463.50613676943</c:v>
                </c:pt>
                <c:pt idx="258">
                  <c:v>562463.50613676943</c:v>
                </c:pt>
                <c:pt idx="259">
                  <c:v>562463.50613676943</c:v>
                </c:pt>
                <c:pt idx="260">
                  <c:v>562463.50613676943</c:v>
                </c:pt>
                <c:pt idx="261">
                  <c:v>562463.50613676943</c:v>
                </c:pt>
                <c:pt idx="262">
                  <c:v>562463.50613676943</c:v>
                </c:pt>
                <c:pt idx="263">
                  <c:v>562463.50613676943</c:v>
                </c:pt>
                <c:pt idx="264">
                  <c:v>562463.50613676943</c:v>
                </c:pt>
                <c:pt idx="265">
                  <c:v>562463.50613676943</c:v>
                </c:pt>
                <c:pt idx="266">
                  <c:v>562463.50613676943</c:v>
                </c:pt>
                <c:pt idx="267">
                  <c:v>562463.50613676943</c:v>
                </c:pt>
                <c:pt idx="268">
                  <c:v>562463.50613676943</c:v>
                </c:pt>
                <c:pt idx="269">
                  <c:v>562463.50613676943</c:v>
                </c:pt>
                <c:pt idx="270">
                  <c:v>562463.50613676943</c:v>
                </c:pt>
                <c:pt idx="271">
                  <c:v>562463.50613676943</c:v>
                </c:pt>
                <c:pt idx="272">
                  <c:v>562463.50613676943</c:v>
                </c:pt>
                <c:pt idx="273">
                  <c:v>562463.50613676943</c:v>
                </c:pt>
                <c:pt idx="274">
                  <c:v>562463.50613676943</c:v>
                </c:pt>
                <c:pt idx="275">
                  <c:v>562463.50613676943</c:v>
                </c:pt>
                <c:pt idx="276">
                  <c:v>562463.50613676943</c:v>
                </c:pt>
                <c:pt idx="277">
                  <c:v>562463.50613676943</c:v>
                </c:pt>
                <c:pt idx="278">
                  <c:v>562463.50613676943</c:v>
                </c:pt>
                <c:pt idx="279">
                  <c:v>562463.50613676943</c:v>
                </c:pt>
                <c:pt idx="280">
                  <c:v>562463.50613676943</c:v>
                </c:pt>
                <c:pt idx="281">
                  <c:v>562463.50613676943</c:v>
                </c:pt>
                <c:pt idx="282">
                  <c:v>562463.50613676943</c:v>
                </c:pt>
                <c:pt idx="283">
                  <c:v>562463.50613676943</c:v>
                </c:pt>
                <c:pt idx="284">
                  <c:v>562463.50613676943</c:v>
                </c:pt>
                <c:pt idx="285">
                  <c:v>562463.50613676943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99-46AA-AC7E-75768BB2DE51}"/>
            </c:ext>
          </c:extLst>
        </c:ser>
        <c:ser>
          <c:idx val="6"/>
          <c:order val="6"/>
          <c:tx>
            <c:strRef>
              <c:f>Cashflow!$B$18</c:f>
              <c:strCache>
                <c:ptCount val="1"/>
                <c:pt idx="0">
                  <c:v>Revenue Recognition Cumulative</c:v>
                </c:pt>
              </c:strCache>
            </c:strRef>
          </c:tx>
          <c:spPr>
            <a:ln w="28575" cap="rnd">
              <a:solidFill>
                <a:schemeClr val="bg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bg2"/>
                </a:solidFill>
              </a:ln>
              <a:effectLst/>
            </c:spPr>
          </c:marker>
          <c:val>
            <c:numRef>
              <c:f>Cashflow!$F$18:$KE$18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278360.20064369746</c:v>
                </c:pt>
                <c:pt idx="13">
                  <c:v>278360.20064369746</c:v>
                </c:pt>
                <c:pt idx="14">
                  <c:v>278360.20064369746</c:v>
                </c:pt>
                <c:pt idx="15">
                  <c:v>278360.20064369746</c:v>
                </c:pt>
                <c:pt idx="16">
                  <c:v>1482043.7425019038</c:v>
                </c:pt>
                <c:pt idx="17">
                  <c:v>1482043.7425019038</c:v>
                </c:pt>
                <c:pt idx="18">
                  <c:v>1482043.7425019038</c:v>
                </c:pt>
                <c:pt idx="19">
                  <c:v>1482043.7425019038</c:v>
                </c:pt>
                <c:pt idx="20">
                  <c:v>1930453.620653607</c:v>
                </c:pt>
                <c:pt idx="21">
                  <c:v>1930453.620653607</c:v>
                </c:pt>
                <c:pt idx="22">
                  <c:v>1930453.620653607</c:v>
                </c:pt>
                <c:pt idx="23">
                  <c:v>1930453.620653607</c:v>
                </c:pt>
                <c:pt idx="24">
                  <c:v>1930453.620653607</c:v>
                </c:pt>
                <c:pt idx="25">
                  <c:v>2045835.2199856234</c:v>
                </c:pt>
                <c:pt idx="26">
                  <c:v>2045835.2199856234</c:v>
                </c:pt>
                <c:pt idx="27">
                  <c:v>2045835.2199856234</c:v>
                </c:pt>
                <c:pt idx="28">
                  <c:v>2045835.2199856234</c:v>
                </c:pt>
                <c:pt idx="29">
                  <c:v>2045835.2199856234</c:v>
                </c:pt>
                <c:pt idx="30">
                  <c:v>2045835.2199856234</c:v>
                </c:pt>
                <c:pt idx="31">
                  <c:v>2045835.2199856234</c:v>
                </c:pt>
                <c:pt idx="32">
                  <c:v>2045835.2199856234</c:v>
                </c:pt>
                <c:pt idx="33">
                  <c:v>2045835.2199856234</c:v>
                </c:pt>
                <c:pt idx="34">
                  <c:v>2045835.2199856234</c:v>
                </c:pt>
                <c:pt idx="35">
                  <c:v>2045835.2199856234</c:v>
                </c:pt>
                <c:pt idx="36">
                  <c:v>2045835.2199856234</c:v>
                </c:pt>
                <c:pt idx="37">
                  <c:v>2045835.2199856234</c:v>
                </c:pt>
                <c:pt idx="38">
                  <c:v>2045835.2199856234</c:v>
                </c:pt>
                <c:pt idx="39">
                  <c:v>2045835.2199856234</c:v>
                </c:pt>
                <c:pt idx="40">
                  <c:v>2045835.2199856234</c:v>
                </c:pt>
                <c:pt idx="41">
                  <c:v>2045835.2199856234</c:v>
                </c:pt>
                <c:pt idx="42">
                  <c:v>2045835.2199856234</c:v>
                </c:pt>
                <c:pt idx="43">
                  <c:v>2045835.2199856234</c:v>
                </c:pt>
                <c:pt idx="44">
                  <c:v>2045835.2199856234</c:v>
                </c:pt>
                <c:pt idx="45">
                  <c:v>2045835.2199856234</c:v>
                </c:pt>
                <c:pt idx="46">
                  <c:v>2045835.2199856234</c:v>
                </c:pt>
                <c:pt idx="47">
                  <c:v>2045835.2199856234</c:v>
                </c:pt>
                <c:pt idx="48">
                  <c:v>2045835.2199856234</c:v>
                </c:pt>
                <c:pt idx="49">
                  <c:v>2045835.2199856234</c:v>
                </c:pt>
                <c:pt idx="50">
                  <c:v>2045835.2199856234</c:v>
                </c:pt>
                <c:pt idx="51">
                  <c:v>2045835.2199856234</c:v>
                </c:pt>
                <c:pt idx="52">
                  <c:v>2045835.2199856234</c:v>
                </c:pt>
                <c:pt idx="53">
                  <c:v>2045835.2199856234</c:v>
                </c:pt>
                <c:pt idx="54">
                  <c:v>2045835.2199856234</c:v>
                </c:pt>
                <c:pt idx="55">
                  <c:v>2045835.2199856234</c:v>
                </c:pt>
                <c:pt idx="56">
                  <c:v>2045835.2199856234</c:v>
                </c:pt>
                <c:pt idx="57">
                  <c:v>2045835.2199856234</c:v>
                </c:pt>
                <c:pt idx="58">
                  <c:v>2045835.2199856234</c:v>
                </c:pt>
                <c:pt idx="59">
                  <c:v>2045835.2199856234</c:v>
                </c:pt>
                <c:pt idx="60">
                  <c:v>2045835.2199856234</c:v>
                </c:pt>
                <c:pt idx="61">
                  <c:v>2045835.2199856234</c:v>
                </c:pt>
                <c:pt idx="62">
                  <c:v>2045835.2199856234</c:v>
                </c:pt>
                <c:pt idx="63">
                  <c:v>2045835.2199856234</c:v>
                </c:pt>
                <c:pt idx="64">
                  <c:v>2045835.2199856234</c:v>
                </c:pt>
                <c:pt idx="65">
                  <c:v>2045835.2199856234</c:v>
                </c:pt>
                <c:pt idx="66">
                  <c:v>2045835.2199856234</c:v>
                </c:pt>
                <c:pt idx="67">
                  <c:v>2045835.2199856234</c:v>
                </c:pt>
                <c:pt idx="68">
                  <c:v>2045835.2199856234</c:v>
                </c:pt>
                <c:pt idx="69">
                  <c:v>2045835.2199856234</c:v>
                </c:pt>
                <c:pt idx="70">
                  <c:v>2045835.2199856234</c:v>
                </c:pt>
                <c:pt idx="71">
                  <c:v>2045835.2199856234</c:v>
                </c:pt>
                <c:pt idx="72">
                  <c:v>2045835.2199856234</c:v>
                </c:pt>
                <c:pt idx="73">
                  <c:v>2045835.2199856234</c:v>
                </c:pt>
                <c:pt idx="74">
                  <c:v>2045835.2199856234</c:v>
                </c:pt>
                <c:pt idx="75">
                  <c:v>2045835.2199856234</c:v>
                </c:pt>
                <c:pt idx="76">
                  <c:v>2045835.2199856234</c:v>
                </c:pt>
                <c:pt idx="77">
                  <c:v>2045835.2199856234</c:v>
                </c:pt>
                <c:pt idx="78">
                  <c:v>2045835.2199856234</c:v>
                </c:pt>
                <c:pt idx="79">
                  <c:v>2045835.2199856234</c:v>
                </c:pt>
                <c:pt idx="80">
                  <c:v>2045835.2199856234</c:v>
                </c:pt>
                <c:pt idx="81">
                  <c:v>2045835.2199856234</c:v>
                </c:pt>
                <c:pt idx="82">
                  <c:v>2045835.2199856234</c:v>
                </c:pt>
                <c:pt idx="83">
                  <c:v>2045835.2199856234</c:v>
                </c:pt>
                <c:pt idx="84">
                  <c:v>2045835.2199856234</c:v>
                </c:pt>
                <c:pt idx="85">
                  <c:v>2045835.2199856234</c:v>
                </c:pt>
                <c:pt idx="86">
                  <c:v>2045835.2199856234</c:v>
                </c:pt>
                <c:pt idx="87">
                  <c:v>2045835.2199856234</c:v>
                </c:pt>
                <c:pt idx="88">
                  <c:v>2045835.2199856234</c:v>
                </c:pt>
                <c:pt idx="89">
                  <c:v>2045835.2199856234</c:v>
                </c:pt>
                <c:pt idx="90">
                  <c:v>2045835.2199856234</c:v>
                </c:pt>
                <c:pt idx="91">
                  <c:v>2045835.2199856234</c:v>
                </c:pt>
                <c:pt idx="92">
                  <c:v>2045835.2199856234</c:v>
                </c:pt>
                <c:pt idx="93">
                  <c:v>2045835.2199856234</c:v>
                </c:pt>
                <c:pt idx="94">
                  <c:v>2045835.2199856234</c:v>
                </c:pt>
                <c:pt idx="95">
                  <c:v>2045835.2199856234</c:v>
                </c:pt>
                <c:pt idx="96">
                  <c:v>2045835.2199856234</c:v>
                </c:pt>
                <c:pt idx="97">
                  <c:v>2045835.2199856234</c:v>
                </c:pt>
                <c:pt idx="98">
                  <c:v>2045835.2199856234</c:v>
                </c:pt>
                <c:pt idx="99">
                  <c:v>2045835.2199856234</c:v>
                </c:pt>
                <c:pt idx="100">
                  <c:v>2045835.2199856234</c:v>
                </c:pt>
                <c:pt idx="101">
                  <c:v>2045835.2199856234</c:v>
                </c:pt>
                <c:pt idx="102">
                  <c:v>2045835.2199856234</c:v>
                </c:pt>
                <c:pt idx="103">
                  <c:v>2045835.2199856234</c:v>
                </c:pt>
                <c:pt idx="104">
                  <c:v>2045835.2199856234</c:v>
                </c:pt>
                <c:pt idx="105">
                  <c:v>2045835.2199856234</c:v>
                </c:pt>
                <c:pt idx="106">
                  <c:v>2045835.2199856234</c:v>
                </c:pt>
                <c:pt idx="107">
                  <c:v>2045835.2199856234</c:v>
                </c:pt>
                <c:pt idx="108">
                  <c:v>2045835.2199856234</c:v>
                </c:pt>
                <c:pt idx="109">
                  <c:v>2045835.2199856234</c:v>
                </c:pt>
                <c:pt idx="110">
                  <c:v>2045835.2199856234</c:v>
                </c:pt>
                <c:pt idx="111">
                  <c:v>2045835.2199856234</c:v>
                </c:pt>
                <c:pt idx="112">
                  <c:v>2045835.2199856234</c:v>
                </c:pt>
                <c:pt idx="113">
                  <c:v>2045835.2199856234</c:v>
                </c:pt>
                <c:pt idx="114">
                  <c:v>2045835.2199856234</c:v>
                </c:pt>
                <c:pt idx="115">
                  <c:v>2045835.2199856234</c:v>
                </c:pt>
                <c:pt idx="116">
                  <c:v>2045835.2199856234</c:v>
                </c:pt>
                <c:pt idx="117">
                  <c:v>2045835.2199856234</c:v>
                </c:pt>
                <c:pt idx="118">
                  <c:v>2045835.2199856234</c:v>
                </c:pt>
                <c:pt idx="119">
                  <c:v>2045835.2199856234</c:v>
                </c:pt>
                <c:pt idx="120">
                  <c:v>2045835.2199856234</c:v>
                </c:pt>
                <c:pt idx="121">
                  <c:v>2045835.2199856234</c:v>
                </c:pt>
                <c:pt idx="122">
                  <c:v>2045835.2199856234</c:v>
                </c:pt>
                <c:pt idx="123">
                  <c:v>2045835.2199856234</c:v>
                </c:pt>
                <c:pt idx="124">
                  <c:v>2045835.2199856234</c:v>
                </c:pt>
                <c:pt idx="125">
                  <c:v>2045835.2199856234</c:v>
                </c:pt>
                <c:pt idx="126">
                  <c:v>2045835.2199856234</c:v>
                </c:pt>
                <c:pt idx="127">
                  <c:v>2045835.2199856234</c:v>
                </c:pt>
                <c:pt idx="128">
                  <c:v>2045835.2199856234</c:v>
                </c:pt>
                <c:pt idx="129">
                  <c:v>2045835.2199856234</c:v>
                </c:pt>
                <c:pt idx="130">
                  <c:v>2045835.2199856234</c:v>
                </c:pt>
                <c:pt idx="131">
                  <c:v>2045835.2199856234</c:v>
                </c:pt>
                <c:pt idx="132">
                  <c:v>2045835.2199856234</c:v>
                </c:pt>
                <c:pt idx="133">
                  <c:v>2045835.2199856234</c:v>
                </c:pt>
                <c:pt idx="134">
                  <c:v>2045835.2199856234</c:v>
                </c:pt>
                <c:pt idx="135">
                  <c:v>2045835.2199856234</c:v>
                </c:pt>
                <c:pt idx="136">
                  <c:v>2045835.2199856234</c:v>
                </c:pt>
                <c:pt idx="137">
                  <c:v>2045835.2199856234</c:v>
                </c:pt>
                <c:pt idx="138">
                  <c:v>2045835.2199856234</c:v>
                </c:pt>
                <c:pt idx="139">
                  <c:v>2045835.2199856234</c:v>
                </c:pt>
                <c:pt idx="140">
                  <c:v>2045835.2199856234</c:v>
                </c:pt>
                <c:pt idx="141">
                  <c:v>2045835.2199856234</c:v>
                </c:pt>
                <c:pt idx="142">
                  <c:v>2045835.2199856234</c:v>
                </c:pt>
                <c:pt idx="143">
                  <c:v>2045835.2199856234</c:v>
                </c:pt>
                <c:pt idx="144">
                  <c:v>2045835.2199856234</c:v>
                </c:pt>
                <c:pt idx="145">
                  <c:v>2045835.2199856234</c:v>
                </c:pt>
                <c:pt idx="146">
                  <c:v>2045835.2199856234</c:v>
                </c:pt>
                <c:pt idx="147">
                  <c:v>2045835.2199856234</c:v>
                </c:pt>
                <c:pt idx="148">
                  <c:v>2045835.2199856234</c:v>
                </c:pt>
                <c:pt idx="149">
                  <c:v>2045835.2199856234</c:v>
                </c:pt>
                <c:pt idx="150">
                  <c:v>2045835.2199856234</c:v>
                </c:pt>
                <c:pt idx="151">
                  <c:v>2045835.2199856234</c:v>
                </c:pt>
                <c:pt idx="152">
                  <c:v>2045835.2199856234</c:v>
                </c:pt>
                <c:pt idx="153">
                  <c:v>2045835.2199856234</c:v>
                </c:pt>
                <c:pt idx="154">
                  <c:v>2045835.2199856234</c:v>
                </c:pt>
                <c:pt idx="155">
                  <c:v>2045835.2199856234</c:v>
                </c:pt>
                <c:pt idx="156">
                  <c:v>2045835.2199856234</c:v>
                </c:pt>
                <c:pt idx="157">
                  <c:v>2045835.2199856234</c:v>
                </c:pt>
                <c:pt idx="158">
                  <c:v>2045835.2199856234</c:v>
                </c:pt>
                <c:pt idx="159">
                  <c:v>2045835.2199856234</c:v>
                </c:pt>
                <c:pt idx="160">
                  <c:v>2045835.2199856234</c:v>
                </c:pt>
                <c:pt idx="161">
                  <c:v>2045835.2199856234</c:v>
                </c:pt>
                <c:pt idx="162">
                  <c:v>2045835.2199856234</c:v>
                </c:pt>
                <c:pt idx="163">
                  <c:v>2045835.2199856234</c:v>
                </c:pt>
                <c:pt idx="164">
                  <c:v>2045835.2199856234</c:v>
                </c:pt>
                <c:pt idx="165">
                  <c:v>2045835.2199856234</c:v>
                </c:pt>
                <c:pt idx="166">
                  <c:v>2045835.2199856234</c:v>
                </c:pt>
                <c:pt idx="167">
                  <c:v>2045835.2199856234</c:v>
                </c:pt>
                <c:pt idx="168">
                  <c:v>2045835.2199856234</c:v>
                </c:pt>
                <c:pt idx="169">
                  <c:v>2045835.2199856234</c:v>
                </c:pt>
                <c:pt idx="170">
                  <c:v>2045835.2199856234</c:v>
                </c:pt>
                <c:pt idx="171">
                  <c:v>2045835.2199856234</c:v>
                </c:pt>
                <c:pt idx="172">
                  <c:v>2045835.2199856234</c:v>
                </c:pt>
                <c:pt idx="173">
                  <c:v>2045835.2199856234</c:v>
                </c:pt>
                <c:pt idx="174">
                  <c:v>2045835.2199856234</c:v>
                </c:pt>
                <c:pt idx="175">
                  <c:v>2045835.2199856234</c:v>
                </c:pt>
                <c:pt idx="176">
                  <c:v>2045835.2199856234</c:v>
                </c:pt>
                <c:pt idx="177">
                  <c:v>2045835.2199856234</c:v>
                </c:pt>
                <c:pt idx="178">
                  <c:v>2045835.2199856234</c:v>
                </c:pt>
                <c:pt idx="179">
                  <c:v>2045835.2199856234</c:v>
                </c:pt>
                <c:pt idx="180">
                  <c:v>2045835.2199856234</c:v>
                </c:pt>
                <c:pt idx="181">
                  <c:v>2045835.2199856234</c:v>
                </c:pt>
                <c:pt idx="182">
                  <c:v>2045835.2199856234</c:v>
                </c:pt>
                <c:pt idx="183">
                  <c:v>2045835.2199856234</c:v>
                </c:pt>
                <c:pt idx="184">
                  <c:v>2045835.2199856234</c:v>
                </c:pt>
                <c:pt idx="185">
                  <c:v>2045835.2199856234</c:v>
                </c:pt>
                <c:pt idx="186">
                  <c:v>2045835.2199856234</c:v>
                </c:pt>
                <c:pt idx="187">
                  <c:v>2045835.2199856234</c:v>
                </c:pt>
                <c:pt idx="188">
                  <c:v>2045835.2199856234</c:v>
                </c:pt>
                <c:pt idx="189">
                  <c:v>2045835.2199856234</c:v>
                </c:pt>
                <c:pt idx="190">
                  <c:v>2045835.2199856234</c:v>
                </c:pt>
                <c:pt idx="191">
                  <c:v>2045835.2199856234</c:v>
                </c:pt>
                <c:pt idx="192">
                  <c:v>2045835.2199856234</c:v>
                </c:pt>
                <c:pt idx="193">
                  <c:v>2045835.2199856234</c:v>
                </c:pt>
                <c:pt idx="194">
                  <c:v>2045835.2199856234</c:v>
                </c:pt>
                <c:pt idx="195">
                  <c:v>2045835.2199856234</c:v>
                </c:pt>
                <c:pt idx="196">
                  <c:v>2045835.2199856234</c:v>
                </c:pt>
                <c:pt idx="197">
                  <c:v>2045835.2199856234</c:v>
                </c:pt>
                <c:pt idx="198">
                  <c:v>2045835.2199856234</c:v>
                </c:pt>
                <c:pt idx="199">
                  <c:v>2045835.2199856234</c:v>
                </c:pt>
                <c:pt idx="200">
                  <c:v>2045835.2199856234</c:v>
                </c:pt>
                <c:pt idx="201">
                  <c:v>2045835.2199856234</c:v>
                </c:pt>
                <c:pt idx="202">
                  <c:v>2045835.2199856234</c:v>
                </c:pt>
                <c:pt idx="203">
                  <c:v>2045835.2199856234</c:v>
                </c:pt>
                <c:pt idx="204">
                  <c:v>2045835.2199856234</c:v>
                </c:pt>
                <c:pt idx="205">
                  <c:v>2045835.2199856234</c:v>
                </c:pt>
                <c:pt idx="206">
                  <c:v>2045835.2199856234</c:v>
                </c:pt>
                <c:pt idx="207">
                  <c:v>2045835.2199856234</c:v>
                </c:pt>
                <c:pt idx="208">
                  <c:v>2045835.2199856234</c:v>
                </c:pt>
                <c:pt idx="209">
                  <c:v>2045835.2199856234</c:v>
                </c:pt>
                <c:pt idx="210">
                  <c:v>2045835.2199856234</c:v>
                </c:pt>
                <c:pt idx="211">
                  <c:v>2045835.2199856234</c:v>
                </c:pt>
                <c:pt idx="212">
                  <c:v>2045835.2199856234</c:v>
                </c:pt>
                <c:pt idx="213">
                  <c:v>2045835.2199856234</c:v>
                </c:pt>
                <c:pt idx="214">
                  <c:v>2045835.2199856234</c:v>
                </c:pt>
                <c:pt idx="215">
                  <c:v>2045835.2199856234</c:v>
                </c:pt>
                <c:pt idx="216">
                  <c:v>2045835.2199856234</c:v>
                </c:pt>
                <c:pt idx="217">
                  <c:v>2045835.2199856234</c:v>
                </c:pt>
                <c:pt idx="218">
                  <c:v>2045835.2199856234</c:v>
                </c:pt>
                <c:pt idx="219">
                  <c:v>2045835.2199856234</c:v>
                </c:pt>
                <c:pt idx="220">
                  <c:v>2045835.2199856234</c:v>
                </c:pt>
                <c:pt idx="221">
                  <c:v>2045835.2199856234</c:v>
                </c:pt>
                <c:pt idx="222">
                  <c:v>2045835.2199856234</c:v>
                </c:pt>
                <c:pt idx="223">
                  <c:v>2045835.2199856234</c:v>
                </c:pt>
                <c:pt idx="224">
                  <c:v>2045835.2199856234</c:v>
                </c:pt>
                <c:pt idx="225">
                  <c:v>2045835.2199856234</c:v>
                </c:pt>
                <c:pt idx="226">
                  <c:v>2045835.2199856234</c:v>
                </c:pt>
                <c:pt idx="227">
                  <c:v>2045835.2199856234</c:v>
                </c:pt>
                <c:pt idx="228">
                  <c:v>2045835.2199856234</c:v>
                </c:pt>
                <c:pt idx="229">
                  <c:v>2045835.2199856234</c:v>
                </c:pt>
                <c:pt idx="230">
                  <c:v>2045835.2199856234</c:v>
                </c:pt>
                <c:pt idx="231">
                  <c:v>2045835.2199856234</c:v>
                </c:pt>
                <c:pt idx="232">
                  <c:v>2045835.2199856234</c:v>
                </c:pt>
                <c:pt idx="233">
                  <c:v>2045835.2199856234</c:v>
                </c:pt>
                <c:pt idx="234">
                  <c:v>2045835.2199856234</c:v>
                </c:pt>
                <c:pt idx="235">
                  <c:v>2045835.2199856234</c:v>
                </c:pt>
                <c:pt idx="236">
                  <c:v>2045835.2199856234</c:v>
                </c:pt>
                <c:pt idx="237">
                  <c:v>2045835.2199856234</c:v>
                </c:pt>
                <c:pt idx="238">
                  <c:v>2045835.2199856234</c:v>
                </c:pt>
                <c:pt idx="239">
                  <c:v>2045835.2199856234</c:v>
                </c:pt>
                <c:pt idx="240">
                  <c:v>2045835.2199856234</c:v>
                </c:pt>
                <c:pt idx="241">
                  <c:v>2045835.2199856234</c:v>
                </c:pt>
                <c:pt idx="242">
                  <c:v>2045835.2199856234</c:v>
                </c:pt>
                <c:pt idx="243">
                  <c:v>2045835.2199856234</c:v>
                </c:pt>
                <c:pt idx="244">
                  <c:v>2045835.2199856234</c:v>
                </c:pt>
                <c:pt idx="245">
                  <c:v>2045835.2199856234</c:v>
                </c:pt>
                <c:pt idx="246">
                  <c:v>2045835.2199856234</c:v>
                </c:pt>
                <c:pt idx="247">
                  <c:v>2045835.2199856234</c:v>
                </c:pt>
                <c:pt idx="248">
                  <c:v>2045835.2199856234</c:v>
                </c:pt>
                <c:pt idx="249">
                  <c:v>2045835.2199856234</c:v>
                </c:pt>
                <c:pt idx="250">
                  <c:v>2045835.2199856234</c:v>
                </c:pt>
                <c:pt idx="251">
                  <c:v>2045835.2199856234</c:v>
                </c:pt>
                <c:pt idx="252">
                  <c:v>2045835.2199856234</c:v>
                </c:pt>
                <c:pt idx="253">
                  <c:v>2045835.2199856234</c:v>
                </c:pt>
                <c:pt idx="254">
                  <c:v>2045835.2199856234</c:v>
                </c:pt>
                <c:pt idx="255">
                  <c:v>2045835.2199856234</c:v>
                </c:pt>
                <c:pt idx="256">
                  <c:v>2045835.2199856234</c:v>
                </c:pt>
                <c:pt idx="257">
                  <c:v>2045835.2199856234</c:v>
                </c:pt>
                <c:pt idx="258">
                  <c:v>2045835.2199856234</c:v>
                </c:pt>
                <c:pt idx="259">
                  <c:v>2045835.2199856234</c:v>
                </c:pt>
                <c:pt idx="260">
                  <c:v>2045835.2199856234</c:v>
                </c:pt>
                <c:pt idx="261">
                  <c:v>2045835.2199856234</c:v>
                </c:pt>
                <c:pt idx="262">
                  <c:v>2045835.2199856234</c:v>
                </c:pt>
                <c:pt idx="263">
                  <c:v>2045835.2199856234</c:v>
                </c:pt>
                <c:pt idx="264">
                  <c:v>2045835.2199856234</c:v>
                </c:pt>
                <c:pt idx="265">
                  <c:v>2045835.2199856234</c:v>
                </c:pt>
                <c:pt idx="266">
                  <c:v>2045835.2199856234</c:v>
                </c:pt>
                <c:pt idx="267">
                  <c:v>2045835.2199856234</c:v>
                </c:pt>
                <c:pt idx="268">
                  <c:v>2045835.2199856234</c:v>
                </c:pt>
                <c:pt idx="269">
                  <c:v>2045835.2199856234</c:v>
                </c:pt>
                <c:pt idx="270">
                  <c:v>2045835.2199856234</c:v>
                </c:pt>
                <c:pt idx="271">
                  <c:v>2045835.2199856234</c:v>
                </c:pt>
                <c:pt idx="272">
                  <c:v>2045835.2199856234</c:v>
                </c:pt>
                <c:pt idx="273">
                  <c:v>2045835.2199856234</c:v>
                </c:pt>
                <c:pt idx="274">
                  <c:v>2045835.2199856234</c:v>
                </c:pt>
                <c:pt idx="275">
                  <c:v>2045835.2199856234</c:v>
                </c:pt>
                <c:pt idx="276">
                  <c:v>2045835.2199856234</c:v>
                </c:pt>
                <c:pt idx="277">
                  <c:v>2045835.2199856234</c:v>
                </c:pt>
                <c:pt idx="278">
                  <c:v>2045835.2199856234</c:v>
                </c:pt>
                <c:pt idx="279">
                  <c:v>2045835.2199856234</c:v>
                </c:pt>
                <c:pt idx="280">
                  <c:v>2045835.2199856234</c:v>
                </c:pt>
                <c:pt idx="281">
                  <c:v>2045835.2199856234</c:v>
                </c:pt>
                <c:pt idx="282">
                  <c:v>2045835.2199856234</c:v>
                </c:pt>
                <c:pt idx="283">
                  <c:v>2045835.2199856234</c:v>
                </c:pt>
                <c:pt idx="284">
                  <c:v>2045835.2199856234</c:v>
                </c:pt>
                <c:pt idx="285">
                  <c:v>2045835.2199856234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4-4F16-ADEC-42686B48F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262920"/>
        <c:axId val="359265544"/>
        <c:extLst/>
      </c:lineChart>
      <c:dateAx>
        <c:axId val="359262920"/>
        <c:scaling>
          <c:orientation val="minMax"/>
          <c:max val="46196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265544"/>
        <c:crosses val="autoZero"/>
        <c:auto val="1"/>
        <c:lblOffset val="100"/>
        <c:baseTimeUnit val="days"/>
        <c:majorUnit val="8"/>
        <c:majorTimeUnit val="days"/>
      </c:dateAx>
      <c:valAx>
        <c:axId val="35926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100" b="1"/>
                  <a:t>Rand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R&quot;* #,##0_);_(&quot;R&quot;* \(#,##0\);_(&quot;R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26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968286403402387"/>
          <c:y val="0.32915037221048732"/>
          <c:w val="0.21128955229882385"/>
          <c:h val="0.475678041330202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BE01C0C-9AAA-4701-AD7E-23F4F7FD6C65}">
  <sheetPr codeName="Chart8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1195300</xdr:colOff>
      <xdr:row>2</xdr:row>
      <xdr:rowOff>25886</xdr:rowOff>
    </xdr:from>
    <xdr:to>
      <xdr:col>8</xdr:col>
      <xdr:colOff>1154219</xdr:colOff>
      <xdr:row>6</xdr:row>
      <xdr:rowOff>145117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AAB98E-E6E7-4E61-81C1-18E0BE434FCC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5800" y="394186"/>
          <a:ext cx="2670369" cy="85583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10</xdr:col>
      <xdr:colOff>170339</xdr:colOff>
      <xdr:row>0</xdr:row>
      <xdr:rowOff>0</xdr:rowOff>
    </xdr:from>
    <xdr:to>
      <xdr:col>11</xdr:col>
      <xdr:colOff>469415</xdr:colOff>
      <xdr:row>5</xdr:row>
      <xdr:rowOff>163419</xdr:rowOff>
    </xdr:to>
    <xdr:pic macro="[0]!PDFActiveSheetNoPrompt">
      <xdr:nvPicPr>
        <xdr:cNvPr id="3" name="Picture 2">
          <a:extLst>
            <a:ext uri="{FF2B5EF4-FFF2-40B4-BE49-F238E27FC236}">
              <a16:creationId xmlns:a16="http://schemas.microsoft.com/office/drawing/2014/main" id="{90667E9D-BFE4-4219-9EBA-1C4C07B1B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26939" y="0"/>
          <a:ext cx="940426" cy="10841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1195300</xdr:colOff>
      <xdr:row>2</xdr:row>
      <xdr:rowOff>25886</xdr:rowOff>
    </xdr:from>
    <xdr:to>
      <xdr:col>8</xdr:col>
      <xdr:colOff>1151044</xdr:colOff>
      <xdr:row>6</xdr:row>
      <xdr:rowOff>141942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13FB58-2D93-431A-85CF-8EDC40366C1C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9535" y="399415"/>
          <a:ext cx="2673918" cy="8631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10</xdr:col>
      <xdr:colOff>170339</xdr:colOff>
      <xdr:row>0</xdr:row>
      <xdr:rowOff>0</xdr:rowOff>
    </xdr:from>
    <xdr:to>
      <xdr:col>11</xdr:col>
      <xdr:colOff>466240</xdr:colOff>
      <xdr:row>5</xdr:row>
      <xdr:rowOff>160244</xdr:rowOff>
    </xdr:to>
    <xdr:pic macro="[0]!PDFActiveSheetNoPrompt">
      <xdr:nvPicPr>
        <xdr:cNvPr id="3" name="Picture 2">
          <a:extLst>
            <a:ext uri="{FF2B5EF4-FFF2-40B4-BE49-F238E27FC236}">
              <a16:creationId xmlns:a16="http://schemas.microsoft.com/office/drawing/2014/main" id="{DED7DE30-1333-4A34-88A0-36C2A5B5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7964" y="0"/>
          <a:ext cx="943601" cy="10873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211667</xdr:colOff>
      <xdr:row>21</xdr:row>
      <xdr:rowOff>153362</xdr:rowOff>
    </xdr:from>
    <xdr:to>
      <xdr:col>38</xdr:col>
      <xdr:colOff>288635</xdr:colOff>
      <xdr:row>53</xdr:row>
      <xdr:rowOff>74084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921848-5422-119B-E3EC-AB67F03C3F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12981214" cy="941614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2E3662-C76F-1FD9-91B2-5B93327D52F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mergy.sharepoint.com/sites/Emergent_Energy/Shared%20Documents/Emergent%20Energy%20Team%20Folder/04%20-%20Operations/4.%20Projects/5_Tracker%20Revisions/PO%20Generator%20Database.xlsm" TargetMode="External"/><Relationship Id="rId1" Type="http://schemas.openxmlformats.org/officeDocument/2006/relationships/externalLinkPath" Target="https://emergy.sharepoint.com/sites/Emergent_Energy/Shared%20Documents/Emergent%20Energy%20Team%20Folder/04%20-%20Operations/4.%20Projects/5_Tracker%20Revisions/PO%20Generator%20Data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3m4z4FBXuUWKihnbVhkwxPLsz5pHQHtNnshZK1GlK_crT5arPCAlRKVWkTFrsF_q" itemId="01VFF6QELRXYWRF6RAMNG3PZ6NUNOX7B3U">
      <xxl21:absoluteUrl r:id="rId2"/>
    </xxl21:alternateUrls>
    <sheetNames>
      <sheetName val="Instructions"/>
      <sheetName val="Database"/>
      <sheetName val="PO Generator Database"/>
    </sheetNames>
    <sheetDataSet>
      <sheetData sheetId="0"/>
      <sheetData sheetId="1">
        <row r="1">
          <cell r="A1" t="str">
            <v>Supplier</v>
          </cell>
          <cell r="B1" t="str">
            <v>VAT#</v>
          </cell>
          <cell r="C1" t="str">
            <v>Address part 1</v>
          </cell>
          <cell r="D1" t="str">
            <v>Address part 2</v>
          </cell>
          <cell r="E1" t="str">
            <v>Contact</v>
          </cell>
          <cell r="F1" t="str">
            <v>Contact no.</v>
          </cell>
        </row>
        <row r="2">
          <cell r="A2" t="str">
            <v>Aarden Solar</v>
          </cell>
          <cell r="B2">
            <v>4790308813</v>
          </cell>
          <cell r="C2" t="str">
            <v>Building 7C, Platinum Park, 40 Tsessebe Crescent</v>
          </cell>
          <cell r="D2" t="str">
            <v>Corporate Park Midrand 1683</v>
          </cell>
          <cell r="E2" t="str">
            <v>Tiaan Botha</v>
          </cell>
          <cell r="F2" t="str">
            <v>072 739 0366</v>
          </cell>
        </row>
        <row r="3">
          <cell r="A3" t="str">
            <v>Accuenergy</v>
          </cell>
          <cell r="B3">
            <v>4430289142</v>
          </cell>
          <cell r="C3" t="str">
            <v>Castle Walk Corporate Park, Block B</v>
          </cell>
          <cell r="D3" t="str">
            <v>Pretoria Gauteng, 0181</v>
          </cell>
          <cell r="E3" t="str">
            <v>Rista Benjamin</v>
          </cell>
          <cell r="F3" t="str">
            <v>084 205 9938</v>
          </cell>
        </row>
        <row r="4">
          <cell r="A4" t="str">
            <v>ACES Africa</v>
          </cell>
          <cell r="B4">
            <v>4450281565</v>
          </cell>
          <cell r="C4" t="str">
            <v>Triangle Point, 13 Urtel Cresent</v>
          </cell>
          <cell r="D4" t="str">
            <v>Somerset West, Cape Town, 7130</v>
          </cell>
          <cell r="E4" t="str">
            <v>Anre Gous</v>
          </cell>
          <cell r="F4" t="str">
            <v>021 852 4692</v>
          </cell>
        </row>
        <row r="5">
          <cell r="A5" t="str">
            <v>Active Rope, ATS Africa</v>
          </cell>
          <cell r="B5">
            <v>4790288015</v>
          </cell>
          <cell r="C5" t="str">
            <v>109 Charlotte Maxeke Street</v>
          </cell>
          <cell r="D5" t="str">
            <v>Pretoria West, 0183</v>
          </cell>
          <cell r="E5" t="str">
            <v>Silence</v>
          </cell>
          <cell r="F5" t="str">
            <v>082 597 1222</v>
          </cell>
        </row>
        <row r="6">
          <cell r="A6" t="str">
            <v>ADHOC Architectural Documentation</v>
          </cell>
          <cell r="B6">
            <v>4160305241</v>
          </cell>
          <cell r="C6" t="str">
            <v>2 Bayswater bend, Parklands</v>
          </cell>
          <cell r="D6" t="str">
            <v>Cape Town, 7441</v>
          </cell>
          <cell r="E6" t="str">
            <v>Chris Long</v>
          </cell>
          <cell r="F6" t="str">
            <v>082 975 9693</v>
          </cell>
        </row>
        <row r="7">
          <cell r="A7" t="str">
            <v>Alifab Aluminium Fabricators</v>
          </cell>
          <cell r="B7" t="str">
            <v>TBC</v>
          </cell>
          <cell r="C7" t="str">
            <v>7b, 43 Yarborough Rd, Mkondeni</v>
          </cell>
          <cell r="D7" t="str">
            <v>Pietermaritzburg, 3200</v>
          </cell>
          <cell r="E7" t="str">
            <v>Richard Wood</v>
          </cell>
          <cell r="F7" t="str">
            <v xml:space="preserve"> 072 303 6668</v>
          </cell>
        </row>
        <row r="8">
          <cell r="A8" t="str">
            <v>Apex Inverters</v>
          </cell>
          <cell r="B8">
            <v>4770267849</v>
          </cell>
          <cell r="C8" t="str">
            <v>97 Garfield Road</v>
          </cell>
          <cell r="D8" t="str">
            <v>Kenilworth, Cape Town, 7708</v>
          </cell>
          <cell r="E8" t="str">
            <v>Stanley</v>
          </cell>
          <cell r="F8" t="str">
            <v>084 510 9837</v>
          </cell>
        </row>
        <row r="9">
          <cell r="A9" t="str">
            <v>Ascend Rope Access</v>
          </cell>
          <cell r="B9">
            <v>4780279248</v>
          </cell>
          <cell r="C9" t="str">
            <v>97 Garfield Road</v>
          </cell>
          <cell r="D9" t="str">
            <v>Cape Town</v>
          </cell>
          <cell r="E9" t="str">
            <v>Johon Craven</v>
          </cell>
          <cell r="F9">
            <v>837833039</v>
          </cell>
        </row>
        <row r="10">
          <cell r="A10" t="str">
            <v>Barrier Projects</v>
          </cell>
          <cell r="B10">
            <v>4330300551</v>
          </cell>
          <cell r="C10" t="str">
            <v>80 Willow Road, Stikland</v>
          </cell>
          <cell r="D10" t="str">
            <v>Cape Town</v>
          </cell>
          <cell r="E10" t="str">
            <v>Johon Craven</v>
          </cell>
          <cell r="F10">
            <v>837833039</v>
          </cell>
        </row>
        <row r="11">
          <cell r="A11" t="str">
            <v>BDL Solar Solutions</v>
          </cell>
          <cell r="B11">
            <v>4220284824</v>
          </cell>
          <cell r="C11" t="str">
            <v>PLOT 431 SARDINIA BAY</v>
          </cell>
          <cell r="D11" t="str">
            <v>PORT ELIZABETH, Eastern Cape</v>
          </cell>
          <cell r="E11" t="str">
            <v>Brent de Lange</v>
          </cell>
          <cell r="F11" t="str">
            <v>082 779 3891</v>
          </cell>
        </row>
        <row r="12">
          <cell r="A12" t="str">
            <v>Bolt &amp; Nut Centre</v>
          </cell>
          <cell r="B12">
            <v>4550117818</v>
          </cell>
          <cell r="C12" t="str">
            <v>56 Neptune Street</v>
          </cell>
          <cell r="D12" t="str">
            <v>Paarden Eiland, 7420</v>
          </cell>
          <cell r="E12" t="str">
            <v>info@bnc.co.za</v>
          </cell>
          <cell r="F12" t="str">
            <v>021 511 2087</v>
          </cell>
        </row>
        <row r="13">
          <cell r="A13" t="str">
            <v>Brice &amp; Co.</v>
          </cell>
          <cell r="B13" t="str">
            <v>TBC</v>
          </cell>
          <cell r="C13" t="str">
            <v>16 Fisher Avenue</v>
          </cell>
          <cell r="D13" t="str">
            <v>Epping Industria 1</v>
          </cell>
          <cell r="E13" t="str">
            <v>Richard Brice</v>
          </cell>
          <cell r="F13" t="str">
            <v>021 534 5221</v>
          </cell>
        </row>
        <row r="14">
          <cell r="A14" t="str">
            <v>Bundu Power</v>
          </cell>
          <cell r="B14">
            <v>9117020165</v>
          </cell>
          <cell r="C14" t="str">
            <v>2 Bravo Road</v>
          </cell>
          <cell r="D14" t="str">
            <v>Jet Park Boksburg</v>
          </cell>
          <cell r="E14" t="str">
            <v>Rashaad Landsman</v>
          </cell>
          <cell r="F14" t="str">
            <v>011 397 7373</v>
          </cell>
        </row>
        <row r="15">
          <cell r="A15" t="str">
            <v>Caracal Engineering</v>
          </cell>
          <cell r="B15">
            <v>4250281732</v>
          </cell>
          <cell r="C15" t="str">
            <v>7 Quince Street, Milpark</v>
          </cell>
          <cell r="D15" t="str">
            <v>Johannesburg, 2092</v>
          </cell>
          <cell r="E15" t="str">
            <v>Nathan Venter</v>
          </cell>
          <cell r="F15" t="str">
            <v>010 900 1644</v>
          </cell>
        </row>
        <row r="16">
          <cell r="A16" t="str">
            <v>Cosmic Sun</v>
          </cell>
          <cell r="B16">
            <v>4330314321</v>
          </cell>
          <cell r="C16" t="str">
            <v>Unit 2 Moncoa Square</v>
          </cell>
          <cell r="D16" t="str">
            <v>Durbanville, 7551</v>
          </cell>
          <cell r="E16" t="str">
            <v>Simon Muller</v>
          </cell>
          <cell r="F16" t="str">
            <v>072 110 8200</v>
          </cell>
        </row>
        <row r="17">
          <cell r="A17" t="str">
            <v>De Kock &amp; Cronje MV Switchgear</v>
          </cell>
          <cell r="B17">
            <v>4520235161</v>
          </cell>
          <cell r="C17" t="str">
            <v>Unit 1 &amp; 2 Buildevco Park</v>
          </cell>
          <cell r="D17" t="str">
            <v>Brackenfell 7530</v>
          </cell>
          <cell r="E17" t="str">
            <v xml:space="preserve">Elana Ellis    </v>
          </cell>
          <cell r="F17" t="str">
            <v>021 982 7724</v>
          </cell>
        </row>
        <row r="18">
          <cell r="A18" t="str">
            <v>Dock-Land Suppliers</v>
          </cell>
          <cell r="B18">
            <v>4160166163</v>
          </cell>
          <cell r="C18" t="str">
            <v>1 Regent park, Platinum Street</v>
          </cell>
          <cell r="D18" t="str">
            <v>Montague Gardens, 7441</v>
          </cell>
          <cell r="E18" t="str">
            <v>Bradley Russell</v>
          </cell>
          <cell r="F18" t="str">
            <v>082 894 8837</v>
          </cell>
        </row>
        <row r="19">
          <cell r="A19" t="str">
            <v>E&amp;M Plant and Transport</v>
          </cell>
          <cell r="B19">
            <v>4540281393</v>
          </cell>
          <cell r="C19" t="str">
            <v>7 Busschau Rd, Fairleads</v>
          </cell>
          <cell r="D19" t="str">
            <v>Benoni, 1512</v>
          </cell>
          <cell r="E19" t="str">
            <v xml:space="preserve">Tilana Klopper </v>
          </cell>
          <cell r="F19" t="str">
            <v>011 979 7755</v>
          </cell>
        </row>
        <row r="20">
          <cell r="A20" t="str">
            <v>Eastern Switchgear</v>
          </cell>
          <cell r="B20">
            <v>4090105711</v>
          </cell>
          <cell r="C20" t="str">
            <v>Pax Street</v>
          </cell>
          <cell r="D20" t="str">
            <v>PORT ELIZABETH, Eastern Cape</v>
          </cell>
          <cell r="E20" t="str">
            <v>Mark</v>
          </cell>
          <cell r="F20" t="str">
            <v>082 372 3813</v>
          </cell>
        </row>
        <row r="21">
          <cell r="A21" t="str">
            <v>ELUM Energy</v>
          </cell>
          <cell r="B21" t="str">
            <v>TBC</v>
          </cell>
          <cell r="C21" t="str">
            <v>4 Kebble St, Sidwell</v>
          </cell>
          <cell r="D21" t="str">
            <v>Gqeberha, 6061</v>
          </cell>
          <cell r="E21" t="str">
            <v>Christiaan Carstens</v>
          </cell>
          <cell r="F21" t="str">
            <v>041 451 4359</v>
          </cell>
        </row>
        <row r="22">
          <cell r="A22" t="str">
            <v>Emerce Africa</v>
          </cell>
          <cell r="B22">
            <v>4820266494</v>
          </cell>
          <cell r="C22" t="str">
            <v>5th Floor, The Palms, 145 Sir Lowry Road</v>
          </cell>
          <cell r="D22" t="str">
            <v>Woodstock, Cape Town, 7925</v>
          </cell>
          <cell r="E22" t="str">
            <v>sales@emerce-africa.co.za</v>
          </cell>
          <cell r="F22" t="str">
            <v>082 797 7441</v>
          </cell>
        </row>
        <row r="23">
          <cell r="A23" t="str">
            <v>Frontline Electrical</v>
          </cell>
          <cell r="B23">
            <v>4330168925</v>
          </cell>
          <cell r="C23" t="str">
            <v>Unit 8, 100 Victoria Street</v>
          </cell>
          <cell r="D23" t="str">
            <v>Somerset West, Cape Town, 7129</v>
          </cell>
          <cell r="E23" t="str">
            <v>Vaughan</v>
          </cell>
          <cell r="F23" t="str">
            <v>021 851 5907</v>
          </cell>
        </row>
        <row r="24">
          <cell r="A24" t="str">
            <v>Grunlite Energy</v>
          </cell>
          <cell r="B24" t="str">
            <v>4950256638</v>
          </cell>
          <cell r="C24" t="str">
            <v>https://grunlite.com/</v>
          </cell>
          <cell r="D24" t="str">
            <v>Somerset West, Cape Town, 7129</v>
          </cell>
          <cell r="E24" t="str">
            <v>Lainey Godrich</v>
          </cell>
          <cell r="F24" t="str">
            <v>068 196 4586</v>
          </cell>
        </row>
        <row r="25">
          <cell r="A25" t="str">
            <v>Happy Solar</v>
          </cell>
          <cell r="B25">
            <v>4670223298</v>
          </cell>
          <cell r="C25" t="str">
            <v>12-14 Kew Road</v>
          </cell>
          <cell r="D25" t="str">
            <v>Mowbray, Cape Town , 7700</v>
          </cell>
          <cell r="E25" t="str">
            <v>Aniqah Naidoo</v>
          </cell>
          <cell r="F25" t="str">
            <v>081 791 1175</v>
          </cell>
        </row>
        <row r="26">
          <cell r="A26" t="str">
            <v>Herholdts</v>
          </cell>
          <cell r="B26">
            <v>4610107858</v>
          </cell>
          <cell r="C26" t="str">
            <v>5th Street Unit 2&amp;3 Fifth Street Park</v>
          </cell>
          <cell r="D26" t="str">
            <v>Montague, Cape Town, 7441</v>
          </cell>
          <cell r="E26" t="str">
            <v>Lainey Godrich</v>
          </cell>
          <cell r="F26" t="str">
            <v>068 196 4586</v>
          </cell>
        </row>
        <row r="27">
          <cell r="A27" t="str">
            <v>Higeco</v>
          </cell>
          <cell r="B27">
            <v>4840168308</v>
          </cell>
          <cell r="C27" t="str">
            <v>Building 6, Fairways Office Park, 11 Niblick Way</v>
          </cell>
          <cell r="D27" t="str">
            <v>Firgrove Rural, Somerset West</v>
          </cell>
          <cell r="E27" t="str">
            <v>Vincent van der Merwe</v>
          </cell>
          <cell r="F27" t="str">
            <v>072 366 0187</v>
          </cell>
        </row>
        <row r="28">
          <cell r="A28" t="str">
            <v>HiSafe (Pty) Ltd</v>
          </cell>
          <cell r="B28">
            <v>4610107858</v>
          </cell>
          <cell r="C28" t="str">
            <v>19 Parakeet Str</v>
          </cell>
          <cell r="D28" t="str">
            <v>Sunnydale Cape Town</v>
          </cell>
          <cell r="E28" t="str">
            <v>Tjaard Vos</v>
          </cell>
          <cell r="F28" t="str">
            <v>084 717 9621</v>
          </cell>
        </row>
        <row r="29">
          <cell r="A29" t="str">
            <v>Infantry Security Solutions (Pty) Ltd</v>
          </cell>
          <cell r="B29">
            <v>4120301470</v>
          </cell>
          <cell r="C29" t="str">
            <v>Waterfall Office Park,Mac Mac RoadUnit 1 Howick Garde</v>
          </cell>
          <cell r="D29" t="str">
            <v>Midrand Gauteng</v>
          </cell>
          <cell r="E29" t="str">
            <v>Clinton McCabe</v>
          </cell>
          <cell r="F29" t="str">
            <v>011 315 5055</v>
          </cell>
        </row>
        <row r="30">
          <cell r="A30" t="str">
            <v>Intellicomms</v>
          </cell>
          <cell r="B30">
            <v>4440294975</v>
          </cell>
          <cell r="C30" t="str">
            <v>19 Parakeet Str</v>
          </cell>
          <cell r="D30" t="str">
            <v>Sunnydale Cape Town</v>
          </cell>
          <cell r="E30" t="str">
            <v>Tjaard Vos</v>
          </cell>
          <cell r="F30" t="str">
            <v>084 717 9621</v>
          </cell>
        </row>
        <row r="31">
          <cell r="A31" t="str">
            <v>JA Electrical</v>
          </cell>
          <cell r="B31">
            <v>4010266999</v>
          </cell>
          <cell r="C31" t="str">
            <v>15-51 Lintvelt Road, Wonderboom A/H</v>
          </cell>
          <cell r="D31" t="str">
            <v>Pretoria</v>
          </cell>
          <cell r="E31" t="str">
            <v>Johan Snyman</v>
          </cell>
          <cell r="F31" t="str">
            <v>079 510 6633</v>
          </cell>
        </row>
        <row r="32">
          <cell r="A32" t="str">
            <v>Jinko</v>
          </cell>
          <cell r="B32" t="str">
            <v>TBC</v>
          </cell>
          <cell r="C32" t="str">
            <v>No. 1, Lane 1466, Shenchang Road, Minhang District</v>
          </cell>
          <cell r="D32" t="str">
            <v>Shanghai, China 201106</v>
          </cell>
          <cell r="E32" t="str">
            <v>Louis Bell</v>
          </cell>
          <cell r="F32" t="str">
            <v>060 509 6293</v>
          </cell>
        </row>
        <row r="33">
          <cell r="A33" t="str">
            <v>Kathea</v>
          </cell>
          <cell r="B33">
            <v>4860261702</v>
          </cell>
          <cell r="C33" t="str">
            <v>1st Floor, 7 Naivasha Road</v>
          </cell>
          <cell r="D33" t="str">
            <v>Sunninghill, Johannesburg, 2191</v>
          </cell>
          <cell r="E33" t="str">
            <v>Scott Corry</v>
          </cell>
          <cell r="F33" t="str">
            <v>011 844 9999</v>
          </cell>
        </row>
        <row r="34">
          <cell r="A34" t="str">
            <v>Krannich Solar Energy</v>
          </cell>
          <cell r="B34">
            <v>4950256638</v>
          </cell>
          <cell r="C34" t="str">
            <v>602 Touchstone House, 7 Bree Street</v>
          </cell>
          <cell r="D34" t="str">
            <v>Cape Town, 8000</v>
          </cell>
          <cell r="E34" t="str">
            <v>Jandre Swanepoel</v>
          </cell>
          <cell r="F34" t="str">
            <v xml:space="preserve">021 276 5490 </v>
          </cell>
        </row>
        <row r="35">
          <cell r="A35" t="str">
            <v>L&amp;B Consulting Engineering</v>
          </cell>
          <cell r="B35">
            <v>4370292122</v>
          </cell>
          <cell r="C35" t="str">
            <v>80 Amandel Ave</v>
          </cell>
          <cell r="D35" t="str">
            <v>Val-De-Grace, Pretoria, 0184</v>
          </cell>
          <cell r="E35" t="str">
            <v>Christo Lombard</v>
          </cell>
          <cell r="F35" t="str">
            <v>082 661 1428</v>
          </cell>
        </row>
        <row r="36">
          <cell r="A36" t="str">
            <v>Leading Edge Energy</v>
          </cell>
          <cell r="B36">
            <v>4950256638</v>
          </cell>
          <cell r="C36" t="str">
            <v>116 Fynbos, Sunningdale</v>
          </cell>
          <cell r="D36" t="str">
            <v>Cape Town, 7441</v>
          </cell>
          <cell r="E36" t="str">
            <v xml:space="preserve">Borrie Botha </v>
          </cell>
          <cell r="F36" t="str">
            <v>081 049 3857</v>
          </cell>
        </row>
        <row r="37">
          <cell r="A37" t="str">
            <v>Letaba Logistics</v>
          </cell>
          <cell r="B37">
            <v>4270243415</v>
          </cell>
          <cell r="C37" t="str">
            <v>1 Bokmakierie Road</v>
          </cell>
          <cell r="D37" t="str">
            <v>Joostenberg Vlakte, Cape Town, 7570</v>
          </cell>
          <cell r="E37" t="str">
            <v>Derrick</v>
          </cell>
          <cell r="F37" t="str">
            <v>074 291 4571</v>
          </cell>
        </row>
        <row r="38">
          <cell r="A38" t="str">
            <v>Lintels for Africa</v>
          </cell>
          <cell r="B38">
            <v>4290241043</v>
          </cell>
          <cell r="C38" t="str">
            <v xml:space="preserve">Farm 152 Portion 4, Klein-Vissershok Road </v>
          </cell>
          <cell r="D38" t="str">
            <v>Tableview, Cape Town, 7435</v>
          </cell>
          <cell r="E38" t="str">
            <v>Cheri van Emmenes</v>
          </cell>
          <cell r="F38" t="str">
            <v>021 557 0942</v>
          </cell>
        </row>
        <row r="39">
          <cell r="A39" t="str">
            <v>LMS Electrical</v>
          </cell>
          <cell r="B39">
            <v>4390281287</v>
          </cell>
          <cell r="C39" t="str">
            <v>Unit F2, Infospace Metro Works, Strydom Works</v>
          </cell>
          <cell r="D39" t="str">
            <v>Strydom Park, Johannesburg, 2169</v>
          </cell>
          <cell r="E39" t="str">
            <v>Luke Spolander</v>
          </cell>
          <cell r="F39" t="str">
            <v>010 065 0994</v>
          </cell>
        </row>
        <row r="40">
          <cell r="A40" t="str">
            <v>Luken Solar</v>
          </cell>
          <cell r="B40">
            <v>4650267315</v>
          </cell>
          <cell r="C40" t="str">
            <v>76 Brighton Drive Summerstrand</v>
          </cell>
          <cell r="D40" t="str">
            <v>PORT ELIZABETH, Eastern Cape</v>
          </cell>
          <cell r="E40" t="str">
            <v>Marichell</v>
          </cell>
          <cell r="F40" t="str">
            <v>082 091 6751</v>
          </cell>
        </row>
        <row r="41">
          <cell r="A41" t="str">
            <v>Lumax Energy</v>
          </cell>
          <cell r="B41">
            <v>4060271881</v>
          </cell>
          <cell r="C41" t="str">
            <v>Unit #1, 270 Roan Cres, Corporate Park North</v>
          </cell>
          <cell r="D41" t="str">
            <v>Midrand, 1685</v>
          </cell>
          <cell r="E41" t="str">
            <v>Hannes Pienaar</v>
          </cell>
          <cell r="F41" t="str">
            <v>010 140 4933</v>
          </cell>
        </row>
        <row r="42">
          <cell r="A42" t="str">
            <v xml:space="preserve">Matthews Group </v>
          </cell>
          <cell r="B42">
            <v>4950256638</v>
          </cell>
          <cell r="C42" t="str">
            <v>Unit 2, Cambridge Commercial Park, 22 Witkoppen Road</v>
          </cell>
          <cell r="D42" t="str">
            <v>Paulshof, Sandton, 2191</v>
          </cell>
          <cell r="E42" t="str">
            <v>Wayne Matthe</v>
          </cell>
          <cell r="F42" t="str">
            <v>082 803 0574</v>
          </cell>
        </row>
        <row r="43">
          <cell r="A43" t="str">
            <v>Mkholo's Projects</v>
          </cell>
          <cell r="B43">
            <v>4350209369</v>
          </cell>
          <cell r="C43" t="str">
            <v>212 Daisy Drive Jameson Park</v>
          </cell>
          <cell r="D43" t="str">
            <v>Heidelberg 1438</v>
          </cell>
          <cell r="E43" t="str">
            <v>Willie Masina</v>
          </cell>
          <cell r="F43" t="str">
            <v>011 234 7157</v>
          </cell>
        </row>
        <row r="44">
          <cell r="A44" t="str">
            <v>Modern Eco Energy</v>
          </cell>
          <cell r="B44">
            <v>4370283345</v>
          </cell>
          <cell r="C44" t="str">
            <v>Unit B16 Brackenrite Business Park</v>
          </cell>
          <cell r="D44" t="str">
            <v>Brackenfell Close</v>
          </cell>
          <cell r="E44" t="str">
            <v>Deon Crous</v>
          </cell>
          <cell r="F44" t="str">
            <v>082 923 6462</v>
          </cell>
        </row>
        <row r="45">
          <cell r="A45" t="str">
            <v>MSA</v>
          </cell>
          <cell r="B45">
            <v>4210308138</v>
          </cell>
          <cell r="C45" t="str">
            <v>Intermodal Cargo Supplies,Skypark</v>
          </cell>
          <cell r="D45" t="str">
            <v>Kempton Park, Gauteng</v>
          </cell>
          <cell r="E45" t="str">
            <v>Donrick Moses</v>
          </cell>
          <cell r="F45" t="str">
            <v>076 020 4378</v>
          </cell>
        </row>
        <row r="46">
          <cell r="A46" t="str">
            <v>New Way</v>
          </cell>
          <cell r="B46">
            <v>4700120704</v>
          </cell>
          <cell r="C46" t="str">
            <v>47 Paarden Eiland Rd, Paarden Eiland</v>
          </cell>
          <cell r="D46" t="str">
            <v>Cape Town, 7405</v>
          </cell>
          <cell r="E46" t="str">
            <v>Nick Silver</v>
          </cell>
          <cell r="F46" t="str">
            <v>021 612 0246</v>
          </cell>
        </row>
        <row r="47">
          <cell r="A47" t="str">
            <v>NOSA</v>
          </cell>
          <cell r="B47">
            <v>4240219818</v>
          </cell>
          <cell r="C47" t="str">
            <v>Block E, Lakefield Office Park,272 West Ave,</v>
          </cell>
          <cell r="D47" t="str">
            <v>Centurion, 0157</v>
          </cell>
          <cell r="E47" t="str">
            <v>Vaunee Poirier</v>
          </cell>
          <cell r="F47" t="str">
            <v>087 286 8222</v>
          </cell>
        </row>
        <row r="48">
          <cell r="A48" t="str">
            <v>OKHUSELEKO Consulting</v>
          </cell>
          <cell r="B48">
            <v>4950256638</v>
          </cell>
          <cell r="C48" t="str">
            <v>74 15th Avenue, Boston</v>
          </cell>
          <cell r="D48" t="str">
            <v>Bellville, 7530</v>
          </cell>
          <cell r="E48" t="str">
            <v>Daniel Maloney</v>
          </cell>
          <cell r="F48" t="str">
            <v>082 900 9292</v>
          </cell>
        </row>
        <row r="49">
          <cell r="A49" t="str">
            <v>OKUSHA Engineering CC</v>
          </cell>
          <cell r="B49">
            <v>4190228504</v>
          </cell>
          <cell r="C49" t="str">
            <v>Emalahleni, Mpumalanga</v>
          </cell>
          <cell r="D49" t="str">
            <v>South Africa</v>
          </cell>
          <cell r="E49" t="str">
            <v>Grizelda Cilliers</v>
          </cell>
          <cell r="F49" t="str">
            <v>013 246 2697</v>
          </cell>
        </row>
        <row r="50">
          <cell r="A50" t="str">
            <v>Otto Wireless</v>
          </cell>
          <cell r="B50">
            <v>4050256165</v>
          </cell>
          <cell r="C50" t="str">
            <v>58 Wakis Ave, Strydompark</v>
          </cell>
          <cell r="D50" t="str">
            <v>Randburg, 2194</v>
          </cell>
          <cell r="E50" t="str">
            <v>Don Todd</v>
          </cell>
          <cell r="F50" t="str">
            <v>011 791 1033</v>
          </cell>
        </row>
        <row r="51">
          <cell r="A51" t="str">
            <v>Plumbryt Service</v>
          </cell>
          <cell r="B51" t="str">
            <v>N/A</v>
          </cell>
          <cell r="C51" t="str">
            <v>ERF 3246 Ext 35 Velvet Cres</v>
          </cell>
          <cell r="D51" t="str">
            <v>Fourways, 2191</v>
          </cell>
          <cell r="E51" t="str">
            <v>plumbrytprojects@gmail.com</v>
          </cell>
          <cell r="F51" t="str">
            <v>082 900 9292</v>
          </cell>
        </row>
        <row r="52">
          <cell r="A52" t="str">
            <v>Powewize</v>
          </cell>
          <cell r="B52">
            <v>4360245718</v>
          </cell>
          <cell r="C52" t="str">
            <v>1010 Marine Dr, Shelly Beach</v>
          </cell>
          <cell r="D52" t="str">
            <v>Margate, 4265</v>
          </cell>
          <cell r="E52" t="str">
            <v>Shuan Tapson</v>
          </cell>
          <cell r="F52" t="str">
            <v>083 408 3439</v>
          </cell>
        </row>
        <row r="53">
          <cell r="A53" t="str">
            <v>RayTech Solar Solutions</v>
          </cell>
          <cell r="B53">
            <v>4900306798</v>
          </cell>
          <cell r="C53" t="str">
            <v>120 Panorama Road, Rooihuiskraal</v>
          </cell>
          <cell r="D53" t="str">
            <v>Centurion, 0157</v>
          </cell>
          <cell r="E53" t="str">
            <v>Bernard Voster</v>
          </cell>
          <cell r="F53" t="str">
            <v>076 940 8241</v>
          </cell>
        </row>
        <row r="54">
          <cell r="A54" t="str">
            <v>Rubicon</v>
          </cell>
          <cell r="B54">
            <v>4200105700</v>
          </cell>
          <cell r="C54" t="str">
            <v>5 Richmond Park 1B Hansen Cl, Richmond Park</v>
          </cell>
          <cell r="D54" t="str">
            <v>Cape Town, 7441</v>
          </cell>
          <cell r="E54" t="str">
            <v>Ryan Janse Vna Rensburg</v>
          </cell>
          <cell r="F54" t="str">
            <v>080 782 4266</v>
          </cell>
        </row>
        <row r="55">
          <cell r="A55" t="str">
            <v>Sales Hire Ablutions</v>
          </cell>
          <cell r="B55">
            <v>4300227370</v>
          </cell>
          <cell r="C55" t="str">
            <v>No,9 Cradick Street</v>
          </cell>
          <cell r="D55" t="str">
            <v>Parow Industria</v>
          </cell>
          <cell r="E55" t="str">
            <v>Chante</v>
          </cell>
          <cell r="F55" t="str">
            <v>021 931 2560</v>
          </cell>
        </row>
        <row r="56">
          <cell r="A56" t="str">
            <v>Schletter Solar</v>
          </cell>
          <cell r="B56">
            <v>4370260228</v>
          </cell>
          <cell r="C56" t="str">
            <v>Alphen Square West. Unit B. Corner of George &amp;, 15th Road</v>
          </cell>
          <cell r="D56" t="str">
            <v>Midrand, 1685</v>
          </cell>
          <cell r="E56" t="str">
            <v>Dean Lewis</v>
          </cell>
          <cell r="F56" t="str">
            <v>064 517 4849</v>
          </cell>
        </row>
        <row r="57">
          <cell r="A57" t="str">
            <v>Security Fencing and Alarms CC</v>
          </cell>
          <cell r="B57">
            <v>4730114826</v>
          </cell>
          <cell r="C57" t="str">
            <v>94 Alumina Alee</v>
          </cell>
          <cell r="D57" t="str">
            <v>Alton, Richards Bay</v>
          </cell>
          <cell r="E57" t="str">
            <v>Neville Loosemore</v>
          </cell>
          <cell r="F57" t="str">
            <v>035 751 1384</v>
          </cell>
        </row>
        <row r="58">
          <cell r="A58" t="str">
            <v>Segen Solar</v>
          </cell>
          <cell r="B58" t="str">
            <v>TBC</v>
          </cell>
          <cell r="C58" t="str">
            <v>245 Masjien St, Strydompark</v>
          </cell>
          <cell r="D58" t="str">
            <v>Randburg, 2194</v>
          </cell>
          <cell r="E58" t="str">
            <v>Ralph Jennings</v>
          </cell>
          <cell r="F58" t="str">
            <v>011 085 2600</v>
          </cell>
        </row>
        <row r="59">
          <cell r="A59" t="str">
            <v>SIAAC South Africa (Pty) Ltd</v>
          </cell>
          <cell r="B59" t="str">
            <v>4730319219</v>
          </cell>
          <cell r="C59" t="str">
            <v>1 Gulfstream Avenue, Airport Industria</v>
          </cell>
          <cell r="D59" t="str">
            <v>Cape Town, 7490</v>
          </cell>
          <cell r="E59" t="str">
            <v>moestapha@siaac-group.com</v>
          </cell>
          <cell r="F59" t="str">
            <v>021 111 0425</v>
          </cell>
        </row>
        <row r="60">
          <cell r="A60" t="str">
            <v>Solar Europe</v>
          </cell>
          <cell r="B60">
            <v>4570286478</v>
          </cell>
          <cell r="C60" t="str">
            <v>541 Lavender Road</v>
          </cell>
          <cell r="D60" t="str">
            <v>Pretoria, Gauteng</v>
          </cell>
          <cell r="E60" t="str">
            <v>Zanella Kruger</v>
          </cell>
          <cell r="F60" t="str">
            <v>087 654 4800</v>
          </cell>
        </row>
        <row r="61">
          <cell r="A61" t="str">
            <v>Supply Chain Optimisers</v>
          </cell>
          <cell r="B61">
            <v>4400267441</v>
          </cell>
          <cell r="C61" t="str">
            <v>Unit 6, 5th on Murray, Murray Street</v>
          </cell>
          <cell r="D61" t="str">
            <v>Durbanville, 7551</v>
          </cell>
          <cell r="E61" t="str">
            <v>Carol Thompson</v>
          </cell>
          <cell r="F61" t="str">
            <v>084 367 8888</v>
          </cell>
        </row>
        <row r="62">
          <cell r="A62" t="str">
            <v>Swart Security</v>
          </cell>
          <cell r="B62" t="str">
            <v>N/A</v>
          </cell>
          <cell r="C62" t="str">
            <v>50A Louise Thibault Drive</v>
          </cell>
          <cell r="D62" t="str">
            <v>Edgemead, 7441</v>
          </cell>
          <cell r="E62" t="str">
            <v>Hendrik Swart</v>
          </cell>
          <cell r="F62" t="str">
            <v>082 415 6614</v>
          </cell>
        </row>
        <row r="63">
          <cell r="A63" t="str">
            <v>Switchboard Group</v>
          </cell>
          <cell r="B63">
            <v>4730105501</v>
          </cell>
          <cell r="C63" t="str">
            <v>19 Benbow Avenue, Epping 1</v>
          </cell>
          <cell r="D63" t="str">
            <v>Cape Town, 7460</v>
          </cell>
          <cell r="E63" t="str">
            <v>info@switchman.co.za</v>
          </cell>
          <cell r="F63" t="str">
            <v>021 534 3313</v>
          </cell>
        </row>
        <row r="64">
          <cell r="A64" t="str">
            <v>The Aircon Specialist</v>
          </cell>
          <cell r="B64" t="str">
            <v>N/A</v>
          </cell>
          <cell r="C64" t="str">
            <v>1 Boshoff St, South Crest</v>
          </cell>
          <cell r="D64" t="str">
            <v>Alberton, JHB, 1447</v>
          </cell>
          <cell r="E64" t="str">
            <v>Ashir Balram</v>
          </cell>
          <cell r="F64" t="str">
            <v>081 706 8084</v>
          </cell>
        </row>
        <row r="65">
          <cell r="A65" t="str">
            <v>The Engineering Hub</v>
          </cell>
          <cell r="B65">
            <v>4390259143</v>
          </cell>
          <cell r="C65" t="str">
            <v>2 Alabaster Road Baakens Valley</v>
          </cell>
          <cell r="D65" t="str">
            <v>PORT ELIZABETH, Eastern Cape</v>
          </cell>
          <cell r="E65" t="str">
            <v>Devan</v>
          </cell>
          <cell r="F65" t="str">
            <v>081 456 1241</v>
          </cell>
        </row>
        <row r="66">
          <cell r="A66" t="str">
            <v>Thula Moya</v>
          </cell>
          <cell r="B66">
            <v>4430290728</v>
          </cell>
          <cell r="C66" t="str">
            <v>Ravine Lane, Marburg</v>
          </cell>
          <cell r="D66" t="str">
            <v>Portshepstone, KZN</v>
          </cell>
          <cell r="E66" t="str">
            <v>Devin Osbourne</v>
          </cell>
          <cell r="F66" t="str">
            <v>076 330 2618</v>
          </cell>
        </row>
        <row r="67">
          <cell r="A67" t="str">
            <v>TISOL Engineering</v>
          </cell>
          <cell r="B67">
            <v>4650275607</v>
          </cell>
          <cell r="C67" t="str">
            <v>8 Ossewa St, Terenure</v>
          </cell>
          <cell r="D67" t="str">
            <v>Kempton Park, 1624</v>
          </cell>
          <cell r="E67" t="str">
            <v>Cass Saula</v>
          </cell>
          <cell r="F67" t="str">
            <v>011 395 5036</v>
          </cell>
        </row>
        <row r="68">
          <cell r="A68" t="str">
            <v>Uccio Projects</v>
          </cell>
          <cell r="B68" t="str">
            <v>TBC</v>
          </cell>
          <cell r="C68" t="str">
            <v>Clacton Road Kensington</v>
          </cell>
          <cell r="D68" t="str">
            <v>Johannesburg 1440</v>
          </cell>
          <cell r="E68" t="str">
            <v>Grant Hiepner</v>
          </cell>
          <cell r="F68" t="str">
            <v>082 464 5882</v>
          </cell>
        </row>
        <row r="69">
          <cell r="A69" t="str">
            <v>Voltex</v>
          </cell>
          <cell r="B69">
            <v>4460171202</v>
          </cell>
          <cell r="C69" t="str">
            <v>105 Commisioner Street</v>
          </cell>
          <cell r="D69" t="str">
            <v>Krugersdorp, 1739</v>
          </cell>
          <cell r="E69" t="str">
            <v>Jabulani Zwane</v>
          </cell>
          <cell r="F69" t="str">
            <v>011 951 5780</v>
          </cell>
        </row>
        <row r="70">
          <cell r="A70" t="str">
            <v>ABB Switchgear</v>
          </cell>
          <cell r="B70">
            <v>4090136104</v>
          </cell>
          <cell r="C70" t="str">
            <v>2 Lake Road,</v>
          </cell>
          <cell r="D70" t="str">
            <v>Edenvale, Gauteng, RSA,</v>
          </cell>
          <cell r="E70" t="str">
            <v>Brain Ngoveni</v>
          </cell>
          <cell r="F70" t="str">
            <v>+27 84 404 1927</v>
          </cell>
        </row>
        <row r="71">
          <cell r="A71" t="str">
            <v>Fuducia Construction</v>
          </cell>
          <cell r="B71">
            <v>4020257822</v>
          </cell>
          <cell r="C71" t="str">
            <v>Unit 10, 25 Ceramic Curve, Alton</v>
          </cell>
          <cell r="D71" t="str">
            <v>Richards Bay, 3900</v>
          </cell>
          <cell r="E71" t="str">
            <v>Daleen Strydom</v>
          </cell>
          <cell r="F71" t="str">
            <v>0832801534</v>
          </cell>
        </row>
        <row r="72">
          <cell r="A72" t="str">
            <v>Logivest</v>
          </cell>
          <cell r="B72">
            <v>4670272949</v>
          </cell>
          <cell r="C72" t="str">
            <v>Portion 36 Farm, Zwartkrans, Mongale City</v>
          </cell>
          <cell r="D72" t="str">
            <v>Gauteng 1739</v>
          </cell>
          <cell r="E72" t="str">
            <v>Vlam Human</v>
          </cell>
          <cell r="F72" t="str">
            <v>(082) 771 4092</v>
          </cell>
        </row>
        <row r="73">
          <cell r="A73" t="str">
            <v>Voltex</v>
          </cell>
          <cell r="B73">
            <v>4460171202</v>
          </cell>
          <cell r="C73" t="str">
            <v>105 Commisioner Street</v>
          </cell>
          <cell r="D73" t="str">
            <v>Krugersdorp, 1739</v>
          </cell>
          <cell r="E73" t="str">
            <v>Jabulani Zwane</v>
          </cell>
          <cell r="F73" t="str">
            <v>011 951 5780</v>
          </cell>
        </row>
        <row r="74">
          <cell r="A74" t="str">
            <v>Richards Bay OCCUPATIONAL Health</v>
          </cell>
          <cell r="B74">
            <v>4450194826</v>
          </cell>
          <cell r="C74" t="str">
            <v>3 Lira Link Caredoc Medical Centre</v>
          </cell>
          <cell r="D74" t="str">
            <v>Richards Bay, 3900</v>
          </cell>
          <cell r="E74" t="str">
            <v>mail-service@accounting.sageone.co.za</v>
          </cell>
        </row>
        <row r="75">
          <cell r="A75" t="str">
            <v xml:space="preserve">OLEA Training and SHEQ </v>
          </cell>
          <cell r="B75" t="str">
            <v>N/A</v>
          </cell>
          <cell r="C75" t="str">
            <v>76 Dollar Drive,</v>
          </cell>
          <cell r="D75" t="str">
            <v>Richards Bay</v>
          </cell>
          <cell r="E75" t="str">
            <v>lindsey@oleatraining.co.za</v>
          </cell>
          <cell r="F75" t="str">
            <v>+27 (0) 72 862 4941</v>
          </cell>
        </row>
      </sheetData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edolph Venter" refreshedDate="46084.292145949075" createdVersion="8" refreshedVersion="8" minRefreshableVersion="3" recordCount="154" xr:uid="{D37A5069-1A2D-4864-A726-735BFBE61275}">
  <cacheSource type="worksheet">
    <worksheetSource ref="L4:X158" sheet="Expenditure Breakdown"/>
  </cacheSource>
  <cacheFields count="13">
    <cacheField name="No. " numFmtId="0">
      <sharedItems containsString="0" containsBlank="1" containsNumber="1" containsInteger="1" minValue="1" maxValue="15"/>
    </cacheField>
    <cacheField name="Product/ Service" numFmtId="0">
      <sharedItems containsBlank="1" count="17">
        <m/>
        <s v="1. Panels"/>
        <s v="2. Inverters"/>
        <s v="3. Mounting Structures"/>
        <s v="4. DC Equipment"/>
        <s v="5. Monitoring"/>
        <s v="6. AC Equipment"/>
        <s v="7.BESS"/>
        <s v="8. Product Add On "/>
        <s v="9. AC &amp; DC installation"/>
        <s v="10. Site Logistics"/>
        <s v="11. Due Dilligence"/>
        <s v="12. BDP Commission"/>
        <s v="13. Engineering"/>
        <s v="14. General Expenses"/>
        <s v="15. Service Add On"/>
        <s v="7.ESG" u="1"/>
      </sharedItems>
    </cacheField>
    <cacheField name="Description of Work" numFmtId="0">
      <sharedItems containsBlank="1"/>
    </cacheField>
    <cacheField name="QTY" numFmtId="0">
      <sharedItems containsString="0" containsBlank="1" containsNumber="1" minValue="2" maxValue="147517.5"/>
    </cacheField>
    <cacheField name="Rate / Unit" numFmtId="0">
      <sharedItems containsString="0" containsBlank="1" containsNumber="1" minValue="0.05" maxValue="68000"/>
    </cacheField>
    <cacheField name="Actual Total " numFmtId="0">
      <sharedItems containsString="0" containsBlank="1" containsNumber="1" minValue="0" maxValue="552500"/>
    </cacheField>
    <cacheField name="PO NUMBER" numFmtId="0">
      <sharedItems containsString="0" containsBlank="1" containsNumber="1" containsInteger="1" minValue="0" maxValue="0"/>
    </cacheField>
    <cacheField name="INVOICE NUMBER" numFmtId="0">
      <sharedItems containsNonDate="0" containsString="0" containsBlank="1"/>
    </cacheField>
    <cacheField name="INVOICE RAISED DATE" numFmtId="0">
      <sharedItems containsDate="1" containsBlank="1" containsMixedTypes="1" minDate="2024-08-31T00:00:00" maxDate="2026-08-01T00:00:00" count="21">
        <m/>
        <d v="2026-04-30T00:00:00"/>
        <s v=""/>
        <d v="2026-03-31T00:00:00"/>
        <d v="2026-05-31T00:00:00"/>
        <d v="2026-06-30T00:00:00"/>
        <d v="2026-07-31T00:00:00" u="1"/>
        <d v="2026-01-31T00:00:00" u="1"/>
        <d v="2026-02-28T00:00:00" u="1"/>
        <d v="2026-03-30T00:00:00" u="1"/>
        <d v="2025-10-31T00:00:00" u="1"/>
        <d v="2025-09-30T00:00:00" u="1"/>
        <d v="2025-11-30T00:00:00" u="1"/>
        <d v="2025-12-31T00:00:00" u="1"/>
        <d v="2025-08-31T00:00:00" u="1"/>
        <d v="2025-07-31T00:00:00" u="1"/>
        <d v="2025-06-30T00:00:00" u="1"/>
        <d v="2024-08-31T00:00:00" u="1"/>
        <d v="2025-05-31T00:00:00" u="1"/>
        <d v="2025-04-30T00:00:00" u="1"/>
        <d v="2025-03-31T00:00:00" u="1"/>
      </sharedItems>
    </cacheField>
    <cacheField name="REVENUE RECOGNITION AMOUNT" numFmtId="0">
      <sharedItems containsString="0" containsBlank="1" containsNumber="1" minValue="0" maxValue="657489.71400000015"/>
    </cacheField>
    <cacheField name="CHECK" numFmtId="0">
      <sharedItems containsString="0" containsBlank="1" containsNumber="1" containsInteger="1" minValue="0" maxValue="0"/>
    </cacheField>
    <cacheField name="FINANCE PAYMENT DATE" numFmtId="0">
      <sharedItems containsNonDate="0" containsDate="1" containsString="0" containsBlank="1" minDate="2026-03-19T00:00:00" maxDate="2026-07-31T00:00:00"/>
    </cacheField>
    <cacheField name="Total COS" numFmtId="0">
      <sharedItems containsString="0" containsBlank="1" containsNumber="1" minValue="0" maxValue="552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">
  <r>
    <m/>
    <x v="0"/>
    <m/>
    <m/>
    <m/>
    <m/>
    <m/>
    <m/>
    <x v="0"/>
    <m/>
    <m/>
    <m/>
    <m/>
  </r>
  <r>
    <n v="1"/>
    <x v="1"/>
    <s v="Panel Size TBC - 620W as placeholder"/>
    <n v="356.45161290322579"/>
    <n v="1550"/>
    <n v="552500"/>
    <m/>
    <m/>
    <x v="1"/>
    <n v="657489.71400000015"/>
    <n v="0"/>
    <d v="2026-05-25T00:00:00"/>
    <n v="552500"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2"/>
    <x v="2"/>
    <m/>
    <m/>
    <m/>
    <m/>
    <m/>
    <m/>
    <x v="0"/>
    <n v="0"/>
    <n v="0"/>
    <m/>
    <n v="136000"/>
  </r>
  <r>
    <n v="2"/>
    <x v="2"/>
    <s v="Huawei 100KTL"/>
    <n v="2"/>
    <n v="68000"/>
    <n v="136000"/>
    <m/>
    <m/>
    <x v="1"/>
    <n v="175000"/>
    <m/>
    <d v="2026-05-25T00:00:00"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3"/>
    <x v="3"/>
    <s v="Schletter Structure"/>
    <m/>
    <m/>
    <n v="88288"/>
    <m/>
    <m/>
    <x v="1"/>
    <n v="110360"/>
    <n v="0"/>
    <d v="2026-05-30T00:00:00"/>
    <n v="88288"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4"/>
    <x v="4"/>
    <s v="DC Cable"/>
    <n v="4000"/>
    <n v="14"/>
    <n v="56000"/>
    <m/>
    <m/>
    <x v="1"/>
    <n v="70635.6388087659"/>
    <n v="0"/>
    <d v="2026-05-25T00:00:00"/>
    <n v="127202.03500000003"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s v="Project Kick Off"/>
    <n v="71202.035000000003"/>
    <n v="0.1"/>
    <n v="7120.2035000000005"/>
    <n v="0"/>
    <m/>
    <x v="3"/>
    <n v="8981.0736191234064"/>
    <m/>
    <d v="2026-03-19T00:00:00"/>
    <m/>
  </r>
  <r>
    <n v="4"/>
    <x v="4"/>
    <s v="Site Establishment"/>
    <m/>
    <n v="0.15"/>
    <n v="10680.305249999999"/>
    <m/>
    <m/>
    <x v="3"/>
    <n v="13471.61042868511"/>
    <m/>
    <d v="2026-03-26T00:00:00"/>
    <m/>
  </r>
  <r>
    <n v="4"/>
    <x v="4"/>
    <s v="AC Installation Complete"/>
    <m/>
    <n v="0.2"/>
    <n v="14240.407000000001"/>
    <m/>
    <m/>
    <x v="4"/>
    <n v="17962.147238246813"/>
    <m/>
    <d v="2026-05-15T00:00:00"/>
    <m/>
  </r>
  <r>
    <n v="4"/>
    <x v="4"/>
    <s v="DC Installation Complete"/>
    <m/>
    <n v="0.25"/>
    <n v="17800.508750000001"/>
    <m/>
    <m/>
    <x v="1"/>
    <n v="22452.684047808518"/>
    <m/>
    <d v="2026-04-29T00:00:00"/>
    <m/>
  </r>
  <r>
    <n v="4"/>
    <x v="4"/>
    <s v="Commissioning Complete"/>
    <m/>
    <n v="0.1"/>
    <n v="7120.2035000000005"/>
    <m/>
    <m/>
    <x v="4"/>
    <n v="8981.0736191234064"/>
    <m/>
    <d v="2026-05-20T00:00:00"/>
    <m/>
  </r>
  <r>
    <n v="4"/>
    <x v="4"/>
    <s v="Handover Document Complete"/>
    <m/>
    <n v="0.15"/>
    <n v="10680.305249999999"/>
    <m/>
    <m/>
    <x v="4"/>
    <n v="13471.61042868511"/>
    <m/>
    <d v="2026-05-26T00:00:00"/>
    <m/>
  </r>
  <r>
    <n v="4"/>
    <x v="4"/>
    <s v="End of Defects Period"/>
    <m/>
    <n v="0.05"/>
    <n v="3560.1017500000003"/>
    <m/>
    <m/>
    <x v="5"/>
    <n v="4490.5368095617032"/>
    <m/>
    <d v="2026-06-25T00:00:00"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5"/>
    <x v="5"/>
    <s v="Smartlogger 3000"/>
    <m/>
    <m/>
    <n v="8500"/>
    <m/>
    <m/>
    <x v="1"/>
    <n v="10517.676767676767"/>
    <n v="0"/>
    <d v="2026-05-25T00:00:00"/>
    <n v="49500"/>
  </r>
  <r>
    <n v="5"/>
    <x v="5"/>
    <s v="CTs &amp; Meters"/>
    <m/>
    <m/>
    <n v="26000"/>
    <m/>
    <m/>
    <x v="1"/>
    <n v="32171.717171717173"/>
    <m/>
    <d v="2026-05-30T00:00:00"/>
    <m/>
  </r>
  <r>
    <n v="5"/>
    <x v="5"/>
    <s v="Revenue Grade Meter"/>
    <m/>
    <m/>
    <n v="15000"/>
    <m/>
    <m/>
    <x v="1"/>
    <n v="18560.60606060606"/>
    <m/>
    <d v="2026-05-30T00:00:00"/>
    <m/>
  </r>
  <r>
    <n v="5"/>
    <x v="5"/>
    <m/>
    <m/>
    <m/>
    <m/>
    <m/>
    <m/>
    <x v="2"/>
    <n v="0"/>
    <m/>
    <m/>
    <m/>
  </r>
  <r>
    <n v="5"/>
    <x v="5"/>
    <m/>
    <m/>
    <m/>
    <m/>
    <m/>
    <m/>
    <x v="2"/>
    <n v="0"/>
    <m/>
    <m/>
    <m/>
  </r>
  <r>
    <n v="5"/>
    <x v="5"/>
    <m/>
    <m/>
    <m/>
    <m/>
    <m/>
    <m/>
    <x v="2"/>
    <n v="0"/>
    <m/>
    <m/>
    <m/>
  </r>
  <r>
    <n v="5"/>
    <x v="5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6"/>
    <x v="6"/>
    <m/>
    <m/>
    <m/>
    <m/>
    <m/>
    <m/>
    <x v="2"/>
    <n v="0"/>
    <n v="0"/>
    <m/>
    <n v="190946.66304347824"/>
  </r>
  <r>
    <n v="6"/>
    <x v="6"/>
    <s v="PVDB"/>
    <m/>
    <m/>
    <n v="93044.65"/>
    <m/>
    <m/>
    <x v="3"/>
    <n v="213473.4449811076"/>
    <m/>
    <d v="2026-04-30T00:00:00"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s v="Project Kick Off"/>
    <n v="97902.013043478248"/>
    <n v="0.1"/>
    <n v="9790.2013043478255"/>
    <n v="0"/>
    <m/>
    <x v="3"/>
    <n v="22461.775067106635"/>
    <m/>
    <d v="2026-03-19T00:00:00"/>
    <m/>
  </r>
  <r>
    <n v="6"/>
    <x v="6"/>
    <s v="Site Establishment"/>
    <m/>
    <n v="0.15"/>
    <n v="14685.301956521736"/>
    <m/>
    <m/>
    <x v="3"/>
    <n v="33692.662600659947"/>
    <m/>
    <d v="2026-03-26T00:00:00"/>
    <m/>
  </r>
  <r>
    <n v="6"/>
    <x v="6"/>
    <s v="AC Installation Complete"/>
    <m/>
    <n v="0.2"/>
    <n v="19580.402608695651"/>
    <m/>
    <m/>
    <x v="4"/>
    <n v="44923.55013421327"/>
    <m/>
    <d v="2026-05-15T00:00:00"/>
    <m/>
  </r>
  <r>
    <n v="6"/>
    <x v="6"/>
    <s v="DC Installation Complete"/>
    <m/>
    <n v="0.25"/>
    <n v="24475.503260869562"/>
    <m/>
    <m/>
    <x v="1"/>
    <n v="56154.437667766586"/>
    <m/>
    <d v="2026-04-29T00:00:00"/>
    <m/>
  </r>
  <r>
    <n v="6"/>
    <x v="6"/>
    <s v="Commissioning Complete"/>
    <m/>
    <n v="0.1"/>
    <n v="9790.2013043478255"/>
    <m/>
    <m/>
    <x v="4"/>
    <n v="22461.775067106635"/>
    <m/>
    <d v="2026-05-20T00:00:00"/>
    <m/>
  </r>
  <r>
    <n v="6"/>
    <x v="6"/>
    <s v="Handover Document Complete"/>
    <m/>
    <n v="0.15"/>
    <n v="14685.301956521736"/>
    <m/>
    <m/>
    <x v="4"/>
    <n v="33692.662600659947"/>
    <m/>
    <d v="2026-05-26T00:00:00"/>
    <m/>
  </r>
  <r>
    <n v="6"/>
    <x v="6"/>
    <s v="End of Defects Period"/>
    <m/>
    <n v="0.05"/>
    <n v="4895.1006521739127"/>
    <m/>
    <m/>
    <x v="5"/>
    <n v="11230.887533553318"/>
    <m/>
    <d v="2026-06-25T00:00:00"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7"/>
    <x v="7"/>
    <m/>
    <m/>
    <m/>
    <m/>
    <m/>
    <m/>
    <x v="2"/>
    <m/>
    <n v="0"/>
    <m/>
    <n v="0"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m/>
    <x v="0"/>
    <m/>
    <m/>
    <m/>
    <m/>
    <m/>
    <m/>
    <x v="2"/>
    <m/>
    <m/>
    <m/>
    <m/>
  </r>
  <r>
    <n v="8"/>
    <x v="8"/>
    <s v="Catladder Deposit"/>
    <n v="45000"/>
    <n v="0.5"/>
    <n v="22500"/>
    <m/>
    <m/>
    <x v="1"/>
    <n v="18750"/>
    <n v="0"/>
    <d v="2026-04-30T00:00:00"/>
    <n v="45000"/>
  </r>
  <r>
    <n v="8"/>
    <x v="8"/>
    <s v="Catladder Balance"/>
    <m/>
    <n v="0.5"/>
    <n v="22500"/>
    <m/>
    <m/>
    <x v="1"/>
    <n v="18750"/>
    <m/>
    <d v="2026-04-30T00:00:00"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0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9"/>
    <x v="9"/>
    <m/>
    <m/>
    <m/>
    <m/>
    <m/>
    <m/>
    <x v="2"/>
    <n v="0"/>
    <n v="0"/>
    <m/>
    <n v="147517.5"/>
  </r>
  <r>
    <n v="9"/>
    <x v="9"/>
    <s v="Project Kick Off"/>
    <n v="147517.5"/>
    <n v="0.1"/>
    <n v="14751.75"/>
    <m/>
    <m/>
    <x v="3"/>
    <n v="19283.333333333339"/>
    <m/>
    <d v="2026-03-19T00:00:00"/>
    <m/>
  </r>
  <r>
    <n v="9"/>
    <x v="9"/>
    <s v="Site Establishment"/>
    <m/>
    <n v="0.15"/>
    <n v="22127.625"/>
    <m/>
    <m/>
    <x v="3"/>
    <n v="28925.000000000004"/>
    <m/>
    <d v="2026-03-26T00:00:00"/>
    <m/>
  </r>
  <r>
    <n v="9"/>
    <x v="9"/>
    <s v="AC Installation Complete"/>
    <m/>
    <n v="0.2"/>
    <n v="29503.5"/>
    <m/>
    <m/>
    <x v="4"/>
    <n v="38566.666666666679"/>
    <m/>
    <d v="2026-05-15T00:00:00"/>
    <m/>
  </r>
  <r>
    <n v="9"/>
    <x v="9"/>
    <s v="DC Installation Complete"/>
    <m/>
    <n v="0.25"/>
    <n v="36879.375"/>
    <m/>
    <m/>
    <x v="1"/>
    <n v="48208.333333333343"/>
    <m/>
    <d v="2026-04-29T00:00:00"/>
    <m/>
  </r>
  <r>
    <n v="9"/>
    <x v="9"/>
    <s v="Commissioning Complete"/>
    <m/>
    <n v="0.1"/>
    <n v="14751.75"/>
    <m/>
    <m/>
    <x v="4"/>
    <n v="19283.333333333339"/>
    <m/>
    <d v="2026-05-20T00:00:00"/>
    <m/>
  </r>
  <r>
    <n v="9"/>
    <x v="9"/>
    <s v="Handover Document Complete"/>
    <m/>
    <n v="0.15"/>
    <n v="22127.625"/>
    <m/>
    <m/>
    <x v="4"/>
    <n v="28925.000000000004"/>
    <m/>
    <d v="2026-05-26T00:00:00"/>
    <m/>
  </r>
  <r>
    <n v="9"/>
    <x v="9"/>
    <s v="End of Defects Period"/>
    <m/>
    <n v="0.05"/>
    <n v="7375.875"/>
    <m/>
    <m/>
    <x v="5"/>
    <n v="9641.6666666666697"/>
    <m/>
    <d v="2026-06-25T00:00:00"/>
    <m/>
  </r>
  <r>
    <n v="9"/>
    <x v="9"/>
    <m/>
    <m/>
    <m/>
    <m/>
    <m/>
    <m/>
    <x v="2"/>
    <n v="0"/>
    <m/>
    <m/>
    <m/>
  </r>
  <r>
    <n v="9"/>
    <x v="9"/>
    <m/>
    <m/>
    <m/>
    <m/>
    <m/>
    <m/>
    <x v="2"/>
    <n v="0"/>
    <m/>
    <m/>
    <m/>
  </r>
  <r>
    <n v="9"/>
    <x v="9"/>
    <m/>
    <m/>
    <m/>
    <m/>
    <m/>
    <m/>
    <x v="2"/>
    <n v="0"/>
    <m/>
    <m/>
    <m/>
  </r>
  <r>
    <n v="9"/>
    <x v="9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0"/>
    <x v="10"/>
    <s v="Security"/>
    <m/>
    <m/>
    <n v="16800"/>
    <m/>
    <m/>
    <x v="4"/>
    <n v="20444.362335167541"/>
    <n v="0"/>
    <d v="2026-05-15T00:00:00"/>
    <n v="36494.575555555559"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s v="Project Kick Off"/>
    <n v="19694.575555555559"/>
    <n v="0.1"/>
    <n v="1969.4575555555559"/>
    <n v="0"/>
    <m/>
    <x v="3"/>
    <n v="2396.6847541375678"/>
    <m/>
    <d v="2026-03-19T00:00:00"/>
    <m/>
  </r>
  <r>
    <n v="10"/>
    <x v="10"/>
    <s v="Site Establishment"/>
    <m/>
    <n v="0.15"/>
    <n v="2954.1863333333336"/>
    <m/>
    <m/>
    <x v="3"/>
    <n v="3595.027131206351"/>
    <m/>
    <d v="2026-03-26T00:00:00"/>
    <m/>
  </r>
  <r>
    <n v="10"/>
    <x v="10"/>
    <s v="AC Installation Complete"/>
    <m/>
    <n v="0.2"/>
    <n v="3938.9151111111119"/>
    <m/>
    <m/>
    <x v="4"/>
    <n v="4793.3695082751356"/>
    <m/>
    <d v="2026-05-15T00:00:00"/>
    <m/>
  </r>
  <r>
    <n v="10"/>
    <x v="10"/>
    <s v="DC Installation Complete"/>
    <m/>
    <n v="0.25"/>
    <n v="4923.6438888888897"/>
    <m/>
    <m/>
    <x v="1"/>
    <n v="5991.7118853439188"/>
    <m/>
    <d v="2026-04-29T00:00:00"/>
    <m/>
  </r>
  <r>
    <n v="10"/>
    <x v="10"/>
    <s v="Commissioning Complete"/>
    <m/>
    <n v="0.1"/>
    <n v="1969.4575555555559"/>
    <m/>
    <m/>
    <x v="4"/>
    <n v="2396.6847541375678"/>
    <m/>
    <d v="2026-05-20T00:00:00"/>
    <m/>
  </r>
  <r>
    <n v="10"/>
    <x v="10"/>
    <s v="Handover Document Complete"/>
    <m/>
    <n v="0.15"/>
    <n v="2954.1863333333336"/>
    <m/>
    <m/>
    <x v="4"/>
    <n v="3595.027131206351"/>
    <m/>
    <d v="2026-05-26T00:00:00"/>
    <m/>
  </r>
  <r>
    <n v="10"/>
    <x v="10"/>
    <s v="End of Defects Period"/>
    <m/>
    <n v="0.05"/>
    <n v="984.72877777777796"/>
    <m/>
    <m/>
    <x v="5"/>
    <n v="1198.3423770687839"/>
    <m/>
    <d v="2026-06-25T00:00:00"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m/>
    <m/>
    <m/>
    <m/>
  </r>
  <r>
    <m/>
    <x v="0"/>
    <m/>
    <m/>
    <m/>
    <m/>
    <m/>
    <m/>
    <x v="2"/>
    <m/>
    <m/>
    <m/>
    <m/>
  </r>
  <r>
    <n v="11"/>
    <x v="11"/>
    <s v="Electrical PrEng sign off"/>
    <m/>
    <m/>
    <n v="11000"/>
    <m/>
    <m/>
    <x v="4"/>
    <n v="14126.984126984127"/>
    <n v="0"/>
    <d v="2026-05-27T00:00:00"/>
    <n v="77000"/>
  </r>
  <r>
    <n v="11"/>
    <x v="11"/>
    <s v="Structural Sign Off"/>
    <m/>
    <m/>
    <n v="0"/>
    <m/>
    <m/>
    <x v="2"/>
    <n v="0"/>
    <m/>
    <m/>
    <m/>
  </r>
  <r>
    <n v="11"/>
    <x v="11"/>
    <s v="Scada for CoCT"/>
    <m/>
    <m/>
    <n v="60000"/>
    <m/>
    <m/>
    <x v="5"/>
    <n v="77056.27705627706"/>
    <m/>
    <d v="2026-07-30T00:00:00"/>
    <m/>
  </r>
  <r>
    <n v="11"/>
    <x v="11"/>
    <s v="Red Team Inspection"/>
    <m/>
    <m/>
    <n v="6000"/>
    <m/>
    <m/>
    <x v="4"/>
    <n v="7705.6277056277058"/>
    <m/>
    <d v="2026-05-13T00:00:00"/>
    <m/>
  </r>
  <r>
    <n v="11"/>
    <x v="11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2"/>
    <x v="12"/>
    <s v="PD Fee"/>
    <m/>
    <m/>
    <n v="0"/>
    <m/>
    <m/>
    <x v="2"/>
    <m/>
    <m/>
    <m/>
    <n v="0"/>
  </r>
  <r>
    <n v="12"/>
    <x v="12"/>
    <m/>
    <m/>
    <m/>
    <m/>
    <m/>
    <m/>
    <x v="2"/>
    <m/>
    <m/>
    <m/>
    <m/>
  </r>
  <r>
    <m/>
    <x v="0"/>
    <m/>
    <m/>
    <m/>
    <m/>
    <m/>
    <m/>
    <x v="2"/>
    <m/>
    <m/>
    <m/>
    <m/>
  </r>
  <r>
    <n v="13"/>
    <x v="13"/>
    <s v="Matriarch Defects Period - 1.25%"/>
    <m/>
    <m/>
    <n v="25572.940249820298"/>
    <m/>
    <m/>
    <x v="4"/>
    <n v="22508.94767912824"/>
    <n v="0"/>
    <d v="2026-05-13T00:00:00"/>
    <n v="25572.940249820298"/>
  </r>
  <r>
    <n v="13"/>
    <x v="13"/>
    <s v="Management"/>
    <m/>
    <m/>
    <m/>
    <m/>
    <m/>
    <x v="4"/>
    <n v="0"/>
    <m/>
    <d v="2026-05-13T00:00:00"/>
    <m/>
  </r>
  <r>
    <n v="13"/>
    <x v="13"/>
    <s v="Project manager "/>
    <m/>
    <m/>
    <m/>
    <m/>
    <m/>
    <x v="4"/>
    <n v="0"/>
    <m/>
    <d v="2026-05-13T00:00:00"/>
    <m/>
  </r>
  <r>
    <n v="13"/>
    <x v="13"/>
    <s v="Planner time"/>
    <m/>
    <m/>
    <m/>
    <m/>
    <m/>
    <x v="4"/>
    <n v="0"/>
    <m/>
    <d v="2026-05-13T00:00:00"/>
    <m/>
  </r>
  <r>
    <n v="13"/>
    <x v="13"/>
    <s v="De Snagging"/>
    <m/>
    <m/>
    <m/>
    <m/>
    <m/>
    <x v="4"/>
    <n v="0"/>
    <m/>
    <d v="2026-05-13T00:00:00"/>
    <m/>
  </r>
  <r>
    <n v="13"/>
    <x v="13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4"/>
    <x v="14"/>
    <s v="Travel"/>
    <m/>
    <m/>
    <n v="1837.5"/>
    <m/>
    <m/>
    <x v="3"/>
    <n v="11763.888888888889"/>
    <n v="0"/>
    <d v="2026-04-07T00:00:00"/>
    <n v="7350"/>
  </r>
  <r>
    <n v="14"/>
    <x v="14"/>
    <s v="Travel"/>
    <m/>
    <m/>
    <n v="1837.5"/>
    <m/>
    <m/>
    <x v="1"/>
    <n v="11763.888888888889"/>
    <m/>
    <d v="2026-05-07T00:00:00"/>
    <m/>
  </r>
  <r>
    <n v="14"/>
    <x v="14"/>
    <s v="Travel"/>
    <m/>
    <m/>
    <n v="1837.5"/>
    <m/>
    <m/>
    <x v="4"/>
    <n v="11763.888888888889"/>
    <m/>
    <d v="2026-06-07T00:00:00"/>
    <m/>
  </r>
  <r>
    <n v="14"/>
    <x v="14"/>
    <s v="Travel"/>
    <m/>
    <m/>
    <n v="1837.5"/>
    <m/>
    <m/>
    <x v="5"/>
    <n v="11763.888888888889"/>
    <m/>
    <d v="2026-07-07T00:00:00"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m/>
    <m/>
    <m/>
    <m/>
    <m/>
    <m/>
    <x v="2"/>
    <n v="0"/>
    <m/>
    <m/>
    <m/>
  </r>
  <r>
    <n v="14"/>
    <x v="14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5"/>
    <x v="15"/>
    <m/>
    <m/>
    <m/>
    <m/>
    <m/>
    <m/>
    <x v="2"/>
    <m/>
    <n v="0"/>
    <m/>
    <n v="0"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21C424-4DCE-4F74-A88E-FC76459D22DE}" name="PivotTable1" cacheId="48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H21" firstHeaderRow="1" firstDataRow="2" firstDataCol="1"/>
  <pivotFields count="13">
    <pivotField showAll="0"/>
    <pivotField axis="axisRow" showAll="0">
      <items count="18">
        <item x="0"/>
        <item x="1"/>
        <item x="2"/>
        <item x="3"/>
        <item x="4"/>
        <item x="5"/>
        <item x="6"/>
        <item x="8"/>
        <item x="9"/>
        <item x="10"/>
        <item x="11"/>
        <item x="13"/>
        <item x="14"/>
        <item x="15"/>
        <item m="1" x="16"/>
        <item x="12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2">
        <item x="0"/>
        <item m="1" x="19"/>
        <item m="1" x="18"/>
        <item m="1" x="16"/>
        <item m="1" x="15"/>
        <item m="1" x="14"/>
        <item m="1" x="11"/>
        <item m="1" x="10"/>
        <item m="1" x="12"/>
        <item m="1" x="13"/>
        <item x="2"/>
        <item m="1" x="20"/>
        <item m="1" x="17"/>
        <item m="1" x="7"/>
        <item x="1"/>
        <item x="3"/>
        <item x="4"/>
        <item x="5"/>
        <item m="1" x="6"/>
        <item m="1" x="9"/>
        <item m="1" x="8"/>
        <item t="default"/>
      </items>
    </pivotField>
    <pivotField dataField="1" multipleItemSelectionAllowed="1" showAll="0"/>
    <pivotField showAll="0"/>
    <pivotField showAll="0"/>
    <pivotField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 t="grand">
      <x/>
    </i>
  </rowItems>
  <colFields count="1">
    <field x="8"/>
  </colFields>
  <colItems count="7">
    <i>
      <x/>
    </i>
    <i>
      <x v="10"/>
    </i>
    <i>
      <x v="14"/>
    </i>
    <i>
      <x v="15"/>
    </i>
    <i>
      <x v="16"/>
    </i>
    <i>
      <x v="17"/>
    </i>
    <i t="grand">
      <x/>
    </i>
  </colItems>
  <dataFields count="1">
    <dataField name="Sum of REVENUE RECOGNITION AMOUNT" fld="9" baseField="1" baseItem="2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203056-0D9D-409A-914E-210DDACA1250}" name="PivotTable5" cacheId="48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H21" firstHeaderRow="1" firstDataRow="2" firstDataCol="1"/>
  <pivotFields count="13">
    <pivotField showAll="0"/>
    <pivotField axis="axisRow" showAll="0">
      <items count="18">
        <item x="0"/>
        <item x="1"/>
        <item x="2"/>
        <item x="3"/>
        <item x="4"/>
        <item x="5"/>
        <item x="6"/>
        <item x="8"/>
        <item x="9"/>
        <item x="10"/>
        <item x="11"/>
        <item x="13"/>
        <item x="14"/>
        <item x="15"/>
        <item m="1" x="16"/>
        <item x="12"/>
        <item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Col" showAll="0">
      <items count="22">
        <item x="0"/>
        <item m="1" x="19"/>
        <item m="1" x="18"/>
        <item m="1" x="16"/>
        <item m="1" x="15"/>
        <item m="1" x="14"/>
        <item m="1" x="11"/>
        <item m="1" x="10"/>
        <item m="1" x="12"/>
        <item m="1" x="13"/>
        <item x="2"/>
        <item m="1" x="20"/>
        <item m="1" x="17"/>
        <item m="1" x="7"/>
        <item x="1"/>
        <item x="3"/>
        <item x="4"/>
        <item x="5"/>
        <item m="1" x="6"/>
        <item m="1" x="9"/>
        <item m="1" x="8"/>
        <item t="default"/>
      </items>
    </pivotField>
    <pivotField showAll="0"/>
    <pivotField showAll="0"/>
    <pivotField showAll="0"/>
    <pivotField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 t="grand">
      <x/>
    </i>
  </rowItems>
  <colFields count="1">
    <field x="8"/>
  </colFields>
  <colItems count="7">
    <i>
      <x/>
    </i>
    <i>
      <x v="10"/>
    </i>
    <i>
      <x v="14"/>
    </i>
    <i>
      <x v="15"/>
    </i>
    <i>
      <x v="16"/>
    </i>
    <i>
      <x v="17"/>
    </i>
    <i t="grand">
      <x/>
    </i>
  </colItems>
  <dataFields count="1">
    <dataField name="Sum of Actual Total " fld="5" baseField="0" baseItem="0" numFmtId="168"/>
  </dataFields>
  <formats count="1">
    <format dxfId="2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info@emergentenergy.co.za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info@emergentenergy.co.za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FDD45-C47A-4B13-B897-2B58778AEC00}">
  <sheetPr codeName="Sheet1">
    <pageSetUpPr fitToPage="1"/>
  </sheetPr>
  <dimension ref="B1:O26"/>
  <sheetViews>
    <sheetView view="pageBreakPreview" zoomScaleNormal="115" zoomScaleSheetLayoutView="100" workbookViewId="0">
      <selection activeCell="C34" sqref="C34"/>
    </sheetView>
  </sheetViews>
  <sheetFormatPr defaultRowHeight="14.45"/>
  <cols>
    <col min="1" max="1" width="6" customWidth="1"/>
    <col min="2" max="2" width="21.28515625" customWidth="1"/>
    <col min="3" max="3" width="28.7109375" customWidth="1"/>
    <col min="4" max="4" width="15.42578125" customWidth="1"/>
    <col min="5" max="5" width="16.5703125" customWidth="1"/>
    <col min="6" max="6" width="5.7109375" customWidth="1"/>
  </cols>
  <sheetData>
    <row r="1" spans="2:15" ht="15" thickBot="1"/>
    <row r="2" spans="2:15" ht="18.600000000000001">
      <c r="B2" s="672" t="s">
        <v>0</v>
      </c>
      <c r="C2" s="672"/>
      <c r="D2" s="672"/>
      <c r="E2" s="672"/>
      <c r="H2" s="673" t="s">
        <v>1</v>
      </c>
      <c r="I2" s="674"/>
      <c r="J2" s="674"/>
      <c r="K2" s="674"/>
      <c r="L2" s="674"/>
      <c r="M2" s="674"/>
      <c r="N2" s="674"/>
      <c r="O2" s="675"/>
    </row>
    <row r="3" spans="2:15">
      <c r="B3" s="615"/>
      <c r="H3" s="676"/>
      <c r="I3" s="677"/>
      <c r="J3" s="677"/>
      <c r="K3" s="677"/>
      <c r="L3" s="677"/>
      <c r="M3" s="677"/>
      <c r="N3" s="677"/>
      <c r="O3" s="678"/>
    </row>
    <row r="4" spans="2:15">
      <c r="B4" s="616" t="s">
        <v>2</v>
      </c>
      <c r="C4" s="617" t="str">
        <f>'Project Plan'!E2</f>
        <v>Shoprite Mini Riversdal</v>
      </c>
      <c r="H4" s="676"/>
      <c r="I4" s="677"/>
      <c r="J4" s="677"/>
      <c r="K4" s="677"/>
      <c r="L4" s="677"/>
      <c r="M4" s="677"/>
      <c r="N4" s="677"/>
      <c r="O4" s="678"/>
    </row>
    <row r="5" spans="2:15">
      <c r="B5" s="616" t="s">
        <v>3</v>
      </c>
      <c r="C5" s="617" t="s">
        <v>4</v>
      </c>
      <c r="H5" s="676"/>
      <c r="I5" s="677"/>
      <c r="J5" s="677"/>
      <c r="K5" s="677"/>
      <c r="L5" s="677"/>
      <c r="M5" s="677"/>
      <c r="N5" s="677"/>
      <c r="O5" s="678"/>
    </row>
    <row r="6" spans="2:15">
      <c r="B6" s="616" t="s">
        <v>5</v>
      </c>
      <c r="C6" s="617" t="s">
        <v>6</v>
      </c>
      <c r="H6" s="676"/>
      <c r="I6" s="677"/>
      <c r="J6" s="677"/>
      <c r="K6" s="677"/>
      <c r="L6" s="677"/>
      <c r="M6" s="677"/>
      <c r="N6" s="677"/>
      <c r="O6" s="678"/>
    </row>
    <row r="7" spans="2:15">
      <c r="B7" s="616" t="s">
        <v>7</v>
      </c>
      <c r="C7" s="617" t="s">
        <v>8</v>
      </c>
      <c r="H7" s="676"/>
      <c r="I7" s="677"/>
      <c r="J7" s="677"/>
      <c r="K7" s="677"/>
      <c r="L7" s="677"/>
      <c r="M7" s="677"/>
      <c r="N7" s="677"/>
      <c r="O7" s="678"/>
    </row>
    <row r="8" spans="2:15">
      <c r="B8" s="615"/>
      <c r="H8" s="676"/>
      <c r="I8" s="677"/>
      <c r="J8" s="677"/>
      <c r="K8" s="677"/>
      <c r="L8" s="677"/>
      <c r="M8" s="677"/>
      <c r="N8" s="677"/>
      <c r="O8" s="678"/>
    </row>
    <row r="9" spans="2:15">
      <c r="B9" s="682" t="s">
        <v>9</v>
      </c>
      <c r="C9" s="682"/>
      <c r="D9" s="682"/>
      <c r="E9" s="682"/>
      <c r="H9" s="676"/>
      <c r="I9" s="677"/>
      <c r="J9" s="677"/>
      <c r="K9" s="677"/>
      <c r="L9" s="677"/>
      <c r="M9" s="677"/>
      <c r="N9" s="677"/>
      <c r="O9" s="678"/>
    </row>
    <row r="10" spans="2:15" ht="15" thickBot="1">
      <c r="B10" s="682" t="s">
        <v>10</v>
      </c>
      <c r="C10" s="682"/>
      <c r="D10" s="682"/>
      <c r="E10" s="682"/>
      <c r="H10" s="679"/>
      <c r="I10" s="680"/>
      <c r="J10" s="680"/>
      <c r="K10" s="680"/>
      <c r="L10" s="680"/>
      <c r="M10" s="680"/>
      <c r="N10" s="680"/>
      <c r="O10" s="681"/>
    </row>
    <row r="11" spans="2:15">
      <c r="B11" s="618" t="s">
        <v>11</v>
      </c>
      <c r="C11" s="670"/>
      <c r="D11" s="670"/>
      <c r="E11" s="670"/>
    </row>
    <row r="12" spans="2:15">
      <c r="B12" s="618" t="s">
        <v>12</v>
      </c>
      <c r="C12" s="670"/>
      <c r="D12" s="670"/>
      <c r="E12" s="670"/>
    </row>
    <row r="13" spans="2:15">
      <c r="B13" s="618" t="s">
        <v>13</v>
      </c>
      <c r="C13" s="670"/>
      <c r="D13" s="670"/>
      <c r="E13" s="670"/>
    </row>
    <row r="14" spans="2:15">
      <c r="B14" s="618" t="s">
        <v>14</v>
      </c>
      <c r="C14" s="670"/>
      <c r="D14" s="670"/>
      <c r="E14" s="670"/>
    </row>
    <row r="15" spans="2:15">
      <c r="B15" s="618" t="s">
        <v>15</v>
      </c>
      <c r="C15" s="670"/>
      <c r="D15" s="670"/>
      <c r="E15" s="670"/>
    </row>
    <row r="16" spans="2:15" ht="15" customHeight="1">
      <c r="B16" s="618" t="s">
        <v>16</v>
      </c>
      <c r="C16" s="670"/>
      <c r="D16" s="670"/>
      <c r="E16" s="670"/>
    </row>
    <row r="17" spans="2:5">
      <c r="B17" s="615"/>
    </row>
    <row r="18" spans="2:5">
      <c r="B18" s="671" t="s">
        <v>17</v>
      </c>
      <c r="C18" s="671"/>
      <c r="D18" s="671"/>
      <c r="E18" s="671"/>
    </row>
    <row r="19" spans="2:5">
      <c r="B19" s="618" t="s">
        <v>18</v>
      </c>
      <c r="C19" s="618" t="s">
        <v>19</v>
      </c>
      <c r="D19" s="618" t="s">
        <v>20</v>
      </c>
      <c r="E19" s="618" t="s">
        <v>21</v>
      </c>
    </row>
    <row r="20" spans="2:5" ht="15" customHeight="1">
      <c r="B20" s="618"/>
      <c r="C20" s="618"/>
      <c r="D20" s="619"/>
      <c r="E20" s="618"/>
    </row>
    <row r="21" spans="2:5">
      <c r="B21" s="618"/>
      <c r="C21" s="618"/>
      <c r="D21" s="618"/>
      <c r="E21" s="618"/>
    </row>
    <row r="22" spans="2:5">
      <c r="B22" s="618"/>
      <c r="C22" s="618"/>
      <c r="D22" s="618"/>
      <c r="E22" s="618"/>
    </row>
    <row r="23" spans="2:5">
      <c r="B23" s="618"/>
      <c r="C23" s="618"/>
      <c r="D23" s="618"/>
      <c r="E23" s="618"/>
    </row>
    <row r="24" spans="2:5">
      <c r="B24" s="618"/>
      <c r="C24" s="618"/>
      <c r="D24" s="618"/>
      <c r="E24" s="618"/>
    </row>
    <row r="25" spans="2:5">
      <c r="B25" s="618"/>
      <c r="C25" s="618"/>
      <c r="D25" s="618"/>
      <c r="E25" s="618"/>
    </row>
    <row r="26" spans="2:5">
      <c r="B26" s="615"/>
    </row>
  </sheetData>
  <mergeCells count="11">
    <mergeCell ref="C12:E12"/>
    <mergeCell ref="B2:E2"/>
    <mergeCell ref="H2:O10"/>
    <mergeCell ref="B9:E9"/>
    <mergeCell ref="B10:E10"/>
    <mergeCell ref="C11:E11"/>
    <mergeCell ref="C16:E16"/>
    <mergeCell ref="B18:E18"/>
    <mergeCell ref="C13:E13"/>
    <mergeCell ref="C14:E14"/>
    <mergeCell ref="C15:E15"/>
  </mergeCells>
  <pageMargins left="0.7" right="0.7" top="0.75" bottom="0.75" header="0.3" footer="0.3"/>
  <pageSetup paperSize="9" scale="93" fitToHeight="0" orientation="portrait" r:id="rId1"/>
  <colBreaks count="1" manualBreakCount="1">
    <brk id="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B9040-D04F-4C46-A440-28D62721F8B3}">
  <sheetPr codeName="Sheet8">
    <pageSetUpPr fitToPage="1"/>
  </sheetPr>
  <dimension ref="B1:O32"/>
  <sheetViews>
    <sheetView view="pageBreakPreview" zoomScaleNormal="115" zoomScaleSheetLayoutView="100" workbookViewId="0">
      <selection activeCell="E5" sqref="E5"/>
    </sheetView>
  </sheetViews>
  <sheetFormatPr defaultRowHeight="14.45"/>
  <cols>
    <col min="1" max="1" width="6" customWidth="1"/>
    <col min="2" max="2" width="21.28515625" customWidth="1"/>
    <col min="3" max="3" width="28.7109375" customWidth="1"/>
    <col min="4" max="4" width="15.42578125" customWidth="1"/>
    <col min="5" max="5" width="16.5703125" customWidth="1"/>
    <col min="6" max="6" width="5.7109375" customWidth="1"/>
  </cols>
  <sheetData>
    <row r="1" spans="2:15" ht="15" thickBot="1"/>
    <row r="2" spans="2:15" ht="18.600000000000001">
      <c r="B2" s="672" t="s">
        <v>22</v>
      </c>
      <c r="C2" s="672"/>
      <c r="D2" s="672"/>
      <c r="E2" s="672"/>
      <c r="H2" s="673" t="s">
        <v>23</v>
      </c>
      <c r="I2" s="674"/>
      <c r="J2" s="674"/>
      <c r="K2" s="674"/>
      <c r="L2" s="674"/>
      <c r="M2" s="674"/>
      <c r="N2" s="674"/>
      <c r="O2" s="675"/>
    </row>
    <row r="3" spans="2:15">
      <c r="B3" s="615"/>
      <c r="H3" s="676"/>
      <c r="I3" s="677"/>
      <c r="J3" s="677"/>
      <c r="K3" s="677"/>
      <c r="L3" s="677"/>
      <c r="M3" s="677"/>
      <c r="N3" s="677"/>
      <c r="O3" s="678"/>
    </row>
    <row r="4" spans="2:15">
      <c r="B4" s="616" t="s">
        <v>2</v>
      </c>
      <c r="C4" s="617" t="str">
        <f>'Project Plan'!E2</f>
        <v>Shoprite Mini Riversdal</v>
      </c>
      <c r="H4" s="676"/>
      <c r="I4" s="677"/>
      <c r="J4" s="677"/>
      <c r="K4" s="677"/>
      <c r="L4" s="677"/>
      <c r="M4" s="677"/>
      <c r="N4" s="677"/>
      <c r="O4" s="678"/>
    </row>
    <row r="5" spans="2:15">
      <c r="B5" s="616" t="s">
        <v>24</v>
      </c>
      <c r="C5" s="617"/>
      <c r="H5" s="676"/>
      <c r="I5" s="677"/>
      <c r="J5" s="677"/>
      <c r="K5" s="677"/>
      <c r="L5" s="677"/>
      <c r="M5" s="677"/>
      <c r="N5" s="677"/>
      <c r="O5" s="678"/>
    </row>
    <row r="6" spans="2:15">
      <c r="B6" s="616" t="s">
        <v>5</v>
      </c>
      <c r="C6" s="617" t="s">
        <v>6</v>
      </c>
      <c r="H6" s="676"/>
      <c r="I6" s="677"/>
      <c r="J6" s="677"/>
      <c r="K6" s="677"/>
      <c r="L6" s="677"/>
      <c r="M6" s="677"/>
      <c r="N6" s="677"/>
      <c r="O6" s="678"/>
    </row>
    <row r="7" spans="2:15">
      <c r="B7" s="616" t="s">
        <v>25</v>
      </c>
      <c r="C7" s="617" t="str">
        <f>'Project Plan'!E5</f>
        <v>Justin Franke</v>
      </c>
      <c r="H7" s="676"/>
      <c r="I7" s="677"/>
      <c r="J7" s="677"/>
      <c r="K7" s="677"/>
      <c r="L7" s="677"/>
      <c r="M7" s="677"/>
      <c r="N7" s="677"/>
      <c r="O7" s="678"/>
    </row>
    <row r="8" spans="2:15">
      <c r="B8" s="616" t="s">
        <v>26</v>
      </c>
      <c r="C8" s="617"/>
      <c r="H8" s="676"/>
      <c r="I8" s="677"/>
      <c r="J8" s="677"/>
      <c r="K8" s="677"/>
      <c r="L8" s="677"/>
      <c r="M8" s="677"/>
      <c r="N8" s="677"/>
      <c r="O8" s="678"/>
    </row>
    <row r="9" spans="2:15">
      <c r="B9" s="615"/>
      <c r="H9" s="676"/>
      <c r="I9" s="677"/>
      <c r="J9" s="677"/>
      <c r="K9" s="677"/>
      <c r="L9" s="677"/>
      <c r="M9" s="677"/>
      <c r="N9" s="677"/>
      <c r="O9" s="678"/>
    </row>
    <row r="10" spans="2:15">
      <c r="B10" s="682" t="s">
        <v>9</v>
      </c>
      <c r="C10" s="682"/>
      <c r="D10" s="682"/>
      <c r="E10" s="682"/>
      <c r="H10" s="676"/>
      <c r="I10" s="677"/>
      <c r="J10" s="677"/>
      <c r="K10" s="677"/>
      <c r="L10" s="677"/>
      <c r="M10" s="677"/>
      <c r="N10" s="677"/>
      <c r="O10" s="678"/>
    </row>
    <row r="11" spans="2:15" ht="15" thickBot="1">
      <c r="B11" s="682" t="s">
        <v>10</v>
      </c>
      <c r="C11" s="682"/>
      <c r="D11" s="682"/>
      <c r="E11" s="682"/>
      <c r="H11" s="679"/>
      <c r="I11" s="680"/>
      <c r="J11" s="680"/>
      <c r="K11" s="680"/>
      <c r="L11" s="680"/>
      <c r="M11" s="680"/>
      <c r="N11" s="680"/>
      <c r="O11" s="681"/>
    </row>
    <row r="12" spans="2:15" ht="24.95">
      <c r="B12" s="618" t="s">
        <v>27</v>
      </c>
      <c r="C12" s="670"/>
      <c r="D12" s="670"/>
      <c r="E12" s="670"/>
    </row>
    <row r="13" spans="2:15">
      <c r="B13" s="618" t="s">
        <v>28</v>
      </c>
      <c r="C13" s="670"/>
      <c r="D13" s="670"/>
      <c r="E13" s="670"/>
    </row>
    <row r="14" spans="2:15">
      <c r="B14" s="618" t="s">
        <v>29</v>
      </c>
      <c r="C14" s="670"/>
      <c r="D14" s="670"/>
      <c r="E14" s="670"/>
    </row>
    <row r="15" spans="2:15">
      <c r="B15" s="618" t="s">
        <v>30</v>
      </c>
      <c r="C15" s="670"/>
      <c r="D15" s="670"/>
      <c r="E15" s="670"/>
    </row>
    <row r="16" spans="2:15" ht="24.95">
      <c r="B16" s="618" t="s">
        <v>31</v>
      </c>
      <c r="C16" s="670"/>
      <c r="D16" s="670"/>
      <c r="E16" s="670"/>
    </row>
    <row r="17" spans="2:5">
      <c r="B17" s="618" t="s">
        <v>32</v>
      </c>
      <c r="C17" s="670"/>
      <c r="D17" s="670"/>
      <c r="E17" s="670"/>
    </row>
    <row r="18" spans="2:5">
      <c r="B18" s="618" t="s">
        <v>33</v>
      </c>
      <c r="C18" s="670"/>
      <c r="D18" s="670"/>
      <c r="E18" s="670"/>
    </row>
    <row r="19" spans="2:5">
      <c r="B19" s="618" t="s">
        <v>34</v>
      </c>
      <c r="C19" s="670"/>
      <c r="D19" s="670"/>
      <c r="E19" s="670"/>
    </row>
    <row r="20" spans="2:5">
      <c r="B20" s="618" t="s">
        <v>35</v>
      </c>
      <c r="C20" s="670"/>
      <c r="D20" s="670"/>
      <c r="E20" s="670"/>
    </row>
    <row r="21" spans="2:5">
      <c r="B21" s="618" t="s">
        <v>36</v>
      </c>
      <c r="C21" s="670"/>
      <c r="D21" s="670"/>
      <c r="E21" s="670"/>
    </row>
    <row r="22" spans="2:5" ht="15" customHeight="1">
      <c r="B22" s="618" t="s">
        <v>16</v>
      </c>
      <c r="C22" s="670"/>
      <c r="D22" s="670"/>
      <c r="E22" s="670"/>
    </row>
    <row r="23" spans="2:5">
      <c r="B23" s="615"/>
    </row>
    <row r="24" spans="2:5">
      <c r="B24" s="671" t="s">
        <v>17</v>
      </c>
      <c r="C24" s="671"/>
      <c r="D24" s="671"/>
      <c r="E24" s="671"/>
    </row>
    <row r="25" spans="2:5">
      <c r="B25" s="618" t="s">
        <v>18</v>
      </c>
      <c r="C25" s="618" t="s">
        <v>19</v>
      </c>
      <c r="D25" s="618" t="s">
        <v>20</v>
      </c>
      <c r="E25" s="618" t="s">
        <v>21</v>
      </c>
    </row>
    <row r="26" spans="2:5" ht="15" customHeight="1">
      <c r="B26" s="618"/>
      <c r="C26" s="618"/>
      <c r="D26" s="619"/>
      <c r="E26" s="618"/>
    </row>
    <row r="27" spans="2:5">
      <c r="B27" s="618"/>
      <c r="C27" s="618"/>
      <c r="D27" s="618"/>
      <c r="E27" s="618"/>
    </row>
    <row r="28" spans="2:5">
      <c r="B28" s="618"/>
      <c r="C28" s="618"/>
      <c r="D28" s="618"/>
      <c r="E28" s="618"/>
    </row>
    <row r="29" spans="2:5">
      <c r="B29" s="618"/>
      <c r="C29" s="618"/>
      <c r="D29" s="618"/>
      <c r="E29" s="618"/>
    </row>
    <row r="30" spans="2:5">
      <c r="B30" s="618"/>
      <c r="C30" s="618"/>
      <c r="D30" s="618"/>
      <c r="E30" s="618"/>
    </row>
    <row r="31" spans="2:5">
      <c r="B31" s="618"/>
      <c r="C31" s="618"/>
      <c r="D31" s="618"/>
      <c r="E31" s="618"/>
    </row>
    <row r="32" spans="2:5">
      <c r="B32" s="615"/>
    </row>
  </sheetData>
  <mergeCells count="16">
    <mergeCell ref="C21:E21"/>
    <mergeCell ref="C22:E22"/>
    <mergeCell ref="B24:E24"/>
    <mergeCell ref="H2:O11"/>
    <mergeCell ref="C15:E15"/>
    <mergeCell ref="C16:E16"/>
    <mergeCell ref="C17:E17"/>
    <mergeCell ref="C18:E18"/>
    <mergeCell ref="C19:E19"/>
    <mergeCell ref="C20:E20"/>
    <mergeCell ref="B2:E2"/>
    <mergeCell ref="B10:E10"/>
    <mergeCell ref="B11:E11"/>
    <mergeCell ref="C12:E12"/>
    <mergeCell ref="C13:E13"/>
    <mergeCell ref="C14:E14"/>
  </mergeCells>
  <pageMargins left="0.7" right="0.7" top="0.75" bottom="0.75" header="0.3" footer="0.3"/>
  <pageSetup paperSize="9" scale="93" fitToHeight="0" orientation="portrait" r:id="rId1"/>
  <colBreaks count="1" manualBreakCount="1">
    <brk id="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2C9F5-01BD-44B7-BA47-6093F3C734B0}">
  <sheetPr codeName="Sheet14"/>
  <dimension ref="B1:O7"/>
  <sheetViews>
    <sheetView showGridLines="0" zoomScaleNormal="100" workbookViewId="0">
      <selection activeCell="C13" sqref="C13"/>
    </sheetView>
  </sheetViews>
  <sheetFormatPr defaultColWidth="9.42578125" defaultRowHeight="14.45"/>
  <cols>
    <col min="1" max="1" width="0.7109375" customWidth="1"/>
    <col min="2" max="2" width="8.42578125" bestFit="1" customWidth="1"/>
    <col min="3" max="3" width="45.28515625" customWidth="1"/>
    <col min="4" max="4" width="17.42578125" customWidth="1"/>
    <col min="5" max="5" width="34.42578125" customWidth="1"/>
    <col min="6" max="6" width="15.42578125" customWidth="1"/>
    <col min="7" max="7" width="12" bestFit="1" customWidth="1"/>
    <col min="8" max="8" width="9.42578125" bestFit="1" customWidth="1"/>
    <col min="9" max="9" width="12.28515625" bestFit="1" customWidth="1"/>
    <col min="10" max="10" width="14.28515625" customWidth="1"/>
    <col min="11" max="11" width="77.7109375" customWidth="1"/>
  </cols>
  <sheetData>
    <row r="1" spans="2:15">
      <c r="B1" s="685"/>
      <c r="C1" s="686"/>
      <c r="D1" s="686"/>
      <c r="E1" s="686"/>
      <c r="F1" s="683" t="s">
        <v>37</v>
      </c>
      <c r="G1" s="683"/>
      <c r="H1" s="683"/>
      <c r="I1" s="683"/>
      <c r="J1" s="683"/>
      <c r="K1" s="684"/>
      <c r="L1" s="13"/>
      <c r="M1" s="13"/>
      <c r="N1" s="13"/>
      <c r="O1" s="13"/>
    </row>
    <row r="2" spans="2:15" ht="6.75" customHeight="1"/>
    <row r="3" spans="2:15" s="622" customFormat="1" ht="29.1">
      <c r="B3" s="14" t="s">
        <v>38</v>
      </c>
      <c r="C3" s="14" t="s">
        <v>39</v>
      </c>
      <c r="D3" s="14" t="s">
        <v>40</v>
      </c>
      <c r="E3" s="14" t="s">
        <v>41</v>
      </c>
      <c r="F3" s="14" t="s">
        <v>42</v>
      </c>
      <c r="G3" s="14" t="s">
        <v>43</v>
      </c>
      <c r="H3" s="14" t="s">
        <v>44</v>
      </c>
      <c r="I3" s="14" t="s">
        <v>45</v>
      </c>
      <c r="J3" s="14" t="s">
        <v>46</v>
      </c>
      <c r="K3" s="14" t="s">
        <v>47</v>
      </c>
    </row>
    <row r="4" spans="2:15">
      <c r="B4" s="12" t="s">
        <v>48</v>
      </c>
      <c r="C4" s="10"/>
      <c r="D4" s="10"/>
      <c r="E4" s="10"/>
      <c r="F4" s="620"/>
      <c r="G4" s="10"/>
      <c r="H4" s="12"/>
      <c r="I4" s="12"/>
      <c r="J4" s="621"/>
      <c r="K4" s="7"/>
    </row>
    <row r="5" spans="2:15">
      <c r="B5" s="12" t="s">
        <v>49</v>
      </c>
      <c r="C5" s="10"/>
      <c r="D5" s="10"/>
      <c r="E5" s="10"/>
      <c r="F5" s="10"/>
      <c r="G5" s="10"/>
      <c r="H5" s="12"/>
      <c r="I5" s="12"/>
      <c r="J5" s="12"/>
      <c r="K5" s="7"/>
    </row>
    <row r="6" spans="2:15">
      <c r="B6" s="12" t="s">
        <v>50</v>
      </c>
      <c r="C6" s="10"/>
      <c r="D6" s="10"/>
      <c r="E6" s="10"/>
      <c r="F6" s="10"/>
      <c r="G6" s="10"/>
      <c r="H6" s="12"/>
      <c r="I6" s="12"/>
      <c r="J6" s="12"/>
      <c r="K6" s="7"/>
    </row>
    <row r="7" spans="2:15">
      <c r="B7" s="12" t="s">
        <v>51</v>
      </c>
      <c r="C7" s="10"/>
      <c r="D7" s="10"/>
      <c r="E7" s="10"/>
      <c r="F7" s="10"/>
      <c r="G7" s="10"/>
      <c r="H7" s="12"/>
      <c r="I7" s="12"/>
      <c r="J7" s="12"/>
      <c r="K7" s="7"/>
    </row>
  </sheetData>
  <mergeCells count="2">
    <mergeCell ref="F1:K1"/>
    <mergeCell ref="B1:E1"/>
  </mergeCells>
  <phoneticPr fontId="11" type="noConversion"/>
  <conditionalFormatting sqref="H4:H7">
    <cfRule type="containsText" dxfId="25" priority="1" operator="containsText" text="Pending">
      <formula>NOT(ISERROR(SEARCH("Pending",H4)))</formula>
    </cfRule>
    <cfRule type="containsText" dxfId="24" priority="2" operator="containsText" text="Declined">
      <formula>NOT(ISERROR(SEARCH("Declined",H4)))</formula>
    </cfRule>
    <cfRule type="containsText" dxfId="23" priority="3" operator="containsText" text="Abanded">
      <formula>NOT(ISERROR(SEARCH("Abanded",H4)))</formula>
    </cfRule>
    <cfRule type="containsText" dxfId="22" priority="4" operator="containsText" text="Declined">
      <formula>NOT(ISERROR(SEARCH("Declined",H4)))</formula>
    </cfRule>
    <cfRule type="containsText" dxfId="21" priority="5" operator="containsText" text="Approved">
      <formula>NOT(ISERROR(SEARCH("Approved",H4)))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30BC4B-BD35-4127-B867-FC0C1DA067A9}">
          <x14:formula1>
            <xm:f>Data!$F$3:$F$6</xm:f>
          </x14:formula1>
          <xm:sqref>H4:H7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AE692-D5B4-456C-A27A-F14196D7B955}">
  <sheetPr codeName="Sheet12"/>
  <dimension ref="B1:J28"/>
  <sheetViews>
    <sheetView showGridLines="0" zoomScaleNormal="100" workbookViewId="0">
      <selection activeCell="F9" sqref="F5:F9"/>
    </sheetView>
  </sheetViews>
  <sheetFormatPr defaultColWidth="9.42578125" defaultRowHeight="14.45"/>
  <cols>
    <col min="1" max="1" width="7.42578125" customWidth="1"/>
    <col min="2" max="2" width="37.7109375" customWidth="1"/>
    <col min="3" max="3" width="9.42578125" bestFit="1" customWidth="1"/>
    <col min="4" max="4" width="12.28515625" bestFit="1" customWidth="1"/>
    <col min="5" max="5" width="10.42578125" customWidth="1"/>
    <col min="6" max="6" width="33.7109375" customWidth="1"/>
  </cols>
  <sheetData>
    <row r="1" spans="2:10" ht="15" thickBot="1"/>
    <row r="2" spans="2:10" ht="15.6" thickTop="1" thickBot="1">
      <c r="B2" s="687" t="s">
        <v>52</v>
      </c>
      <c r="C2" s="688"/>
      <c r="D2" s="688"/>
      <c r="E2" s="688"/>
      <c r="F2" s="689"/>
      <c r="G2" s="13"/>
      <c r="H2" s="13"/>
      <c r="I2" s="13"/>
      <c r="J2" s="13"/>
    </row>
    <row r="3" spans="2:10" ht="6.75" customHeight="1" thickTop="1"/>
    <row r="4" spans="2:10">
      <c r="B4" s="8" t="s">
        <v>53</v>
      </c>
      <c r="C4" s="14" t="s">
        <v>44</v>
      </c>
      <c r="D4" s="14" t="s">
        <v>45</v>
      </c>
      <c r="E4" s="14" t="s">
        <v>21</v>
      </c>
      <c r="F4" s="14" t="s">
        <v>47</v>
      </c>
    </row>
    <row r="5" spans="2:10">
      <c r="B5" s="10" t="s">
        <v>54</v>
      </c>
      <c r="C5" s="12"/>
      <c r="D5" s="12"/>
      <c r="E5" s="12"/>
      <c r="F5" s="7"/>
    </row>
    <row r="6" spans="2:10">
      <c r="B6" s="10" t="s">
        <v>55</v>
      </c>
      <c r="C6" s="12"/>
      <c r="D6" s="12"/>
      <c r="E6" s="12"/>
      <c r="F6" s="7"/>
    </row>
    <row r="7" spans="2:10">
      <c r="B7" s="10" t="s">
        <v>56</v>
      </c>
      <c r="C7" s="12"/>
      <c r="D7" s="12"/>
      <c r="E7" s="12"/>
      <c r="F7" s="7"/>
    </row>
    <row r="8" spans="2:10">
      <c r="B8" s="10" t="s">
        <v>57</v>
      </c>
      <c r="C8" s="12"/>
      <c r="D8" s="12"/>
      <c r="E8" s="12"/>
      <c r="F8" s="7"/>
    </row>
    <row r="9" spans="2:10">
      <c r="B9" s="11" t="s">
        <v>58</v>
      </c>
      <c r="C9" s="11"/>
      <c r="D9" s="11"/>
      <c r="E9" s="11"/>
      <c r="F9" s="7"/>
    </row>
    <row r="10" spans="2:10">
      <c r="B10" s="11"/>
      <c r="C10" s="11"/>
      <c r="D10" s="11"/>
      <c r="E10" s="11"/>
      <c r="F10" s="7"/>
    </row>
    <row r="11" spans="2:10">
      <c r="B11" s="11"/>
      <c r="C11" s="11"/>
      <c r="D11" s="11"/>
      <c r="E11" s="11"/>
      <c r="F11" s="7"/>
    </row>
    <row r="12" spans="2:10">
      <c r="B12" s="11"/>
      <c r="C12" s="11"/>
      <c r="D12" s="11"/>
      <c r="E12" s="11"/>
      <c r="F12" s="7"/>
    </row>
    <row r="13" spans="2:10">
      <c r="B13" s="11"/>
      <c r="C13" s="11"/>
      <c r="D13" s="11"/>
      <c r="E13" s="11"/>
      <c r="F13" s="7"/>
    </row>
    <row r="14" spans="2:10">
      <c r="B14" s="11"/>
      <c r="C14" s="11"/>
      <c r="D14" s="11"/>
      <c r="E14" s="11"/>
      <c r="F14" s="7"/>
    </row>
    <row r="15" spans="2:10" ht="15" thickBot="1"/>
    <row r="16" spans="2:10" ht="15.6" thickTop="1" thickBot="1">
      <c r="B16" s="687" t="s">
        <v>59</v>
      </c>
      <c r="C16" s="688"/>
      <c r="D16" s="688"/>
      <c r="E16" s="688"/>
      <c r="F16" s="689"/>
    </row>
    <row r="17" spans="2:6" ht="15" thickTop="1"/>
    <row r="18" spans="2:6">
      <c r="B18" s="8" t="s">
        <v>53</v>
      </c>
      <c r="C18" s="14" t="s">
        <v>44</v>
      </c>
      <c r="D18" s="14" t="s">
        <v>45</v>
      </c>
      <c r="E18" s="14" t="s">
        <v>21</v>
      </c>
      <c r="F18" s="14" t="s">
        <v>47</v>
      </c>
    </row>
    <row r="19" spans="2:6">
      <c r="B19" s="10" t="s">
        <v>36</v>
      </c>
      <c r="C19" s="12"/>
      <c r="D19" s="12"/>
      <c r="E19" s="12"/>
      <c r="F19" s="7"/>
    </row>
    <row r="20" spans="2:6">
      <c r="B20" s="10" t="s">
        <v>60</v>
      </c>
      <c r="C20" s="12"/>
      <c r="D20" s="12"/>
      <c r="E20" s="12"/>
      <c r="F20" s="7"/>
    </row>
    <row r="21" spans="2:6">
      <c r="B21" s="10" t="s">
        <v>61</v>
      </c>
      <c r="C21" s="12"/>
      <c r="D21" s="12"/>
      <c r="E21" s="12"/>
      <c r="F21" s="7"/>
    </row>
    <row r="22" spans="2:6">
      <c r="B22" s="10"/>
      <c r="C22" s="12"/>
      <c r="D22" s="12"/>
      <c r="E22" s="12"/>
      <c r="F22" s="7"/>
    </row>
    <row r="23" spans="2:6">
      <c r="B23" s="11"/>
      <c r="C23" s="11"/>
      <c r="D23" s="11"/>
      <c r="E23" s="11"/>
      <c r="F23" s="7"/>
    </row>
    <row r="24" spans="2:6">
      <c r="B24" s="11"/>
      <c r="C24" s="11"/>
      <c r="D24" s="11"/>
      <c r="E24" s="11"/>
      <c r="F24" s="7"/>
    </row>
    <row r="25" spans="2:6">
      <c r="B25" s="11"/>
      <c r="C25" s="11"/>
      <c r="D25" s="11"/>
      <c r="E25" s="11"/>
      <c r="F25" s="7"/>
    </row>
    <row r="26" spans="2:6">
      <c r="B26" s="11"/>
      <c r="C26" s="11"/>
      <c r="D26" s="11"/>
      <c r="E26" s="11"/>
      <c r="F26" s="7"/>
    </row>
    <row r="27" spans="2:6">
      <c r="B27" s="11"/>
      <c r="C27" s="11"/>
      <c r="D27" s="11"/>
      <c r="E27" s="11"/>
      <c r="F27" s="7"/>
    </row>
    <row r="28" spans="2:6">
      <c r="B28" s="11"/>
      <c r="C28" s="11"/>
      <c r="D28" s="11"/>
      <c r="E28" s="11"/>
      <c r="F28" s="7"/>
    </row>
  </sheetData>
  <mergeCells count="2">
    <mergeCell ref="B2:F2"/>
    <mergeCell ref="B16:F16"/>
  </mergeCells>
  <conditionalFormatting sqref="C5:C14">
    <cfRule type="containsText" dxfId="20" priority="6" operator="containsText" text="Pending">
      <formula>NOT(ISERROR(SEARCH("Pending",C5)))</formula>
    </cfRule>
    <cfRule type="containsText" dxfId="19" priority="7" operator="containsText" text="Declined">
      <formula>NOT(ISERROR(SEARCH("Declined",C5)))</formula>
    </cfRule>
    <cfRule type="containsText" dxfId="18" priority="8" operator="containsText" text="Abanded">
      <formula>NOT(ISERROR(SEARCH("Abanded",C5)))</formula>
    </cfRule>
    <cfRule type="containsText" dxfId="17" priority="9" operator="containsText" text="Declined">
      <formula>NOT(ISERROR(SEARCH("Declined",C5)))</formula>
    </cfRule>
    <cfRule type="containsText" dxfId="16" priority="10" operator="containsText" text="Approved">
      <formula>NOT(ISERROR(SEARCH("Approved",C5)))</formula>
    </cfRule>
  </conditionalFormatting>
  <conditionalFormatting sqref="C19:C28">
    <cfRule type="containsText" dxfId="15" priority="1" operator="containsText" text="Pending">
      <formula>NOT(ISERROR(SEARCH("Pending",C19)))</formula>
    </cfRule>
    <cfRule type="containsText" dxfId="14" priority="2" operator="containsText" text="Declined">
      <formula>NOT(ISERROR(SEARCH("Declined",C19)))</formula>
    </cfRule>
    <cfRule type="containsText" dxfId="13" priority="3" operator="containsText" text="Abanded">
      <formula>NOT(ISERROR(SEARCH("Abanded",C19)))</formula>
    </cfRule>
    <cfRule type="containsText" dxfId="12" priority="4" operator="containsText" text="Declined">
      <formula>NOT(ISERROR(SEARCH("Declined",C19)))</formula>
    </cfRule>
    <cfRule type="containsText" dxfId="11" priority="5" operator="containsText" text="Approved">
      <formula>NOT(ISERROR(SEARCH("Approved",C19)))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916852-0161-44DC-8A16-7E302C5E4119}">
          <x14:formula1>
            <xm:f>Data!$F$3:$F$6</xm:f>
          </x14:formula1>
          <xm:sqref>C5:C14 C19:C28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A9E6D-C5C7-42E1-AC04-633FEE481CE5}">
  <sheetPr codeName="Sheet13"/>
  <dimension ref="A1:G192"/>
  <sheetViews>
    <sheetView zoomScaleNormal="100" workbookViewId="0">
      <pane ySplit="2" topLeftCell="A3" activePane="bottomLeft" state="frozen"/>
      <selection pane="bottomLeft" activeCell="B14" sqref="B3:F14"/>
      <selection activeCell="B9" sqref="B2:O51"/>
    </sheetView>
  </sheetViews>
  <sheetFormatPr defaultColWidth="8.42578125" defaultRowHeight="14.1"/>
  <cols>
    <col min="1" max="1" width="1.42578125" style="4" customWidth="1"/>
    <col min="2" max="2" width="30.5703125" style="4" bestFit="1" customWidth="1"/>
    <col min="3" max="3" width="19.5703125" style="4" customWidth="1"/>
    <col min="4" max="4" width="32.7109375" style="4" customWidth="1"/>
    <col min="5" max="5" width="9.5703125" style="4" customWidth="1"/>
    <col min="6" max="6" width="53.42578125" style="4" customWidth="1"/>
    <col min="7" max="16384" width="8.42578125" style="4"/>
  </cols>
  <sheetData>
    <row r="1" spans="1:7" ht="6.75" customHeight="1">
      <c r="A1" s="126"/>
      <c r="B1" s="126"/>
      <c r="C1" s="126"/>
      <c r="D1" s="126"/>
      <c r="E1" s="126"/>
      <c r="F1" s="26"/>
      <c r="G1" s="1"/>
    </row>
    <row r="2" spans="1:7" ht="14.45">
      <c r="A2" s="126"/>
      <c r="B2" s="14" t="s">
        <v>62</v>
      </c>
      <c r="C2" s="14" t="s">
        <v>63</v>
      </c>
      <c r="D2" s="14" t="s">
        <v>39</v>
      </c>
      <c r="E2" s="14" t="s">
        <v>64</v>
      </c>
      <c r="F2" s="14" t="s">
        <v>65</v>
      </c>
      <c r="G2" s="1"/>
    </row>
    <row r="3" spans="1:7">
      <c r="A3" s="126"/>
      <c r="B3" s="603" t="s">
        <v>66</v>
      </c>
      <c r="C3" s="603"/>
      <c r="D3" s="603"/>
      <c r="E3" s="606"/>
      <c r="F3" s="603"/>
      <c r="G3" s="1"/>
    </row>
    <row r="4" spans="1:7">
      <c r="A4" s="126"/>
      <c r="B4" s="603" t="s">
        <v>67</v>
      </c>
      <c r="C4" s="603"/>
      <c r="D4" s="603"/>
      <c r="E4" s="606"/>
      <c r="F4" s="603"/>
      <c r="G4" s="1"/>
    </row>
    <row r="5" spans="1:7">
      <c r="A5" s="126"/>
      <c r="B5" s="603" t="s">
        <v>68</v>
      </c>
      <c r="C5" s="603"/>
      <c r="D5" s="603"/>
      <c r="E5" s="606"/>
      <c r="F5" s="603"/>
      <c r="G5" s="1"/>
    </row>
    <row r="6" spans="1:7">
      <c r="A6" s="126"/>
      <c r="B6" s="603" t="s">
        <v>69</v>
      </c>
      <c r="C6" s="603"/>
      <c r="D6" s="603"/>
      <c r="E6" s="606"/>
      <c r="F6" s="603"/>
      <c r="G6" s="1"/>
    </row>
    <row r="7" spans="1:7">
      <c r="A7" s="126"/>
      <c r="B7" s="603" t="s">
        <v>70</v>
      </c>
      <c r="C7" s="603"/>
      <c r="D7" s="603"/>
      <c r="E7" s="606"/>
      <c r="F7" s="603"/>
      <c r="G7" s="1"/>
    </row>
    <row r="8" spans="1:7">
      <c r="A8" s="126"/>
      <c r="B8" s="603" t="s">
        <v>71</v>
      </c>
      <c r="C8" s="603"/>
      <c r="D8" s="603"/>
      <c r="E8" s="606"/>
      <c r="F8" s="603"/>
      <c r="G8" s="1"/>
    </row>
    <row r="9" spans="1:7">
      <c r="A9" s="126"/>
      <c r="B9" s="603" t="s">
        <v>72</v>
      </c>
      <c r="C9" s="603"/>
      <c r="D9" s="603"/>
      <c r="E9" s="606"/>
      <c r="F9" s="603"/>
      <c r="G9" s="1"/>
    </row>
    <row r="10" spans="1:7">
      <c r="A10" s="126"/>
      <c r="B10" s="603" t="s">
        <v>73</v>
      </c>
      <c r="C10" s="603"/>
      <c r="D10" s="603"/>
      <c r="E10" s="606"/>
      <c r="F10" s="603"/>
      <c r="G10" s="1"/>
    </row>
    <row r="11" spans="1:7">
      <c r="A11" s="126"/>
      <c r="B11" s="603" t="s">
        <v>74</v>
      </c>
      <c r="C11" s="603"/>
      <c r="D11" s="603"/>
      <c r="E11" s="606"/>
      <c r="F11" s="603"/>
      <c r="G11" s="1"/>
    </row>
    <row r="12" spans="1:7">
      <c r="A12" s="126"/>
      <c r="B12" s="603" t="s">
        <v>75</v>
      </c>
      <c r="C12" s="603"/>
      <c r="D12" s="603"/>
      <c r="E12" s="606"/>
      <c r="F12" s="603"/>
      <c r="G12" s="1"/>
    </row>
    <row r="13" spans="1:7">
      <c r="A13" s="126"/>
      <c r="B13" s="603" t="s">
        <v>76</v>
      </c>
      <c r="C13" s="603"/>
      <c r="D13" s="603"/>
      <c r="E13" s="606"/>
      <c r="F13" s="603"/>
      <c r="G13" s="1"/>
    </row>
    <row r="14" spans="1:7">
      <c r="A14" s="126"/>
      <c r="B14" s="603" t="s">
        <v>77</v>
      </c>
      <c r="C14" s="603"/>
      <c r="D14" s="603"/>
      <c r="E14" s="606"/>
      <c r="F14" s="603"/>
      <c r="G14" s="1"/>
    </row>
    <row r="15" spans="1:7">
      <c r="A15" s="126"/>
      <c r="B15" s="603"/>
      <c r="C15" s="603"/>
      <c r="D15" s="603"/>
      <c r="E15" s="606"/>
      <c r="F15" s="603"/>
      <c r="G15" s="1"/>
    </row>
    <row r="16" spans="1:7">
      <c r="A16" s="126"/>
      <c r="B16" s="603"/>
      <c r="C16" s="603"/>
      <c r="D16" s="603"/>
      <c r="E16" s="606"/>
      <c r="F16" s="603"/>
      <c r="G16" s="1"/>
    </row>
    <row r="17" spans="1:7">
      <c r="A17" s="126"/>
      <c r="B17" s="603"/>
      <c r="C17" s="603"/>
      <c r="D17" s="603"/>
      <c r="E17" s="606"/>
      <c r="F17" s="603"/>
      <c r="G17" s="1"/>
    </row>
    <row r="18" spans="1:7">
      <c r="A18" s="126"/>
      <c r="B18" s="603"/>
      <c r="C18" s="603"/>
      <c r="D18" s="603"/>
      <c r="E18" s="606"/>
      <c r="F18" s="603"/>
      <c r="G18" s="1"/>
    </row>
    <row r="19" spans="1:7">
      <c r="A19" s="126"/>
      <c r="B19" s="603"/>
      <c r="C19" s="603"/>
      <c r="D19" s="603"/>
      <c r="E19" s="606"/>
      <c r="F19" s="603"/>
      <c r="G19" s="1"/>
    </row>
    <row r="20" spans="1:7">
      <c r="A20" s="126"/>
      <c r="B20" s="603"/>
      <c r="C20" s="603"/>
      <c r="D20" s="603"/>
      <c r="E20" s="606"/>
      <c r="F20" s="603"/>
      <c r="G20" s="1"/>
    </row>
    <row r="21" spans="1:7">
      <c r="A21" s="126"/>
      <c r="B21" s="603"/>
      <c r="C21" s="603"/>
      <c r="D21" s="603"/>
      <c r="E21" s="606"/>
      <c r="F21" s="603"/>
      <c r="G21" s="1"/>
    </row>
    <row r="22" spans="1:7" s="1" customFormat="1"/>
    <row r="23" spans="1:7">
      <c r="A23" s="26"/>
      <c r="B23" s="605" t="s">
        <v>78</v>
      </c>
      <c r="C23" s="26"/>
      <c r="D23" s="26"/>
      <c r="E23" s="26"/>
      <c r="F23" s="26"/>
      <c r="G23" s="26"/>
    </row>
    <row r="24" spans="1:7">
      <c r="A24" s="26"/>
      <c r="B24" s="604" t="s">
        <v>79</v>
      </c>
      <c r="C24" s="26"/>
      <c r="D24" s="26"/>
      <c r="E24" s="26"/>
      <c r="F24" s="26"/>
    </row>
    <row r="25" spans="1:7">
      <c r="A25" s="26"/>
      <c r="B25" s="604" t="s">
        <v>80</v>
      </c>
      <c r="C25" s="26"/>
      <c r="D25" s="26"/>
      <c r="E25" s="26"/>
      <c r="F25" s="26"/>
    </row>
    <row r="26" spans="1:7">
      <c r="A26" s="26"/>
      <c r="B26" s="604" t="s">
        <v>81</v>
      </c>
      <c r="C26" s="26"/>
      <c r="D26" s="26"/>
      <c r="E26" s="26"/>
      <c r="F26" s="26"/>
    </row>
    <row r="27" spans="1:7">
      <c r="A27" s="26"/>
      <c r="B27" s="604" t="s">
        <v>82</v>
      </c>
      <c r="C27" s="26"/>
      <c r="D27" s="26"/>
      <c r="E27" s="26"/>
      <c r="F27" s="26"/>
    </row>
    <row r="28" spans="1:7">
      <c r="A28" s="26"/>
      <c r="B28" s="604" t="s">
        <v>83</v>
      </c>
      <c r="C28" s="26"/>
      <c r="D28" s="26"/>
      <c r="E28" s="26"/>
      <c r="F28" s="26"/>
    </row>
    <row r="29" spans="1:7">
      <c r="A29" s="26"/>
      <c r="B29" s="604" t="s">
        <v>84</v>
      </c>
      <c r="C29" s="26"/>
      <c r="D29" s="26"/>
      <c r="E29" s="26"/>
      <c r="F29" s="26"/>
    </row>
    <row r="30" spans="1:7">
      <c r="A30" s="26"/>
      <c r="B30" s="604" t="s">
        <v>85</v>
      </c>
      <c r="C30" s="26"/>
      <c r="D30" s="26"/>
      <c r="E30" s="26"/>
      <c r="F30" s="26"/>
    </row>
    <row r="31" spans="1:7">
      <c r="A31" s="26"/>
      <c r="B31" s="604"/>
      <c r="C31" s="26"/>
      <c r="D31" s="26"/>
      <c r="E31" s="26"/>
      <c r="F31" s="26"/>
    </row>
    <row r="32" spans="1:7">
      <c r="A32" s="26"/>
      <c r="B32" s="604"/>
      <c r="C32" s="26"/>
      <c r="D32" s="26"/>
      <c r="E32" s="26"/>
      <c r="F32" s="26"/>
    </row>
    <row r="33" spans="1:6">
      <c r="A33" s="26"/>
      <c r="B33" s="604"/>
      <c r="C33" s="26"/>
      <c r="D33" s="26"/>
      <c r="E33" s="26"/>
      <c r="F33" s="26"/>
    </row>
    <row r="34" spans="1:6">
      <c r="A34" s="26"/>
      <c r="B34" s="604"/>
      <c r="C34" s="26"/>
      <c r="D34" s="26"/>
      <c r="E34" s="26"/>
      <c r="F34" s="26"/>
    </row>
    <row r="35" spans="1:6" s="26" customFormat="1">
      <c r="B35" s="604"/>
    </row>
    <row r="36" spans="1:6" s="26" customFormat="1">
      <c r="B36" s="604"/>
    </row>
    <row r="37" spans="1:6" s="26" customFormat="1">
      <c r="B37" s="604"/>
    </row>
    <row r="38" spans="1:6" s="26" customFormat="1">
      <c r="B38" s="604"/>
    </row>
    <row r="39" spans="1:6" s="26" customFormat="1">
      <c r="B39" s="604"/>
    </row>
    <row r="40" spans="1:6" s="26" customFormat="1">
      <c r="B40" s="604"/>
    </row>
    <row r="41" spans="1:6" s="26" customFormat="1">
      <c r="B41" s="604"/>
    </row>
    <row r="42" spans="1:6" s="26" customFormat="1">
      <c r="B42" s="604"/>
    </row>
    <row r="43" spans="1:6" s="26" customFormat="1">
      <c r="B43" s="604"/>
    </row>
    <row r="44" spans="1:6" s="26" customFormat="1">
      <c r="B44" s="604"/>
    </row>
    <row r="45" spans="1:6" s="26" customFormat="1">
      <c r="B45" s="604"/>
    </row>
    <row r="46" spans="1:6" s="26" customFormat="1">
      <c r="B46" s="604"/>
    </row>
    <row r="47" spans="1:6" s="26" customFormat="1">
      <c r="B47" s="604"/>
    </row>
    <row r="48" spans="1:6" s="26" customFormat="1">
      <c r="B48" s="604"/>
    </row>
    <row r="49" spans="2:2" s="26" customFormat="1">
      <c r="B49" s="604"/>
    </row>
    <row r="50" spans="2:2" s="26" customFormat="1">
      <c r="B50" s="604"/>
    </row>
    <row r="51" spans="2:2" s="26" customFormat="1">
      <c r="B51" s="604"/>
    </row>
    <row r="52" spans="2:2" s="26" customFormat="1">
      <c r="B52" s="604"/>
    </row>
    <row r="53" spans="2:2" s="26" customFormat="1">
      <c r="B53" s="604"/>
    </row>
    <row r="54" spans="2:2" s="26" customFormat="1">
      <c r="B54" s="604"/>
    </row>
    <row r="55" spans="2:2" s="26" customFormat="1"/>
    <row r="56" spans="2:2" s="26" customFormat="1"/>
    <row r="57" spans="2:2" s="26" customFormat="1"/>
    <row r="58" spans="2:2" s="26" customFormat="1"/>
    <row r="59" spans="2:2" s="26" customFormat="1"/>
    <row r="60" spans="2:2" s="26" customFormat="1"/>
    <row r="61" spans="2:2" s="26" customFormat="1"/>
    <row r="62" spans="2:2" s="26" customFormat="1"/>
    <row r="63" spans="2:2" s="26" customFormat="1"/>
    <row r="64" spans="2:2" s="26" customFormat="1"/>
    <row r="65" s="26" customFormat="1"/>
    <row r="66" s="26" customFormat="1"/>
    <row r="67" s="26" customFormat="1"/>
    <row r="68" s="26" customFormat="1"/>
    <row r="69" s="26" customFormat="1"/>
    <row r="70" s="26" customFormat="1"/>
    <row r="71" s="26" customFormat="1"/>
    <row r="72" s="26" customFormat="1"/>
    <row r="73" s="26" customFormat="1"/>
    <row r="74" s="26" customFormat="1"/>
    <row r="75" s="26" customFormat="1"/>
    <row r="76" s="26" customFormat="1"/>
    <row r="77" s="26" customFormat="1"/>
    <row r="78" s="26" customFormat="1"/>
    <row r="79" s="26" customFormat="1"/>
    <row r="80" s="26" customFormat="1"/>
    <row r="81" s="26" customFormat="1"/>
    <row r="82" s="26" customFormat="1"/>
    <row r="83" s="26" customFormat="1"/>
    <row r="84" s="26" customFormat="1"/>
    <row r="85" s="26" customFormat="1"/>
    <row r="86" s="26" customFormat="1"/>
    <row r="87" s="26" customFormat="1"/>
    <row r="88" s="26" customFormat="1"/>
    <row r="89" s="26" customFormat="1"/>
    <row r="90" s="26" customFormat="1"/>
    <row r="91" s="26" customFormat="1"/>
    <row r="92" s="26" customFormat="1"/>
    <row r="93" s="26" customFormat="1"/>
    <row r="94" s="26" customFormat="1"/>
    <row r="95" s="26" customFormat="1"/>
    <row r="96" s="26" customFormat="1"/>
    <row r="97" s="26" customFormat="1"/>
    <row r="98" s="26" customFormat="1"/>
    <row r="99" s="26" customFormat="1"/>
    <row r="100" s="26" customFormat="1"/>
    <row r="101" s="26" customFormat="1"/>
    <row r="102" s="26" customFormat="1"/>
    <row r="103" s="26" customFormat="1"/>
    <row r="104" s="26" customFormat="1"/>
    <row r="105" s="26" customFormat="1"/>
    <row r="106" s="26" customFormat="1"/>
    <row r="107" s="26" customFormat="1"/>
    <row r="108" s="26" customFormat="1"/>
    <row r="109" s="26" customFormat="1"/>
    <row r="110" s="26" customFormat="1"/>
    <row r="111" s="26" customFormat="1"/>
    <row r="112" s="26" customFormat="1"/>
    <row r="113" s="26" customFormat="1"/>
    <row r="114" s="26" customFormat="1"/>
    <row r="115" s="26" customFormat="1"/>
    <row r="116" s="26" customFormat="1"/>
    <row r="117" s="26" customFormat="1"/>
    <row r="118" s="26" customFormat="1"/>
    <row r="119" s="26" customFormat="1"/>
    <row r="120" s="26" customFormat="1"/>
    <row r="121" s="26" customFormat="1"/>
    <row r="122" s="26" customFormat="1"/>
    <row r="123" s="26" customFormat="1"/>
    <row r="124" s="26" customFormat="1"/>
    <row r="125" s="26" customFormat="1"/>
    <row r="126" s="26" customFormat="1"/>
    <row r="127" s="26" customFormat="1"/>
    <row r="128" s="26" customFormat="1"/>
    <row r="129" s="26" customFormat="1"/>
    <row r="130" s="26" customFormat="1"/>
    <row r="131" s="26" customFormat="1"/>
    <row r="132" s="26" customFormat="1"/>
    <row r="133" s="26" customFormat="1"/>
    <row r="134" s="26" customFormat="1"/>
    <row r="135" s="26" customFormat="1"/>
    <row r="136" s="26" customFormat="1"/>
    <row r="137" s="26" customFormat="1"/>
    <row r="138" s="26" customFormat="1"/>
    <row r="139" s="26" customFormat="1"/>
    <row r="140" s="26" customFormat="1"/>
    <row r="141" s="26" customFormat="1"/>
    <row r="142" s="26" customFormat="1"/>
    <row r="143" s="26" customFormat="1"/>
    <row r="144" s="26" customFormat="1"/>
    <row r="145" s="26" customFormat="1"/>
    <row r="146" s="26" customFormat="1"/>
    <row r="147" s="26" customFormat="1"/>
    <row r="148" s="26" customFormat="1"/>
    <row r="149" s="26" customFormat="1"/>
    <row r="150" s="26" customFormat="1"/>
    <row r="151" s="26" customFormat="1"/>
    <row r="152" s="26" customFormat="1"/>
    <row r="153" s="26" customFormat="1"/>
    <row r="154" s="26" customFormat="1"/>
    <row r="155" s="26" customFormat="1"/>
    <row r="156" s="26" customFormat="1"/>
    <row r="157" s="26" customFormat="1"/>
    <row r="158" s="26" customFormat="1"/>
    <row r="159" s="26" customFormat="1"/>
    <row r="160" s="26" customFormat="1"/>
    <row r="161" s="26" customFormat="1"/>
    <row r="162" s="26" customFormat="1"/>
    <row r="163" s="26" customFormat="1"/>
    <row r="164" s="26" customFormat="1"/>
    <row r="165" s="26" customFormat="1"/>
    <row r="166" s="26" customFormat="1"/>
    <row r="167" s="26" customFormat="1"/>
    <row r="168" s="26" customFormat="1"/>
    <row r="169" s="26" customFormat="1"/>
    <row r="170" s="26" customFormat="1"/>
    <row r="171" s="26" customFormat="1"/>
    <row r="172" s="26" customFormat="1"/>
    <row r="173" s="26" customFormat="1"/>
    <row r="174" s="26" customFormat="1"/>
    <row r="175" s="26" customFormat="1"/>
    <row r="176" s="26" customFormat="1"/>
    <row r="177" s="26" customFormat="1"/>
    <row r="178" s="26" customFormat="1"/>
    <row r="179" s="26" customFormat="1"/>
    <row r="180" s="26" customFormat="1"/>
    <row r="181" s="26" customFormat="1"/>
    <row r="182" s="26" customFormat="1"/>
    <row r="183" s="26" customFormat="1"/>
    <row r="184" s="26" customFormat="1"/>
    <row r="185" s="26" customFormat="1"/>
    <row r="186" s="26" customFormat="1"/>
    <row r="187" s="26" customFormat="1"/>
    <row r="188" s="26" customFormat="1"/>
    <row r="189" s="26" customFormat="1"/>
    <row r="190" s="26" customFormat="1"/>
    <row r="191" s="26" customFormat="1"/>
    <row r="192" s="26" customFormat="1"/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B24:B39">
    <sortCondition ref="B24:B39"/>
  </sortState>
  <dataValidations count="1">
    <dataValidation type="list" allowBlank="1" showInputMessage="1" showErrorMessage="1" sqref="C3:C21" xr:uid="{55807D0A-79D0-401E-84DF-5409FCA576A6}">
      <formula1>$B$24:$B$39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C4607-0F5D-492E-B7DD-D363B8A7CCC6}">
  <sheetPr codeName="Sheet15"/>
  <dimension ref="B1:AB47"/>
  <sheetViews>
    <sheetView view="pageBreakPreview" zoomScale="70" zoomScaleNormal="100" zoomScaleSheetLayoutView="70" workbookViewId="0">
      <selection activeCell="V11" sqref="V11"/>
    </sheetView>
  </sheetViews>
  <sheetFormatPr defaultColWidth="9.140625" defaultRowHeight="14.45"/>
  <cols>
    <col min="1" max="1" width="5.85546875" style="630" customWidth="1"/>
    <col min="2" max="2" width="10" style="630" customWidth="1"/>
    <col min="3" max="4" width="12.85546875" style="630" customWidth="1"/>
    <col min="5" max="5" width="15.85546875" style="630" customWidth="1"/>
    <col min="6" max="6" width="17.140625" style="630" customWidth="1"/>
    <col min="7" max="7" width="5.85546875" style="630" customWidth="1"/>
    <col min="8" max="8" width="15.85546875" style="630" customWidth="1"/>
    <col min="9" max="9" width="20" style="630" customWidth="1"/>
    <col min="10" max="10" width="3.5703125" style="630" customWidth="1"/>
    <col min="11" max="16384" width="9.140625" style="630"/>
  </cols>
  <sheetData>
    <row r="1" spans="2:28">
      <c r="M1" s="630" t="s">
        <v>86</v>
      </c>
      <c r="O1" s="630" t="str">
        <f>I14&amp;"-"&amp;C12</f>
        <v>PO1234-DDF-q8o3619i-Schletter Solar</v>
      </c>
    </row>
    <row r="2" spans="2:28">
      <c r="M2" s="631"/>
    </row>
    <row r="3" spans="2:28">
      <c r="B3" s="632" t="s">
        <v>87</v>
      </c>
      <c r="C3" s="633" t="s">
        <v>88</v>
      </c>
      <c r="D3" s="634"/>
      <c r="E3" s="635"/>
      <c r="F3" s="635"/>
      <c r="G3" s="635"/>
      <c r="H3" s="635"/>
      <c r="I3" s="635"/>
      <c r="J3" s="635"/>
    </row>
    <row r="4" spans="2:28">
      <c r="B4" s="632" t="s">
        <v>89</v>
      </c>
      <c r="C4" s="634" t="s">
        <v>90</v>
      </c>
      <c r="D4" s="635"/>
      <c r="E4" s="635"/>
      <c r="F4" s="635"/>
      <c r="G4" s="635"/>
      <c r="H4" s="635"/>
      <c r="I4" s="635"/>
      <c r="J4" s="635"/>
    </row>
    <row r="5" spans="2:28">
      <c r="B5" s="632" t="s">
        <v>91</v>
      </c>
      <c r="C5" s="634" t="s">
        <v>92</v>
      </c>
      <c r="D5" s="635"/>
      <c r="E5" s="635"/>
      <c r="F5" s="635"/>
      <c r="G5" s="635"/>
      <c r="H5" s="635"/>
      <c r="I5" s="635"/>
      <c r="J5" s="635"/>
    </row>
    <row r="6" spans="2:28">
      <c r="B6" s="632"/>
      <c r="C6" s="634" t="s">
        <v>93</v>
      </c>
      <c r="D6" s="635"/>
      <c r="E6" s="635"/>
      <c r="F6" s="635"/>
      <c r="G6" s="635"/>
      <c r="H6" s="635"/>
      <c r="I6" s="635"/>
      <c r="J6" s="635"/>
    </row>
    <row r="7" spans="2:28">
      <c r="B7" s="632" t="s">
        <v>94</v>
      </c>
      <c r="C7" s="634" t="s">
        <v>95</v>
      </c>
      <c r="D7" s="635"/>
      <c r="E7" s="635"/>
      <c r="F7" s="635"/>
      <c r="G7" s="635"/>
      <c r="H7" s="635"/>
      <c r="I7" s="635"/>
      <c r="J7" s="635"/>
    </row>
    <row r="8" spans="2:28">
      <c r="B8" s="632" t="s">
        <v>96</v>
      </c>
      <c r="C8" s="636">
        <v>4950256638</v>
      </c>
      <c r="D8" s="635"/>
      <c r="E8" s="635"/>
      <c r="F8" s="635"/>
      <c r="G8" s="635"/>
      <c r="H8" s="635"/>
      <c r="I8" s="635"/>
      <c r="J8" s="635"/>
    </row>
    <row r="9" spans="2:28">
      <c r="B9" s="632"/>
      <c r="C9" s="634"/>
      <c r="D9" s="635"/>
      <c r="E9" s="635"/>
      <c r="F9" s="635"/>
      <c r="G9" s="635"/>
      <c r="H9" s="635"/>
      <c r="I9" s="635"/>
      <c r="J9" s="635"/>
    </row>
    <row r="10" spans="2:28" ht="15" customHeight="1">
      <c r="B10" s="691" t="s">
        <v>97</v>
      </c>
      <c r="C10" s="691"/>
      <c r="D10" s="691"/>
      <c r="E10" s="691"/>
      <c r="F10" s="691"/>
      <c r="G10" s="691"/>
      <c r="H10" s="691"/>
      <c r="I10" s="691"/>
      <c r="J10" s="635"/>
      <c r="AB10" s="637"/>
    </row>
    <row r="11" spans="2:28" ht="15" customHeight="1">
      <c r="B11" s="691"/>
      <c r="C11" s="691"/>
      <c r="D11" s="691"/>
      <c r="E11" s="691"/>
      <c r="F11" s="691"/>
      <c r="G11" s="691"/>
      <c r="H11" s="691"/>
      <c r="I11" s="691"/>
      <c r="J11" s="635"/>
      <c r="AB11" s="637"/>
    </row>
    <row r="12" spans="2:28" ht="15" customHeight="1">
      <c r="B12" s="638" t="s">
        <v>98</v>
      </c>
      <c r="C12" s="692" t="s">
        <v>99</v>
      </c>
      <c r="D12" s="692"/>
      <c r="E12" s="692"/>
      <c r="F12" s="692"/>
      <c r="G12" s="635"/>
      <c r="H12" s="638" t="s">
        <v>100</v>
      </c>
      <c r="I12" s="640">
        <f ca="1">TODAY()</f>
        <v>46084</v>
      </c>
      <c r="J12" s="635"/>
      <c r="AB12" s="637"/>
    </row>
    <row r="13" spans="2:28" ht="15" customHeight="1">
      <c r="B13" s="638" t="s">
        <v>96</v>
      </c>
      <c r="C13" s="693">
        <f>VLOOKUP($C$12,[1]Database!$A:$F,2,FALSE)</f>
        <v>4370260228</v>
      </c>
      <c r="D13" s="693"/>
      <c r="E13" s="693"/>
      <c r="F13" s="693"/>
      <c r="G13" s="635"/>
      <c r="H13" s="638" t="s">
        <v>101</v>
      </c>
      <c r="I13" s="662" t="str">
        <f>'Project Plan'!E2</f>
        <v>Shoprite Mini Riversdal</v>
      </c>
      <c r="J13" s="635"/>
      <c r="AB13" s="637"/>
    </row>
    <row r="14" spans="2:28" ht="15" customHeight="1">
      <c r="B14" s="638" t="s">
        <v>102</v>
      </c>
      <c r="C14" s="693" t="str">
        <f>VLOOKUP($C$12,[1]Database!$A:$F,3,FALSE)</f>
        <v>Alphen Square West. Unit B. Corner of George &amp;, 15th Road</v>
      </c>
      <c r="D14" s="693"/>
      <c r="E14" s="693"/>
      <c r="F14" s="693"/>
      <c r="G14" s="635"/>
      <c r="H14" s="638" t="s">
        <v>103</v>
      </c>
      <c r="I14" s="641" t="s">
        <v>104</v>
      </c>
      <c r="J14" s="635"/>
      <c r="AB14" s="637"/>
    </row>
    <row r="15" spans="2:28" ht="15" customHeight="1">
      <c r="B15" s="638"/>
      <c r="C15" s="693" t="str">
        <f>VLOOKUP($C$12,[1]Database!$A:$F,4,FALSE)</f>
        <v>Midrand, 1685</v>
      </c>
      <c r="D15" s="693"/>
      <c r="E15" s="693"/>
      <c r="F15" s="693"/>
      <c r="G15" s="635"/>
      <c r="J15" s="635"/>
      <c r="AB15" s="637"/>
    </row>
    <row r="16" spans="2:28" ht="15" customHeight="1">
      <c r="B16" s="638" t="s">
        <v>105</v>
      </c>
      <c r="C16" s="693" t="str">
        <f>VLOOKUP($C$12,[1]Database!$A:$F,5,FALSE)&amp;" "&amp;VLOOKUP($C$12,[1]Database!$A:$F,6,FALSE)</f>
        <v>Dean Lewis 064 517 4849</v>
      </c>
      <c r="D16" s="693"/>
      <c r="E16" s="693"/>
      <c r="F16" s="693"/>
      <c r="G16" s="635"/>
      <c r="H16" s="635"/>
      <c r="I16" s="635"/>
      <c r="J16" s="635"/>
      <c r="AB16" s="637"/>
    </row>
    <row r="17" spans="2:28" ht="15" customHeight="1">
      <c r="B17" s="635"/>
      <c r="C17" s="635"/>
      <c r="D17" s="635"/>
      <c r="E17" s="635"/>
      <c r="F17" s="635"/>
      <c r="G17" s="635"/>
      <c r="H17" s="635"/>
      <c r="I17" s="635"/>
      <c r="J17" s="635"/>
      <c r="AB17" s="637"/>
    </row>
    <row r="18" spans="2:28" ht="45.75" customHeight="1">
      <c r="B18" s="642" t="s">
        <v>106</v>
      </c>
      <c r="C18" s="694" t="s">
        <v>39</v>
      </c>
      <c r="D18" s="694"/>
      <c r="E18" s="644" t="s">
        <v>107</v>
      </c>
      <c r="F18" s="643" t="s">
        <v>108</v>
      </c>
      <c r="G18" s="643" t="s">
        <v>109</v>
      </c>
      <c r="H18" s="642" t="s">
        <v>110</v>
      </c>
      <c r="I18" s="643" t="s">
        <v>111</v>
      </c>
      <c r="J18" s="635"/>
      <c r="AB18" s="637"/>
    </row>
    <row r="19" spans="2:28" ht="30.75" customHeight="1">
      <c r="B19" s="645">
        <v>1</v>
      </c>
      <c r="C19" s="690"/>
      <c r="D19" s="690"/>
      <c r="E19" s="646"/>
      <c r="F19" s="645"/>
      <c r="G19" s="645"/>
      <c r="H19" s="647"/>
      <c r="I19" s="647">
        <f>H19*F19</f>
        <v>0</v>
      </c>
      <c r="J19" s="635"/>
      <c r="AB19" s="637"/>
    </row>
    <row r="20" spans="2:28" ht="30.75" customHeight="1">
      <c r="B20" s="645">
        <v>2</v>
      </c>
      <c r="C20" s="690"/>
      <c r="D20" s="690"/>
      <c r="E20" s="646"/>
      <c r="F20" s="645"/>
      <c r="G20" s="645"/>
      <c r="H20" s="647"/>
      <c r="I20" s="647">
        <f t="shared" ref="I20:I27" si="0">H20*F20</f>
        <v>0</v>
      </c>
      <c r="J20" s="635"/>
      <c r="AB20" s="637"/>
    </row>
    <row r="21" spans="2:28" ht="30.75" customHeight="1">
      <c r="B21" s="645">
        <v>3</v>
      </c>
      <c r="C21" s="690"/>
      <c r="D21" s="690"/>
      <c r="E21" s="646"/>
      <c r="F21" s="645"/>
      <c r="G21" s="645"/>
      <c r="H21" s="647"/>
      <c r="I21" s="647">
        <f t="shared" si="0"/>
        <v>0</v>
      </c>
      <c r="J21" s="635"/>
      <c r="AB21" s="637"/>
    </row>
    <row r="22" spans="2:28" ht="30.75" customHeight="1">
      <c r="B22" s="645">
        <v>4</v>
      </c>
      <c r="C22" s="690"/>
      <c r="D22" s="690"/>
      <c r="E22" s="646"/>
      <c r="F22" s="645"/>
      <c r="G22" s="645"/>
      <c r="H22" s="647"/>
      <c r="I22" s="647">
        <f t="shared" si="0"/>
        <v>0</v>
      </c>
      <c r="J22" s="635"/>
      <c r="AB22" s="637"/>
    </row>
    <row r="23" spans="2:28" ht="30.75" customHeight="1">
      <c r="B23" s="645">
        <v>5</v>
      </c>
      <c r="C23" s="690"/>
      <c r="D23" s="690"/>
      <c r="E23" s="646"/>
      <c r="F23" s="645"/>
      <c r="G23" s="645"/>
      <c r="H23" s="647"/>
      <c r="I23" s="647">
        <f t="shared" si="0"/>
        <v>0</v>
      </c>
      <c r="J23" s="635"/>
      <c r="AB23" s="637"/>
    </row>
    <row r="24" spans="2:28" ht="30.75" customHeight="1">
      <c r="B24" s="645">
        <v>6</v>
      </c>
      <c r="C24" s="690"/>
      <c r="D24" s="690"/>
      <c r="E24" s="646"/>
      <c r="F24" s="645"/>
      <c r="G24" s="645"/>
      <c r="H24" s="647"/>
      <c r="I24" s="647">
        <f t="shared" si="0"/>
        <v>0</v>
      </c>
      <c r="J24" s="635"/>
      <c r="AB24" s="637"/>
    </row>
    <row r="25" spans="2:28" ht="30.75" customHeight="1">
      <c r="B25" s="645">
        <v>7</v>
      </c>
      <c r="C25" s="690"/>
      <c r="D25" s="690"/>
      <c r="E25" s="646"/>
      <c r="F25" s="645"/>
      <c r="G25" s="645"/>
      <c r="H25" s="647"/>
      <c r="I25" s="647">
        <f t="shared" si="0"/>
        <v>0</v>
      </c>
      <c r="J25" s="635"/>
      <c r="AB25" s="637"/>
    </row>
    <row r="26" spans="2:28" ht="30.75" customHeight="1">
      <c r="B26" s="645">
        <v>8</v>
      </c>
      <c r="C26" s="690"/>
      <c r="D26" s="690"/>
      <c r="E26" s="646"/>
      <c r="F26" s="645"/>
      <c r="G26" s="645"/>
      <c r="H26" s="647"/>
      <c r="I26" s="647">
        <f t="shared" si="0"/>
        <v>0</v>
      </c>
      <c r="J26" s="635"/>
      <c r="AB26" s="637"/>
    </row>
    <row r="27" spans="2:28" ht="30.75" customHeight="1">
      <c r="B27" s="645">
        <v>9</v>
      </c>
      <c r="C27" s="690"/>
      <c r="D27" s="690"/>
      <c r="E27" s="646"/>
      <c r="F27" s="645"/>
      <c r="G27" s="645"/>
      <c r="H27" s="647"/>
      <c r="I27" s="647">
        <f t="shared" si="0"/>
        <v>0</v>
      </c>
      <c r="J27" s="635"/>
      <c r="AB27" s="637"/>
    </row>
    <row r="28" spans="2:28" ht="15" customHeight="1">
      <c r="B28" s="635"/>
      <c r="C28" s="635"/>
      <c r="D28" s="635"/>
      <c r="E28" s="635"/>
      <c r="F28" s="635"/>
      <c r="G28" s="635"/>
      <c r="H28" s="648" t="s">
        <v>112</v>
      </c>
      <c r="I28" s="649">
        <f>SUM(I19:I27)</f>
        <v>0</v>
      </c>
      <c r="J28" s="635"/>
      <c r="N28" s="637"/>
      <c r="O28" s="637"/>
      <c r="P28" s="637"/>
      <c r="Q28" s="637"/>
      <c r="R28" s="637"/>
      <c r="S28" s="637"/>
      <c r="T28" s="637"/>
      <c r="U28" s="637"/>
      <c r="V28" s="637"/>
      <c r="W28" s="637"/>
      <c r="X28" s="637"/>
      <c r="Y28" s="637"/>
      <c r="Z28" s="637"/>
      <c r="AA28" s="637"/>
      <c r="AB28" s="637"/>
    </row>
    <row r="29" spans="2:28" ht="15" customHeight="1">
      <c r="B29" s="635"/>
      <c r="C29" s="635"/>
      <c r="D29" s="635"/>
      <c r="E29" s="635"/>
      <c r="F29" s="635"/>
      <c r="G29" s="635"/>
      <c r="H29" s="648" t="s">
        <v>113</v>
      </c>
      <c r="I29" s="649">
        <f>I28*0.15</f>
        <v>0</v>
      </c>
      <c r="J29" s="635"/>
      <c r="N29" s="637"/>
      <c r="O29" s="637"/>
      <c r="P29" s="637"/>
      <c r="Q29" s="637"/>
      <c r="R29" s="637"/>
      <c r="S29" s="637"/>
      <c r="T29" s="637"/>
      <c r="U29" s="637"/>
      <c r="V29" s="637"/>
      <c r="W29" s="637"/>
      <c r="X29" s="637"/>
      <c r="Y29" s="637"/>
      <c r="Z29" s="637"/>
      <c r="AA29" s="637"/>
      <c r="AB29" s="637"/>
    </row>
    <row r="30" spans="2:28" ht="15" customHeight="1">
      <c r="B30" s="635"/>
      <c r="C30" s="635"/>
      <c r="D30" s="635"/>
      <c r="E30" s="635"/>
      <c r="F30" s="635"/>
      <c r="G30" s="635"/>
      <c r="H30" s="648" t="s">
        <v>114</v>
      </c>
      <c r="I30" s="649">
        <f>I29+I28</f>
        <v>0</v>
      </c>
      <c r="J30" s="635"/>
      <c r="N30" s="637"/>
      <c r="O30" s="637"/>
      <c r="P30" s="637"/>
      <c r="Q30" s="637"/>
      <c r="R30" s="637"/>
      <c r="S30" s="637"/>
      <c r="T30" s="637"/>
      <c r="U30" s="637"/>
      <c r="V30" s="637"/>
      <c r="W30" s="637"/>
      <c r="X30" s="637"/>
      <c r="Y30" s="637"/>
      <c r="Z30" s="637"/>
      <c r="AA30" s="637"/>
      <c r="AB30" s="637"/>
    </row>
    <row r="31" spans="2:28">
      <c r="B31" s="635"/>
      <c r="C31" s="635"/>
      <c r="D31" s="635"/>
      <c r="E31" s="635"/>
      <c r="F31" s="635"/>
      <c r="G31" s="635"/>
      <c r="H31" s="635"/>
      <c r="I31" s="635"/>
      <c r="J31" s="635"/>
    </row>
    <row r="32" spans="2:28">
      <c r="B32" s="635"/>
      <c r="C32" s="635"/>
      <c r="D32" s="635"/>
      <c r="E32" s="635"/>
      <c r="F32" s="635"/>
      <c r="G32" s="635"/>
      <c r="H32" s="635"/>
      <c r="I32" s="635"/>
      <c r="J32" s="635"/>
    </row>
    <row r="33" spans="2:10">
      <c r="B33" s="695" t="s">
        <v>115</v>
      </c>
      <c r="C33" s="695"/>
      <c r="D33" s="696" t="s">
        <v>116</v>
      </c>
      <c r="E33" s="697"/>
      <c r="F33" s="697"/>
      <c r="G33" s="697"/>
      <c r="H33" s="697"/>
      <c r="I33" s="697"/>
      <c r="J33" s="635"/>
    </row>
    <row r="34" spans="2:10">
      <c r="B34" s="695"/>
      <c r="C34" s="695"/>
      <c r="D34" s="697"/>
      <c r="E34" s="697"/>
      <c r="F34" s="697"/>
      <c r="G34" s="697"/>
      <c r="H34" s="697"/>
      <c r="I34" s="697"/>
      <c r="J34" s="635"/>
    </row>
    <row r="35" spans="2:10">
      <c r="B35" s="695"/>
      <c r="C35" s="695"/>
      <c r="D35" s="697"/>
      <c r="E35" s="697"/>
      <c r="F35" s="697"/>
      <c r="G35" s="697"/>
      <c r="H35" s="697"/>
      <c r="I35" s="697"/>
      <c r="J35" s="635"/>
    </row>
    <row r="36" spans="2:10">
      <c r="B36" s="695"/>
      <c r="C36" s="695"/>
      <c r="D36" s="697"/>
      <c r="E36" s="697"/>
      <c r="F36" s="697"/>
      <c r="G36" s="697"/>
      <c r="H36" s="697"/>
      <c r="I36" s="697"/>
      <c r="J36" s="635"/>
    </row>
    <row r="37" spans="2:10">
      <c r="B37" s="650"/>
      <c r="C37" s="650"/>
      <c r="D37" s="635"/>
      <c r="E37" s="635"/>
      <c r="F37" s="635"/>
      <c r="G37" s="635"/>
      <c r="H37" s="635"/>
      <c r="I37" s="635"/>
      <c r="J37" s="635"/>
    </row>
    <row r="38" spans="2:10">
      <c r="B38" s="695" t="s">
        <v>117</v>
      </c>
      <c r="C38" s="695"/>
      <c r="D38" s="696" t="s">
        <v>118</v>
      </c>
      <c r="E38" s="697"/>
      <c r="F38" s="697"/>
      <c r="G38" s="697"/>
      <c r="H38" s="697"/>
      <c r="I38" s="697"/>
      <c r="J38" s="635"/>
    </row>
    <row r="39" spans="2:10">
      <c r="B39" s="695"/>
      <c r="C39" s="695"/>
      <c r="D39" s="697"/>
      <c r="E39" s="697"/>
      <c r="F39" s="697"/>
      <c r="G39" s="697"/>
      <c r="H39" s="697"/>
      <c r="I39" s="697"/>
      <c r="J39" s="635"/>
    </row>
    <row r="40" spans="2:10">
      <c r="B40" s="695"/>
      <c r="C40" s="695"/>
      <c r="D40" s="697"/>
      <c r="E40" s="697"/>
      <c r="F40" s="697"/>
      <c r="G40" s="697"/>
      <c r="H40" s="697"/>
      <c r="I40" s="697"/>
      <c r="J40" s="635"/>
    </row>
    <row r="41" spans="2:10">
      <c r="B41" s="650"/>
      <c r="C41" s="650"/>
      <c r="D41" s="635"/>
      <c r="E41" s="635"/>
      <c r="F41" s="635"/>
      <c r="G41" s="635"/>
      <c r="H41" s="635"/>
      <c r="I41" s="635"/>
      <c r="J41" s="635"/>
    </row>
    <row r="42" spans="2:10">
      <c r="B42" s="695" t="s">
        <v>65</v>
      </c>
      <c r="C42" s="695"/>
      <c r="D42" s="696" t="s">
        <v>119</v>
      </c>
      <c r="E42" s="697"/>
      <c r="F42" s="697"/>
      <c r="G42" s="697"/>
      <c r="H42" s="697"/>
      <c r="I42" s="697"/>
      <c r="J42" s="635"/>
    </row>
    <row r="43" spans="2:10">
      <c r="B43" s="695"/>
      <c r="C43" s="695"/>
      <c r="D43" s="697"/>
      <c r="E43" s="697"/>
      <c r="F43" s="697"/>
      <c r="G43" s="697"/>
      <c r="H43" s="697"/>
      <c r="I43" s="697"/>
      <c r="J43" s="635"/>
    </row>
    <row r="44" spans="2:10">
      <c r="B44" s="695"/>
      <c r="C44" s="695"/>
      <c r="D44" s="697"/>
      <c r="E44" s="697"/>
      <c r="F44" s="697"/>
      <c r="G44" s="697"/>
      <c r="H44" s="697"/>
      <c r="I44" s="697"/>
      <c r="J44" s="635"/>
    </row>
    <row r="45" spans="2:10">
      <c r="B45" s="635"/>
      <c r="C45" s="635"/>
      <c r="D45" s="635"/>
      <c r="E45" s="635"/>
      <c r="F45" s="635"/>
      <c r="G45" s="635"/>
      <c r="H45" s="635"/>
      <c r="I45" s="635"/>
      <c r="J45" s="635"/>
    </row>
    <row r="46" spans="2:10" ht="15">
      <c r="B46" s="651" t="s">
        <v>120</v>
      </c>
      <c r="C46" s="651"/>
      <c r="D46" s="639" t="s">
        <v>121</v>
      </c>
      <c r="E46" s="652"/>
      <c r="F46" s="653"/>
      <c r="G46" s="653"/>
      <c r="H46" s="654"/>
      <c r="I46" s="640">
        <f ca="1">TODAY()</f>
        <v>46084</v>
      </c>
      <c r="J46" s="635"/>
    </row>
    <row r="47" spans="2:10">
      <c r="B47" s="651"/>
      <c r="C47" s="651"/>
      <c r="D47" s="655"/>
      <c r="E47" s="656"/>
      <c r="F47" s="657"/>
      <c r="G47" s="657"/>
      <c r="H47" s="658"/>
      <c r="I47" s="659"/>
      <c r="J47" s="635"/>
    </row>
  </sheetData>
  <mergeCells count="22">
    <mergeCell ref="B38:C40"/>
    <mergeCell ref="D38:I40"/>
    <mergeCell ref="B42:C44"/>
    <mergeCell ref="D42:I44"/>
    <mergeCell ref="C24:D24"/>
    <mergeCell ref="C25:D25"/>
    <mergeCell ref="C26:D26"/>
    <mergeCell ref="C27:D27"/>
    <mergeCell ref="B33:C36"/>
    <mergeCell ref="D33:I36"/>
    <mergeCell ref="C23:D23"/>
    <mergeCell ref="B10:I11"/>
    <mergeCell ref="C12:F12"/>
    <mergeCell ref="C13:F13"/>
    <mergeCell ref="C14:F14"/>
    <mergeCell ref="C15:F15"/>
    <mergeCell ref="C16:F16"/>
    <mergeCell ref="C18:D18"/>
    <mergeCell ref="C19:D19"/>
    <mergeCell ref="C20:D20"/>
    <mergeCell ref="C21:D21"/>
    <mergeCell ref="C22:D22"/>
  </mergeCells>
  <hyperlinks>
    <hyperlink ref="C4" r:id="rId1" xr:uid="{525A7D0C-D7DF-4AEB-ACBD-F435CD00307E}"/>
  </hyperlinks>
  <pageMargins left="0" right="0" top="0" bottom="0" header="0" footer="0"/>
  <pageSetup paperSize="9" scale="87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39DD18-3371-4605-9087-F880844442BA}">
          <x14:formula1>
            <xm:f>Data!$M$2:$M$168</xm:f>
          </x14:formula1>
          <xm:sqref>C12:F12</xm:sqref>
        </x14:dataValidation>
        <x14:dataValidation type="list" allowBlank="1" showInputMessage="1" showErrorMessage="1" xr:uid="{6ADBED2A-C4CE-4E7F-A942-D79755E6CE88}">
          <x14:formula1>
            <xm:f>Data!$K$3:$K$12</xm:f>
          </x14:formula1>
          <xm:sqref>D46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DFEC1-77A4-4F75-AEDB-45A1DB7E3921}">
  <sheetPr codeName="Sheet11"/>
  <dimension ref="B1:AB47"/>
  <sheetViews>
    <sheetView view="pageBreakPreview" topLeftCell="A10" zoomScale="70" zoomScaleNormal="100" zoomScaleSheetLayoutView="70" workbookViewId="0">
      <selection activeCell="D46" sqref="D46"/>
    </sheetView>
  </sheetViews>
  <sheetFormatPr defaultColWidth="9.140625" defaultRowHeight="14.45"/>
  <cols>
    <col min="1" max="1" width="5.85546875" style="630" customWidth="1"/>
    <col min="2" max="2" width="10" style="630" customWidth="1"/>
    <col min="3" max="4" width="12.85546875" style="630" customWidth="1"/>
    <col min="5" max="5" width="15.85546875" style="630" customWidth="1"/>
    <col min="6" max="6" width="17.140625" style="630" customWidth="1"/>
    <col min="7" max="7" width="5.85546875" style="630" customWidth="1"/>
    <col min="8" max="8" width="15.85546875" style="630" customWidth="1"/>
    <col min="9" max="9" width="20" style="630" customWidth="1"/>
    <col min="10" max="10" width="3.5703125" style="630" customWidth="1"/>
    <col min="11" max="16384" width="9.140625" style="630"/>
  </cols>
  <sheetData>
    <row r="1" spans="2:28">
      <c r="M1" s="630" t="s">
        <v>86</v>
      </c>
      <c r="O1" s="630" t="str">
        <f>I14&amp;"-"&amp;C12</f>
        <v>-Schletter Solar</v>
      </c>
    </row>
    <row r="2" spans="2:28">
      <c r="M2" s="631"/>
    </row>
    <row r="3" spans="2:28">
      <c r="B3" s="632" t="s">
        <v>87</v>
      </c>
      <c r="C3" s="633" t="s">
        <v>88</v>
      </c>
      <c r="D3" s="634"/>
      <c r="E3" s="635"/>
      <c r="F3" s="635"/>
      <c r="G3" s="635"/>
      <c r="H3" s="635"/>
      <c r="I3" s="635"/>
      <c r="J3" s="635"/>
    </row>
    <row r="4" spans="2:28">
      <c r="B4" s="632" t="s">
        <v>89</v>
      </c>
      <c r="C4" s="634" t="s">
        <v>90</v>
      </c>
      <c r="D4" s="635"/>
      <c r="E4" s="635"/>
      <c r="F4" s="635"/>
      <c r="G4" s="635"/>
      <c r="H4" s="635"/>
      <c r="I4" s="635"/>
      <c r="J4" s="635"/>
    </row>
    <row r="5" spans="2:28">
      <c r="B5" s="632" t="s">
        <v>91</v>
      </c>
      <c r="C5" s="634" t="s">
        <v>92</v>
      </c>
      <c r="D5" s="635"/>
      <c r="E5" s="635"/>
      <c r="F5" s="635"/>
      <c r="G5" s="635"/>
      <c r="H5" s="635"/>
      <c r="I5" s="635"/>
      <c r="J5" s="635"/>
    </row>
    <row r="6" spans="2:28">
      <c r="B6" s="632"/>
      <c r="C6" s="634" t="s">
        <v>93</v>
      </c>
      <c r="D6" s="635"/>
      <c r="E6" s="635"/>
      <c r="F6" s="635"/>
      <c r="G6" s="635"/>
      <c r="H6" s="635"/>
      <c r="I6" s="635"/>
      <c r="J6" s="635"/>
    </row>
    <row r="7" spans="2:28">
      <c r="B7" s="632" t="s">
        <v>94</v>
      </c>
      <c r="C7" s="634" t="s">
        <v>95</v>
      </c>
      <c r="D7" s="635"/>
      <c r="E7" s="635"/>
      <c r="F7" s="635"/>
      <c r="G7" s="635"/>
      <c r="H7" s="635"/>
      <c r="I7" s="635"/>
      <c r="J7" s="635"/>
    </row>
    <row r="8" spans="2:28">
      <c r="B8" s="632" t="s">
        <v>96</v>
      </c>
      <c r="C8" s="636">
        <v>4950256638</v>
      </c>
      <c r="D8" s="635"/>
      <c r="E8" s="635"/>
      <c r="F8" s="635"/>
      <c r="G8" s="635"/>
      <c r="H8" s="635"/>
      <c r="I8" s="635"/>
      <c r="J8" s="635"/>
    </row>
    <row r="9" spans="2:28">
      <c r="B9" s="632"/>
      <c r="C9" s="634"/>
      <c r="D9" s="635"/>
      <c r="E9" s="635"/>
      <c r="F9" s="635"/>
      <c r="G9" s="635"/>
      <c r="H9" s="635"/>
      <c r="I9" s="635"/>
      <c r="J9" s="635"/>
    </row>
    <row r="10" spans="2:28" ht="15" customHeight="1">
      <c r="B10" s="691" t="s">
        <v>97</v>
      </c>
      <c r="C10" s="691"/>
      <c r="D10" s="691"/>
      <c r="E10" s="691"/>
      <c r="F10" s="691"/>
      <c r="G10" s="691"/>
      <c r="H10" s="691"/>
      <c r="I10" s="691"/>
      <c r="J10" s="635"/>
      <c r="AB10" s="637"/>
    </row>
    <row r="11" spans="2:28" ht="15" customHeight="1">
      <c r="B11" s="691"/>
      <c r="C11" s="691"/>
      <c r="D11" s="691"/>
      <c r="E11" s="691"/>
      <c r="F11" s="691"/>
      <c r="G11" s="691"/>
      <c r="H11" s="691"/>
      <c r="I11" s="691"/>
      <c r="J11" s="635"/>
      <c r="AB11" s="637"/>
    </row>
    <row r="12" spans="2:28" ht="15" customHeight="1">
      <c r="B12" s="638" t="s">
        <v>98</v>
      </c>
      <c r="C12" s="692" t="s">
        <v>99</v>
      </c>
      <c r="D12" s="692"/>
      <c r="E12" s="692"/>
      <c r="F12" s="692"/>
      <c r="G12" s="635"/>
      <c r="H12" s="638" t="s">
        <v>100</v>
      </c>
      <c r="I12" s="640">
        <f ca="1">TODAY()</f>
        <v>46084</v>
      </c>
      <c r="J12" s="635"/>
      <c r="AB12" s="637"/>
    </row>
    <row r="13" spans="2:28" ht="15" customHeight="1">
      <c r="B13" s="638" t="s">
        <v>96</v>
      </c>
      <c r="C13" s="693">
        <f>VLOOKUP($C$12,[1]Database!$A:$F,2,FALSE)</f>
        <v>4370260228</v>
      </c>
      <c r="D13" s="693"/>
      <c r="E13" s="693"/>
      <c r="F13" s="693"/>
      <c r="G13" s="635"/>
      <c r="H13" s="638" t="s">
        <v>101</v>
      </c>
      <c r="I13" s="641" t="str">
        <f>'Project Plan'!E2</f>
        <v>Shoprite Mini Riversdal</v>
      </c>
      <c r="J13" s="635"/>
      <c r="AB13" s="637"/>
    </row>
    <row r="14" spans="2:28" ht="15" customHeight="1">
      <c r="B14" s="638" t="s">
        <v>102</v>
      </c>
      <c r="C14" s="693" t="str">
        <f>VLOOKUP($C$12,[1]Database!$A:$F,3,FALSE)</f>
        <v>Alphen Square West. Unit B. Corner of George &amp;, 15th Road</v>
      </c>
      <c r="D14" s="693"/>
      <c r="E14" s="693"/>
      <c r="F14" s="693"/>
      <c r="G14" s="635"/>
      <c r="H14" s="638" t="s">
        <v>103</v>
      </c>
      <c r="I14" s="641"/>
      <c r="J14" s="635"/>
      <c r="AB14" s="637"/>
    </row>
    <row r="15" spans="2:28" ht="15" customHeight="1">
      <c r="B15" s="638"/>
      <c r="C15" s="693" t="str">
        <f>VLOOKUP($C$12,[1]Database!$A:$F,4,FALSE)</f>
        <v>Midrand, 1685</v>
      </c>
      <c r="D15" s="693"/>
      <c r="E15" s="693"/>
      <c r="F15" s="693"/>
      <c r="G15" s="635"/>
      <c r="J15" s="635"/>
      <c r="AB15" s="637"/>
    </row>
    <row r="16" spans="2:28" ht="15" customHeight="1">
      <c r="B16" s="638" t="s">
        <v>105</v>
      </c>
      <c r="C16" s="693" t="str">
        <f>VLOOKUP($C$12,[1]Database!$A:$F,5,FALSE)&amp;" "&amp;VLOOKUP($C$12,[1]Database!$A:$F,6,FALSE)</f>
        <v>Dean Lewis 064 517 4849</v>
      </c>
      <c r="D16" s="693"/>
      <c r="E16" s="693"/>
      <c r="F16" s="693"/>
      <c r="G16" s="635"/>
      <c r="H16" s="635"/>
      <c r="I16" s="635"/>
      <c r="J16" s="635"/>
      <c r="AB16" s="637"/>
    </row>
    <row r="17" spans="2:28" ht="15" customHeight="1">
      <c r="B17" s="635"/>
      <c r="C17" s="635"/>
      <c r="D17" s="635"/>
      <c r="E17" s="635"/>
      <c r="F17" s="635"/>
      <c r="G17" s="635"/>
      <c r="H17" s="635"/>
      <c r="I17" s="635"/>
      <c r="J17" s="635"/>
      <c r="AB17" s="637"/>
    </row>
    <row r="18" spans="2:28" ht="45.75" customHeight="1">
      <c r="B18" s="642" t="s">
        <v>106</v>
      </c>
      <c r="C18" s="694" t="s">
        <v>39</v>
      </c>
      <c r="D18" s="694"/>
      <c r="E18" s="644" t="s">
        <v>107</v>
      </c>
      <c r="F18" s="643" t="s">
        <v>108</v>
      </c>
      <c r="G18" s="643" t="s">
        <v>109</v>
      </c>
      <c r="H18" s="642" t="s">
        <v>110</v>
      </c>
      <c r="I18" s="643" t="s">
        <v>111</v>
      </c>
      <c r="J18" s="635"/>
      <c r="AB18" s="637"/>
    </row>
    <row r="19" spans="2:28" ht="30.75" customHeight="1">
      <c r="B19" s="645">
        <v>1</v>
      </c>
      <c r="C19" s="690"/>
      <c r="D19" s="690"/>
      <c r="E19" s="646"/>
      <c r="F19" s="645"/>
      <c r="G19" s="645"/>
      <c r="H19" s="647"/>
      <c r="I19" s="647">
        <f>H19*F19</f>
        <v>0</v>
      </c>
      <c r="J19" s="635"/>
      <c r="AB19" s="637"/>
    </row>
    <row r="20" spans="2:28" ht="30.75" customHeight="1">
      <c r="B20" s="645">
        <v>2</v>
      </c>
      <c r="C20" s="690"/>
      <c r="D20" s="690"/>
      <c r="E20" s="646"/>
      <c r="F20" s="645"/>
      <c r="G20" s="645"/>
      <c r="H20" s="647"/>
      <c r="I20" s="647">
        <f t="shared" ref="I20:I27" si="0">H20*F20</f>
        <v>0</v>
      </c>
      <c r="J20" s="635"/>
      <c r="AB20" s="637"/>
    </row>
    <row r="21" spans="2:28" ht="30.75" customHeight="1">
      <c r="B21" s="645">
        <v>3</v>
      </c>
      <c r="C21" s="690"/>
      <c r="D21" s="690"/>
      <c r="E21" s="646"/>
      <c r="F21" s="645"/>
      <c r="G21" s="645"/>
      <c r="H21" s="647"/>
      <c r="I21" s="647">
        <f t="shared" si="0"/>
        <v>0</v>
      </c>
      <c r="J21" s="635"/>
      <c r="AB21" s="637"/>
    </row>
    <row r="22" spans="2:28" ht="30.75" customHeight="1">
      <c r="B22" s="645">
        <v>4</v>
      </c>
      <c r="C22" s="690"/>
      <c r="D22" s="690"/>
      <c r="E22" s="646"/>
      <c r="F22" s="645"/>
      <c r="G22" s="645"/>
      <c r="H22" s="647"/>
      <c r="I22" s="647">
        <f t="shared" si="0"/>
        <v>0</v>
      </c>
      <c r="J22" s="635"/>
      <c r="AB22" s="637"/>
    </row>
    <row r="23" spans="2:28" ht="30.75" customHeight="1">
      <c r="B23" s="645">
        <v>5</v>
      </c>
      <c r="C23" s="690"/>
      <c r="D23" s="690"/>
      <c r="E23" s="646"/>
      <c r="F23" s="645"/>
      <c r="G23" s="645"/>
      <c r="H23" s="647"/>
      <c r="I23" s="647">
        <f t="shared" si="0"/>
        <v>0</v>
      </c>
      <c r="J23" s="635"/>
      <c r="AB23" s="637"/>
    </row>
    <row r="24" spans="2:28" ht="30.75" customHeight="1">
      <c r="B24" s="645">
        <v>6</v>
      </c>
      <c r="C24" s="690"/>
      <c r="D24" s="690"/>
      <c r="E24" s="646"/>
      <c r="F24" s="645"/>
      <c r="G24" s="645"/>
      <c r="H24" s="647"/>
      <c r="I24" s="647">
        <f t="shared" si="0"/>
        <v>0</v>
      </c>
      <c r="J24" s="635"/>
      <c r="AB24" s="637"/>
    </row>
    <row r="25" spans="2:28" ht="30.75" customHeight="1">
      <c r="B25" s="645">
        <v>7</v>
      </c>
      <c r="C25" s="690"/>
      <c r="D25" s="690"/>
      <c r="E25" s="646"/>
      <c r="F25" s="645"/>
      <c r="G25" s="645"/>
      <c r="H25" s="647"/>
      <c r="I25" s="647">
        <f t="shared" si="0"/>
        <v>0</v>
      </c>
      <c r="J25" s="635"/>
      <c r="AB25" s="637"/>
    </row>
    <row r="26" spans="2:28" ht="30.75" customHeight="1">
      <c r="B26" s="645">
        <v>8</v>
      </c>
      <c r="C26" s="690"/>
      <c r="D26" s="690"/>
      <c r="E26" s="646"/>
      <c r="F26" s="645"/>
      <c r="G26" s="645"/>
      <c r="H26" s="647"/>
      <c r="I26" s="647">
        <f t="shared" si="0"/>
        <v>0</v>
      </c>
      <c r="J26" s="635"/>
      <c r="AB26" s="637"/>
    </row>
    <row r="27" spans="2:28" ht="30.75" customHeight="1">
      <c r="B27" s="645">
        <v>9</v>
      </c>
      <c r="C27" s="690"/>
      <c r="D27" s="690"/>
      <c r="E27" s="646"/>
      <c r="F27" s="645"/>
      <c r="G27" s="645"/>
      <c r="H27" s="647"/>
      <c r="I27" s="647">
        <f t="shared" si="0"/>
        <v>0</v>
      </c>
      <c r="J27" s="635"/>
      <c r="AB27" s="637"/>
    </row>
    <row r="28" spans="2:28" ht="15" customHeight="1">
      <c r="B28" s="635"/>
      <c r="C28" s="635"/>
      <c r="D28" s="635"/>
      <c r="E28" s="635"/>
      <c r="F28" s="635"/>
      <c r="G28" s="635"/>
      <c r="H28" s="648" t="s">
        <v>112</v>
      </c>
      <c r="I28" s="649">
        <f>SUM(I19:I27)</f>
        <v>0</v>
      </c>
      <c r="J28" s="635"/>
      <c r="N28" s="637"/>
      <c r="O28" s="637"/>
      <c r="P28" s="637"/>
      <c r="Q28" s="637"/>
      <c r="R28" s="637"/>
      <c r="S28" s="637"/>
      <c r="T28" s="637"/>
      <c r="U28" s="637"/>
      <c r="V28" s="637"/>
      <c r="W28" s="637"/>
      <c r="X28" s="637"/>
      <c r="Y28" s="637"/>
      <c r="Z28" s="637"/>
      <c r="AA28" s="637"/>
      <c r="AB28" s="637"/>
    </row>
    <row r="29" spans="2:28" ht="15" customHeight="1">
      <c r="B29" s="635"/>
      <c r="C29" s="635"/>
      <c r="D29" s="635"/>
      <c r="E29" s="635"/>
      <c r="F29" s="635"/>
      <c r="G29" s="635"/>
      <c r="H29" s="648" t="s">
        <v>113</v>
      </c>
      <c r="I29" s="649">
        <f>I28*0.15</f>
        <v>0</v>
      </c>
      <c r="J29" s="635"/>
      <c r="N29" s="637"/>
      <c r="O29" s="637"/>
      <c r="P29" s="637"/>
      <c r="Q29" s="637"/>
      <c r="R29" s="637"/>
      <c r="S29" s="637"/>
      <c r="T29" s="637"/>
      <c r="U29" s="637"/>
      <c r="V29" s="637"/>
      <c r="W29" s="637"/>
      <c r="X29" s="637"/>
      <c r="Y29" s="637"/>
      <c r="Z29" s="637"/>
      <c r="AA29" s="637"/>
      <c r="AB29" s="637"/>
    </row>
    <row r="30" spans="2:28" ht="15" customHeight="1">
      <c r="B30" s="635"/>
      <c r="C30" s="635"/>
      <c r="D30" s="635"/>
      <c r="E30" s="635"/>
      <c r="F30" s="635"/>
      <c r="G30" s="635"/>
      <c r="H30" s="648" t="s">
        <v>114</v>
      </c>
      <c r="I30" s="649">
        <f>I29+I28</f>
        <v>0</v>
      </c>
      <c r="J30" s="635"/>
      <c r="N30" s="637"/>
      <c r="O30" s="637"/>
      <c r="P30" s="637"/>
      <c r="Q30" s="637"/>
      <c r="R30" s="637"/>
      <c r="S30" s="637"/>
      <c r="T30" s="637"/>
      <c r="U30" s="637"/>
      <c r="V30" s="637"/>
      <c r="W30" s="637"/>
      <c r="X30" s="637"/>
      <c r="Y30" s="637"/>
      <c r="Z30" s="637"/>
      <c r="AA30" s="637"/>
      <c r="AB30" s="637"/>
    </row>
    <row r="31" spans="2:28">
      <c r="B31" s="635"/>
      <c r="C31" s="635"/>
      <c r="D31" s="635"/>
      <c r="E31" s="635"/>
      <c r="F31" s="635"/>
      <c r="G31" s="635"/>
      <c r="H31" s="635"/>
      <c r="I31" s="635"/>
      <c r="J31" s="635"/>
    </row>
    <row r="32" spans="2:28">
      <c r="B32" s="635"/>
      <c r="C32" s="635"/>
      <c r="D32" s="635"/>
      <c r="E32" s="635"/>
      <c r="F32" s="635"/>
      <c r="G32" s="635"/>
      <c r="H32" s="635"/>
      <c r="I32" s="635"/>
      <c r="J32" s="635"/>
    </row>
    <row r="33" spans="2:10">
      <c r="B33" s="695" t="s">
        <v>115</v>
      </c>
      <c r="C33" s="695"/>
      <c r="D33" s="696" t="s">
        <v>116</v>
      </c>
      <c r="E33" s="697"/>
      <c r="F33" s="697"/>
      <c r="G33" s="697"/>
      <c r="H33" s="697"/>
      <c r="I33" s="697"/>
      <c r="J33" s="635"/>
    </row>
    <row r="34" spans="2:10">
      <c r="B34" s="695"/>
      <c r="C34" s="695"/>
      <c r="D34" s="697"/>
      <c r="E34" s="697"/>
      <c r="F34" s="697"/>
      <c r="G34" s="697"/>
      <c r="H34" s="697"/>
      <c r="I34" s="697"/>
      <c r="J34" s="635"/>
    </row>
    <row r="35" spans="2:10">
      <c r="B35" s="695"/>
      <c r="C35" s="695"/>
      <c r="D35" s="697"/>
      <c r="E35" s="697"/>
      <c r="F35" s="697"/>
      <c r="G35" s="697"/>
      <c r="H35" s="697"/>
      <c r="I35" s="697"/>
      <c r="J35" s="635"/>
    </row>
    <row r="36" spans="2:10">
      <c r="B36" s="695"/>
      <c r="C36" s="695"/>
      <c r="D36" s="697"/>
      <c r="E36" s="697"/>
      <c r="F36" s="697"/>
      <c r="G36" s="697"/>
      <c r="H36" s="697"/>
      <c r="I36" s="697"/>
      <c r="J36" s="635"/>
    </row>
    <row r="37" spans="2:10">
      <c r="B37" s="650"/>
      <c r="C37" s="650"/>
      <c r="D37" s="635"/>
      <c r="E37" s="635"/>
      <c r="F37" s="635"/>
      <c r="G37" s="635"/>
      <c r="H37" s="635"/>
      <c r="I37" s="635"/>
      <c r="J37" s="635"/>
    </row>
    <row r="38" spans="2:10">
      <c r="B38" s="695" t="s">
        <v>117</v>
      </c>
      <c r="C38" s="695"/>
      <c r="D38" s="696" t="s">
        <v>118</v>
      </c>
      <c r="E38" s="697"/>
      <c r="F38" s="697"/>
      <c r="G38" s="697"/>
      <c r="H38" s="697"/>
      <c r="I38" s="697"/>
      <c r="J38" s="635"/>
    </row>
    <row r="39" spans="2:10">
      <c r="B39" s="695"/>
      <c r="C39" s="695"/>
      <c r="D39" s="697"/>
      <c r="E39" s="697"/>
      <c r="F39" s="697"/>
      <c r="G39" s="697"/>
      <c r="H39" s="697"/>
      <c r="I39" s="697"/>
      <c r="J39" s="635"/>
    </row>
    <row r="40" spans="2:10">
      <c r="B40" s="695"/>
      <c r="C40" s="695"/>
      <c r="D40" s="697"/>
      <c r="E40" s="697"/>
      <c r="F40" s="697"/>
      <c r="G40" s="697"/>
      <c r="H40" s="697"/>
      <c r="I40" s="697"/>
      <c r="J40" s="635"/>
    </row>
    <row r="41" spans="2:10">
      <c r="B41" s="650"/>
      <c r="C41" s="650"/>
      <c r="D41" s="635"/>
      <c r="E41" s="635"/>
      <c r="F41" s="635"/>
      <c r="G41" s="635"/>
      <c r="H41" s="635"/>
      <c r="I41" s="635"/>
      <c r="J41" s="635"/>
    </row>
    <row r="42" spans="2:10">
      <c r="B42" s="695" t="s">
        <v>65</v>
      </c>
      <c r="C42" s="695"/>
      <c r="D42" s="696" t="s">
        <v>119</v>
      </c>
      <c r="E42" s="697"/>
      <c r="F42" s="697"/>
      <c r="G42" s="697"/>
      <c r="H42" s="697"/>
      <c r="I42" s="697"/>
      <c r="J42" s="635"/>
    </row>
    <row r="43" spans="2:10">
      <c r="B43" s="695"/>
      <c r="C43" s="695"/>
      <c r="D43" s="697"/>
      <c r="E43" s="697"/>
      <c r="F43" s="697"/>
      <c r="G43" s="697"/>
      <c r="H43" s="697"/>
      <c r="I43" s="697"/>
      <c r="J43" s="635"/>
    </row>
    <row r="44" spans="2:10">
      <c r="B44" s="695"/>
      <c r="C44" s="695"/>
      <c r="D44" s="697"/>
      <c r="E44" s="697"/>
      <c r="F44" s="697"/>
      <c r="G44" s="697"/>
      <c r="H44" s="697"/>
      <c r="I44" s="697"/>
      <c r="J44" s="635"/>
    </row>
    <row r="45" spans="2:10">
      <c r="B45" s="635"/>
      <c r="C45" s="635"/>
      <c r="D45" s="635"/>
      <c r="E45" s="635"/>
      <c r="F45" s="635"/>
      <c r="G45" s="635"/>
      <c r="H45" s="635"/>
      <c r="I45" s="635"/>
      <c r="J45" s="635"/>
    </row>
    <row r="46" spans="2:10" ht="15">
      <c r="B46" s="651" t="s">
        <v>120</v>
      </c>
      <c r="C46" s="651"/>
      <c r="D46" s="639" t="s">
        <v>121</v>
      </c>
      <c r="E46" s="652"/>
      <c r="F46" s="653"/>
      <c r="G46" s="653"/>
      <c r="H46" s="654"/>
      <c r="I46" s="640">
        <f ca="1">TODAY()</f>
        <v>46084</v>
      </c>
      <c r="J46" s="635"/>
    </row>
    <row r="47" spans="2:10">
      <c r="B47" s="651"/>
      <c r="C47" s="651"/>
      <c r="D47" s="655"/>
      <c r="E47" s="656"/>
      <c r="F47" s="657"/>
      <c r="G47" s="657"/>
      <c r="H47" s="658"/>
      <c r="I47" s="659"/>
      <c r="J47" s="635"/>
    </row>
  </sheetData>
  <mergeCells count="22">
    <mergeCell ref="C23:D23"/>
    <mergeCell ref="B10:I11"/>
    <mergeCell ref="C12:F12"/>
    <mergeCell ref="C13:F13"/>
    <mergeCell ref="C14:F14"/>
    <mergeCell ref="C15:F15"/>
    <mergeCell ref="C16:F16"/>
    <mergeCell ref="C18:D18"/>
    <mergeCell ref="C19:D19"/>
    <mergeCell ref="C20:D20"/>
    <mergeCell ref="C21:D21"/>
    <mergeCell ref="C22:D22"/>
    <mergeCell ref="B38:C40"/>
    <mergeCell ref="D38:I40"/>
    <mergeCell ref="B42:C44"/>
    <mergeCell ref="D42:I44"/>
    <mergeCell ref="C24:D24"/>
    <mergeCell ref="C25:D25"/>
    <mergeCell ref="C26:D26"/>
    <mergeCell ref="C27:D27"/>
    <mergeCell ref="B33:C36"/>
    <mergeCell ref="D33:I36"/>
  </mergeCells>
  <hyperlinks>
    <hyperlink ref="C4" r:id="rId1" xr:uid="{885A83B3-05DF-493A-ACA1-59B99555ED89}"/>
  </hyperlinks>
  <pageMargins left="0" right="0" top="0" bottom="0" header="0" footer="0"/>
  <pageSetup paperSize="9" scale="87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7885E29-2962-46F9-BDD3-444D62B31EB2}">
          <x14:formula1>
            <xm:f>Data!$K$3:$K$12</xm:f>
          </x14:formula1>
          <xm:sqref>D46</xm:sqref>
        </x14:dataValidation>
        <x14:dataValidation type="list" allowBlank="1" showInputMessage="1" showErrorMessage="1" xr:uid="{2095179B-D829-4D9A-8B5F-3EF2B8F3CE80}">
          <x14:formula1>
            <xm:f>Data!$M$2:$M$168</xm:f>
          </x14:formula1>
          <xm:sqref>C12:F12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F361-596A-4A9F-AA1D-FAB3671E8D2C}">
  <sheetPr codeName="Sheet3">
    <pageSetUpPr fitToPage="1"/>
  </sheetPr>
  <dimension ref="A1:AB224"/>
  <sheetViews>
    <sheetView topLeftCell="A32" zoomScaleNormal="100" workbookViewId="0">
      <selection activeCell="I21" sqref="I21"/>
    </sheetView>
  </sheetViews>
  <sheetFormatPr defaultColWidth="8.42578125" defaultRowHeight="14.1"/>
  <cols>
    <col min="1" max="1" width="1.42578125" style="26" customWidth="1"/>
    <col min="2" max="2" width="6.42578125" style="83" bestFit="1" customWidth="1"/>
    <col min="3" max="3" width="44.7109375" style="4" customWidth="1"/>
    <col min="4" max="4" width="3.42578125" style="26" customWidth="1"/>
    <col min="5" max="5" width="15.85546875" style="4" bestFit="1" customWidth="1"/>
    <col min="6" max="6" width="10.42578125" style="80" customWidth="1"/>
    <col min="7" max="7" width="13.5703125" style="5" customWidth="1"/>
    <col min="8" max="8" width="5" style="26" customWidth="1"/>
    <col min="9" max="9" width="13.42578125" style="26" customWidth="1"/>
    <col min="10" max="10" width="11.42578125" style="27" customWidth="1"/>
    <col min="11" max="11" width="14.5703125" style="26" customWidth="1"/>
    <col min="12" max="12" width="2.42578125" style="26" customWidth="1"/>
    <col min="13" max="13" width="12.28515625" style="26" customWidth="1"/>
    <col min="14" max="14" width="11.28515625" style="26" bestFit="1" customWidth="1"/>
    <col min="15" max="15" width="39.42578125" style="26" bestFit="1" customWidth="1"/>
    <col min="16" max="16" width="1.42578125" style="26" customWidth="1"/>
    <col min="17" max="17" width="5.28515625" style="1" customWidth="1"/>
    <col min="18" max="18" width="2" style="26" customWidth="1"/>
    <col min="19" max="19" width="24.5703125" style="26" customWidth="1"/>
    <col min="20" max="22" width="12.28515625" style="26" customWidth="1"/>
    <col min="23" max="23" width="16.85546875" style="26" customWidth="1"/>
    <col min="24" max="25" width="10.7109375" style="26" bestFit="1" customWidth="1"/>
    <col min="26" max="16384" width="8.42578125" style="4"/>
  </cols>
  <sheetData>
    <row r="1" spans="2:28" s="26" customFormat="1" ht="4.5" customHeight="1" thickBot="1">
      <c r="B1" s="79"/>
      <c r="F1" s="80"/>
      <c r="G1" s="27"/>
      <c r="J1" s="27"/>
      <c r="Q1" s="1"/>
    </row>
    <row r="2" spans="2:28" ht="15" customHeight="1" thickBot="1">
      <c r="B2" s="88"/>
      <c r="C2" s="89" t="s">
        <v>122</v>
      </c>
      <c r="D2" s="90"/>
      <c r="E2" s="567" t="s">
        <v>123</v>
      </c>
      <c r="F2" s="568"/>
      <c r="G2" s="568"/>
      <c r="H2" s="569"/>
      <c r="I2" s="698" t="s">
        <v>124</v>
      </c>
      <c r="J2" s="699"/>
      <c r="K2" s="588">
        <f>NETWORKDAYS(I19,K40,Data!C3:C60)</f>
        <v>26</v>
      </c>
      <c r="M2" s="705" t="s">
        <v>125</v>
      </c>
      <c r="N2" s="706"/>
      <c r="O2" s="707"/>
    </row>
    <row r="3" spans="2:28" s="26" customFormat="1" ht="14.45" thickBot="1">
      <c r="B3" s="91"/>
      <c r="C3" s="92" t="s">
        <v>126</v>
      </c>
      <c r="D3" s="90"/>
      <c r="E3" s="312">
        <v>221</v>
      </c>
      <c r="F3" s="93"/>
      <c r="G3" s="94"/>
      <c r="H3" s="94"/>
      <c r="I3" s="698" t="s">
        <v>127</v>
      </c>
      <c r="J3" s="699"/>
      <c r="K3" s="588">
        <f>K2/5</f>
        <v>5.2</v>
      </c>
      <c r="M3" s="708"/>
      <c r="N3" s="709"/>
      <c r="O3" s="710"/>
      <c r="Q3" s="1"/>
    </row>
    <row r="4" spans="2:28" s="26" customFormat="1" ht="14.45" thickBot="1">
      <c r="B4" s="91"/>
      <c r="C4" s="92" t="s">
        <v>128</v>
      </c>
      <c r="D4" s="90"/>
      <c r="E4" s="566" t="s">
        <v>129</v>
      </c>
      <c r="F4" s="94"/>
      <c r="G4" s="94"/>
      <c r="H4" s="94"/>
      <c r="I4" s="698" t="s">
        <v>130</v>
      </c>
      <c r="J4" s="699"/>
      <c r="K4" s="589">
        <f>E3/K3</f>
        <v>42.5</v>
      </c>
      <c r="M4" s="708"/>
      <c r="N4" s="709"/>
      <c r="O4" s="710"/>
      <c r="Q4" s="1"/>
    </row>
    <row r="5" spans="2:28" s="26" customFormat="1">
      <c r="B5" s="91"/>
      <c r="C5" s="92" t="s">
        <v>131</v>
      </c>
      <c r="D5" s="90"/>
      <c r="E5" s="566" t="s">
        <v>132</v>
      </c>
      <c r="F5" s="94"/>
      <c r="G5" s="94"/>
      <c r="H5" s="94"/>
      <c r="M5" s="708"/>
      <c r="N5" s="709"/>
      <c r="O5" s="710"/>
      <c r="Q5" s="1"/>
    </row>
    <row r="6" spans="2:28" ht="14.45" thickBot="1">
      <c r="B6" s="95"/>
      <c r="C6" s="96" t="s">
        <v>133</v>
      </c>
      <c r="D6" s="90"/>
      <c r="E6" s="545">
        <v>2045835.2199856236</v>
      </c>
      <c r="F6" s="570"/>
      <c r="G6" s="570"/>
      <c r="H6" s="571"/>
      <c r="M6" s="711"/>
      <c r="N6" s="712"/>
      <c r="O6" s="713"/>
    </row>
    <row r="7" spans="2:28" s="26" customFormat="1">
      <c r="B7" s="79"/>
      <c r="C7" s="628" t="s">
        <v>134</v>
      </c>
      <c r="D7" s="627"/>
      <c r="E7" s="626" t="s">
        <v>135</v>
      </c>
      <c r="F7" s="80"/>
      <c r="G7" s="97"/>
      <c r="J7" s="27"/>
      <c r="Q7" s="1"/>
    </row>
    <row r="8" spans="2:28" ht="30" customHeight="1">
      <c r="B8" s="702" t="s">
        <v>136</v>
      </c>
      <c r="C8" s="703" t="s">
        <v>137</v>
      </c>
      <c r="D8" s="126"/>
      <c r="E8" s="704" t="s">
        <v>138</v>
      </c>
      <c r="F8" s="148" t="s">
        <v>139</v>
      </c>
      <c r="G8" s="704" t="s">
        <v>140</v>
      </c>
      <c r="H8" s="149"/>
      <c r="I8" s="704" t="s">
        <v>141</v>
      </c>
      <c r="J8" s="148" t="s">
        <v>139</v>
      </c>
      <c r="K8" s="704" t="s">
        <v>142</v>
      </c>
      <c r="M8" s="585" t="s">
        <v>44</v>
      </c>
      <c r="N8" s="586" t="s">
        <v>143</v>
      </c>
      <c r="O8" s="700" t="s">
        <v>144</v>
      </c>
      <c r="Z8" s="26"/>
      <c r="AA8" s="26"/>
      <c r="AB8" s="26"/>
    </row>
    <row r="9" spans="2:28">
      <c r="B9" s="702"/>
      <c r="C9" s="703"/>
      <c r="D9" s="126"/>
      <c r="E9" s="704"/>
      <c r="F9" s="40">
        <f>G40-E20</f>
        <v>41</v>
      </c>
      <c r="G9" s="704"/>
      <c r="H9" s="149"/>
      <c r="I9" s="704"/>
      <c r="J9" s="41">
        <f>K40-I20</f>
        <v>41</v>
      </c>
      <c r="K9" s="704"/>
      <c r="M9" s="265">
        <f>AVERAGE(M11,M19,M22,M29,M36,M40,M52,M46)</f>
        <v>5.208333333333333E-3</v>
      </c>
      <c r="N9" s="265">
        <f ca="1">AVERAGE(N11,N19,N22,N29,N36,N40,N52,N46)</f>
        <v>2.7529761904761904E-2</v>
      </c>
      <c r="O9" s="701"/>
      <c r="Z9" s="26"/>
      <c r="AA9" s="26"/>
      <c r="AB9" s="26"/>
    </row>
    <row r="10" spans="2:28" s="26" customFormat="1" ht="4.5" customHeight="1">
      <c r="B10" s="150"/>
      <c r="C10" s="126"/>
      <c r="D10" s="126"/>
      <c r="E10" s="151"/>
      <c r="F10" s="151"/>
      <c r="G10" s="152"/>
      <c r="H10" s="149"/>
      <c r="I10" s="153"/>
      <c r="J10" s="153"/>
      <c r="K10" s="154"/>
      <c r="Q10" s="1"/>
    </row>
    <row r="11" spans="2:28" s="28" customFormat="1">
      <c r="B11" s="155">
        <v>1</v>
      </c>
      <c r="C11" s="156" t="s">
        <v>145</v>
      </c>
      <c r="D11" s="130"/>
      <c r="E11" s="572">
        <f>MIN(E12:E18)</f>
        <v>46077</v>
      </c>
      <c r="F11" s="573">
        <f>G11-E11</f>
        <v>30</v>
      </c>
      <c r="G11" s="572">
        <f>MAX(G12:G18)</f>
        <v>46107</v>
      </c>
      <c r="H11" s="574"/>
      <c r="I11" s="572">
        <f>MIN(I12:I18)</f>
        <v>46077</v>
      </c>
      <c r="J11" s="573">
        <f>K11-I11</f>
        <v>30</v>
      </c>
      <c r="K11" s="572">
        <f>MAX(K12:K18)</f>
        <v>46107</v>
      </c>
      <c r="L11" s="575"/>
      <c r="M11" s="576">
        <f>(J12*M12+J13*M13+J14*M14+J15*M15+J16*M16+J17*M17)/SUM(J12:J17)</f>
        <v>4.1666666666666664E-2</v>
      </c>
      <c r="N11" s="576">
        <f ca="1">(J12*N12+J13*N13+J14*N14+J15*N15+J16*N16+J17*N17)/SUM(J12:J17)</f>
        <v>0.22023809523809523</v>
      </c>
      <c r="O11" s="33"/>
      <c r="P11" s="26"/>
      <c r="Q11" s="34"/>
    </row>
    <row r="12" spans="2:28" s="26" customFormat="1">
      <c r="B12" s="157" t="s">
        <v>146</v>
      </c>
      <c r="C12" s="158" t="s">
        <v>147</v>
      </c>
      <c r="D12" s="126"/>
      <c r="E12" s="577">
        <v>46077</v>
      </c>
      <c r="F12" s="578">
        <v>1</v>
      </c>
      <c r="G12" s="577">
        <f>WORKDAY.INTL(E12,F12,1,Data!$C$3:$C$60)</f>
        <v>46078</v>
      </c>
      <c r="H12" s="579"/>
      <c r="I12" s="577">
        <v>46077</v>
      </c>
      <c r="J12" s="578">
        <v>1</v>
      </c>
      <c r="K12" s="577">
        <f>WORKDAY.INTL(I12,J12,1,Data!$C$3:$C$60)</f>
        <v>46078</v>
      </c>
      <c r="L12" s="77"/>
      <c r="M12" s="580">
        <v>1</v>
      </c>
      <c r="N12" s="580">
        <f ca="1">_xlfn.LET(
  _xlpm.s,VALUE($I12),
  _xlpm.e,VALUE($K12),
  IF(OR(_xlpm.s="",_xlpm.e=""),"", IF(_xlpm.e&lt;=_xlpm.s, IF(TODAY()&gt;=_xlpm.e,1,0), MAX(0,MIN(1,(TODAY()-_xlpm.s)/(_xlpm.e-_xlpm.s)))))
)</f>
        <v>1</v>
      </c>
      <c r="O12" s="36"/>
      <c r="Q12" s="1"/>
    </row>
    <row r="13" spans="2:28" s="26" customFormat="1">
      <c r="B13" s="157" t="s">
        <v>148</v>
      </c>
      <c r="C13" s="158" t="s">
        <v>149</v>
      </c>
      <c r="D13" s="126"/>
      <c r="E13" s="577">
        <f>WORKDAY.INTL(G12,0,1,Data!$C$3:$C$60)</f>
        <v>46078</v>
      </c>
      <c r="F13" s="578">
        <v>10</v>
      </c>
      <c r="G13" s="577">
        <f>WORKDAY.INTL(E13,F13,1,Data!$C$3:$C$60)</f>
        <v>46092</v>
      </c>
      <c r="H13" s="579"/>
      <c r="I13" s="577">
        <f>WORKDAY.INTL(K12,0,1,Data!$C$3:$C$60)</f>
        <v>46078</v>
      </c>
      <c r="J13" s="578">
        <v>10</v>
      </c>
      <c r="K13" s="577">
        <f>WORKDAY.INTL(I13,J13,1,Data!$C$3:$C$60)</f>
        <v>46092</v>
      </c>
      <c r="L13" s="77"/>
      <c r="M13" s="580">
        <v>0</v>
      </c>
      <c r="N13" s="580">
        <f ca="1">_xlfn.LET(
  _xlpm.s,VALUE($I13),
  _xlpm.e,VALUE($K13),
  IF(OR(_xlpm.s="",_xlpm.e=""),"", IF(_xlpm.e&lt;=_xlpm.s, IF(TODAY()&gt;=_xlpm.e,1,0), MAX(0,MIN(1,(TODAY()-_xlpm.s)/(_xlpm.e-_xlpm.s)))))
)</f>
        <v>0.42857142857142855</v>
      </c>
      <c r="O13" s="36"/>
      <c r="Q13" s="1"/>
    </row>
    <row r="14" spans="2:28" s="26" customFormat="1">
      <c r="B14" s="157" t="s">
        <v>150</v>
      </c>
      <c r="C14" s="158" t="s">
        <v>151</v>
      </c>
      <c r="D14" s="126"/>
      <c r="E14" s="577">
        <f>WORKDAY.INTL(G13,0,1,Data!$C$3:$C$60)</f>
        <v>46092</v>
      </c>
      <c r="F14" s="578">
        <v>10</v>
      </c>
      <c r="G14" s="577">
        <f>WORKDAY.INTL(E14,F14,1,Data!$C$3:$C$60)</f>
        <v>46106</v>
      </c>
      <c r="H14" s="579"/>
      <c r="I14" s="577">
        <f>WORKDAY.INTL(K13,0,1,Data!$C$3:$C$60)</f>
        <v>46092</v>
      </c>
      <c r="J14" s="578">
        <v>10</v>
      </c>
      <c r="K14" s="577">
        <f>WORKDAY.INTL(I14,J14,1,Data!$C$3:$C$60)</f>
        <v>46106</v>
      </c>
      <c r="L14" s="77"/>
      <c r="M14" s="580">
        <v>0</v>
      </c>
      <c r="N14" s="580">
        <f t="shared" ref="N14" ca="1" si="0">_xlfn.LET(
  _xlpm.s,VALUE($I14),
  _xlpm.e,VALUE($K14),
  IF(OR(_xlpm.s="",_xlpm.e=""),"", IF(_xlpm.e&lt;=_xlpm.s, IF(TODAY()&gt;=_xlpm.e,1,0), MAX(0,MIN(1,(TODAY()-_xlpm.s)/(_xlpm.e-_xlpm.s)))))
)</f>
        <v>0</v>
      </c>
      <c r="O14" s="36"/>
      <c r="Q14" s="1"/>
    </row>
    <row r="15" spans="2:28" s="26" customFormat="1">
      <c r="B15" s="157" t="s">
        <v>152</v>
      </c>
      <c r="C15" s="158" t="s">
        <v>153</v>
      </c>
      <c r="D15" s="126"/>
      <c r="E15" s="577">
        <f>WORKDAY.INTL(G14,0,1,Data!$C$3:$C$60)</f>
        <v>46106</v>
      </c>
      <c r="F15" s="578">
        <v>1</v>
      </c>
      <c r="G15" s="577">
        <f>WORKDAY.INTL(E15,F15,1,Data!$C$3:$C$60)</f>
        <v>46107</v>
      </c>
      <c r="H15" s="579"/>
      <c r="I15" s="577">
        <f>WORKDAY.INTL(K14,0,1,Data!$C$3:$C$60)</f>
        <v>46106</v>
      </c>
      <c r="J15" s="578">
        <v>1</v>
      </c>
      <c r="K15" s="577">
        <f>WORKDAY.INTL(I15,J15,1,Data!$C$3:$C$60)</f>
        <v>46107</v>
      </c>
      <c r="L15" s="77"/>
      <c r="M15" s="580">
        <v>0</v>
      </c>
      <c r="N15" s="580">
        <f t="shared" ref="N15:N17" ca="1" si="1">_xlfn.LET(
  _xlpm.s,VALUE($I15),
  _xlpm.e,VALUE($K15),
  IF(OR(_xlpm.s="",_xlpm.e=""),"", IF(_xlpm.e&lt;=_xlpm.s, IF(TODAY()&gt;=_xlpm.e,1,0), MAX(0,MIN(1,(TODAY()-_xlpm.s)/(_xlpm.e-_xlpm.s)))))
)</f>
        <v>0</v>
      </c>
      <c r="O15" s="36"/>
      <c r="Q15" s="1"/>
    </row>
    <row r="16" spans="2:28" s="26" customFormat="1">
      <c r="B16" s="157" t="s">
        <v>154</v>
      </c>
      <c r="C16" s="158" t="s">
        <v>155</v>
      </c>
      <c r="D16" s="126"/>
      <c r="E16" s="577">
        <f>WORKDAY.INTL(G14,0,1,Data!$C$3:$C$60)</f>
        <v>46106</v>
      </c>
      <c r="F16" s="578">
        <v>1</v>
      </c>
      <c r="G16" s="577">
        <f>WORKDAY.INTL(E16,F16,1,Data!$C$3:$C$60)</f>
        <v>46107</v>
      </c>
      <c r="H16" s="579"/>
      <c r="I16" s="577">
        <f>WORKDAY.INTL(K14,0,1,Data!$C$3:$C$60)</f>
        <v>46106</v>
      </c>
      <c r="J16" s="578">
        <v>1</v>
      </c>
      <c r="K16" s="577">
        <f>WORKDAY.INTL(I16,J16,1,Data!$C$3:$C$60)</f>
        <v>46107</v>
      </c>
      <c r="L16" s="77"/>
      <c r="M16" s="580">
        <v>0</v>
      </c>
      <c r="N16" s="580">
        <f t="shared" ca="1" si="1"/>
        <v>0</v>
      </c>
      <c r="O16" s="36"/>
      <c r="Q16" s="1"/>
    </row>
    <row r="17" spans="2:28" s="26" customFormat="1">
      <c r="B17" s="157" t="s">
        <v>156</v>
      </c>
      <c r="C17" s="158" t="s">
        <v>157</v>
      </c>
      <c r="D17" s="126"/>
      <c r="E17" s="577">
        <f>WORKDAY.INTL(E16,0,1,Data!$C$3:$C$60)</f>
        <v>46106</v>
      </c>
      <c r="F17" s="578">
        <v>1</v>
      </c>
      <c r="G17" s="577">
        <f>WORKDAY.INTL(E17,F17,1,Data!$C$3:$C$60)</f>
        <v>46107</v>
      </c>
      <c r="H17" s="579"/>
      <c r="I17" s="577">
        <f>WORKDAY.INTL(I16,0,1,Data!$C$3:$C$60)</f>
        <v>46106</v>
      </c>
      <c r="J17" s="578">
        <v>1</v>
      </c>
      <c r="K17" s="577">
        <f>WORKDAY.INTL(I17,J17,1,Data!$C$3:$C$60)</f>
        <v>46107</v>
      </c>
      <c r="L17" s="77"/>
      <c r="M17" s="580">
        <v>0</v>
      </c>
      <c r="N17" s="580">
        <f t="shared" ca="1" si="1"/>
        <v>0</v>
      </c>
      <c r="O17" s="36"/>
      <c r="Q17" s="1"/>
    </row>
    <row r="18" spans="2:28" s="26" customFormat="1">
      <c r="B18" s="150"/>
      <c r="C18" s="126"/>
      <c r="D18" s="126"/>
      <c r="E18" s="581"/>
      <c r="F18" s="581"/>
      <c r="G18" s="581"/>
      <c r="H18" s="579"/>
      <c r="I18" s="581"/>
      <c r="J18" s="581"/>
      <c r="K18" s="581"/>
      <c r="L18" s="77"/>
      <c r="M18" s="77"/>
      <c r="N18" s="77"/>
      <c r="Q18" s="1"/>
      <c r="U18" s="35"/>
      <c r="V18" s="35"/>
    </row>
    <row r="19" spans="2:28" s="28" customFormat="1">
      <c r="B19" s="155">
        <v>2</v>
      </c>
      <c r="C19" s="156" t="s">
        <v>158</v>
      </c>
      <c r="D19" s="130"/>
      <c r="E19" s="572">
        <f>MIN(E20:E21)</f>
        <v>46114</v>
      </c>
      <c r="F19" s="573">
        <f>G19-E19</f>
        <v>1</v>
      </c>
      <c r="G19" s="572">
        <f>MAX(G20:G21)</f>
        <v>46115</v>
      </c>
      <c r="H19" s="574"/>
      <c r="I19" s="572">
        <f>MIN(I20:I21)</f>
        <v>46114</v>
      </c>
      <c r="J19" s="573">
        <f>K19-I19</f>
        <v>1</v>
      </c>
      <c r="K19" s="572">
        <f>MAX(K20:K21)</f>
        <v>46115</v>
      </c>
      <c r="L19" s="575"/>
      <c r="M19" s="576">
        <f>(J20*M20)/J19</f>
        <v>0</v>
      </c>
      <c r="N19" s="576">
        <f ca="1">(J20*N20)/J19</f>
        <v>0</v>
      </c>
      <c r="O19" s="33"/>
      <c r="P19" s="26"/>
      <c r="Q19" s="37"/>
      <c r="R19" s="32"/>
      <c r="S19" s="305">
        <f ca="1">TODAY()</f>
        <v>46084</v>
      </c>
      <c r="T19" s="305">
        <f ca="1">TODAY()</f>
        <v>46084</v>
      </c>
      <c r="U19" s="35"/>
      <c r="V19" s="35"/>
      <c r="W19" s="35"/>
      <c r="X19" s="35"/>
      <c r="Y19" s="35"/>
      <c r="Z19" s="35"/>
      <c r="AA19" s="35"/>
      <c r="AB19" s="32"/>
    </row>
    <row r="20" spans="2:28" s="26" customFormat="1">
      <c r="B20" s="157" t="s">
        <v>159</v>
      </c>
      <c r="C20" s="158" t="s">
        <v>160</v>
      </c>
      <c r="D20" s="126"/>
      <c r="E20" s="577">
        <f>G11+7</f>
        <v>46114</v>
      </c>
      <c r="F20" s="578">
        <v>1</v>
      </c>
      <c r="G20" s="577">
        <f>E20+F20</f>
        <v>46115</v>
      </c>
      <c r="H20" s="579"/>
      <c r="I20" s="577">
        <f>K11+7</f>
        <v>46114</v>
      </c>
      <c r="J20" s="578">
        <v>1</v>
      </c>
      <c r="K20" s="577">
        <f>I20+J20</f>
        <v>46115</v>
      </c>
      <c r="L20" s="77"/>
      <c r="M20" s="580">
        <v>0</v>
      </c>
      <c r="N20" s="580">
        <f ca="1">_xlfn.LET(
  _xlpm.s,VALUE($I20),
  _xlpm.e,VALUE($K20),
  IF(OR(_xlpm.s="",_xlpm.e=""),"", IF(_xlpm.e&lt;=_xlpm.s, IF(TODAY()&gt;=_xlpm.e,1,0), MAX(0,MIN(1,(TODAY()-_xlpm.s)/(_xlpm.e-_xlpm.s)))))
)</f>
        <v>0</v>
      </c>
      <c r="O20" s="36"/>
      <c r="Q20" s="38"/>
      <c r="R20" s="35"/>
      <c r="S20" s="306">
        <v>0</v>
      </c>
      <c r="T20" s="306">
        <v>1</v>
      </c>
      <c r="U20" s="35"/>
      <c r="V20" s="35"/>
      <c r="W20" s="35"/>
      <c r="X20" s="35"/>
      <c r="Z20" s="35"/>
      <c r="AA20" s="35"/>
      <c r="AB20" s="35"/>
    </row>
    <row r="21" spans="2:28" s="26" customFormat="1">
      <c r="B21" s="150"/>
      <c r="C21" s="126"/>
      <c r="D21" s="126"/>
      <c r="E21" s="581"/>
      <c r="F21" s="581"/>
      <c r="G21" s="581"/>
      <c r="H21" s="579"/>
      <c r="I21" s="581"/>
      <c r="J21" s="581"/>
      <c r="K21" s="581"/>
      <c r="L21" s="77"/>
      <c r="M21" s="77"/>
      <c r="N21" s="77"/>
      <c r="Q21" s="1"/>
      <c r="S21" s="35"/>
      <c r="T21" s="35"/>
      <c r="U21" s="35"/>
      <c r="V21" s="35"/>
    </row>
    <row r="22" spans="2:28" s="28" customFormat="1">
      <c r="B22" s="155">
        <v>3</v>
      </c>
      <c r="C22" s="156" t="s">
        <v>161</v>
      </c>
      <c r="D22" s="130"/>
      <c r="E22" s="572">
        <f>MIN(E23:E28)</f>
        <v>46092</v>
      </c>
      <c r="F22" s="573">
        <f>G22-E22</f>
        <v>58</v>
      </c>
      <c r="G22" s="572">
        <f>MAX(G23:G28)</f>
        <v>46150</v>
      </c>
      <c r="H22" s="582"/>
      <c r="I22" s="572">
        <f>MIN(I23:I28)</f>
        <v>46092</v>
      </c>
      <c r="J22" s="573">
        <f>K22-I22</f>
        <v>58</v>
      </c>
      <c r="K22" s="572">
        <f>MAX(K23:K28)</f>
        <v>46150</v>
      </c>
      <c r="L22" s="575"/>
      <c r="M22" s="576">
        <f>(J23*M23+J24*M24+J25*M25+J26*M26+J27*M27)/SUM(J23:J27)</f>
        <v>0</v>
      </c>
      <c r="N22" s="576">
        <f ca="1">(J23*N23+J24*N24+J25*N25+J26*N26+J27*N27)/SUM(J23:J27)</f>
        <v>0</v>
      </c>
      <c r="O22" s="33"/>
      <c r="P22" s="26"/>
      <c r="Q22" s="37"/>
      <c r="R22" s="32"/>
      <c r="S22" s="35"/>
      <c r="T22" s="35"/>
      <c r="U22" s="35"/>
      <c r="V22" s="35"/>
      <c r="W22" s="35"/>
      <c r="X22" s="35"/>
      <c r="Y22" s="35"/>
      <c r="Z22" s="35"/>
      <c r="AA22" s="35"/>
      <c r="AB22" s="32"/>
    </row>
    <row r="23" spans="2:28" s="26" customFormat="1">
      <c r="B23" s="157" t="s">
        <v>162</v>
      </c>
      <c r="C23" s="158" t="s">
        <v>163</v>
      </c>
      <c r="D23" s="126"/>
      <c r="E23" s="577">
        <f>WORKDAY.INTL(E20,0,1,Data!$C$3:$C$60)</f>
        <v>46114</v>
      </c>
      <c r="F23" s="578">
        <v>1</v>
      </c>
      <c r="G23" s="577">
        <f>WORKDAY.INTL(E23,F23,1,Data!$C$3:$C$60)</f>
        <v>46119</v>
      </c>
      <c r="H23" s="579"/>
      <c r="I23" s="577">
        <f>WORKDAY.INTL(I20,0,1,Data!$C$3:$C$60)</f>
        <v>46114</v>
      </c>
      <c r="J23" s="578">
        <v>1</v>
      </c>
      <c r="K23" s="577">
        <f>WORKDAY.INTL(I23,J23,1,Data!$C$3:$C$60)</f>
        <v>46119</v>
      </c>
      <c r="L23" s="77"/>
      <c r="M23" s="580">
        <v>0</v>
      </c>
      <c r="N23" s="580">
        <f t="shared" ref="N23:N27" ca="1" si="2">_xlfn.LET(
  _xlpm.s,VALUE($I23),
  _xlpm.e,VALUE($K23),
  IF(OR(_xlpm.s="",_xlpm.e=""),"", IF(_xlpm.e&lt;=_xlpm.s, IF(TODAY()&gt;=_xlpm.e,1,0), MAX(0,MIN(1,(TODAY()-_xlpm.s)/(_xlpm.e-_xlpm.s)))))
)</f>
        <v>0</v>
      </c>
      <c r="O23" s="36"/>
      <c r="Q23" s="38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</row>
    <row r="24" spans="2:28" s="26" customFormat="1">
      <c r="B24" s="157" t="s">
        <v>164</v>
      </c>
      <c r="C24" s="158" t="s">
        <v>165</v>
      </c>
      <c r="D24" s="126"/>
      <c r="E24" s="577">
        <f>WORKDAY.INTL(G23,0,1,Data!$C$3:$C$60)</f>
        <v>46119</v>
      </c>
      <c r="F24" s="578">
        <v>1</v>
      </c>
      <c r="G24" s="577">
        <f>WORKDAY.INTL(E24,F24,1,Data!$C$3:$C$60)</f>
        <v>46120</v>
      </c>
      <c r="H24" s="579"/>
      <c r="I24" s="577">
        <f>WORKDAY.INTL(K23,0,1,Data!$C$3:$C$60)</f>
        <v>46119</v>
      </c>
      <c r="J24" s="578">
        <v>1</v>
      </c>
      <c r="K24" s="577">
        <f>WORKDAY.INTL(I24,J24,1,Data!$C$3:$C$60)</f>
        <v>46120</v>
      </c>
      <c r="L24" s="77"/>
      <c r="M24" s="580">
        <v>0</v>
      </c>
      <c r="N24" s="580">
        <f t="shared" ca="1" si="2"/>
        <v>0</v>
      </c>
      <c r="O24" s="36"/>
      <c r="Q24" s="38"/>
      <c r="R24" s="35"/>
      <c r="W24" s="35"/>
      <c r="X24" s="35"/>
      <c r="Y24" s="35"/>
      <c r="Z24" s="35"/>
      <c r="AA24" s="35"/>
      <c r="AB24" s="35"/>
    </row>
    <row r="25" spans="2:28" s="26" customFormat="1">
      <c r="B25" s="157" t="s">
        <v>166</v>
      </c>
      <c r="C25" s="158" t="s">
        <v>167</v>
      </c>
      <c r="D25" s="126"/>
      <c r="E25" s="577">
        <f>WORKDAY.INTL(E15,0,1,Data!$C$3:$C$60)-14</f>
        <v>46092</v>
      </c>
      <c r="F25" s="578">
        <v>30</v>
      </c>
      <c r="G25" s="577">
        <f>WORKDAY.INTL(E25,F25,1,Data!$C$3:$C$60)</f>
        <v>46136</v>
      </c>
      <c r="H25" s="579"/>
      <c r="I25" s="577">
        <f>WORKDAY.INTL(I15,0,1,Data!$C$3:$C$60)-14</f>
        <v>46092</v>
      </c>
      <c r="J25" s="578">
        <v>30</v>
      </c>
      <c r="K25" s="577">
        <f>WORKDAY.INTL(I25,J25,1,Data!$C$3:$C$60)</f>
        <v>46136</v>
      </c>
      <c r="L25" s="77"/>
      <c r="M25" s="580">
        <v>0</v>
      </c>
      <c r="N25" s="580">
        <f t="shared" ca="1" si="2"/>
        <v>0</v>
      </c>
      <c r="O25" s="36"/>
      <c r="Q25" s="38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</row>
    <row r="26" spans="2:28" s="26" customFormat="1">
      <c r="B26" s="157" t="s">
        <v>168</v>
      </c>
      <c r="C26" s="158" t="s">
        <v>169</v>
      </c>
      <c r="D26" s="126"/>
      <c r="E26" s="577">
        <f>G25</f>
        <v>46136</v>
      </c>
      <c r="F26" s="578">
        <v>8</v>
      </c>
      <c r="G26" s="577">
        <f>WORKDAY.INTL(E26,F26,1,Data!$C$3:$C$60)</f>
        <v>46150</v>
      </c>
      <c r="H26" s="579"/>
      <c r="I26" s="577">
        <f>K25</f>
        <v>46136</v>
      </c>
      <c r="J26" s="578">
        <v>8</v>
      </c>
      <c r="K26" s="577">
        <f>WORKDAY.INTL(I26,J26,1,Data!$C$3:$C$60)</f>
        <v>46150</v>
      </c>
      <c r="L26" s="77"/>
      <c r="M26" s="580">
        <v>0</v>
      </c>
      <c r="N26" s="580">
        <f t="shared" ca="1" si="2"/>
        <v>0</v>
      </c>
      <c r="O26" s="36"/>
      <c r="Q26" s="38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</row>
    <row r="27" spans="2:28" s="26" customFormat="1">
      <c r="B27" s="157" t="s">
        <v>170</v>
      </c>
      <c r="C27" s="158" t="s">
        <v>171</v>
      </c>
      <c r="D27" s="126"/>
      <c r="E27" s="577">
        <f>WORKDAY.INTL(E26,0,1,Data!$C$3:$C$60)</f>
        <v>46136</v>
      </c>
      <c r="F27" s="578">
        <v>1</v>
      </c>
      <c r="G27" s="577">
        <f>WORKDAY.INTL(E27,F27,1,Data!$C$3:$C$60)</f>
        <v>46140</v>
      </c>
      <c r="H27" s="579"/>
      <c r="I27" s="577">
        <f>WORKDAY.INTL(I26,0,1,Data!$C$3:$C$60)</f>
        <v>46136</v>
      </c>
      <c r="J27" s="578">
        <v>1</v>
      </c>
      <c r="K27" s="577">
        <f>WORKDAY.INTL(I27,J27,1,Data!$C$3:$C$60)</f>
        <v>46140</v>
      </c>
      <c r="L27" s="77"/>
      <c r="M27" s="580">
        <v>0</v>
      </c>
      <c r="N27" s="580">
        <f t="shared" ca="1" si="2"/>
        <v>0</v>
      </c>
      <c r="O27" s="36"/>
      <c r="Q27" s="38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</row>
    <row r="28" spans="2:28" s="26" customFormat="1" ht="4.5" customHeight="1">
      <c r="B28" s="150"/>
      <c r="C28" s="126"/>
      <c r="D28" s="126"/>
      <c r="E28" s="581"/>
      <c r="F28" s="581"/>
      <c r="G28" s="581"/>
      <c r="H28" s="579"/>
      <c r="I28" s="581"/>
      <c r="J28" s="581"/>
      <c r="K28" s="581"/>
      <c r="L28" s="77"/>
      <c r="M28" s="77"/>
      <c r="N28" s="77"/>
      <c r="Q28" s="1"/>
      <c r="S28" s="35"/>
      <c r="T28" s="35"/>
      <c r="U28" s="35"/>
      <c r="V28" s="35"/>
    </row>
    <row r="29" spans="2:28" s="26" customFormat="1">
      <c r="B29" s="155">
        <v>4</v>
      </c>
      <c r="C29" s="156" t="s">
        <v>172</v>
      </c>
      <c r="D29" s="130"/>
      <c r="E29" s="572">
        <f>MIN(E31:E35)</f>
        <v>46114</v>
      </c>
      <c r="F29" s="573">
        <f>G29-E29</f>
        <v>28</v>
      </c>
      <c r="G29" s="572">
        <f>MAX(G31:G35)</f>
        <v>46142</v>
      </c>
      <c r="H29" s="582"/>
      <c r="I29" s="572">
        <f>MIN(I31:I35)</f>
        <v>46114</v>
      </c>
      <c r="J29" s="573">
        <f>K29-I29</f>
        <v>28</v>
      </c>
      <c r="K29" s="572">
        <f>MAX(K31:K35)</f>
        <v>46142</v>
      </c>
      <c r="L29" s="575"/>
      <c r="M29" s="576">
        <f>(J31*M31+J32*M32+J34*M34)/SUM(J31:J34)</f>
        <v>0</v>
      </c>
      <c r="N29" s="576">
        <f ca="1">(J31*N31+J32*N32+J34*N34)/SUM(J31:J34)</f>
        <v>0</v>
      </c>
      <c r="O29" s="36"/>
      <c r="Q29" s="38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</row>
    <row r="30" spans="2:28" s="26" customFormat="1" ht="14.45" hidden="1">
      <c r="B30" s="157"/>
      <c r="C30" s="158"/>
      <c r="D30" s="126"/>
      <c r="E30" s="577"/>
      <c r="F30" s="578"/>
      <c r="G30" s="577"/>
      <c r="H30" s="579"/>
      <c r="I30" s="577"/>
      <c r="J30" s="578"/>
      <c r="K30" s="577"/>
      <c r="L30" s="77"/>
      <c r="M30" s="580"/>
      <c r="N30" s="580"/>
      <c r="O30" s="36"/>
      <c r="Q30" s="38"/>
      <c r="R30" s="35"/>
      <c r="U30"/>
      <c r="W30" s="35"/>
      <c r="X30" s="35"/>
      <c r="Y30" s="35"/>
      <c r="Z30" s="35"/>
      <c r="AA30" s="35"/>
      <c r="AB30" s="35"/>
    </row>
    <row r="31" spans="2:28" s="26" customFormat="1">
      <c r="B31" s="157" t="s">
        <v>173</v>
      </c>
      <c r="C31" s="158" t="s">
        <v>174</v>
      </c>
      <c r="D31" s="126"/>
      <c r="E31" s="577">
        <f>E20</f>
        <v>46114</v>
      </c>
      <c r="F31" s="578">
        <v>1</v>
      </c>
      <c r="G31" s="577">
        <f>WORKDAY.INTL(E31,F31,1,Data!$C$3:$C$60)</f>
        <v>46119</v>
      </c>
      <c r="H31" s="579"/>
      <c r="I31" s="577">
        <f>I20</f>
        <v>46114</v>
      </c>
      <c r="J31" s="578">
        <v>1</v>
      </c>
      <c r="K31" s="577">
        <f>WORKDAY.INTL(I31,J31,1,Data!$C$3:$C$60)</f>
        <v>46119</v>
      </c>
      <c r="L31" s="77"/>
      <c r="M31" s="580">
        <v>0</v>
      </c>
      <c r="N31" s="580">
        <f t="shared" ref="N31:N34" ca="1" si="3">_xlfn.LET(
  _xlpm.s,VALUE($I31),
  _xlpm.e,VALUE($K31),
  IF(OR(_xlpm.s="",_xlpm.e=""),"", IF(_xlpm.e&lt;=_xlpm.s, IF(TODAY()&gt;=_xlpm.e,1,0), MAX(0,MIN(1,(TODAY()-_xlpm.s)/(_xlpm.e-_xlpm.s)))))
)</f>
        <v>0</v>
      </c>
      <c r="O31" s="36"/>
      <c r="Q31" s="38"/>
      <c r="R31" s="35"/>
      <c r="W31" s="35"/>
      <c r="X31" s="35"/>
      <c r="Y31" s="35"/>
      <c r="Z31" s="35"/>
      <c r="AA31" s="35"/>
      <c r="AB31" s="35"/>
    </row>
    <row r="32" spans="2:28" s="26" customFormat="1">
      <c r="B32" s="157" t="s">
        <v>175</v>
      </c>
      <c r="C32" s="158" t="s">
        <v>176</v>
      </c>
      <c r="D32" s="126"/>
      <c r="E32" s="577">
        <f>WORKDAY.INTL(G31,0,1,Data!$C$3:$C$60)</f>
        <v>46119</v>
      </c>
      <c r="F32" s="578">
        <v>5</v>
      </c>
      <c r="G32" s="577">
        <f>WORKDAY.INTL(E32,F32,1,Data!$C$3:$C$60)</f>
        <v>46126</v>
      </c>
      <c r="H32" s="579"/>
      <c r="I32" s="577">
        <f>WORKDAY.INTL(K31,0,1,Data!$C$3:$C$60)</f>
        <v>46119</v>
      </c>
      <c r="J32" s="578">
        <v>5</v>
      </c>
      <c r="K32" s="577">
        <f>WORKDAY.INTL(I32,J32,1,Data!$C$3:$C$60)</f>
        <v>46126</v>
      </c>
      <c r="L32" s="77"/>
      <c r="M32" s="580">
        <v>0</v>
      </c>
      <c r="N32" s="580">
        <f t="shared" ca="1" si="3"/>
        <v>0</v>
      </c>
      <c r="O32" s="36"/>
      <c r="Q32" s="38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</row>
    <row r="33" spans="2:28" s="26" customFormat="1">
      <c r="B33" s="157" t="s">
        <v>177</v>
      </c>
      <c r="C33" s="158" t="s">
        <v>178</v>
      </c>
      <c r="D33" s="126"/>
      <c r="E33" s="577">
        <f>E20</f>
        <v>46114</v>
      </c>
      <c r="F33" s="578">
        <v>1</v>
      </c>
      <c r="G33" s="577">
        <f>WORKDAY.INTL(E33,F33,1,Data!$C$3:$C$60)</f>
        <v>46119</v>
      </c>
      <c r="H33" s="579"/>
      <c r="I33" s="577">
        <f>I20</f>
        <v>46114</v>
      </c>
      <c r="J33" s="578">
        <v>1</v>
      </c>
      <c r="K33" s="577">
        <f>WORKDAY.INTL(I33,J33,1,Data!$C$3:$C$60)</f>
        <v>46119</v>
      </c>
      <c r="L33" s="77"/>
      <c r="M33" s="580">
        <v>0</v>
      </c>
      <c r="N33" s="580">
        <f t="shared" ca="1" si="3"/>
        <v>0</v>
      </c>
      <c r="O33" s="36"/>
      <c r="Q33" s="38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</row>
    <row r="34" spans="2:28">
      <c r="B34" s="157" t="s">
        <v>179</v>
      </c>
      <c r="C34" s="154" t="s">
        <v>180</v>
      </c>
      <c r="D34" s="126"/>
      <c r="E34" s="583">
        <f>WORKDAY.INTL(G38,0,1,Data!$C$3:$C$60)-3</f>
        <v>46131</v>
      </c>
      <c r="F34" s="578">
        <v>8</v>
      </c>
      <c r="G34" s="583">
        <f>WORKDAY.INTL(E34,F34,1,Data!$C$3:$C$60)</f>
        <v>46142</v>
      </c>
      <c r="H34" s="579"/>
      <c r="I34" s="583">
        <f>WORKDAY.INTL(K38,0,1,Data!$C$3:$C$60)-3</f>
        <v>46131</v>
      </c>
      <c r="J34" s="578">
        <v>8</v>
      </c>
      <c r="K34" s="583">
        <f>WORKDAY.INTL(I34,J34,1,Data!$C$3:$C$60)</f>
        <v>46142</v>
      </c>
      <c r="L34" s="77"/>
      <c r="M34" s="580">
        <v>0</v>
      </c>
      <c r="N34" s="580">
        <f t="shared" ca="1" si="3"/>
        <v>0</v>
      </c>
      <c r="O34" s="36"/>
      <c r="S34" s="35"/>
      <c r="T34" s="35"/>
      <c r="U34" s="35"/>
      <c r="V34" s="35"/>
      <c r="Y34" s="4"/>
    </row>
    <row r="35" spans="2:28" s="26" customFormat="1" ht="4.5" customHeight="1">
      <c r="B35" s="150"/>
      <c r="C35" s="126"/>
      <c r="D35" s="126"/>
      <c r="E35" s="581"/>
      <c r="F35" s="581"/>
      <c r="G35" s="581"/>
      <c r="H35" s="579"/>
      <c r="I35" s="581"/>
      <c r="J35" s="581"/>
      <c r="K35" s="581"/>
      <c r="L35" s="77"/>
      <c r="M35" s="77"/>
      <c r="N35" s="77"/>
      <c r="Q35" s="1"/>
    </row>
    <row r="36" spans="2:28" s="26" customFormat="1">
      <c r="B36" s="155">
        <v>5</v>
      </c>
      <c r="C36" s="156" t="s">
        <v>181</v>
      </c>
      <c r="D36" s="130"/>
      <c r="E36" s="572">
        <f>MIN(E37:E39)</f>
        <v>46114</v>
      </c>
      <c r="F36" s="573">
        <f>G36-E36</f>
        <v>20</v>
      </c>
      <c r="G36" s="572">
        <f>MAX(G37:G39)</f>
        <v>46134</v>
      </c>
      <c r="H36" s="574"/>
      <c r="I36" s="572">
        <f>MIN(I37:I39)</f>
        <v>46114</v>
      </c>
      <c r="J36" s="573">
        <f>K36-I36</f>
        <v>20</v>
      </c>
      <c r="K36" s="572">
        <f>MAX(K37:K39)</f>
        <v>46134</v>
      </c>
      <c r="L36" s="575"/>
      <c r="M36" s="576">
        <f>(J37*M37+J38*M38)/SUM(J37:J38)</f>
        <v>0</v>
      </c>
      <c r="N36" s="576">
        <f ca="1">(J37*N37+J38*N38)/SUM(J37:J38)</f>
        <v>0</v>
      </c>
      <c r="O36" s="36"/>
      <c r="Q36" s="38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</row>
    <row r="37" spans="2:28" s="26" customFormat="1">
      <c r="B37" s="157" t="s">
        <v>182</v>
      </c>
      <c r="C37" s="158" t="s">
        <v>183</v>
      </c>
      <c r="D37" s="126"/>
      <c r="E37" s="583">
        <f>WORKDAY.INTL(E20,0,1,Data!$C$3:$C$60)</f>
        <v>46114</v>
      </c>
      <c r="F37" s="578">
        <v>1</v>
      </c>
      <c r="G37" s="577">
        <f>WORKDAY.INTL(E37,F37,1,Data!$C$3:$C$60)</f>
        <v>46119</v>
      </c>
      <c r="H37" s="579"/>
      <c r="I37" s="583">
        <f>WORKDAY.INTL(I20,0,1,Data!$C$3:$C$60)</f>
        <v>46114</v>
      </c>
      <c r="J37" s="578">
        <v>1</v>
      </c>
      <c r="K37" s="577">
        <f>WORKDAY.INTL(I37,J37,1,Data!$C$3:$C$60)</f>
        <v>46119</v>
      </c>
      <c r="L37" s="77"/>
      <c r="M37" s="580">
        <v>0</v>
      </c>
      <c r="N37" s="580">
        <f t="shared" ref="N37:N38" ca="1" si="4">_xlfn.LET(
  _xlpm.s,VALUE($I37),
  _xlpm.e,VALUE($K37),
  IF(OR(_xlpm.s="",_xlpm.e=""),"", IF(_xlpm.e&lt;=_xlpm.s, IF(TODAY()&gt;=_xlpm.e,1,0), MAX(0,MIN(1,(TODAY()-_xlpm.s)/(_xlpm.e-_xlpm.s)))))
)</f>
        <v>0</v>
      </c>
      <c r="O37" s="36"/>
      <c r="Q37" s="38"/>
      <c r="R37" s="35"/>
      <c r="W37" s="35"/>
      <c r="X37" s="35"/>
      <c r="Y37" s="35"/>
      <c r="Z37" s="35"/>
      <c r="AA37" s="35"/>
      <c r="AB37" s="35"/>
    </row>
    <row r="38" spans="2:28" s="26" customFormat="1">
      <c r="B38" s="157" t="s">
        <v>184</v>
      </c>
      <c r="C38" s="158" t="s">
        <v>185</v>
      </c>
      <c r="D38" s="126"/>
      <c r="E38" s="583">
        <f>G32</f>
        <v>46126</v>
      </c>
      <c r="F38" s="578">
        <v>6</v>
      </c>
      <c r="G38" s="577">
        <f>WORKDAY.INTL(E38,F38,1,Data!$C$3:$C$60)</f>
        <v>46134</v>
      </c>
      <c r="H38" s="579"/>
      <c r="I38" s="583">
        <f>K32</f>
        <v>46126</v>
      </c>
      <c r="J38" s="578">
        <v>6</v>
      </c>
      <c r="K38" s="577">
        <f>WORKDAY.INTL(I38,J38,1,Data!$C$3:$C$60)</f>
        <v>46134</v>
      </c>
      <c r="L38" s="77"/>
      <c r="M38" s="580">
        <v>0</v>
      </c>
      <c r="N38" s="580">
        <f t="shared" ca="1" si="4"/>
        <v>0</v>
      </c>
      <c r="O38" s="36"/>
      <c r="Q38" s="38"/>
      <c r="R38" s="35"/>
      <c r="W38" s="35"/>
      <c r="X38" s="35"/>
      <c r="Y38" s="35"/>
      <c r="Z38" s="35"/>
      <c r="AA38" s="35"/>
      <c r="AB38" s="35"/>
    </row>
    <row r="39" spans="2:28" s="26" customFormat="1" ht="4.5" customHeight="1">
      <c r="B39" s="150"/>
      <c r="C39" s="126"/>
      <c r="D39" s="126"/>
      <c r="E39" s="581"/>
      <c r="F39" s="581"/>
      <c r="G39" s="581"/>
      <c r="H39" s="579"/>
      <c r="I39" s="581"/>
      <c r="J39" s="581"/>
      <c r="K39" s="581"/>
      <c r="L39" s="77"/>
      <c r="M39" s="77"/>
      <c r="N39" s="77"/>
      <c r="Q39" s="1"/>
    </row>
    <row r="40" spans="2:28" s="26" customFormat="1">
      <c r="B40" s="155">
        <v>6</v>
      </c>
      <c r="C40" s="156" t="s">
        <v>186</v>
      </c>
      <c r="D40" s="130"/>
      <c r="E40" s="572">
        <f>MIN(E41:E45)</f>
        <v>46150</v>
      </c>
      <c r="F40" s="573">
        <f>G40-E40</f>
        <v>5</v>
      </c>
      <c r="G40" s="572">
        <f>MAX(G41:G43)</f>
        <v>46155</v>
      </c>
      <c r="H40" s="574"/>
      <c r="I40" s="572">
        <f>MIN(I41:I45)</f>
        <v>46150</v>
      </c>
      <c r="J40" s="573">
        <f>K40-I40</f>
        <v>5</v>
      </c>
      <c r="K40" s="572">
        <f>MAX(K41:K43)</f>
        <v>46155</v>
      </c>
      <c r="L40" s="575"/>
      <c r="M40" s="576">
        <f>(J41*M41+J42*M42+J43*M43+J44*M44)/SUM(J41:J44)</f>
        <v>0</v>
      </c>
      <c r="N40" s="576">
        <f ca="1">(J41*N41+J42*N42+J43*N43+J44*N44)/SUM(J41:J44)</f>
        <v>0</v>
      </c>
      <c r="O40" s="36"/>
      <c r="Q40" s="38"/>
      <c r="R40" s="35"/>
      <c r="W40" s="35"/>
      <c r="X40" s="35"/>
      <c r="Y40" s="35"/>
      <c r="Z40" s="35"/>
      <c r="AA40" s="35"/>
      <c r="AB40" s="35"/>
    </row>
    <row r="41" spans="2:28">
      <c r="B41" s="157" t="s">
        <v>187</v>
      </c>
      <c r="C41" s="154" t="s">
        <v>188</v>
      </c>
      <c r="D41" s="126"/>
      <c r="E41" s="583">
        <f>WORKDAY.INTL(MAX(G22,G29,G36),0,1,Data!$C$3:$C$60)</f>
        <v>46150</v>
      </c>
      <c r="F41" s="578">
        <v>1</v>
      </c>
      <c r="G41" s="583">
        <f>WORKDAY.INTL(E41,F41,1,Data!$C$3:$C$60)</f>
        <v>46153</v>
      </c>
      <c r="H41" s="579"/>
      <c r="I41" s="583">
        <f>WORKDAY.INTL(MAX(K22,K29,K36),0,1,Data!$C$3:$C$60)</f>
        <v>46150</v>
      </c>
      <c r="J41" s="578">
        <v>1</v>
      </c>
      <c r="K41" s="583">
        <f>WORKDAY.INTL(I41,J41,1,Data!$C$3:$C$60)</f>
        <v>46153</v>
      </c>
      <c r="L41" s="77"/>
      <c r="M41" s="580">
        <v>0</v>
      </c>
      <c r="N41" s="580">
        <f t="shared" ref="N41:N44" ca="1" si="5">_xlfn.LET(
  _xlpm.s,VALUE($I41),
  _xlpm.e,VALUE($K41),
  IF(OR(_xlpm.s="",_xlpm.e=""),"", IF(_xlpm.e&lt;=_xlpm.s, IF(TODAY()&gt;=_xlpm.e,1,0), MAX(0,MIN(1,(TODAY()-_xlpm.s)/(_xlpm.e-_xlpm.s)))))
)</f>
        <v>0</v>
      </c>
      <c r="O41" s="36"/>
      <c r="Y41" s="4"/>
    </row>
    <row r="42" spans="2:28">
      <c r="B42" s="157" t="s">
        <v>189</v>
      </c>
      <c r="C42" s="154" t="s">
        <v>190</v>
      </c>
      <c r="D42" s="126"/>
      <c r="E42" s="583">
        <f>WORKDAY.INTL(G41,0,1,Data!$C$3:$C$60)</f>
        <v>46153</v>
      </c>
      <c r="F42" s="578">
        <v>1</v>
      </c>
      <c r="G42" s="583">
        <f>WORKDAY.INTL(E42,F42,1,Data!$C$3:$C$60)</f>
        <v>46154</v>
      </c>
      <c r="H42" s="579"/>
      <c r="I42" s="583">
        <f>WORKDAY.INTL(K41,0,1,Data!$C$3:$C$60)</f>
        <v>46153</v>
      </c>
      <c r="J42" s="578">
        <v>1</v>
      </c>
      <c r="K42" s="583">
        <f>WORKDAY.INTL(I42,J42,1,Data!$C$3:$C$60)</f>
        <v>46154</v>
      </c>
      <c r="L42" s="77"/>
      <c r="M42" s="580">
        <v>0</v>
      </c>
      <c r="N42" s="580">
        <f t="shared" ca="1" si="5"/>
        <v>0</v>
      </c>
      <c r="O42" s="36"/>
      <c r="S42" s="35"/>
      <c r="T42" s="35"/>
      <c r="U42" s="35"/>
      <c r="V42" s="35"/>
      <c r="Y42" s="4"/>
    </row>
    <row r="43" spans="2:28">
      <c r="B43" s="157" t="s">
        <v>191</v>
      </c>
      <c r="C43" s="154" t="s">
        <v>192</v>
      </c>
      <c r="D43" s="126"/>
      <c r="E43" s="583">
        <f>WORKDAY.INTL(E41,0,1,Data!$C$3:$C$60)</f>
        <v>46150</v>
      </c>
      <c r="F43" s="578">
        <v>3</v>
      </c>
      <c r="G43" s="583">
        <f>WORKDAY.INTL(E43,F43,1,Data!$C$3:$C$60)</f>
        <v>46155</v>
      </c>
      <c r="H43" s="579"/>
      <c r="I43" s="583">
        <f>WORKDAY.INTL(I41,0,1,Data!$C$3:$C$60)</f>
        <v>46150</v>
      </c>
      <c r="J43" s="578">
        <v>3</v>
      </c>
      <c r="K43" s="583">
        <f>WORKDAY.INTL(I43,J43,1,Data!$C$3:$C$60)</f>
        <v>46155</v>
      </c>
      <c r="L43" s="77"/>
      <c r="M43" s="580">
        <v>0</v>
      </c>
      <c r="N43" s="580">
        <f t="shared" ca="1" si="5"/>
        <v>0</v>
      </c>
      <c r="O43" s="36"/>
      <c r="Y43" s="4"/>
    </row>
    <row r="44" spans="2:28">
      <c r="B44" s="157" t="s">
        <v>193</v>
      </c>
      <c r="C44" s="154" t="s">
        <v>194</v>
      </c>
      <c r="D44" s="126"/>
      <c r="E44" s="583">
        <f>WORKDAY.INTL(E41,0,1,Data!$C$3:$C$60)</f>
        <v>46150</v>
      </c>
      <c r="F44" s="578">
        <v>5</v>
      </c>
      <c r="G44" s="583">
        <f>WORKDAY.INTL(E44,F44,1,Data!$C$3:$C$60)</f>
        <v>46157</v>
      </c>
      <c r="H44" s="579"/>
      <c r="I44" s="583">
        <f>WORKDAY.INTL(I41,0,1,Data!$C$3:$C$60)</f>
        <v>46150</v>
      </c>
      <c r="J44" s="578">
        <v>5</v>
      </c>
      <c r="K44" s="583">
        <f>WORKDAY.INTL(I44,J44,1,Data!$C$3:$C$60)</f>
        <v>46157</v>
      </c>
      <c r="L44" s="77"/>
      <c r="M44" s="580">
        <v>0</v>
      </c>
      <c r="N44" s="580">
        <f t="shared" ca="1" si="5"/>
        <v>0</v>
      </c>
      <c r="O44" s="36"/>
      <c r="Y44" s="4"/>
    </row>
    <row r="45" spans="2:28" s="26" customFormat="1" ht="4.5" customHeight="1">
      <c r="B45" s="150"/>
      <c r="C45" s="126"/>
      <c r="D45" s="126"/>
      <c r="E45" s="581"/>
      <c r="F45" s="581"/>
      <c r="G45" s="581"/>
      <c r="H45" s="579"/>
      <c r="I45" s="581"/>
      <c r="J45" s="581"/>
      <c r="K45" s="581"/>
      <c r="L45" s="77"/>
      <c r="M45" s="77"/>
      <c r="N45" s="77"/>
      <c r="Q45" s="1"/>
    </row>
    <row r="46" spans="2:28" s="26" customFormat="1">
      <c r="B46" s="155">
        <v>7</v>
      </c>
      <c r="C46" s="156" t="s">
        <v>195</v>
      </c>
      <c r="D46" s="130"/>
      <c r="E46" s="572">
        <f>MIN(E47:E49)</f>
        <v>46153</v>
      </c>
      <c r="F46" s="573">
        <f>G46-E46</f>
        <v>8</v>
      </c>
      <c r="G46" s="572">
        <f>MAX(G47:G49)</f>
        <v>46161</v>
      </c>
      <c r="H46" s="574"/>
      <c r="I46" s="572">
        <f>MIN(I47:I49)</f>
        <v>46153</v>
      </c>
      <c r="J46" s="573">
        <f>K46-I46</f>
        <v>8</v>
      </c>
      <c r="K46" s="572">
        <f>MAX(K47:K49)</f>
        <v>46161</v>
      </c>
      <c r="L46" s="575"/>
      <c r="M46" s="576">
        <f>(J47*M47+J48*M48+J49*M49+J50*M50)/SUM(J47:J50)</f>
        <v>0</v>
      </c>
      <c r="N46" s="576">
        <f ca="1">(J47*N47+J48*N48+J49*N49+J50*N50)/SUM(J47:J50)</f>
        <v>0</v>
      </c>
      <c r="O46" s="36"/>
      <c r="Q46" s="38"/>
      <c r="R46" s="35"/>
      <c r="W46" s="35"/>
      <c r="X46" s="35"/>
      <c r="Y46" s="35"/>
      <c r="Z46" s="35"/>
      <c r="AA46" s="35"/>
      <c r="AB46" s="35"/>
    </row>
    <row r="47" spans="2:28">
      <c r="B47" s="157" t="s">
        <v>196</v>
      </c>
      <c r="C47" s="154" t="s">
        <v>197</v>
      </c>
      <c r="D47" s="126"/>
      <c r="E47" s="583">
        <f>WORKDAY.INTL(G41,0,1,Data!$C$3:$C$60)</f>
        <v>46153</v>
      </c>
      <c r="F47" s="578">
        <v>2</v>
      </c>
      <c r="G47" s="583">
        <f>WORKDAY.INTL(E47,F47,1,Data!$C$3:$C$60)</f>
        <v>46155</v>
      </c>
      <c r="H47" s="579"/>
      <c r="I47" s="583">
        <f>WORKDAY.INTL(K41,0,1,Data!$C$3:$C$60)</f>
        <v>46153</v>
      </c>
      <c r="J47" s="578">
        <v>2</v>
      </c>
      <c r="K47" s="583">
        <f>WORKDAY.INTL(I47,J47,1,Data!$C$3:$C$60)</f>
        <v>46155</v>
      </c>
      <c r="L47" s="77"/>
      <c r="M47" s="580">
        <v>0</v>
      </c>
      <c r="N47" s="580">
        <f t="shared" ref="N47:N50" ca="1" si="6">_xlfn.LET(
  _xlpm.s,VALUE($I47),
  _xlpm.e,VALUE($K47),
  IF(OR(_xlpm.s="",_xlpm.e=""),"", IF(_xlpm.e&lt;=_xlpm.s, IF(TODAY()&gt;=_xlpm.e,1,0), MAX(0,MIN(1,(TODAY()-_xlpm.s)/(_xlpm.e-_xlpm.s)))))
)</f>
        <v>0</v>
      </c>
      <c r="O47" s="36"/>
      <c r="Y47" s="4"/>
    </row>
    <row r="48" spans="2:28">
      <c r="B48" s="157" t="s">
        <v>198</v>
      </c>
      <c r="C48" s="154" t="s">
        <v>199</v>
      </c>
      <c r="D48" s="126"/>
      <c r="E48" s="583">
        <f>WORKDAY.INTL(G47,0,1,Data!$C$3:$C$60)</f>
        <v>46155</v>
      </c>
      <c r="F48" s="578">
        <v>2</v>
      </c>
      <c r="G48" s="583">
        <f>WORKDAY.INTL(E48,F48,1,Data!$C$3:$C$60)</f>
        <v>46157</v>
      </c>
      <c r="H48" s="579"/>
      <c r="I48" s="583">
        <f>WORKDAY.INTL(K47,0,1,Data!$C$3:$C$60)</f>
        <v>46155</v>
      </c>
      <c r="J48" s="578">
        <v>2</v>
      </c>
      <c r="K48" s="583">
        <f>WORKDAY.INTL(I48,J48,1,Data!$C$3:$C$60)</f>
        <v>46157</v>
      </c>
      <c r="L48" s="77"/>
      <c r="M48" s="580">
        <v>0</v>
      </c>
      <c r="N48" s="580">
        <f t="shared" ca="1" si="6"/>
        <v>0</v>
      </c>
      <c r="O48" s="36"/>
      <c r="S48" s="35"/>
      <c r="T48" s="35"/>
      <c r="U48" s="35"/>
      <c r="V48" s="35"/>
      <c r="Y48" s="4"/>
    </row>
    <row r="49" spans="2:28">
      <c r="B49" s="157" t="s">
        <v>200</v>
      </c>
      <c r="C49" s="154" t="s">
        <v>201</v>
      </c>
      <c r="D49" s="126"/>
      <c r="E49" s="583">
        <f>WORKDAY.INTL(G48,0,1,Data!$C$3:$C$60)</f>
        <v>46157</v>
      </c>
      <c r="F49" s="578">
        <v>2</v>
      </c>
      <c r="G49" s="583">
        <f>WORKDAY.INTL(E49,F49,1,Data!$C$3:$C$60)</f>
        <v>46161</v>
      </c>
      <c r="H49" s="579"/>
      <c r="I49" s="583">
        <f>WORKDAY.INTL(K48,0,1,Data!$C$3:$C$60)</f>
        <v>46157</v>
      </c>
      <c r="J49" s="578">
        <v>2</v>
      </c>
      <c r="K49" s="583">
        <f>WORKDAY.INTL(I49,J49,1,Data!$C$3:$C$60)</f>
        <v>46161</v>
      </c>
      <c r="L49" s="77"/>
      <c r="M49" s="580">
        <v>0</v>
      </c>
      <c r="N49" s="580">
        <f t="shared" ca="1" si="6"/>
        <v>0</v>
      </c>
      <c r="O49" s="36"/>
      <c r="Y49" s="4"/>
    </row>
    <row r="50" spans="2:28">
      <c r="B50" s="157" t="s">
        <v>202</v>
      </c>
      <c r="C50" s="154" t="s">
        <v>203</v>
      </c>
      <c r="D50" s="126"/>
      <c r="E50" s="583">
        <f>G49</f>
        <v>46161</v>
      </c>
      <c r="F50" s="578">
        <v>1</v>
      </c>
      <c r="G50" s="583">
        <f>WORKDAY.INTL(E50,F50,1,Data!$C$3:$C$60)</f>
        <v>46162</v>
      </c>
      <c r="H50" s="579"/>
      <c r="I50" s="583">
        <f>K49</f>
        <v>46161</v>
      </c>
      <c r="J50" s="578">
        <v>1</v>
      </c>
      <c r="K50" s="583">
        <f>WORKDAY.INTL(I50,J50,1,Data!$C$3:$C$60)</f>
        <v>46162</v>
      </c>
      <c r="L50" s="77"/>
      <c r="M50" s="580">
        <v>0</v>
      </c>
      <c r="N50" s="580">
        <f t="shared" ca="1" si="6"/>
        <v>0</v>
      </c>
      <c r="O50" s="36"/>
      <c r="Y50" s="4"/>
    </row>
    <row r="51" spans="2:28" s="26" customFormat="1" ht="4.5" customHeight="1">
      <c r="B51" s="150"/>
      <c r="C51" s="126"/>
      <c r="D51" s="126"/>
      <c r="E51" s="581"/>
      <c r="F51" s="581"/>
      <c r="G51" s="581"/>
      <c r="H51" s="579"/>
      <c r="I51" s="581"/>
      <c r="J51" s="581"/>
      <c r="K51" s="581"/>
      <c r="L51" s="77"/>
      <c r="M51" s="77"/>
      <c r="N51" s="77"/>
      <c r="Q51" s="1"/>
    </row>
    <row r="52" spans="2:28" s="26" customFormat="1">
      <c r="B52" s="155">
        <v>8</v>
      </c>
      <c r="C52" s="156" t="s">
        <v>204</v>
      </c>
      <c r="D52" s="130"/>
      <c r="E52" s="572">
        <f>MIN(E53:E55)</f>
        <v>46161</v>
      </c>
      <c r="F52" s="573">
        <f>G52-E52</f>
        <v>10</v>
      </c>
      <c r="G52" s="572">
        <f>MAX(G53:G55)</f>
        <v>46171</v>
      </c>
      <c r="H52" s="574"/>
      <c r="I52" s="572">
        <f>MIN(I53:I55)</f>
        <v>46161</v>
      </c>
      <c r="J52" s="573">
        <f>K52-I52</f>
        <v>10</v>
      </c>
      <c r="K52" s="572">
        <f>MAX(K53:K55)</f>
        <v>46171</v>
      </c>
      <c r="L52" s="575"/>
      <c r="M52" s="576">
        <f>(J53*M53+J54*M54+J55*M55)/SUM(J53:J55)</f>
        <v>0</v>
      </c>
      <c r="N52" s="576">
        <f ca="1">(J53*N53+J54*N54+J55*N55)/SUM(J53:J55)</f>
        <v>0</v>
      </c>
      <c r="O52" s="36"/>
      <c r="Q52" s="38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</row>
    <row r="53" spans="2:28">
      <c r="B53" s="157" t="s">
        <v>205</v>
      </c>
      <c r="C53" s="154" t="s">
        <v>206</v>
      </c>
      <c r="D53" s="126"/>
      <c r="E53" s="583">
        <f>WORKDAY.INTL(G46,0,1,Data!$C$3:$C$60)</f>
        <v>46161</v>
      </c>
      <c r="F53" s="578">
        <v>3</v>
      </c>
      <c r="G53" s="583">
        <f>WORKDAY.INTL(E53,F53,1,Data!$C$3:$C$60)</f>
        <v>46164</v>
      </c>
      <c r="H53" s="579"/>
      <c r="I53" s="583">
        <f>WORKDAY.INTL(K46,0,1,Data!$C$3:$C$60)</f>
        <v>46161</v>
      </c>
      <c r="J53" s="578">
        <v>3</v>
      </c>
      <c r="K53" s="583">
        <f>WORKDAY.INTL(I53,J53,1,Data!$C$3:$C$60)</f>
        <v>46164</v>
      </c>
      <c r="L53" s="77"/>
      <c r="M53" s="580">
        <v>0</v>
      </c>
      <c r="N53" s="580">
        <f t="shared" ref="N53:N55" ca="1" si="7">_xlfn.LET(
  _xlpm.s,VALUE($I53),
  _xlpm.e,VALUE($K53),
  IF(OR(_xlpm.s="",_xlpm.e=""),"", IF(_xlpm.e&lt;=_xlpm.s, IF(TODAY()&gt;=_xlpm.e,1,0), MAX(0,MIN(1,(TODAY()-_xlpm.s)/(_xlpm.e-_xlpm.s)))))
)</f>
        <v>0</v>
      </c>
      <c r="O53" s="36"/>
      <c r="Y53" s="4"/>
    </row>
    <row r="54" spans="2:28">
      <c r="B54" s="157" t="s">
        <v>207</v>
      </c>
      <c r="C54" s="154" t="s">
        <v>208</v>
      </c>
      <c r="D54" s="126"/>
      <c r="E54" s="583">
        <f>WORKDAY.INTL(G53,0,1,Data!$C$3:$C$60)</f>
        <v>46164</v>
      </c>
      <c r="F54" s="578">
        <v>1</v>
      </c>
      <c r="G54" s="583">
        <f>WORKDAY.INTL(E54,F54,1,Data!$C$3:$C$60)</f>
        <v>46167</v>
      </c>
      <c r="H54" s="579"/>
      <c r="I54" s="583">
        <f>WORKDAY.INTL(K53,0,1,Data!$C$3:$C$60)</f>
        <v>46164</v>
      </c>
      <c r="J54" s="578">
        <v>1</v>
      </c>
      <c r="K54" s="583">
        <f>WORKDAY.INTL(I54,J54,1,Data!$C$3:$C$60)</f>
        <v>46167</v>
      </c>
      <c r="L54" s="77"/>
      <c r="M54" s="580">
        <v>0</v>
      </c>
      <c r="N54" s="580">
        <f t="shared" ca="1" si="7"/>
        <v>0</v>
      </c>
      <c r="O54" s="36"/>
      <c r="Y54" s="4"/>
    </row>
    <row r="55" spans="2:28">
      <c r="B55" s="157" t="s">
        <v>209</v>
      </c>
      <c r="C55" s="154" t="s">
        <v>210</v>
      </c>
      <c r="D55" s="126"/>
      <c r="E55" s="583">
        <f>WORKDAY.INTL(G53,0,1,Data!$C$3:$C$60)</f>
        <v>46164</v>
      </c>
      <c r="F55" s="578">
        <v>5</v>
      </c>
      <c r="G55" s="583">
        <f>WORKDAY.INTL(E55,F55,1,Data!$C$3:$C$60)</f>
        <v>46171</v>
      </c>
      <c r="H55" s="579"/>
      <c r="I55" s="583">
        <f>WORKDAY.INTL(K53,0,1,Data!$C$3:$C$60)</f>
        <v>46164</v>
      </c>
      <c r="J55" s="578">
        <v>5</v>
      </c>
      <c r="K55" s="583">
        <f>WORKDAY.INTL(I55,J55,1,Data!$C$3:$C$60)</f>
        <v>46171</v>
      </c>
      <c r="L55" s="77"/>
      <c r="M55" s="580">
        <v>0</v>
      </c>
      <c r="N55" s="580">
        <f t="shared" ca="1" si="7"/>
        <v>0</v>
      </c>
      <c r="O55" s="36"/>
      <c r="Y55" s="4"/>
    </row>
    <row r="56" spans="2:28" s="26" customFormat="1" ht="4.5" customHeight="1">
      <c r="B56" s="150"/>
      <c r="C56" s="126"/>
      <c r="D56" s="126"/>
      <c r="E56" s="584"/>
      <c r="F56" s="584"/>
      <c r="G56" s="584"/>
      <c r="H56" s="584"/>
      <c r="I56" s="584"/>
      <c r="J56" s="584"/>
      <c r="K56" s="584"/>
      <c r="L56" s="584"/>
      <c r="M56" s="584"/>
      <c r="N56" s="584"/>
      <c r="O56" s="126"/>
      <c r="Q56" s="38"/>
      <c r="R56" s="35"/>
      <c r="W56" s="35"/>
      <c r="X56" s="35"/>
      <c r="Y56" s="35"/>
      <c r="Z56" s="35"/>
      <c r="AA56" s="35"/>
      <c r="AB56" s="35"/>
    </row>
    <row r="57" spans="2:28" s="1" customFormat="1">
      <c r="B57" s="81"/>
      <c r="E57" s="82"/>
      <c r="F57" s="25"/>
      <c r="J57" s="25"/>
    </row>
    <row r="58" spans="2:28">
      <c r="B58" s="79"/>
      <c r="C58" s="26"/>
      <c r="E58" s="26"/>
      <c r="G58" s="27"/>
      <c r="S58" s="587">
        <f ca="1">TODAY()</f>
        <v>46084</v>
      </c>
      <c r="T58" s="587">
        <f ca="1">TODAY()</f>
        <v>46084</v>
      </c>
    </row>
    <row r="59" spans="2:28">
      <c r="B59" s="79"/>
      <c r="C59" s="26"/>
      <c r="E59" s="26"/>
      <c r="G59" s="27"/>
      <c r="S59" s="90">
        <v>1</v>
      </c>
      <c r="T59" s="90">
        <v>0</v>
      </c>
    </row>
    <row r="60" spans="2:28">
      <c r="B60" s="79"/>
      <c r="C60" s="26"/>
      <c r="E60" s="26"/>
      <c r="G60" s="27"/>
      <c r="S60" s="377" t="s">
        <v>211</v>
      </c>
      <c r="T60" s="538" t="s">
        <v>212</v>
      </c>
      <c r="U60" s="538" t="s">
        <v>139</v>
      </c>
      <c r="V60" s="538" t="s">
        <v>213</v>
      </c>
      <c r="W60" s="538" t="s">
        <v>214</v>
      </c>
    </row>
    <row r="61" spans="2:28">
      <c r="B61" s="79"/>
      <c r="C61" s="26"/>
      <c r="E61" s="26"/>
      <c r="G61" s="27"/>
      <c r="S61" s="537" t="str">
        <f>C11</f>
        <v>Project Initiation</v>
      </c>
      <c r="T61" s="539">
        <f>I11</f>
        <v>46077</v>
      </c>
      <c r="U61" s="540">
        <f>J11</f>
        <v>30</v>
      </c>
      <c r="V61" s="539">
        <f>K11</f>
        <v>46107</v>
      </c>
      <c r="W61" s="667">
        <f>M11</f>
        <v>4.1666666666666664E-2</v>
      </c>
    </row>
    <row r="62" spans="2:28">
      <c r="B62" s="79"/>
      <c r="C62" s="26"/>
      <c r="E62" s="26"/>
      <c r="G62" s="27"/>
      <c r="S62" s="537" t="str">
        <f>C19</f>
        <v>Site Establishment</v>
      </c>
      <c r="T62" s="539">
        <f>I19</f>
        <v>46114</v>
      </c>
      <c r="U62" s="540">
        <f>J19</f>
        <v>1</v>
      </c>
      <c r="V62" s="539">
        <f>K19</f>
        <v>46115</v>
      </c>
      <c r="W62" s="667">
        <f>M19</f>
        <v>0</v>
      </c>
    </row>
    <row r="63" spans="2:28">
      <c r="B63" s="79"/>
      <c r="C63" s="26"/>
      <c r="E63" s="26"/>
      <c r="G63" s="27"/>
      <c r="S63" s="537" t="str">
        <f>C22</f>
        <v>AC Installation</v>
      </c>
      <c r="T63" s="539">
        <f>I22</f>
        <v>46092</v>
      </c>
      <c r="U63" s="540">
        <f>J22</f>
        <v>58</v>
      </c>
      <c r="V63" s="539">
        <f>K22</f>
        <v>46150</v>
      </c>
      <c r="W63" s="667">
        <f>M22</f>
        <v>0</v>
      </c>
    </row>
    <row r="64" spans="2:28">
      <c r="B64" s="79"/>
      <c r="C64" s="26"/>
      <c r="E64" s="26"/>
      <c r="G64" s="27"/>
      <c r="S64" s="537" t="str">
        <f>C29</f>
        <v>DC Works</v>
      </c>
      <c r="T64" s="539">
        <f>I29</f>
        <v>46114</v>
      </c>
      <c r="U64" s="540">
        <f>J29</f>
        <v>28</v>
      </c>
      <c r="V64" s="539">
        <f>K29</f>
        <v>46142</v>
      </c>
      <c r="W64" s="667">
        <f>M29</f>
        <v>0</v>
      </c>
    </row>
    <row r="65" spans="2:23">
      <c r="B65" s="79"/>
      <c r="C65" s="26"/>
      <c r="E65" s="26"/>
      <c r="G65" s="27"/>
      <c r="S65" s="537" t="str">
        <f>C36</f>
        <v>Module installation</v>
      </c>
      <c r="T65" s="539">
        <f>I36</f>
        <v>46114</v>
      </c>
      <c r="U65" s="540">
        <f>J36</f>
        <v>20</v>
      </c>
      <c r="V65" s="539">
        <f>K36</f>
        <v>46134</v>
      </c>
      <c r="W65" s="667">
        <f>M36</f>
        <v>0</v>
      </c>
    </row>
    <row r="66" spans="2:23">
      <c r="B66" s="79"/>
      <c r="C66" s="26"/>
      <c r="E66" s="26"/>
      <c r="G66" s="27"/>
      <c r="S66" s="537" t="str">
        <f>C40</f>
        <v>Commissioning</v>
      </c>
      <c r="T66" s="539">
        <f>I40</f>
        <v>46150</v>
      </c>
      <c r="U66" s="540">
        <f>J40</f>
        <v>5</v>
      </c>
      <c r="V66" s="539">
        <f>K40</f>
        <v>46155</v>
      </c>
      <c r="W66" s="667">
        <f>M40</f>
        <v>0</v>
      </c>
    </row>
    <row r="67" spans="2:23">
      <c r="B67" s="79"/>
      <c r="C67" s="26"/>
      <c r="E67" s="26"/>
      <c r="G67" s="27"/>
      <c r="S67" s="537" t="str">
        <f>C46</f>
        <v>QA Inspections</v>
      </c>
      <c r="T67" s="539">
        <f>I46</f>
        <v>46153</v>
      </c>
      <c r="U67" s="540">
        <f>J46</f>
        <v>8</v>
      </c>
      <c r="V67" s="539">
        <f>K46</f>
        <v>46161</v>
      </c>
      <c r="W67" s="667">
        <f>M46</f>
        <v>0</v>
      </c>
    </row>
    <row r="68" spans="2:23">
      <c r="B68" s="79"/>
      <c r="C68" s="26"/>
      <c r="E68" s="26"/>
      <c r="G68" s="27"/>
      <c r="S68" s="537" t="str">
        <f>C52</f>
        <v>Project Closure</v>
      </c>
      <c r="T68" s="539">
        <f>I52</f>
        <v>46161</v>
      </c>
      <c r="U68" s="540">
        <f>J52</f>
        <v>10</v>
      </c>
      <c r="V68" s="539">
        <f>K52</f>
        <v>46171</v>
      </c>
      <c r="W68" s="667">
        <f>M52</f>
        <v>0</v>
      </c>
    </row>
    <row r="69" spans="2:23">
      <c r="B69" s="79"/>
      <c r="C69" s="26"/>
      <c r="E69" s="26"/>
      <c r="G69" s="27"/>
    </row>
    <row r="70" spans="2:23">
      <c r="B70" s="79"/>
      <c r="C70" s="26"/>
      <c r="E70" s="26"/>
      <c r="G70" s="27"/>
    </row>
    <row r="71" spans="2:23">
      <c r="B71" s="79"/>
      <c r="C71" s="26"/>
      <c r="E71" s="26"/>
      <c r="G71" s="27"/>
    </row>
    <row r="72" spans="2:23">
      <c r="B72" s="79"/>
      <c r="C72" s="26"/>
      <c r="E72" s="26"/>
      <c r="G72" s="27"/>
    </row>
    <row r="73" spans="2:23">
      <c r="B73" s="79"/>
      <c r="C73" s="26"/>
      <c r="E73" s="26"/>
      <c r="G73" s="27"/>
    </row>
    <row r="74" spans="2:23">
      <c r="B74" s="79"/>
      <c r="C74" s="26"/>
      <c r="E74" s="26"/>
      <c r="G74" s="27"/>
    </row>
    <row r="75" spans="2:23">
      <c r="B75" s="79"/>
      <c r="C75" s="26"/>
      <c r="E75" s="26"/>
      <c r="G75" s="27"/>
    </row>
    <row r="76" spans="2:23">
      <c r="B76" s="79"/>
      <c r="C76" s="26"/>
      <c r="E76" s="26"/>
      <c r="G76" s="27"/>
    </row>
    <row r="77" spans="2:23">
      <c r="B77" s="79"/>
      <c r="C77" s="26"/>
      <c r="E77" s="26"/>
      <c r="G77" s="27"/>
    </row>
    <row r="78" spans="2:23">
      <c r="B78" s="79"/>
      <c r="C78" s="26"/>
      <c r="E78" s="26"/>
      <c r="G78" s="27"/>
    </row>
    <row r="79" spans="2:23">
      <c r="B79" s="79"/>
      <c r="C79" s="26"/>
      <c r="E79" s="26"/>
      <c r="G79" s="27"/>
    </row>
    <row r="80" spans="2:23">
      <c r="B80" s="79"/>
      <c r="C80" s="26"/>
      <c r="E80" s="26"/>
      <c r="G80" s="27"/>
    </row>
    <row r="81" spans="2:7">
      <c r="B81" s="79"/>
      <c r="C81" s="26"/>
      <c r="E81" s="26"/>
      <c r="G81" s="27"/>
    </row>
    <row r="82" spans="2:7">
      <c r="B82" s="79"/>
      <c r="C82" s="26"/>
      <c r="E82" s="26"/>
      <c r="G82" s="27"/>
    </row>
    <row r="83" spans="2:7">
      <c r="B83" s="79"/>
      <c r="C83" s="26"/>
      <c r="E83" s="26"/>
      <c r="G83" s="27"/>
    </row>
    <row r="84" spans="2:7">
      <c r="B84" s="79"/>
      <c r="C84" s="26"/>
      <c r="E84" s="26"/>
      <c r="G84" s="27"/>
    </row>
    <row r="85" spans="2:7">
      <c r="B85" s="79"/>
      <c r="C85" s="26"/>
      <c r="E85" s="26"/>
      <c r="G85" s="27"/>
    </row>
    <row r="86" spans="2:7">
      <c r="B86" s="79"/>
      <c r="C86" s="26"/>
      <c r="E86" s="26"/>
      <c r="G86" s="27"/>
    </row>
    <row r="87" spans="2:7">
      <c r="B87" s="79"/>
      <c r="C87" s="26"/>
      <c r="E87" s="26"/>
      <c r="G87" s="27"/>
    </row>
    <row r="88" spans="2:7">
      <c r="B88" s="79"/>
      <c r="C88" s="26"/>
      <c r="E88" s="26"/>
      <c r="G88" s="27"/>
    </row>
    <row r="89" spans="2:7">
      <c r="B89" s="79"/>
      <c r="C89" s="26"/>
      <c r="E89" s="26"/>
      <c r="G89" s="27"/>
    </row>
    <row r="90" spans="2:7">
      <c r="B90" s="79"/>
      <c r="C90" s="26"/>
      <c r="E90" s="26"/>
      <c r="G90" s="27"/>
    </row>
    <row r="91" spans="2:7">
      <c r="B91" s="79"/>
      <c r="C91" s="26"/>
      <c r="E91" s="26"/>
      <c r="G91" s="27"/>
    </row>
    <row r="92" spans="2:7">
      <c r="B92" s="79"/>
      <c r="C92" s="26"/>
      <c r="E92" s="26"/>
      <c r="G92" s="27"/>
    </row>
    <row r="93" spans="2:7">
      <c r="B93" s="79"/>
      <c r="C93" s="26"/>
      <c r="E93" s="26"/>
      <c r="G93" s="27"/>
    </row>
    <row r="94" spans="2:7">
      <c r="B94" s="79"/>
      <c r="C94" s="26"/>
      <c r="E94" s="26"/>
      <c r="G94" s="27"/>
    </row>
    <row r="95" spans="2:7">
      <c r="B95" s="79"/>
      <c r="C95" s="26"/>
      <c r="E95" s="26"/>
      <c r="G95" s="27"/>
    </row>
    <row r="96" spans="2:7">
      <c r="B96" s="79"/>
      <c r="C96" s="26"/>
      <c r="E96" s="26"/>
      <c r="G96" s="27"/>
    </row>
    <row r="97" spans="2:7">
      <c r="B97" s="79"/>
      <c r="C97" s="26"/>
      <c r="E97" s="26"/>
      <c r="G97" s="27"/>
    </row>
    <row r="98" spans="2:7">
      <c r="B98" s="79"/>
      <c r="C98" s="26"/>
      <c r="E98" s="26"/>
      <c r="G98" s="27"/>
    </row>
    <row r="99" spans="2:7">
      <c r="B99" s="79"/>
      <c r="C99" s="26"/>
      <c r="E99" s="26"/>
      <c r="G99" s="27"/>
    </row>
    <row r="100" spans="2:7">
      <c r="B100" s="79"/>
      <c r="C100" s="26"/>
      <c r="E100" s="26"/>
      <c r="G100" s="27"/>
    </row>
    <row r="101" spans="2:7">
      <c r="B101" s="79"/>
      <c r="C101" s="26"/>
      <c r="E101" s="26"/>
      <c r="G101" s="27"/>
    </row>
    <row r="102" spans="2:7">
      <c r="B102" s="79"/>
      <c r="C102" s="26"/>
      <c r="E102" s="26"/>
      <c r="G102" s="27"/>
    </row>
    <row r="103" spans="2:7">
      <c r="B103" s="79"/>
      <c r="C103" s="26"/>
      <c r="E103" s="26"/>
      <c r="G103" s="27"/>
    </row>
    <row r="104" spans="2:7">
      <c r="B104" s="79"/>
      <c r="C104" s="26"/>
      <c r="E104" s="26"/>
      <c r="G104" s="27"/>
    </row>
    <row r="105" spans="2:7">
      <c r="B105" s="79"/>
      <c r="C105" s="26"/>
      <c r="E105" s="26"/>
      <c r="G105" s="27"/>
    </row>
    <row r="106" spans="2:7">
      <c r="B106" s="79"/>
      <c r="C106" s="26"/>
      <c r="E106" s="26"/>
      <c r="G106" s="27"/>
    </row>
    <row r="107" spans="2:7">
      <c r="B107" s="79"/>
      <c r="C107" s="26"/>
      <c r="E107" s="26"/>
      <c r="G107" s="27"/>
    </row>
    <row r="108" spans="2:7">
      <c r="B108" s="79"/>
      <c r="C108" s="26"/>
      <c r="E108" s="26"/>
      <c r="G108" s="27"/>
    </row>
    <row r="109" spans="2:7">
      <c r="B109" s="79"/>
      <c r="C109" s="26"/>
      <c r="E109" s="26"/>
      <c r="G109" s="27"/>
    </row>
    <row r="110" spans="2:7">
      <c r="B110" s="79"/>
      <c r="C110" s="26"/>
      <c r="E110" s="26"/>
      <c r="G110" s="27"/>
    </row>
    <row r="111" spans="2:7">
      <c r="B111" s="79"/>
      <c r="C111" s="26"/>
      <c r="E111" s="26"/>
      <c r="G111" s="27"/>
    </row>
    <row r="112" spans="2:7">
      <c r="B112" s="79"/>
      <c r="C112" s="26"/>
      <c r="E112" s="26"/>
      <c r="G112" s="27"/>
    </row>
    <row r="113" spans="2:7">
      <c r="B113" s="79"/>
      <c r="C113" s="26"/>
      <c r="E113" s="26"/>
      <c r="G113" s="27"/>
    </row>
    <row r="114" spans="2:7">
      <c r="B114" s="79"/>
      <c r="C114" s="26"/>
      <c r="E114" s="26"/>
      <c r="G114" s="27"/>
    </row>
    <row r="115" spans="2:7">
      <c r="B115" s="79"/>
      <c r="C115" s="26"/>
      <c r="E115" s="26"/>
      <c r="G115" s="27"/>
    </row>
    <row r="116" spans="2:7">
      <c r="B116" s="79"/>
      <c r="C116" s="26"/>
      <c r="E116" s="26"/>
      <c r="G116" s="27"/>
    </row>
    <row r="117" spans="2:7">
      <c r="B117" s="79"/>
      <c r="C117" s="26"/>
      <c r="E117" s="26"/>
      <c r="G117" s="27"/>
    </row>
    <row r="118" spans="2:7">
      <c r="B118" s="79"/>
      <c r="C118" s="26"/>
      <c r="E118" s="26"/>
      <c r="G118" s="27"/>
    </row>
    <row r="119" spans="2:7">
      <c r="B119" s="79"/>
      <c r="C119" s="26"/>
      <c r="E119" s="26"/>
      <c r="G119" s="27"/>
    </row>
    <row r="120" spans="2:7">
      <c r="B120" s="79"/>
      <c r="C120" s="26"/>
      <c r="E120" s="26"/>
      <c r="G120" s="27"/>
    </row>
    <row r="121" spans="2:7">
      <c r="B121" s="79"/>
      <c r="C121" s="26"/>
      <c r="E121" s="26"/>
      <c r="G121" s="27"/>
    </row>
    <row r="122" spans="2:7">
      <c r="B122" s="79"/>
      <c r="C122" s="26"/>
      <c r="E122" s="26"/>
      <c r="G122" s="27"/>
    </row>
    <row r="123" spans="2:7">
      <c r="B123" s="79"/>
      <c r="C123" s="26"/>
      <c r="E123" s="26"/>
      <c r="G123" s="27"/>
    </row>
    <row r="124" spans="2:7">
      <c r="B124" s="79"/>
      <c r="C124" s="26"/>
      <c r="E124" s="26"/>
      <c r="G124" s="27"/>
    </row>
    <row r="125" spans="2:7">
      <c r="B125" s="79"/>
      <c r="C125" s="26"/>
      <c r="E125" s="26"/>
      <c r="G125" s="27"/>
    </row>
    <row r="126" spans="2:7">
      <c r="B126" s="79"/>
      <c r="C126" s="26"/>
      <c r="E126" s="26"/>
      <c r="G126" s="27"/>
    </row>
    <row r="127" spans="2:7">
      <c r="B127" s="79"/>
      <c r="C127" s="26"/>
      <c r="E127" s="26"/>
      <c r="G127" s="27"/>
    </row>
    <row r="128" spans="2:7">
      <c r="B128" s="79"/>
      <c r="C128" s="26"/>
      <c r="E128" s="26"/>
      <c r="G128" s="27"/>
    </row>
    <row r="129" spans="2:7">
      <c r="B129" s="79"/>
      <c r="C129" s="26"/>
      <c r="E129" s="26"/>
      <c r="G129" s="27"/>
    </row>
    <row r="130" spans="2:7">
      <c r="B130" s="79"/>
      <c r="C130" s="26"/>
      <c r="E130" s="26"/>
      <c r="G130" s="27"/>
    </row>
    <row r="131" spans="2:7">
      <c r="B131" s="79"/>
      <c r="C131" s="26"/>
      <c r="E131" s="26"/>
      <c r="G131" s="27"/>
    </row>
    <row r="132" spans="2:7">
      <c r="B132" s="79"/>
      <c r="C132" s="26"/>
      <c r="E132" s="26"/>
      <c r="G132" s="27"/>
    </row>
    <row r="133" spans="2:7">
      <c r="B133" s="79"/>
      <c r="C133" s="26"/>
      <c r="E133" s="26"/>
      <c r="G133" s="27"/>
    </row>
    <row r="134" spans="2:7">
      <c r="B134" s="79"/>
      <c r="C134" s="26"/>
      <c r="E134" s="26"/>
      <c r="G134" s="27"/>
    </row>
    <row r="135" spans="2:7">
      <c r="B135" s="79"/>
      <c r="C135" s="26"/>
      <c r="E135" s="26"/>
      <c r="G135" s="27"/>
    </row>
    <row r="136" spans="2:7">
      <c r="B136" s="79"/>
      <c r="C136" s="26"/>
      <c r="E136" s="26"/>
      <c r="G136" s="27"/>
    </row>
    <row r="137" spans="2:7">
      <c r="B137" s="79"/>
      <c r="C137" s="26"/>
      <c r="E137" s="26"/>
      <c r="G137" s="27"/>
    </row>
    <row r="138" spans="2:7">
      <c r="B138" s="79"/>
      <c r="C138" s="26"/>
      <c r="E138" s="26"/>
      <c r="G138" s="27"/>
    </row>
    <row r="139" spans="2:7">
      <c r="B139" s="79"/>
      <c r="C139" s="26"/>
      <c r="E139" s="26"/>
      <c r="G139" s="27"/>
    </row>
    <row r="140" spans="2:7">
      <c r="B140" s="79"/>
      <c r="C140" s="26"/>
      <c r="E140" s="26"/>
      <c r="G140" s="27"/>
    </row>
    <row r="141" spans="2:7">
      <c r="B141" s="79"/>
      <c r="C141" s="26"/>
      <c r="E141" s="26"/>
      <c r="G141" s="27"/>
    </row>
    <row r="142" spans="2:7">
      <c r="B142" s="79"/>
      <c r="C142" s="26"/>
      <c r="E142" s="26"/>
      <c r="G142" s="27"/>
    </row>
    <row r="143" spans="2:7">
      <c r="B143" s="79"/>
      <c r="C143" s="26"/>
      <c r="E143" s="26"/>
      <c r="G143" s="27"/>
    </row>
    <row r="144" spans="2:7">
      <c r="B144" s="79"/>
      <c r="C144" s="26"/>
      <c r="E144" s="26"/>
      <c r="G144" s="27"/>
    </row>
    <row r="145" spans="2:7">
      <c r="B145" s="79"/>
      <c r="C145" s="26"/>
      <c r="E145" s="26"/>
      <c r="G145" s="27"/>
    </row>
    <row r="146" spans="2:7">
      <c r="B146" s="79"/>
      <c r="C146" s="26"/>
      <c r="E146" s="26"/>
      <c r="G146" s="27"/>
    </row>
    <row r="147" spans="2:7">
      <c r="B147" s="79"/>
      <c r="C147" s="26"/>
      <c r="E147" s="26"/>
      <c r="G147" s="27"/>
    </row>
    <row r="148" spans="2:7">
      <c r="B148" s="79"/>
      <c r="C148" s="26"/>
      <c r="E148" s="26"/>
      <c r="G148" s="27"/>
    </row>
    <row r="149" spans="2:7">
      <c r="B149" s="79"/>
      <c r="C149" s="26"/>
      <c r="E149" s="26"/>
      <c r="G149" s="27"/>
    </row>
    <row r="150" spans="2:7">
      <c r="B150" s="79"/>
      <c r="C150" s="26"/>
      <c r="E150" s="26"/>
      <c r="G150" s="27"/>
    </row>
    <row r="151" spans="2:7">
      <c r="B151" s="79"/>
      <c r="C151" s="26"/>
      <c r="E151" s="26"/>
      <c r="G151" s="27"/>
    </row>
    <row r="152" spans="2:7">
      <c r="B152" s="79"/>
      <c r="C152" s="26"/>
      <c r="E152" s="26"/>
      <c r="G152" s="27"/>
    </row>
    <row r="153" spans="2:7">
      <c r="B153" s="79"/>
      <c r="C153" s="26"/>
      <c r="E153" s="26"/>
      <c r="G153" s="27"/>
    </row>
    <row r="154" spans="2:7">
      <c r="B154" s="79"/>
      <c r="C154" s="26"/>
      <c r="E154" s="26"/>
      <c r="G154" s="27"/>
    </row>
    <row r="155" spans="2:7">
      <c r="B155" s="79"/>
      <c r="C155" s="26"/>
      <c r="E155" s="26"/>
      <c r="G155" s="27"/>
    </row>
    <row r="156" spans="2:7">
      <c r="B156" s="79"/>
      <c r="C156" s="26"/>
      <c r="E156" s="26"/>
      <c r="G156" s="27"/>
    </row>
    <row r="157" spans="2:7">
      <c r="B157" s="79"/>
      <c r="C157" s="26"/>
      <c r="E157" s="26"/>
      <c r="G157" s="27"/>
    </row>
    <row r="158" spans="2:7">
      <c r="B158" s="79"/>
      <c r="C158" s="26"/>
      <c r="E158" s="26"/>
      <c r="G158" s="27"/>
    </row>
    <row r="159" spans="2:7">
      <c r="B159" s="79"/>
      <c r="C159" s="26"/>
      <c r="E159" s="26"/>
      <c r="G159" s="27"/>
    </row>
    <row r="160" spans="2:7">
      <c r="B160" s="79"/>
      <c r="C160" s="26"/>
      <c r="E160" s="26"/>
      <c r="G160" s="27"/>
    </row>
    <row r="161" spans="2:7">
      <c r="B161" s="79"/>
      <c r="C161" s="26"/>
      <c r="E161" s="26"/>
      <c r="G161" s="27"/>
    </row>
    <row r="162" spans="2:7">
      <c r="B162" s="79"/>
      <c r="C162" s="26"/>
      <c r="E162" s="26"/>
      <c r="G162" s="27"/>
    </row>
    <row r="163" spans="2:7">
      <c r="B163" s="79"/>
      <c r="C163" s="26"/>
      <c r="E163" s="26"/>
      <c r="G163" s="27"/>
    </row>
    <row r="164" spans="2:7">
      <c r="B164" s="79"/>
      <c r="C164" s="26"/>
      <c r="E164" s="26"/>
      <c r="G164" s="27"/>
    </row>
    <row r="165" spans="2:7">
      <c r="B165" s="79"/>
      <c r="C165" s="26"/>
      <c r="E165" s="26"/>
      <c r="G165" s="27"/>
    </row>
    <row r="166" spans="2:7">
      <c r="B166" s="79"/>
      <c r="C166" s="26"/>
      <c r="E166" s="26"/>
      <c r="G166" s="27"/>
    </row>
    <row r="167" spans="2:7">
      <c r="B167" s="79"/>
      <c r="C167" s="26"/>
      <c r="E167" s="26"/>
      <c r="G167" s="27"/>
    </row>
    <row r="168" spans="2:7">
      <c r="B168" s="79"/>
      <c r="C168" s="26"/>
      <c r="E168" s="26"/>
      <c r="G168" s="27"/>
    </row>
    <row r="169" spans="2:7">
      <c r="B169" s="79"/>
      <c r="C169" s="26"/>
      <c r="E169" s="26"/>
      <c r="G169" s="27"/>
    </row>
    <row r="170" spans="2:7">
      <c r="B170" s="79"/>
      <c r="C170" s="26"/>
      <c r="E170" s="26"/>
      <c r="G170" s="27"/>
    </row>
    <row r="171" spans="2:7">
      <c r="B171" s="79"/>
      <c r="C171" s="26"/>
      <c r="E171" s="26"/>
      <c r="G171" s="27"/>
    </row>
    <row r="172" spans="2:7">
      <c r="B172" s="79"/>
      <c r="C172" s="26"/>
      <c r="E172" s="26"/>
      <c r="G172" s="27"/>
    </row>
    <row r="173" spans="2:7">
      <c r="B173" s="79"/>
      <c r="C173" s="26"/>
      <c r="E173" s="26"/>
      <c r="G173" s="27"/>
    </row>
    <row r="174" spans="2:7">
      <c r="B174" s="79"/>
      <c r="C174" s="26"/>
      <c r="E174" s="26"/>
      <c r="G174" s="27"/>
    </row>
    <row r="175" spans="2:7">
      <c r="B175" s="79"/>
      <c r="C175" s="26"/>
      <c r="E175" s="26"/>
      <c r="G175" s="27"/>
    </row>
    <row r="176" spans="2:7">
      <c r="B176" s="79"/>
      <c r="C176" s="26"/>
      <c r="E176" s="26"/>
      <c r="G176" s="27"/>
    </row>
    <row r="177" spans="2:7">
      <c r="B177" s="79"/>
      <c r="C177" s="26"/>
      <c r="E177" s="26"/>
      <c r="G177" s="27"/>
    </row>
    <row r="178" spans="2:7">
      <c r="B178" s="79"/>
      <c r="C178" s="26"/>
      <c r="E178" s="26"/>
      <c r="G178" s="27"/>
    </row>
    <row r="179" spans="2:7">
      <c r="B179" s="79"/>
      <c r="C179" s="26"/>
      <c r="E179" s="26"/>
      <c r="G179" s="27"/>
    </row>
    <row r="180" spans="2:7">
      <c r="B180" s="79"/>
      <c r="C180" s="26"/>
      <c r="E180" s="26"/>
      <c r="G180" s="27"/>
    </row>
    <row r="181" spans="2:7">
      <c r="B181" s="79"/>
      <c r="C181" s="26"/>
      <c r="E181" s="26"/>
      <c r="G181" s="27"/>
    </row>
    <row r="182" spans="2:7">
      <c r="B182" s="79"/>
      <c r="C182" s="26"/>
      <c r="E182" s="26"/>
      <c r="G182" s="27"/>
    </row>
    <row r="183" spans="2:7">
      <c r="B183" s="79"/>
      <c r="C183" s="26"/>
      <c r="E183" s="26"/>
      <c r="G183" s="27"/>
    </row>
    <row r="184" spans="2:7">
      <c r="B184" s="79"/>
      <c r="C184" s="26"/>
      <c r="E184" s="26"/>
      <c r="G184" s="27"/>
    </row>
    <row r="185" spans="2:7">
      <c r="B185" s="79"/>
      <c r="C185" s="26"/>
      <c r="E185" s="26"/>
      <c r="G185" s="27"/>
    </row>
    <row r="186" spans="2:7">
      <c r="B186" s="79"/>
      <c r="C186" s="26"/>
      <c r="E186" s="26"/>
      <c r="G186" s="27"/>
    </row>
    <row r="187" spans="2:7">
      <c r="B187" s="79"/>
      <c r="C187" s="26"/>
      <c r="E187" s="26"/>
      <c r="G187" s="27"/>
    </row>
    <row r="188" spans="2:7">
      <c r="B188" s="79"/>
      <c r="C188" s="26"/>
      <c r="E188" s="26"/>
      <c r="G188" s="27"/>
    </row>
    <row r="189" spans="2:7">
      <c r="B189" s="79"/>
      <c r="C189" s="26"/>
      <c r="E189" s="26"/>
      <c r="G189" s="27"/>
    </row>
    <row r="190" spans="2:7">
      <c r="B190" s="79"/>
      <c r="C190" s="26"/>
      <c r="E190" s="26"/>
      <c r="G190" s="27"/>
    </row>
    <row r="191" spans="2:7">
      <c r="B191" s="79"/>
      <c r="C191" s="26"/>
      <c r="E191" s="26"/>
      <c r="G191" s="27"/>
    </row>
    <row r="192" spans="2:7">
      <c r="B192" s="79"/>
      <c r="C192" s="26"/>
      <c r="E192" s="26"/>
      <c r="G192" s="27"/>
    </row>
    <row r="193" spans="2:7">
      <c r="B193" s="79"/>
      <c r="C193" s="26"/>
      <c r="E193" s="26"/>
      <c r="G193" s="27"/>
    </row>
    <row r="194" spans="2:7">
      <c r="B194" s="79"/>
      <c r="C194" s="26"/>
      <c r="E194" s="26"/>
      <c r="G194" s="27"/>
    </row>
    <row r="195" spans="2:7">
      <c r="B195" s="79"/>
      <c r="C195" s="26"/>
      <c r="E195" s="26"/>
      <c r="G195" s="27"/>
    </row>
    <row r="196" spans="2:7">
      <c r="B196" s="79"/>
      <c r="C196" s="26"/>
      <c r="E196" s="26"/>
      <c r="G196" s="27"/>
    </row>
    <row r="197" spans="2:7">
      <c r="B197" s="79"/>
      <c r="C197" s="26"/>
      <c r="E197" s="26"/>
      <c r="G197" s="27"/>
    </row>
    <row r="198" spans="2:7">
      <c r="B198" s="79"/>
      <c r="C198" s="26"/>
      <c r="E198" s="26"/>
      <c r="G198" s="27"/>
    </row>
    <row r="199" spans="2:7">
      <c r="B199" s="79"/>
      <c r="C199" s="26"/>
      <c r="E199" s="26"/>
      <c r="G199" s="27"/>
    </row>
    <row r="200" spans="2:7">
      <c r="B200" s="79"/>
      <c r="C200" s="26"/>
      <c r="E200" s="26"/>
      <c r="G200" s="27"/>
    </row>
    <row r="201" spans="2:7">
      <c r="B201" s="79"/>
      <c r="C201" s="26"/>
      <c r="E201" s="26"/>
      <c r="G201" s="27"/>
    </row>
    <row r="202" spans="2:7">
      <c r="B202" s="79"/>
      <c r="C202" s="26"/>
      <c r="E202" s="26"/>
      <c r="G202" s="27"/>
    </row>
    <row r="203" spans="2:7">
      <c r="B203" s="79"/>
      <c r="C203" s="26"/>
      <c r="E203" s="26"/>
      <c r="G203" s="27"/>
    </row>
    <row r="204" spans="2:7">
      <c r="B204" s="79"/>
      <c r="C204" s="26"/>
      <c r="E204" s="26"/>
      <c r="G204" s="27"/>
    </row>
    <row r="205" spans="2:7">
      <c r="B205" s="79"/>
      <c r="C205" s="26"/>
      <c r="E205" s="26"/>
      <c r="G205" s="27"/>
    </row>
    <row r="206" spans="2:7">
      <c r="B206" s="79"/>
      <c r="C206" s="26"/>
      <c r="E206" s="26"/>
      <c r="G206" s="27"/>
    </row>
    <row r="207" spans="2:7">
      <c r="B207" s="79"/>
      <c r="C207" s="26"/>
      <c r="E207" s="26"/>
      <c r="G207" s="27"/>
    </row>
    <row r="208" spans="2:7">
      <c r="B208" s="79"/>
      <c r="C208" s="26"/>
      <c r="E208" s="26"/>
      <c r="G208" s="27"/>
    </row>
    <row r="209" spans="2:7">
      <c r="B209" s="79"/>
      <c r="C209" s="26"/>
      <c r="E209" s="26"/>
      <c r="G209" s="27"/>
    </row>
    <row r="210" spans="2:7">
      <c r="B210" s="79"/>
      <c r="C210" s="26"/>
      <c r="E210" s="26"/>
      <c r="G210" s="27"/>
    </row>
    <row r="211" spans="2:7">
      <c r="B211" s="79"/>
      <c r="C211" s="26"/>
      <c r="E211" s="26"/>
      <c r="G211" s="27"/>
    </row>
    <row r="212" spans="2:7">
      <c r="B212" s="79"/>
      <c r="C212" s="26"/>
      <c r="E212" s="26"/>
      <c r="G212" s="27"/>
    </row>
    <row r="213" spans="2:7">
      <c r="B213" s="79"/>
      <c r="C213" s="26"/>
      <c r="E213" s="26"/>
      <c r="G213" s="27"/>
    </row>
    <row r="214" spans="2:7">
      <c r="B214" s="79"/>
      <c r="C214" s="26"/>
      <c r="E214" s="26"/>
      <c r="G214" s="27"/>
    </row>
    <row r="215" spans="2:7">
      <c r="B215" s="79"/>
      <c r="C215" s="26"/>
      <c r="E215" s="26"/>
      <c r="G215" s="27"/>
    </row>
    <row r="216" spans="2:7">
      <c r="B216" s="79"/>
      <c r="C216" s="26"/>
      <c r="E216" s="26"/>
      <c r="G216" s="27"/>
    </row>
    <row r="217" spans="2:7">
      <c r="B217" s="79"/>
      <c r="C217" s="26"/>
      <c r="E217" s="26"/>
      <c r="G217" s="27"/>
    </row>
    <row r="218" spans="2:7">
      <c r="B218" s="79"/>
      <c r="C218" s="26"/>
      <c r="E218" s="26"/>
      <c r="G218" s="27"/>
    </row>
    <row r="219" spans="2:7">
      <c r="B219" s="79"/>
      <c r="C219" s="26"/>
      <c r="E219" s="26"/>
      <c r="G219" s="27"/>
    </row>
    <row r="220" spans="2:7">
      <c r="B220" s="79"/>
      <c r="C220" s="26"/>
      <c r="E220" s="26"/>
      <c r="G220" s="27"/>
    </row>
    <row r="221" spans="2:7">
      <c r="B221" s="79"/>
      <c r="C221" s="26"/>
      <c r="E221" s="26"/>
      <c r="G221" s="27"/>
    </row>
    <row r="222" spans="2:7">
      <c r="B222" s="79"/>
      <c r="C222" s="26"/>
      <c r="E222" s="26"/>
      <c r="G222" s="27"/>
    </row>
    <row r="223" spans="2:7">
      <c r="B223" s="79"/>
      <c r="C223" s="26"/>
      <c r="E223" s="26"/>
      <c r="G223" s="27"/>
    </row>
    <row r="224" spans="2:7">
      <c r="B224" s="79"/>
      <c r="C224" s="26"/>
      <c r="E224" s="26"/>
      <c r="G224" s="27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0fHuZEaiYGK5sqlV/38Hfc0T7yH0tOTbdy5iYtX6c3lYp4VF2ar7IMEIVGfLLUnhvJzWsmOZSDZnUiLySCBxdg==" saltValue="oeJbzSFL5Q9rgT2MjiMjew==" spinCount="100000" sqref="P56 M57:P1048576 S19:T20 N6:O7 M1:M7 P1:P7 O8:P55" name="Range1"/>
    <protectedRange algorithmName="SHA-512" hashValue="0fHuZEaiYGK5sqlV/38Hfc0T7yH0tOTbdy5iYtX6c3lYp4VF2ar7IMEIVGfLLUnhvJzWsmOZSDZnUiLySCBxdg==" saltValue="oeJbzSFL5Q9rgT2MjiMjew==" spinCount="100000" sqref="M8:N55" name="Range1_1"/>
  </protectedRanges>
  <mergeCells count="11">
    <mergeCell ref="I4:J4"/>
    <mergeCell ref="I2:J2"/>
    <mergeCell ref="I3:J3"/>
    <mergeCell ref="O8:O9"/>
    <mergeCell ref="B8:B9"/>
    <mergeCell ref="C8:C9"/>
    <mergeCell ref="E8:E9"/>
    <mergeCell ref="G8:G9"/>
    <mergeCell ref="I8:I9"/>
    <mergeCell ref="K8:K9"/>
    <mergeCell ref="M2:O6"/>
  </mergeCells>
  <phoneticPr fontId="11" type="noConversion"/>
  <conditionalFormatting sqref="M53:N55 M20:N20 M23:N27 M30:N34 M37:N38 M12:N17 M41:N44 M47:N5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93" orientation="portrait" r:id="rId1"/>
  <ignoredErrors>
    <ignoredError sqref="K3:K4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1637612-7651-4CF8-A6EE-04698E8B565D}">
          <x14:formula1>
            <xm:f>Data!$I$3:$I$12</xm:f>
          </x14:formula1>
          <xm:sqref>E7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6BDC1-6942-4C91-A16F-999E417AAD96}">
  <sheetPr codeName="Sheet2"/>
  <dimension ref="A1:AO218"/>
  <sheetViews>
    <sheetView zoomScale="115" zoomScaleNormal="115" workbookViewId="0">
      <selection activeCell="N31" sqref="N31"/>
    </sheetView>
  </sheetViews>
  <sheetFormatPr defaultColWidth="8.42578125" defaultRowHeight="14.45"/>
  <cols>
    <col min="1" max="1" width="5.28515625" style="24" customWidth="1"/>
    <col min="2" max="2" width="5.28515625" style="45" customWidth="1"/>
    <col min="3" max="3" width="28.28515625" style="43" customWidth="1"/>
    <col min="4" max="4" width="18.7109375" style="43" customWidth="1"/>
    <col min="5" max="5" width="6.5703125" style="43" customWidth="1"/>
    <col min="6" max="6" width="16.42578125" style="43" customWidth="1"/>
    <col min="7" max="7" width="3.42578125" style="43" customWidth="1"/>
    <col min="8" max="8" width="15.42578125" style="43" customWidth="1"/>
    <col min="9" max="9" width="1.7109375" style="43" customWidth="1"/>
    <col min="10" max="10" width="3.42578125" style="24" customWidth="1"/>
    <col min="11" max="11" width="1.7109375" style="87" customWidth="1"/>
    <col min="12" max="12" width="29.42578125" style="24" customWidth="1"/>
    <col min="13" max="13" width="1.7109375" style="43" customWidth="1"/>
    <col min="14" max="14" width="29.42578125" style="43" customWidth="1"/>
    <col min="15" max="15" width="1.7109375" style="43" customWidth="1"/>
    <col min="16" max="16" width="16.7109375" style="43" customWidth="1"/>
    <col min="17" max="17" width="31.5703125" style="43" bestFit="1" customWidth="1"/>
    <col min="18" max="18" width="8.140625" style="43" customWidth="1"/>
    <col min="19" max="19" width="4.42578125" style="43" customWidth="1"/>
    <col min="20" max="20" width="18.7109375" style="43" bestFit="1" customWidth="1"/>
    <col min="21" max="21" width="14.28515625" style="24" bestFit="1" customWidth="1"/>
    <col min="22" max="22" width="8.5703125" style="24" bestFit="1" customWidth="1"/>
    <col min="23" max="23" width="14.7109375" style="24" bestFit="1" customWidth="1"/>
    <col min="24" max="24" width="5.28515625" style="24" bestFit="1" customWidth="1"/>
    <col min="25" max="25" width="14.42578125" style="24" bestFit="1" customWidth="1"/>
    <col min="26" max="26" width="8.42578125" style="24"/>
    <col min="27" max="27" width="14.42578125" style="24" bestFit="1" customWidth="1"/>
    <col min="28" max="28" width="8.42578125" style="43"/>
    <col min="29" max="29" width="12.28515625" style="43" bestFit="1" customWidth="1"/>
    <col min="30" max="40" width="8.42578125" style="43"/>
    <col min="41" max="41" width="9.42578125" style="43" bestFit="1" customWidth="1"/>
    <col min="42" max="16384" width="8.42578125" style="43"/>
  </cols>
  <sheetData>
    <row r="1" spans="1:41" s="24" customFormat="1" ht="14.25" customHeight="1">
      <c r="A1" s="278"/>
      <c r="B1" s="31"/>
      <c r="J1" s="53"/>
      <c r="S1" s="53"/>
    </row>
    <row r="2" spans="1:41" s="24" customFormat="1" ht="14.25" customHeight="1" thickBot="1">
      <c r="A2" s="278"/>
      <c r="B2" s="42" t="s">
        <v>215</v>
      </c>
      <c r="C2" s="42"/>
      <c r="D2" s="42"/>
      <c r="E2" s="42"/>
      <c r="F2" s="42"/>
      <c r="G2" s="42"/>
      <c r="H2" s="42"/>
      <c r="J2" s="53"/>
      <c r="R2" s="42"/>
      <c r="S2" s="53"/>
      <c r="T2" s="624" t="s">
        <v>216</v>
      </c>
      <c r="U2" s="624" t="s">
        <v>217</v>
      </c>
      <c r="V2" s="624" t="s">
        <v>218</v>
      </c>
      <c r="W2" s="624" t="s">
        <v>219</v>
      </c>
    </row>
    <row r="3" spans="1:41" s="24" customFormat="1" ht="12.95">
      <c r="B3" s="31"/>
      <c r="D3" s="39" t="s">
        <v>220</v>
      </c>
      <c r="F3" s="39" t="s">
        <v>221</v>
      </c>
      <c r="J3" s="53"/>
      <c r="L3" s="310" t="s">
        <v>222</v>
      </c>
      <c r="N3" s="310" t="s">
        <v>223</v>
      </c>
      <c r="P3" s="629" t="s">
        <v>224</v>
      </c>
      <c r="Q3" s="629" t="s">
        <v>225</v>
      </c>
      <c r="S3" s="53"/>
      <c r="T3" s="625">
        <f>SUMIFS('Expenditure Breakdown'!$U:$U,
        'Expenditure Breakdown'!$T:$T, "&gt;"&amp;DATE(2025,8,31),
        'Expenditure Breakdown'!$T:$T, "&lt;="&amp;DATE(2026,8,31))</f>
        <v>2045835.2199856238</v>
      </c>
      <c r="U3" s="625">
        <f>SUMIFS('Expenditure Breakdown'!$Q:$Q,
        'Expenditure Breakdown'!$T:$T, "&gt;"&amp;DATE(2025,8,31),
        'Expenditure Breakdown'!$T:$T, "&lt;="&amp;DATE(2026,8,31))</f>
        <v>1483371.7138488539</v>
      </c>
      <c r="V3" s="625">
        <f>SUMIFS('Expenditure Breakdown'!$U:$U,
        'Expenditure Breakdown'!$T:$T, "&gt;"&amp;DATE(2025,8,31),
        'Expenditure Breakdown'!$T:$T, "&lt;="&amp;DATE(2026,8,31),
        'Expenditure Breakdown'!$S:$S, "&lt;&gt;")</f>
        <v>0</v>
      </c>
      <c r="W3" s="625">
        <f>SUMIFS('Expenditure Breakdown'!$Q:$Q,
        'Expenditure Breakdown'!$T:$T, "&gt;"&amp;DATE(2025,8,31),
        'Expenditure Breakdown'!$T:$T, "&lt;="&amp;DATE(2026,8,31),
        'Expenditure Breakdown'!$S:$S, "&lt;&gt;")</f>
        <v>0</v>
      </c>
    </row>
    <row r="4" spans="1:41" s="24" customFormat="1" ht="12.95">
      <c r="B4" s="256">
        <v>1</v>
      </c>
      <c r="C4" s="257" t="s">
        <v>226</v>
      </c>
      <c r="D4" s="258">
        <f>'Project Plan'!E6</f>
        <v>2045835.2199856236</v>
      </c>
      <c r="E4" s="259"/>
      <c r="F4" s="258">
        <f>F21</f>
        <v>2045835.2199856236</v>
      </c>
      <c r="J4" s="53"/>
      <c r="L4" s="276"/>
      <c r="N4" s="276" t="s">
        <v>212</v>
      </c>
      <c r="P4" s="544">
        <f>D6*0.05</f>
        <v>18452.371470868133</v>
      </c>
      <c r="Q4" s="44">
        <f>SUMIF('Expenditure Breakdown'!N:N,"*VO*",'Expenditure Breakdown'!Q:Q)</f>
        <v>0</v>
      </c>
      <c r="S4" s="53"/>
    </row>
    <row r="5" spans="1:41" s="24" customFormat="1" ht="15" customHeight="1">
      <c r="B5" s="256">
        <v>2</v>
      </c>
      <c r="C5" s="257" t="s">
        <v>227</v>
      </c>
      <c r="D5" s="258">
        <f>+'Expenditure Tracking'!F5</f>
        <v>1676787.7905682609</v>
      </c>
      <c r="E5" s="259"/>
      <c r="F5" s="258">
        <f>+'Expenditure Tracking'!H5</f>
        <v>1483371.7138488539</v>
      </c>
      <c r="J5" s="53"/>
      <c r="L5" s="276"/>
      <c r="N5" s="311"/>
      <c r="S5" s="53"/>
    </row>
    <row r="6" spans="1:41" s="24" customFormat="1" ht="15" customHeight="1">
      <c r="B6" s="256">
        <v>3</v>
      </c>
      <c r="C6" s="257" t="s">
        <v>228</v>
      </c>
      <c r="D6" s="258">
        <f>+D4-D5</f>
        <v>369047.42941736267</v>
      </c>
      <c r="E6" s="259"/>
      <c r="F6" s="258">
        <f>+F4-F5</f>
        <v>562463.50613676966</v>
      </c>
      <c r="J6" s="53"/>
      <c r="L6" s="276"/>
      <c r="N6" s="276" t="s">
        <v>229</v>
      </c>
      <c r="S6" s="53"/>
    </row>
    <row r="7" spans="1:41" s="24" customFormat="1" ht="15" customHeight="1" thickBot="1">
      <c r="B7" s="256">
        <v>4</v>
      </c>
      <c r="C7" s="257" t="s">
        <v>230</v>
      </c>
      <c r="D7" s="260">
        <f>+D6/D4</f>
        <v>0.18038961584597024</v>
      </c>
      <c r="E7" s="259"/>
      <c r="F7" s="260">
        <f>+F6/F4</f>
        <v>0.2749309918228518</v>
      </c>
      <c r="J7" s="53"/>
      <c r="L7" s="277"/>
      <c r="N7" s="344"/>
      <c r="S7" s="53"/>
    </row>
    <row r="8" spans="1:41" s="24" customFormat="1" ht="9" customHeight="1">
      <c r="B8" s="31"/>
      <c r="J8" s="53"/>
      <c r="S8" s="53"/>
    </row>
    <row r="9" spans="1:41" s="24" customFormat="1" ht="9.75" customHeight="1">
      <c r="B9" s="31"/>
      <c r="J9" s="53"/>
      <c r="S9" s="53"/>
    </row>
    <row r="10" spans="1:41" s="24" customFormat="1" ht="12.95">
      <c r="B10" s="42" t="s">
        <v>231</v>
      </c>
      <c r="J10" s="53"/>
      <c r="S10" s="53"/>
      <c r="U10" s="42"/>
    </row>
    <row r="11" spans="1:41" s="24" customFormat="1" ht="14.25" customHeight="1">
      <c r="B11" s="31"/>
      <c r="J11" s="53"/>
      <c r="S11" s="53"/>
    </row>
    <row r="12" spans="1:41" s="24" customFormat="1" ht="26.1">
      <c r="B12" s="46" t="s">
        <v>136</v>
      </c>
      <c r="C12" s="47" t="s">
        <v>232</v>
      </c>
      <c r="D12" s="48"/>
      <c r="E12" s="46" t="s">
        <v>233</v>
      </c>
      <c r="F12" s="46" t="s">
        <v>234</v>
      </c>
      <c r="H12" s="261" t="s">
        <v>235</v>
      </c>
      <c r="J12" s="53"/>
      <c r="L12" s="78" t="s">
        <v>236</v>
      </c>
      <c r="M12" s="49"/>
      <c r="N12" s="78" t="s">
        <v>237</v>
      </c>
      <c r="O12" s="49"/>
      <c r="P12" s="78" t="s">
        <v>238</v>
      </c>
      <c r="Q12" s="279" t="s">
        <v>239</v>
      </c>
      <c r="S12" s="53"/>
    </row>
    <row r="13" spans="1:41" s="24" customFormat="1" ht="12.95">
      <c r="B13" s="590">
        <v>1</v>
      </c>
      <c r="C13" s="716" t="s">
        <v>240</v>
      </c>
      <c r="D13" s="717"/>
      <c r="E13" s="591">
        <v>0.5</v>
      </c>
      <c r="F13" s="592">
        <f t="shared" ref="F13:F18" si="0">$D$4*E13</f>
        <v>1022917.6099928118</v>
      </c>
      <c r="G13" s="593"/>
      <c r="H13" s="594">
        <v>46112</v>
      </c>
      <c r="I13" s="595"/>
      <c r="J13" s="596"/>
      <c r="K13" s="595"/>
      <c r="L13" s="597" t="s">
        <v>241</v>
      </c>
      <c r="M13" s="595"/>
      <c r="N13" s="594">
        <v>46077</v>
      </c>
      <c r="O13" s="598"/>
      <c r="P13" s="599">
        <v>46112</v>
      </c>
      <c r="Q13" s="86"/>
      <c r="S13" s="53"/>
      <c r="AO13" s="526" t="e">
        <f>'Change Register'!#REF!+ 7</f>
        <v>#REF!</v>
      </c>
    </row>
    <row r="14" spans="1:41" s="24" customFormat="1" ht="12.6">
      <c r="B14" s="600">
        <v>2</v>
      </c>
      <c r="C14" s="716" t="s">
        <v>242</v>
      </c>
      <c r="D14" s="717"/>
      <c r="E14" s="591">
        <v>0.25</v>
      </c>
      <c r="F14" s="592">
        <f t="shared" si="0"/>
        <v>511458.8049964059</v>
      </c>
      <c r="G14" s="601"/>
      <c r="H14" s="594">
        <f>'Project Plan'!G37+7</f>
        <v>46126</v>
      </c>
      <c r="I14" s="595"/>
      <c r="J14" s="596"/>
      <c r="K14" s="595"/>
      <c r="L14" s="597"/>
      <c r="M14" s="595"/>
      <c r="N14" s="594"/>
      <c r="O14" s="595"/>
      <c r="P14" s="599">
        <f>'Project Plan'!K37+7</f>
        <v>46126</v>
      </c>
      <c r="Q14" s="280"/>
      <c r="S14" s="53"/>
    </row>
    <row r="15" spans="1:41" s="24" customFormat="1" ht="12.6">
      <c r="B15" s="590">
        <v>3</v>
      </c>
      <c r="C15" s="716" t="s">
        <v>243</v>
      </c>
      <c r="D15" s="717"/>
      <c r="E15" s="591">
        <v>0.1</v>
      </c>
      <c r="F15" s="592">
        <f t="shared" si="0"/>
        <v>204583.52199856238</v>
      </c>
      <c r="G15" s="601"/>
      <c r="H15" s="594">
        <f>'Project Plan'!G23+7</f>
        <v>46126</v>
      </c>
      <c r="I15" s="595"/>
      <c r="J15" s="596"/>
      <c r="K15" s="595"/>
      <c r="L15" s="597"/>
      <c r="M15" s="595"/>
      <c r="N15" s="594"/>
      <c r="O15" s="595"/>
      <c r="P15" s="599">
        <f>'Project Plan'!K23+7</f>
        <v>46126</v>
      </c>
      <c r="Q15" s="280"/>
      <c r="S15" s="53"/>
    </row>
    <row r="16" spans="1:41" s="24" customFormat="1" ht="12.6">
      <c r="B16" s="590">
        <v>4</v>
      </c>
      <c r="C16" s="714" t="s">
        <v>244</v>
      </c>
      <c r="D16" s="715"/>
      <c r="E16" s="591">
        <v>0.1</v>
      </c>
      <c r="F16" s="592">
        <f t="shared" si="0"/>
        <v>204583.52199856238</v>
      </c>
      <c r="G16" s="601"/>
      <c r="H16" s="594">
        <f>'Project Plan'!G40+7</f>
        <v>46162</v>
      </c>
      <c r="I16" s="595"/>
      <c r="J16" s="596"/>
      <c r="K16" s="595"/>
      <c r="L16" s="597"/>
      <c r="M16" s="602"/>
      <c r="N16" s="594"/>
      <c r="O16" s="602"/>
      <c r="P16" s="599">
        <f>'Project Plan'!K40+7</f>
        <v>46162</v>
      </c>
      <c r="Q16" s="280"/>
      <c r="S16" s="53"/>
    </row>
    <row r="17" spans="2:19" s="24" customFormat="1" ht="12.6">
      <c r="B17" s="590">
        <v>5</v>
      </c>
      <c r="C17" s="714" t="s">
        <v>245</v>
      </c>
      <c r="D17" s="715"/>
      <c r="E17" s="591">
        <v>0.05</v>
      </c>
      <c r="F17" s="592">
        <f t="shared" si="0"/>
        <v>102291.76099928119</v>
      </c>
      <c r="G17" s="601"/>
      <c r="H17" s="594">
        <f>'Project Plan'!G54+365</f>
        <v>46532</v>
      </c>
      <c r="I17" s="595"/>
      <c r="J17" s="596"/>
      <c r="K17" s="595"/>
      <c r="L17" s="597"/>
      <c r="M17" s="595"/>
      <c r="N17" s="594"/>
      <c r="O17" s="595"/>
      <c r="P17" s="599">
        <f>'Project Plan'!K54+7</f>
        <v>46174</v>
      </c>
      <c r="Q17" s="280"/>
      <c r="S17" s="53"/>
    </row>
    <row r="18" spans="2:19" s="24" customFormat="1" ht="12.6">
      <c r="B18" s="590">
        <v>6</v>
      </c>
      <c r="C18" s="714" t="s">
        <v>246</v>
      </c>
      <c r="D18" s="715"/>
      <c r="E18" s="591">
        <v>0</v>
      </c>
      <c r="F18" s="592">
        <f t="shared" si="0"/>
        <v>0</v>
      </c>
      <c r="G18" s="601"/>
      <c r="H18" s="594"/>
      <c r="I18" s="595"/>
      <c r="J18" s="596"/>
      <c r="K18" s="595"/>
      <c r="L18" s="597"/>
      <c r="M18" s="593"/>
      <c r="N18" s="594"/>
      <c r="O18" s="593"/>
      <c r="P18" s="599"/>
      <c r="Q18" s="280"/>
      <c r="S18" s="53"/>
    </row>
    <row r="19" spans="2:19" s="24" customFormat="1" ht="12.6">
      <c r="B19" s="590">
        <v>7</v>
      </c>
      <c r="C19" s="716" t="s">
        <v>246</v>
      </c>
      <c r="D19" s="717"/>
      <c r="E19" s="591">
        <v>0</v>
      </c>
      <c r="F19" s="592">
        <f t="shared" ref="F19" si="1">$D$4*E19</f>
        <v>0</v>
      </c>
      <c r="G19" s="601"/>
      <c r="H19" s="594"/>
      <c r="I19" s="595"/>
      <c r="J19" s="596"/>
      <c r="K19" s="595"/>
      <c r="L19" s="599"/>
      <c r="M19" s="595"/>
      <c r="N19" s="599"/>
      <c r="O19" s="595"/>
      <c r="P19" s="599"/>
      <c r="Q19" s="280"/>
      <c r="S19" s="53"/>
    </row>
    <row r="20" spans="2:19" s="24" customFormat="1" ht="9" customHeight="1">
      <c r="B20" s="31"/>
      <c r="E20" s="52"/>
      <c r="F20" s="30"/>
      <c r="H20" s="262"/>
      <c r="J20" s="53"/>
      <c r="S20" s="53"/>
    </row>
    <row r="21" spans="2:19" s="24" customFormat="1" ht="12.95">
      <c r="B21" s="31"/>
      <c r="E21" s="263">
        <f>SUM(E13:E19)</f>
        <v>1</v>
      </c>
      <c r="F21" s="264">
        <f>SUM(F13:F19)</f>
        <v>2045835.2199856236</v>
      </c>
      <c r="J21" s="53"/>
      <c r="S21" s="53"/>
    </row>
    <row r="22" spans="2:19" s="53" customFormat="1" ht="25.5" customHeight="1">
      <c r="B22" s="54"/>
      <c r="F22" s="55"/>
    </row>
    <row r="23" spans="2:19" s="24" customFormat="1" ht="24.75" customHeight="1">
      <c r="B23" s="56" t="s">
        <v>247</v>
      </c>
      <c r="C23" s="57" t="s">
        <v>248</v>
      </c>
      <c r="D23" s="57"/>
      <c r="F23" s="58"/>
      <c r="H23" s="30"/>
    </row>
    <row r="24" spans="2:19" s="24" customFormat="1" ht="12.6">
      <c r="C24" s="59" t="s">
        <v>249</v>
      </c>
      <c r="D24" s="60"/>
      <c r="F24" s="61"/>
    </row>
    <row r="25" spans="2:19" s="24" customFormat="1" ht="12.6">
      <c r="C25" s="59" t="s">
        <v>250</v>
      </c>
      <c r="D25" s="60"/>
    </row>
    <row r="26" spans="2:19" s="24" customFormat="1" ht="12.6">
      <c r="C26" s="62" t="s">
        <v>251</v>
      </c>
      <c r="D26" s="63"/>
    </row>
    <row r="27" spans="2:19" s="24" customFormat="1" ht="12.6">
      <c r="C27" s="64" t="s">
        <v>252</v>
      </c>
      <c r="D27" s="60"/>
    </row>
    <row r="28" spans="2:19" s="24" customFormat="1" ht="12.6">
      <c r="B28" s="31"/>
      <c r="C28" s="64" t="s">
        <v>253</v>
      </c>
      <c r="D28" s="60"/>
    </row>
    <row r="29" spans="2:19" s="24" customFormat="1" ht="12.6">
      <c r="B29" s="31"/>
      <c r="C29" s="24" t="s">
        <v>254</v>
      </c>
    </row>
    <row r="30" spans="2:19" s="24" customFormat="1" ht="27.75" customHeight="1">
      <c r="B30" s="31"/>
      <c r="C30" s="65" t="s">
        <v>255</v>
      </c>
      <c r="D30" s="65"/>
      <c r="F30" s="61"/>
    </row>
    <row r="31" spans="2:19" s="24" customFormat="1" ht="12.6">
      <c r="B31" s="31"/>
      <c r="F31" s="58"/>
      <c r="N31" s="544"/>
    </row>
    <row r="32" spans="2:19" s="24" customFormat="1" ht="12.6">
      <c r="B32" s="31"/>
      <c r="F32" s="58"/>
    </row>
    <row r="33" spans="2:6" s="24" customFormat="1" ht="12.6">
      <c r="B33" s="31"/>
      <c r="F33" s="58"/>
    </row>
    <row r="34" spans="2:6" s="24" customFormat="1" ht="12.6">
      <c r="B34" s="31"/>
      <c r="F34" s="58"/>
    </row>
    <row r="35" spans="2:6" s="24" customFormat="1" ht="12.6">
      <c r="B35" s="31"/>
    </row>
    <row r="36" spans="2:6" s="24" customFormat="1" ht="12.6">
      <c r="B36" s="31"/>
    </row>
    <row r="37" spans="2:6" s="24" customFormat="1" ht="12.6">
      <c r="B37" s="31"/>
    </row>
    <row r="38" spans="2:6" s="24" customFormat="1" ht="12.75" hidden="1" customHeight="1">
      <c r="B38" s="31"/>
    </row>
    <row r="39" spans="2:6" s="24" customFormat="1" ht="12.75" hidden="1" customHeight="1">
      <c r="B39" s="31"/>
    </row>
    <row r="40" spans="2:6" s="24" customFormat="1" ht="13.5" hidden="1" customHeight="1">
      <c r="B40" s="46" t="s">
        <v>136</v>
      </c>
      <c r="C40" s="47" t="s">
        <v>232</v>
      </c>
      <c r="D40" s="48"/>
      <c r="E40" s="46" t="s">
        <v>233</v>
      </c>
      <c r="F40" s="46" t="s">
        <v>234</v>
      </c>
    </row>
    <row r="41" spans="2:6" s="24" customFormat="1" ht="12.75" hidden="1" customHeight="1">
      <c r="B41" s="66">
        <v>1</v>
      </c>
      <c r="C41" s="67" t="s">
        <v>256</v>
      </c>
      <c r="D41" s="67"/>
      <c r="E41" s="50">
        <v>0.35</v>
      </c>
      <c r="F41" s="51">
        <f>$F$47*E41</f>
        <v>716042.32699496823</v>
      </c>
    </row>
    <row r="42" spans="2:6" s="24" customFormat="1" ht="12.75" hidden="1" customHeight="1">
      <c r="B42" s="66">
        <v>2</v>
      </c>
      <c r="C42" s="67" t="s">
        <v>242</v>
      </c>
      <c r="D42" s="67"/>
      <c r="E42" s="50">
        <v>0.3</v>
      </c>
      <c r="F42" s="51">
        <f t="shared" ref="F42:F45" si="2">$F$47*E42</f>
        <v>613750.56599568704</v>
      </c>
    </row>
    <row r="43" spans="2:6" s="24" customFormat="1" ht="12.75" hidden="1" customHeight="1">
      <c r="B43" s="66">
        <v>3</v>
      </c>
      <c r="C43" s="67" t="s">
        <v>243</v>
      </c>
      <c r="D43" s="67"/>
      <c r="E43" s="50">
        <v>0.2</v>
      </c>
      <c r="F43" s="51">
        <f t="shared" si="2"/>
        <v>409167.04399712477</v>
      </c>
    </row>
    <row r="44" spans="2:6" s="24" customFormat="1" ht="12.75" hidden="1" customHeight="1">
      <c r="B44" s="66">
        <v>4</v>
      </c>
      <c r="C44" s="67" t="s">
        <v>257</v>
      </c>
      <c r="D44" s="67"/>
      <c r="E44" s="50">
        <v>0.1</v>
      </c>
      <c r="F44" s="51">
        <f t="shared" si="2"/>
        <v>204583.52199856238</v>
      </c>
    </row>
    <row r="45" spans="2:6" s="24" customFormat="1" ht="13.5" hidden="1" customHeight="1" thickBot="1">
      <c r="B45" s="68">
        <v>5</v>
      </c>
      <c r="C45" s="69" t="s">
        <v>245</v>
      </c>
      <c r="D45" s="69"/>
      <c r="E45" s="70">
        <v>0.05</v>
      </c>
      <c r="F45" s="71">
        <f t="shared" si="2"/>
        <v>102291.76099928119</v>
      </c>
    </row>
    <row r="46" spans="2:6" s="24" customFormat="1" ht="13.5" hidden="1" customHeight="1" thickBot="1">
      <c r="B46" s="72"/>
      <c r="C46" s="73" t="s">
        <v>258</v>
      </c>
      <c r="D46" s="73"/>
      <c r="E46" s="74">
        <f>SUM(E41:E45)</f>
        <v>0.99999999999999989</v>
      </c>
      <c r="F46" s="75">
        <f>SUM(F41:F45)</f>
        <v>2045835.2199856236</v>
      </c>
    </row>
    <row r="47" spans="2:6" s="24" customFormat="1" ht="12.75" hidden="1" customHeight="1">
      <c r="B47" s="31"/>
      <c r="E47" s="52">
        <f>SUM(E41:E45)</f>
        <v>0.99999999999999989</v>
      </c>
      <c r="F47" s="30">
        <f>F21</f>
        <v>2045835.2199856236</v>
      </c>
    </row>
    <row r="48" spans="2:6" s="24" customFormat="1" ht="12.75" hidden="1" customHeight="1">
      <c r="B48" s="31"/>
    </row>
    <row r="49" spans="2:2" s="24" customFormat="1" ht="12.6">
      <c r="B49" s="31"/>
    </row>
    <row r="50" spans="2:2" s="24" customFormat="1" ht="12.6">
      <c r="B50" s="31"/>
    </row>
    <row r="51" spans="2:2" s="24" customFormat="1" ht="12.6">
      <c r="B51" s="31"/>
    </row>
    <row r="52" spans="2:2" s="24" customFormat="1" ht="12.6">
      <c r="B52" s="31"/>
    </row>
    <row r="53" spans="2:2" s="24" customFormat="1" ht="12.6">
      <c r="B53" s="31"/>
    </row>
    <row r="54" spans="2:2" s="24" customFormat="1" ht="12.6">
      <c r="B54" s="31"/>
    </row>
    <row r="55" spans="2:2" s="24" customFormat="1" ht="12.6">
      <c r="B55" s="31"/>
    </row>
    <row r="56" spans="2:2" s="24" customFormat="1" ht="12.6">
      <c r="B56" s="31"/>
    </row>
    <row r="57" spans="2:2" s="24" customFormat="1" ht="12.6">
      <c r="B57" s="31"/>
    </row>
    <row r="58" spans="2:2" s="24" customFormat="1" ht="12.6">
      <c r="B58" s="31"/>
    </row>
    <row r="59" spans="2:2" s="24" customFormat="1" ht="12.6">
      <c r="B59" s="31"/>
    </row>
    <row r="60" spans="2:2" s="24" customFormat="1" ht="12.6">
      <c r="B60" s="31"/>
    </row>
    <row r="61" spans="2:2" s="24" customFormat="1" ht="12.6">
      <c r="B61" s="31"/>
    </row>
    <row r="62" spans="2:2" s="24" customFormat="1" ht="12.6">
      <c r="B62" s="31"/>
    </row>
    <row r="63" spans="2:2" s="24" customFormat="1" ht="12.6">
      <c r="B63" s="31"/>
    </row>
    <row r="64" spans="2:2" s="24" customFormat="1" ht="12.6">
      <c r="B64" s="31"/>
    </row>
    <row r="65" spans="2:2" s="24" customFormat="1" ht="12.6">
      <c r="B65" s="31"/>
    </row>
    <row r="66" spans="2:2" s="24" customFormat="1" ht="12.6">
      <c r="B66" s="31"/>
    </row>
    <row r="67" spans="2:2" s="24" customFormat="1" ht="12.6">
      <c r="B67" s="31"/>
    </row>
    <row r="68" spans="2:2" s="24" customFormat="1" ht="12.6">
      <c r="B68" s="31"/>
    </row>
    <row r="69" spans="2:2" s="24" customFormat="1" ht="12.6">
      <c r="B69" s="31"/>
    </row>
    <row r="70" spans="2:2" s="24" customFormat="1" ht="12.6">
      <c r="B70" s="31"/>
    </row>
    <row r="71" spans="2:2" s="24" customFormat="1" ht="12.6">
      <c r="B71" s="31"/>
    </row>
    <row r="72" spans="2:2" s="24" customFormat="1" ht="12.6">
      <c r="B72" s="31"/>
    </row>
    <row r="73" spans="2:2" s="24" customFormat="1" ht="12.6">
      <c r="B73" s="31"/>
    </row>
    <row r="74" spans="2:2" s="24" customFormat="1" ht="12.6">
      <c r="B74" s="31"/>
    </row>
    <row r="75" spans="2:2" s="24" customFormat="1" ht="12.6">
      <c r="B75" s="31"/>
    </row>
    <row r="76" spans="2:2" s="24" customFormat="1" ht="12.6">
      <c r="B76" s="31"/>
    </row>
    <row r="77" spans="2:2" s="24" customFormat="1" ht="12.6">
      <c r="B77" s="31"/>
    </row>
    <row r="78" spans="2:2" s="24" customFormat="1" ht="12.6">
      <c r="B78" s="31"/>
    </row>
    <row r="79" spans="2:2" s="24" customFormat="1" ht="12.6">
      <c r="B79" s="31"/>
    </row>
    <row r="80" spans="2:2" s="24" customFormat="1" ht="12.6">
      <c r="B80" s="31"/>
    </row>
    <row r="81" spans="2:2" s="24" customFormat="1" ht="12.6">
      <c r="B81" s="31"/>
    </row>
    <row r="82" spans="2:2" s="24" customFormat="1" ht="12.6">
      <c r="B82" s="31"/>
    </row>
    <row r="83" spans="2:2" s="24" customFormat="1" ht="12.6">
      <c r="B83" s="31"/>
    </row>
    <row r="84" spans="2:2" s="24" customFormat="1" ht="12.6">
      <c r="B84" s="31"/>
    </row>
    <row r="85" spans="2:2" s="24" customFormat="1" ht="12.6">
      <c r="B85" s="31"/>
    </row>
    <row r="86" spans="2:2" s="24" customFormat="1" ht="12.6">
      <c r="B86" s="31"/>
    </row>
    <row r="87" spans="2:2" s="24" customFormat="1" ht="12.6">
      <c r="B87" s="31"/>
    </row>
    <row r="88" spans="2:2" s="24" customFormat="1" ht="12.6">
      <c r="B88" s="31"/>
    </row>
    <row r="89" spans="2:2" s="24" customFormat="1" ht="12.6">
      <c r="B89" s="31"/>
    </row>
    <row r="90" spans="2:2" s="24" customFormat="1" ht="12.6">
      <c r="B90" s="31"/>
    </row>
    <row r="91" spans="2:2" s="24" customFormat="1" ht="12.6">
      <c r="B91" s="31"/>
    </row>
    <row r="92" spans="2:2" s="24" customFormat="1" ht="12.6">
      <c r="B92" s="31"/>
    </row>
    <row r="93" spans="2:2" s="24" customFormat="1" ht="12.6">
      <c r="B93" s="31"/>
    </row>
    <row r="94" spans="2:2" s="24" customFormat="1" ht="12.6">
      <c r="B94" s="31"/>
    </row>
    <row r="95" spans="2:2" s="24" customFormat="1" ht="12.6">
      <c r="B95" s="31"/>
    </row>
    <row r="96" spans="2:2" s="24" customFormat="1" ht="12.6">
      <c r="B96" s="31"/>
    </row>
    <row r="97" spans="2:2" s="24" customFormat="1" ht="12.6">
      <c r="B97" s="31"/>
    </row>
    <row r="98" spans="2:2" s="24" customFormat="1" ht="12.6">
      <c r="B98" s="31"/>
    </row>
    <row r="99" spans="2:2" s="24" customFormat="1" ht="12.6">
      <c r="B99" s="31"/>
    </row>
    <row r="100" spans="2:2" s="24" customFormat="1" ht="12.6">
      <c r="B100" s="31"/>
    </row>
    <row r="101" spans="2:2" s="24" customFormat="1" ht="12.6">
      <c r="B101" s="31"/>
    </row>
    <row r="102" spans="2:2" s="24" customFormat="1" ht="12.6">
      <c r="B102" s="31"/>
    </row>
    <row r="103" spans="2:2" s="24" customFormat="1" ht="12.6">
      <c r="B103" s="31"/>
    </row>
    <row r="104" spans="2:2" s="24" customFormat="1" ht="12.6">
      <c r="B104" s="31"/>
    </row>
    <row r="105" spans="2:2" s="24" customFormat="1" ht="12.6">
      <c r="B105" s="31"/>
    </row>
    <row r="106" spans="2:2" s="24" customFormat="1" ht="12.6">
      <c r="B106" s="31"/>
    </row>
    <row r="107" spans="2:2" s="24" customFormat="1" ht="12.6">
      <c r="B107" s="31"/>
    </row>
    <row r="108" spans="2:2" s="24" customFormat="1" ht="12.6">
      <c r="B108" s="31"/>
    </row>
    <row r="109" spans="2:2" s="24" customFormat="1" ht="12.6">
      <c r="B109" s="31"/>
    </row>
    <row r="110" spans="2:2" s="24" customFormat="1" ht="12.6">
      <c r="B110" s="31"/>
    </row>
    <row r="111" spans="2:2" s="24" customFormat="1" ht="12.6">
      <c r="B111" s="31"/>
    </row>
    <row r="112" spans="2:2" s="24" customFormat="1" ht="12.6">
      <c r="B112" s="31"/>
    </row>
    <row r="113" spans="2:2" s="24" customFormat="1" ht="12.6">
      <c r="B113" s="31"/>
    </row>
    <row r="114" spans="2:2" s="24" customFormat="1" ht="12.6">
      <c r="B114" s="31"/>
    </row>
    <row r="115" spans="2:2" s="24" customFormat="1" ht="12.6">
      <c r="B115" s="31"/>
    </row>
    <row r="116" spans="2:2" s="24" customFormat="1" ht="12.6">
      <c r="B116" s="31"/>
    </row>
    <row r="117" spans="2:2" s="24" customFormat="1" ht="12.6">
      <c r="B117" s="31"/>
    </row>
    <row r="118" spans="2:2" s="24" customFormat="1" ht="12.6">
      <c r="B118" s="31"/>
    </row>
    <row r="119" spans="2:2" s="24" customFormat="1" ht="12.6">
      <c r="B119" s="31"/>
    </row>
    <row r="120" spans="2:2" s="24" customFormat="1" ht="12.6">
      <c r="B120" s="31"/>
    </row>
    <row r="121" spans="2:2" s="24" customFormat="1" ht="12.6">
      <c r="B121" s="31"/>
    </row>
    <row r="122" spans="2:2" s="24" customFormat="1" ht="12.6">
      <c r="B122" s="31"/>
    </row>
    <row r="123" spans="2:2" s="24" customFormat="1" ht="12.6">
      <c r="B123" s="31"/>
    </row>
    <row r="124" spans="2:2" s="24" customFormat="1" ht="12.6">
      <c r="B124" s="31"/>
    </row>
    <row r="125" spans="2:2" s="24" customFormat="1" ht="12.6">
      <c r="B125" s="31"/>
    </row>
    <row r="126" spans="2:2" s="24" customFormat="1" ht="12.6">
      <c r="B126" s="31"/>
    </row>
    <row r="127" spans="2:2" s="24" customFormat="1" ht="12.6">
      <c r="B127" s="31"/>
    </row>
    <row r="128" spans="2:2" s="24" customFormat="1" ht="12.6">
      <c r="B128" s="31"/>
    </row>
    <row r="129" spans="2:2" s="24" customFormat="1" ht="12.6">
      <c r="B129" s="31"/>
    </row>
    <row r="130" spans="2:2" s="24" customFormat="1" ht="12.6">
      <c r="B130" s="31"/>
    </row>
    <row r="131" spans="2:2" s="24" customFormat="1" ht="12.6">
      <c r="B131" s="31"/>
    </row>
    <row r="132" spans="2:2" s="24" customFormat="1" ht="12.6">
      <c r="B132" s="31"/>
    </row>
    <row r="133" spans="2:2" s="24" customFormat="1" ht="12.6">
      <c r="B133" s="31"/>
    </row>
    <row r="134" spans="2:2" s="24" customFormat="1" ht="12.6">
      <c r="B134" s="31"/>
    </row>
    <row r="135" spans="2:2" s="24" customFormat="1" ht="12.6">
      <c r="B135" s="31"/>
    </row>
    <row r="136" spans="2:2" s="24" customFormat="1" ht="12.6">
      <c r="B136" s="31"/>
    </row>
    <row r="137" spans="2:2" s="24" customFormat="1" ht="12.6">
      <c r="B137" s="31"/>
    </row>
    <row r="138" spans="2:2" s="24" customFormat="1" ht="12.6">
      <c r="B138" s="31"/>
    </row>
    <row r="139" spans="2:2" s="24" customFormat="1" ht="12.6">
      <c r="B139" s="31"/>
    </row>
    <row r="140" spans="2:2" s="24" customFormat="1" ht="12.6">
      <c r="B140" s="31"/>
    </row>
    <row r="141" spans="2:2" s="24" customFormat="1" ht="12.6">
      <c r="B141" s="31"/>
    </row>
    <row r="142" spans="2:2" s="24" customFormat="1" ht="12.6">
      <c r="B142" s="31"/>
    </row>
    <row r="143" spans="2:2" s="24" customFormat="1" ht="12.6">
      <c r="B143" s="31"/>
    </row>
    <row r="144" spans="2:2" s="24" customFormat="1" ht="12.6">
      <c r="B144" s="31"/>
    </row>
    <row r="145" spans="2:2" s="24" customFormat="1" ht="12.6">
      <c r="B145" s="31"/>
    </row>
    <row r="146" spans="2:2" s="24" customFormat="1" ht="12.6">
      <c r="B146" s="31"/>
    </row>
    <row r="147" spans="2:2" s="24" customFormat="1" ht="12.6">
      <c r="B147" s="31"/>
    </row>
    <row r="148" spans="2:2" s="24" customFormat="1" ht="12.6">
      <c r="B148" s="31"/>
    </row>
    <row r="149" spans="2:2" s="24" customFormat="1" ht="12.6">
      <c r="B149" s="31"/>
    </row>
    <row r="150" spans="2:2" s="24" customFormat="1" ht="12.6">
      <c r="B150" s="31"/>
    </row>
    <row r="151" spans="2:2" s="24" customFormat="1" ht="12.6">
      <c r="B151" s="31"/>
    </row>
    <row r="152" spans="2:2" s="24" customFormat="1" ht="12.6">
      <c r="B152" s="31"/>
    </row>
    <row r="153" spans="2:2" s="24" customFormat="1" ht="12.6">
      <c r="B153" s="31"/>
    </row>
    <row r="154" spans="2:2" s="24" customFormat="1" ht="12.6">
      <c r="B154" s="31"/>
    </row>
    <row r="155" spans="2:2" s="24" customFormat="1" ht="12.6">
      <c r="B155" s="31"/>
    </row>
    <row r="156" spans="2:2" s="24" customFormat="1" ht="12.6">
      <c r="B156" s="31"/>
    </row>
    <row r="157" spans="2:2" s="24" customFormat="1" ht="12.6">
      <c r="B157" s="31"/>
    </row>
    <row r="158" spans="2:2" s="24" customFormat="1" ht="12.6">
      <c r="B158" s="31"/>
    </row>
    <row r="159" spans="2:2" s="24" customFormat="1" ht="12.6">
      <c r="B159" s="31"/>
    </row>
    <row r="160" spans="2:2" s="24" customFormat="1" ht="12.6">
      <c r="B160" s="31"/>
    </row>
    <row r="161" spans="2:2" s="24" customFormat="1" ht="12.6">
      <c r="B161" s="31"/>
    </row>
    <row r="162" spans="2:2" s="24" customFormat="1" ht="12.6">
      <c r="B162" s="31"/>
    </row>
    <row r="163" spans="2:2" s="24" customFormat="1" ht="12.6">
      <c r="B163" s="31"/>
    </row>
    <row r="164" spans="2:2" s="24" customFormat="1" ht="12.6">
      <c r="B164" s="31"/>
    </row>
    <row r="165" spans="2:2" s="24" customFormat="1" ht="12.6">
      <c r="B165" s="31"/>
    </row>
    <row r="166" spans="2:2" s="24" customFormat="1" ht="12.6">
      <c r="B166" s="31"/>
    </row>
    <row r="167" spans="2:2" s="24" customFormat="1" ht="12.6">
      <c r="B167" s="31"/>
    </row>
    <row r="168" spans="2:2" s="24" customFormat="1" ht="12.6">
      <c r="B168" s="31"/>
    </row>
    <row r="169" spans="2:2" s="24" customFormat="1" ht="12.6">
      <c r="B169" s="31"/>
    </row>
    <row r="170" spans="2:2" s="24" customFormat="1" ht="12.6">
      <c r="B170" s="31"/>
    </row>
    <row r="171" spans="2:2" s="24" customFormat="1" ht="12.6">
      <c r="B171" s="31"/>
    </row>
    <row r="172" spans="2:2" s="24" customFormat="1" ht="12.6">
      <c r="B172" s="31"/>
    </row>
    <row r="173" spans="2:2" s="24" customFormat="1" ht="12.6">
      <c r="B173" s="31"/>
    </row>
    <row r="174" spans="2:2" s="24" customFormat="1" ht="12.6">
      <c r="B174" s="31"/>
    </row>
    <row r="175" spans="2:2" s="24" customFormat="1" ht="12.6">
      <c r="B175" s="31"/>
    </row>
    <row r="176" spans="2:2" s="24" customFormat="1" ht="12.6">
      <c r="B176" s="31"/>
    </row>
    <row r="177" spans="2:2" s="24" customFormat="1" ht="12.6">
      <c r="B177" s="31"/>
    </row>
    <row r="178" spans="2:2" s="24" customFormat="1" ht="12.6">
      <c r="B178" s="31"/>
    </row>
    <row r="179" spans="2:2" s="24" customFormat="1" ht="12.6">
      <c r="B179" s="31"/>
    </row>
    <row r="180" spans="2:2" s="24" customFormat="1" ht="12.6">
      <c r="B180" s="31"/>
    </row>
    <row r="181" spans="2:2" s="24" customFormat="1" ht="12.6">
      <c r="B181" s="31"/>
    </row>
    <row r="182" spans="2:2" s="24" customFormat="1" ht="12.6">
      <c r="B182" s="31"/>
    </row>
    <row r="183" spans="2:2" s="24" customFormat="1" ht="12.6">
      <c r="B183" s="31"/>
    </row>
    <row r="184" spans="2:2" s="24" customFormat="1" ht="12.6">
      <c r="B184" s="31"/>
    </row>
    <row r="185" spans="2:2" s="24" customFormat="1" ht="12.6">
      <c r="B185" s="31"/>
    </row>
    <row r="186" spans="2:2" s="24" customFormat="1" ht="12.6">
      <c r="B186" s="31"/>
    </row>
    <row r="187" spans="2:2" s="24" customFormat="1" ht="12.6">
      <c r="B187" s="31"/>
    </row>
    <row r="188" spans="2:2" s="24" customFormat="1" ht="12.6">
      <c r="B188" s="31"/>
    </row>
    <row r="189" spans="2:2" s="24" customFormat="1" ht="12.6">
      <c r="B189" s="31"/>
    </row>
    <row r="190" spans="2:2" s="24" customFormat="1" ht="12.6">
      <c r="B190" s="31"/>
    </row>
    <row r="191" spans="2:2" s="24" customFormat="1" ht="12.6">
      <c r="B191" s="31"/>
    </row>
    <row r="192" spans="2:2" s="24" customFormat="1" ht="12.6">
      <c r="B192" s="31"/>
    </row>
    <row r="193" spans="2:2" s="24" customFormat="1" ht="12.6">
      <c r="B193" s="31"/>
    </row>
    <row r="194" spans="2:2" s="24" customFormat="1" ht="12.6">
      <c r="B194" s="31"/>
    </row>
    <row r="195" spans="2:2" s="24" customFormat="1" ht="12.6">
      <c r="B195" s="31"/>
    </row>
    <row r="196" spans="2:2" s="24" customFormat="1" ht="12.6">
      <c r="B196" s="31"/>
    </row>
    <row r="197" spans="2:2" s="24" customFormat="1" ht="12.6">
      <c r="B197" s="31"/>
    </row>
    <row r="198" spans="2:2" s="24" customFormat="1" ht="12.6">
      <c r="B198" s="31"/>
    </row>
    <row r="199" spans="2:2" s="24" customFormat="1" ht="12.6">
      <c r="B199" s="31"/>
    </row>
    <row r="200" spans="2:2" s="24" customFormat="1" ht="12.6">
      <c r="B200" s="31"/>
    </row>
    <row r="201" spans="2:2" s="24" customFormat="1" ht="12.6">
      <c r="B201" s="31"/>
    </row>
    <row r="202" spans="2:2" s="24" customFormat="1" ht="12.6">
      <c r="B202" s="31"/>
    </row>
    <row r="203" spans="2:2" s="24" customFormat="1" ht="12.6">
      <c r="B203" s="31"/>
    </row>
    <row r="204" spans="2:2" s="24" customFormat="1" ht="12.6">
      <c r="B204" s="31"/>
    </row>
    <row r="205" spans="2:2" s="24" customFormat="1" ht="12.6">
      <c r="B205" s="31"/>
    </row>
    <row r="206" spans="2:2" s="24" customFormat="1" ht="12.6">
      <c r="B206" s="31"/>
    </row>
    <row r="207" spans="2:2" s="24" customFormat="1" ht="12.6">
      <c r="B207" s="31"/>
    </row>
    <row r="208" spans="2:2" s="24" customFormat="1" ht="12.6">
      <c r="B208" s="31"/>
    </row>
    <row r="209" spans="2:2" s="24" customFormat="1" ht="12.6">
      <c r="B209" s="31"/>
    </row>
    <row r="210" spans="2:2" s="24" customFormat="1" ht="12.6">
      <c r="B210" s="31"/>
    </row>
    <row r="211" spans="2:2" s="24" customFormat="1" ht="12.6">
      <c r="B211" s="31"/>
    </row>
    <row r="212" spans="2:2" s="24" customFormat="1" ht="12.6">
      <c r="B212" s="31"/>
    </row>
    <row r="213" spans="2:2" s="24" customFormat="1" ht="12.6">
      <c r="B213" s="31"/>
    </row>
    <row r="214" spans="2:2" s="24" customFormat="1" ht="12.6">
      <c r="B214" s="31"/>
    </row>
    <row r="215" spans="2:2" s="24" customFormat="1" ht="12.6">
      <c r="B215" s="31"/>
    </row>
    <row r="216" spans="2:2" s="24" customFormat="1" ht="12.6">
      <c r="B216" s="31"/>
    </row>
    <row r="217" spans="2:2" s="24" customFormat="1" ht="12.6">
      <c r="B217" s="31"/>
    </row>
    <row r="218" spans="2:2" s="24" customFormat="1" ht="12.6">
      <c r="B218" s="31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j+J/mkM11pEvvijaHO5iUaruLLhC+RSVAwxUkpdaj8w4JbnfejNcvtHn72PbQbDuFDX4JCXvt3S335YosPtFPw==" saltValue="EsOtAVk3La2RofAAR7kZEA==" spinCount="100000" sqref="L12:N12 P12 L19:N19 P19" name="Range1"/>
    <protectedRange algorithmName="SHA-512" hashValue="j+J/mkM11pEvvijaHO5iUaruLLhC+RSVAwxUkpdaj8w4JbnfejNcvtHn72PbQbDuFDX4JCXvt3S335YosPtFPw==" saltValue="EsOtAVk3La2RofAAR7kZEA==" spinCount="100000" sqref="L13:N18 P13:P18" name="Range1_1"/>
  </protectedRanges>
  <mergeCells count="7">
    <mergeCell ref="C16:D16"/>
    <mergeCell ref="C19:D19"/>
    <mergeCell ref="C13:D13"/>
    <mergeCell ref="C14:D14"/>
    <mergeCell ref="C15:D15"/>
    <mergeCell ref="C17:D17"/>
    <mergeCell ref="C18:D18"/>
  </mergeCells>
  <conditionalFormatting sqref="F21">
    <cfRule type="cellIs" dxfId="10" priority="3" operator="notEqual">
      <formula>$F$4</formula>
    </cfRule>
  </conditionalFormatting>
  <pageMargins left="0.7" right="0.7" top="0.75" bottom="0.75" header="0.3" footer="0.3"/>
  <pageSetup orientation="portrait" horizontalDpi="300" verticalDpi="300" r:id="rId1"/>
  <ignoredErrors>
    <ignoredError sqref="A1:XFD1 A11:XFD11 A6:F6 I6:XFD6 A4:F5 I5:XFD5 A7:F10 I7:XFD10 A20:XFD1048576 A13:B13 G13 I13:K13 A14:B14 F14:G14 A15:B15 F15:G15 O13 A16:B16 A17:B17 F16:G16 F17:G17 I16:O16 I17:O17 I14:K14 I15:O15 O14 A2:S2 X2:XFD3 A3:O3 R3:S3 I4:O4 R4:XFD4 A12:P12 S12:XFD12 A18:P19 S18:XFD19 S13:XFD13 S16:XFD16 S17:XFD17 S14:XFD14 S15:XFD15" unlocked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DBD3C-2278-4A9C-9C17-46F15484E67F}">
  <sheetPr codeName="Sheet5"/>
  <dimension ref="A1:L196"/>
  <sheetViews>
    <sheetView zoomScale="110" zoomScaleNormal="110" workbookViewId="0">
      <pane ySplit="7" topLeftCell="A8" activePane="bottomLeft" state="frozen"/>
      <selection pane="bottomLeft" activeCell="H21" sqref="H21"/>
      <selection activeCell="X33" sqref="X33"/>
    </sheetView>
  </sheetViews>
  <sheetFormatPr defaultColWidth="8.42578125" defaultRowHeight="14.1"/>
  <cols>
    <col min="1" max="1" width="1.42578125" style="4" customWidth="1"/>
    <col min="2" max="2" width="8.42578125" style="5"/>
    <col min="3" max="3" width="2.42578125" style="5" customWidth="1"/>
    <col min="4" max="4" width="21.28515625" style="4" customWidth="1"/>
    <col min="5" max="5" width="1.42578125" style="4" customWidth="1"/>
    <col min="6" max="6" width="19.5703125" style="4" customWidth="1"/>
    <col min="7" max="7" width="1.42578125" style="4" customWidth="1"/>
    <col min="8" max="8" width="18.42578125" style="4" customWidth="1"/>
    <col min="9" max="9" width="3.42578125" style="4" customWidth="1"/>
    <col min="10" max="10" width="24.42578125" style="4" customWidth="1"/>
    <col min="11" max="11" width="2" style="4" customWidth="1"/>
    <col min="12" max="12" width="53.42578125" style="4" customWidth="1"/>
    <col min="13" max="16384" width="8.42578125" style="4"/>
  </cols>
  <sheetData>
    <row r="1" spans="1:12" ht="6.75" customHeight="1">
      <c r="A1" s="126"/>
      <c r="B1" s="127"/>
      <c r="C1" s="127"/>
      <c r="D1" s="126"/>
      <c r="E1" s="126"/>
      <c r="F1" s="126"/>
      <c r="G1" s="126"/>
      <c r="H1" s="126"/>
      <c r="I1" s="126"/>
      <c r="J1" s="126"/>
      <c r="K1" s="26"/>
      <c r="L1" s="26"/>
    </row>
    <row r="2" spans="1:12">
      <c r="A2" s="126"/>
      <c r="B2" s="130" t="s">
        <v>259</v>
      </c>
      <c r="C2" s="130"/>
      <c r="D2" s="130"/>
      <c r="E2" s="130"/>
      <c r="F2" s="130"/>
      <c r="G2" s="130"/>
      <c r="H2" s="130"/>
      <c r="I2" s="130"/>
      <c r="J2" s="130"/>
      <c r="K2" s="28"/>
      <c r="L2" s="28"/>
    </row>
    <row r="3" spans="1:12" ht="6.75" customHeight="1">
      <c r="A3" s="126"/>
      <c r="B3" s="127"/>
      <c r="C3" s="127"/>
      <c r="D3" s="126"/>
      <c r="E3" s="126"/>
      <c r="F3" s="126"/>
      <c r="G3" s="126"/>
      <c r="H3" s="126"/>
      <c r="I3" s="126"/>
      <c r="J3" s="126"/>
      <c r="K3" s="26"/>
      <c r="L3" s="26"/>
    </row>
    <row r="4" spans="1:12" ht="14.45" thickBot="1">
      <c r="A4" s="126"/>
      <c r="B4" s="718"/>
      <c r="C4" s="718"/>
      <c r="D4" s="718"/>
      <c r="E4" s="313"/>
      <c r="F4" s="131" t="s">
        <v>220</v>
      </c>
      <c r="G4" s="126"/>
      <c r="H4" s="131" t="s">
        <v>221</v>
      </c>
      <c r="I4" s="126"/>
      <c r="J4" s="132" t="s">
        <v>260</v>
      </c>
      <c r="K4" s="26"/>
      <c r="L4" s="26"/>
    </row>
    <row r="5" spans="1:12" ht="14.45" thickBot="1">
      <c r="A5" s="126"/>
      <c r="B5" s="719" t="s">
        <v>261</v>
      </c>
      <c r="C5" s="719"/>
      <c r="D5" s="719"/>
      <c r="E5" s="313"/>
      <c r="F5" s="133">
        <f>SUM(F9:F23)</f>
        <v>1676787.7905682609</v>
      </c>
      <c r="G5" s="128"/>
      <c r="H5" s="133">
        <f>SUM(H9:H23)</f>
        <v>1483371.7138488539</v>
      </c>
      <c r="I5" s="126"/>
      <c r="J5" s="134">
        <f>SUM(J9:J23)</f>
        <v>193416.07671940682</v>
      </c>
      <c r="K5" s="26"/>
      <c r="L5" s="26"/>
    </row>
    <row r="6" spans="1:12" ht="6.75" customHeight="1" thickBot="1">
      <c r="A6" s="126"/>
      <c r="B6" s="135"/>
      <c r="C6" s="135"/>
      <c r="D6" s="135"/>
      <c r="E6" s="135"/>
      <c r="F6" s="126"/>
      <c r="G6" s="126"/>
      <c r="H6" s="126"/>
      <c r="I6" s="126"/>
      <c r="J6" s="126"/>
      <c r="K6" s="26"/>
      <c r="L6" s="26"/>
    </row>
    <row r="7" spans="1:12" ht="26.45" thickBot="1">
      <c r="A7" s="126"/>
      <c r="B7" s="136" t="s">
        <v>136</v>
      </c>
      <c r="C7" s="137"/>
      <c r="D7" s="136" t="s">
        <v>62</v>
      </c>
      <c r="E7" s="137"/>
      <c r="F7" s="138" t="s">
        <v>262</v>
      </c>
      <c r="G7" s="139"/>
      <c r="H7" s="138" t="s">
        <v>263</v>
      </c>
      <c r="I7" s="139"/>
      <c r="J7" s="138" t="s">
        <v>264</v>
      </c>
      <c r="K7" s="84"/>
      <c r="L7" s="29" t="s">
        <v>265</v>
      </c>
    </row>
    <row r="8" spans="1:12" ht="6.75" customHeight="1">
      <c r="A8" s="126"/>
      <c r="B8" s="127"/>
      <c r="C8" s="127"/>
      <c r="D8" s="126"/>
      <c r="E8" s="126"/>
      <c r="F8" s="126"/>
      <c r="G8" s="126"/>
      <c r="H8" s="126"/>
      <c r="I8" s="126"/>
      <c r="J8" s="126"/>
      <c r="K8" s="26"/>
      <c r="L8" s="26"/>
    </row>
    <row r="9" spans="1:12">
      <c r="A9" s="126"/>
      <c r="B9" s="140">
        <f>'Expenditure Breakdown'!L6</f>
        <v>1</v>
      </c>
      <c r="C9" s="129"/>
      <c r="D9" s="141" t="str">
        <f>'Expenditure Breakdown'!M6</f>
        <v>1. Panels</v>
      </c>
      <c r="E9" s="21"/>
      <c r="F9" s="142">
        <f>'Expenditure Breakdown'!I6</f>
        <v>525991.77120000008</v>
      </c>
      <c r="G9" s="21"/>
      <c r="H9" s="142">
        <f>'Expenditure Breakdown'!X6</f>
        <v>552500</v>
      </c>
      <c r="I9" s="23"/>
      <c r="J9" s="143">
        <f t="shared" ref="J9:J23" si="0">F9-H9</f>
        <v>-26508.228799999924</v>
      </c>
      <c r="K9" s="85"/>
      <c r="L9" s="159"/>
    </row>
    <row r="10" spans="1:12">
      <c r="A10" s="126"/>
      <c r="B10" s="140">
        <f>'Expenditure Breakdown'!L13</f>
        <v>2</v>
      </c>
      <c r="C10" s="129"/>
      <c r="D10" s="141" t="str">
        <f>'Expenditure Breakdown'!M13</f>
        <v>2. Inverters</v>
      </c>
      <c r="E10" s="21"/>
      <c r="F10" s="142">
        <f>'Expenditure Breakdown'!I13</f>
        <v>140000</v>
      </c>
      <c r="G10" s="21"/>
      <c r="H10" s="142">
        <f>'Expenditure Breakdown'!X13</f>
        <v>136000</v>
      </c>
      <c r="I10" s="23"/>
      <c r="J10" s="143">
        <f t="shared" si="0"/>
        <v>4000</v>
      </c>
      <c r="K10" s="85"/>
      <c r="L10" s="159"/>
    </row>
    <row r="11" spans="1:12">
      <c r="A11" s="126"/>
      <c r="B11" s="140">
        <f>'Expenditure Breakdown'!L21</f>
        <v>3</v>
      </c>
      <c r="C11" s="129"/>
      <c r="D11" s="141" t="str">
        <f>'Expenditure Breakdown'!M21</f>
        <v>3. Mounting Structures</v>
      </c>
      <c r="E11" s="144"/>
      <c r="F11" s="142">
        <f>'Expenditure Breakdown'!I21</f>
        <v>88288</v>
      </c>
      <c r="G11" s="21"/>
      <c r="H11" s="142">
        <f>'Expenditure Breakdown'!X21</f>
        <v>88288</v>
      </c>
      <c r="I11" s="23"/>
      <c r="J11" s="143">
        <f t="shared" si="0"/>
        <v>0</v>
      </c>
      <c r="K11" s="85"/>
      <c r="L11" s="159"/>
    </row>
    <row r="12" spans="1:12">
      <c r="A12" s="126"/>
      <c r="B12" s="140">
        <f>'Expenditure Breakdown'!L28</f>
        <v>4</v>
      </c>
      <c r="C12" s="129"/>
      <c r="D12" s="141" t="str">
        <f>'Expenditure Breakdown'!M28</f>
        <v>4. DC Equipment</v>
      </c>
      <c r="E12" s="144"/>
      <c r="F12" s="142">
        <f>'Expenditure Breakdown'!I28</f>
        <v>128357.1</v>
      </c>
      <c r="G12" s="21"/>
      <c r="H12" s="142">
        <f>'Expenditure Breakdown'!X28</f>
        <v>127202.03500000003</v>
      </c>
      <c r="I12" s="23"/>
      <c r="J12" s="143">
        <f t="shared" si="0"/>
        <v>1155.0649999999732</v>
      </c>
      <c r="K12" s="85"/>
      <c r="L12" s="159"/>
    </row>
    <row r="13" spans="1:12">
      <c r="A13" s="126"/>
      <c r="B13" s="140">
        <f>'Expenditure Breakdown'!L44</f>
        <v>5</v>
      </c>
      <c r="C13" s="129"/>
      <c r="D13" s="141" t="str">
        <f>'Expenditure Breakdown'!M44</f>
        <v>5. Monitoring</v>
      </c>
      <c r="E13" s="144"/>
      <c r="F13" s="142">
        <f>'Expenditure Breakdown'!I44</f>
        <v>49000</v>
      </c>
      <c r="G13" s="21"/>
      <c r="H13" s="142">
        <f>'Expenditure Breakdown'!X44</f>
        <v>49500</v>
      </c>
      <c r="I13" s="23"/>
      <c r="J13" s="143">
        <f t="shared" si="0"/>
        <v>-500</v>
      </c>
      <c r="K13" s="85"/>
      <c r="L13" s="159"/>
    </row>
    <row r="14" spans="1:12">
      <c r="A14" s="126"/>
      <c r="B14" s="140">
        <f>'Expenditure Breakdown'!L52</f>
        <v>6</v>
      </c>
      <c r="C14" s="129"/>
      <c r="D14" s="141" t="str">
        <f>'Expenditure Breakdown'!M52</f>
        <v>6. AC Equipment</v>
      </c>
      <c r="E14" s="144"/>
      <c r="F14" s="142">
        <f>'Expenditure Breakdown'!I52</f>
        <v>350472.95652173914</v>
      </c>
      <c r="G14" s="21"/>
      <c r="H14" s="142">
        <f>'Expenditure Breakdown'!X52</f>
        <v>190946.66304347824</v>
      </c>
      <c r="I14" s="23"/>
      <c r="J14" s="143">
        <f t="shared" si="0"/>
        <v>159526.29347826089</v>
      </c>
      <c r="K14" s="85"/>
      <c r="L14" s="159"/>
    </row>
    <row r="15" spans="1:12">
      <c r="A15" s="126"/>
      <c r="B15" s="140">
        <f>'Expenditure Breakdown'!L70</f>
        <v>7</v>
      </c>
      <c r="C15" s="129"/>
      <c r="D15" s="141" t="str">
        <f>'Expenditure Breakdown'!M70</f>
        <v>7.BESS</v>
      </c>
      <c r="E15" s="144"/>
      <c r="F15" s="142">
        <f>'Expenditure Breakdown'!I70</f>
        <v>0</v>
      </c>
      <c r="G15" s="21"/>
      <c r="H15" s="142">
        <f>'Expenditure Breakdown'!X70</f>
        <v>0</v>
      </c>
      <c r="I15" s="23"/>
      <c r="J15" s="143">
        <f t="shared" si="0"/>
        <v>0</v>
      </c>
      <c r="K15" s="85"/>
      <c r="L15" s="159"/>
    </row>
    <row r="16" spans="1:12">
      <c r="A16" s="126"/>
      <c r="B16" s="140">
        <f>'Expenditure Breakdown'!L79</f>
        <v>8</v>
      </c>
      <c r="C16" s="129"/>
      <c r="D16" s="141" t="str">
        <f>'Expenditure Breakdown'!M79</f>
        <v xml:space="preserve">8. Product Add On </v>
      </c>
      <c r="E16" s="144"/>
      <c r="F16" s="142">
        <f>'Expenditure Breakdown'!I79</f>
        <v>30000</v>
      </c>
      <c r="G16" s="21"/>
      <c r="H16" s="142">
        <f>'Expenditure Breakdown'!X79</f>
        <v>45000</v>
      </c>
      <c r="I16" s="23"/>
      <c r="J16" s="143">
        <f t="shared" si="0"/>
        <v>-15000</v>
      </c>
      <c r="K16" s="85"/>
      <c r="L16" s="159"/>
    </row>
    <row r="17" spans="1:12">
      <c r="A17" s="126"/>
      <c r="B17" s="140">
        <f>'Expenditure Breakdown'!L89</f>
        <v>9</v>
      </c>
      <c r="C17" s="129"/>
      <c r="D17" s="141" t="str">
        <f>'Expenditure Breakdown'!M89</f>
        <v>9. AC &amp; DC installation</v>
      </c>
      <c r="E17" s="144"/>
      <c r="F17" s="142">
        <f>'Expenditure Breakdown'!I89</f>
        <v>173550</v>
      </c>
      <c r="G17" s="21"/>
      <c r="H17" s="142">
        <f>'Expenditure Breakdown'!X89</f>
        <v>147517.5</v>
      </c>
      <c r="I17" s="23"/>
      <c r="J17" s="143">
        <f t="shared" si="0"/>
        <v>26032.5</v>
      </c>
      <c r="K17" s="85"/>
      <c r="L17" s="159"/>
    </row>
    <row r="18" spans="1:12">
      <c r="A18" s="126"/>
      <c r="B18" s="140">
        <f>'Expenditure Breakdown'!L102</f>
        <v>10</v>
      </c>
      <c r="C18" s="129"/>
      <c r="D18" s="141" t="str">
        <f>'Expenditure Breakdown'!M102</f>
        <v>10. Site Logistics</v>
      </c>
      <c r="E18" s="21"/>
      <c r="F18" s="142">
        <f>'Expenditure Breakdown'!I102</f>
        <v>39970.088888888888</v>
      </c>
      <c r="G18" s="21"/>
      <c r="H18" s="142">
        <f>'Expenditure Breakdown'!X102</f>
        <v>36494.575555555559</v>
      </c>
      <c r="I18" s="23"/>
      <c r="J18" s="143">
        <f t="shared" si="0"/>
        <v>3475.5133333333288</v>
      </c>
      <c r="K18" s="85"/>
      <c r="L18" s="159"/>
    </row>
    <row r="19" spans="1:12">
      <c r="A19" s="126"/>
      <c r="B19" s="140">
        <f>'Expenditure Breakdown'!L118</f>
        <v>11</v>
      </c>
      <c r="C19" s="129"/>
      <c r="D19" s="141" t="str">
        <f>'Expenditure Breakdown'!M118</f>
        <v>11. Due Dilligence</v>
      </c>
      <c r="E19" s="21"/>
      <c r="F19" s="142">
        <f>'Expenditure Breakdown'!I118</f>
        <v>89000</v>
      </c>
      <c r="G19" s="21"/>
      <c r="H19" s="142">
        <f>'Expenditure Breakdown'!X118</f>
        <v>77000</v>
      </c>
      <c r="I19" s="23"/>
      <c r="J19" s="143">
        <f t="shared" si="0"/>
        <v>12000</v>
      </c>
      <c r="K19" s="85"/>
      <c r="L19" s="159"/>
    </row>
    <row r="20" spans="1:12">
      <c r="A20" s="126"/>
      <c r="B20" s="140">
        <f>'Expenditure Breakdown'!L124</f>
        <v>12</v>
      </c>
      <c r="C20" s="129"/>
      <c r="D20" s="141" t="str">
        <f>'Expenditure Breakdown'!M124</f>
        <v>12. BDP Commission</v>
      </c>
      <c r="E20" s="21"/>
      <c r="F20" s="142">
        <f>'Expenditure Breakdown'!I124</f>
        <v>0</v>
      </c>
      <c r="G20" s="21"/>
      <c r="H20" s="142">
        <f>'Expenditure Breakdown'!X124</f>
        <v>0</v>
      </c>
      <c r="I20" s="23"/>
      <c r="J20" s="143">
        <f t="shared" si="0"/>
        <v>0</v>
      </c>
      <c r="K20" s="85"/>
      <c r="L20" s="159"/>
    </row>
    <row r="21" spans="1:12">
      <c r="A21" s="126"/>
      <c r="B21" s="140">
        <f>'Expenditure Breakdown'!L127</f>
        <v>13</v>
      </c>
      <c r="C21" s="129"/>
      <c r="D21" s="141" t="str">
        <f>'Expenditure Breakdown'!M128</f>
        <v>13. Engineering</v>
      </c>
      <c r="E21" s="21"/>
      <c r="F21" s="142">
        <f>'Expenditure Breakdown'!I127</f>
        <v>19807.873957632852</v>
      </c>
      <c r="G21" s="21"/>
      <c r="H21" s="142">
        <f>'Expenditure Breakdown'!X127</f>
        <v>25572.940249820298</v>
      </c>
      <c r="I21" s="23"/>
      <c r="J21" s="143">
        <f t="shared" si="0"/>
        <v>-5765.0662921874464</v>
      </c>
      <c r="K21" s="85"/>
      <c r="L21" s="159"/>
    </row>
    <row r="22" spans="1:12">
      <c r="A22" s="126"/>
      <c r="B22" s="140">
        <f>'Expenditure Breakdown'!L134</f>
        <v>14</v>
      </c>
      <c r="C22" s="129"/>
      <c r="D22" s="141" t="str">
        <f>'Expenditure Breakdown'!M134</f>
        <v>14. General Expenses</v>
      </c>
      <c r="E22" s="21"/>
      <c r="F22" s="142">
        <f>'Expenditure Breakdown'!I134</f>
        <v>42350</v>
      </c>
      <c r="G22" s="21"/>
      <c r="H22" s="142">
        <f>'Expenditure Breakdown'!X134</f>
        <v>7350</v>
      </c>
      <c r="I22" s="23"/>
      <c r="J22" s="143">
        <f t="shared" si="0"/>
        <v>35000</v>
      </c>
      <c r="K22" s="85"/>
      <c r="L22" s="159"/>
    </row>
    <row r="23" spans="1:12">
      <c r="A23" s="126"/>
      <c r="B23" s="140">
        <f>'Expenditure Breakdown'!L147</f>
        <v>15</v>
      </c>
      <c r="C23" s="129"/>
      <c r="D23" s="141" t="str">
        <f>'Expenditure Breakdown'!M147</f>
        <v>15. Service Add On</v>
      </c>
      <c r="E23" s="21"/>
      <c r="F23" s="142">
        <f>'Expenditure Breakdown'!I147</f>
        <v>0</v>
      </c>
      <c r="G23" s="21"/>
      <c r="H23" s="142">
        <f>'Expenditure Breakdown'!X147</f>
        <v>0</v>
      </c>
      <c r="I23" s="23"/>
      <c r="J23" s="143">
        <f t="shared" si="0"/>
        <v>0</v>
      </c>
      <c r="K23" s="85"/>
      <c r="L23" s="159"/>
    </row>
    <row r="24" spans="1:12" ht="6.75" customHeight="1">
      <c r="A24" s="126"/>
      <c r="B24" s="22"/>
      <c r="C24" s="22"/>
      <c r="D24" s="21"/>
      <c r="E24" s="21"/>
      <c r="F24" s="21"/>
      <c r="G24" s="21"/>
      <c r="H24" s="23"/>
      <c r="I24" s="23"/>
      <c r="J24" s="23"/>
      <c r="K24" s="85"/>
      <c r="L24" s="26"/>
    </row>
    <row r="25" spans="1:12" ht="15" customHeight="1">
      <c r="A25" s="126"/>
      <c r="B25" s="22"/>
      <c r="C25" s="22"/>
      <c r="D25" s="145" t="s">
        <v>266</v>
      </c>
      <c r="E25" s="21"/>
      <c r="F25" s="146">
        <f>'Expenditure Breakdown'!I2-'Expenditure Tracking'!F5</f>
        <v>0</v>
      </c>
      <c r="G25" s="146" t="e">
        <f>#REF!-G5</f>
        <v>#REF!</v>
      </c>
      <c r="H25" s="146">
        <f>'Expenditure Breakdown'!X2-H5</f>
        <v>0</v>
      </c>
      <c r="I25" s="23"/>
      <c r="J25" s="147"/>
      <c r="K25" s="85"/>
      <c r="L25" s="26"/>
    </row>
    <row r="26" spans="1:12" s="1" customFormat="1">
      <c r="B26" s="25"/>
      <c r="C26" s="25"/>
    </row>
    <row r="27" spans="1:12">
      <c r="A27" s="26"/>
      <c r="B27" s="27"/>
      <c r="C27" s="27"/>
      <c r="D27" s="26"/>
      <c r="E27" s="26"/>
      <c r="F27" s="26"/>
      <c r="G27" s="26"/>
      <c r="H27" s="26"/>
      <c r="I27" s="26"/>
      <c r="J27" s="26"/>
      <c r="K27" s="26"/>
      <c r="L27" s="26"/>
    </row>
    <row r="28" spans="1:12">
      <c r="A28" s="26"/>
      <c r="B28" s="27"/>
      <c r="C28" s="27"/>
      <c r="D28" s="26"/>
      <c r="E28" s="26"/>
      <c r="F28" s="26"/>
      <c r="G28" s="26"/>
      <c r="H28" s="26"/>
      <c r="I28" s="26"/>
      <c r="J28" s="26"/>
      <c r="K28" s="26"/>
      <c r="L28" s="26"/>
    </row>
    <row r="29" spans="1:12">
      <c r="A29" s="26"/>
      <c r="B29" s="27"/>
      <c r="C29" s="27"/>
      <c r="E29" s="26"/>
      <c r="F29" s="26"/>
      <c r="G29" s="26"/>
      <c r="H29" s="26"/>
      <c r="I29" s="26"/>
      <c r="J29" s="26"/>
      <c r="K29" s="26"/>
      <c r="L29" s="26"/>
    </row>
    <row r="30" spans="1:12">
      <c r="A30" s="26"/>
      <c r="B30" s="27"/>
      <c r="C30" s="27"/>
      <c r="D30" s="26"/>
      <c r="E30" s="26"/>
      <c r="F30" s="26"/>
      <c r="G30" s="26"/>
      <c r="H30" s="26"/>
      <c r="I30" s="26"/>
      <c r="J30" s="26"/>
      <c r="K30" s="26"/>
      <c r="L30" s="26"/>
    </row>
    <row r="31" spans="1:12">
      <c r="A31" s="26"/>
      <c r="B31" s="27"/>
      <c r="C31" s="27"/>
      <c r="D31" s="26"/>
      <c r="E31" s="26"/>
      <c r="F31" s="26"/>
      <c r="G31" s="26"/>
      <c r="H31" s="26"/>
      <c r="I31" s="26"/>
      <c r="J31" s="26"/>
      <c r="K31" s="26"/>
      <c r="L31" s="26"/>
    </row>
    <row r="32" spans="1:12">
      <c r="A32" s="26"/>
      <c r="B32" s="27"/>
      <c r="C32" s="27"/>
      <c r="D32" s="26"/>
      <c r="E32" s="26"/>
      <c r="F32" s="26"/>
      <c r="G32" s="26"/>
      <c r="H32" s="26"/>
      <c r="I32" s="26"/>
      <c r="J32" s="26"/>
      <c r="K32" s="26"/>
      <c r="L32" s="26"/>
    </row>
    <row r="33" spans="1:12">
      <c r="A33" s="26"/>
      <c r="B33" s="27"/>
      <c r="C33" s="27"/>
      <c r="D33" s="26"/>
      <c r="E33" s="26"/>
      <c r="F33" s="26"/>
      <c r="G33" s="26"/>
      <c r="H33" s="26"/>
      <c r="I33" s="26"/>
      <c r="J33" s="26"/>
      <c r="K33" s="26"/>
      <c r="L33" s="26"/>
    </row>
    <row r="34" spans="1:12">
      <c r="A34" s="26"/>
      <c r="B34" s="27"/>
      <c r="C34" s="27"/>
      <c r="D34" s="26"/>
      <c r="E34" s="26"/>
      <c r="F34" s="26"/>
      <c r="G34" s="26"/>
      <c r="H34" s="26"/>
      <c r="I34" s="26"/>
      <c r="J34" s="26"/>
      <c r="K34" s="26"/>
      <c r="L34" s="26"/>
    </row>
    <row r="35" spans="1:12">
      <c r="A35" s="26"/>
      <c r="B35" s="27"/>
      <c r="C35" s="27"/>
      <c r="D35" s="26"/>
      <c r="E35" s="26"/>
      <c r="F35" s="26"/>
      <c r="G35" s="26"/>
      <c r="H35" s="26"/>
      <c r="I35" s="26"/>
      <c r="J35" s="26"/>
      <c r="K35" s="26"/>
      <c r="L35" s="26"/>
    </row>
    <row r="36" spans="1:12">
      <c r="A36" s="26"/>
      <c r="B36" s="27"/>
      <c r="C36" s="27"/>
      <c r="D36" s="26"/>
      <c r="E36" s="26"/>
      <c r="F36" s="26"/>
      <c r="G36" s="26"/>
      <c r="H36" s="26"/>
      <c r="I36" s="26"/>
      <c r="J36" s="26"/>
      <c r="K36" s="26"/>
      <c r="L36" s="26"/>
    </row>
    <row r="37" spans="1:12">
      <c r="A37" s="26"/>
      <c r="B37" s="27"/>
      <c r="C37" s="27"/>
      <c r="D37" s="26"/>
      <c r="E37" s="26"/>
      <c r="F37" s="26"/>
      <c r="G37" s="26"/>
      <c r="H37" s="26"/>
      <c r="I37" s="26"/>
      <c r="J37" s="26"/>
      <c r="K37" s="26"/>
      <c r="L37" s="26"/>
    </row>
    <row r="38" spans="1:12">
      <c r="A38" s="26"/>
      <c r="B38" s="27"/>
      <c r="C38" s="27"/>
      <c r="D38" s="26"/>
      <c r="E38" s="26"/>
      <c r="F38" s="26"/>
      <c r="G38" s="26"/>
      <c r="H38" s="26"/>
      <c r="I38" s="26"/>
      <c r="J38" s="26"/>
      <c r="K38" s="26"/>
      <c r="L38" s="26"/>
    </row>
    <row r="39" spans="1:12" s="26" customFormat="1">
      <c r="B39" s="27"/>
      <c r="C39" s="27"/>
    </row>
    <row r="40" spans="1:12" s="26" customFormat="1">
      <c r="B40" s="27"/>
      <c r="C40" s="27"/>
    </row>
    <row r="41" spans="1:12" s="26" customFormat="1">
      <c r="B41" s="27"/>
      <c r="C41" s="27"/>
    </row>
    <row r="42" spans="1:12" s="26" customFormat="1">
      <c r="B42" s="27"/>
      <c r="C42" s="27"/>
    </row>
    <row r="43" spans="1:12" s="26" customFormat="1">
      <c r="B43" s="27"/>
      <c r="C43" s="27"/>
    </row>
    <row r="44" spans="1:12" s="26" customFormat="1">
      <c r="B44" s="27"/>
      <c r="C44" s="27"/>
    </row>
    <row r="45" spans="1:12" s="26" customFormat="1">
      <c r="B45" s="27"/>
      <c r="C45" s="27"/>
    </row>
    <row r="46" spans="1:12" s="26" customFormat="1">
      <c r="B46" s="27"/>
      <c r="C46" s="27"/>
    </row>
    <row r="47" spans="1:12" s="26" customFormat="1">
      <c r="B47" s="27"/>
      <c r="C47" s="27"/>
    </row>
    <row r="48" spans="1:12" s="26" customFormat="1">
      <c r="B48" s="27"/>
      <c r="C48" s="27"/>
    </row>
    <row r="49" spans="2:3" s="26" customFormat="1">
      <c r="B49" s="27"/>
      <c r="C49" s="27"/>
    </row>
    <row r="50" spans="2:3" s="26" customFormat="1">
      <c r="B50" s="27"/>
      <c r="C50" s="27"/>
    </row>
    <row r="51" spans="2:3" s="26" customFormat="1">
      <c r="B51" s="27"/>
      <c r="C51" s="27"/>
    </row>
    <row r="52" spans="2:3" s="26" customFormat="1">
      <c r="B52" s="27"/>
      <c r="C52" s="27"/>
    </row>
    <row r="53" spans="2:3" s="26" customFormat="1">
      <c r="B53" s="27"/>
      <c r="C53" s="27"/>
    </row>
    <row r="54" spans="2:3" s="26" customFormat="1">
      <c r="B54" s="27"/>
      <c r="C54" s="27"/>
    </row>
    <row r="55" spans="2:3" s="26" customFormat="1">
      <c r="B55" s="27"/>
      <c r="C55" s="27"/>
    </row>
    <row r="56" spans="2:3" s="26" customFormat="1">
      <c r="B56" s="27"/>
      <c r="C56" s="27"/>
    </row>
    <row r="57" spans="2:3" s="26" customFormat="1">
      <c r="B57" s="27"/>
      <c r="C57" s="27"/>
    </row>
    <row r="58" spans="2:3" s="26" customFormat="1">
      <c r="B58" s="27"/>
      <c r="C58" s="27"/>
    </row>
    <row r="59" spans="2:3" s="26" customFormat="1">
      <c r="B59" s="27"/>
      <c r="C59" s="27"/>
    </row>
    <row r="60" spans="2:3" s="26" customFormat="1">
      <c r="B60" s="27"/>
      <c r="C60" s="27"/>
    </row>
    <row r="61" spans="2:3" s="26" customFormat="1">
      <c r="B61" s="27"/>
      <c r="C61" s="27"/>
    </row>
    <row r="62" spans="2:3" s="26" customFormat="1">
      <c r="B62" s="27"/>
      <c r="C62" s="27"/>
    </row>
    <row r="63" spans="2:3" s="26" customFormat="1">
      <c r="B63" s="27"/>
      <c r="C63" s="27"/>
    </row>
    <row r="64" spans="2:3" s="26" customFormat="1">
      <c r="B64" s="27"/>
      <c r="C64" s="27"/>
    </row>
    <row r="65" spans="2:3" s="26" customFormat="1">
      <c r="B65" s="27"/>
      <c r="C65" s="27"/>
    </row>
    <row r="66" spans="2:3" s="26" customFormat="1">
      <c r="B66" s="27"/>
      <c r="C66" s="27"/>
    </row>
    <row r="67" spans="2:3" s="26" customFormat="1">
      <c r="B67" s="27"/>
      <c r="C67" s="27"/>
    </row>
    <row r="68" spans="2:3" s="26" customFormat="1">
      <c r="B68" s="27"/>
      <c r="C68" s="27"/>
    </row>
    <row r="69" spans="2:3" s="26" customFormat="1">
      <c r="B69" s="27"/>
      <c r="C69" s="27"/>
    </row>
    <row r="70" spans="2:3" s="26" customFormat="1">
      <c r="B70" s="27"/>
      <c r="C70" s="27"/>
    </row>
    <row r="71" spans="2:3" s="26" customFormat="1">
      <c r="B71" s="27"/>
      <c r="C71" s="27"/>
    </row>
    <row r="72" spans="2:3" s="26" customFormat="1">
      <c r="B72" s="27"/>
      <c r="C72" s="27"/>
    </row>
    <row r="73" spans="2:3" s="26" customFormat="1">
      <c r="B73" s="27"/>
      <c r="C73" s="27"/>
    </row>
    <row r="74" spans="2:3" s="26" customFormat="1">
      <c r="B74" s="27"/>
      <c r="C74" s="27"/>
    </row>
    <row r="75" spans="2:3" s="26" customFormat="1">
      <c r="B75" s="27"/>
      <c r="C75" s="27"/>
    </row>
    <row r="76" spans="2:3" s="26" customFormat="1">
      <c r="B76" s="27"/>
      <c r="C76" s="27"/>
    </row>
    <row r="77" spans="2:3" s="26" customFormat="1">
      <c r="B77" s="27"/>
      <c r="C77" s="27"/>
    </row>
    <row r="78" spans="2:3" s="26" customFormat="1">
      <c r="B78" s="27"/>
      <c r="C78" s="27"/>
    </row>
    <row r="79" spans="2:3" s="26" customFormat="1">
      <c r="B79" s="27"/>
      <c r="C79" s="27"/>
    </row>
    <row r="80" spans="2:3" s="26" customFormat="1">
      <c r="B80" s="27"/>
      <c r="C80" s="27"/>
    </row>
    <row r="81" spans="2:3" s="26" customFormat="1">
      <c r="B81" s="27"/>
      <c r="C81" s="27"/>
    </row>
    <row r="82" spans="2:3" s="26" customFormat="1">
      <c r="B82" s="27"/>
      <c r="C82" s="27"/>
    </row>
    <row r="83" spans="2:3" s="26" customFormat="1">
      <c r="B83" s="27"/>
      <c r="C83" s="27"/>
    </row>
    <row r="84" spans="2:3" s="26" customFormat="1">
      <c r="B84" s="27"/>
      <c r="C84" s="27"/>
    </row>
    <row r="85" spans="2:3" s="26" customFormat="1">
      <c r="B85" s="27"/>
      <c r="C85" s="27"/>
    </row>
    <row r="86" spans="2:3" s="26" customFormat="1">
      <c r="B86" s="27"/>
      <c r="C86" s="27"/>
    </row>
    <row r="87" spans="2:3" s="26" customFormat="1">
      <c r="B87" s="27"/>
      <c r="C87" s="27"/>
    </row>
    <row r="88" spans="2:3" s="26" customFormat="1">
      <c r="B88" s="27"/>
      <c r="C88" s="27"/>
    </row>
    <row r="89" spans="2:3" s="26" customFormat="1">
      <c r="B89" s="27"/>
      <c r="C89" s="27"/>
    </row>
    <row r="90" spans="2:3" s="26" customFormat="1">
      <c r="B90" s="27"/>
      <c r="C90" s="27"/>
    </row>
    <row r="91" spans="2:3" s="26" customFormat="1">
      <c r="B91" s="27"/>
      <c r="C91" s="27"/>
    </row>
    <row r="92" spans="2:3" s="26" customFormat="1">
      <c r="B92" s="27"/>
      <c r="C92" s="27"/>
    </row>
    <row r="93" spans="2:3" s="26" customFormat="1">
      <c r="B93" s="27"/>
      <c r="C93" s="27"/>
    </row>
    <row r="94" spans="2:3" s="26" customFormat="1">
      <c r="B94" s="27"/>
      <c r="C94" s="27"/>
    </row>
    <row r="95" spans="2:3" s="26" customFormat="1">
      <c r="B95" s="27"/>
      <c r="C95" s="27"/>
    </row>
    <row r="96" spans="2:3" s="26" customFormat="1">
      <c r="B96" s="27"/>
      <c r="C96" s="27"/>
    </row>
    <row r="97" spans="2:3" s="26" customFormat="1">
      <c r="B97" s="27"/>
      <c r="C97" s="27"/>
    </row>
    <row r="98" spans="2:3" s="26" customFormat="1">
      <c r="B98" s="27"/>
      <c r="C98" s="27"/>
    </row>
    <row r="99" spans="2:3" s="26" customFormat="1">
      <c r="B99" s="27"/>
      <c r="C99" s="27"/>
    </row>
    <row r="100" spans="2:3" s="26" customFormat="1">
      <c r="B100" s="27"/>
      <c r="C100" s="27"/>
    </row>
    <row r="101" spans="2:3" s="26" customFormat="1">
      <c r="B101" s="27"/>
      <c r="C101" s="27"/>
    </row>
    <row r="102" spans="2:3" s="26" customFormat="1">
      <c r="B102" s="27"/>
      <c r="C102" s="27"/>
    </row>
    <row r="103" spans="2:3" s="26" customFormat="1">
      <c r="B103" s="27"/>
      <c r="C103" s="27"/>
    </row>
    <row r="104" spans="2:3" s="26" customFormat="1">
      <c r="B104" s="27"/>
      <c r="C104" s="27"/>
    </row>
    <row r="105" spans="2:3" s="26" customFormat="1">
      <c r="B105" s="27"/>
      <c r="C105" s="27"/>
    </row>
    <row r="106" spans="2:3" s="26" customFormat="1">
      <c r="B106" s="27"/>
      <c r="C106" s="27"/>
    </row>
    <row r="107" spans="2:3" s="26" customFormat="1">
      <c r="B107" s="27"/>
      <c r="C107" s="27"/>
    </row>
    <row r="108" spans="2:3" s="26" customFormat="1">
      <c r="B108" s="27"/>
      <c r="C108" s="27"/>
    </row>
    <row r="109" spans="2:3" s="26" customFormat="1">
      <c r="B109" s="27"/>
      <c r="C109" s="27"/>
    </row>
    <row r="110" spans="2:3" s="26" customFormat="1">
      <c r="B110" s="27"/>
      <c r="C110" s="27"/>
    </row>
    <row r="111" spans="2:3" s="26" customFormat="1">
      <c r="B111" s="27"/>
      <c r="C111" s="27"/>
    </row>
    <row r="112" spans="2:3" s="26" customFormat="1">
      <c r="B112" s="27"/>
      <c r="C112" s="27"/>
    </row>
    <row r="113" spans="2:3" s="26" customFormat="1">
      <c r="B113" s="27"/>
      <c r="C113" s="27"/>
    </row>
    <row r="114" spans="2:3" s="26" customFormat="1">
      <c r="B114" s="27"/>
      <c r="C114" s="27"/>
    </row>
    <row r="115" spans="2:3" s="26" customFormat="1">
      <c r="B115" s="27"/>
      <c r="C115" s="27"/>
    </row>
    <row r="116" spans="2:3" s="26" customFormat="1">
      <c r="B116" s="27"/>
      <c r="C116" s="27"/>
    </row>
    <row r="117" spans="2:3" s="26" customFormat="1">
      <c r="B117" s="27"/>
      <c r="C117" s="27"/>
    </row>
    <row r="118" spans="2:3" s="26" customFormat="1">
      <c r="B118" s="27"/>
      <c r="C118" s="27"/>
    </row>
    <row r="119" spans="2:3" s="26" customFormat="1">
      <c r="B119" s="27"/>
      <c r="C119" s="27"/>
    </row>
    <row r="120" spans="2:3" s="26" customFormat="1">
      <c r="B120" s="27"/>
      <c r="C120" s="27"/>
    </row>
    <row r="121" spans="2:3" s="26" customFormat="1">
      <c r="B121" s="27"/>
      <c r="C121" s="27"/>
    </row>
    <row r="122" spans="2:3" s="26" customFormat="1">
      <c r="B122" s="27"/>
      <c r="C122" s="27"/>
    </row>
    <row r="123" spans="2:3" s="26" customFormat="1">
      <c r="B123" s="27"/>
      <c r="C123" s="27"/>
    </row>
    <row r="124" spans="2:3" s="26" customFormat="1">
      <c r="B124" s="27"/>
      <c r="C124" s="27"/>
    </row>
    <row r="125" spans="2:3" s="26" customFormat="1">
      <c r="B125" s="27"/>
      <c r="C125" s="27"/>
    </row>
    <row r="126" spans="2:3" s="26" customFormat="1">
      <c r="B126" s="27"/>
      <c r="C126" s="27"/>
    </row>
    <row r="127" spans="2:3" s="26" customFormat="1">
      <c r="B127" s="27"/>
      <c r="C127" s="27"/>
    </row>
    <row r="128" spans="2:3" s="26" customFormat="1">
      <c r="B128" s="27"/>
      <c r="C128" s="27"/>
    </row>
    <row r="129" spans="2:3" s="26" customFormat="1">
      <c r="B129" s="27"/>
      <c r="C129" s="27"/>
    </row>
    <row r="130" spans="2:3" s="26" customFormat="1">
      <c r="B130" s="27"/>
      <c r="C130" s="27"/>
    </row>
    <row r="131" spans="2:3" s="26" customFormat="1">
      <c r="B131" s="27"/>
      <c r="C131" s="27"/>
    </row>
    <row r="132" spans="2:3" s="26" customFormat="1">
      <c r="B132" s="27"/>
      <c r="C132" s="27"/>
    </row>
    <row r="133" spans="2:3" s="26" customFormat="1">
      <c r="B133" s="27"/>
      <c r="C133" s="27"/>
    </row>
    <row r="134" spans="2:3" s="26" customFormat="1">
      <c r="B134" s="27"/>
      <c r="C134" s="27"/>
    </row>
    <row r="135" spans="2:3" s="26" customFormat="1">
      <c r="B135" s="27"/>
      <c r="C135" s="27"/>
    </row>
    <row r="136" spans="2:3" s="26" customFormat="1">
      <c r="B136" s="27"/>
      <c r="C136" s="27"/>
    </row>
    <row r="137" spans="2:3" s="26" customFormat="1">
      <c r="B137" s="27"/>
      <c r="C137" s="27"/>
    </row>
    <row r="138" spans="2:3" s="26" customFormat="1">
      <c r="B138" s="27"/>
      <c r="C138" s="27"/>
    </row>
    <row r="139" spans="2:3" s="26" customFormat="1">
      <c r="B139" s="27"/>
      <c r="C139" s="27"/>
    </row>
    <row r="140" spans="2:3" s="26" customFormat="1">
      <c r="B140" s="27"/>
      <c r="C140" s="27"/>
    </row>
    <row r="141" spans="2:3" s="26" customFormat="1">
      <c r="B141" s="27"/>
      <c r="C141" s="27"/>
    </row>
    <row r="142" spans="2:3" s="26" customFormat="1">
      <c r="B142" s="27"/>
      <c r="C142" s="27"/>
    </row>
    <row r="143" spans="2:3" s="26" customFormat="1">
      <c r="B143" s="27"/>
      <c r="C143" s="27"/>
    </row>
    <row r="144" spans="2:3" s="26" customFormat="1">
      <c r="B144" s="27"/>
      <c r="C144" s="27"/>
    </row>
    <row r="145" spans="2:3" s="26" customFormat="1">
      <c r="B145" s="27"/>
      <c r="C145" s="27"/>
    </row>
    <row r="146" spans="2:3" s="26" customFormat="1">
      <c r="B146" s="27"/>
      <c r="C146" s="27"/>
    </row>
    <row r="147" spans="2:3" s="26" customFormat="1">
      <c r="B147" s="27"/>
      <c r="C147" s="27"/>
    </row>
    <row r="148" spans="2:3" s="26" customFormat="1">
      <c r="B148" s="27"/>
      <c r="C148" s="27"/>
    </row>
    <row r="149" spans="2:3" s="26" customFormat="1">
      <c r="B149" s="27"/>
      <c r="C149" s="27"/>
    </row>
    <row r="150" spans="2:3" s="26" customFormat="1">
      <c r="B150" s="27"/>
      <c r="C150" s="27"/>
    </row>
    <row r="151" spans="2:3" s="26" customFormat="1">
      <c r="B151" s="27"/>
      <c r="C151" s="27"/>
    </row>
    <row r="152" spans="2:3" s="26" customFormat="1">
      <c r="B152" s="27"/>
      <c r="C152" s="27"/>
    </row>
    <row r="153" spans="2:3" s="26" customFormat="1">
      <c r="B153" s="27"/>
      <c r="C153" s="27"/>
    </row>
    <row r="154" spans="2:3" s="26" customFormat="1">
      <c r="B154" s="27"/>
      <c r="C154" s="27"/>
    </row>
    <row r="155" spans="2:3" s="26" customFormat="1">
      <c r="B155" s="27"/>
      <c r="C155" s="27"/>
    </row>
    <row r="156" spans="2:3" s="26" customFormat="1">
      <c r="B156" s="27"/>
      <c r="C156" s="27"/>
    </row>
    <row r="157" spans="2:3" s="26" customFormat="1">
      <c r="B157" s="27"/>
      <c r="C157" s="27"/>
    </row>
    <row r="158" spans="2:3" s="26" customFormat="1">
      <c r="B158" s="27"/>
      <c r="C158" s="27"/>
    </row>
    <row r="159" spans="2:3" s="26" customFormat="1">
      <c r="B159" s="27"/>
      <c r="C159" s="27"/>
    </row>
    <row r="160" spans="2:3" s="26" customFormat="1">
      <c r="B160" s="27"/>
      <c r="C160" s="27"/>
    </row>
    <row r="161" spans="2:3" s="26" customFormat="1">
      <c r="B161" s="27"/>
      <c r="C161" s="27"/>
    </row>
    <row r="162" spans="2:3" s="26" customFormat="1">
      <c r="B162" s="27"/>
      <c r="C162" s="27"/>
    </row>
    <row r="163" spans="2:3" s="26" customFormat="1">
      <c r="B163" s="27"/>
      <c r="C163" s="27"/>
    </row>
    <row r="164" spans="2:3" s="26" customFormat="1">
      <c r="B164" s="27"/>
      <c r="C164" s="27"/>
    </row>
    <row r="165" spans="2:3" s="26" customFormat="1">
      <c r="B165" s="27"/>
      <c r="C165" s="27"/>
    </row>
    <row r="166" spans="2:3" s="26" customFormat="1">
      <c r="B166" s="27"/>
      <c r="C166" s="27"/>
    </row>
    <row r="167" spans="2:3" s="26" customFormat="1">
      <c r="B167" s="27"/>
      <c r="C167" s="27"/>
    </row>
    <row r="168" spans="2:3" s="26" customFormat="1">
      <c r="B168" s="27"/>
      <c r="C168" s="27"/>
    </row>
    <row r="169" spans="2:3" s="26" customFormat="1">
      <c r="B169" s="27"/>
      <c r="C169" s="27"/>
    </row>
    <row r="170" spans="2:3" s="26" customFormat="1">
      <c r="B170" s="27"/>
      <c r="C170" s="27"/>
    </row>
    <row r="171" spans="2:3" s="26" customFormat="1">
      <c r="B171" s="27"/>
      <c r="C171" s="27"/>
    </row>
    <row r="172" spans="2:3" s="26" customFormat="1">
      <c r="B172" s="27"/>
      <c r="C172" s="27"/>
    </row>
    <row r="173" spans="2:3" s="26" customFormat="1">
      <c r="B173" s="27"/>
      <c r="C173" s="27"/>
    </row>
    <row r="174" spans="2:3" s="26" customFormat="1">
      <c r="B174" s="27"/>
      <c r="C174" s="27"/>
    </row>
    <row r="175" spans="2:3" s="26" customFormat="1">
      <c r="B175" s="27"/>
      <c r="C175" s="27"/>
    </row>
    <row r="176" spans="2:3" s="26" customFormat="1">
      <c r="B176" s="27"/>
      <c r="C176" s="27"/>
    </row>
    <row r="177" spans="2:3" s="26" customFormat="1">
      <c r="B177" s="27"/>
      <c r="C177" s="27"/>
    </row>
    <row r="178" spans="2:3" s="26" customFormat="1">
      <c r="B178" s="27"/>
      <c r="C178" s="27"/>
    </row>
    <row r="179" spans="2:3" s="26" customFormat="1">
      <c r="B179" s="27"/>
      <c r="C179" s="27"/>
    </row>
    <row r="180" spans="2:3" s="26" customFormat="1">
      <c r="B180" s="27"/>
      <c r="C180" s="27"/>
    </row>
    <row r="181" spans="2:3" s="26" customFormat="1">
      <c r="B181" s="27"/>
      <c r="C181" s="27"/>
    </row>
    <row r="182" spans="2:3" s="26" customFormat="1">
      <c r="B182" s="27"/>
      <c r="C182" s="27"/>
    </row>
    <row r="183" spans="2:3" s="26" customFormat="1">
      <c r="B183" s="27"/>
      <c r="C183" s="27"/>
    </row>
    <row r="184" spans="2:3" s="26" customFormat="1">
      <c r="B184" s="27"/>
      <c r="C184" s="27"/>
    </row>
    <row r="185" spans="2:3" s="26" customFormat="1">
      <c r="B185" s="27"/>
      <c r="C185" s="27"/>
    </row>
    <row r="186" spans="2:3" s="26" customFormat="1">
      <c r="B186" s="27"/>
      <c r="C186" s="27"/>
    </row>
    <row r="187" spans="2:3" s="26" customFormat="1">
      <c r="B187" s="27"/>
      <c r="C187" s="27"/>
    </row>
    <row r="188" spans="2:3" s="26" customFormat="1">
      <c r="B188" s="27"/>
      <c r="C188" s="27"/>
    </row>
    <row r="189" spans="2:3" s="26" customFormat="1">
      <c r="B189" s="27"/>
      <c r="C189" s="27"/>
    </row>
    <row r="190" spans="2:3" s="26" customFormat="1">
      <c r="B190" s="27"/>
      <c r="C190" s="27"/>
    </row>
    <row r="191" spans="2:3" s="26" customFormat="1">
      <c r="B191" s="27"/>
      <c r="C191" s="27"/>
    </row>
    <row r="192" spans="2:3" s="26" customFormat="1">
      <c r="B192" s="27"/>
      <c r="C192" s="27"/>
    </row>
    <row r="193" spans="2:3" s="26" customFormat="1">
      <c r="B193" s="27"/>
      <c r="C193" s="27"/>
    </row>
    <row r="194" spans="2:3" s="26" customFormat="1">
      <c r="B194" s="27"/>
      <c r="C194" s="27"/>
    </row>
    <row r="195" spans="2:3" s="26" customFormat="1">
      <c r="B195" s="27"/>
      <c r="C195" s="27"/>
    </row>
    <row r="196" spans="2:3" s="26" customFormat="1">
      <c r="B196" s="27"/>
      <c r="C196" s="27"/>
    </row>
  </sheetData>
  <sheetProtection formatCells="0" formatColumns="0" formatRows="0" insertColumns="0" insertRows="0" insertHyperlinks="0" deleteColumns="0" deleteRows="0" sort="0" autoFilter="0" pivotTables="0"/>
  <mergeCells count="2">
    <mergeCell ref="B4:D4"/>
    <mergeCell ref="B5:D5"/>
  </mergeCells>
  <conditionalFormatting sqref="F25">
    <cfRule type="cellIs" dxfId="9" priority="5" operator="notEqual">
      <formula>0</formula>
    </cfRule>
  </conditionalFormatting>
  <conditionalFormatting sqref="H25">
    <cfRule type="cellIs" dxfId="8" priority="4" operator="notEqual">
      <formula>0</formula>
    </cfRule>
  </conditionalFormatting>
  <conditionalFormatting sqref="J5 J9:J23">
    <cfRule type="cellIs" dxfId="7" priority="1" operator="lessThan">
      <formula>0</formula>
    </cfRule>
    <cfRule type="cellIs" dxfId="6" priority="2" operator="greaterThanOrEqual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238D0-168A-4EB3-ACF2-56119B64779C}">
  <sheetPr codeName="Sheet6"/>
  <dimension ref="A1:BZ518"/>
  <sheetViews>
    <sheetView topLeftCell="O1" zoomScaleNormal="100" workbookViewId="0">
      <pane ySplit="4" topLeftCell="I68" activePane="bottomLeft" state="frozen"/>
      <selection pane="bottomLeft" activeCell="R90" sqref="R90:R96"/>
      <selection activeCell="X33" sqref="X33"/>
    </sheetView>
  </sheetViews>
  <sheetFormatPr defaultColWidth="9.42578125" defaultRowHeight="14.1"/>
  <cols>
    <col min="1" max="1" width="2.42578125" style="26" customWidth="1"/>
    <col min="2" max="2" width="6.42578125" style="4" customWidth="1"/>
    <col min="3" max="3" width="20.42578125" style="4" customWidth="1"/>
    <col min="4" max="4" width="51.5703125" style="4" customWidth="1"/>
    <col min="5" max="5" width="13" style="6" customWidth="1"/>
    <col min="6" max="6" width="16.5703125" style="372" customWidth="1"/>
    <col min="7" max="8" width="17.42578125" style="4" customWidth="1"/>
    <col min="9" max="10" width="22.42578125" style="254" customWidth="1"/>
    <col min="11" max="12" width="5.28515625" style="26" customWidth="1"/>
    <col min="13" max="13" width="25.5703125" style="26" customWidth="1"/>
    <col min="14" max="14" width="48.42578125" style="26" customWidth="1"/>
    <col min="15" max="15" width="15.5703125" style="26" customWidth="1"/>
    <col min="16" max="17" width="17.42578125" style="26" customWidth="1"/>
    <col min="18" max="18" width="37.5703125" style="26" bestFit="1" customWidth="1"/>
    <col min="19" max="19" width="25.42578125" style="26" customWidth="1"/>
    <col min="20" max="21" width="17.42578125" style="431" customWidth="1"/>
    <col min="22" max="22" width="17.42578125" style="26" customWidth="1"/>
    <col min="23" max="23" width="17.42578125" style="431" customWidth="1"/>
    <col min="24" max="24" width="21.28515625" style="26" customWidth="1"/>
    <col min="25" max="25" width="29.42578125" style="26" bestFit="1" customWidth="1"/>
    <col min="26" max="26" width="26" style="26" bestFit="1" customWidth="1"/>
    <col min="27" max="27" width="11.85546875" style="26" customWidth="1"/>
    <col min="28" max="28" width="1.7109375" style="26" customWidth="1"/>
    <col min="29" max="29" width="26.42578125" style="26" customWidth="1"/>
    <col min="30" max="30" width="26" style="26" bestFit="1" customWidth="1"/>
    <col min="31" max="31" width="13.140625" style="26" customWidth="1"/>
    <col min="32" max="32" width="1.7109375" style="26" customWidth="1"/>
    <col min="33" max="33" width="28.5703125" style="26" customWidth="1"/>
    <col min="34" max="34" width="26" style="26" bestFit="1" customWidth="1"/>
    <col min="35" max="78" width="17.42578125" style="26" customWidth="1"/>
    <col min="79" max="16384" width="9.42578125" style="4"/>
  </cols>
  <sheetData>
    <row r="1" spans="1:78" s="26" customFormat="1" ht="4.5" customHeight="1" thickBot="1">
      <c r="E1" s="77"/>
      <c r="F1" s="362"/>
      <c r="I1" s="160"/>
      <c r="J1" s="160"/>
      <c r="O1" s="77"/>
      <c r="P1" s="362"/>
      <c r="Q1" s="266"/>
      <c r="R1" s="266"/>
      <c r="S1" s="266"/>
      <c r="T1" s="161"/>
      <c r="U1" s="161"/>
      <c r="V1" s="266"/>
      <c r="W1" s="161"/>
      <c r="Y1" s="376"/>
    </row>
    <row r="2" spans="1:78" ht="21.75" customHeight="1" thickBot="1">
      <c r="B2" s="720" t="s">
        <v>267</v>
      </c>
      <c r="C2" s="721"/>
      <c r="D2" s="721"/>
      <c r="E2" s="721"/>
      <c r="F2" s="721"/>
      <c r="G2" s="721"/>
      <c r="H2" s="395"/>
      <c r="I2" s="162">
        <f>SUM(I6:I159)</f>
        <v>1676787.7905682609</v>
      </c>
      <c r="J2" s="162">
        <f>SUM(J6:J159)</f>
        <v>2045835.2199856234</v>
      </c>
      <c r="L2" s="722" t="s">
        <v>268</v>
      </c>
      <c r="M2" s="723"/>
      <c r="N2" s="723"/>
      <c r="O2" s="723"/>
      <c r="P2" s="723"/>
      <c r="Q2" s="723"/>
      <c r="R2" s="730" t="s">
        <v>269</v>
      </c>
      <c r="S2" s="731"/>
      <c r="T2" s="731"/>
      <c r="U2" s="731"/>
      <c r="V2" s="731"/>
      <c r="W2" s="732"/>
      <c r="X2" s="162">
        <f>SUM(X6:X159)</f>
        <v>1483371.7138488539</v>
      </c>
    </row>
    <row r="3" spans="1:78" s="26" customFormat="1" ht="13.5" customHeight="1" thickBot="1">
      <c r="E3" s="77"/>
      <c r="F3" s="362"/>
      <c r="I3" s="160"/>
      <c r="J3" s="271"/>
      <c r="O3" s="77"/>
      <c r="P3" s="362"/>
      <c r="Q3" s="161"/>
      <c r="T3" s="431"/>
      <c r="U3" s="431"/>
      <c r="W3" s="431"/>
      <c r="X3" s="613"/>
    </row>
    <row r="4" spans="1:78" s="6" customFormat="1" ht="42.6" thickBot="1">
      <c r="A4" s="77"/>
      <c r="B4" s="163" t="s">
        <v>270</v>
      </c>
      <c r="C4" s="164" t="s">
        <v>271</v>
      </c>
      <c r="D4" s="164" t="s">
        <v>272</v>
      </c>
      <c r="E4" s="164" t="s">
        <v>108</v>
      </c>
      <c r="F4" s="363" t="s">
        <v>273</v>
      </c>
      <c r="G4" s="165" t="s">
        <v>274</v>
      </c>
      <c r="H4" s="273" t="s">
        <v>275</v>
      </c>
      <c r="I4" s="166" t="s">
        <v>276</v>
      </c>
      <c r="J4" s="166" t="str">
        <f>IF(J2-'Revenue Tracking'!D4&gt;=0, "Total Revenue", "ERROR on REV" )</f>
        <v>ERROR on REV</v>
      </c>
      <c r="K4" s="77"/>
      <c r="L4" s="163" t="s">
        <v>270</v>
      </c>
      <c r="M4" s="164" t="s">
        <v>277</v>
      </c>
      <c r="N4" s="164" t="s">
        <v>272</v>
      </c>
      <c r="O4" s="164" t="s">
        <v>108</v>
      </c>
      <c r="P4" s="363" t="s">
        <v>273</v>
      </c>
      <c r="Q4" s="274" t="s">
        <v>278</v>
      </c>
      <c r="R4" s="497" t="s">
        <v>279</v>
      </c>
      <c r="S4" s="498" t="s">
        <v>236</v>
      </c>
      <c r="T4" s="522" t="s">
        <v>237</v>
      </c>
      <c r="U4" s="523" t="s">
        <v>280</v>
      </c>
      <c r="V4" s="274" t="s">
        <v>281</v>
      </c>
      <c r="W4" s="522" t="s">
        <v>282</v>
      </c>
      <c r="X4" s="166" t="s">
        <v>276</v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</row>
    <row r="5" spans="1:78" s="1" customFormat="1" ht="7.5" customHeight="1" thickBot="1">
      <c r="B5" s="167"/>
      <c r="C5" s="168"/>
      <c r="D5" s="168"/>
      <c r="E5" s="169"/>
      <c r="F5" s="364"/>
      <c r="G5" s="170"/>
      <c r="H5" s="547"/>
      <c r="I5" s="171"/>
      <c r="J5" s="171"/>
      <c r="K5" s="172"/>
      <c r="L5" s="167"/>
      <c r="M5" s="168"/>
      <c r="N5" s="168"/>
      <c r="O5" s="169"/>
      <c r="P5" s="364"/>
      <c r="Q5" s="374"/>
      <c r="R5" s="390"/>
      <c r="S5" s="499"/>
      <c r="T5" s="391"/>
      <c r="U5" s="391"/>
      <c r="V5" s="391"/>
      <c r="W5" s="391"/>
      <c r="X5" s="171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</row>
    <row r="6" spans="1:78" ht="14.25" customHeight="1">
      <c r="B6" s="185">
        <v>1</v>
      </c>
      <c r="C6" s="255" t="s">
        <v>283</v>
      </c>
      <c r="D6" s="186" t="s">
        <v>284</v>
      </c>
      <c r="E6" s="187"/>
      <c r="F6" s="336"/>
      <c r="G6" s="292">
        <f>D160</f>
        <v>525991.77120000008</v>
      </c>
      <c r="H6" s="551">
        <f>'Project Plan'!E37+60</f>
        <v>46174</v>
      </c>
      <c r="I6" s="724">
        <f>SUM(G6:G11)</f>
        <v>525991.77120000008</v>
      </c>
      <c r="J6" s="727">
        <f>F160</f>
        <v>657489.71400000015</v>
      </c>
      <c r="K6" s="289"/>
      <c r="L6" s="185">
        <v>1</v>
      </c>
      <c r="M6" s="316" t="s">
        <v>285</v>
      </c>
      <c r="N6" s="186" t="s">
        <v>286</v>
      </c>
      <c r="O6" s="521">
        <f>'Project Plan'!E3*1000/620</f>
        <v>356.45161290322579</v>
      </c>
      <c r="P6" s="336">
        <f>2.5*620</f>
        <v>1550</v>
      </c>
      <c r="Q6" s="292">
        <f>O6*P6</f>
        <v>552500</v>
      </c>
      <c r="R6" s="469"/>
      <c r="S6" s="500"/>
      <c r="T6" s="411">
        <v>46142</v>
      </c>
      <c r="U6" s="397">
        <f t="shared" ref="U6:U11" si="0">(Q6/$X$6*$J$6)</f>
        <v>657489.71400000015</v>
      </c>
      <c r="V6" s="742">
        <f>J6-SUM(U6:U11)</f>
        <v>0</v>
      </c>
      <c r="W6" s="453">
        <f>'Project Plan'!I37+60</f>
        <v>46174</v>
      </c>
      <c r="X6" s="724">
        <f>SUM(Q6:Q11)</f>
        <v>552500</v>
      </c>
    </row>
    <row r="7" spans="1:78" ht="15" customHeight="1">
      <c r="B7" s="215">
        <v>1</v>
      </c>
      <c r="C7" s="317"/>
      <c r="D7" s="290" t="s">
        <v>287</v>
      </c>
      <c r="E7" s="291"/>
      <c r="F7" s="357"/>
      <c r="G7" s="219"/>
      <c r="H7" s="542"/>
      <c r="I7" s="725"/>
      <c r="J7" s="728"/>
      <c r="K7" s="192"/>
      <c r="L7" s="215">
        <v>1</v>
      </c>
      <c r="M7" s="217" t="s">
        <v>285</v>
      </c>
      <c r="N7" s="290"/>
      <c r="O7" s="433"/>
      <c r="P7" s="343"/>
      <c r="Q7" s="219"/>
      <c r="R7" s="470"/>
      <c r="S7" s="501"/>
      <c r="T7" s="411" t="str">
        <f t="shared" ref="T7:T69" si="1">IF(W7&gt;1,EOMONTH(W7,0),"")</f>
        <v/>
      </c>
      <c r="U7" s="397">
        <f t="shared" si="0"/>
        <v>0</v>
      </c>
      <c r="V7" s="743"/>
      <c r="W7" s="454"/>
      <c r="X7" s="725"/>
    </row>
    <row r="8" spans="1:78" ht="15" customHeight="1">
      <c r="B8" s="284">
        <v>1</v>
      </c>
      <c r="C8" s="378"/>
      <c r="D8" s="379"/>
      <c r="E8" s="380"/>
      <c r="F8" s="343"/>
      <c r="G8" s="287"/>
      <c r="H8" s="542"/>
      <c r="I8" s="725"/>
      <c r="J8" s="728"/>
      <c r="K8" s="192"/>
      <c r="L8" s="215">
        <v>1</v>
      </c>
      <c r="M8" s="217" t="s">
        <v>285</v>
      </c>
      <c r="N8" s="379"/>
      <c r="O8" s="434"/>
      <c r="P8" s="343"/>
      <c r="Q8" s="219"/>
      <c r="R8" s="470"/>
      <c r="S8" s="501"/>
      <c r="T8" s="411" t="str">
        <f t="shared" si="1"/>
        <v/>
      </c>
      <c r="U8" s="397">
        <f t="shared" si="0"/>
        <v>0</v>
      </c>
      <c r="V8" s="743"/>
      <c r="W8" s="454"/>
      <c r="X8" s="725"/>
    </row>
    <row r="9" spans="1:78" ht="15" customHeight="1">
      <c r="B9" s="284">
        <v>1</v>
      </c>
      <c r="C9" s="378"/>
      <c r="D9" s="379"/>
      <c r="E9" s="380"/>
      <c r="F9" s="343"/>
      <c r="G9" s="287"/>
      <c r="H9" s="542"/>
      <c r="I9" s="725"/>
      <c r="J9" s="728"/>
      <c r="K9" s="192"/>
      <c r="L9" s="215">
        <v>1</v>
      </c>
      <c r="M9" s="217" t="s">
        <v>285</v>
      </c>
      <c r="N9" s="379"/>
      <c r="O9" s="434"/>
      <c r="P9" s="343"/>
      <c r="Q9" s="287"/>
      <c r="R9" s="471"/>
      <c r="S9" s="502"/>
      <c r="T9" s="412" t="str">
        <f t="shared" si="1"/>
        <v/>
      </c>
      <c r="U9" s="397">
        <f t="shared" si="0"/>
        <v>0</v>
      </c>
      <c r="V9" s="743"/>
      <c r="W9" s="455"/>
      <c r="X9" s="725"/>
    </row>
    <row r="10" spans="1:78" ht="15" customHeight="1">
      <c r="B10" s="284">
        <v>1</v>
      </c>
      <c r="C10" s="378"/>
      <c r="D10" s="379"/>
      <c r="E10" s="380"/>
      <c r="F10" s="343"/>
      <c r="G10" s="287"/>
      <c r="H10" s="552"/>
      <c r="I10" s="725"/>
      <c r="J10" s="728"/>
      <c r="K10" s="192"/>
      <c r="L10" s="215">
        <v>1</v>
      </c>
      <c r="M10" s="217" t="s">
        <v>285</v>
      </c>
      <c r="N10" s="379"/>
      <c r="O10" s="434"/>
      <c r="P10" s="343"/>
      <c r="Q10" s="287"/>
      <c r="R10" s="471"/>
      <c r="S10" s="502"/>
      <c r="T10" s="412" t="str">
        <f t="shared" si="1"/>
        <v/>
      </c>
      <c r="U10" s="397">
        <f t="shared" si="0"/>
        <v>0</v>
      </c>
      <c r="V10" s="743"/>
      <c r="W10" s="455"/>
      <c r="X10" s="725"/>
    </row>
    <row r="11" spans="1:78" ht="15" customHeight="1" thickBot="1">
      <c r="B11" s="220">
        <v>1</v>
      </c>
      <c r="C11" s="318"/>
      <c r="D11" s="293"/>
      <c r="E11" s="294"/>
      <c r="F11" s="358"/>
      <c r="G11" s="234"/>
      <c r="H11" s="553"/>
      <c r="I11" s="726"/>
      <c r="J11" s="729"/>
      <c r="K11" s="193"/>
      <c r="L11" s="220">
        <v>1</v>
      </c>
      <c r="M11" s="318" t="s">
        <v>285</v>
      </c>
      <c r="N11" s="293"/>
      <c r="O11" s="435"/>
      <c r="P11" s="358"/>
      <c r="Q11" s="234"/>
      <c r="R11" s="472"/>
      <c r="S11" s="503"/>
      <c r="T11" s="413" t="str">
        <f t="shared" si="1"/>
        <v/>
      </c>
      <c r="U11" s="397">
        <f t="shared" si="0"/>
        <v>0</v>
      </c>
      <c r="V11" s="744"/>
      <c r="W11" s="456"/>
      <c r="X11" s="726"/>
      <c r="Y11" s="607" t="s">
        <v>288</v>
      </c>
      <c r="Z11" s="487" t="s">
        <v>289</v>
      </c>
    </row>
    <row r="12" spans="1:78" ht="14.45" thickBot="1">
      <c r="A12" s="4"/>
      <c r="B12" s="180"/>
      <c r="C12" s="181"/>
      <c r="D12" s="182"/>
      <c r="E12" s="195"/>
      <c r="F12" s="354"/>
      <c r="G12" s="183"/>
      <c r="H12" s="554"/>
      <c r="I12" s="548"/>
      <c r="J12" s="184"/>
      <c r="K12" s="4"/>
      <c r="L12" s="180"/>
      <c r="M12" s="304"/>
      <c r="N12" s="182"/>
      <c r="O12" s="436"/>
      <c r="P12" s="354"/>
      <c r="Q12" s="183"/>
      <c r="R12" s="473"/>
      <c r="S12" s="504"/>
      <c r="T12" s="414" t="str">
        <f t="shared" si="1"/>
        <v/>
      </c>
      <c r="U12" s="399"/>
      <c r="V12" s="389"/>
      <c r="W12" s="457"/>
      <c r="X12" s="548"/>
      <c r="Y12" s="608" t="s">
        <v>290</v>
      </c>
      <c r="Z12" s="488">
        <f>G52</f>
        <v>350472.95652173914</v>
      </c>
      <c r="AA12" s="527"/>
      <c r="AB12" s="527"/>
    </row>
    <row r="13" spans="1:78" ht="14.25" customHeight="1">
      <c r="B13" s="197">
        <v>2</v>
      </c>
      <c r="C13" s="223" t="s">
        <v>68</v>
      </c>
      <c r="D13" s="223" t="s">
        <v>291</v>
      </c>
      <c r="E13" s="268"/>
      <c r="F13" s="355"/>
      <c r="G13" s="200">
        <f>D161</f>
        <v>140000</v>
      </c>
      <c r="H13" s="555">
        <f>'Project Plan'!E23+60</f>
        <v>46174</v>
      </c>
      <c r="I13" s="733">
        <f>SUM(G13:G19)</f>
        <v>140000</v>
      </c>
      <c r="J13" s="736">
        <f>F161</f>
        <v>175000</v>
      </c>
      <c r="K13" s="201"/>
      <c r="L13" s="197">
        <v>2</v>
      </c>
      <c r="M13" s="319" t="s">
        <v>292</v>
      </c>
      <c r="N13" s="223"/>
      <c r="O13" s="437"/>
      <c r="P13" s="355"/>
      <c r="Q13" s="200"/>
      <c r="R13" s="474"/>
      <c r="S13" s="505"/>
      <c r="T13" s="415"/>
      <c r="U13" s="401">
        <f t="shared" ref="U13:U19" si="2">(Q13/$X$13*$J$13)</f>
        <v>0</v>
      </c>
      <c r="V13" s="745">
        <f>J13-SUM(U13:U19)</f>
        <v>0</v>
      </c>
      <c r="W13" s="458"/>
      <c r="X13" s="733">
        <f>SUM(Q13:Q19)</f>
        <v>136000</v>
      </c>
      <c r="Y13" s="608" t="s">
        <v>293</v>
      </c>
      <c r="Z13" s="489">
        <f>G29</f>
        <v>83767.100000000006</v>
      </c>
      <c r="AA13" s="527"/>
      <c r="AB13" s="527"/>
    </row>
    <row r="14" spans="1:78" ht="14.25" customHeight="1">
      <c r="B14" s="202">
        <v>2</v>
      </c>
      <c r="C14" s="325"/>
      <c r="D14" s="309"/>
      <c r="E14" s="381"/>
      <c r="F14" s="351"/>
      <c r="G14" s="375"/>
      <c r="H14" s="546"/>
      <c r="I14" s="734"/>
      <c r="J14" s="737"/>
      <c r="K14" s="205"/>
      <c r="L14" s="202">
        <v>2</v>
      </c>
      <c r="M14" s="325" t="s">
        <v>292</v>
      </c>
      <c r="N14" s="309" t="s">
        <v>294</v>
      </c>
      <c r="O14" s="438">
        <v>2</v>
      </c>
      <c r="P14" s="351">
        <v>68000</v>
      </c>
      <c r="Q14" s="375">
        <f>O14*P14</f>
        <v>136000</v>
      </c>
      <c r="R14" s="475"/>
      <c r="S14" s="506"/>
      <c r="T14" s="416">
        <f>T6</f>
        <v>46142</v>
      </c>
      <c r="U14" s="401">
        <f t="shared" si="2"/>
        <v>175000</v>
      </c>
      <c r="V14" s="746"/>
      <c r="W14" s="459">
        <f>W6</f>
        <v>46174</v>
      </c>
      <c r="X14" s="734"/>
      <c r="Y14" s="608" t="s">
        <v>295</v>
      </c>
      <c r="Z14" s="488">
        <f>G89</f>
        <v>55180</v>
      </c>
      <c r="AA14" s="527"/>
      <c r="AB14" s="527"/>
    </row>
    <row r="15" spans="1:78" ht="14.25" customHeight="1">
      <c r="B15" s="202">
        <v>2</v>
      </c>
      <c r="C15" s="325"/>
      <c r="D15" s="309"/>
      <c r="E15" s="381"/>
      <c r="F15" s="351"/>
      <c r="G15" s="375"/>
      <c r="H15" s="546"/>
      <c r="I15" s="734"/>
      <c r="J15" s="737"/>
      <c r="K15" s="205"/>
      <c r="L15" s="202">
        <v>2</v>
      </c>
      <c r="M15" s="325" t="s">
        <v>292</v>
      </c>
      <c r="N15" s="309"/>
      <c r="O15" s="438"/>
      <c r="P15" s="351"/>
      <c r="Q15" s="375"/>
      <c r="R15" s="475"/>
      <c r="S15" s="506"/>
      <c r="T15" s="416" t="str">
        <f t="shared" si="1"/>
        <v/>
      </c>
      <c r="U15" s="401">
        <f t="shared" si="2"/>
        <v>0</v>
      </c>
      <c r="V15" s="746"/>
      <c r="W15" s="459"/>
      <c r="X15" s="734"/>
      <c r="Y15" s="608" t="s">
        <v>296</v>
      </c>
      <c r="Z15" s="488">
        <f>G90</f>
        <v>118370.00000000001</v>
      </c>
      <c r="AA15" s="527"/>
      <c r="AB15" s="527"/>
    </row>
    <row r="16" spans="1:78" ht="14.25" customHeight="1">
      <c r="B16" s="202">
        <v>2</v>
      </c>
      <c r="C16" s="325"/>
      <c r="D16" s="309"/>
      <c r="E16" s="381"/>
      <c r="F16" s="351"/>
      <c r="G16" s="375"/>
      <c r="H16" s="546"/>
      <c r="I16" s="734"/>
      <c r="J16" s="737"/>
      <c r="K16" s="205"/>
      <c r="L16" s="202">
        <v>2</v>
      </c>
      <c r="M16" s="325" t="s">
        <v>292</v>
      </c>
      <c r="N16" s="309"/>
      <c r="O16" s="438"/>
      <c r="P16" s="351"/>
      <c r="Q16" s="375"/>
      <c r="R16" s="475"/>
      <c r="S16" s="506"/>
      <c r="T16" s="416" t="str">
        <f t="shared" si="1"/>
        <v/>
      </c>
      <c r="U16" s="401">
        <f t="shared" si="2"/>
        <v>0</v>
      </c>
      <c r="V16" s="746"/>
      <c r="W16" s="459"/>
      <c r="X16" s="734"/>
      <c r="Y16" s="608" t="s">
        <v>297</v>
      </c>
      <c r="Z16" s="488">
        <f>G102</f>
        <v>8500</v>
      </c>
      <c r="AA16" s="527"/>
      <c r="AB16" s="527"/>
    </row>
    <row r="17" spans="1:35" ht="14.25" customHeight="1">
      <c r="B17" s="202">
        <v>2</v>
      </c>
      <c r="C17" s="325"/>
      <c r="D17" s="309"/>
      <c r="E17" s="381"/>
      <c r="F17" s="351"/>
      <c r="G17" s="375"/>
      <c r="H17" s="546"/>
      <c r="I17" s="734"/>
      <c r="J17" s="737"/>
      <c r="K17" s="205"/>
      <c r="L17" s="202">
        <v>2</v>
      </c>
      <c r="M17" s="325" t="s">
        <v>292</v>
      </c>
      <c r="N17" s="309"/>
      <c r="O17" s="438"/>
      <c r="P17" s="351"/>
      <c r="Q17" s="375"/>
      <c r="R17" s="475"/>
      <c r="S17" s="506"/>
      <c r="T17" s="416" t="str">
        <f t="shared" si="1"/>
        <v/>
      </c>
      <c r="U17" s="401">
        <f t="shared" si="2"/>
        <v>0</v>
      </c>
      <c r="V17" s="746"/>
      <c r="W17" s="459"/>
      <c r="X17" s="734"/>
      <c r="Y17" s="608" t="s">
        <v>298</v>
      </c>
      <c r="Z17" s="488">
        <f>G103</f>
        <v>12367.866666666667</v>
      </c>
      <c r="AA17" s="527"/>
      <c r="AB17" s="527"/>
    </row>
    <row r="18" spans="1:35" ht="14.25" customHeight="1">
      <c r="B18" s="202">
        <v>2</v>
      </c>
      <c r="C18" s="325"/>
      <c r="D18" s="309"/>
      <c r="E18" s="381"/>
      <c r="F18" s="351"/>
      <c r="G18" s="375"/>
      <c r="H18" s="546"/>
      <c r="I18" s="734"/>
      <c r="J18" s="737"/>
      <c r="K18" s="205"/>
      <c r="L18" s="202">
        <v>2</v>
      </c>
      <c r="M18" s="325" t="s">
        <v>292</v>
      </c>
      <c r="N18" s="309"/>
      <c r="O18" s="438"/>
      <c r="P18" s="351"/>
      <c r="Q18" s="375"/>
      <c r="R18" s="475"/>
      <c r="S18" s="506"/>
      <c r="T18" s="416" t="str">
        <f t="shared" si="1"/>
        <v/>
      </c>
      <c r="U18" s="401">
        <f t="shared" si="2"/>
        <v>0</v>
      </c>
      <c r="V18" s="746"/>
      <c r="W18" s="459"/>
      <c r="X18" s="734"/>
      <c r="Y18" s="608" t="s">
        <v>299</v>
      </c>
      <c r="Z18" s="488">
        <f>G105</f>
        <v>2302.2222222222222</v>
      </c>
      <c r="AA18" s="527"/>
      <c r="AB18" s="527"/>
    </row>
    <row r="19" spans="1:35" ht="15" customHeight="1" thickBot="1">
      <c r="B19" s="296">
        <v>2</v>
      </c>
      <c r="C19" s="297"/>
      <c r="D19" s="297"/>
      <c r="E19" s="298"/>
      <c r="F19" s="365"/>
      <c r="G19" s="299"/>
      <c r="H19" s="556"/>
      <c r="I19" s="735"/>
      <c r="J19" s="738"/>
      <c r="K19" s="210"/>
      <c r="L19" s="296">
        <v>2</v>
      </c>
      <c r="M19" s="320" t="s">
        <v>292</v>
      </c>
      <c r="N19" s="297"/>
      <c r="O19" s="439"/>
      <c r="P19" s="365"/>
      <c r="Q19" s="299"/>
      <c r="R19" s="476"/>
      <c r="S19" s="507"/>
      <c r="T19" s="417" t="str">
        <f t="shared" si="1"/>
        <v/>
      </c>
      <c r="U19" s="402">
        <f t="shared" si="2"/>
        <v>0</v>
      </c>
      <c r="V19" s="747"/>
      <c r="W19" s="460"/>
      <c r="X19" s="735"/>
      <c r="Y19" s="608" t="s">
        <v>300</v>
      </c>
      <c r="Z19" s="488">
        <v>0</v>
      </c>
      <c r="AA19" s="527"/>
      <c r="AB19" s="527"/>
    </row>
    <row r="20" spans="1:35" ht="14.45" thickBot="1">
      <c r="A20" s="4"/>
      <c r="B20" s="194"/>
      <c r="C20" s="181"/>
      <c r="D20" s="181"/>
      <c r="E20" s="195"/>
      <c r="F20" s="354"/>
      <c r="G20" s="196"/>
      <c r="H20" s="554"/>
      <c r="I20" s="548"/>
      <c r="J20" s="184"/>
      <c r="K20" s="4"/>
      <c r="L20" s="194"/>
      <c r="M20" s="181"/>
      <c r="N20" s="181"/>
      <c r="O20" s="436"/>
      <c r="P20" s="354"/>
      <c r="Q20" s="196"/>
      <c r="R20" s="473"/>
      <c r="S20" s="504"/>
      <c r="T20" s="414" t="str">
        <f t="shared" si="1"/>
        <v/>
      </c>
      <c r="U20" s="403"/>
      <c r="V20" s="385"/>
      <c r="W20" s="457"/>
      <c r="X20" s="548"/>
      <c r="Y20" s="608" t="s">
        <v>301</v>
      </c>
      <c r="Z20" s="488">
        <v>0</v>
      </c>
      <c r="AA20" s="527"/>
      <c r="AB20" s="527"/>
    </row>
    <row r="21" spans="1:35" ht="14.25" customHeight="1">
      <c r="B21" s="185">
        <v>3</v>
      </c>
      <c r="C21" s="213" t="s">
        <v>302</v>
      </c>
      <c r="D21" s="231" t="s">
        <v>303</v>
      </c>
      <c r="E21" s="187"/>
      <c r="F21" s="336"/>
      <c r="G21" s="188">
        <f>D162</f>
        <v>88288</v>
      </c>
      <c r="H21" s="543">
        <f>'Project Plan'!E31+30</f>
        <v>46144</v>
      </c>
      <c r="I21" s="724">
        <f>SUM(G21:G26)</f>
        <v>88288</v>
      </c>
      <c r="J21" s="727">
        <f>F162</f>
        <v>110360</v>
      </c>
      <c r="K21" s="189"/>
      <c r="L21" s="185">
        <v>3</v>
      </c>
      <c r="M21" s="321" t="s">
        <v>304</v>
      </c>
      <c r="N21" s="231" t="s">
        <v>305</v>
      </c>
      <c r="O21" s="432"/>
      <c r="P21" s="336"/>
      <c r="Q21" s="188">
        <v>88288</v>
      </c>
      <c r="R21" s="477"/>
      <c r="S21" s="508"/>
      <c r="T21" s="411">
        <v>46142</v>
      </c>
      <c r="U21" s="397">
        <f t="shared" ref="U21:U26" si="3">(Q21/$X$21*$J$21)</f>
        <v>110360</v>
      </c>
      <c r="V21" s="742">
        <f>J21-SUM(U21:U26)</f>
        <v>0</v>
      </c>
      <c r="W21" s="461">
        <f>T21+30</f>
        <v>46172</v>
      </c>
      <c r="X21" s="724">
        <f>SUM(Q21:Q26)</f>
        <v>88288</v>
      </c>
      <c r="Y21" s="608" t="s">
        <v>306</v>
      </c>
      <c r="Z21" s="490">
        <v>0</v>
      </c>
      <c r="AA21" s="527"/>
      <c r="AB21" s="527"/>
    </row>
    <row r="22" spans="1:35" ht="14.25" customHeight="1">
      <c r="B22" s="215">
        <v>3</v>
      </c>
      <c r="C22" s="216"/>
      <c r="D22" s="232"/>
      <c r="E22" s="218"/>
      <c r="F22" s="357"/>
      <c r="G22" s="219"/>
      <c r="H22" s="542"/>
      <c r="I22" s="725"/>
      <c r="J22" s="728"/>
      <c r="K22" s="192"/>
      <c r="L22" s="215">
        <v>3</v>
      </c>
      <c r="M22" s="322" t="s">
        <v>304</v>
      </c>
      <c r="N22" s="232"/>
      <c r="O22" s="433"/>
      <c r="P22" s="357"/>
      <c r="Q22" s="219"/>
      <c r="R22" s="470"/>
      <c r="S22" s="501"/>
      <c r="T22" s="411" t="str">
        <f t="shared" si="1"/>
        <v/>
      </c>
      <c r="U22" s="397">
        <f t="shared" si="3"/>
        <v>0</v>
      </c>
      <c r="V22" s="743"/>
      <c r="W22" s="454"/>
      <c r="X22" s="725"/>
      <c r="Y22" s="608" t="s">
        <v>258</v>
      </c>
      <c r="Z22" s="488">
        <f>SUM(Z12:Z21)</f>
        <v>630960.14541062806</v>
      </c>
    </row>
    <row r="23" spans="1:35" ht="14.25" customHeight="1">
      <c r="B23" s="215">
        <v>3</v>
      </c>
      <c r="C23" s="216"/>
      <c r="D23" s="232"/>
      <c r="E23" s="218"/>
      <c r="F23" s="357"/>
      <c r="G23" s="219"/>
      <c r="H23" s="542"/>
      <c r="I23" s="725"/>
      <c r="J23" s="728"/>
      <c r="K23" s="192"/>
      <c r="L23" s="215">
        <v>3</v>
      </c>
      <c r="M23" s="322" t="s">
        <v>304</v>
      </c>
      <c r="N23" s="232"/>
      <c r="O23" s="433"/>
      <c r="P23" s="357"/>
      <c r="Q23" s="219"/>
      <c r="R23" s="470"/>
      <c r="S23" s="501"/>
      <c r="T23" s="411" t="str">
        <f t="shared" si="1"/>
        <v/>
      </c>
      <c r="U23" s="397">
        <f t="shared" si="3"/>
        <v>0</v>
      </c>
      <c r="V23" s="743"/>
      <c r="W23" s="454"/>
      <c r="X23" s="725"/>
      <c r="Y23" s="608" t="s">
        <v>307</v>
      </c>
      <c r="Z23" s="491">
        <f>+Z22*0.85</f>
        <v>536316.1235990338</v>
      </c>
    </row>
    <row r="24" spans="1:35" ht="14.25" customHeight="1">
      <c r="B24" s="215">
        <v>3</v>
      </c>
      <c r="C24" s="285"/>
      <c r="D24" s="286"/>
      <c r="E24" s="307"/>
      <c r="F24" s="343"/>
      <c r="G24" s="287"/>
      <c r="H24" s="552"/>
      <c r="I24" s="725"/>
      <c r="J24" s="728"/>
      <c r="K24" s="192"/>
      <c r="L24" s="215">
        <v>3</v>
      </c>
      <c r="M24" s="322" t="s">
        <v>304</v>
      </c>
      <c r="N24" s="286"/>
      <c r="O24" s="434"/>
      <c r="P24" s="343"/>
      <c r="Q24" s="287"/>
      <c r="R24" s="471"/>
      <c r="S24" s="502"/>
      <c r="T24" s="412" t="str">
        <f t="shared" si="1"/>
        <v/>
      </c>
      <c r="U24" s="397">
        <f t="shared" si="3"/>
        <v>0</v>
      </c>
      <c r="V24" s="743"/>
      <c r="W24" s="455"/>
      <c r="X24" s="725"/>
      <c r="Y24" s="609" t="s">
        <v>308</v>
      </c>
      <c r="Z24" s="490">
        <f>Z23/'Project Plan'!$E$3/1000</f>
        <v>2.4267697900408769</v>
      </c>
    </row>
    <row r="25" spans="1:35" ht="14.25" customHeight="1">
      <c r="B25" s="215">
        <v>3</v>
      </c>
      <c r="C25" s="285"/>
      <c r="D25" s="286"/>
      <c r="E25" s="307"/>
      <c r="F25" s="343"/>
      <c r="G25" s="287"/>
      <c r="H25" s="552"/>
      <c r="I25" s="725"/>
      <c r="J25" s="728"/>
      <c r="K25" s="192"/>
      <c r="L25" s="215">
        <v>3</v>
      </c>
      <c r="M25" s="322" t="s">
        <v>304</v>
      </c>
      <c r="N25" s="286"/>
      <c r="O25" s="434"/>
      <c r="P25" s="343"/>
      <c r="Q25" s="287"/>
      <c r="R25" s="471"/>
      <c r="S25" s="502"/>
      <c r="T25" s="412" t="str">
        <f t="shared" si="1"/>
        <v/>
      </c>
      <c r="U25" s="397">
        <f t="shared" si="3"/>
        <v>0</v>
      </c>
      <c r="V25" s="743"/>
      <c r="W25" s="455"/>
      <c r="X25" s="725"/>
    </row>
    <row r="26" spans="1:35" ht="15" customHeight="1" thickBot="1">
      <c r="B26" s="220">
        <v>3</v>
      </c>
      <c r="C26" s="241"/>
      <c r="D26" s="233"/>
      <c r="E26" s="222"/>
      <c r="F26" s="358"/>
      <c r="G26" s="234"/>
      <c r="H26" s="553"/>
      <c r="I26" s="726"/>
      <c r="J26" s="729"/>
      <c r="K26" s="193"/>
      <c r="L26" s="220">
        <v>3</v>
      </c>
      <c r="M26" s="323" t="s">
        <v>304</v>
      </c>
      <c r="N26" s="233"/>
      <c r="O26" s="435"/>
      <c r="P26" s="358"/>
      <c r="Q26" s="234"/>
      <c r="R26" s="472"/>
      <c r="S26" s="503"/>
      <c r="T26" s="413" t="str">
        <f t="shared" si="1"/>
        <v/>
      </c>
      <c r="U26" s="398">
        <f t="shared" si="3"/>
        <v>0</v>
      </c>
      <c r="V26" s="744"/>
      <c r="W26" s="456"/>
      <c r="X26" s="726"/>
      <c r="Y26" s="610" t="s">
        <v>221</v>
      </c>
      <c r="Z26" s="492" t="s">
        <v>309</v>
      </c>
      <c r="AC26" s="663" t="s">
        <v>221</v>
      </c>
      <c r="AD26" s="492" t="s">
        <v>310</v>
      </c>
      <c r="AG26" s="663" t="s">
        <v>221</v>
      </c>
      <c r="AH26" s="492" t="s">
        <v>311</v>
      </c>
    </row>
    <row r="27" spans="1:35" ht="14.45" thickBot="1">
      <c r="A27" s="4"/>
      <c r="B27" s="194"/>
      <c r="C27" s="211"/>
      <c r="D27" s="212"/>
      <c r="E27" s="195"/>
      <c r="F27" s="354"/>
      <c r="G27" s="196"/>
      <c r="H27" s="554"/>
      <c r="I27" s="548"/>
      <c r="J27" s="184"/>
      <c r="K27" s="4"/>
      <c r="L27" s="194"/>
      <c r="M27" s="211"/>
      <c r="N27" s="212"/>
      <c r="O27" s="436"/>
      <c r="P27" s="354"/>
      <c r="Q27" s="196"/>
      <c r="R27" s="473"/>
      <c r="S27" s="504"/>
      <c r="T27" s="414" t="str">
        <f t="shared" si="1"/>
        <v/>
      </c>
      <c r="U27" s="403"/>
      <c r="V27" s="385"/>
      <c r="W27" s="457"/>
      <c r="X27" s="548"/>
      <c r="Y27" s="611" t="s">
        <v>290</v>
      </c>
      <c r="Z27" s="493">
        <f>Z12*0.85-200000</f>
        <v>97902.013043478248</v>
      </c>
      <c r="AC27" s="664" t="s">
        <v>290</v>
      </c>
      <c r="AD27" s="493">
        <v>309536.31541304349</v>
      </c>
      <c r="AG27" s="664" t="s">
        <v>290</v>
      </c>
      <c r="AH27" s="493">
        <v>412715.08721739129</v>
      </c>
    </row>
    <row r="28" spans="1:35" ht="14.25" customHeight="1">
      <c r="B28" s="197">
        <v>4</v>
      </c>
      <c r="C28" s="198" t="s">
        <v>293</v>
      </c>
      <c r="D28" s="198" t="s">
        <v>312</v>
      </c>
      <c r="E28" s="268">
        <v>3185</v>
      </c>
      <c r="F28" s="355"/>
      <c r="G28" s="200">
        <v>44590</v>
      </c>
      <c r="H28" s="555">
        <f>'Project Plan'!E33+60</f>
        <v>46174</v>
      </c>
      <c r="I28" s="733">
        <f>SUM(G28:G42)</f>
        <v>128357.1</v>
      </c>
      <c r="J28" s="736">
        <f>F163</f>
        <v>160446.375</v>
      </c>
      <c r="K28" s="201"/>
      <c r="L28" s="197">
        <v>4</v>
      </c>
      <c r="M28" s="324" t="s">
        <v>313</v>
      </c>
      <c r="N28" s="198" t="s">
        <v>314</v>
      </c>
      <c r="O28" s="429">
        <v>4000</v>
      </c>
      <c r="P28" s="355">
        <v>14</v>
      </c>
      <c r="Q28" s="200">
        <f>O28*P28</f>
        <v>56000</v>
      </c>
      <c r="R28" s="474"/>
      <c r="S28" s="505"/>
      <c r="T28" s="415">
        <f>T6</f>
        <v>46142</v>
      </c>
      <c r="U28" s="401">
        <f t="shared" ref="U28:U41" si="4">(Q28/$X$28*$J$28)</f>
        <v>70635.6388087659</v>
      </c>
      <c r="V28" s="745">
        <f>J28-SUM(U28:U42)</f>
        <v>0</v>
      </c>
      <c r="W28" s="458">
        <f>W6</f>
        <v>46174</v>
      </c>
      <c r="X28" s="733">
        <f>SUM(Q28:Q42)</f>
        <v>127202.03500000003</v>
      </c>
      <c r="Y28" s="611" t="s">
        <v>293</v>
      </c>
      <c r="Z28" s="493">
        <f t="shared" ref="Z28" si="5">Z13*0.85</f>
        <v>71202.035000000003</v>
      </c>
      <c r="AC28" s="664" t="s">
        <v>293</v>
      </c>
      <c r="AD28" s="493">
        <v>291713.01299999998</v>
      </c>
      <c r="AG28" s="664" t="s">
        <v>293</v>
      </c>
      <c r="AH28" s="493">
        <v>388950.68399999995</v>
      </c>
    </row>
    <row r="29" spans="1:35" ht="14.25" customHeight="1">
      <c r="B29" s="224">
        <v>4</v>
      </c>
      <c r="C29" s="309"/>
      <c r="D29" s="309" t="s">
        <v>315</v>
      </c>
      <c r="E29" s="295"/>
      <c r="F29" s="351"/>
      <c r="G29" s="517">
        <f>D163-G28</f>
        <v>83767.100000000006</v>
      </c>
      <c r="H29" s="546">
        <f>'Project Plan'!G29</f>
        <v>46142</v>
      </c>
      <c r="I29" s="734"/>
      <c r="J29" s="737"/>
      <c r="K29" s="205"/>
      <c r="L29" s="202">
        <v>4</v>
      </c>
      <c r="M29" s="325" t="s">
        <v>313</v>
      </c>
      <c r="N29" s="309"/>
      <c r="O29" s="430"/>
      <c r="P29" s="351"/>
      <c r="Q29" s="204"/>
      <c r="R29" s="475"/>
      <c r="S29" s="506"/>
      <c r="T29" s="416" t="str">
        <f t="shared" si="1"/>
        <v/>
      </c>
      <c r="U29" s="401">
        <f t="shared" si="4"/>
        <v>0</v>
      </c>
      <c r="V29" s="746"/>
      <c r="W29" s="459"/>
      <c r="X29" s="734"/>
      <c r="Y29" s="611" t="s">
        <v>295</v>
      </c>
      <c r="Z29" s="493">
        <f>Z14*0.85</f>
        <v>46903</v>
      </c>
      <c r="AA29" s="666">
        <f>Z29/'Project Plan'!$E$3/1000</f>
        <v>0.21223076923076922</v>
      </c>
      <c r="AC29" s="664" t="s">
        <v>295</v>
      </c>
      <c r="AD29" s="493">
        <v>153061.20000000001</v>
      </c>
      <c r="AE29" s="666">
        <f>AD29/'Project Plan'!$E$3/1000</f>
        <v>0.69258461538461535</v>
      </c>
      <c r="AG29" s="664" t="s">
        <v>295</v>
      </c>
      <c r="AH29" s="493">
        <v>204081.6</v>
      </c>
      <c r="AI29" s="666">
        <f>AH29/'Project Plan'!$E$3/1000</f>
        <v>0.92344615384615381</v>
      </c>
    </row>
    <row r="30" spans="1:35" ht="14.25" customHeight="1">
      <c r="B30" s="224">
        <v>4</v>
      </c>
      <c r="C30" s="309"/>
      <c r="D30" s="309"/>
      <c r="E30" s="295"/>
      <c r="F30" s="351"/>
      <c r="G30" s="204"/>
      <c r="H30" s="546"/>
      <c r="I30" s="734"/>
      <c r="J30" s="737"/>
      <c r="K30" s="205"/>
      <c r="L30" s="202">
        <v>4</v>
      </c>
      <c r="M30" s="325" t="s">
        <v>313</v>
      </c>
      <c r="N30" s="309"/>
      <c r="O30" s="430"/>
      <c r="P30" s="351"/>
      <c r="Q30" s="204"/>
      <c r="R30" s="475"/>
      <c r="S30" s="506"/>
      <c r="T30" s="416" t="str">
        <f t="shared" si="1"/>
        <v/>
      </c>
      <c r="U30" s="401">
        <f t="shared" si="4"/>
        <v>0</v>
      </c>
      <c r="V30" s="746"/>
      <c r="W30" s="459"/>
      <c r="X30" s="734"/>
      <c r="Y30" s="611" t="s">
        <v>296</v>
      </c>
      <c r="Z30" s="493">
        <f>Z15*0.85</f>
        <v>100614.50000000001</v>
      </c>
      <c r="AA30" s="666">
        <f>Z30/'Project Plan'!$E$3/1000</f>
        <v>0.45526923076923081</v>
      </c>
      <c r="AC30" s="664" t="s">
        <v>296</v>
      </c>
      <c r="AD30" s="493">
        <v>333723.60000000003</v>
      </c>
      <c r="AE30" s="666">
        <f>AD30/'Project Plan'!$E$3/1000</f>
        <v>1.5100615384615388</v>
      </c>
      <c r="AG30" s="664" t="s">
        <v>296</v>
      </c>
      <c r="AH30" s="493">
        <v>444964.8</v>
      </c>
      <c r="AI30" s="666">
        <f>AH30/'Project Plan'!$E$3/1000</f>
        <v>2.0134153846153846</v>
      </c>
    </row>
    <row r="31" spans="1:35" ht="14.25" customHeight="1">
      <c r="B31" s="224">
        <v>4</v>
      </c>
      <c r="C31" s="309"/>
      <c r="D31" s="309"/>
      <c r="E31" s="295"/>
      <c r="F31" s="351"/>
      <c r="G31" s="204"/>
      <c r="H31" s="546"/>
      <c r="I31" s="734"/>
      <c r="J31" s="737"/>
      <c r="K31" s="205"/>
      <c r="L31" s="202">
        <v>4</v>
      </c>
      <c r="M31" s="325" t="s">
        <v>313</v>
      </c>
      <c r="N31" s="309"/>
      <c r="O31" s="438"/>
      <c r="P31" s="351"/>
      <c r="Q31" s="204"/>
      <c r="R31" s="475"/>
      <c r="S31" s="506"/>
      <c r="T31" s="416" t="str">
        <f t="shared" si="1"/>
        <v/>
      </c>
      <c r="U31" s="401">
        <f t="shared" si="4"/>
        <v>0</v>
      </c>
      <c r="V31" s="746"/>
      <c r="W31" s="459"/>
      <c r="X31" s="734"/>
      <c r="Y31" s="611" t="s">
        <v>316</v>
      </c>
      <c r="Z31" s="493">
        <f>Z16*0.85</f>
        <v>7225</v>
      </c>
      <c r="AC31" s="664" t="s">
        <v>316</v>
      </c>
      <c r="AD31" s="493">
        <v>6502.5</v>
      </c>
      <c r="AG31" s="664" t="s">
        <v>316</v>
      </c>
      <c r="AH31" s="493">
        <v>8670</v>
      </c>
    </row>
    <row r="32" spans="1:35" ht="14.25" customHeight="1">
      <c r="B32" s="224">
        <v>4</v>
      </c>
      <c r="C32" s="309"/>
      <c r="D32" s="309"/>
      <c r="E32" s="295"/>
      <c r="F32" s="351"/>
      <c r="G32" s="204"/>
      <c r="H32" s="546"/>
      <c r="I32" s="734"/>
      <c r="J32" s="737"/>
      <c r="K32" s="205"/>
      <c r="L32" s="202">
        <v>4</v>
      </c>
      <c r="M32" s="325" t="s">
        <v>313</v>
      </c>
      <c r="N32" s="309" t="s">
        <v>317</v>
      </c>
      <c r="O32" s="447">
        <f>Z28</f>
        <v>71202.035000000003</v>
      </c>
      <c r="P32" s="448">
        <v>0.1</v>
      </c>
      <c r="Q32" s="204">
        <f>$O$32*P32</f>
        <v>7120.2035000000005</v>
      </c>
      <c r="R32" s="739">
        <f>R90</f>
        <v>0</v>
      </c>
      <c r="S32" s="506"/>
      <c r="T32" s="416">
        <f>T90</f>
        <v>46112</v>
      </c>
      <c r="U32" s="401">
        <f t="shared" si="4"/>
        <v>8981.0736191234064</v>
      </c>
      <c r="V32" s="746"/>
      <c r="W32" s="459">
        <f>W90</f>
        <v>46107</v>
      </c>
      <c r="X32" s="734"/>
      <c r="Y32" s="611" t="s">
        <v>318</v>
      </c>
      <c r="Z32" s="493">
        <f>Z17*0.85</f>
        <v>10512.686666666666</v>
      </c>
      <c r="AC32" s="664" t="s">
        <v>318</v>
      </c>
      <c r="AD32" s="493">
        <v>32222.31</v>
      </c>
      <c r="AG32" s="664" t="s">
        <v>318</v>
      </c>
      <c r="AH32" s="493">
        <v>42963.079999999994</v>
      </c>
    </row>
    <row r="33" spans="1:35" ht="14.25" customHeight="1">
      <c r="B33" s="224">
        <v>4</v>
      </c>
      <c r="C33" s="309"/>
      <c r="D33" s="309"/>
      <c r="E33" s="295"/>
      <c r="F33" s="351"/>
      <c r="G33" s="204"/>
      <c r="H33" s="546"/>
      <c r="I33" s="734"/>
      <c r="J33" s="737"/>
      <c r="K33" s="205"/>
      <c r="L33" s="202">
        <v>4</v>
      </c>
      <c r="M33" s="325" t="s">
        <v>313</v>
      </c>
      <c r="N33" s="309" t="s">
        <v>158</v>
      </c>
      <c r="O33" s="438"/>
      <c r="P33" s="448">
        <v>0.15</v>
      </c>
      <c r="Q33" s="204">
        <f t="shared" ref="Q33:Q36" si="6">$O$32*P33</f>
        <v>10680.305249999999</v>
      </c>
      <c r="R33" s="740"/>
      <c r="S33" s="506"/>
      <c r="T33" s="416">
        <f t="shared" ref="T33:T39" si="7">T91</f>
        <v>46142</v>
      </c>
      <c r="U33" s="401">
        <f t="shared" si="4"/>
        <v>13471.61042868511</v>
      </c>
      <c r="V33" s="746"/>
      <c r="W33" s="459">
        <f t="shared" ref="W33:W38" si="8">W91</f>
        <v>46114</v>
      </c>
      <c r="X33" s="734"/>
      <c r="Y33" s="611" t="s">
        <v>319</v>
      </c>
      <c r="Z33" s="493">
        <f>Z18*0.85</f>
        <v>1956.8888888888887</v>
      </c>
      <c r="AC33" s="664" t="s">
        <v>319</v>
      </c>
      <c r="AD33" s="493">
        <v>7548</v>
      </c>
      <c r="AG33" s="664" t="s">
        <v>319</v>
      </c>
      <c r="AH33" s="493">
        <v>10063.999999999998</v>
      </c>
    </row>
    <row r="34" spans="1:35" ht="14.25" customHeight="1">
      <c r="B34" s="224">
        <v>4</v>
      </c>
      <c r="C34" s="309"/>
      <c r="D34" s="309"/>
      <c r="E34" s="295"/>
      <c r="F34" s="351"/>
      <c r="G34" s="204"/>
      <c r="H34" s="546"/>
      <c r="I34" s="734"/>
      <c r="J34" s="737"/>
      <c r="K34" s="205"/>
      <c r="L34" s="202">
        <v>4</v>
      </c>
      <c r="M34" s="325" t="s">
        <v>313</v>
      </c>
      <c r="N34" s="309" t="s">
        <v>320</v>
      </c>
      <c r="O34" s="438"/>
      <c r="P34" s="448">
        <v>0.2</v>
      </c>
      <c r="Q34" s="204">
        <f t="shared" si="6"/>
        <v>14240.407000000001</v>
      </c>
      <c r="R34" s="740"/>
      <c r="S34" s="506"/>
      <c r="T34" s="416">
        <f t="shared" si="7"/>
        <v>46173</v>
      </c>
      <c r="U34" s="401">
        <f t="shared" si="4"/>
        <v>17962.147238246813</v>
      </c>
      <c r="V34" s="746"/>
      <c r="W34" s="459">
        <f t="shared" si="8"/>
        <v>46157</v>
      </c>
      <c r="X34" s="734"/>
      <c r="Y34" s="611" t="s">
        <v>321</v>
      </c>
      <c r="Z34" s="493">
        <v>0</v>
      </c>
      <c r="AC34" s="664" t="s">
        <v>321</v>
      </c>
      <c r="AD34" s="493">
        <v>0</v>
      </c>
      <c r="AG34" s="664" t="s">
        <v>321</v>
      </c>
      <c r="AH34" s="493">
        <v>0</v>
      </c>
    </row>
    <row r="35" spans="1:35" ht="14.25" customHeight="1">
      <c r="B35" s="224">
        <v>4</v>
      </c>
      <c r="C35" s="309"/>
      <c r="D35" s="309"/>
      <c r="E35" s="295"/>
      <c r="F35" s="351"/>
      <c r="G35" s="204"/>
      <c r="H35" s="546"/>
      <c r="I35" s="734"/>
      <c r="J35" s="737"/>
      <c r="K35" s="205"/>
      <c r="L35" s="202">
        <v>4</v>
      </c>
      <c r="M35" s="325" t="s">
        <v>313</v>
      </c>
      <c r="N35" s="309" t="s">
        <v>322</v>
      </c>
      <c r="O35" s="438"/>
      <c r="P35" s="448">
        <v>0.25</v>
      </c>
      <c r="Q35" s="204">
        <f t="shared" si="6"/>
        <v>17800.508750000001</v>
      </c>
      <c r="R35" s="740"/>
      <c r="S35" s="506"/>
      <c r="T35" s="416">
        <f t="shared" si="7"/>
        <v>46173</v>
      </c>
      <c r="U35" s="401">
        <f t="shared" si="4"/>
        <v>22452.684047808518</v>
      </c>
      <c r="V35" s="746"/>
      <c r="W35" s="459">
        <f t="shared" si="8"/>
        <v>46149</v>
      </c>
      <c r="X35" s="734"/>
      <c r="Y35" s="611" t="s">
        <v>301</v>
      </c>
      <c r="Z35" s="493">
        <v>0</v>
      </c>
      <c r="AC35" s="664" t="s">
        <v>301</v>
      </c>
      <c r="AD35" s="493">
        <v>0</v>
      </c>
      <c r="AG35" s="664" t="s">
        <v>301</v>
      </c>
      <c r="AH35" s="493">
        <v>0</v>
      </c>
    </row>
    <row r="36" spans="1:35" ht="14.25" customHeight="1">
      <c r="B36" s="224">
        <v>4</v>
      </c>
      <c r="C36" s="309"/>
      <c r="D36" s="309"/>
      <c r="E36" s="295"/>
      <c r="F36" s="351"/>
      <c r="G36" s="204"/>
      <c r="H36" s="546"/>
      <c r="I36" s="734"/>
      <c r="J36" s="737"/>
      <c r="K36" s="205"/>
      <c r="L36" s="202">
        <v>4</v>
      </c>
      <c r="M36" s="325" t="s">
        <v>313</v>
      </c>
      <c r="N36" s="309" t="s">
        <v>323</v>
      </c>
      <c r="O36" s="438"/>
      <c r="P36" s="448">
        <v>0.1</v>
      </c>
      <c r="Q36" s="204">
        <f t="shared" si="6"/>
        <v>7120.2035000000005</v>
      </c>
      <c r="R36" s="740"/>
      <c r="S36" s="506"/>
      <c r="T36" s="416">
        <f t="shared" si="7"/>
        <v>46173</v>
      </c>
      <c r="U36" s="401">
        <f t="shared" si="4"/>
        <v>8981.0736191234064</v>
      </c>
      <c r="V36" s="746"/>
      <c r="W36" s="459">
        <f t="shared" si="8"/>
        <v>46162</v>
      </c>
      <c r="X36" s="734"/>
      <c r="Y36" s="611" t="s">
        <v>306</v>
      </c>
      <c r="Z36" s="493">
        <v>0</v>
      </c>
      <c r="AC36" s="664" t="s">
        <v>306</v>
      </c>
      <c r="AD36" s="493">
        <v>0</v>
      </c>
      <c r="AG36" s="664" t="s">
        <v>306</v>
      </c>
      <c r="AH36" s="493">
        <v>0</v>
      </c>
    </row>
    <row r="37" spans="1:35" ht="14.25" customHeight="1">
      <c r="B37" s="224">
        <v>4</v>
      </c>
      <c r="C37" s="309"/>
      <c r="D37" s="309"/>
      <c r="E37" s="295"/>
      <c r="F37" s="351"/>
      <c r="G37" s="204"/>
      <c r="H37" s="546"/>
      <c r="I37" s="734"/>
      <c r="J37" s="737"/>
      <c r="K37" s="205"/>
      <c r="L37" s="202">
        <v>4</v>
      </c>
      <c r="M37" s="325" t="s">
        <v>313</v>
      </c>
      <c r="N37" s="309" t="s">
        <v>324</v>
      </c>
      <c r="O37" s="438"/>
      <c r="P37" s="448">
        <v>0.15</v>
      </c>
      <c r="Q37" s="204">
        <f t="shared" ref="Q37:Q38" si="9">$O$32*P37</f>
        <v>10680.305249999999</v>
      </c>
      <c r="R37" s="740"/>
      <c r="S37" s="506"/>
      <c r="T37" s="416">
        <f t="shared" si="7"/>
        <v>46173</v>
      </c>
      <c r="U37" s="401">
        <f t="shared" si="4"/>
        <v>13471.61042868511</v>
      </c>
      <c r="V37" s="746"/>
      <c r="W37" s="459">
        <f t="shared" si="8"/>
        <v>46168</v>
      </c>
      <c r="X37" s="734"/>
      <c r="Y37" s="611" t="s">
        <v>306</v>
      </c>
      <c r="Z37" s="494">
        <v>0</v>
      </c>
      <c r="AC37" s="664" t="s">
        <v>306</v>
      </c>
      <c r="AD37" s="494">
        <v>0</v>
      </c>
      <c r="AG37" s="664" t="s">
        <v>306</v>
      </c>
      <c r="AH37" s="494">
        <v>0</v>
      </c>
    </row>
    <row r="38" spans="1:35" ht="14.25" customHeight="1">
      <c r="B38" s="224">
        <v>4</v>
      </c>
      <c r="C38" s="309"/>
      <c r="D38" s="309"/>
      <c r="E38" s="295"/>
      <c r="F38" s="351"/>
      <c r="G38" s="204"/>
      <c r="H38" s="546"/>
      <c r="I38" s="734"/>
      <c r="J38" s="737"/>
      <c r="K38" s="205"/>
      <c r="L38" s="202">
        <v>4</v>
      </c>
      <c r="M38" s="325" t="s">
        <v>313</v>
      </c>
      <c r="N38" s="309" t="s">
        <v>325</v>
      </c>
      <c r="O38" s="438"/>
      <c r="P38" s="448">
        <v>0.05</v>
      </c>
      <c r="Q38" s="204">
        <f t="shared" si="9"/>
        <v>3560.1017500000003</v>
      </c>
      <c r="R38" s="741"/>
      <c r="S38" s="506"/>
      <c r="T38" s="416">
        <f t="shared" si="7"/>
        <v>46203</v>
      </c>
      <c r="U38" s="401">
        <f t="shared" si="4"/>
        <v>4490.5368095617032</v>
      </c>
      <c r="V38" s="746"/>
      <c r="W38" s="459">
        <f t="shared" si="8"/>
        <v>46198</v>
      </c>
      <c r="X38" s="734"/>
      <c r="Y38" s="611" t="s">
        <v>258</v>
      </c>
      <c r="Z38" s="493">
        <f>SUM(Z27:Z37)</f>
        <v>336316.1235990338</v>
      </c>
      <c r="AC38" s="664" t="s">
        <v>258</v>
      </c>
      <c r="AD38" s="493">
        <f>SUM(AD27:AD37)</f>
        <v>1134306.9384130435</v>
      </c>
      <c r="AG38" s="664" t="s">
        <v>258</v>
      </c>
      <c r="AH38" s="493">
        <f>SUM(AH27:AH37)</f>
        <v>1512409.2512173913</v>
      </c>
    </row>
    <row r="39" spans="1:35" ht="14.25" customHeight="1">
      <c r="B39" s="224">
        <v>4</v>
      </c>
      <c r="C39" s="309"/>
      <c r="D39" s="309"/>
      <c r="E39" s="295"/>
      <c r="F39" s="351"/>
      <c r="G39" s="204"/>
      <c r="H39" s="546"/>
      <c r="I39" s="734"/>
      <c r="J39" s="737"/>
      <c r="K39" s="205"/>
      <c r="L39" s="202">
        <v>4</v>
      </c>
      <c r="M39" s="325" t="s">
        <v>313</v>
      </c>
      <c r="N39" s="309"/>
      <c r="O39" s="438"/>
      <c r="P39" s="448"/>
      <c r="Q39" s="204"/>
      <c r="R39" s="475"/>
      <c r="S39" s="506"/>
      <c r="T39" s="416" t="str">
        <f t="shared" si="7"/>
        <v/>
      </c>
      <c r="U39" s="401">
        <f t="shared" si="4"/>
        <v>0</v>
      </c>
      <c r="V39" s="746"/>
      <c r="W39" s="459"/>
      <c r="X39" s="734"/>
      <c r="Y39" s="612" t="s">
        <v>308</v>
      </c>
      <c r="Z39" s="494">
        <f>Z38/'Project Plan'!$E$3/1000</f>
        <v>1.5217924144752659</v>
      </c>
      <c r="AC39" s="665" t="s">
        <v>308</v>
      </c>
      <c r="AD39" s="494">
        <f>AD38/'Project Plan'!$E$3/1000</f>
        <v>5.1326105810544957</v>
      </c>
      <c r="AG39" s="665" t="s">
        <v>308</v>
      </c>
      <c r="AH39" s="494">
        <f>AH38/'Project Plan'!$E$3/1000</f>
        <v>6.8434807747393274</v>
      </c>
    </row>
    <row r="40" spans="1:35" ht="14.25" customHeight="1" thickBot="1">
      <c r="B40" s="224">
        <v>4</v>
      </c>
      <c r="C40" s="309"/>
      <c r="D40" s="309"/>
      <c r="E40" s="295"/>
      <c r="F40" s="351"/>
      <c r="G40" s="204"/>
      <c r="H40" s="546"/>
      <c r="I40" s="734"/>
      <c r="J40" s="737"/>
      <c r="K40" s="205"/>
      <c r="L40" s="202">
        <v>4</v>
      </c>
      <c r="M40" s="325" t="s">
        <v>313</v>
      </c>
      <c r="N40" s="309"/>
      <c r="O40" s="438"/>
      <c r="P40" s="351"/>
      <c r="Q40" s="204"/>
      <c r="R40" s="475"/>
      <c r="S40" s="506"/>
      <c r="T40" s="416" t="str">
        <f t="shared" si="1"/>
        <v/>
      </c>
      <c r="U40" s="401">
        <f t="shared" si="4"/>
        <v>0</v>
      </c>
      <c r="V40" s="746"/>
      <c r="W40" s="459"/>
      <c r="X40" s="734"/>
    </row>
    <row r="41" spans="1:35" ht="14.25" customHeight="1" thickBot="1">
      <c r="B41" s="224">
        <v>4</v>
      </c>
      <c r="C41" s="309"/>
      <c r="D41" s="309"/>
      <c r="E41" s="295"/>
      <c r="F41" s="351"/>
      <c r="G41" s="204"/>
      <c r="H41" s="546"/>
      <c r="I41" s="734"/>
      <c r="J41" s="737"/>
      <c r="K41" s="205"/>
      <c r="L41" s="202">
        <v>4</v>
      </c>
      <c r="M41" s="325" t="s">
        <v>313</v>
      </c>
      <c r="N41" s="309"/>
      <c r="O41" s="438"/>
      <c r="P41" s="351"/>
      <c r="Q41" s="204"/>
      <c r="R41" s="475"/>
      <c r="S41" s="506"/>
      <c r="T41" s="416" t="str">
        <f t="shared" si="1"/>
        <v/>
      </c>
      <c r="U41" s="401">
        <f t="shared" si="4"/>
        <v>0</v>
      </c>
      <c r="V41" s="746"/>
      <c r="W41" s="459"/>
      <c r="X41" s="734"/>
      <c r="Y41" s="771" t="s">
        <v>326</v>
      </c>
      <c r="Z41" s="772"/>
      <c r="AA41" s="772"/>
      <c r="AB41" s="772"/>
      <c r="AC41" s="772"/>
      <c r="AD41" s="772"/>
      <c r="AE41" s="772"/>
      <c r="AF41" s="772"/>
      <c r="AG41" s="772"/>
      <c r="AH41" s="773"/>
    </row>
    <row r="42" spans="1:35" ht="15" customHeight="1" thickBot="1">
      <c r="B42" s="206">
        <v>4</v>
      </c>
      <c r="C42" s="229"/>
      <c r="D42" s="229"/>
      <c r="E42" s="298"/>
      <c r="F42" s="353"/>
      <c r="G42" s="209"/>
      <c r="H42" s="556"/>
      <c r="I42" s="735"/>
      <c r="J42" s="738"/>
      <c r="K42" s="210"/>
      <c r="L42" s="206">
        <v>4</v>
      </c>
      <c r="M42" s="326" t="s">
        <v>313</v>
      </c>
      <c r="N42" s="229"/>
      <c r="O42" s="439"/>
      <c r="P42" s="353"/>
      <c r="Q42" s="209"/>
      <c r="R42" s="476"/>
      <c r="S42" s="507"/>
      <c r="T42" s="417" t="str">
        <f t="shared" si="1"/>
        <v/>
      </c>
      <c r="U42" s="402">
        <f>(Q42/$X$28*$J$28)</f>
        <v>0</v>
      </c>
      <c r="V42" s="747"/>
      <c r="W42" s="460"/>
      <c r="X42" s="735"/>
    </row>
    <row r="43" spans="1:35" ht="14.45" thickBot="1">
      <c r="A43" s="4"/>
      <c r="B43" s="180"/>
      <c r="C43" s="181"/>
      <c r="D43" s="212"/>
      <c r="E43" s="195"/>
      <c r="F43" s="354"/>
      <c r="G43" s="196"/>
      <c r="H43" s="557"/>
      <c r="I43" s="548"/>
      <c r="J43" s="184"/>
      <c r="K43" s="4"/>
      <c r="L43" s="180"/>
      <c r="M43" s="181"/>
      <c r="N43" s="212"/>
      <c r="O43" s="436"/>
      <c r="P43" s="354"/>
      <c r="Q43" s="196"/>
      <c r="R43" s="478"/>
      <c r="S43" s="509"/>
      <c r="T43" s="414" t="str">
        <f t="shared" si="1"/>
        <v/>
      </c>
      <c r="U43" s="405"/>
      <c r="V43" s="388"/>
      <c r="W43" s="457"/>
      <c r="X43" s="548"/>
      <c r="Y43" s="610" t="s">
        <v>221</v>
      </c>
      <c r="Z43" s="492" t="s">
        <v>309</v>
      </c>
      <c r="AC43" s="663" t="s">
        <v>221</v>
      </c>
      <c r="AD43" s="492" t="s">
        <v>310</v>
      </c>
      <c r="AG43" s="663" t="s">
        <v>221</v>
      </c>
      <c r="AH43" s="492" t="s">
        <v>311</v>
      </c>
    </row>
    <row r="44" spans="1:35" ht="14.25" customHeight="1">
      <c r="B44" s="185">
        <v>5</v>
      </c>
      <c r="C44" s="213" t="s">
        <v>327</v>
      </c>
      <c r="D44" s="231" t="s">
        <v>328</v>
      </c>
      <c r="E44" s="187"/>
      <c r="F44" s="336"/>
      <c r="G44" s="188">
        <v>26000</v>
      </c>
      <c r="H44" s="543">
        <f>H52</f>
        <v>46166</v>
      </c>
      <c r="I44" s="724">
        <f>D165</f>
        <v>49000</v>
      </c>
      <c r="J44" s="727">
        <f>F165</f>
        <v>61250</v>
      </c>
      <c r="K44" s="189"/>
      <c r="L44" s="185">
        <v>5</v>
      </c>
      <c r="M44" s="321" t="s">
        <v>329</v>
      </c>
      <c r="N44" s="231" t="s">
        <v>328</v>
      </c>
      <c r="O44" s="432"/>
      <c r="P44" s="336"/>
      <c r="Q44" s="188">
        <v>8500</v>
      </c>
      <c r="R44" s="477"/>
      <c r="S44" s="508"/>
      <c r="T44" s="411">
        <f>T14</f>
        <v>46142</v>
      </c>
      <c r="U44" s="396">
        <f>(Q44/$X$44*$J$44)</f>
        <v>10517.676767676767</v>
      </c>
      <c r="V44" s="742">
        <f>J44-SUM(U44:U50)</f>
        <v>0</v>
      </c>
      <c r="W44" s="461">
        <f>W14</f>
        <v>46174</v>
      </c>
      <c r="X44" s="724">
        <f>SUM(Q44:Q50)</f>
        <v>49500</v>
      </c>
      <c r="Y44" s="611" t="s">
        <v>290</v>
      </c>
      <c r="Z44" s="493">
        <f>Z27*0.9</f>
        <v>88111.811739130426</v>
      </c>
      <c r="AC44" s="664" t="s">
        <v>290</v>
      </c>
      <c r="AD44" s="493">
        <f>AD27*0.95</f>
        <v>294059.49964239128</v>
      </c>
      <c r="AG44" s="664" t="s">
        <v>290</v>
      </c>
      <c r="AH44" s="493">
        <f>AH27*0.9</f>
        <v>371443.57849565218</v>
      </c>
    </row>
    <row r="45" spans="1:35" ht="14.25" customHeight="1">
      <c r="B45" s="190">
        <v>5</v>
      </c>
      <c r="C45" s="214"/>
      <c r="D45" s="217" t="s">
        <v>330</v>
      </c>
      <c r="E45" s="349"/>
      <c r="F45" s="350"/>
      <c r="G45" s="219">
        <v>8000</v>
      </c>
      <c r="H45" s="542">
        <f>H44</f>
        <v>46166</v>
      </c>
      <c r="I45" s="725"/>
      <c r="J45" s="728"/>
      <c r="K45" s="192"/>
      <c r="L45" s="190">
        <v>5</v>
      </c>
      <c r="M45" s="327" t="s">
        <v>329</v>
      </c>
      <c r="N45" s="191" t="s">
        <v>331</v>
      </c>
      <c r="O45" s="440"/>
      <c r="P45" s="350"/>
      <c r="Q45" s="219">
        <v>26000</v>
      </c>
      <c r="R45" s="518"/>
      <c r="S45" s="501"/>
      <c r="T45" s="411">
        <v>46142</v>
      </c>
      <c r="U45" s="396">
        <f t="shared" ref="U45:U50" si="10">(Q45/$X$44*$J$44)</f>
        <v>32171.717171717173</v>
      </c>
      <c r="V45" s="743"/>
      <c r="W45" s="454">
        <f>T45+30</f>
        <v>46172</v>
      </c>
      <c r="X45" s="725"/>
      <c r="Y45" s="611" t="s">
        <v>293</v>
      </c>
      <c r="Z45" s="493">
        <f t="shared" ref="Z45:Z51" si="11">Z28*0.9</f>
        <v>64081.831500000008</v>
      </c>
      <c r="AC45" s="664" t="s">
        <v>293</v>
      </c>
      <c r="AD45" s="493">
        <f t="shared" ref="AD45:AD50" si="12">AD28*0.95</f>
        <v>277127.36234999995</v>
      </c>
      <c r="AG45" s="664" t="s">
        <v>293</v>
      </c>
      <c r="AH45" s="493">
        <f t="shared" ref="AH45:AH50" si="13">AH28*0.9</f>
        <v>350055.61559999996</v>
      </c>
    </row>
    <row r="46" spans="1:35" ht="14.25" customHeight="1">
      <c r="B46" s="190">
        <v>5</v>
      </c>
      <c r="C46" s="214"/>
      <c r="D46" s="288" t="s">
        <v>332</v>
      </c>
      <c r="E46" s="218"/>
      <c r="F46" s="357"/>
      <c r="G46" s="219">
        <v>15000</v>
      </c>
      <c r="H46" s="542">
        <f>H45</f>
        <v>46166</v>
      </c>
      <c r="I46" s="725"/>
      <c r="J46" s="728"/>
      <c r="K46" s="192"/>
      <c r="L46" s="190">
        <v>5</v>
      </c>
      <c r="M46" s="327" t="s">
        <v>329</v>
      </c>
      <c r="N46" s="217" t="s">
        <v>332</v>
      </c>
      <c r="O46" s="433"/>
      <c r="P46" s="357"/>
      <c r="Q46" s="219">
        <v>15000</v>
      </c>
      <c r="R46" s="470"/>
      <c r="S46" s="501"/>
      <c r="T46" s="411">
        <v>46142</v>
      </c>
      <c r="U46" s="396">
        <f t="shared" si="10"/>
        <v>18560.60606060606</v>
      </c>
      <c r="V46" s="743"/>
      <c r="W46" s="454">
        <f>W45</f>
        <v>46172</v>
      </c>
      <c r="X46" s="725"/>
      <c r="Y46" s="611" t="s">
        <v>295</v>
      </c>
      <c r="Z46" s="493">
        <f t="shared" si="11"/>
        <v>42212.700000000004</v>
      </c>
      <c r="AA46" s="666">
        <f>Z46/'Project Plan'!$E$3/1000</f>
        <v>0.19100769230769235</v>
      </c>
      <c r="AC46" s="664" t="s">
        <v>295</v>
      </c>
      <c r="AD46" s="493">
        <f t="shared" si="12"/>
        <v>145408.14000000001</v>
      </c>
      <c r="AE46" s="666">
        <f>AD46/'Project Plan'!$E$3/1000</f>
        <v>0.65795538461538472</v>
      </c>
      <c r="AG46" s="664" t="s">
        <v>295</v>
      </c>
      <c r="AH46" s="493">
        <f t="shared" si="13"/>
        <v>183673.44</v>
      </c>
      <c r="AI46" s="666">
        <f>AH46/'Project Plan'!$E$3/1000</f>
        <v>0.83110153846153845</v>
      </c>
    </row>
    <row r="47" spans="1:35" ht="14.25" customHeight="1">
      <c r="B47" s="215">
        <v>5</v>
      </c>
      <c r="C47" s="216"/>
      <c r="D47" s="217"/>
      <c r="E47" s="218"/>
      <c r="F47" s="357"/>
      <c r="G47" s="219"/>
      <c r="H47" s="542"/>
      <c r="I47" s="725"/>
      <c r="J47" s="728"/>
      <c r="K47" s="192"/>
      <c r="L47" s="215">
        <v>5</v>
      </c>
      <c r="M47" s="327" t="s">
        <v>329</v>
      </c>
      <c r="N47" s="217"/>
      <c r="O47" s="433"/>
      <c r="P47" s="357"/>
      <c r="Q47" s="219"/>
      <c r="R47" s="470"/>
      <c r="S47" s="501"/>
      <c r="T47" s="542" t="str">
        <f t="shared" si="1"/>
        <v/>
      </c>
      <c r="U47" s="396">
        <f t="shared" si="10"/>
        <v>0</v>
      </c>
      <c r="V47" s="743"/>
      <c r="W47" s="454"/>
      <c r="X47" s="725"/>
      <c r="Y47" s="611" t="s">
        <v>296</v>
      </c>
      <c r="Z47" s="493">
        <f t="shared" si="11"/>
        <v>90553.050000000017</v>
      </c>
      <c r="AA47" s="666">
        <f>Z47/'Project Plan'!$E$3/1000</f>
        <v>0.40974230769230774</v>
      </c>
      <c r="AC47" s="664" t="s">
        <v>296</v>
      </c>
      <c r="AD47" s="493">
        <f t="shared" si="12"/>
        <v>317037.42000000004</v>
      </c>
      <c r="AE47" s="666">
        <f>AD47/'Project Plan'!$E$3/1000</f>
        <v>1.4345584615384617</v>
      </c>
      <c r="AG47" s="664" t="s">
        <v>296</v>
      </c>
      <c r="AH47" s="493">
        <f t="shared" si="13"/>
        <v>400468.32</v>
      </c>
      <c r="AI47" s="666">
        <f>AH47/'Project Plan'!$E$3/1000</f>
        <v>1.8120738461538464</v>
      </c>
    </row>
    <row r="48" spans="1:35" ht="14.25" customHeight="1">
      <c r="B48" s="284">
        <v>5</v>
      </c>
      <c r="C48" s="285"/>
      <c r="D48" s="288"/>
      <c r="E48" s="307"/>
      <c r="F48" s="343"/>
      <c r="G48" s="287"/>
      <c r="H48" s="552"/>
      <c r="I48" s="725"/>
      <c r="J48" s="728"/>
      <c r="K48" s="192"/>
      <c r="L48" s="215">
        <v>5</v>
      </c>
      <c r="M48" s="327" t="s">
        <v>329</v>
      </c>
      <c r="N48" s="288"/>
      <c r="O48" s="434"/>
      <c r="P48" s="343"/>
      <c r="Q48" s="287"/>
      <c r="R48" s="471"/>
      <c r="S48" s="502"/>
      <c r="T48" s="412" t="str">
        <f t="shared" si="1"/>
        <v/>
      </c>
      <c r="U48" s="396">
        <f t="shared" si="10"/>
        <v>0</v>
      </c>
      <c r="V48" s="743"/>
      <c r="W48" s="455"/>
      <c r="X48" s="725"/>
      <c r="Y48" s="611" t="s">
        <v>316</v>
      </c>
      <c r="Z48" s="493">
        <f t="shared" si="11"/>
        <v>6502.5</v>
      </c>
      <c r="AC48" s="664" t="s">
        <v>316</v>
      </c>
      <c r="AD48" s="493">
        <f t="shared" si="12"/>
        <v>6177.375</v>
      </c>
      <c r="AG48" s="664" t="s">
        <v>316</v>
      </c>
      <c r="AH48" s="493">
        <f t="shared" si="13"/>
        <v>7803</v>
      </c>
    </row>
    <row r="49" spans="1:34" ht="14.25" customHeight="1">
      <c r="B49" s="284">
        <v>5</v>
      </c>
      <c r="C49" s="285"/>
      <c r="D49" s="288"/>
      <c r="E49" s="307"/>
      <c r="F49" s="343"/>
      <c r="G49" s="287"/>
      <c r="H49" s="552"/>
      <c r="I49" s="725"/>
      <c r="J49" s="728"/>
      <c r="K49" s="192"/>
      <c r="L49" s="215">
        <v>5</v>
      </c>
      <c r="M49" s="327" t="s">
        <v>329</v>
      </c>
      <c r="N49" s="288"/>
      <c r="O49" s="434"/>
      <c r="P49" s="343"/>
      <c r="Q49" s="287"/>
      <c r="R49" s="471"/>
      <c r="S49" s="502"/>
      <c r="T49" s="412" t="str">
        <f t="shared" si="1"/>
        <v/>
      </c>
      <c r="U49" s="397">
        <f t="shared" si="10"/>
        <v>0</v>
      </c>
      <c r="V49" s="743"/>
      <c r="W49" s="455"/>
      <c r="X49" s="725"/>
      <c r="Y49" s="611" t="s">
        <v>318</v>
      </c>
      <c r="Z49" s="493">
        <f t="shared" si="11"/>
        <v>9461.4179999999997</v>
      </c>
      <c r="AC49" s="664" t="s">
        <v>318</v>
      </c>
      <c r="AD49" s="493">
        <f t="shared" si="12"/>
        <v>30611.194500000001</v>
      </c>
      <c r="AG49" s="664" t="s">
        <v>318</v>
      </c>
      <c r="AH49" s="493">
        <f t="shared" si="13"/>
        <v>38666.771999999997</v>
      </c>
    </row>
    <row r="50" spans="1:34" ht="15" customHeight="1" thickBot="1">
      <c r="B50" s="220">
        <v>5</v>
      </c>
      <c r="C50" s="241"/>
      <c r="D50" s="221"/>
      <c r="E50" s="222"/>
      <c r="F50" s="358"/>
      <c r="G50" s="234"/>
      <c r="H50" s="553"/>
      <c r="I50" s="726"/>
      <c r="J50" s="729"/>
      <c r="K50" s="193"/>
      <c r="L50" s="220">
        <v>5</v>
      </c>
      <c r="M50" s="323" t="s">
        <v>329</v>
      </c>
      <c r="N50" s="221"/>
      <c r="O50" s="435"/>
      <c r="P50" s="358"/>
      <c r="Q50" s="234"/>
      <c r="R50" s="472"/>
      <c r="S50" s="503"/>
      <c r="T50" s="413" t="str">
        <f t="shared" si="1"/>
        <v/>
      </c>
      <c r="U50" s="398">
        <f t="shared" si="10"/>
        <v>0</v>
      </c>
      <c r="V50" s="744"/>
      <c r="W50" s="456"/>
      <c r="X50" s="726"/>
      <c r="Y50" s="611" t="s">
        <v>319</v>
      </c>
      <c r="Z50" s="493">
        <f t="shared" si="11"/>
        <v>1761.1999999999998</v>
      </c>
      <c r="AC50" s="664" t="s">
        <v>319</v>
      </c>
      <c r="AD50" s="493">
        <f t="shared" si="12"/>
        <v>7170.5999999999995</v>
      </c>
      <c r="AG50" s="664" t="s">
        <v>319</v>
      </c>
      <c r="AH50" s="493">
        <f t="shared" si="13"/>
        <v>9057.5999999999985</v>
      </c>
    </row>
    <row r="51" spans="1:34" ht="14.45" thickBot="1">
      <c r="A51" s="4"/>
      <c r="B51" s="194"/>
      <c r="C51" s="211"/>
      <c r="D51" s="182"/>
      <c r="E51" s="195"/>
      <c r="F51" s="354"/>
      <c r="G51" s="196"/>
      <c r="H51" s="554"/>
      <c r="I51" s="549"/>
      <c r="J51" s="230"/>
      <c r="K51" s="4"/>
      <c r="L51" s="194"/>
      <c r="M51" s="211"/>
      <c r="N51" s="182"/>
      <c r="O51" s="436"/>
      <c r="P51" s="354"/>
      <c r="Q51" s="196"/>
      <c r="R51" s="473"/>
      <c r="S51" s="504"/>
      <c r="T51" s="414" t="str">
        <f t="shared" si="1"/>
        <v/>
      </c>
      <c r="U51" s="403"/>
      <c r="V51" s="385"/>
      <c r="W51" s="457"/>
      <c r="X51" s="549"/>
      <c r="Y51" s="611" t="s">
        <v>321</v>
      </c>
      <c r="Z51" s="493">
        <f t="shared" si="11"/>
        <v>0</v>
      </c>
      <c r="AC51" s="664" t="s">
        <v>321</v>
      </c>
      <c r="AD51" s="493">
        <v>0</v>
      </c>
      <c r="AG51" s="664" t="s">
        <v>321</v>
      </c>
      <c r="AH51" s="493">
        <v>0</v>
      </c>
    </row>
    <row r="52" spans="1:34" ht="14.25" customHeight="1">
      <c r="B52" s="197">
        <v>6</v>
      </c>
      <c r="C52" s="198" t="s">
        <v>290</v>
      </c>
      <c r="D52" s="199" t="s">
        <v>333</v>
      </c>
      <c r="E52" s="373"/>
      <c r="F52" s="355"/>
      <c r="G52" s="200">
        <f>D164</f>
        <v>350472.95652173914</v>
      </c>
      <c r="H52" s="555">
        <f>'Project Plan'!G25+30</f>
        <v>46166</v>
      </c>
      <c r="I52" s="733">
        <f>SUM(G52:G68)</f>
        <v>350472.95652173914</v>
      </c>
      <c r="J52" s="736">
        <f>F164</f>
        <v>438091.19565217395</v>
      </c>
      <c r="K52" s="201"/>
      <c r="L52" s="197">
        <v>6</v>
      </c>
      <c r="M52" s="330" t="s">
        <v>334</v>
      </c>
      <c r="N52" s="199"/>
      <c r="O52" s="428"/>
      <c r="P52" s="355"/>
      <c r="Q52" s="200"/>
      <c r="R52" s="474"/>
      <c r="S52" s="505"/>
      <c r="T52" s="415" t="str">
        <f t="shared" si="1"/>
        <v/>
      </c>
      <c r="U52" s="400">
        <f t="shared" ref="U52:U67" si="14">(Q52/$X$52*$J$52)</f>
        <v>0</v>
      </c>
      <c r="V52" s="745">
        <f>J52-SUM(U52:U68)</f>
        <v>0</v>
      </c>
      <c r="W52" s="458"/>
      <c r="X52" s="733">
        <f>SUM(Q52:Q68)</f>
        <v>190946.66304347824</v>
      </c>
      <c r="Y52" s="611" t="s">
        <v>301</v>
      </c>
      <c r="Z52" s="493">
        <v>0</v>
      </c>
      <c r="AC52" s="664" t="s">
        <v>301</v>
      </c>
      <c r="AD52" s="493">
        <v>0</v>
      </c>
      <c r="AG52" s="664" t="s">
        <v>301</v>
      </c>
      <c r="AH52" s="493">
        <v>0</v>
      </c>
    </row>
    <row r="53" spans="1:34" ht="14.25" customHeight="1">
      <c r="B53" s="202">
        <v>6</v>
      </c>
      <c r="C53" s="309"/>
      <c r="D53" s="342"/>
      <c r="E53" s="295"/>
      <c r="F53" s="351"/>
      <c r="G53" s="225"/>
      <c r="H53" s="546"/>
      <c r="I53" s="734"/>
      <c r="J53" s="737"/>
      <c r="K53" s="205"/>
      <c r="L53" s="202">
        <v>6</v>
      </c>
      <c r="M53" s="328" t="s">
        <v>334</v>
      </c>
      <c r="N53" s="342" t="s">
        <v>77</v>
      </c>
      <c r="O53" s="438"/>
      <c r="P53" s="351"/>
      <c r="Q53" s="225">
        <v>93044.65</v>
      </c>
      <c r="R53" s="475"/>
      <c r="S53" s="506"/>
      <c r="T53" s="416">
        <v>46112</v>
      </c>
      <c r="U53" s="401">
        <f t="shared" si="14"/>
        <v>213473.4449811076</v>
      </c>
      <c r="V53" s="746"/>
      <c r="W53" s="459">
        <f>T53+30</f>
        <v>46142</v>
      </c>
      <c r="X53" s="734"/>
      <c r="Y53" s="611" t="s">
        <v>306</v>
      </c>
      <c r="Z53" s="493">
        <v>0</v>
      </c>
      <c r="AC53" s="664" t="s">
        <v>306</v>
      </c>
      <c r="AD53" s="493">
        <v>0</v>
      </c>
      <c r="AG53" s="664" t="s">
        <v>306</v>
      </c>
      <c r="AH53" s="493">
        <v>0</v>
      </c>
    </row>
    <row r="54" spans="1:34" ht="14.25" customHeight="1">
      <c r="B54" s="202">
        <v>6</v>
      </c>
      <c r="C54" s="309"/>
      <c r="D54" s="342"/>
      <c r="E54" s="295"/>
      <c r="F54" s="351"/>
      <c r="G54" s="225"/>
      <c r="H54" s="546"/>
      <c r="I54" s="734"/>
      <c r="J54" s="737"/>
      <c r="K54" s="205"/>
      <c r="L54" s="202">
        <v>6</v>
      </c>
      <c r="M54" s="328" t="s">
        <v>334</v>
      </c>
      <c r="N54" s="342"/>
      <c r="O54" s="438"/>
      <c r="P54" s="351"/>
      <c r="Q54" s="225"/>
      <c r="R54" s="475"/>
      <c r="S54" s="506"/>
      <c r="T54" s="416" t="str">
        <f t="shared" si="1"/>
        <v/>
      </c>
      <c r="U54" s="401">
        <f t="shared" si="14"/>
        <v>0</v>
      </c>
      <c r="V54" s="746"/>
      <c r="W54" s="459"/>
      <c r="X54" s="734"/>
      <c r="Y54" s="611" t="s">
        <v>306</v>
      </c>
      <c r="Z54" s="494">
        <v>0</v>
      </c>
      <c r="AC54" s="664" t="s">
        <v>306</v>
      </c>
      <c r="AD54" s="494">
        <v>0</v>
      </c>
      <c r="AG54" s="664" t="s">
        <v>306</v>
      </c>
      <c r="AH54" s="494">
        <v>0</v>
      </c>
    </row>
    <row r="55" spans="1:34" ht="14.25" customHeight="1">
      <c r="B55" s="202">
        <v>6</v>
      </c>
      <c r="C55" s="309"/>
      <c r="D55" s="342"/>
      <c r="E55" s="295"/>
      <c r="F55" s="351"/>
      <c r="G55" s="225"/>
      <c r="H55" s="546"/>
      <c r="I55" s="734"/>
      <c r="J55" s="737"/>
      <c r="K55" s="205"/>
      <c r="L55" s="202">
        <v>6</v>
      </c>
      <c r="M55" s="328" t="s">
        <v>334</v>
      </c>
      <c r="N55" s="342"/>
      <c r="O55" s="438"/>
      <c r="P55" s="351"/>
      <c r="Q55" s="225"/>
      <c r="R55" s="475"/>
      <c r="S55" s="506"/>
      <c r="T55" s="416" t="str">
        <f t="shared" si="1"/>
        <v/>
      </c>
      <c r="U55" s="401">
        <f t="shared" si="14"/>
        <v>0</v>
      </c>
      <c r="V55" s="746"/>
      <c r="W55" s="459"/>
      <c r="X55" s="734"/>
      <c r="Y55" s="611" t="s">
        <v>258</v>
      </c>
      <c r="Z55" s="493">
        <f>SUM(Z44:Z54)</f>
        <v>302684.51123913052</v>
      </c>
      <c r="AC55" s="664" t="s">
        <v>258</v>
      </c>
      <c r="AD55" s="493">
        <f>SUM(AD44:AD54)</f>
        <v>1077591.5914923914</v>
      </c>
      <c r="AG55" s="664" t="s">
        <v>258</v>
      </c>
      <c r="AH55" s="493">
        <f>SUM(AH44:AH54)</f>
        <v>1361168.3260956523</v>
      </c>
    </row>
    <row r="56" spans="1:34" ht="14.25" customHeight="1">
      <c r="B56" s="202">
        <v>6</v>
      </c>
      <c r="C56" s="309"/>
      <c r="D56" s="342"/>
      <c r="E56" s="295"/>
      <c r="F56" s="351"/>
      <c r="G56" s="225"/>
      <c r="H56" s="546"/>
      <c r="I56" s="734"/>
      <c r="J56" s="737"/>
      <c r="K56" s="205"/>
      <c r="L56" s="202">
        <v>6</v>
      </c>
      <c r="M56" s="328" t="s">
        <v>334</v>
      </c>
      <c r="N56" s="342"/>
      <c r="O56" s="438"/>
      <c r="P56" s="351"/>
      <c r="Q56" s="225"/>
      <c r="R56" s="475"/>
      <c r="S56" s="506"/>
      <c r="T56" s="416" t="str">
        <f t="shared" si="1"/>
        <v/>
      </c>
      <c r="U56" s="401">
        <f t="shared" si="14"/>
        <v>0</v>
      </c>
      <c r="V56" s="746"/>
      <c r="W56" s="459"/>
      <c r="X56" s="734"/>
      <c r="Y56" s="612" t="s">
        <v>308</v>
      </c>
      <c r="Z56" s="494">
        <f>Z55/'Project Plan'!$E$3/1000</f>
        <v>1.3696131730277399</v>
      </c>
      <c r="AC56" s="665" t="s">
        <v>308</v>
      </c>
      <c r="AD56" s="494">
        <f>AD55/'Project Plan'!$E$3/1000</f>
        <v>4.875980052001772</v>
      </c>
      <c r="AG56" s="665" t="s">
        <v>308</v>
      </c>
      <c r="AH56" s="494">
        <f>AH55/'Project Plan'!$E$3/1000</f>
        <v>6.1591326972653953</v>
      </c>
    </row>
    <row r="57" spans="1:34" ht="14.25" customHeight="1">
      <c r="B57" s="202">
        <v>6</v>
      </c>
      <c r="C57" s="309"/>
      <c r="D57" s="342"/>
      <c r="E57" s="295"/>
      <c r="F57" s="351"/>
      <c r="G57" s="225"/>
      <c r="H57" s="546"/>
      <c r="I57" s="734"/>
      <c r="J57" s="737"/>
      <c r="K57" s="205"/>
      <c r="L57" s="202">
        <v>6</v>
      </c>
      <c r="M57" s="328" t="s">
        <v>334</v>
      </c>
      <c r="N57" s="342"/>
      <c r="O57" s="438"/>
      <c r="P57" s="351"/>
      <c r="Q57" s="225"/>
      <c r="R57" s="475"/>
      <c r="S57" s="506"/>
      <c r="T57" s="416" t="str">
        <f t="shared" si="1"/>
        <v/>
      </c>
      <c r="U57" s="401">
        <f t="shared" si="14"/>
        <v>0</v>
      </c>
      <c r="V57" s="746"/>
      <c r="W57" s="459"/>
      <c r="X57" s="734"/>
    </row>
    <row r="58" spans="1:34" ht="14.25" customHeight="1">
      <c r="B58" s="202">
        <v>6</v>
      </c>
      <c r="C58" s="348"/>
      <c r="D58" s="203"/>
      <c r="E58" s="300"/>
      <c r="F58" s="352"/>
      <c r="G58" s="225"/>
      <c r="H58" s="546"/>
      <c r="I58" s="734"/>
      <c r="J58" s="737"/>
      <c r="K58" s="205"/>
      <c r="L58" s="202">
        <v>6</v>
      </c>
      <c r="M58" s="328" t="s">
        <v>334</v>
      </c>
      <c r="N58" s="309" t="s">
        <v>317</v>
      </c>
      <c r="O58" s="447">
        <f>Z27</f>
        <v>97902.013043478248</v>
      </c>
      <c r="P58" s="448">
        <v>0.1</v>
      </c>
      <c r="Q58" s="204">
        <f>$O$58*P58</f>
        <v>9790.2013043478255</v>
      </c>
      <c r="R58" s="739">
        <f>R90</f>
        <v>0</v>
      </c>
      <c r="S58" s="506"/>
      <c r="T58" s="419">
        <f>T90</f>
        <v>46112</v>
      </c>
      <c r="U58" s="401">
        <f t="shared" si="14"/>
        <v>22461.775067106635</v>
      </c>
      <c r="V58" s="746"/>
      <c r="W58" s="459">
        <f>W90</f>
        <v>46107</v>
      </c>
      <c r="X58" s="734"/>
    </row>
    <row r="59" spans="1:34" ht="14.25" customHeight="1">
      <c r="B59" s="202">
        <v>6</v>
      </c>
      <c r="C59" s="301"/>
      <c r="D59" s="203"/>
      <c r="E59" s="300"/>
      <c r="F59" s="352"/>
      <c r="G59" s="225"/>
      <c r="H59" s="546"/>
      <c r="I59" s="734"/>
      <c r="J59" s="737"/>
      <c r="K59" s="205"/>
      <c r="L59" s="202">
        <v>6</v>
      </c>
      <c r="M59" s="329" t="s">
        <v>334</v>
      </c>
      <c r="N59" s="309" t="s">
        <v>158</v>
      </c>
      <c r="O59" s="438"/>
      <c r="P59" s="448">
        <v>0.15</v>
      </c>
      <c r="Q59" s="204">
        <f t="shared" ref="Q59:Q62" si="15">$O$58*P59</f>
        <v>14685.301956521736</v>
      </c>
      <c r="R59" s="740"/>
      <c r="S59" s="506"/>
      <c r="T59" s="419">
        <f t="shared" si="1"/>
        <v>46142</v>
      </c>
      <c r="U59" s="401">
        <f t="shared" si="14"/>
        <v>33692.662600659947</v>
      </c>
      <c r="V59" s="746"/>
      <c r="W59" s="459">
        <f t="shared" ref="W59:W64" si="16">W91</f>
        <v>46114</v>
      </c>
      <c r="X59" s="734"/>
    </row>
    <row r="60" spans="1:34" ht="14.25" customHeight="1">
      <c r="B60" s="202">
        <v>6</v>
      </c>
      <c r="C60" s="301"/>
      <c r="D60" s="203"/>
      <c r="E60" s="300"/>
      <c r="F60" s="352"/>
      <c r="G60" s="225"/>
      <c r="H60" s="546"/>
      <c r="I60" s="734"/>
      <c r="J60" s="737"/>
      <c r="K60" s="205"/>
      <c r="L60" s="202">
        <v>6</v>
      </c>
      <c r="M60" s="329" t="s">
        <v>334</v>
      </c>
      <c r="N60" s="309" t="s">
        <v>320</v>
      </c>
      <c r="O60" s="438"/>
      <c r="P60" s="448">
        <v>0.2</v>
      </c>
      <c r="Q60" s="204">
        <f t="shared" si="15"/>
        <v>19580.402608695651</v>
      </c>
      <c r="R60" s="740"/>
      <c r="S60" s="506"/>
      <c r="T60" s="419">
        <f t="shared" si="1"/>
        <v>46173</v>
      </c>
      <c r="U60" s="401">
        <f t="shared" si="14"/>
        <v>44923.55013421327</v>
      </c>
      <c r="V60" s="746"/>
      <c r="W60" s="459">
        <f t="shared" si="16"/>
        <v>46157</v>
      </c>
      <c r="X60" s="734"/>
    </row>
    <row r="61" spans="1:34" ht="14.25" customHeight="1">
      <c r="B61" s="202">
        <v>6</v>
      </c>
      <c r="C61" s="301"/>
      <c r="D61" s="203"/>
      <c r="E61" s="300"/>
      <c r="F61" s="352"/>
      <c r="G61" s="225"/>
      <c r="H61" s="546"/>
      <c r="I61" s="734"/>
      <c r="J61" s="737"/>
      <c r="K61" s="205"/>
      <c r="L61" s="202">
        <v>6</v>
      </c>
      <c r="M61" s="329" t="s">
        <v>334</v>
      </c>
      <c r="N61" s="309" t="s">
        <v>322</v>
      </c>
      <c r="O61" s="438"/>
      <c r="P61" s="448">
        <v>0.25</v>
      </c>
      <c r="Q61" s="204">
        <f t="shared" si="15"/>
        <v>24475.503260869562</v>
      </c>
      <c r="R61" s="740"/>
      <c r="S61" s="506"/>
      <c r="T61" s="419">
        <f t="shared" si="1"/>
        <v>46173</v>
      </c>
      <c r="U61" s="401">
        <f t="shared" si="14"/>
        <v>56154.437667766586</v>
      </c>
      <c r="V61" s="746"/>
      <c r="W61" s="459">
        <f t="shared" si="16"/>
        <v>46149</v>
      </c>
      <c r="X61" s="734"/>
    </row>
    <row r="62" spans="1:34" ht="14.25" customHeight="1">
      <c r="B62" s="202">
        <v>6</v>
      </c>
      <c r="C62" s="301"/>
      <c r="D62" s="203"/>
      <c r="E62" s="300"/>
      <c r="F62" s="352"/>
      <c r="G62" s="225"/>
      <c r="H62" s="546"/>
      <c r="I62" s="734"/>
      <c r="J62" s="737"/>
      <c r="K62" s="205"/>
      <c r="L62" s="202">
        <v>6</v>
      </c>
      <c r="M62" s="329" t="s">
        <v>334</v>
      </c>
      <c r="N62" s="309" t="s">
        <v>323</v>
      </c>
      <c r="O62" s="438"/>
      <c r="P62" s="448">
        <v>0.1</v>
      </c>
      <c r="Q62" s="204">
        <f t="shared" si="15"/>
        <v>9790.2013043478255</v>
      </c>
      <c r="R62" s="740"/>
      <c r="S62" s="506"/>
      <c r="T62" s="419">
        <f t="shared" si="1"/>
        <v>46173</v>
      </c>
      <c r="U62" s="401">
        <f t="shared" si="14"/>
        <v>22461.775067106635</v>
      </c>
      <c r="V62" s="746"/>
      <c r="W62" s="459">
        <f t="shared" si="16"/>
        <v>46162</v>
      </c>
      <c r="X62" s="734"/>
    </row>
    <row r="63" spans="1:34" ht="14.25" customHeight="1">
      <c r="B63" s="202">
        <v>6</v>
      </c>
      <c r="C63" s="392"/>
      <c r="D63" s="239"/>
      <c r="E63" s="314"/>
      <c r="F63" s="359"/>
      <c r="G63" s="225"/>
      <c r="H63" s="546"/>
      <c r="I63" s="734"/>
      <c r="J63" s="737"/>
      <c r="K63" s="205"/>
      <c r="L63" s="202">
        <v>6</v>
      </c>
      <c r="M63" s="329" t="s">
        <v>334</v>
      </c>
      <c r="N63" s="309" t="s">
        <v>324</v>
      </c>
      <c r="O63" s="438"/>
      <c r="P63" s="448">
        <v>0.15</v>
      </c>
      <c r="Q63" s="204">
        <f t="shared" ref="Q63:Q64" si="17">$O$58*P63</f>
        <v>14685.301956521736</v>
      </c>
      <c r="R63" s="740"/>
      <c r="S63" s="510"/>
      <c r="T63" s="419">
        <f t="shared" si="1"/>
        <v>46173</v>
      </c>
      <c r="U63" s="406">
        <f t="shared" si="14"/>
        <v>33692.662600659947</v>
      </c>
      <c r="V63" s="746"/>
      <c r="W63" s="459">
        <f t="shared" si="16"/>
        <v>46168</v>
      </c>
      <c r="X63" s="734"/>
    </row>
    <row r="64" spans="1:34" ht="14.25" customHeight="1">
      <c r="B64" s="202">
        <v>6</v>
      </c>
      <c r="C64" s="392"/>
      <c r="D64" s="239"/>
      <c r="E64" s="314"/>
      <c r="F64" s="359"/>
      <c r="G64" s="225"/>
      <c r="H64" s="546"/>
      <c r="I64" s="734"/>
      <c r="J64" s="737"/>
      <c r="K64" s="205"/>
      <c r="L64" s="202">
        <v>6</v>
      </c>
      <c r="M64" s="329" t="s">
        <v>334</v>
      </c>
      <c r="N64" s="309" t="s">
        <v>325</v>
      </c>
      <c r="O64" s="438"/>
      <c r="P64" s="448">
        <v>0.05</v>
      </c>
      <c r="Q64" s="204">
        <f t="shared" si="17"/>
        <v>4895.1006521739127</v>
      </c>
      <c r="R64" s="741"/>
      <c r="S64" s="510"/>
      <c r="T64" s="419">
        <f t="shared" si="1"/>
        <v>46203</v>
      </c>
      <c r="U64" s="406">
        <f t="shared" si="14"/>
        <v>11230.887533553318</v>
      </c>
      <c r="V64" s="746"/>
      <c r="W64" s="459">
        <f t="shared" si="16"/>
        <v>46198</v>
      </c>
      <c r="X64" s="734"/>
    </row>
    <row r="65" spans="1:24" ht="14.25" customHeight="1">
      <c r="B65" s="202">
        <v>6</v>
      </c>
      <c r="C65" s="392"/>
      <c r="D65" s="239"/>
      <c r="E65" s="314"/>
      <c r="F65" s="359"/>
      <c r="G65" s="225"/>
      <c r="H65" s="546"/>
      <c r="I65" s="734"/>
      <c r="J65" s="737"/>
      <c r="K65" s="205"/>
      <c r="L65" s="202">
        <v>6</v>
      </c>
      <c r="M65" s="329" t="s">
        <v>334</v>
      </c>
      <c r="N65" s="309"/>
      <c r="O65" s="438"/>
      <c r="P65" s="448"/>
      <c r="Q65" s="204"/>
      <c r="R65" s="479"/>
      <c r="S65" s="510"/>
      <c r="T65" s="419" t="str">
        <f t="shared" si="1"/>
        <v/>
      </c>
      <c r="U65" s="406">
        <f t="shared" si="14"/>
        <v>0</v>
      </c>
      <c r="V65" s="746"/>
      <c r="W65" s="459"/>
      <c r="X65" s="734"/>
    </row>
    <row r="66" spans="1:24" ht="14.25" customHeight="1">
      <c r="B66" s="202">
        <v>6</v>
      </c>
      <c r="C66" s="392"/>
      <c r="D66" s="239"/>
      <c r="E66" s="314"/>
      <c r="F66" s="359"/>
      <c r="G66" s="225"/>
      <c r="H66" s="546"/>
      <c r="I66" s="734"/>
      <c r="J66" s="737"/>
      <c r="K66" s="205"/>
      <c r="L66" s="202">
        <v>6</v>
      </c>
      <c r="M66" s="329" t="s">
        <v>334</v>
      </c>
      <c r="N66" s="309"/>
      <c r="O66" s="438"/>
      <c r="P66" s="448"/>
      <c r="Q66" s="204"/>
      <c r="R66" s="479"/>
      <c r="S66" s="510"/>
      <c r="T66" s="419" t="str">
        <f t="shared" si="1"/>
        <v/>
      </c>
      <c r="U66" s="406">
        <f t="shared" si="14"/>
        <v>0</v>
      </c>
      <c r="V66" s="746"/>
      <c r="W66" s="462"/>
      <c r="X66" s="734"/>
    </row>
    <row r="67" spans="1:24" ht="14.25" customHeight="1">
      <c r="B67" s="202">
        <v>6</v>
      </c>
      <c r="C67" s="392"/>
      <c r="D67" s="239"/>
      <c r="E67" s="314"/>
      <c r="F67" s="359"/>
      <c r="G67" s="225"/>
      <c r="H67" s="546"/>
      <c r="I67" s="734"/>
      <c r="J67" s="737"/>
      <c r="K67" s="205"/>
      <c r="L67" s="202">
        <v>6</v>
      </c>
      <c r="M67" s="329" t="s">
        <v>334</v>
      </c>
      <c r="N67" s="309"/>
      <c r="O67" s="438"/>
      <c r="P67" s="448"/>
      <c r="Q67" s="204"/>
      <c r="R67" s="479"/>
      <c r="S67" s="510"/>
      <c r="T67" s="419" t="str">
        <f t="shared" si="1"/>
        <v/>
      </c>
      <c r="U67" s="406">
        <f t="shared" si="14"/>
        <v>0</v>
      </c>
      <c r="V67" s="746"/>
      <c r="W67" s="462"/>
      <c r="X67" s="734"/>
    </row>
    <row r="68" spans="1:24" ht="15" customHeight="1" thickBot="1">
      <c r="B68" s="206">
        <v>6</v>
      </c>
      <c r="C68" s="302"/>
      <c r="D68" s="208"/>
      <c r="E68" s="356"/>
      <c r="F68" s="353"/>
      <c r="G68" s="209"/>
      <c r="H68" s="556"/>
      <c r="I68" s="735"/>
      <c r="J68" s="738"/>
      <c r="K68" s="210"/>
      <c r="L68" s="206">
        <v>6</v>
      </c>
      <c r="M68" s="331" t="s">
        <v>334</v>
      </c>
      <c r="N68" s="208"/>
      <c r="O68" s="442"/>
      <c r="P68" s="353"/>
      <c r="Q68" s="209"/>
      <c r="R68" s="476"/>
      <c r="S68" s="507"/>
      <c r="T68" s="417" t="str">
        <f t="shared" si="1"/>
        <v/>
      </c>
      <c r="U68" s="402">
        <f>(Q68/$X$52*$J$52)</f>
        <v>0</v>
      </c>
      <c r="V68" s="747"/>
      <c r="W68" s="460"/>
      <c r="X68" s="735"/>
    </row>
    <row r="69" spans="1:24" ht="14.45" thickBot="1">
      <c r="A69" s="4"/>
      <c r="B69" s="194"/>
      <c r="C69" s="235"/>
      <c r="D69" s="212"/>
      <c r="E69" s="195"/>
      <c r="F69" s="354"/>
      <c r="G69" s="196"/>
      <c r="H69" s="558"/>
      <c r="I69" s="548"/>
      <c r="J69" s="184"/>
      <c r="K69" s="4"/>
      <c r="L69" s="194"/>
      <c r="M69" s="235"/>
      <c r="N69" s="212"/>
      <c r="O69" s="436"/>
      <c r="P69" s="354"/>
      <c r="Q69" s="196"/>
      <c r="R69" s="480"/>
      <c r="S69" s="511"/>
      <c r="T69" s="420" t="str">
        <f t="shared" si="1"/>
        <v/>
      </c>
      <c r="U69" s="407"/>
      <c r="V69" s="382"/>
      <c r="W69" s="463"/>
      <c r="X69" s="548"/>
    </row>
    <row r="70" spans="1:24" ht="14.25" customHeight="1">
      <c r="B70" s="281">
        <v>7</v>
      </c>
      <c r="C70" s="213" t="s">
        <v>335</v>
      </c>
      <c r="D70" s="282"/>
      <c r="E70" s="360"/>
      <c r="F70" s="366"/>
      <c r="G70" s="283"/>
      <c r="H70" s="559"/>
      <c r="I70" s="724">
        <f>SUM(G70:G77)</f>
        <v>0</v>
      </c>
      <c r="J70" s="727">
        <v>0</v>
      </c>
      <c r="K70" s="189"/>
      <c r="L70" s="281">
        <v>7</v>
      </c>
      <c r="M70" s="213" t="s">
        <v>336</v>
      </c>
      <c r="N70" s="282"/>
      <c r="O70" s="360"/>
      <c r="P70" s="366"/>
      <c r="Q70" s="283"/>
      <c r="R70" s="481"/>
      <c r="S70" s="512"/>
      <c r="T70" s="421" t="str">
        <f t="shared" ref="T70:T133" si="18">IF(W70&gt;1,EOMONTH(W70,0),"")</f>
        <v/>
      </c>
      <c r="U70" s="525"/>
      <c r="V70" s="774">
        <f>J70-SUM(U70:U77)</f>
        <v>0</v>
      </c>
      <c r="W70" s="464"/>
      <c r="X70" s="724">
        <f>SUM(Q70:Q77)</f>
        <v>0</v>
      </c>
    </row>
    <row r="71" spans="1:24" ht="14.25" customHeight="1">
      <c r="B71" s="284">
        <v>7</v>
      </c>
      <c r="C71" s="285"/>
      <c r="D71" s="286"/>
      <c r="E71" s="307"/>
      <c r="F71" s="343"/>
      <c r="G71" s="287"/>
      <c r="H71" s="542"/>
      <c r="I71" s="725"/>
      <c r="J71" s="728"/>
      <c r="K71" s="192"/>
      <c r="L71" s="284">
        <v>7</v>
      </c>
      <c r="M71" s="285" t="s">
        <v>336</v>
      </c>
      <c r="N71" s="286"/>
      <c r="O71" s="307"/>
      <c r="P71" s="343"/>
      <c r="Q71" s="287"/>
      <c r="R71" s="471"/>
      <c r="S71" s="502"/>
      <c r="T71" s="412" t="str">
        <f t="shared" si="18"/>
        <v/>
      </c>
      <c r="U71" s="397"/>
      <c r="V71" s="775"/>
      <c r="W71" s="455"/>
      <c r="X71" s="725"/>
    </row>
    <row r="72" spans="1:24" ht="14.25" customHeight="1">
      <c r="B72" s="284">
        <v>7</v>
      </c>
      <c r="C72" s="285"/>
      <c r="D72" s="286"/>
      <c r="E72" s="307"/>
      <c r="F72" s="343"/>
      <c r="G72" s="287"/>
      <c r="H72" s="542"/>
      <c r="I72" s="725"/>
      <c r="J72" s="728"/>
      <c r="K72" s="192"/>
      <c r="L72" s="284">
        <v>7</v>
      </c>
      <c r="M72" s="285" t="s">
        <v>336</v>
      </c>
      <c r="N72" s="286"/>
      <c r="O72" s="307"/>
      <c r="P72" s="343"/>
      <c r="Q72" s="287"/>
      <c r="R72" s="471"/>
      <c r="S72" s="502"/>
      <c r="T72" s="412" t="str">
        <f t="shared" si="18"/>
        <v/>
      </c>
      <c r="U72" s="397"/>
      <c r="V72" s="775"/>
      <c r="W72" s="455"/>
      <c r="X72" s="725"/>
    </row>
    <row r="73" spans="1:24" ht="14.25" customHeight="1">
      <c r="B73" s="284">
        <v>7</v>
      </c>
      <c r="C73" s="285"/>
      <c r="D73" s="286"/>
      <c r="E73" s="307"/>
      <c r="F73" s="343"/>
      <c r="G73" s="287"/>
      <c r="H73" s="542"/>
      <c r="I73" s="725"/>
      <c r="J73" s="728"/>
      <c r="K73" s="192"/>
      <c r="L73" s="284">
        <v>7</v>
      </c>
      <c r="M73" s="285" t="s">
        <v>336</v>
      </c>
      <c r="N73" s="286"/>
      <c r="O73" s="307"/>
      <c r="P73" s="343"/>
      <c r="Q73" s="287"/>
      <c r="R73" s="471"/>
      <c r="S73" s="502"/>
      <c r="T73" s="412" t="str">
        <f t="shared" si="18"/>
        <v/>
      </c>
      <c r="U73" s="397"/>
      <c r="V73" s="775"/>
      <c r="W73" s="455"/>
      <c r="X73" s="725"/>
    </row>
    <row r="74" spans="1:24" ht="14.25" customHeight="1">
      <c r="B74" s="284">
        <v>7</v>
      </c>
      <c r="C74" s="285"/>
      <c r="D74" s="286"/>
      <c r="E74" s="307"/>
      <c r="F74" s="343"/>
      <c r="G74" s="287"/>
      <c r="H74" s="542"/>
      <c r="I74" s="725"/>
      <c r="J74" s="728"/>
      <c r="K74" s="192"/>
      <c r="L74" s="284">
        <v>7</v>
      </c>
      <c r="M74" s="285" t="s">
        <v>336</v>
      </c>
      <c r="N74" s="286"/>
      <c r="O74" s="307"/>
      <c r="P74" s="343"/>
      <c r="Q74" s="287"/>
      <c r="R74" s="471"/>
      <c r="S74" s="502"/>
      <c r="T74" s="412" t="str">
        <f t="shared" si="18"/>
        <v/>
      </c>
      <c r="U74" s="397"/>
      <c r="V74" s="775"/>
      <c r="W74" s="455"/>
      <c r="X74" s="725"/>
    </row>
    <row r="75" spans="1:24" ht="14.25" customHeight="1">
      <c r="B75" s="284">
        <v>7</v>
      </c>
      <c r="C75" s="285"/>
      <c r="D75" s="286"/>
      <c r="E75" s="307"/>
      <c r="F75" s="343"/>
      <c r="G75" s="287"/>
      <c r="H75" s="542"/>
      <c r="I75" s="725"/>
      <c r="J75" s="728"/>
      <c r="K75" s="192"/>
      <c r="L75" s="284">
        <v>7</v>
      </c>
      <c r="M75" s="285" t="s">
        <v>336</v>
      </c>
      <c r="N75" s="286"/>
      <c r="O75" s="434"/>
      <c r="P75" s="343"/>
      <c r="Q75" s="287"/>
      <c r="R75" s="471"/>
      <c r="S75" s="502"/>
      <c r="T75" s="412" t="str">
        <f t="shared" si="18"/>
        <v/>
      </c>
      <c r="U75" s="397"/>
      <c r="V75" s="775"/>
      <c r="W75" s="455"/>
      <c r="X75" s="725"/>
    </row>
    <row r="76" spans="1:24" ht="14.25" customHeight="1">
      <c r="B76" s="284">
        <v>7</v>
      </c>
      <c r="C76" s="285"/>
      <c r="D76" s="286"/>
      <c r="E76" s="307"/>
      <c r="F76" s="343"/>
      <c r="G76" s="287"/>
      <c r="H76" s="542"/>
      <c r="I76" s="725"/>
      <c r="J76" s="728"/>
      <c r="K76" s="192"/>
      <c r="L76" s="284">
        <v>7</v>
      </c>
      <c r="M76" s="285" t="s">
        <v>336</v>
      </c>
      <c r="N76" s="286"/>
      <c r="O76" s="434"/>
      <c r="P76" s="343"/>
      <c r="Q76" s="287"/>
      <c r="R76" s="471"/>
      <c r="S76" s="502"/>
      <c r="T76" s="412" t="str">
        <f t="shared" si="18"/>
        <v/>
      </c>
      <c r="U76" s="397"/>
      <c r="V76" s="775"/>
      <c r="W76" s="455"/>
      <c r="X76" s="725"/>
    </row>
    <row r="77" spans="1:24" ht="15" customHeight="1" thickBot="1">
      <c r="B77" s="220">
        <v>7</v>
      </c>
      <c r="C77" s="241"/>
      <c r="D77" s="233"/>
      <c r="E77" s="222"/>
      <c r="F77" s="358"/>
      <c r="G77" s="234"/>
      <c r="H77" s="560"/>
      <c r="I77" s="726"/>
      <c r="J77" s="729"/>
      <c r="K77" s="193"/>
      <c r="L77" s="220">
        <v>7</v>
      </c>
      <c r="M77" s="241" t="s">
        <v>336</v>
      </c>
      <c r="N77" s="233"/>
      <c r="O77" s="435"/>
      <c r="P77" s="358"/>
      <c r="Q77" s="234"/>
      <c r="R77" s="472"/>
      <c r="S77" s="503"/>
      <c r="T77" s="413" t="str">
        <f t="shared" si="18"/>
        <v/>
      </c>
      <c r="U77" s="398"/>
      <c r="V77" s="776"/>
      <c r="W77" s="456"/>
      <c r="X77" s="726"/>
    </row>
    <row r="78" spans="1:24" ht="14.45" thickBot="1">
      <c r="A78" s="4"/>
      <c r="B78" s="194"/>
      <c r="C78" s="235"/>
      <c r="D78" s="212"/>
      <c r="E78" s="195"/>
      <c r="F78" s="354"/>
      <c r="G78" s="196"/>
      <c r="H78" s="554"/>
      <c r="I78" s="548"/>
      <c r="J78" s="184"/>
      <c r="K78" s="4"/>
      <c r="L78" s="194"/>
      <c r="M78" s="235"/>
      <c r="N78" s="212"/>
      <c r="O78" s="436"/>
      <c r="P78" s="354"/>
      <c r="Q78" s="196"/>
      <c r="R78" s="473"/>
      <c r="S78" s="504"/>
      <c r="T78" s="414" t="str">
        <f t="shared" si="18"/>
        <v/>
      </c>
      <c r="U78" s="403"/>
      <c r="V78" s="385"/>
      <c r="W78" s="457"/>
      <c r="X78" s="548"/>
    </row>
    <row r="79" spans="1:24" ht="14.25" customHeight="1">
      <c r="B79" s="236">
        <v>8</v>
      </c>
      <c r="C79" s="198" t="s">
        <v>337</v>
      </c>
      <c r="D79" s="237" t="s">
        <v>338</v>
      </c>
      <c r="E79" s="361"/>
      <c r="F79" s="315"/>
      <c r="G79" s="238">
        <f>D166</f>
        <v>30000</v>
      </c>
      <c r="H79" s="555">
        <v>46142</v>
      </c>
      <c r="I79" s="733">
        <f>SUM(G79:G87)</f>
        <v>30000</v>
      </c>
      <c r="J79" s="736">
        <f>F168+F169+F166</f>
        <v>37500</v>
      </c>
      <c r="K79" s="201"/>
      <c r="L79" s="236">
        <v>8</v>
      </c>
      <c r="M79" s="324" t="s">
        <v>339</v>
      </c>
      <c r="N79" s="237" t="s">
        <v>340</v>
      </c>
      <c r="O79" s="669">
        <v>45000</v>
      </c>
      <c r="P79" s="668">
        <v>0.5</v>
      </c>
      <c r="Q79" s="238">
        <f>O79*$P$79</f>
        <v>22500</v>
      </c>
      <c r="R79" s="474"/>
      <c r="S79" s="505"/>
      <c r="T79" s="416">
        <v>46142</v>
      </c>
      <c r="U79" s="400">
        <f>(Q79/$X$79*$J$79)</f>
        <v>18750</v>
      </c>
      <c r="V79" s="751">
        <f>J79-SUM(U79:U87)</f>
        <v>0</v>
      </c>
      <c r="W79" s="458">
        <f>T79</f>
        <v>46142</v>
      </c>
      <c r="X79" s="733">
        <f>SUM(Q79:Q87)</f>
        <v>45000</v>
      </c>
    </row>
    <row r="80" spans="1:24" ht="14.25" customHeight="1">
      <c r="B80" s="226">
        <v>8</v>
      </c>
      <c r="C80" s="227"/>
      <c r="D80" s="239"/>
      <c r="E80" s="314"/>
      <c r="F80" s="359"/>
      <c r="G80" s="228"/>
      <c r="H80" s="546"/>
      <c r="I80" s="734"/>
      <c r="J80" s="737"/>
      <c r="K80" s="205"/>
      <c r="L80" s="226">
        <v>8</v>
      </c>
      <c r="M80" s="332" t="s">
        <v>339</v>
      </c>
      <c r="N80" s="239" t="s">
        <v>341</v>
      </c>
      <c r="O80" s="314"/>
      <c r="P80" s="534">
        <v>0.5</v>
      </c>
      <c r="Q80" s="228">
        <f>O79*P80</f>
        <v>22500</v>
      </c>
      <c r="R80" s="475"/>
      <c r="S80" s="506"/>
      <c r="T80" s="416">
        <v>46142</v>
      </c>
      <c r="U80" s="401">
        <f t="shared" ref="U80:U87" si="19">(Q80/$X$79*$J$79)</f>
        <v>18750</v>
      </c>
      <c r="V80" s="752"/>
      <c r="W80" s="458">
        <f>T80</f>
        <v>46142</v>
      </c>
      <c r="X80" s="734"/>
    </row>
    <row r="81" spans="1:24" ht="14.25" customHeight="1">
      <c r="B81" s="226">
        <v>8</v>
      </c>
      <c r="C81" s="227"/>
      <c r="D81" s="239"/>
      <c r="E81" s="314"/>
      <c r="F81" s="359"/>
      <c r="G81" s="228"/>
      <c r="H81" s="546"/>
      <c r="I81" s="734"/>
      <c r="J81" s="737"/>
      <c r="K81" s="205"/>
      <c r="L81" s="226">
        <v>8</v>
      </c>
      <c r="M81" s="332" t="s">
        <v>339</v>
      </c>
      <c r="N81" s="239"/>
      <c r="O81" s="314"/>
      <c r="P81" s="359"/>
      <c r="Q81" s="228"/>
      <c r="R81" s="475"/>
      <c r="S81" s="506"/>
      <c r="T81" s="416" t="str">
        <f t="shared" si="18"/>
        <v/>
      </c>
      <c r="U81" s="401">
        <f t="shared" si="19"/>
        <v>0</v>
      </c>
      <c r="V81" s="752"/>
      <c r="W81" s="458"/>
      <c r="X81" s="734"/>
    </row>
    <row r="82" spans="1:24" ht="14.25" customHeight="1">
      <c r="B82" s="226">
        <v>8</v>
      </c>
      <c r="C82" s="227"/>
      <c r="D82" s="239"/>
      <c r="E82" s="314"/>
      <c r="F82" s="359"/>
      <c r="G82" s="228"/>
      <c r="H82" s="546"/>
      <c r="I82" s="734"/>
      <c r="J82" s="737"/>
      <c r="K82" s="205"/>
      <c r="L82" s="226">
        <v>8</v>
      </c>
      <c r="M82" s="332" t="s">
        <v>339</v>
      </c>
      <c r="N82" s="239"/>
      <c r="O82" s="314"/>
      <c r="P82" s="359"/>
      <c r="Q82" s="228"/>
      <c r="R82" s="475"/>
      <c r="S82" s="506"/>
      <c r="T82" s="416" t="str">
        <f t="shared" si="18"/>
        <v/>
      </c>
      <c r="U82" s="401">
        <f t="shared" si="19"/>
        <v>0</v>
      </c>
      <c r="V82" s="752"/>
      <c r="W82" s="458"/>
      <c r="X82" s="734"/>
    </row>
    <row r="83" spans="1:24" ht="14.25" customHeight="1">
      <c r="B83" s="226">
        <v>8</v>
      </c>
      <c r="C83" s="227"/>
      <c r="D83" s="239"/>
      <c r="E83" s="314"/>
      <c r="F83" s="359"/>
      <c r="G83" s="228"/>
      <c r="H83" s="546"/>
      <c r="I83" s="734"/>
      <c r="J83" s="737"/>
      <c r="K83" s="205"/>
      <c r="L83" s="226">
        <v>8</v>
      </c>
      <c r="M83" s="332" t="s">
        <v>339</v>
      </c>
      <c r="N83" s="239"/>
      <c r="O83" s="314"/>
      <c r="P83" s="359"/>
      <c r="Q83" s="228"/>
      <c r="R83" s="475"/>
      <c r="S83" s="506"/>
      <c r="T83" s="416" t="str">
        <f t="shared" si="18"/>
        <v/>
      </c>
      <c r="U83" s="401">
        <f t="shared" si="19"/>
        <v>0</v>
      </c>
      <c r="V83" s="752"/>
      <c r="W83" s="459"/>
      <c r="X83" s="734"/>
    </row>
    <row r="84" spans="1:24" ht="14.25" customHeight="1">
      <c r="B84" s="226">
        <v>8</v>
      </c>
      <c r="C84" s="227"/>
      <c r="D84" s="239"/>
      <c r="E84" s="314"/>
      <c r="F84" s="359"/>
      <c r="G84" s="228"/>
      <c r="H84" s="546"/>
      <c r="I84" s="734"/>
      <c r="J84" s="737"/>
      <c r="K84" s="205"/>
      <c r="L84" s="226">
        <v>8</v>
      </c>
      <c r="M84" s="332" t="s">
        <v>339</v>
      </c>
      <c r="N84" s="239"/>
      <c r="O84" s="441"/>
      <c r="P84" s="534"/>
      <c r="Q84" s="228"/>
      <c r="R84" s="475"/>
      <c r="S84" s="506"/>
      <c r="T84" s="416"/>
      <c r="U84" s="401">
        <f t="shared" si="19"/>
        <v>0</v>
      </c>
      <c r="V84" s="752"/>
      <c r="W84" s="459"/>
      <c r="X84" s="734"/>
    </row>
    <row r="85" spans="1:24" ht="14.25" customHeight="1">
      <c r="B85" s="226">
        <v>8</v>
      </c>
      <c r="C85" s="227"/>
      <c r="D85" s="239"/>
      <c r="E85" s="314"/>
      <c r="F85" s="359"/>
      <c r="G85" s="228"/>
      <c r="H85" s="546"/>
      <c r="I85" s="734"/>
      <c r="J85" s="737"/>
      <c r="K85" s="205"/>
      <c r="L85" s="226">
        <v>8</v>
      </c>
      <c r="M85" s="332" t="s">
        <v>339</v>
      </c>
      <c r="N85" s="239"/>
      <c r="O85" s="441"/>
      <c r="P85" s="359"/>
      <c r="Q85" s="228"/>
      <c r="R85" s="475"/>
      <c r="S85" s="506"/>
      <c r="T85" s="546" t="str">
        <f t="shared" si="18"/>
        <v/>
      </c>
      <c r="U85" s="401">
        <f t="shared" si="19"/>
        <v>0</v>
      </c>
      <c r="V85" s="752"/>
      <c r="W85" s="459"/>
      <c r="X85" s="734"/>
    </row>
    <row r="86" spans="1:24" ht="14.25" customHeight="1">
      <c r="B86" s="226">
        <v>8</v>
      </c>
      <c r="C86" s="227"/>
      <c r="D86" s="239"/>
      <c r="E86" s="314"/>
      <c r="F86" s="359"/>
      <c r="G86" s="228"/>
      <c r="H86" s="561"/>
      <c r="I86" s="734"/>
      <c r="J86" s="737"/>
      <c r="K86" s="205"/>
      <c r="L86" s="226">
        <v>8</v>
      </c>
      <c r="M86" s="332" t="s">
        <v>339</v>
      </c>
      <c r="N86" s="239"/>
      <c r="O86" s="441"/>
      <c r="P86" s="359"/>
      <c r="Q86" s="228"/>
      <c r="R86" s="479"/>
      <c r="S86" s="510"/>
      <c r="T86" s="419" t="str">
        <f t="shared" si="18"/>
        <v/>
      </c>
      <c r="U86" s="406">
        <f t="shared" si="19"/>
        <v>0</v>
      </c>
      <c r="V86" s="752"/>
      <c r="W86" s="462"/>
      <c r="X86" s="734"/>
    </row>
    <row r="87" spans="1:24" ht="15" customHeight="1" thickBot="1">
      <c r="B87" s="226">
        <v>8</v>
      </c>
      <c r="C87" s="207"/>
      <c r="D87" s="208"/>
      <c r="E87" s="356"/>
      <c r="F87" s="353"/>
      <c r="G87" s="209"/>
      <c r="H87" s="556"/>
      <c r="I87" s="735"/>
      <c r="J87" s="738"/>
      <c r="K87" s="210"/>
      <c r="L87" s="206">
        <v>8</v>
      </c>
      <c r="M87" s="331" t="s">
        <v>339</v>
      </c>
      <c r="N87" s="208"/>
      <c r="O87" s="442"/>
      <c r="P87" s="353"/>
      <c r="Q87" s="209"/>
      <c r="R87" s="476"/>
      <c r="S87" s="507"/>
      <c r="T87" s="417" t="str">
        <f t="shared" si="18"/>
        <v/>
      </c>
      <c r="U87" s="402">
        <f t="shared" si="19"/>
        <v>0</v>
      </c>
      <c r="V87" s="753"/>
      <c r="W87" s="460"/>
      <c r="X87" s="735"/>
    </row>
    <row r="88" spans="1:24" ht="22.5" customHeight="1" thickBot="1">
      <c r="A88" s="4"/>
      <c r="B88" s="240"/>
      <c r="C88" s="76"/>
      <c r="D88" s="76"/>
      <c r="E88" s="76"/>
      <c r="F88" s="367"/>
      <c r="G88" s="76"/>
      <c r="H88" s="422"/>
      <c r="I88" s="338"/>
      <c r="J88" s="339"/>
      <c r="K88" s="76" t="s">
        <v>342</v>
      </c>
      <c r="L88" s="240"/>
      <c r="M88" s="76"/>
      <c r="N88" s="76"/>
      <c r="O88" s="443"/>
      <c r="P88" s="367"/>
      <c r="Q88" s="76"/>
      <c r="R88" s="482"/>
      <c r="S88" s="240"/>
      <c r="T88" s="422" t="str">
        <f t="shared" si="18"/>
        <v/>
      </c>
      <c r="U88" s="387"/>
      <c r="V88" s="387"/>
      <c r="W88" s="427"/>
      <c r="X88" s="614"/>
    </row>
    <row r="89" spans="1:24" ht="15" customHeight="1">
      <c r="B89" s="215">
        <v>9</v>
      </c>
      <c r="C89" s="341" t="s">
        <v>343</v>
      </c>
      <c r="D89" s="231" t="s">
        <v>344</v>
      </c>
      <c r="E89" s="218"/>
      <c r="F89" s="336"/>
      <c r="G89" s="496">
        <f>D173</f>
        <v>55180</v>
      </c>
      <c r="H89" s="543">
        <f>'Project Plan'!G22+7</f>
        <v>46157</v>
      </c>
      <c r="I89" s="763">
        <f>SUM(G89:G100)</f>
        <v>173550</v>
      </c>
      <c r="J89" s="727">
        <f>F173+F174</f>
        <v>192833.33333333337</v>
      </c>
      <c r="K89" s="192"/>
      <c r="L89" s="215">
        <v>9</v>
      </c>
      <c r="M89" s="322" t="s">
        <v>345</v>
      </c>
      <c r="N89" s="231"/>
      <c r="O89" s="433"/>
      <c r="P89" s="336"/>
      <c r="Q89" s="219"/>
      <c r="R89" s="477"/>
      <c r="S89" s="508"/>
      <c r="T89" s="418" t="str">
        <f t="shared" si="18"/>
        <v/>
      </c>
      <c r="U89" s="404">
        <f t="shared" ref="U89:U100" si="20">(Q89/$X$89*$J$89)</f>
        <v>0</v>
      </c>
      <c r="V89" s="742">
        <f>J89-SUM(U89:U100)</f>
        <v>0</v>
      </c>
      <c r="W89" s="461"/>
      <c r="X89" s="724">
        <f>SUM(Q89:Q100)</f>
        <v>147517.5</v>
      </c>
    </row>
    <row r="90" spans="1:24" ht="15" customHeight="1">
      <c r="B90" s="215">
        <v>9</v>
      </c>
      <c r="C90" s="341"/>
      <c r="D90" s="232" t="s">
        <v>346</v>
      </c>
      <c r="E90" s="218"/>
      <c r="F90" s="357"/>
      <c r="G90" s="496">
        <f>D174</f>
        <v>118370.00000000001</v>
      </c>
      <c r="H90" s="542">
        <f>'Project Plan'!G29+7</f>
        <v>46149</v>
      </c>
      <c r="I90" s="764"/>
      <c r="J90" s="728"/>
      <c r="K90" s="192"/>
      <c r="L90" s="215">
        <v>9</v>
      </c>
      <c r="M90" s="322" t="s">
        <v>345</v>
      </c>
      <c r="N90" s="232" t="s">
        <v>317</v>
      </c>
      <c r="O90" s="450">
        <f>Z30+Z29</f>
        <v>147517.5</v>
      </c>
      <c r="P90" s="451">
        <v>0.1</v>
      </c>
      <c r="Q90" s="219">
        <f>$O$90*P90</f>
        <v>14751.75</v>
      </c>
      <c r="R90" s="766"/>
      <c r="S90" s="501"/>
      <c r="T90" s="412">
        <f t="shared" si="18"/>
        <v>46112</v>
      </c>
      <c r="U90" s="397">
        <f t="shared" si="20"/>
        <v>19283.333333333339</v>
      </c>
      <c r="V90" s="743"/>
      <c r="W90" s="454">
        <f>'Project Plan'!I20-7</f>
        <v>46107</v>
      </c>
      <c r="X90" s="725"/>
    </row>
    <row r="91" spans="1:24" ht="15" customHeight="1">
      <c r="B91" s="284">
        <v>9</v>
      </c>
      <c r="C91" s="393"/>
      <c r="D91" s="286"/>
      <c r="E91" s="307"/>
      <c r="F91" s="343"/>
      <c r="G91" s="287"/>
      <c r="H91" s="552"/>
      <c r="I91" s="764"/>
      <c r="J91" s="728"/>
      <c r="K91" s="192"/>
      <c r="L91" s="284">
        <v>9</v>
      </c>
      <c r="M91" s="394" t="s">
        <v>345</v>
      </c>
      <c r="N91" s="286" t="s">
        <v>158</v>
      </c>
      <c r="O91" s="434"/>
      <c r="P91" s="449">
        <v>0.15</v>
      </c>
      <c r="Q91" s="219">
        <f t="shared" ref="Q91:Q94" si="21">$O$90*P91</f>
        <v>22127.625</v>
      </c>
      <c r="R91" s="767"/>
      <c r="S91" s="502"/>
      <c r="T91" s="412">
        <f t="shared" si="18"/>
        <v>46142</v>
      </c>
      <c r="U91" s="397">
        <f t="shared" si="20"/>
        <v>28925.000000000004</v>
      </c>
      <c r="V91" s="743"/>
      <c r="W91" s="455">
        <f>'Project Plan'!I20</f>
        <v>46114</v>
      </c>
      <c r="X91" s="725"/>
    </row>
    <row r="92" spans="1:24" ht="15" customHeight="1">
      <c r="B92" s="284">
        <v>9</v>
      </c>
      <c r="C92" s="393"/>
      <c r="D92" s="286"/>
      <c r="E92" s="307"/>
      <c r="F92" s="343"/>
      <c r="G92" s="287"/>
      <c r="H92" s="552"/>
      <c r="I92" s="764"/>
      <c r="J92" s="728"/>
      <c r="K92" s="192"/>
      <c r="L92" s="284">
        <v>9</v>
      </c>
      <c r="M92" s="394" t="s">
        <v>345</v>
      </c>
      <c r="N92" s="286" t="s">
        <v>320</v>
      </c>
      <c r="O92" s="434"/>
      <c r="P92" s="449">
        <v>0.2</v>
      </c>
      <c r="Q92" s="219">
        <f t="shared" si="21"/>
        <v>29503.5</v>
      </c>
      <c r="R92" s="767"/>
      <c r="S92" s="502"/>
      <c r="T92" s="412">
        <f t="shared" si="18"/>
        <v>46173</v>
      </c>
      <c r="U92" s="397">
        <f t="shared" si="20"/>
        <v>38566.666666666679</v>
      </c>
      <c r="V92" s="743"/>
      <c r="W92" s="455">
        <f>'Project Plan'!K22+7</f>
        <v>46157</v>
      </c>
      <c r="X92" s="725"/>
    </row>
    <row r="93" spans="1:24" ht="15" customHeight="1">
      <c r="B93" s="284">
        <v>9</v>
      </c>
      <c r="C93" s="393"/>
      <c r="D93" s="286"/>
      <c r="E93" s="307"/>
      <c r="F93" s="343"/>
      <c r="G93" s="287"/>
      <c r="H93" s="552"/>
      <c r="I93" s="764"/>
      <c r="J93" s="728"/>
      <c r="K93" s="192"/>
      <c r="L93" s="284">
        <v>9</v>
      </c>
      <c r="M93" s="394" t="s">
        <v>345</v>
      </c>
      <c r="N93" s="286" t="s">
        <v>322</v>
      </c>
      <c r="O93" s="434"/>
      <c r="P93" s="449">
        <v>0.25</v>
      </c>
      <c r="Q93" s="219">
        <f t="shared" si="21"/>
        <v>36879.375</v>
      </c>
      <c r="R93" s="767"/>
      <c r="S93" s="502"/>
      <c r="T93" s="412">
        <f t="shared" si="18"/>
        <v>46173</v>
      </c>
      <c r="U93" s="397">
        <f t="shared" si="20"/>
        <v>48208.333333333343</v>
      </c>
      <c r="V93" s="743"/>
      <c r="W93" s="455">
        <f>'Project Plan'!K29+7</f>
        <v>46149</v>
      </c>
      <c r="X93" s="725"/>
    </row>
    <row r="94" spans="1:24" ht="15" customHeight="1">
      <c r="B94" s="284">
        <v>9</v>
      </c>
      <c r="C94" s="393"/>
      <c r="D94" s="286"/>
      <c r="E94" s="307"/>
      <c r="F94" s="343"/>
      <c r="G94" s="287"/>
      <c r="H94" s="552"/>
      <c r="I94" s="764"/>
      <c r="J94" s="728"/>
      <c r="K94" s="192"/>
      <c r="L94" s="284">
        <v>9</v>
      </c>
      <c r="M94" s="394" t="s">
        <v>345</v>
      </c>
      <c r="N94" s="286" t="s">
        <v>323</v>
      </c>
      <c r="O94" s="434"/>
      <c r="P94" s="449">
        <v>0.1</v>
      </c>
      <c r="Q94" s="219">
        <f t="shared" si="21"/>
        <v>14751.75</v>
      </c>
      <c r="R94" s="767"/>
      <c r="S94" s="502"/>
      <c r="T94" s="412">
        <f t="shared" si="18"/>
        <v>46173</v>
      </c>
      <c r="U94" s="397">
        <f t="shared" si="20"/>
        <v>19283.333333333339</v>
      </c>
      <c r="V94" s="743"/>
      <c r="W94" s="455">
        <f>'Project Plan'!K40+7</f>
        <v>46162</v>
      </c>
      <c r="X94" s="725"/>
    </row>
    <row r="95" spans="1:24" ht="15" customHeight="1">
      <c r="B95" s="284">
        <v>9</v>
      </c>
      <c r="C95" s="393"/>
      <c r="D95" s="286"/>
      <c r="E95" s="307"/>
      <c r="F95" s="343"/>
      <c r="G95" s="287"/>
      <c r="H95" s="552"/>
      <c r="I95" s="764"/>
      <c r="J95" s="728"/>
      <c r="K95" s="192"/>
      <c r="L95" s="284">
        <v>9</v>
      </c>
      <c r="M95" s="394" t="s">
        <v>345</v>
      </c>
      <c r="N95" s="286" t="s">
        <v>324</v>
      </c>
      <c r="O95" s="434"/>
      <c r="P95" s="449">
        <v>0.15</v>
      </c>
      <c r="Q95" s="219">
        <f t="shared" ref="Q95:Q96" si="22">$O$90*P95</f>
        <v>22127.625</v>
      </c>
      <c r="R95" s="767"/>
      <c r="S95" s="502"/>
      <c r="T95" s="412">
        <f t="shared" si="18"/>
        <v>46173</v>
      </c>
      <c r="U95" s="397">
        <f t="shared" si="20"/>
        <v>28925.000000000004</v>
      </c>
      <c r="V95" s="743"/>
      <c r="W95" s="455">
        <f>'Project Plan'!K46+7</f>
        <v>46168</v>
      </c>
      <c r="X95" s="725"/>
    </row>
    <row r="96" spans="1:24" ht="15" customHeight="1">
      <c r="B96" s="284">
        <v>9</v>
      </c>
      <c r="C96" s="393"/>
      <c r="D96" s="286"/>
      <c r="E96" s="307"/>
      <c r="F96" s="343"/>
      <c r="G96" s="287"/>
      <c r="H96" s="552"/>
      <c r="I96" s="764"/>
      <c r="J96" s="728"/>
      <c r="K96" s="192"/>
      <c r="L96" s="284">
        <v>9</v>
      </c>
      <c r="M96" s="394" t="s">
        <v>345</v>
      </c>
      <c r="N96" s="286" t="s">
        <v>325</v>
      </c>
      <c r="O96" s="434"/>
      <c r="P96" s="449">
        <v>0.05</v>
      </c>
      <c r="Q96" s="219">
        <f t="shared" si="22"/>
        <v>7375.875</v>
      </c>
      <c r="R96" s="768"/>
      <c r="S96" s="502"/>
      <c r="T96" s="412">
        <f t="shared" si="18"/>
        <v>46203</v>
      </c>
      <c r="U96" s="397">
        <f t="shared" si="20"/>
        <v>9641.6666666666697</v>
      </c>
      <c r="V96" s="743"/>
      <c r="W96" s="455">
        <f>W95+30</f>
        <v>46198</v>
      </c>
      <c r="X96" s="725"/>
    </row>
    <row r="97" spans="1:24" ht="15" customHeight="1">
      <c r="B97" s="284">
        <v>9</v>
      </c>
      <c r="C97" s="393"/>
      <c r="D97" s="286"/>
      <c r="E97" s="307"/>
      <c r="F97" s="343"/>
      <c r="G97" s="287"/>
      <c r="H97" s="552"/>
      <c r="I97" s="764"/>
      <c r="J97" s="728"/>
      <c r="K97" s="192"/>
      <c r="L97" s="284">
        <v>9</v>
      </c>
      <c r="M97" s="394" t="s">
        <v>345</v>
      </c>
      <c r="N97" s="286"/>
      <c r="O97" s="434"/>
      <c r="P97" s="449"/>
      <c r="Q97" s="219"/>
      <c r="R97" s="471"/>
      <c r="S97" s="502"/>
      <c r="T97" s="412" t="str">
        <f t="shared" si="18"/>
        <v/>
      </c>
      <c r="U97" s="397">
        <f t="shared" si="20"/>
        <v>0</v>
      </c>
      <c r="V97" s="743"/>
      <c r="W97" s="455"/>
      <c r="X97" s="725"/>
    </row>
    <row r="98" spans="1:24" ht="15" customHeight="1">
      <c r="B98" s="284">
        <v>9</v>
      </c>
      <c r="C98" s="393"/>
      <c r="D98" s="286"/>
      <c r="E98" s="307"/>
      <c r="F98" s="343"/>
      <c r="G98" s="287"/>
      <c r="H98" s="552"/>
      <c r="I98" s="764"/>
      <c r="J98" s="728"/>
      <c r="K98" s="192"/>
      <c r="L98" s="284">
        <v>9</v>
      </c>
      <c r="M98" s="394" t="s">
        <v>345</v>
      </c>
      <c r="N98" s="286"/>
      <c r="O98" s="434"/>
      <c r="P98" s="343"/>
      <c r="Q98" s="287"/>
      <c r="R98" s="471"/>
      <c r="S98" s="502"/>
      <c r="T98" s="412" t="str">
        <f t="shared" si="18"/>
        <v/>
      </c>
      <c r="U98" s="397">
        <f t="shared" si="20"/>
        <v>0</v>
      </c>
      <c r="V98" s="743"/>
      <c r="W98" s="455"/>
      <c r="X98" s="725"/>
    </row>
    <row r="99" spans="1:24" ht="15" customHeight="1">
      <c r="B99" s="284">
        <v>9</v>
      </c>
      <c r="C99" s="393"/>
      <c r="D99" s="286"/>
      <c r="E99" s="307"/>
      <c r="F99" s="343"/>
      <c r="G99" s="287"/>
      <c r="H99" s="552"/>
      <c r="I99" s="764"/>
      <c r="J99" s="728"/>
      <c r="K99" s="192"/>
      <c r="L99" s="284">
        <v>9</v>
      </c>
      <c r="M99" s="394" t="s">
        <v>345</v>
      </c>
      <c r="N99" s="286"/>
      <c r="O99" s="434"/>
      <c r="P99" s="343"/>
      <c r="Q99" s="287"/>
      <c r="R99" s="471"/>
      <c r="S99" s="502"/>
      <c r="T99" s="412" t="str">
        <f t="shared" si="18"/>
        <v/>
      </c>
      <c r="U99" s="397">
        <f t="shared" si="20"/>
        <v>0</v>
      </c>
      <c r="V99" s="743"/>
      <c r="W99" s="455"/>
      <c r="X99" s="725"/>
    </row>
    <row r="100" spans="1:24" ht="15" customHeight="1" thickBot="1">
      <c r="B100" s="220">
        <v>9</v>
      </c>
      <c r="C100" s="337"/>
      <c r="D100" s="233"/>
      <c r="E100" s="222"/>
      <c r="F100" s="358"/>
      <c r="G100" s="234"/>
      <c r="H100" s="553"/>
      <c r="I100" s="765"/>
      <c r="J100" s="729"/>
      <c r="K100" s="267"/>
      <c r="L100" s="220">
        <v>9</v>
      </c>
      <c r="M100" s="340" t="s">
        <v>345</v>
      </c>
      <c r="N100" s="233"/>
      <c r="O100" s="435"/>
      <c r="P100" s="358"/>
      <c r="Q100" s="234"/>
      <c r="R100" s="472"/>
      <c r="S100" s="503"/>
      <c r="T100" s="413" t="str">
        <f t="shared" si="18"/>
        <v/>
      </c>
      <c r="U100" s="398">
        <f t="shared" si="20"/>
        <v>0</v>
      </c>
      <c r="V100" s="744"/>
      <c r="W100" s="456"/>
      <c r="X100" s="726"/>
    </row>
    <row r="101" spans="1:24" ht="14.45" thickBot="1">
      <c r="A101" s="4"/>
      <c r="B101" s="194"/>
      <c r="C101" s="211"/>
      <c r="D101" s="212"/>
      <c r="E101" s="195"/>
      <c r="F101" s="354"/>
      <c r="G101" s="196"/>
      <c r="H101" s="554"/>
      <c r="I101" s="548"/>
      <c r="J101" s="303"/>
      <c r="K101" s="4"/>
      <c r="L101" s="194"/>
      <c r="M101" s="211"/>
      <c r="N101" s="212"/>
      <c r="O101" s="436"/>
      <c r="P101" s="354"/>
      <c r="Q101" s="196"/>
      <c r="R101" s="473"/>
      <c r="S101" s="504"/>
      <c r="T101" s="414" t="str">
        <f t="shared" si="18"/>
        <v/>
      </c>
      <c r="U101" s="403"/>
      <c r="V101" s="385"/>
      <c r="W101" s="457"/>
      <c r="X101" s="548"/>
    </row>
    <row r="102" spans="1:24" ht="14.25" customHeight="1">
      <c r="B102" s="173">
        <v>10</v>
      </c>
      <c r="C102" s="174" t="s">
        <v>347</v>
      </c>
      <c r="D102" s="174" t="s">
        <v>297</v>
      </c>
      <c r="E102" s="175"/>
      <c r="F102" s="368"/>
      <c r="G102" s="242">
        <f>D177</f>
        <v>8500</v>
      </c>
      <c r="H102" s="562">
        <f>H89</f>
        <v>46157</v>
      </c>
      <c r="I102" s="757">
        <f>SUM(G102:G116)</f>
        <v>39970.088888888888</v>
      </c>
      <c r="J102" s="760">
        <f>F177+F180+F181+F179+F178</f>
        <v>44411.209876543217</v>
      </c>
      <c r="K102" s="243"/>
      <c r="L102" s="173">
        <v>10</v>
      </c>
      <c r="M102" s="333" t="s">
        <v>348</v>
      </c>
      <c r="N102" s="174" t="s">
        <v>349</v>
      </c>
      <c r="O102" s="444"/>
      <c r="P102" s="368"/>
      <c r="Q102" s="242">
        <v>16800</v>
      </c>
      <c r="R102" s="483"/>
      <c r="S102" s="513"/>
      <c r="T102" s="423">
        <f t="shared" si="18"/>
        <v>46173</v>
      </c>
      <c r="U102" s="408">
        <f t="shared" ref="U102:U115" si="23">(Q102/$X$102*$J$102)</f>
        <v>20444.362335167541</v>
      </c>
      <c r="V102" s="748">
        <f>J102-SUM(U102:U116)</f>
        <v>0</v>
      </c>
      <c r="W102" s="465">
        <f>W108</f>
        <v>46157</v>
      </c>
      <c r="X102" s="757">
        <f>SUM(Q102:Q116)</f>
        <v>36494.575555555559</v>
      </c>
    </row>
    <row r="103" spans="1:24" ht="14.25" customHeight="1">
      <c r="B103" s="244">
        <v>10</v>
      </c>
      <c r="C103" s="245"/>
      <c r="D103" s="245" t="s">
        <v>298</v>
      </c>
      <c r="E103" s="246"/>
      <c r="F103" s="369"/>
      <c r="G103" s="247">
        <f>D181</f>
        <v>12367.866666666667</v>
      </c>
      <c r="H103" s="563">
        <f>H89</f>
        <v>46157</v>
      </c>
      <c r="I103" s="758"/>
      <c r="J103" s="761"/>
      <c r="K103" s="176"/>
      <c r="L103" s="244">
        <v>10</v>
      </c>
      <c r="M103" s="334" t="s">
        <v>348</v>
      </c>
      <c r="N103" s="245"/>
      <c r="O103" s="445"/>
      <c r="P103" s="369"/>
      <c r="Q103" s="247"/>
      <c r="R103" s="484"/>
      <c r="S103" s="514"/>
      <c r="T103" s="424" t="str">
        <f t="shared" si="18"/>
        <v/>
      </c>
      <c r="U103" s="524">
        <f t="shared" si="23"/>
        <v>0</v>
      </c>
      <c r="V103" s="749"/>
      <c r="W103" s="466"/>
      <c r="X103" s="758"/>
    </row>
    <row r="104" spans="1:24" ht="14.25" customHeight="1">
      <c r="B104" s="244">
        <v>10</v>
      </c>
      <c r="C104" s="245"/>
      <c r="D104" s="245" t="s">
        <v>349</v>
      </c>
      <c r="E104" s="246"/>
      <c r="F104" s="369"/>
      <c r="G104" s="247">
        <f>D180</f>
        <v>16800</v>
      </c>
      <c r="H104" s="563">
        <f>H89</f>
        <v>46157</v>
      </c>
      <c r="I104" s="758"/>
      <c r="J104" s="761"/>
      <c r="K104" s="176"/>
      <c r="L104" s="244">
        <v>10</v>
      </c>
      <c r="M104" s="334" t="s">
        <v>348</v>
      </c>
      <c r="N104" s="245"/>
      <c r="O104" s="445"/>
      <c r="P104" s="369"/>
      <c r="Q104" s="247"/>
      <c r="R104" s="484"/>
      <c r="S104" s="514"/>
      <c r="T104" s="424" t="str">
        <f t="shared" si="18"/>
        <v/>
      </c>
      <c r="U104" s="409">
        <f t="shared" si="23"/>
        <v>0</v>
      </c>
      <c r="V104" s="749"/>
      <c r="W104" s="466"/>
      <c r="X104" s="758"/>
    </row>
    <row r="105" spans="1:24" ht="14.25" customHeight="1">
      <c r="B105" s="244">
        <v>10</v>
      </c>
      <c r="C105" s="245"/>
      <c r="D105" s="245" t="s">
        <v>299</v>
      </c>
      <c r="E105" s="246"/>
      <c r="F105" s="369"/>
      <c r="G105" s="247">
        <f>D179</f>
        <v>2302.2222222222222</v>
      </c>
      <c r="H105" s="563">
        <f>H89</f>
        <v>46157</v>
      </c>
      <c r="I105" s="758"/>
      <c r="J105" s="761"/>
      <c r="K105" s="176"/>
      <c r="L105" s="244">
        <v>10</v>
      </c>
      <c r="M105" s="334" t="s">
        <v>348</v>
      </c>
      <c r="N105" s="245"/>
      <c r="O105" s="445"/>
      <c r="P105" s="369"/>
      <c r="Q105" s="247"/>
      <c r="R105" s="484"/>
      <c r="S105" s="514"/>
      <c r="T105" s="424" t="str">
        <f t="shared" si="18"/>
        <v/>
      </c>
      <c r="U105" s="409">
        <f t="shared" si="23"/>
        <v>0</v>
      </c>
      <c r="V105" s="749"/>
      <c r="W105" s="466"/>
      <c r="X105" s="758"/>
    </row>
    <row r="106" spans="1:24" ht="14.25" customHeight="1">
      <c r="B106" s="244">
        <v>10</v>
      </c>
      <c r="C106" s="245"/>
      <c r="D106" s="245"/>
      <c r="E106" s="246"/>
      <c r="F106" s="369"/>
      <c r="G106" s="247"/>
      <c r="H106" s="564"/>
      <c r="I106" s="758"/>
      <c r="J106" s="761"/>
      <c r="K106" s="176"/>
      <c r="L106" s="244">
        <v>10</v>
      </c>
      <c r="M106" s="334" t="s">
        <v>348</v>
      </c>
      <c r="N106" s="245" t="s">
        <v>317</v>
      </c>
      <c r="O106" s="495">
        <f>SUM(Z31:Z35)</f>
        <v>19694.575555555559</v>
      </c>
      <c r="P106" s="452">
        <v>0.1</v>
      </c>
      <c r="Q106" s="247">
        <f>$O$106*P106</f>
        <v>1969.4575555555559</v>
      </c>
      <c r="R106" s="754">
        <f>R90</f>
        <v>0</v>
      </c>
      <c r="S106" s="515"/>
      <c r="T106" s="425">
        <f>T90</f>
        <v>46112</v>
      </c>
      <c r="U106" s="409">
        <f t="shared" si="23"/>
        <v>2396.6847541375678</v>
      </c>
      <c r="V106" s="749"/>
      <c r="W106" s="467">
        <f>W90</f>
        <v>46107</v>
      </c>
      <c r="X106" s="758"/>
    </row>
    <row r="107" spans="1:24" ht="14.25" customHeight="1">
      <c r="B107" s="244">
        <v>10</v>
      </c>
      <c r="C107" s="245"/>
      <c r="D107" s="245"/>
      <c r="E107" s="246"/>
      <c r="F107" s="369"/>
      <c r="G107" s="247"/>
      <c r="H107" s="564"/>
      <c r="I107" s="758"/>
      <c r="J107" s="761"/>
      <c r="K107" s="176"/>
      <c r="L107" s="244">
        <v>10</v>
      </c>
      <c r="M107" s="334" t="s">
        <v>348</v>
      </c>
      <c r="N107" s="245" t="s">
        <v>158</v>
      </c>
      <c r="O107" s="445"/>
      <c r="P107" s="452">
        <v>0.15</v>
      </c>
      <c r="Q107" s="247">
        <f t="shared" ref="Q107:Q110" si="24">$O$106*P107</f>
        <v>2954.1863333333336</v>
      </c>
      <c r="R107" s="755"/>
      <c r="S107" s="520"/>
      <c r="T107" s="425">
        <f t="shared" ref="T107:T113" si="25">T91</f>
        <v>46142</v>
      </c>
      <c r="U107" s="409">
        <f t="shared" si="23"/>
        <v>3595.027131206351</v>
      </c>
      <c r="V107" s="749"/>
      <c r="W107" s="467">
        <f t="shared" ref="W107:W112" si="26">W91</f>
        <v>46114</v>
      </c>
      <c r="X107" s="758"/>
    </row>
    <row r="108" spans="1:24" ht="14.25" customHeight="1">
      <c r="B108" s="244">
        <v>10</v>
      </c>
      <c r="C108" s="245"/>
      <c r="D108" s="245"/>
      <c r="E108" s="246"/>
      <c r="F108" s="369"/>
      <c r="G108" s="247"/>
      <c r="H108" s="564"/>
      <c r="I108" s="758"/>
      <c r="J108" s="761"/>
      <c r="K108" s="176"/>
      <c r="L108" s="244">
        <v>10</v>
      </c>
      <c r="M108" s="334" t="s">
        <v>348</v>
      </c>
      <c r="N108" s="245" t="s">
        <v>320</v>
      </c>
      <c r="O108" s="445"/>
      <c r="P108" s="452">
        <v>0.2</v>
      </c>
      <c r="Q108" s="247">
        <f t="shared" si="24"/>
        <v>3938.9151111111119</v>
      </c>
      <c r="R108" s="755"/>
      <c r="S108" s="515"/>
      <c r="T108" s="425">
        <f t="shared" si="25"/>
        <v>46173</v>
      </c>
      <c r="U108" s="409">
        <f t="shared" si="23"/>
        <v>4793.3695082751356</v>
      </c>
      <c r="V108" s="749"/>
      <c r="W108" s="467">
        <f t="shared" si="26"/>
        <v>46157</v>
      </c>
      <c r="X108" s="758"/>
    </row>
    <row r="109" spans="1:24" ht="14.25" customHeight="1">
      <c r="B109" s="244">
        <v>10</v>
      </c>
      <c r="C109" s="245"/>
      <c r="D109" s="245"/>
      <c r="E109" s="246"/>
      <c r="F109" s="369"/>
      <c r="G109" s="247"/>
      <c r="H109" s="564"/>
      <c r="I109" s="758"/>
      <c r="J109" s="761"/>
      <c r="K109" s="176"/>
      <c r="L109" s="244">
        <v>10</v>
      </c>
      <c r="M109" s="334" t="s">
        <v>348</v>
      </c>
      <c r="N109" s="245" t="s">
        <v>322</v>
      </c>
      <c r="O109" s="445"/>
      <c r="P109" s="452">
        <v>0.25</v>
      </c>
      <c r="Q109" s="247">
        <f t="shared" si="24"/>
        <v>4923.6438888888897</v>
      </c>
      <c r="R109" s="755"/>
      <c r="S109" s="515"/>
      <c r="T109" s="425">
        <f t="shared" si="25"/>
        <v>46173</v>
      </c>
      <c r="U109" s="409">
        <f t="shared" si="23"/>
        <v>5991.7118853439188</v>
      </c>
      <c r="V109" s="749"/>
      <c r="W109" s="467">
        <f t="shared" si="26"/>
        <v>46149</v>
      </c>
      <c r="X109" s="758"/>
    </row>
    <row r="110" spans="1:24" ht="14.25" customHeight="1">
      <c r="B110" s="244">
        <v>10</v>
      </c>
      <c r="C110" s="245"/>
      <c r="D110" s="245"/>
      <c r="E110" s="246"/>
      <c r="F110" s="369"/>
      <c r="G110" s="247"/>
      <c r="H110" s="564"/>
      <c r="I110" s="758"/>
      <c r="J110" s="761"/>
      <c r="K110" s="176"/>
      <c r="L110" s="244">
        <v>10</v>
      </c>
      <c r="M110" s="334" t="s">
        <v>348</v>
      </c>
      <c r="N110" s="245" t="s">
        <v>323</v>
      </c>
      <c r="O110" s="445"/>
      <c r="P110" s="452">
        <v>0.1</v>
      </c>
      <c r="Q110" s="247">
        <f t="shared" si="24"/>
        <v>1969.4575555555559</v>
      </c>
      <c r="R110" s="755"/>
      <c r="S110" s="515"/>
      <c r="T110" s="425">
        <f t="shared" si="25"/>
        <v>46173</v>
      </c>
      <c r="U110" s="409">
        <f t="shared" si="23"/>
        <v>2396.6847541375678</v>
      </c>
      <c r="V110" s="749"/>
      <c r="W110" s="467">
        <f t="shared" si="26"/>
        <v>46162</v>
      </c>
      <c r="X110" s="758"/>
    </row>
    <row r="111" spans="1:24" ht="14.25" customHeight="1">
      <c r="B111" s="244">
        <v>10</v>
      </c>
      <c r="C111" s="245"/>
      <c r="D111" s="245"/>
      <c r="E111" s="246"/>
      <c r="F111" s="369"/>
      <c r="G111" s="247"/>
      <c r="H111" s="564"/>
      <c r="I111" s="758"/>
      <c r="J111" s="761"/>
      <c r="K111" s="176"/>
      <c r="L111" s="244">
        <v>10</v>
      </c>
      <c r="M111" s="334" t="s">
        <v>348</v>
      </c>
      <c r="N111" s="245" t="s">
        <v>324</v>
      </c>
      <c r="O111" s="445"/>
      <c r="P111" s="452">
        <v>0.15</v>
      </c>
      <c r="Q111" s="247">
        <f t="shared" ref="Q111:Q112" si="27">$O$106*P111</f>
        <v>2954.1863333333336</v>
      </c>
      <c r="R111" s="755"/>
      <c r="S111" s="515"/>
      <c r="T111" s="425">
        <f t="shared" si="25"/>
        <v>46173</v>
      </c>
      <c r="U111" s="409">
        <f t="shared" si="23"/>
        <v>3595.027131206351</v>
      </c>
      <c r="V111" s="749"/>
      <c r="W111" s="467">
        <f t="shared" si="26"/>
        <v>46168</v>
      </c>
      <c r="X111" s="758"/>
    </row>
    <row r="112" spans="1:24" ht="14.25" customHeight="1">
      <c r="B112" s="244">
        <v>10</v>
      </c>
      <c r="C112" s="245"/>
      <c r="D112" s="245"/>
      <c r="E112" s="246"/>
      <c r="F112" s="369"/>
      <c r="G112" s="247"/>
      <c r="H112" s="564"/>
      <c r="I112" s="758"/>
      <c r="J112" s="761"/>
      <c r="K112" s="176"/>
      <c r="L112" s="244">
        <v>10</v>
      </c>
      <c r="M112" s="334" t="s">
        <v>348</v>
      </c>
      <c r="N112" s="245" t="s">
        <v>325</v>
      </c>
      <c r="O112" s="445"/>
      <c r="P112" s="452">
        <v>0.05</v>
      </c>
      <c r="Q112" s="247">
        <f t="shared" si="27"/>
        <v>984.72877777777796</v>
      </c>
      <c r="R112" s="756"/>
      <c r="S112" s="515"/>
      <c r="T112" s="425">
        <f t="shared" si="25"/>
        <v>46203</v>
      </c>
      <c r="U112" s="409">
        <f t="shared" si="23"/>
        <v>1198.3423770687839</v>
      </c>
      <c r="V112" s="749"/>
      <c r="W112" s="467">
        <f t="shared" si="26"/>
        <v>46198</v>
      </c>
      <c r="X112" s="758"/>
    </row>
    <row r="113" spans="1:24" ht="14.25" customHeight="1">
      <c r="B113" s="244">
        <v>10</v>
      </c>
      <c r="C113" s="245"/>
      <c r="D113" s="245"/>
      <c r="E113" s="246"/>
      <c r="F113" s="369"/>
      <c r="G113" s="247"/>
      <c r="H113" s="564"/>
      <c r="I113" s="758"/>
      <c r="J113" s="761"/>
      <c r="K113" s="176"/>
      <c r="L113" s="244">
        <v>10</v>
      </c>
      <c r="M113" s="334" t="s">
        <v>348</v>
      </c>
      <c r="N113" s="245"/>
      <c r="O113" s="445"/>
      <c r="P113" s="452"/>
      <c r="Q113" s="247"/>
      <c r="R113" s="484"/>
      <c r="S113" s="515"/>
      <c r="T113" s="425" t="str">
        <f t="shared" si="25"/>
        <v/>
      </c>
      <c r="U113" s="409">
        <f t="shared" si="23"/>
        <v>0</v>
      </c>
      <c r="V113" s="749"/>
      <c r="W113" s="467"/>
      <c r="X113" s="758"/>
    </row>
    <row r="114" spans="1:24" ht="14.25" customHeight="1">
      <c r="B114" s="244">
        <v>10</v>
      </c>
      <c r="C114" s="245"/>
      <c r="D114" s="245"/>
      <c r="E114" s="246"/>
      <c r="F114" s="369"/>
      <c r="G114" s="247"/>
      <c r="H114" s="564"/>
      <c r="I114" s="758"/>
      <c r="J114" s="761"/>
      <c r="K114" s="176"/>
      <c r="L114" s="244">
        <v>10</v>
      </c>
      <c r="M114" s="334" t="s">
        <v>348</v>
      </c>
      <c r="N114" s="245"/>
      <c r="O114" s="445"/>
      <c r="P114" s="369"/>
      <c r="Q114" s="247"/>
      <c r="R114" s="485"/>
      <c r="S114" s="515"/>
      <c r="T114" s="425" t="str">
        <f t="shared" si="18"/>
        <v/>
      </c>
      <c r="U114" s="409">
        <f t="shared" si="23"/>
        <v>0</v>
      </c>
      <c r="V114" s="749"/>
      <c r="W114" s="467"/>
      <c r="X114" s="758"/>
    </row>
    <row r="115" spans="1:24" ht="14.25" customHeight="1">
      <c r="B115" s="244">
        <v>10</v>
      </c>
      <c r="C115" s="245"/>
      <c r="D115" s="245"/>
      <c r="E115" s="246"/>
      <c r="F115" s="369"/>
      <c r="G115" s="247"/>
      <c r="H115" s="564"/>
      <c r="I115" s="758"/>
      <c r="J115" s="761"/>
      <c r="K115" s="176"/>
      <c r="L115" s="244">
        <v>10</v>
      </c>
      <c r="M115" s="334" t="s">
        <v>348</v>
      </c>
      <c r="N115" s="245"/>
      <c r="O115" s="445"/>
      <c r="P115" s="369"/>
      <c r="Q115" s="247"/>
      <c r="R115" s="485"/>
      <c r="S115" s="515"/>
      <c r="T115" s="425" t="str">
        <f t="shared" si="18"/>
        <v/>
      </c>
      <c r="U115" s="409">
        <f t="shared" si="23"/>
        <v>0</v>
      </c>
      <c r="V115" s="749"/>
      <c r="W115" s="467"/>
      <c r="X115" s="758"/>
    </row>
    <row r="116" spans="1:24" ht="15" customHeight="1" thickBot="1">
      <c r="B116" s="177">
        <v>10</v>
      </c>
      <c r="C116" s="248"/>
      <c r="D116" s="248"/>
      <c r="E116" s="249"/>
      <c r="F116" s="370"/>
      <c r="G116" s="178"/>
      <c r="H116" s="565"/>
      <c r="I116" s="759"/>
      <c r="J116" s="762"/>
      <c r="K116" s="179"/>
      <c r="L116" s="177">
        <v>10</v>
      </c>
      <c r="M116" s="335" t="s">
        <v>348</v>
      </c>
      <c r="N116" s="248"/>
      <c r="O116" s="446"/>
      <c r="P116" s="370"/>
      <c r="Q116" s="178"/>
      <c r="R116" s="486"/>
      <c r="S116" s="516"/>
      <c r="T116" s="426" t="str">
        <f t="shared" si="18"/>
        <v/>
      </c>
      <c r="U116" s="410"/>
      <c r="V116" s="750"/>
      <c r="W116" s="468"/>
      <c r="X116" s="759"/>
    </row>
    <row r="117" spans="1:24" ht="14.45" thickBot="1">
      <c r="A117" s="4"/>
      <c r="B117" s="180"/>
      <c r="C117" s="181"/>
      <c r="D117" s="181"/>
      <c r="E117" s="195"/>
      <c r="F117" s="354"/>
      <c r="G117" s="183"/>
      <c r="H117" s="557"/>
      <c r="I117" s="548"/>
      <c r="J117" s="303"/>
      <c r="K117" s="4"/>
      <c r="L117" s="180"/>
      <c r="M117" s="181"/>
      <c r="N117" s="181"/>
      <c r="O117" s="436"/>
      <c r="P117" s="354"/>
      <c r="Q117" s="535"/>
      <c r="R117" s="478"/>
      <c r="S117" s="509"/>
      <c r="T117" s="414" t="str">
        <f t="shared" si="18"/>
        <v/>
      </c>
      <c r="U117" s="399"/>
      <c r="V117" s="386"/>
      <c r="W117" s="457"/>
      <c r="X117" s="548"/>
    </row>
    <row r="118" spans="1:24" ht="14.25" customHeight="1">
      <c r="B118" s="185">
        <v>11</v>
      </c>
      <c r="C118" s="186" t="s">
        <v>350</v>
      </c>
      <c r="D118" s="255" t="s">
        <v>351</v>
      </c>
      <c r="E118" s="187"/>
      <c r="F118" s="336"/>
      <c r="G118" s="188">
        <v>11000</v>
      </c>
      <c r="H118" s="543">
        <f>'Project Plan'!G40</f>
        <v>46155</v>
      </c>
      <c r="I118" s="724">
        <f>SUM(G118:G122)</f>
        <v>89000</v>
      </c>
      <c r="J118" s="727">
        <f>F176</f>
        <v>98888.888888888891</v>
      </c>
      <c r="K118" s="189"/>
      <c r="L118" s="185">
        <v>11</v>
      </c>
      <c r="M118" s="255" t="s">
        <v>352</v>
      </c>
      <c r="N118" s="255" t="s">
        <v>351</v>
      </c>
      <c r="O118" s="187"/>
      <c r="P118" s="336"/>
      <c r="Q118" s="188">
        <v>11000</v>
      </c>
      <c r="R118" s="536"/>
      <c r="S118" s="508"/>
      <c r="T118" s="418">
        <f t="shared" si="18"/>
        <v>46173</v>
      </c>
      <c r="U118" s="397">
        <f>(Q118/$X$118*$J$118)</f>
        <v>14126.984126984127</v>
      </c>
      <c r="V118" s="742">
        <f>J118-SUM(U118:U122)</f>
        <v>0</v>
      </c>
      <c r="W118" s="461">
        <f>'Project Plan'!K40+14</f>
        <v>46169</v>
      </c>
      <c r="X118" s="724">
        <f>SUM(Q118:Q122)</f>
        <v>77000</v>
      </c>
    </row>
    <row r="119" spans="1:24" ht="15" customHeight="1">
      <c r="B119" s="215">
        <v>11</v>
      </c>
      <c r="C119" s="217"/>
      <c r="D119" s="217" t="s">
        <v>353</v>
      </c>
      <c r="E119" s="218"/>
      <c r="F119" s="357"/>
      <c r="G119" s="219">
        <v>18000</v>
      </c>
      <c r="H119" s="543">
        <f>H118</f>
        <v>46155</v>
      </c>
      <c r="I119" s="725"/>
      <c r="J119" s="728"/>
      <c r="K119" s="192"/>
      <c r="L119" s="215">
        <v>11</v>
      </c>
      <c r="M119" s="290" t="s">
        <v>352</v>
      </c>
      <c r="N119" s="217" t="s">
        <v>354</v>
      </c>
      <c r="O119" s="218"/>
      <c r="P119" s="357"/>
      <c r="Q119" s="219">
        <v>0</v>
      </c>
      <c r="R119" s="518"/>
      <c r="S119" s="501"/>
      <c r="T119" s="411" t="str">
        <f t="shared" si="18"/>
        <v/>
      </c>
      <c r="U119" s="397">
        <f>(Q119/$X$118*$J$118)</f>
        <v>0</v>
      </c>
      <c r="V119" s="743"/>
      <c r="W119" s="454"/>
      <c r="X119" s="725"/>
    </row>
    <row r="120" spans="1:24" ht="15" customHeight="1">
      <c r="B120" s="215">
        <v>11</v>
      </c>
      <c r="C120" s="217"/>
      <c r="D120" s="217" t="s">
        <v>355</v>
      </c>
      <c r="E120" s="218"/>
      <c r="F120" s="357"/>
      <c r="G120" s="219">
        <v>60000</v>
      </c>
      <c r="H120" s="543">
        <f>H119</f>
        <v>46155</v>
      </c>
      <c r="I120" s="725"/>
      <c r="J120" s="728"/>
      <c r="K120" s="192"/>
      <c r="L120" s="215">
        <v>11</v>
      </c>
      <c r="M120" s="290" t="s">
        <v>352</v>
      </c>
      <c r="N120" s="217" t="s">
        <v>355</v>
      </c>
      <c r="O120" s="218"/>
      <c r="P120" s="357"/>
      <c r="Q120" s="219">
        <v>60000</v>
      </c>
      <c r="R120" s="470"/>
      <c r="S120" s="501"/>
      <c r="T120" s="411">
        <v>46203</v>
      </c>
      <c r="U120" s="397">
        <f>(Q120/$X$118*$J$118)</f>
        <v>77056.27705627706</v>
      </c>
      <c r="V120" s="743"/>
      <c r="W120" s="454">
        <f>T120+30</f>
        <v>46233</v>
      </c>
      <c r="X120" s="725"/>
    </row>
    <row r="121" spans="1:24" ht="15" customHeight="1">
      <c r="B121" s="215">
        <v>11</v>
      </c>
      <c r="C121" s="288"/>
      <c r="D121" s="288"/>
      <c r="E121" s="307"/>
      <c r="F121" s="343"/>
      <c r="G121" s="287"/>
      <c r="H121" s="552"/>
      <c r="I121" s="725"/>
      <c r="J121" s="728"/>
      <c r="K121" s="192"/>
      <c r="L121" s="215">
        <v>11</v>
      </c>
      <c r="M121" s="290" t="s">
        <v>352</v>
      </c>
      <c r="N121" s="288" t="s">
        <v>356</v>
      </c>
      <c r="O121" s="434"/>
      <c r="P121" s="343"/>
      <c r="Q121" s="287">
        <v>6000</v>
      </c>
      <c r="R121" s="471"/>
      <c r="S121" s="502"/>
      <c r="T121" s="411">
        <f t="shared" si="18"/>
        <v>46173</v>
      </c>
      <c r="U121" s="397">
        <f>(Q121/$X$118*$J$118)</f>
        <v>7705.6277056277058</v>
      </c>
      <c r="V121" s="743"/>
      <c r="W121" s="455">
        <f>'Project Plan'!K40</f>
        <v>46155</v>
      </c>
      <c r="X121" s="725"/>
    </row>
    <row r="122" spans="1:24" ht="15" customHeight="1" thickBot="1">
      <c r="B122" s="220">
        <v>11</v>
      </c>
      <c r="C122" s="221"/>
      <c r="D122" s="221"/>
      <c r="E122" s="222"/>
      <c r="F122" s="358"/>
      <c r="G122" s="234"/>
      <c r="H122" s="553"/>
      <c r="I122" s="726"/>
      <c r="J122" s="729"/>
      <c r="K122" s="193"/>
      <c r="L122" s="220">
        <v>11</v>
      </c>
      <c r="M122" s="318" t="s">
        <v>352</v>
      </c>
      <c r="N122" s="221"/>
      <c r="O122" s="222"/>
      <c r="P122" s="358"/>
      <c r="Q122" s="234"/>
      <c r="R122" s="472"/>
      <c r="S122" s="503"/>
      <c r="T122" s="413" t="str">
        <f t="shared" si="18"/>
        <v/>
      </c>
      <c r="U122" s="398">
        <f>(Q122/$X$118*$J$118)</f>
        <v>0</v>
      </c>
      <c r="V122" s="744"/>
      <c r="W122" s="456"/>
      <c r="X122" s="726"/>
    </row>
    <row r="123" spans="1:24" ht="15" customHeight="1" thickBot="1">
      <c r="A123" s="4"/>
      <c r="B123" s="194"/>
      <c r="C123" s="181"/>
      <c r="D123" s="181"/>
      <c r="E123" s="195"/>
      <c r="F123" s="354"/>
      <c r="G123" s="196"/>
      <c r="H123" s="554"/>
      <c r="I123" s="548"/>
      <c r="J123" s="184"/>
      <c r="K123" s="4"/>
      <c r="L123" s="194"/>
      <c r="M123" s="181"/>
      <c r="N123" s="181"/>
      <c r="O123" s="436"/>
      <c r="P123" s="354"/>
      <c r="Q123" s="196"/>
      <c r="R123" s="473"/>
      <c r="S123" s="504"/>
      <c r="T123" s="414" t="str">
        <f t="shared" si="18"/>
        <v/>
      </c>
      <c r="U123" s="403"/>
      <c r="V123" s="385"/>
      <c r="W123" s="457"/>
      <c r="X123" s="548"/>
    </row>
    <row r="124" spans="1:24">
      <c r="B124" s="173">
        <v>12</v>
      </c>
      <c r="C124" s="174" t="s">
        <v>357</v>
      </c>
      <c r="D124" s="174" t="s">
        <v>358</v>
      </c>
      <c r="E124" s="175"/>
      <c r="F124" s="368"/>
      <c r="G124" s="242">
        <v>0</v>
      </c>
      <c r="H124" s="562"/>
      <c r="I124" s="757">
        <f>SUM(G124:G125)</f>
        <v>0</v>
      </c>
      <c r="J124" s="760">
        <v>0</v>
      </c>
      <c r="K124" s="769"/>
      <c r="L124" s="173">
        <v>12</v>
      </c>
      <c r="M124" s="174" t="s">
        <v>359</v>
      </c>
      <c r="N124" s="174" t="s">
        <v>358</v>
      </c>
      <c r="O124" s="444"/>
      <c r="P124" s="368"/>
      <c r="Q124" s="242">
        <f>G124</f>
        <v>0</v>
      </c>
      <c r="R124" s="483"/>
      <c r="S124" s="513"/>
      <c r="T124" s="423" t="str">
        <f t="shared" si="18"/>
        <v/>
      </c>
      <c r="U124" s="408"/>
      <c r="V124" s="384"/>
      <c r="W124" s="465"/>
      <c r="X124" s="757">
        <f>SUM(Q124:Q125)</f>
        <v>0</v>
      </c>
    </row>
    <row r="125" spans="1:24" ht="15" customHeight="1" thickBot="1">
      <c r="B125" s="177">
        <v>12</v>
      </c>
      <c r="C125" s="248" t="s">
        <v>357</v>
      </c>
      <c r="D125" s="248"/>
      <c r="E125" s="249"/>
      <c r="F125" s="370"/>
      <c r="G125" s="178"/>
      <c r="H125" s="565"/>
      <c r="I125" s="759"/>
      <c r="J125" s="762"/>
      <c r="K125" s="770"/>
      <c r="L125" s="177">
        <v>12</v>
      </c>
      <c r="M125" s="248" t="s">
        <v>359</v>
      </c>
      <c r="N125" s="248"/>
      <c r="O125" s="446"/>
      <c r="P125" s="370"/>
      <c r="Q125" s="178"/>
      <c r="R125" s="486"/>
      <c r="S125" s="516"/>
      <c r="T125" s="426" t="str">
        <f t="shared" si="18"/>
        <v/>
      </c>
      <c r="U125" s="410"/>
      <c r="V125" s="383"/>
      <c r="W125" s="468"/>
      <c r="X125" s="759"/>
    </row>
    <row r="126" spans="1:24" ht="14.45" thickBot="1">
      <c r="A126" s="4"/>
      <c r="B126" s="194"/>
      <c r="C126" s="181"/>
      <c r="D126" s="181"/>
      <c r="E126" s="195"/>
      <c r="F126" s="354"/>
      <c r="G126" s="196"/>
      <c r="H126" s="554"/>
      <c r="I126" s="549"/>
      <c r="J126" s="230"/>
      <c r="K126" s="4"/>
      <c r="L126" s="194"/>
      <c r="M126" s="181"/>
      <c r="N126" s="181"/>
      <c r="O126" s="436"/>
      <c r="P126" s="354"/>
      <c r="Q126" s="196"/>
      <c r="R126" s="473"/>
      <c r="S126" s="504"/>
      <c r="T126" s="414" t="str">
        <f t="shared" si="18"/>
        <v/>
      </c>
      <c r="U126" s="403"/>
      <c r="V126" s="385"/>
      <c r="W126" s="457"/>
      <c r="X126" s="549"/>
    </row>
    <row r="127" spans="1:24" ht="15.75" customHeight="1">
      <c r="B127" s="185">
        <v>13</v>
      </c>
      <c r="C127" s="186" t="s">
        <v>360</v>
      </c>
      <c r="D127" s="255" t="s">
        <v>361</v>
      </c>
      <c r="E127" s="187"/>
      <c r="F127" s="336"/>
      <c r="G127" s="188">
        <f>D175</f>
        <v>19807.873957632852</v>
      </c>
      <c r="H127" s="543">
        <f>'Project Plan'!G52</f>
        <v>46171</v>
      </c>
      <c r="I127" s="724">
        <f>SUM(G127:G131)</f>
        <v>19807.873957632852</v>
      </c>
      <c r="J127" s="727">
        <f>F175</f>
        <v>22508.94767912824</v>
      </c>
      <c r="K127" s="189"/>
      <c r="L127" s="185">
        <v>13</v>
      </c>
      <c r="M127" s="255" t="s">
        <v>362</v>
      </c>
      <c r="N127" s="255" t="s">
        <v>363</v>
      </c>
      <c r="O127" s="432"/>
      <c r="P127" s="336"/>
      <c r="Q127" s="188">
        <f>'Project Plan'!$E$6*1.25%</f>
        <v>25572.940249820298</v>
      </c>
      <c r="R127" s="477"/>
      <c r="S127" s="508"/>
      <c r="T127" s="418">
        <f t="shared" si="18"/>
        <v>46173</v>
      </c>
      <c r="U127" s="404">
        <f t="shared" ref="U127:U132" si="28">(Q127/$X$127*$J$127)</f>
        <v>22508.94767912824</v>
      </c>
      <c r="V127" s="742">
        <f>J127-SUM(U127:U132)</f>
        <v>0</v>
      </c>
      <c r="W127" s="461">
        <f>'Project Plan'!K40</f>
        <v>46155</v>
      </c>
      <c r="X127" s="724">
        <f>SUM(Q127:Q132)</f>
        <v>25572.940249820298</v>
      </c>
    </row>
    <row r="128" spans="1:24" ht="15.75" customHeight="1">
      <c r="B128" s="215">
        <v>13</v>
      </c>
      <c r="C128" s="217"/>
      <c r="D128" s="217"/>
      <c r="E128" s="218"/>
      <c r="F128" s="357"/>
      <c r="G128" s="219"/>
      <c r="H128" s="542"/>
      <c r="I128" s="725"/>
      <c r="J128" s="728"/>
      <c r="K128" s="192"/>
      <c r="L128" s="215">
        <v>13</v>
      </c>
      <c r="M128" s="290" t="s">
        <v>362</v>
      </c>
      <c r="N128" s="217" t="s">
        <v>364</v>
      </c>
      <c r="O128" s="218"/>
      <c r="P128" s="357"/>
      <c r="Q128" s="219"/>
      <c r="R128" s="470"/>
      <c r="S128" s="501"/>
      <c r="T128" s="411">
        <f t="shared" si="18"/>
        <v>46173</v>
      </c>
      <c r="U128" s="396">
        <f t="shared" si="28"/>
        <v>0</v>
      </c>
      <c r="V128" s="743"/>
      <c r="W128" s="454">
        <f>W127</f>
        <v>46155</v>
      </c>
      <c r="X128" s="725"/>
    </row>
    <row r="129" spans="1:24" ht="15.75" customHeight="1">
      <c r="B129" s="215">
        <v>13</v>
      </c>
      <c r="C129" s="217"/>
      <c r="D129" s="217"/>
      <c r="E129" s="218"/>
      <c r="F129" s="357"/>
      <c r="G129" s="219"/>
      <c r="H129" s="542"/>
      <c r="I129" s="725"/>
      <c r="J129" s="728"/>
      <c r="K129" s="192"/>
      <c r="L129" s="215">
        <v>13</v>
      </c>
      <c r="M129" s="290" t="s">
        <v>362</v>
      </c>
      <c r="N129" s="217" t="s">
        <v>365</v>
      </c>
      <c r="O129" s="218"/>
      <c r="P129" s="357"/>
      <c r="Q129" s="219"/>
      <c r="R129" s="470"/>
      <c r="S129" s="501"/>
      <c r="T129" s="411">
        <f t="shared" si="18"/>
        <v>46173</v>
      </c>
      <c r="U129" s="396">
        <f t="shared" si="28"/>
        <v>0</v>
      </c>
      <c r="V129" s="743"/>
      <c r="W129" s="454">
        <f t="shared" ref="W129:W131" si="29">W128</f>
        <v>46155</v>
      </c>
      <c r="X129" s="725"/>
    </row>
    <row r="130" spans="1:24" ht="15.75" customHeight="1">
      <c r="B130" s="215">
        <v>13</v>
      </c>
      <c r="C130" s="217"/>
      <c r="D130" s="217"/>
      <c r="E130" s="218"/>
      <c r="F130" s="357"/>
      <c r="G130" s="219"/>
      <c r="H130" s="542"/>
      <c r="I130" s="725"/>
      <c r="J130" s="728"/>
      <c r="K130" s="192"/>
      <c r="L130" s="215">
        <v>13</v>
      </c>
      <c r="M130" s="290" t="s">
        <v>362</v>
      </c>
      <c r="N130" s="217" t="s">
        <v>366</v>
      </c>
      <c r="O130" s="218"/>
      <c r="P130" s="357"/>
      <c r="Q130" s="219"/>
      <c r="R130" s="470"/>
      <c r="S130" s="501"/>
      <c r="T130" s="411">
        <f t="shared" si="18"/>
        <v>46173</v>
      </c>
      <c r="U130" s="396">
        <f t="shared" si="28"/>
        <v>0</v>
      </c>
      <c r="V130" s="743"/>
      <c r="W130" s="454">
        <f t="shared" si="29"/>
        <v>46155</v>
      </c>
      <c r="X130" s="725"/>
    </row>
    <row r="131" spans="1:24" ht="15.75" customHeight="1">
      <c r="B131" s="215">
        <v>13</v>
      </c>
      <c r="C131" s="217"/>
      <c r="D131" s="217"/>
      <c r="E131" s="218"/>
      <c r="F131" s="357"/>
      <c r="G131" s="219"/>
      <c r="H131" s="542"/>
      <c r="I131" s="725"/>
      <c r="J131" s="728"/>
      <c r="K131" s="192"/>
      <c r="L131" s="215">
        <v>13</v>
      </c>
      <c r="M131" s="290" t="s">
        <v>362</v>
      </c>
      <c r="N131" s="217" t="s">
        <v>367</v>
      </c>
      <c r="O131" s="218"/>
      <c r="P131" s="357"/>
      <c r="Q131" s="219"/>
      <c r="R131" s="470"/>
      <c r="S131" s="501"/>
      <c r="T131" s="411">
        <f t="shared" si="18"/>
        <v>46173</v>
      </c>
      <c r="U131" s="396">
        <f t="shared" si="28"/>
        <v>0</v>
      </c>
      <c r="V131" s="743"/>
      <c r="W131" s="454">
        <f t="shared" si="29"/>
        <v>46155</v>
      </c>
      <c r="X131" s="725"/>
    </row>
    <row r="132" spans="1:24" ht="15.75" customHeight="1" thickBot="1">
      <c r="B132" s="220">
        <v>13</v>
      </c>
      <c r="C132" s="221"/>
      <c r="D132" s="221"/>
      <c r="E132" s="222"/>
      <c r="F132" s="358"/>
      <c r="G132" s="234"/>
      <c r="H132" s="553"/>
      <c r="I132" s="726"/>
      <c r="J132" s="729"/>
      <c r="K132" s="267"/>
      <c r="L132" s="220">
        <v>13</v>
      </c>
      <c r="M132" s="318" t="s">
        <v>362</v>
      </c>
      <c r="N132" s="221"/>
      <c r="O132" s="435"/>
      <c r="P132" s="358"/>
      <c r="Q132" s="234"/>
      <c r="R132" s="472"/>
      <c r="S132" s="503"/>
      <c r="T132" s="413" t="str">
        <f t="shared" si="18"/>
        <v/>
      </c>
      <c r="U132" s="398">
        <f t="shared" si="28"/>
        <v>0</v>
      </c>
      <c r="V132" s="744"/>
      <c r="W132" s="456"/>
      <c r="X132" s="726"/>
    </row>
    <row r="133" spans="1:24" ht="14.45" thickBot="1">
      <c r="A133" s="4"/>
      <c r="B133" s="194"/>
      <c r="C133" s="181"/>
      <c r="D133" s="181"/>
      <c r="E133" s="195"/>
      <c r="F133" s="354"/>
      <c r="G133" s="196"/>
      <c r="H133" s="554"/>
      <c r="I133" s="548"/>
      <c r="J133" s="184"/>
      <c r="K133" s="4"/>
      <c r="L133" s="194"/>
      <c r="M133" s="181"/>
      <c r="N133" s="181"/>
      <c r="O133" s="436"/>
      <c r="P133" s="354"/>
      <c r="Q133" s="196"/>
      <c r="R133" s="473"/>
      <c r="S133" s="504"/>
      <c r="T133" s="414" t="str">
        <f t="shared" si="18"/>
        <v/>
      </c>
      <c r="U133" s="403"/>
      <c r="V133" s="385"/>
      <c r="W133" s="457"/>
      <c r="X133" s="549"/>
    </row>
    <row r="134" spans="1:24" ht="14.25" customHeight="1">
      <c r="B134" s="173">
        <v>14</v>
      </c>
      <c r="C134" s="174" t="s">
        <v>368</v>
      </c>
      <c r="D134" s="174" t="s">
        <v>369</v>
      </c>
      <c r="E134" s="175"/>
      <c r="F134" s="368"/>
      <c r="G134" s="242">
        <v>7350</v>
      </c>
      <c r="H134" s="562">
        <f>'Project Plan'!G52</f>
        <v>46171</v>
      </c>
      <c r="I134" s="757">
        <f>SUM(G134:G145)</f>
        <v>42350</v>
      </c>
      <c r="J134" s="760">
        <f>F186</f>
        <v>47055.555555555555</v>
      </c>
      <c r="K134" s="243"/>
      <c r="L134" s="173">
        <v>14</v>
      </c>
      <c r="M134" s="333" t="s">
        <v>370</v>
      </c>
      <c r="N134" s="174" t="s">
        <v>371</v>
      </c>
      <c r="O134" s="444"/>
      <c r="P134" s="528"/>
      <c r="Q134" s="533">
        <f>$G$134/4</f>
        <v>1837.5</v>
      </c>
      <c r="R134" s="530"/>
      <c r="S134" s="519"/>
      <c r="T134" s="423">
        <v>46112</v>
      </c>
      <c r="U134" s="408">
        <f t="shared" ref="U134:U145" si="30">(Q134/$X$134*$J$134)</f>
        <v>11763.888888888889</v>
      </c>
      <c r="V134" s="748">
        <f>J134-SUM(U134:U145)</f>
        <v>0</v>
      </c>
      <c r="W134" s="467">
        <f>T134+7</f>
        <v>46119</v>
      </c>
      <c r="X134" s="757">
        <f>SUM(Q134:Q145)</f>
        <v>7350</v>
      </c>
    </row>
    <row r="135" spans="1:24" ht="14.25" customHeight="1">
      <c r="B135" s="244">
        <v>14</v>
      </c>
      <c r="C135" s="245"/>
      <c r="D135" s="245" t="s">
        <v>372</v>
      </c>
      <c r="E135" s="246"/>
      <c r="F135" s="369"/>
      <c r="G135" s="247">
        <v>35000</v>
      </c>
      <c r="H135" s="564">
        <f>H134</f>
        <v>46171</v>
      </c>
      <c r="I135" s="758"/>
      <c r="J135" s="761"/>
      <c r="K135" s="176"/>
      <c r="L135" s="244">
        <v>14</v>
      </c>
      <c r="M135" s="334" t="s">
        <v>370</v>
      </c>
      <c r="N135" s="245" t="s">
        <v>371</v>
      </c>
      <c r="O135" s="445"/>
      <c r="P135" s="529"/>
      <c r="Q135" s="532">
        <f>$G$134/4</f>
        <v>1837.5</v>
      </c>
      <c r="R135" s="531"/>
      <c r="S135" s="519"/>
      <c r="T135" s="425">
        <v>46142</v>
      </c>
      <c r="U135" s="409">
        <f t="shared" si="30"/>
        <v>11763.888888888889</v>
      </c>
      <c r="V135" s="749"/>
      <c r="W135" s="467">
        <f>T135+7</f>
        <v>46149</v>
      </c>
      <c r="X135" s="758"/>
    </row>
    <row r="136" spans="1:24" ht="14.25" customHeight="1">
      <c r="B136" s="244">
        <v>14</v>
      </c>
      <c r="C136" s="245"/>
      <c r="D136" s="245"/>
      <c r="E136" s="246"/>
      <c r="F136" s="369"/>
      <c r="G136" s="247"/>
      <c r="H136" s="564"/>
      <c r="I136" s="758"/>
      <c r="J136" s="761"/>
      <c r="K136" s="176"/>
      <c r="L136" s="244">
        <v>14</v>
      </c>
      <c r="M136" s="334" t="s">
        <v>370</v>
      </c>
      <c r="N136" s="245" t="s">
        <v>371</v>
      </c>
      <c r="O136" s="445"/>
      <c r="P136" s="369"/>
      <c r="Q136" s="247">
        <f>$G$134/4</f>
        <v>1837.5</v>
      </c>
      <c r="R136" s="485"/>
      <c r="S136" s="519"/>
      <c r="T136" s="425">
        <v>46173</v>
      </c>
      <c r="U136" s="409">
        <f t="shared" si="30"/>
        <v>11763.888888888889</v>
      </c>
      <c r="V136" s="749"/>
      <c r="W136" s="467">
        <f>T136+7</f>
        <v>46180</v>
      </c>
      <c r="X136" s="758"/>
    </row>
    <row r="137" spans="1:24" ht="14.25" customHeight="1">
      <c r="B137" s="244">
        <v>14</v>
      </c>
      <c r="C137" s="245"/>
      <c r="D137" s="245"/>
      <c r="E137" s="246"/>
      <c r="F137" s="369"/>
      <c r="G137" s="247"/>
      <c r="H137" s="564"/>
      <c r="I137" s="758"/>
      <c r="J137" s="761"/>
      <c r="K137" s="176"/>
      <c r="L137" s="244">
        <v>14</v>
      </c>
      <c r="M137" s="334" t="s">
        <v>370</v>
      </c>
      <c r="N137" s="245" t="s">
        <v>371</v>
      </c>
      <c r="O137" s="445"/>
      <c r="P137" s="369"/>
      <c r="Q137" s="247">
        <f>$G$134/4</f>
        <v>1837.5</v>
      </c>
      <c r="R137" s="485"/>
      <c r="S137" s="513"/>
      <c r="T137" s="425">
        <v>46203</v>
      </c>
      <c r="U137" s="409">
        <f t="shared" si="30"/>
        <v>11763.888888888889</v>
      </c>
      <c r="V137" s="749"/>
      <c r="W137" s="467">
        <f>T137+7</f>
        <v>46210</v>
      </c>
      <c r="X137" s="758"/>
    </row>
    <row r="138" spans="1:24" ht="14.25" customHeight="1">
      <c r="B138" s="244">
        <v>14</v>
      </c>
      <c r="C138" s="245"/>
      <c r="D138" s="245"/>
      <c r="E138" s="246"/>
      <c r="F138" s="369"/>
      <c r="G138" s="247"/>
      <c r="H138" s="564"/>
      <c r="I138" s="758"/>
      <c r="J138" s="761"/>
      <c r="K138" s="176"/>
      <c r="L138" s="244">
        <v>14</v>
      </c>
      <c r="M138" s="334" t="s">
        <v>370</v>
      </c>
      <c r="N138" s="245" t="s">
        <v>371</v>
      </c>
      <c r="O138" s="445"/>
      <c r="P138" s="369"/>
      <c r="Q138" s="247"/>
      <c r="R138" s="485"/>
      <c r="S138" s="513"/>
      <c r="T138" s="425" t="str">
        <f t="shared" ref="T138:T158" si="31">IF(W138&gt;1,EOMONTH(W138,0),"")</f>
        <v/>
      </c>
      <c r="U138" s="409">
        <f t="shared" si="30"/>
        <v>0</v>
      </c>
      <c r="V138" s="749"/>
      <c r="W138" s="467"/>
      <c r="X138" s="758"/>
    </row>
    <row r="139" spans="1:24" ht="14.25" customHeight="1">
      <c r="B139" s="244">
        <v>14</v>
      </c>
      <c r="C139" s="245"/>
      <c r="D139" s="245"/>
      <c r="E139" s="246"/>
      <c r="F139" s="369"/>
      <c r="G139" s="247"/>
      <c r="H139" s="564"/>
      <c r="I139" s="758"/>
      <c r="J139" s="761"/>
      <c r="K139" s="176"/>
      <c r="L139" s="244">
        <v>14</v>
      </c>
      <c r="M139" s="334" t="s">
        <v>370</v>
      </c>
      <c r="N139" s="245" t="s">
        <v>371</v>
      </c>
      <c r="O139" s="445"/>
      <c r="P139" s="369"/>
      <c r="Q139" s="247"/>
      <c r="R139" s="485"/>
      <c r="S139" s="513"/>
      <c r="T139" s="425" t="str">
        <f t="shared" si="31"/>
        <v/>
      </c>
      <c r="U139" s="409">
        <f t="shared" si="30"/>
        <v>0</v>
      </c>
      <c r="V139" s="749"/>
      <c r="W139" s="467"/>
      <c r="X139" s="758"/>
    </row>
    <row r="140" spans="1:24" ht="14.25" customHeight="1">
      <c r="B140" s="244">
        <v>14</v>
      </c>
      <c r="C140" s="245"/>
      <c r="D140" s="245"/>
      <c r="E140" s="246"/>
      <c r="F140" s="369"/>
      <c r="G140" s="247"/>
      <c r="H140" s="564"/>
      <c r="I140" s="758"/>
      <c r="J140" s="761"/>
      <c r="K140" s="176"/>
      <c r="L140" s="244">
        <v>14</v>
      </c>
      <c r="M140" s="334" t="s">
        <v>370</v>
      </c>
      <c r="N140" s="245" t="s">
        <v>371</v>
      </c>
      <c r="O140" s="445"/>
      <c r="P140" s="369"/>
      <c r="Q140" s="247"/>
      <c r="R140" s="485"/>
      <c r="S140" s="513"/>
      <c r="T140" s="425" t="str">
        <f t="shared" si="31"/>
        <v/>
      </c>
      <c r="U140" s="409">
        <f t="shared" si="30"/>
        <v>0</v>
      </c>
      <c r="V140" s="749"/>
      <c r="W140" s="467"/>
      <c r="X140" s="758"/>
    </row>
    <row r="141" spans="1:24" ht="14.25" customHeight="1">
      <c r="B141" s="244">
        <v>14</v>
      </c>
      <c r="C141" s="245"/>
      <c r="D141" s="245"/>
      <c r="E141" s="246"/>
      <c r="F141" s="369"/>
      <c r="G141" s="247"/>
      <c r="H141" s="564"/>
      <c r="I141" s="758"/>
      <c r="J141" s="761"/>
      <c r="K141" s="176"/>
      <c r="L141" s="244">
        <v>14</v>
      </c>
      <c r="M141" s="334" t="s">
        <v>370</v>
      </c>
      <c r="N141" s="245" t="s">
        <v>371</v>
      </c>
      <c r="O141" s="445"/>
      <c r="P141" s="369"/>
      <c r="Q141" s="247"/>
      <c r="R141" s="485"/>
      <c r="S141" s="513"/>
      <c r="T141" s="425" t="str">
        <f t="shared" si="31"/>
        <v/>
      </c>
      <c r="U141" s="409">
        <f t="shared" si="30"/>
        <v>0</v>
      </c>
      <c r="V141" s="749"/>
      <c r="W141" s="467"/>
      <c r="X141" s="758"/>
    </row>
    <row r="142" spans="1:24" ht="14.25" customHeight="1">
      <c r="B142" s="244">
        <v>14</v>
      </c>
      <c r="C142" s="245"/>
      <c r="D142" s="245"/>
      <c r="E142" s="246"/>
      <c r="F142" s="369"/>
      <c r="G142" s="247"/>
      <c r="H142" s="564"/>
      <c r="I142" s="758"/>
      <c r="J142" s="761"/>
      <c r="K142" s="176"/>
      <c r="L142" s="244">
        <v>14</v>
      </c>
      <c r="M142" s="334" t="s">
        <v>370</v>
      </c>
      <c r="N142" s="245" t="s">
        <v>371</v>
      </c>
      <c r="O142" s="445"/>
      <c r="P142" s="369"/>
      <c r="Q142" s="247"/>
      <c r="R142" s="485"/>
      <c r="S142" s="513"/>
      <c r="T142" s="425" t="str">
        <f t="shared" si="31"/>
        <v/>
      </c>
      <c r="U142" s="409">
        <f t="shared" si="30"/>
        <v>0</v>
      </c>
      <c r="V142" s="749"/>
      <c r="W142" s="467"/>
      <c r="X142" s="758"/>
    </row>
    <row r="143" spans="1:24" ht="14.25" customHeight="1">
      <c r="B143" s="244">
        <v>14</v>
      </c>
      <c r="C143" s="245"/>
      <c r="D143" s="245"/>
      <c r="E143" s="246"/>
      <c r="F143" s="369"/>
      <c r="G143" s="247"/>
      <c r="H143" s="564"/>
      <c r="I143" s="758"/>
      <c r="J143" s="761"/>
      <c r="K143" s="176"/>
      <c r="L143" s="244">
        <v>14</v>
      </c>
      <c r="M143" s="334" t="s">
        <v>370</v>
      </c>
      <c r="N143" s="245" t="s">
        <v>371</v>
      </c>
      <c r="O143" s="445"/>
      <c r="P143" s="369"/>
      <c r="Q143" s="247"/>
      <c r="R143" s="485"/>
      <c r="S143" s="513"/>
      <c r="T143" s="425" t="str">
        <f t="shared" si="31"/>
        <v/>
      </c>
      <c r="U143" s="409">
        <f t="shared" si="30"/>
        <v>0</v>
      </c>
      <c r="V143" s="749"/>
      <c r="W143" s="467"/>
      <c r="X143" s="758"/>
    </row>
    <row r="144" spans="1:24" ht="14.25" customHeight="1">
      <c r="B144" s="244">
        <v>14</v>
      </c>
      <c r="C144" s="245"/>
      <c r="D144" s="245"/>
      <c r="E144" s="246"/>
      <c r="F144" s="369"/>
      <c r="G144" s="247"/>
      <c r="H144" s="564"/>
      <c r="I144" s="758"/>
      <c r="J144" s="761"/>
      <c r="K144" s="176"/>
      <c r="L144" s="244">
        <v>14</v>
      </c>
      <c r="M144" s="334" t="s">
        <v>370</v>
      </c>
      <c r="N144" s="245"/>
      <c r="O144" s="445"/>
      <c r="P144" s="369"/>
      <c r="Q144" s="247"/>
      <c r="R144" s="485"/>
      <c r="S144" s="515"/>
      <c r="T144" s="425" t="str">
        <f t="shared" si="31"/>
        <v/>
      </c>
      <c r="U144" s="409">
        <f t="shared" si="30"/>
        <v>0</v>
      </c>
      <c r="V144" s="749"/>
      <c r="W144" s="467"/>
      <c r="X144" s="758"/>
    </row>
    <row r="145" spans="1:24" ht="15" customHeight="1" thickBot="1">
      <c r="B145" s="177">
        <v>14</v>
      </c>
      <c r="C145" s="248"/>
      <c r="D145" s="248"/>
      <c r="E145" s="249"/>
      <c r="F145" s="370"/>
      <c r="G145" s="178"/>
      <c r="H145" s="565"/>
      <c r="I145" s="759"/>
      <c r="J145" s="762"/>
      <c r="K145" s="179"/>
      <c r="L145" s="177">
        <v>14</v>
      </c>
      <c r="M145" s="335" t="s">
        <v>370</v>
      </c>
      <c r="N145" s="248"/>
      <c r="O145" s="446"/>
      <c r="P145" s="370"/>
      <c r="Q145" s="178"/>
      <c r="R145" s="486"/>
      <c r="S145" s="516"/>
      <c r="T145" s="426" t="str">
        <f t="shared" si="31"/>
        <v/>
      </c>
      <c r="U145" s="410">
        <f t="shared" si="30"/>
        <v>0</v>
      </c>
      <c r="V145" s="750"/>
      <c r="W145" s="468"/>
      <c r="X145" s="759"/>
    </row>
    <row r="146" spans="1:24" ht="14.45" thickBot="1">
      <c r="A146" s="4"/>
      <c r="B146" s="194"/>
      <c r="C146" s="181"/>
      <c r="D146" s="181"/>
      <c r="E146" s="195"/>
      <c r="F146" s="354"/>
      <c r="G146" s="196"/>
      <c r="H146" s="554"/>
      <c r="I146" s="550"/>
      <c r="J146" s="250"/>
      <c r="K146" s="4"/>
      <c r="L146" s="194"/>
      <c r="M146" s="181"/>
      <c r="N146" s="181"/>
      <c r="O146" s="436"/>
      <c r="P146" s="354"/>
      <c r="Q146" s="196"/>
      <c r="R146" s="473"/>
      <c r="S146" s="504"/>
      <c r="T146" s="414" t="str">
        <f t="shared" si="31"/>
        <v/>
      </c>
      <c r="U146" s="403"/>
      <c r="V146" s="385"/>
      <c r="W146" s="457"/>
      <c r="X146" s="550"/>
    </row>
    <row r="147" spans="1:24">
      <c r="B147" s="185">
        <v>15</v>
      </c>
      <c r="C147" s="186" t="s">
        <v>373</v>
      </c>
      <c r="D147" s="186"/>
      <c r="E147" s="187"/>
      <c r="F147" s="336"/>
      <c r="G147" s="188"/>
      <c r="H147" s="543"/>
      <c r="I147" s="724">
        <f>SUM(G147:G158)</f>
        <v>0</v>
      </c>
      <c r="J147" s="727">
        <v>0</v>
      </c>
      <c r="K147" s="189"/>
      <c r="L147" s="185">
        <v>15</v>
      </c>
      <c r="M147" s="255" t="s">
        <v>374</v>
      </c>
      <c r="N147" s="186"/>
      <c r="O147" s="187"/>
      <c r="P147" s="336"/>
      <c r="Q147" s="188"/>
      <c r="R147" s="477"/>
      <c r="S147" s="508"/>
      <c r="T147" s="418" t="str">
        <f t="shared" si="31"/>
        <v/>
      </c>
      <c r="U147" s="404"/>
      <c r="V147" s="742">
        <v>0</v>
      </c>
      <c r="W147" s="461"/>
      <c r="X147" s="724">
        <f>SUM(Q147:Q158)</f>
        <v>0</v>
      </c>
    </row>
    <row r="148" spans="1:24">
      <c r="B148" s="215">
        <v>15</v>
      </c>
      <c r="C148" s="217"/>
      <c r="D148" s="217"/>
      <c r="E148" s="218"/>
      <c r="F148" s="357"/>
      <c r="G148" s="219"/>
      <c r="H148" s="542"/>
      <c r="I148" s="725"/>
      <c r="J148" s="728"/>
      <c r="K148" s="192"/>
      <c r="L148" s="215">
        <v>15</v>
      </c>
      <c r="M148" s="290" t="s">
        <v>374</v>
      </c>
      <c r="N148" s="217"/>
      <c r="O148" s="433"/>
      <c r="P148" s="357"/>
      <c r="Q148" s="219"/>
      <c r="R148" s="470"/>
      <c r="S148" s="501"/>
      <c r="T148" s="411" t="str">
        <f t="shared" si="31"/>
        <v/>
      </c>
      <c r="U148" s="396"/>
      <c r="V148" s="743"/>
      <c r="W148" s="454"/>
      <c r="X148" s="725"/>
    </row>
    <row r="149" spans="1:24">
      <c r="B149" s="215">
        <v>15</v>
      </c>
      <c r="C149" s="217"/>
      <c r="D149" s="217"/>
      <c r="E149" s="218"/>
      <c r="F149" s="357"/>
      <c r="G149" s="219"/>
      <c r="H149" s="542"/>
      <c r="I149" s="725"/>
      <c r="J149" s="728"/>
      <c r="K149" s="192"/>
      <c r="L149" s="215">
        <v>15</v>
      </c>
      <c r="M149" s="290" t="s">
        <v>374</v>
      </c>
      <c r="N149" s="217"/>
      <c r="O149" s="433"/>
      <c r="P149" s="357"/>
      <c r="Q149" s="219"/>
      <c r="R149" s="470"/>
      <c r="S149" s="501"/>
      <c r="T149" s="411" t="str">
        <f t="shared" si="31"/>
        <v/>
      </c>
      <c r="U149" s="396"/>
      <c r="V149" s="743"/>
      <c r="W149" s="454"/>
      <c r="X149" s="725"/>
    </row>
    <row r="150" spans="1:24">
      <c r="B150" s="215">
        <v>15</v>
      </c>
      <c r="C150" s="217"/>
      <c r="D150" s="217"/>
      <c r="E150" s="218"/>
      <c r="F150" s="357"/>
      <c r="G150" s="219"/>
      <c r="H150" s="542"/>
      <c r="I150" s="725"/>
      <c r="J150" s="728"/>
      <c r="K150" s="192"/>
      <c r="L150" s="215">
        <v>15</v>
      </c>
      <c r="M150" s="290" t="s">
        <v>374</v>
      </c>
      <c r="N150" s="217"/>
      <c r="O150" s="433"/>
      <c r="P150" s="357"/>
      <c r="Q150" s="219"/>
      <c r="R150" s="470"/>
      <c r="S150" s="501"/>
      <c r="T150" s="411" t="str">
        <f t="shared" si="31"/>
        <v/>
      </c>
      <c r="U150" s="396"/>
      <c r="V150" s="743"/>
      <c r="W150" s="454"/>
      <c r="X150" s="725"/>
    </row>
    <row r="151" spans="1:24">
      <c r="B151" s="215">
        <v>15</v>
      </c>
      <c r="C151" s="217"/>
      <c r="D151" s="217"/>
      <c r="E151" s="218"/>
      <c r="F151" s="357"/>
      <c r="G151" s="219"/>
      <c r="H151" s="542"/>
      <c r="I151" s="725"/>
      <c r="J151" s="728"/>
      <c r="K151" s="192"/>
      <c r="L151" s="215">
        <v>15</v>
      </c>
      <c r="M151" s="290" t="s">
        <v>374</v>
      </c>
      <c r="N151" s="217"/>
      <c r="O151" s="433"/>
      <c r="P151" s="357"/>
      <c r="Q151" s="219"/>
      <c r="R151" s="470"/>
      <c r="S151" s="501"/>
      <c r="T151" s="411" t="str">
        <f t="shared" si="31"/>
        <v/>
      </c>
      <c r="U151" s="396"/>
      <c r="V151" s="743"/>
      <c r="W151" s="454"/>
      <c r="X151" s="725"/>
    </row>
    <row r="152" spans="1:24">
      <c r="B152" s="215">
        <v>15</v>
      </c>
      <c r="C152" s="217"/>
      <c r="D152" s="217"/>
      <c r="E152" s="218"/>
      <c r="F152" s="357"/>
      <c r="G152" s="219"/>
      <c r="H152" s="542"/>
      <c r="I152" s="725"/>
      <c r="J152" s="728"/>
      <c r="K152" s="192"/>
      <c r="L152" s="215">
        <v>15</v>
      </c>
      <c r="M152" s="290" t="s">
        <v>374</v>
      </c>
      <c r="N152" s="217"/>
      <c r="O152" s="433"/>
      <c r="P152" s="357"/>
      <c r="Q152" s="219"/>
      <c r="R152" s="470"/>
      <c r="S152" s="501"/>
      <c r="T152" s="411" t="str">
        <f t="shared" si="31"/>
        <v/>
      </c>
      <c r="U152" s="396"/>
      <c r="V152" s="743"/>
      <c r="W152" s="454"/>
      <c r="X152" s="725"/>
    </row>
    <row r="153" spans="1:24">
      <c r="B153" s="215">
        <v>15</v>
      </c>
      <c r="C153" s="217"/>
      <c r="D153" s="217"/>
      <c r="E153" s="218"/>
      <c r="F153" s="357"/>
      <c r="G153" s="219"/>
      <c r="H153" s="542"/>
      <c r="I153" s="725"/>
      <c r="J153" s="728"/>
      <c r="K153" s="192"/>
      <c r="L153" s="215">
        <v>15</v>
      </c>
      <c r="M153" s="290" t="s">
        <v>374</v>
      </c>
      <c r="N153" s="217"/>
      <c r="O153" s="433"/>
      <c r="P153" s="357"/>
      <c r="Q153" s="219"/>
      <c r="R153" s="470"/>
      <c r="S153" s="501"/>
      <c r="T153" s="411" t="str">
        <f t="shared" si="31"/>
        <v/>
      </c>
      <c r="U153" s="396"/>
      <c r="V153" s="743"/>
      <c r="W153" s="454"/>
      <c r="X153" s="725"/>
    </row>
    <row r="154" spans="1:24">
      <c r="B154" s="215">
        <v>15</v>
      </c>
      <c r="C154" s="217"/>
      <c r="D154" s="217"/>
      <c r="E154" s="218"/>
      <c r="F154" s="357"/>
      <c r="G154" s="219"/>
      <c r="H154" s="542"/>
      <c r="I154" s="725"/>
      <c r="J154" s="728"/>
      <c r="K154" s="192"/>
      <c r="L154" s="215">
        <v>15</v>
      </c>
      <c r="M154" s="290" t="s">
        <v>374</v>
      </c>
      <c r="N154" s="217"/>
      <c r="O154" s="433"/>
      <c r="P154" s="357"/>
      <c r="Q154" s="219"/>
      <c r="R154" s="470"/>
      <c r="S154" s="501"/>
      <c r="T154" s="411" t="str">
        <f t="shared" si="31"/>
        <v/>
      </c>
      <c r="U154" s="396"/>
      <c r="V154" s="743"/>
      <c r="W154" s="454"/>
      <c r="X154" s="725"/>
    </row>
    <row r="155" spans="1:24">
      <c r="B155" s="215">
        <v>15</v>
      </c>
      <c r="C155" s="217"/>
      <c r="D155" s="217"/>
      <c r="E155" s="218"/>
      <c r="F155" s="357"/>
      <c r="G155" s="219"/>
      <c r="H155" s="542"/>
      <c r="I155" s="725"/>
      <c r="J155" s="728"/>
      <c r="K155" s="192"/>
      <c r="L155" s="215">
        <v>15</v>
      </c>
      <c r="M155" s="290" t="s">
        <v>374</v>
      </c>
      <c r="N155" s="217"/>
      <c r="O155" s="433"/>
      <c r="P155" s="357"/>
      <c r="Q155" s="219"/>
      <c r="R155" s="470"/>
      <c r="S155" s="501"/>
      <c r="T155" s="411" t="str">
        <f t="shared" si="31"/>
        <v/>
      </c>
      <c r="U155" s="396"/>
      <c r="V155" s="743"/>
      <c r="W155" s="454"/>
      <c r="X155" s="725"/>
    </row>
    <row r="156" spans="1:24">
      <c r="B156" s="215">
        <v>15</v>
      </c>
      <c r="C156" s="217"/>
      <c r="D156" s="217"/>
      <c r="E156" s="218"/>
      <c r="F156" s="357"/>
      <c r="G156" s="219"/>
      <c r="H156" s="542"/>
      <c r="I156" s="725"/>
      <c r="J156" s="728"/>
      <c r="K156" s="192"/>
      <c r="L156" s="215">
        <v>15</v>
      </c>
      <c r="M156" s="290" t="s">
        <v>374</v>
      </c>
      <c r="N156" s="217"/>
      <c r="O156" s="433"/>
      <c r="P156" s="357"/>
      <c r="Q156" s="219"/>
      <c r="R156" s="470"/>
      <c r="S156" s="501"/>
      <c r="T156" s="411" t="str">
        <f t="shared" si="31"/>
        <v/>
      </c>
      <c r="U156" s="396"/>
      <c r="V156" s="743"/>
      <c r="W156" s="454"/>
      <c r="X156" s="725"/>
    </row>
    <row r="157" spans="1:24">
      <c r="B157" s="215">
        <v>15</v>
      </c>
      <c r="C157" s="217"/>
      <c r="D157" s="217"/>
      <c r="E157" s="218"/>
      <c r="F157" s="357"/>
      <c r="G157" s="219"/>
      <c r="H157" s="542"/>
      <c r="I157" s="725"/>
      <c r="J157" s="728"/>
      <c r="K157" s="192"/>
      <c r="L157" s="215">
        <v>15</v>
      </c>
      <c r="M157" s="290" t="s">
        <v>374</v>
      </c>
      <c r="N157" s="217"/>
      <c r="O157" s="433"/>
      <c r="P157" s="357"/>
      <c r="Q157" s="219"/>
      <c r="R157" s="470"/>
      <c r="S157" s="501"/>
      <c r="T157" s="411" t="str">
        <f t="shared" si="31"/>
        <v/>
      </c>
      <c r="U157" s="396"/>
      <c r="V157" s="743"/>
      <c r="W157" s="454"/>
      <c r="X157" s="725"/>
    </row>
    <row r="158" spans="1:24" ht="15" customHeight="1" thickBot="1">
      <c r="B158" s="220">
        <v>15</v>
      </c>
      <c r="C158" s="221"/>
      <c r="D158" s="221"/>
      <c r="E158" s="222"/>
      <c r="F158" s="358"/>
      <c r="G158" s="234"/>
      <c r="H158" s="553"/>
      <c r="I158" s="726"/>
      <c r="J158" s="729"/>
      <c r="K158" s="193"/>
      <c r="L158" s="220">
        <v>15</v>
      </c>
      <c r="M158" s="318" t="s">
        <v>374</v>
      </c>
      <c r="N158" s="221"/>
      <c r="O158" s="435"/>
      <c r="P158" s="358"/>
      <c r="Q158" s="234"/>
      <c r="R158" s="472"/>
      <c r="S158" s="503"/>
      <c r="T158" s="413" t="str">
        <f t="shared" si="31"/>
        <v/>
      </c>
      <c r="U158" s="398"/>
      <c r="V158" s="744"/>
      <c r="W158" s="456"/>
      <c r="X158" s="726"/>
    </row>
    <row r="159" spans="1:24" s="1" customFormat="1">
      <c r="B159" s="25"/>
      <c r="E159" s="2"/>
      <c r="F159" s="371"/>
      <c r="G159" s="3"/>
      <c r="H159" s="3"/>
      <c r="I159" s="251"/>
      <c r="J159" s="251"/>
      <c r="L159" s="25"/>
      <c r="O159" s="2"/>
      <c r="P159" s="371"/>
      <c r="Q159" s="252"/>
      <c r="R159" s="252"/>
      <c r="S159" s="252"/>
      <c r="T159" s="252"/>
      <c r="U159" s="252"/>
      <c r="V159" s="252"/>
      <c r="W159" s="252"/>
      <c r="X159" s="252"/>
    </row>
    <row r="160" spans="1:24">
      <c r="B160" s="26"/>
      <c r="C160" s="431" t="s">
        <v>375</v>
      </c>
      <c r="D160" s="4">
        <v>525991.77120000008</v>
      </c>
      <c r="E160" s="77"/>
      <c r="F160" s="431">
        <v>657489.71400000015</v>
      </c>
      <c r="G160" s="26"/>
      <c r="H160" s="26"/>
      <c r="I160" s="160"/>
      <c r="J160" s="160"/>
    </row>
    <row r="161" spans="2:23">
      <c r="B161" s="26"/>
      <c r="C161" s="431" t="s">
        <v>376</v>
      </c>
      <c r="D161" s="4">
        <v>140000</v>
      </c>
      <c r="E161" s="77"/>
      <c r="F161" s="431">
        <v>175000</v>
      </c>
      <c r="G161" s="26"/>
      <c r="H161" s="26"/>
      <c r="I161" s="160"/>
      <c r="J161" s="160"/>
    </row>
    <row r="162" spans="2:23">
      <c r="B162" s="26"/>
      <c r="C162" s="431" t="s">
        <v>377</v>
      </c>
      <c r="D162" s="4">
        <v>88288</v>
      </c>
      <c r="E162" s="77"/>
      <c r="F162" s="431">
        <v>110360</v>
      </c>
      <c r="G162" s="26"/>
      <c r="H162" s="26"/>
      <c r="I162" s="253"/>
      <c r="J162" s="253"/>
    </row>
    <row r="163" spans="2:23">
      <c r="B163" s="26"/>
      <c r="C163" s="431" t="s">
        <v>315</v>
      </c>
      <c r="D163" s="4">
        <v>128357.1</v>
      </c>
      <c r="E163" s="77"/>
      <c r="F163" s="431">
        <v>160446.375</v>
      </c>
      <c r="G163" s="26"/>
      <c r="H163" s="26"/>
      <c r="I163" s="160"/>
      <c r="J163" s="160"/>
    </row>
    <row r="164" spans="2:23">
      <c r="B164" s="26"/>
      <c r="C164" s="431" t="s">
        <v>333</v>
      </c>
      <c r="D164" s="4">
        <v>350472.95652173914</v>
      </c>
      <c r="E164" s="77"/>
      <c r="F164" s="431">
        <v>438091.19565217395</v>
      </c>
      <c r="G164" s="26"/>
      <c r="H164" s="26"/>
      <c r="I164" s="253"/>
      <c r="J164" s="253"/>
    </row>
    <row r="165" spans="2:23">
      <c r="B165" s="26"/>
      <c r="C165" s="431" t="s">
        <v>378</v>
      </c>
      <c r="D165" s="4">
        <v>49000</v>
      </c>
      <c r="E165" s="77"/>
      <c r="F165" s="431">
        <v>61250</v>
      </c>
      <c r="G165" s="26"/>
      <c r="H165" s="26"/>
      <c r="I165" s="160"/>
      <c r="J165" s="160"/>
    </row>
    <row r="166" spans="2:23">
      <c r="B166" s="26"/>
      <c r="C166" s="431" t="s">
        <v>379</v>
      </c>
      <c r="D166" s="4">
        <v>30000</v>
      </c>
      <c r="E166" s="77"/>
      <c r="F166" s="431">
        <v>37500</v>
      </c>
      <c r="G166" s="26"/>
      <c r="H166" s="26"/>
      <c r="I166" s="160"/>
      <c r="J166" s="160"/>
    </row>
    <row r="167" spans="2:23">
      <c r="B167" s="26"/>
      <c r="C167" s="431" t="s">
        <v>380</v>
      </c>
      <c r="D167" s="4">
        <v>0</v>
      </c>
      <c r="E167" s="77"/>
      <c r="F167" s="431">
        <v>0</v>
      </c>
      <c r="G167" s="26"/>
      <c r="H167" s="26"/>
      <c r="I167" s="160"/>
      <c r="J167" s="160"/>
    </row>
    <row r="168" spans="2:23">
      <c r="B168" s="26"/>
      <c r="C168" s="431" t="s">
        <v>381</v>
      </c>
      <c r="D168" s="4">
        <v>0</v>
      </c>
      <c r="E168" s="77"/>
      <c r="F168" s="431">
        <v>0</v>
      </c>
      <c r="G168" s="26"/>
      <c r="H168" s="26"/>
      <c r="I168" s="160"/>
      <c r="J168" s="160"/>
    </row>
    <row r="169" spans="2:23">
      <c r="B169" s="26"/>
      <c r="C169" s="431" t="s">
        <v>382</v>
      </c>
      <c r="D169" s="4">
        <v>0</v>
      </c>
      <c r="E169" s="77"/>
      <c r="F169" s="431">
        <v>0</v>
      </c>
      <c r="G169" s="26"/>
      <c r="H169" s="26"/>
      <c r="I169" s="160"/>
      <c r="J169" s="160"/>
    </row>
    <row r="170" spans="2:23">
      <c r="B170" s="26"/>
      <c r="C170" s="431" t="s">
        <v>383</v>
      </c>
      <c r="D170" s="4">
        <v>0</v>
      </c>
      <c r="E170" s="77"/>
      <c r="F170" s="431">
        <v>0</v>
      </c>
      <c r="G170" s="26"/>
      <c r="H170" s="26"/>
      <c r="I170" s="160"/>
      <c r="J170" s="160"/>
    </row>
    <row r="171" spans="2:23">
      <c r="B171" s="26"/>
      <c r="C171" s="431" t="s">
        <v>384</v>
      </c>
      <c r="E171" s="77"/>
      <c r="F171" s="431"/>
      <c r="G171" s="26"/>
      <c r="H171" s="26"/>
      <c r="I171" s="160"/>
      <c r="J171" s="160"/>
    </row>
    <row r="172" spans="2:23">
      <c r="B172" s="26"/>
      <c r="C172" s="431"/>
      <c r="E172" s="77"/>
      <c r="F172" s="431"/>
      <c r="G172" s="26"/>
      <c r="H172" s="26"/>
      <c r="I172" s="160"/>
      <c r="J172" s="160"/>
    </row>
    <row r="173" spans="2:23" s="26" customFormat="1">
      <c r="C173" s="431" t="s">
        <v>385</v>
      </c>
      <c r="D173" s="26">
        <v>55180</v>
      </c>
      <c r="E173" s="77"/>
      <c r="F173" s="431">
        <v>61311.111111111109</v>
      </c>
      <c r="I173" s="160"/>
      <c r="J173" s="160"/>
      <c r="T173" s="431"/>
      <c r="U173" s="431"/>
      <c r="W173" s="431"/>
    </row>
    <row r="174" spans="2:23" s="26" customFormat="1">
      <c r="C174" s="431" t="s">
        <v>386</v>
      </c>
      <c r="D174" s="26">
        <v>118370.00000000001</v>
      </c>
      <c r="E174" s="77"/>
      <c r="F174" s="431">
        <v>131522.22222222225</v>
      </c>
      <c r="I174" s="160"/>
      <c r="J174" s="160"/>
      <c r="T174" s="431"/>
      <c r="U174" s="431"/>
      <c r="W174" s="431"/>
    </row>
    <row r="175" spans="2:23" s="26" customFormat="1">
      <c r="C175" s="431" t="s">
        <v>387</v>
      </c>
      <c r="D175" s="26">
        <v>19807.873957632852</v>
      </c>
      <c r="E175" s="77"/>
      <c r="F175" s="431">
        <v>22508.94767912824</v>
      </c>
      <c r="I175" s="160"/>
      <c r="J175" s="160"/>
      <c r="T175" s="431"/>
      <c r="U175" s="431"/>
      <c r="W175" s="431"/>
    </row>
    <row r="176" spans="2:23" s="26" customFormat="1">
      <c r="C176" s="431" t="s">
        <v>388</v>
      </c>
      <c r="D176" s="26">
        <v>89000</v>
      </c>
      <c r="E176" s="77"/>
      <c r="F176" s="431">
        <v>98888.888888888891</v>
      </c>
      <c r="I176" s="160"/>
      <c r="J176" s="160"/>
      <c r="T176" s="431"/>
      <c r="U176" s="431"/>
      <c r="W176" s="431"/>
    </row>
    <row r="177" spans="3:23" s="26" customFormat="1">
      <c r="C177" s="431" t="s">
        <v>389</v>
      </c>
      <c r="D177" s="26">
        <v>8500</v>
      </c>
      <c r="E177" s="77"/>
      <c r="F177" s="431">
        <v>9444.4444444444453</v>
      </c>
      <c r="I177" s="160"/>
      <c r="J177" s="160"/>
      <c r="T177" s="431"/>
      <c r="U177" s="431"/>
      <c r="W177" s="431"/>
    </row>
    <row r="178" spans="3:23" s="26" customFormat="1">
      <c r="C178" s="431" t="s">
        <v>390</v>
      </c>
      <c r="D178" s="26">
        <v>0</v>
      </c>
      <c r="E178" s="77"/>
      <c r="F178" s="431">
        <v>0</v>
      </c>
      <c r="I178" s="160"/>
      <c r="J178" s="160"/>
      <c r="T178" s="431"/>
      <c r="U178" s="431"/>
      <c r="W178" s="431"/>
    </row>
    <row r="179" spans="3:23" s="26" customFormat="1">
      <c r="C179" s="431" t="s">
        <v>391</v>
      </c>
      <c r="D179" s="26">
        <v>2302.2222222222222</v>
      </c>
      <c r="E179" s="77"/>
      <c r="F179" s="431">
        <v>2558.0246913580245</v>
      </c>
      <c r="I179" s="160"/>
      <c r="J179" s="160"/>
      <c r="T179" s="431"/>
      <c r="U179" s="431"/>
      <c r="W179" s="431"/>
    </row>
    <row r="180" spans="3:23" s="26" customFormat="1">
      <c r="C180" s="431" t="s">
        <v>392</v>
      </c>
      <c r="D180" s="26">
        <v>16800</v>
      </c>
      <c r="E180" s="77"/>
      <c r="F180" s="431">
        <v>18666.666666666668</v>
      </c>
      <c r="I180" s="160"/>
      <c r="J180" s="160"/>
      <c r="T180" s="431"/>
      <c r="U180" s="431"/>
      <c r="W180" s="431"/>
    </row>
    <row r="181" spans="3:23" s="26" customFormat="1">
      <c r="C181" s="431" t="s">
        <v>393</v>
      </c>
      <c r="D181" s="26">
        <v>12367.866666666667</v>
      </c>
      <c r="E181" s="77"/>
      <c r="F181" s="431">
        <v>13742.074074074075</v>
      </c>
      <c r="I181" s="160"/>
      <c r="J181" s="160"/>
      <c r="T181" s="431"/>
      <c r="U181" s="431"/>
      <c r="W181" s="431"/>
    </row>
    <row r="182" spans="3:23" s="26" customFormat="1">
      <c r="C182" s="431" t="s">
        <v>394</v>
      </c>
      <c r="D182" s="26">
        <v>0</v>
      </c>
      <c r="E182" s="77"/>
      <c r="F182" s="431">
        <v>0</v>
      </c>
      <c r="I182" s="160"/>
      <c r="J182" s="160"/>
      <c r="T182" s="431"/>
      <c r="U182" s="431"/>
      <c r="W182" s="431"/>
    </row>
    <row r="183" spans="3:23" s="26" customFormat="1">
      <c r="C183" s="431" t="s">
        <v>381</v>
      </c>
      <c r="D183" s="26">
        <v>0</v>
      </c>
      <c r="E183" s="77"/>
      <c r="F183" s="431">
        <v>0</v>
      </c>
      <c r="I183" s="160"/>
      <c r="J183" s="160"/>
      <c r="T183" s="431"/>
      <c r="U183" s="431"/>
      <c r="W183" s="431"/>
    </row>
    <row r="184" spans="3:23" s="26" customFormat="1">
      <c r="C184" s="431"/>
      <c r="E184" s="77"/>
      <c r="F184" s="431"/>
      <c r="I184" s="160"/>
      <c r="J184" s="160"/>
      <c r="T184" s="431"/>
      <c r="U184" s="431"/>
      <c r="W184" s="431"/>
    </row>
    <row r="185" spans="3:23" s="26" customFormat="1">
      <c r="C185" s="431" t="s">
        <v>395</v>
      </c>
      <c r="E185" s="77"/>
      <c r="F185" s="431"/>
      <c r="I185" s="160"/>
      <c r="J185" s="160"/>
      <c r="T185" s="431"/>
      <c r="U185" s="431"/>
      <c r="W185" s="431"/>
    </row>
    <row r="186" spans="3:23" s="26" customFormat="1">
      <c r="C186" s="431" t="s">
        <v>396</v>
      </c>
      <c r="D186" s="26">
        <v>42350</v>
      </c>
      <c r="E186" s="77"/>
      <c r="F186" s="431">
        <v>47055.555555555555</v>
      </c>
      <c r="I186" s="160"/>
      <c r="J186" s="160"/>
      <c r="T186" s="431"/>
      <c r="U186" s="431"/>
      <c r="W186" s="431"/>
    </row>
    <row r="187" spans="3:23" s="26" customFormat="1">
      <c r="C187" s="431"/>
      <c r="D187" s="431"/>
      <c r="E187" s="77"/>
      <c r="F187" s="362"/>
      <c r="I187" s="160"/>
      <c r="J187" s="160"/>
      <c r="T187" s="431"/>
      <c r="U187" s="431"/>
      <c r="W187" s="431"/>
    </row>
    <row r="188" spans="3:23" s="26" customFormat="1">
      <c r="C188" s="431"/>
      <c r="D188" s="431"/>
      <c r="E188" s="77"/>
      <c r="F188" s="362"/>
      <c r="I188" s="160"/>
      <c r="J188" s="160"/>
      <c r="T188" s="431"/>
      <c r="U188" s="431"/>
      <c r="W188" s="431"/>
    </row>
    <row r="189" spans="3:23" s="26" customFormat="1">
      <c r="C189" s="431"/>
      <c r="D189" s="431"/>
      <c r="E189" s="77"/>
      <c r="F189" s="362"/>
      <c r="I189" s="160"/>
      <c r="J189" s="160"/>
      <c r="T189" s="431"/>
      <c r="U189" s="431"/>
      <c r="W189" s="431"/>
    </row>
    <row r="190" spans="3:23" s="26" customFormat="1">
      <c r="C190" s="431"/>
      <c r="D190" s="431"/>
      <c r="E190" s="77"/>
      <c r="F190" s="362"/>
      <c r="I190" s="160"/>
      <c r="J190" s="160"/>
      <c r="T190" s="431"/>
      <c r="U190" s="431"/>
      <c r="W190" s="431"/>
    </row>
    <row r="191" spans="3:23" s="26" customFormat="1">
      <c r="C191" s="431"/>
      <c r="D191" s="431"/>
      <c r="E191" s="77"/>
      <c r="F191" s="362"/>
      <c r="I191" s="160"/>
      <c r="J191" s="160"/>
      <c r="T191" s="431"/>
      <c r="U191" s="431"/>
      <c r="W191" s="431"/>
    </row>
    <row r="192" spans="3:23" s="26" customFormat="1">
      <c r="C192" s="431"/>
      <c r="D192" s="431"/>
      <c r="E192" s="77"/>
      <c r="F192" s="362"/>
      <c r="I192" s="160"/>
      <c r="J192" s="160"/>
      <c r="T192" s="431"/>
      <c r="U192" s="431"/>
      <c r="W192" s="431"/>
    </row>
    <row r="193" spans="3:23" s="26" customFormat="1">
      <c r="C193" s="431"/>
      <c r="D193" s="431"/>
      <c r="E193" s="77"/>
      <c r="F193" s="362"/>
      <c r="I193" s="160"/>
      <c r="J193" s="160"/>
      <c r="T193" s="431"/>
      <c r="U193" s="431"/>
      <c r="W193" s="431"/>
    </row>
    <row r="194" spans="3:23" s="26" customFormat="1">
      <c r="C194" s="431"/>
      <c r="D194" s="431"/>
      <c r="E194" s="77"/>
      <c r="F194" s="362"/>
      <c r="I194" s="160"/>
      <c r="J194" s="160"/>
      <c r="T194" s="431"/>
      <c r="U194" s="431"/>
      <c r="W194" s="431"/>
    </row>
    <row r="195" spans="3:23" s="26" customFormat="1">
      <c r="C195" s="431"/>
      <c r="D195" s="431"/>
      <c r="E195" s="77"/>
      <c r="F195" s="362"/>
      <c r="I195" s="160"/>
      <c r="J195" s="160"/>
      <c r="T195" s="431"/>
      <c r="U195" s="431"/>
      <c r="W195" s="431"/>
    </row>
    <row r="196" spans="3:23" s="26" customFormat="1">
      <c r="C196" s="431"/>
      <c r="D196" s="431"/>
      <c r="E196" s="77"/>
      <c r="F196" s="362"/>
      <c r="I196" s="160"/>
      <c r="J196" s="160"/>
      <c r="T196" s="431"/>
      <c r="U196" s="431"/>
      <c r="W196" s="431"/>
    </row>
    <row r="197" spans="3:23" s="26" customFormat="1">
      <c r="C197" s="431"/>
      <c r="D197" s="431"/>
      <c r="E197" s="77"/>
      <c r="F197" s="362"/>
      <c r="I197" s="160"/>
      <c r="J197" s="160"/>
      <c r="T197" s="431"/>
      <c r="U197" s="431"/>
      <c r="W197" s="431"/>
    </row>
    <row r="198" spans="3:23" s="26" customFormat="1">
      <c r="C198" s="431"/>
      <c r="D198" s="431"/>
      <c r="E198" s="77"/>
      <c r="F198" s="362"/>
      <c r="I198" s="160"/>
      <c r="J198" s="160"/>
      <c r="T198" s="431"/>
      <c r="U198" s="431"/>
      <c r="W198" s="431"/>
    </row>
    <row r="199" spans="3:23" s="26" customFormat="1">
      <c r="C199" s="431"/>
      <c r="D199" s="431"/>
      <c r="E199" s="77"/>
      <c r="F199" s="362"/>
      <c r="I199" s="160"/>
      <c r="J199" s="160"/>
      <c r="T199" s="431"/>
      <c r="U199" s="431"/>
      <c r="W199" s="431"/>
    </row>
    <row r="200" spans="3:23" s="26" customFormat="1">
      <c r="C200" s="431"/>
      <c r="D200" s="431"/>
      <c r="E200" s="77"/>
      <c r="F200" s="362"/>
      <c r="I200" s="160"/>
      <c r="J200" s="160"/>
      <c r="T200" s="431"/>
      <c r="U200" s="431"/>
      <c r="W200" s="431"/>
    </row>
    <row r="201" spans="3:23" s="26" customFormat="1">
      <c r="C201" s="431"/>
      <c r="D201" s="431"/>
      <c r="E201" s="77"/>
      <c r="F201" s="362"/>
      <c r="I201" s="160"/>
      <c r="J201" s="160"/>
      <c r="T201" s="431"/>
      <c r="U201" s="431"/>
      <c r="W201" s="431"/>
    </row>
    <row r="202" spans="3:23" s="26" customFormat="1">
      <c r="C202" s="431"/>
      <c r="D202" s="431"/>
      <c r="E202" s="77"/>
      <c r="F202" s="362"/>
      <c r="I202" s="160"/>
      <c r="J202" s="160"/>
      <c r="T202" s="431"/>
      <c r="U202" s="431"/>
      <c r="W202" s="431"/>
    </row>
    <row r="203" spans="3:23" s="26" customFormat="1">
      <c r="C203" s="431"/>
      <c r="D203" s="431"/>
      <c r="E203" s="77"/>
      <c r="F203" s="362"/>
      <c r="I203" s="160"/>
      <c r="J203" s="160"/>
      <c r="T203" s="431"/>
      <c r="U203" s="431"/>
      <c r="W203" s="431"/>
    </row>
    <row r="204" spans="3:23" s="26" customFormat="1">
      <c r="C204" s="431"/>
      <c r="D204" s="431"/>
      <c r="E204" s="77"/>
      <c r="F204" s="362"/>
      <c r="I204" s="160"/>
      <c r="J204" s="160"/>
      <c r="T204" s="431"/>
      <c r="U204" s="431"/>
      <c r="W204" s="431"/>
    </row>
    <row r="205" spans="3:23" s="26" customFormat="1">
      <c r="C205" s="431"/>
      <c r="D205" s="431"/>
      <c r="E205" s="77"/>
      <c r="F205" s="362"/>
      <c r="I205" s="160"/>
      <c r="J205" s="160"/>
      <c r="T205" s="431"/>
      <c r="U205" s="431"/>
      <c r="W205" s="431"/>
    </row>
    <row r="206" spans="3:23" s="26" customFormat="1">
      <c r="C206" s="431"/>
      <c r="D206" s="431"/>
      <c r="E206" s="77"/>
      <c r="F206" s="362"/>
      <c r="I206" s="160"/>
      <c r="J206" s="160"/>
      <c r="T206" s="431"/>
      <c r="U206" s="431"/>
      <c r="W206" s="431"/>
    </row>
    <row r="207" spans="3:23" s="26" customFormat="1">
      <c r="E207" s="77"/>
      <c r="F207" s="362"/>
      <c r="I207" s="160"/>
      <c r="J207" s="160"/>
      <c r="T207" s="431"/>
      <c r="U207" s="431"/>
      <c r="W207" s="431"/>
    </row>
    <row r="208" spans="3:23" s="26" customFormat="1">
      <c r="E208" s="77"/>
      <c r="F208" s="362"/>
      <c r="I208" s="160"/>
      <c r="J208" s="160"/>
      <c r="T208" s="431"/>
      <c r="U208" s="431"/>
      <c r="W208" s="431"/>
    </row>
    <row r="209" spans="5:23" s="26" customFormat="1">
      <c r="E209" s="77"/>
      <c r="F209" s="362"/>
      <c r="I209" s="160"/>
      <c r="J209" s="160"/>
      <c r="T209" s="431"/>
      <c r="U209" s="431"/>
      <c r="W209" s="431"/>
    </row>
    <row r="210" spans="5:23" s="26" customFormat="1">
      <c r="E210" s="77"/>
      <c r="F210" s="362"/>
      <c r="I210" s="160"/>
      <c r="J210" s="160"/>
      <c r="T210" s="431"/>
      <c r="U210" s="431"/>
      <c r="W210" s="431"/>
    </row>
    <row r="211" spans="5:23" s="26" customFormat="1">
      <c r="E211" s="77"/>
      <c r="F211" s="362"/>
      <c r="I211" s="160"/>
      <c r="J211" s="160"/>
      <c r="T211" s="431"/>
      <c r="U211" s="431"/>
      <c r="W211" s="431"/>
    </row>
    <row r="212" spans="5:23" s="26" customFormat="1">
      <c r="E212" s="77"/>
      <c r="F212" s="362"/>
      <c r="I212" s="160"/>
      <c r="J212" s="160"/>
      <c r="T212" s="431"/>
      <c r="U212" s="431"/>
      <c r="W212" s="431"/>
    </row>
    <row r="213" spans="5:23" s="26" customFormat="1">
      <c r="E213" s="77"/>
      <c r="F213" s="362"/>
      <c r="I213" s="160"/>
      <c r="J213" s="160"/>
      <c r="T213" s="431"/>
      <c r="U213" s="431"/>
      <c r="W213" s="431"/>
    </row>
    <row r="214" spans="5:23" s="26" customFormat="1">
      <c r="E214" s="77"/>
      <c r="F214" s="362"/>
      <c r="I214" s="160"/>
      <c r="J214" s="160"/>
      <c r="T214" s="431"/>
      <c r="U214" s="431"/>
      <c r="W214" s="431"/>
    </row>
    <row r="215" spans="5:23" s="26" customFormat="1">
      <c r="E215" s="77"/>
      <c r="F215" s="362"/>
      <c r="I215" s="160"/>
      <c r="J215" s="160"/>
      <c r="T215" s="431"/>
      <c r="U215" s="431"/>
      <c r="W215" s="431"/>
    </row>
    <row r="216" spans="5:23" s="26" customFormat="1">
      <c r="E216" s="77"/>
      <c r="F216" s="362"/>
      <c r="I216" s="160"/>
      <c r="J216" s="160"/>
      <c r="T216" s="431"/>
      <c r="U216" s="431"/>
      <c r="W216" s="431"/>
    </row>
    <row r="217" spans="5:23" s="26" customFormat="1">
      <c r="E217" s="77"/>
      <c r="F217" s="362"/>
      <c r="I217" s="160"/>
      <c r="J217" s="160"/>
      <c r="T217" s="431"/>
      <c r="U217" s="431"/>
      <c r="W217" s="431"/>
    </row>
    <row r="218" spans="5:23" s="26" customFormat="1">
      <c r="E218" s="77"/>
      <c r="F218" s="362"/>
      <c r="I218" s="160"/>
      <c r="J218" s="160"/>
      <c r="T218" s="431"/>
      <c r="U218" s="431"/>
      <c r="W218" s="431"/>
    </row>
    <row r="219" spans="5:23" s="26" customFormat="1">
      <c r="E219" s="77"/>
      <c r="F219" s="362"/>
      <c r="I219" s="160"/>
      <c r="J219" s="160"/>
      <c r="T219" s="431"/>
      <c r="U219" s="431"/>
      <c r="W219" s="431"/>
    </row>
    <row r="220" spans="5:23" s="26" customFormat="1">
      <c r="E220" s="77"/>
      <c r="F220" s="362"/>
      <c r="I220" s="160"/>
      <c r="J220" s="160"/>
      <c r="T220" s="431"/>
      <c r="U220" s="431"/>
      <c r="W220" s="431"/>
    </row>
    <row r="221" spans="5:23" s="26" customFormat="1">
      <c r="E221" s="77"/>
      <c r="F221" s="362"/>
      <c r="I221" s="160"/>
      <c r="J221" s="160"/>
      <c r="T221" s="431"/>
      <c r="U221" s="431"/>
      <c r="W221" s="431"/>
    </row>
    <row r="222" spans="5:23" s="26" customFormat="1">
      <c r="E222" s="77"/>
      <c r="F222" s="362"/>
      <c r="I222" s="160"/>
      <c r="J222" s="160"/>
      <c r="T222" s="431"/>
      <c r="U222" s="431"/>
      <c r="W222" s="431"/>
    </row>
    <row r="223" spans="5:23" s="26" customFormat="1">
      <c r="E223" s="77"/>
      <c r="F223" s="362"/>
      <c r="I223" s="160"/>
      <c r="J223" s="160"/>
      <c r="T223" s="431"/>
      <c r="U223" s="431"/>
      <c r="W223" s="431"/>
    </row>
    <row r="224" spans="5:23" s="26" customFormat="1">
      <c r="E224" s="77"/>
      <c r="F224" s="362"/>
      <c r="I224" s="160"/>
      <c r="J224" s="160"/>
      <c r="T224" s="431"/>
      <c r="U224" s="431"/>
      <c r="W224" s="431"/>
    </row>
    <row r="225" spans="5:23" s="26" customFormat="1">
      <c r="E225" s="77"/>
      <c r="F225" s="362"/>
      <c r="I225" s="160"/>
      <c r="J225" s="160"/>
      <c r="T225" s="431"/>
      <c r="U225" s="431"/>
      <c r="W225" s="431"/>
    </row>
    <row r="226" spans="5:23" s="26" customFormat="1">
      <c r="E226" s="77"/>
      <c r="F226" s="362"/>
      <c r="I226" s="160"/>
      <c r="J226" s="160"/>
      <c r="T226" s="431"/>
      <c r="U226" s="431"/>
      <c r="W226" s="431"/>
    </row>
    <row r="227" spans="5:23" s="26" customFormat="1">
      <c r="E227" s="77"/>
      <c r="F227" s="362"/>
      <c r="I227" s="160"/>
      <c r="J227" s="160"/>
      <c r="T227" s="431"/>
      <c r="U227" s="431"/>
      <c r="W227" s="431"/>
    </row>
    <row r="228" spans="5:23" s="26" customFormat="1">
      <c r="E228" s="77"/>
      <c r="F228" s="362"/>
      <c r="I228" s="160"/>
      <c r="J228" s="160"/>
      <c r="T228" s="431"/>
      <c r="U228" s="431"/>
      <c r="W228" s="431"/>
    </row>
    <row r="229" spans="5:23" s="26" customFormat="1">
      <c r="E229" s="77"/>
      <c r="F229" s="362"/>
      <c r="I229" s="160"/>
      <c r="J229" s="160"/>
      <c r="T229" s="431"/>
      <c r="U229" s="431"/>
      <c r="W229" s="431"/>
    </row>
    <row r="230" spans="5:23" s="26" customFormat="1">
      <c r="E230" s="77"/>
      <c r="F230" s="362"/>
      <c r="I230" s="160"/>
      <c r="J230" s="160"/>
      <c r="T230" s="431"/>
      <c r="U230" s="431"/>
      <c r="W230" s="431"/>
    </row>
    <row r="231" spans="5:23" s="26" customFormat="1">
      <c r="E231" s="77"/>
      <c r="F231" s="362"/>
      <c r="I231" s="160"/>
      <c r="J231" s="160"/>
      <c r="T231" s="431"/>
      <c r="U231" s="431"/>
      <c r="W231" s="431"/>
    </row>
    <row r="232" spans="5:23" s="26" customFormat="1">
      <c r="E232" s="77"/>
      <c r="F232" s="362"/>
      <c r="I232" s="160"/>
      <c r="J232" s="160"/>
      <c r="T232" s="431"/>
      <c r="U232" s="431"/>
      <c r="W232" s="431"/>
    </row>
    <row r="233" spans="5:23" s="26" customFormat="1">
      <c r="E233" s="77"/>
      <c r="F233" s="362"/>
      <c r="I233" s="160"/>
      <c r="J233" s="160"/>
      <c r="T233" s="431"/>
      <c r="U233" s="431"/>
      <c r="W233" s="431"/>
    </row>
    <row r="234" spans="5:23" s="26" customFormat="1">
      <c r="E234" s="77"/>
      <c r="F234" s="362"/>
      <c r="I234" s="160"/>
      <c r="J234" s="160"/>
      <c r="T234" s="431"/>
      <c r="U234" s="431"/>
      <c r="W234" s="431"/>
    </row>
    <row r="235" spans="5:23" s="26" customFormat="1">
      <c r="E235" s="77"/>
      <c r="F235" s="362"/>
      <c r="I235" s="160"/>
      <c r="J235" s="160"/>
      <c r="T235" s="431"/>
      <c r="U235" s="431"/>
      <c r="W235" s="431"/>
    </row>
    <row r="236" spans="5:23" s="26" customFormat="1">
      <c r="E236" s="77"/>
      <c r="F236" s="362"/>
      <c r="I236" s="160"/>
      <c r="J236" s="160"/>
      <c r="T236" s="431"/>
      <c r="U236" s="431"/>
      <c r="W236" s="431"/>
    </row>
    <row r="237" spans="5:23" s="26" customFormat="1">
      <c r="E237" s="77"/>
      <c r="F237" s="362"/>
      <c r="I237" s="160"/>
      <c r="J237" s="160"/>
      <c r="T237" s="431"/>
      <c r="U237" s="431"/>
      <c r="W237" s="431"/>
    </row>
    <row r="238" spans="5:23" s="26" customFormat="1">
      <c r="E238" s="77"/>
      <c r="F238" s="362"/>
      <c r="I238" s="160"/>
      <c r="J238" s="160"/>
      <c r="T238" s="431"/>
      <c r="U238" s="431"/>
      <c r="W238" s="431"/>
    </row>
    <row r="239" spans="5:23" s="26" customFormat="1">
      <c r="E239" s="77"/>
      <c r="F239" s="362"/>
      <c r="I239" s="160"/>
      <c r="J239" s="160"/>
      <c r="T239" s="431"/>
      <c r="U239" s="431"/>
      <c r="W239" s="431"/>
    </row>
    <row r="240" spans="5:23" s="26" customFormat="1">
      <c r="E240" s="77"/>
      <c r="F240" s="362"/>
      <c r="I240" s="160"/>
      <c r="J240" s="160"/>
      <c r="T240" s="431"/>
      <c r="U240" s="431"/>
      <c r="W240" s="431"/>
    </row>
    <row r="241" spans="5:23" s="26" customFormat="1">
      <c r="E241" s="77"/>
      <c r="F241" s="362"/>
      <c r="I241" s="160"/>
      <c r="J241" s="160"/>
      <c r="T241" s="431"/>
      <c r="U241" s="431"/>
      <c r="W241" s="431"/>
    </row>
    <row r="242" spans="5:23" s="26" customFormat="1">
      <c r="E242" s="77"/>
      <c r="F242" s="362"/>
      <c r="I242" s="160"/>
      <c r="J242" s="160"/>
      <c r="T242" s="431"/>
      <c r="U242" s="431"/>
      <c r="W242" s="431"/>
    </row>
    <row r="243" spans="5:23" s="26" customFormat="1">
      <c r="E243" s="77"/>
      <c r="F243" s="362"/>
      <c r="I243" s="160"/>
      <c r="J243" s="160"/>
      <c r="T243" s="431"/>
      <c r="U243" s="431"/>
      <c r="W243" s="431"/>
    </row>
    <row r="244" spans="5:23" s="26" customFormat="1">
      <c r="E244" s="77"/>
      <c r="F244" s="362"/>
      <c r="I244" s="160"/>
      <c r="J244" s="160"/>
      <c r="T244" s="431"/>
      <c r="U244" s="431"/>
      <c r="W244" s="431"/>
    </row>
    <row r="245" spans="5:23" s="26" customFormat="1">
      <c r="E245" s="77"/>
      <c r="F245" s="362"/>
      <c r="I245" s="160"/>
      <c r="J245" s="160"/>
      <c r="T245" s="431"/>
      <c r="U245" s="431"/>
      <c r="W245" s="431"/>
    </row>
    <row r="246" spans="5:23" s="26" customFormat="1">
      <c r="E246" s="77"/>
      <c r="F246" s="362"/>
      <c r="I246" s="160"/>
      <c r="J246" s="160"/>
      <c r="T246" s="431"/>
      <c r="U246" s="431"/>
      <c r="W246" s="431"/>
    </row>
    <row r="247" spans="5:23" s="26" customFormat="1">
      <c r="E247" s="77"/>
      <c r="F247" s="362"/>
      <c r="I247" s="160"/>
      <c r="J247" s="160"/>
      <c r="T247" s="431"/>
      <c r="U247" s="431"/>
      <c r="W247" s="431"/>
    </row>
    <row r="248" spans="5:23" s="26" customFormat="1">
      <c r="E248" s="77"/>
      <c r="F248" s="362"/>
      <c r="I248" s="160"/>
      <c r="J248" s="160"/>
      <c r="T248" s="431"/>
      <c r="U248" s="431"/>
      <c r="W248" s="431"/>
    </row>
    <row r="249" spans="5:23" s="26" customFormat="1">
      <c r="E249" s="77"/>
      <c r="F249" s="362"/>
      <c r="I249" s="160"/>
      <c r="J249" s="160"/>
      <c r="T249" s="431"/>
      <c r="U249" s="431"/>
      <c r="W249" s="431"/>
    </row>
    <row r="250" spans="5:23" s="26" customFormat="1">
      <c r="E250" s="77"/>
      <c r="F250" s="362"/>
      <c r="I250" s="160"/>
      <c r="J250" s="160"/>
      <c r="T250" s="431"/>
      <c r="U250" s="431"/>
      <c r="W250" s="431"/>
    </row>
    <row r="251" spans="5:23" s="26" customFormat="1">
      <c r="E251" s="77"/>
      <c r="F251" s="362"/>
      <c r="I251" s="160"/>
      <c r="J251" s="160"/>
      <c r="T251" s="431"/>
      <c r="U251" s="431"/>
      <c r="W251" s="431"/>
    </row>
    <row r="252" spans="5:23" s="26" customFormat="1">
      <c r="E252" s="77"/>
      <c r="F252" s="362"/>
      <c r="I252" s="160"/>
      <c r="J252" s="160"/>
      <c r="T252" s="431"/>
      <c r="U252" s="431"/>
      <c r="W252" s="431"/>
    </row>
    <row r="253" spans="5:23" s="26" customFormat="1">
      <c r="E253" s="77"/>
      <c r="F253" s="362"/>
      <c r="I253" s="160"/>
      <c r="J253" s="160"/>
      <c r="T253" s="431"/>
      <c r="U253" s="431"/>
      <c r="W253" s="431"/>
    </row>
    <row r="254" spans="5:23" s="26" customFormat="1">
      <c r="E254" s="77"/>
      <c r="F254" s="362"/>
      <c r="I254" s="160"/>
      <c r="J254" s="160"/>
      <c r="T254" s="431"/>
      <c r="U254" s="431"/>
      <c r="W254" s="431"/>
    </row>
    <row r="255" spans="5:23" s="26" customFormat="1">
      <c r="E255" s="77"/>
      <c r="F255" s="362"/>
      <c r="I255" s="160"/>
      <c r="J255" s="160"/>
      <c r="T255" s="431"/>
      <c r="U255" s="431"/>
      <c r="W255" s="431"/>
    </row>
    <row r="256" spans="5:23" s="26" customFormat="1">
      <c r="E256" s="77"/>
      <c r="F256" s="362"/>
      <c r="I256" s="160"/>
      <c r="J256" s="160"/>
      <c r="T256" s="431"/>
      <c r="U256" s="431"/>
      <c r="W256" s="431"/>
    </row>
    <row r="257" spans="5:23" s="26" customFormat="1">
      <c r="E257" s="77"/>
      <c r="F257" s="362"/>
      <c r="I257" s="160"/>
      <c r="J257" s="160"/>
      <c r="T257" s="431"/>
      <c r="U257" s="431"/>
      <c r="W257" s="431"/>
    </row>
    <row r="258" spans="5:23" s="26" customFormat="1">
      <c r="E258" s="77"/>
      <c r="F258" s="362"/>
      <c r="I258" s="160"/>
      <c r="J258" s="160"/>
      <c r="T258" s="431"/>
      <c r="U258" s="431"/>
      <c r="W258" s="431"/>
    </row>
    <row r="259" spans="5:23" s="26" customFormat="1">
      <c r="E259" s="77"/>
      <c r="F259" s="362"/>
      <c r="I259" s="160"/>
      <c r="J259" s="160"/>
      <c r="T259" s="431"/>
      <c r="U259" s="431"/>
      <c r="W259" s="431"/>
    </row>
    <row r="260" spans="5:23" s="26" customFormat="1">
      <c r="E260" s="77"/>
      <c r="F260" s="362"/>
      <c r="I260" s="160"/>
      <c r="J260" s="160"/>
      <c r="T260" s="431"/>
      <c r="U260" s="431"/>
      <c r="W260" s="431"/>
    </row>
    <row r="261" spans="5:23" s="26" customFormat="1">
      <c r="E261" s="77"/>
      <c r="F261" s="362"/>
      <c r="I261" s="160"/>
      <c r="J261" s="160"/>
      <c r="T261" s="431"/>
      <c r="U261" s="431"/>
      <c r="W261" s="431"/>
    </row>
    <row r="262" spans="5:23" s="26" customFormat="1">
      <c r="E262" s="77"/>
      <c r="F262" s="362"/>
      <c r="I262" s="160"/>
      <c r="J262" s="160"/>
      <c r="T262" s="431"/>
      <c r="U262" s="431"/>
      <c r="W262" s="431"/>
    </row>
    <row r="263" spans="5:23" s="26" customFormat="1">
      <c r="E263" s="77"/>
      <c r="F263" s="362"/>
      <c r="I263" s="160"/>
      <c r="J263" s="160"/>
      <c r="T263" s="431"/>
      <c r="U263" s="431"/>
      <c r="W263" s="431"/>
    </row>
    <row r="264" spans="5:23" s="26" customFormat="1">
      <c r="E264" s="77"/>
      <c r="F264" s="362"/>
      <c r="I264" s="160"/>
      <c r="J264" s="160"/>
      <c r="T264" s="431"/>
      <c r="U264" s="431"/>
      <c r="W264" s="431"/>
    </row>
    <row r="265" spans="5:23" s="26" customFormat="1">
      <c r="E265" s="77"/>
      <c r="F265" s="362"/>
      <c r="I265" s="160"/>
      <c r="J265" s="160"/>
      <c r="T265" s="431"/>
      <c r="U265" s="431"/>
      <c r="W265" s="431"/>
    </row>
    <row r="266" spans="5:23" s="26" customFormat="1">
      <c r="E266" s="77"/>
      <c r="F266" s="362"/>
      <c r="I266" s="160"/>
      <c r="J266" s="160"/>
      <c r="T266" s="431"/>
      <c r="U266" s="431"/>
      <c r="W266" s="431"/>
    </row>
    <row r="267" spans="5:23" s="26" customFormat="1">
      <c r="E267" s="77"/>
      <c r="F267" s="362"/>
      <c r="I267" s="160"/>
      <c r="J267" s="160"/>
      <c r="T267" s="431"/>
      <c r="U267" s="431"/>
      <c r="W267" s="431"/>
    </row>
    <row r="268" spans="5:23" s="26" customFormat="1">
      <c r="E268" s="77"/>
      <c r="F268" s="362"/>
      <c r="I268" s="160"/>
      <c r="J268" s="160"/>
      <c r="T268" s="431"/>
      <c r="U268" s="431"/>
      <c r="W268" s="431"/>
    </row>
    <row r="269" spans="5:23" s="26" customFormat="1">
      <c r="E269" s="77"/>
      <c r="F269" s="362"/>
      <c r="I269" s="160"/>
      <c r="J269" s="160"/>
      <c r="T269" s="431"/>
      <c r="U269" s="431"/>
      <c r="W269" s="431"/>
    </row>
    <row r="270" spans="5:23" s="26" customFormat="1">
      <c r="E270" s="77"/>
      <c r="F270" s="362"/>
      <c r="I270" s="160"/>
      <c r="J270" s="160"/>
      <c r="T270" s="431"/>
      <c r="U270" s="431"/>
      <c r="W270" s="431"/>
    </row>
    <row r="271" spans="5:23" s="26" customFormat="1">
      <c r="E271" s="77"/>
      <c r="F271" s="362"/>
      <c r="I271" s="160"/>
      <c r="J271" s="160"/>
      <c r="T271" s="431"/>
      <c r="U271" s="431"/>
      <c r="W271" s="431"/>
    </row>
    <row r="272" spans="5:23" s="26" customFormat="1">
      <c r="E272" s="77"/>
      <c r="F272" s="362"/>
      <c r="I272" s="160"/>
      <c r="J272" s="160"/>
      <c r="T272" s="431"/>
      <c r="U272" s="431"/>
      <c r="W272" s="431"/>
    </row>
    <row r="273" spans="5:23" s="26" customFormat="1">
      <c r="E273" s="77"/>
      <c r="F273" s="362"/>
      <c r="I273" s="160"/>
      <c r="J273" s="160"/>
      <c r="T273" s="431"/>
      <c r="U273" s="431"/>
      <c r="W273" s="431"/>
    </row>
    <row r="274" spans="5:23" s="26" customFormat="1">
      <c r="E274" s="77"/>
      <c r="F274" s="362"/>
      <c r="I274" s="160"/>
      <c r="J274" s="160"/>
      <c r="T274" s="431"/>
      <c r="U274" s="431"/>
      <c r="W274" s="431"/>
    </row>
    <row r="275" spans="5:23" s="26" customFormat="1">
      <c r="E275" s="77"/>
      <c r="F275" s="362"/>
      <c r="I275" s="160"/>
      <c r="J275" s="160"/>
      <c r="T275" s="431"/>
      <c r="U275" s="431"/>
      <c r="W275" s="431"/>
    </row>
    <row r="276" spans="5:23" s="26" customFormat="1">
      <c r="E276" s="77"/>
      <c r="F276" s="362"/>
      <c r="I276" s="160"/>
      <c r="J276" s="160"/>
      <c r="T276" s="431"/>
      <c r="U276" s="431"/>
      <c r="W276" s="431"/>
    </row>
    <row r="277" spans="5:23" s="26" customFormat="1">
      <c r="E277" s="77"/>
      <c r="F277" s="362"/>
      <c r="I277" s="160"/>
      <c r="J277" s="160"/>
      <c r="T277" s="431"/>
      <c r="U277" s="431"/>
      <c r="W277" s="431"/>
    </row>
    <row r="278" spans="5:23" s="26" customFormat="1">
      <c r="E278" s="77"/>
      <c r="F278" s="362"/>
      <c r="I278" s="160"/>
      <c r="J278" s="160"/>
      <c r="T278" s="431"/>
      <c r="U278" s="431"/>
      <c r="W278" s="431"/>
    </row>
    <row r="279" spans="5:23" s="26" customFormat="1">
      <c r="E279" s="77"/>
      <c r="F279" s="362"/>
      <c r="I279" s="160"/>
      <c r="J279" s="160"/>
      <c r="T279" s="431"/>
      <c r="U279" s="431"/>
      <c r="W279" s="431"/>
    </row>
    <row r="280" spans="5:23" s="26" customFormat="1">
      <c r="E280" s="77"/>
      <c r="F280" s="362"/>
      <c r="I280" s="160"/>
      <c r="J280" s="160"/>
      <c r="T280" s="431"/>
      <c r="U280" s="431"/>
      <c r="W280" s="431"/>
    </row>
    <row r="281" spans="5:23" s="26" customFormat="1">
      <c r="E281" s="77"/>
      <c r="F281" s="362"/>
      <c r="I281" s="160"/>
      <c r="J281" s="160"/>
      <c r="T281" s="431"/>
      <c r="U281" s="431"/>
      <c r="W281" s="431"/>
    </row>
    <row r="282" spans="5:23" s="26" customFormat="1">
      <c r="E282" s="77"/>
      <c r="F282" s="362"/>
      <c r="I282" s="160"/>
      <c r="J282" s="160"/>
      <c r="T282" s="431"/>
      <c r="U282" s="431"/>
      <c r="W282" s="431"/>
    </row>
    <row r="283" spans="5:23" s="26" customFormat="1">
      <c r="E283" s="77"/>
      <c r="F283" s="362"/>
      <c r="I283" s="160"/>
      <c r="J283" s="160"/>
      <c r="T283" s="431"/>
      <c r="U283" s="431"/>
      <c r="W283" s="431"/>
    </row>
    <row r="284" spans="5:23" s="26" customFormat="1">
      <c r="E284" s="77"/>
      <c r="F284" s="362"/>
      <c r="I284" s="160"/>
      <c r="J284" s="160"/>
      <c r="T284" s="431"/>
      <c r="U284" s="431"/>
      <c r="W284" s="431"/>
    </row>
    <row r="285" spans="5:23" s="26" customFormat="1">
      <c r="E285" s="77"/>
      <c r="F285" s="362"/>
      <c r="I285" s="160"/>
      <c r="J285" s="160"/>
      <c r="T285" s="431"/>
      <c r="U285" s="431"/>
      <c r="W285" s="431"/>
    </row>
    <row r="286" spans="5:23" s="26" customFormat="1">
      <c r="E286" s="77"/>
      <c r="F286" s="362"/>
      <c r="I286" s="160"/>
      <c r="J286" s="160"/>
      <c r="T286" s="431"/>
      <c r="U286" s="431"/>
      <c r="W286" s="431"/>
    </row>
    <row r="287" spans="5:23" s="26" customFormat="1">
      <c r="E287" s="77"/>
      <c r="F287" s="362"/>
      <c r="I287" s="160"/>
      <c r="J287" s="160"/>
      <c r="T287" s="431"/>
      <c r="U287" s="431"/>
      <c r="W287" s="431"/>
    </row>
    <row r="288" spans="5:23" s="26" customFormat="1">
      <c r="E288" s="77"/>
      <c r="F288" s="362"/>
      <c r="I288" s="160"/>
      <c r="J288" s="160"/>
      <c r="T288" s="431"/>
      <c r="U288" s="431"/>
      <c r="W288" s="431"/>
    </row>
    <row r="289" spans="5:23" s="26" customFormat="1">
      <c r="E289" s="77"/>
      <c r="F289" s="362"/>
      <c r="I289" s="160"/>
      <c r="J289" s="160"/>
      <c r="T289" s="431"/>
      <c r="U289" s="431"/>
      <c r="W289" s="431"/>
    </row>
    <row r="290" spans="5:23" s="26" customFormat="1">
      <c r="E290" s="77"/>
      <c r="F290" s="362"/>
      <c r="I290" s="160"/>
      <c r="J290" s="160"/>
      <c r="T290" s="431"/>
      <c r="U290" s="431"/>
      <c r="W290" s="431"/>
    </row>
    <row r="291" spans="5:23" s="26" customFormat="1">
      <c r="E291" s="77"/>
      <c r="F291" s="362"/>
      <c r="I291" s="160"/>
      <c r="J291" s="160"/>
      <c r="T291" s="431"/>
      <c r="U291" s="431"/>
      <c r="W291" s="431"/>
    </row>
    <row r="292" spans="5:23" s="26" customFormat="1">
      <c r="E292" s="77"/>
      <c r="F292" s="362"/>
      <c r="I292" s="160"/>
      <c r="J292" s="160"/>
      <c r="T292" s="431"/>
      <c r="U292" s="431"/>
      <c r="W292" s="431"/>
    </row>
    <row r="293" spans="5:23" s="26" customFormat="1">
      <c r="E293" s="77"/>
      <c r="F293" s="362"/>
      <c r="I293" s="160"/>
      <c r="J293" s="160"/>
      <c r="T293" s="431"/>
      <c r="U293" s="431"/>
      <c r="W293" s="431"/>
    </row>
    <row r="294" spans="5:23" s="26" customFormat="1">
      <c r="E294" s="77"/>
      <c r="F294" s="362"/>
      <c r="I294" s="160"/>
      <c r="J294" s="160"/>
      <c r="T294" s="431"/>
      <c r="U294" s="431"/>
      <c r="W294" s="431"/>
    </row>
    <row r="295" spans="5:23" s="26" customFormat="1">
      <c r="E295" s="77"/>
      <c r="F295" s="362"/>
      <c r="I295" s="160"/>
      <c r="J295" s="160"/>
      <c r="T295" s="431"/>
      <c r="U295" s="431"/>
      <c r="W295" s="431"/>
    </row>
    <row r="296" spans="5:23" s="26" customFormat="1">
      <c r="E296" s="77"/>
      <c r="F296" s="362"/>
      <c r="I296" s="160"/>
      <c r="J296" s="160"/>
      <c r="T296" s="431"/>
      <c r="U296" s="431"/>
      <c r="W296" s="431"/>
    </row>
    <row r="297" spans="5:23" s="26" customFormat="1">
      <c r="E297" s="77"/>
      <c r="F297" s="362"/>
      <c r="I297" s="160"/>
      <c r="J297" s="160"/>
      <c r="T297" s="431"/>
      <c r="U297" s="431"/>
      <c r="W297" s="431"/>
    </row>
    <row r="298" spans="5:23" s="26" customFormat="1">
      <c r="E298" s="77"/>
      <c r="F298" s="362"/>
      <c r="I298" s="160"/>
      <c r="J298" s="160"/>
      <c r="T298" s="431"/>
      <c r="U298" s="431"/>
      <c r="W298" s="431"/>
    </row>
    <row r="299" spans="5:23" s="26" customFormat="1">
      <c r="E299" s="77"/>
      <c r="F299" s="362"/>
      <c r="I299" s="160"/>
      <c r="J299" s="160"/>
      <c r="T299" s="431"/>
      <c r="U299" s="431"/>
      <c r="W299" s="431"/>
    </row>
    <row r="300" spans="5:23" s="26" customFormat="1">
      <c r="E300" s="77"/>
      <c r="F300" s="362"/>
      <c r="I300" s="160"/>
      <c r="J300" s="160"/>
      <c r="T300" s="431"/>
      <c r="U300" s="431"/>
      <c r="W300" s="431"/>
    </row>
    <row r="301" spans="5:23" s="26" customFormat="1">
      <c r="E301" s="77"/>
      <c r="F301" s="362"/>
      <c r="I301" s="160"/>
      <c r="J301" s="160"/>
      <c r="T301" s="431"/>
      <c r="U301" s="431"/>
      <c r="W301" s="431"/>
    </row>
    <row r="302" spans="5:23" s="26" customFormat="1">
      <c r="E302" s="77"/>
      <c r="F302" s="362"/>
      <c r="I302" s="160"/>
      <c r="J302" s="160"/>
      <c r="T302" s="431"/>
      <c r="U302" s="431"/>
      <c r="W302" s="431"/>
    </row>
    <row r="303" spans="5:23" s="26" customFormat="1">
      <c r="E303" s="77"/>
      <c r="F303" s="362"/>
      <c r="I303" s="160"/>
      <c r="J303" s="160"/>
      <c r="T303" s="431"/>
      <c r="U303" s="431"/>
      <c r="W303" s="431"/>
    </row>
    <row r="304" spans="5:23" s="26" customFormat="1">
      <c r="E304" s="77"/>
      <c r="F304" s="362"/>
      <c r="I304" s="160"/>
      <c r="J304" s="160"/>
      <c r="T304" s="431"/>
      <c r="U304" s="431"/>
      <c r="W304" s="431"/>
    </row>
    <row r="305" spans="5:23" s="26" customFormat="1">
      <c r="E305" s="77"/>
      <c r="F305" s="362"/>
      <c r="I305" s="160"/>
      <c r="J305" s="160"/>
      <c r="T305" s="431"/>
      <c r="U305" s="431"/>
      <c r="W305" s="431"/>
    </row>
    <row r="306" spans="5:23" s="26" customFormat="1">
      <c r="E306" s="77"/>
      <c r="F306" s="362"/>
      <c r="I306" s="160"/>
      <c r="J306" s="160"/>
      <c r="T306" s="431"/>
      <c r="U306" s="431"/>
      <c r="W306" s="431"/>
    </row>
    <row r="307" spans="5:23" s="26" customFormat="1">
      <c r="E307" s="77"/>
      <c r="F307" s="362"/>
      <c r="I307" s="160"/>
      <c r="J307" s="160"/>
      <c r="T307" s="431"/>
      <c r="U307" s="431"/>
      <c r="W307" s="431"/>
    </row>
    <row r="308" spans="5:23" s="26" customFormat="1">
      <c r="E308" s="77"/>
      <c r="F308" s="362"/>
      <c r="I308" s="160"/>
      <c r="J308" s="160"/>
      <c r="T308" s="431"/>
      <c r="U308" s="431"/>
      <c r="W308" s="431"/>
    </row>
    <row r="309" spans="5:23" s="26" customFormat="1">
      <c r="E309" s="77"/>
      <c r="F309" s="362"/>
      <c r="I309" s="160"/>
      <c r="J309" s="160"/>
      <c r="T309" s="431"/>
      <c r="U309" s="431"/>
      <c r="W309" s="431"/>
    </row>
    <row r="310" spans="5:23" s="26" customFormat="1">
      <c r="E310" s="77"/>
      <c r="F310" s="362"/>
      <c r="I310" s="160"/>
      <c r="J310" s="160"/>
      <c r="T310" s="431"/>
      <c r="U310" s="431"/>
      <c r="W310" s="431"/>
    </row>
    <row r="311" spans="5:23" s="26" customFormat="1">
      <c r="E311" s="77"/>
      <c r="F311" s="362"/>
      <c r="I311" s="160"/>
      <c r="J311" s="160"/>
      <c r="T311" s="431"/>
      <c r="U311" s="431"/>
      <c r="W311" s="431"/>
    </row>
    <row r="312" spans="5:23" s="26" customFormat="1">
      <c r="E312" s="77"/>
      <c r="F312" s="362"/>
      <c r="I312" s="160"/>
      <c r="J312" s="160"/>
      <c r="T312" s="431"/>
      <c r="U312" s="431"/>
      <c r="W312" s="431"/>
    </row>
    <row r="313" spans="5:23" s="26" customFormat="1">
      <c r="E313" s="77"/>
      <c r="F313" s="362"/>
      <c r="I313" s="160"/>
      <c r="J313" s="160"/>
      <c r="T313" s="431"/>
      <c r="U313" s="431"/>
      <c r="W313" s="431"/>
    </row>
    <row r="314" spans="5:23" s="26" customFormat="1">
      <c r="E314" s="77"/>
      <c r="F314" s="362"/>
      <c r="I314" s="160"/>
      <c r="J314" s="160"/>
      <c r="T314" s="431"/>
      <c r="U314" s="431"/>
      <c r="W314" s="431"/>
    </row>
    <row r="315" spans="5:23" s="26" customFormat="1">
      <c r="E315" s="77"/>
      <c r="F315" s="362"/>
      <c r="I315" s="160"/>
      <c r="J315" s="160"/>
      <c r="T315" s="431"/>
      <c r="U315" s="431"/>
      <c r="W315" s="431"/>
    </row>
    <row r="316" spans="5:23" s="26" customFormat="1">
      <c r="E316" s="77"/>
      <c r="F316" s="362"/>
      <c r="I316" s="160"/>
      <c r="J316" s="160"/>
      <c r="T316" s="431"/>
      <c r="U316" s="431"/>
      <c r="W316" s="431"/>
    </row>
    <row r="317" spans="5:23" s="26" customFormat="1">
      <c r="E317" s="77"/>
      <c r="F317" s="362"/>
      <c r="I317" s="160"/>
      <c r="J317" s="160"/>
      <c r="T317" s="431"/>
      <c r="U317" s="431"/>
      <c r="W317" s="431"/>
    </row>
    <row r="318" spans="5:23" s="26" customFormat="1">
      <c r="E318" s="77"/>
      <c r="F318" s="362"/>
      <c r="I318" s="160"/>
      <c r="J318" s="160"/>
      <c r="T318" s="431"/>
      <c r="U318" s="431"/>
      <c r="W318" s="431"/>
    </row>
    <row r="319" spans="5:23" s="26" customFormat="1">
      <c r="E319" s="77"/>
      <c r="F319" s="362"/>
      <c r="I319" s="160"/>
      <c r="J319" s="160"/>
      <c r="T319" s="431"/>
      <c r="U319" s="431"/>
      <c r="W319" s="431"/>
    </row>
    <row r="320" spans="5:23" s="26" customFormat="1">
      <c r="E320" s="77"/>
      <c r="F320" s="362"/>
      <c r="I320" s="160"/>
      <c r="J320" s="160"/>
      <c r="T320" s="431"/>
      <c r="U320" s="431"/>
      <c r="W320" s="431"/>
    </row>
    <row r="321" spans="5:23" s="26" customFormat="1">
      <c r="E321" s="77"/>
      <c r="F321" s="362"/>
      <c r="I321" s="160"/>
      <c r="J321" s="160"/>
      <c r="T321" s="431"/>
      <c r="U321" s="431"/>
      <c r="W321" s="431"/>
    </row>
    <row r="322" spans="5:23" s="26" customFormat="1">
      <c r="E322" s="77"/>
      <c r="F322" s="362"/>
      <c r="I322" s="160"/>
      <c r="J322" s="160"/>
      <c r="T322" s="431"/>
      <c r="U322" s="431"/>
      <c r="W322" s="431"/>
    </row>
    <row r="323" spans="5:23" s="26" customFormat="1">
      <c r="E323" s="77"/>
      <c r="F323" s="362"/>
      <c r="I323" s="160"/>
      <c r="J323" s="160"/>
      <c r="T323" s="431"/>
      <c r="U323" s="431"/>
      <c r="W323" s="431"/>
    </row>
    <row r="324" spans="5:23" s="26" customFormat="1">
      <c r="E324" s="77"/>
      <c r="F324" s="362"/>
      <c r="I324" s="160"/>
      <c r="J324" s="160"/>
      <c r="T324" s="431"/>
      <c r="U324" s="431"/>
      <c r="W324" s="431"/>
    </row>
    <row r="325" spans="5:23" s="26" customFormat="1">
      <c r="E325" s="77"/>
      <c r="F325" s="362"/>
      <c r="I325" s="160"/>
      <c r="J325" s="160"/>
      <c r="T325" s="431"/>
      <c r="U325" s="431"/>
      <c r="W325" s="431"/>
    </row>
    <row r="326" spans="5:23" s="26" customFormat="1">
      <c r="E326" s="77"/>
      <c r="F326" s="362"/>
      <c r="I326" s="160"/>
      <c r="J326" s="160"/>
      <c r="T326" s="431"/>
      <c r="U326" s="431"/>
      <c r="W326" s="431"/>
    </row>
    <row r="327" spans="5:23" s="26" customFormat="1">
      <c r="E327" s="77"/>
      <c r="F327" s="362"/>
      <c r="I327" s="160"/>
      <c r="J327" s="160"/>
      <c r="T327" s="431"/>
      <c r="U327" s="431"/>
      <c r="W327" s="431"/>
    </row>
    <row r="328" spans="5:23" s="26" customFormat="1">
      <c r="E328" s="77"/>
      <c r="F328" s="362"/>
      <c r="I328" s="160"/>
      <c r="J328" s="160"/>
      <c r="T328" s="431"/>
      <c r="U328" s="431"/>
      <c r="W328" s="431"/>
    </row>
    <row r="329" spans="5:23" s="26" customFormat="1">
      <c r="E329" s="77"/>
      <c r="F329" s="362"/>
      <c r="I329" s="160"/>
      <c r="J329" s="160"/>
      <c r="T329" s="431"/>
      <c r="U329" s="431"/>
      <c r="W329" s="431"/>
    </row>
    <row r="330" spans="5:23" s="26" customFormat="1">
      <c r="E330" s="77"/>
      <c r="F330" s="362"/>
      <c r="I330" s="160"/>
      <c r="J330" s="160"/>
      <c r="T330" s="431"/>
      <c r="U330" s="431"/>
      <c r="W330" s="431"/>
    </row>
    <row r="331" spans="5:23" s="26" customFormat="1">
      <c r="E331" s="77"/>
      <c r="F331" s="362"/>
      <c r="I331" s="160"/>
      <c r="J331" s="160"/>
      <c r="T331" s="431"/>
      <c r="U331" s="431"/>
      <c r="W331" s="431"/>
    </row>
    <row r="332" spans="5:23" s="26" customFormat="1">
      <c r="E332" s="77"/>
      <c r="F332" s="362"/>
      <c r="I332" s="160"/>
      <c r="J332" s="160"/>
      <c r="T332" s="431"/>
      <c r="U332" s="431"/>
      <c r="W332" s="431"/>
    </row>
    <row r="333" spans="5:23" s="26" customFormat="1">
      <c r="E333" s="77"/>
      <c r="F333" s="362"/>
      <c r="I333" s="160"/>
      <c r="J333" s="160"/>
      <c r="T333" s="431"/>
      <c r="U333" s="431"/>
      <c r="W333" s="431"/>
    </row>
    <row r="334" spans="5:23" s="26" customFormat="1">
      <c r="E334" s="77"/>
      <c r="F334" s="362"/>
      <c r="I334" s="160"/>
      <c r="J334" s="160"/>
      <c r="T334" s="431"/>
      <c r="U334" s="431"/>
      <c r="W334" s="431"/>
    </row>
    <row r="335" spans="5:23" s="26" customFormat="1">
      <c r="E335" s="77"/>
      <c r="F335" s="362"/>
      <c r="I335" s="160"/>
      <c r="J335" s="160"/>
      <c r="T335" s="431"/>
      <c r="U335" s="431"/>
      <c r="W335" s="431"/>
    </row>
    <row r="336" spans="5:23" s="26" customFormat="1">
      <c r="E336" s="77"/>
      <c r="F336" s="362"/>
      <c r="I336" s="160"/>
      <c r="J336" s="160"/>
      <c r="T336" s="431"/>
      <c r="U336" s="431"/>
      <c r="W336" s="431"/>
    </row>
    <row r="337" spans="5:23" s="26" customFormat="1">
      <c r="E337" s="77"/>
      <c r="F337" s="362"/>
      <c r="I337" s="160"/>
      <c r="J337" s="160"/>
      <c r="T337" s="431"/>
      <c r="U337" s="431"/>
      <c r="W337" s="431"/>
    </row>
    <row r="338" spans="5:23" s="26" customFormat="1">
      <c r="E338" s="77"/>
      <c r="F338" s="362"/>
      <c r="I338" s="160"/>
      <c r="J338" s="160"/>
      <c r="T338" s="431"/>
      <c r="U338" s="431"/>
      <c r="W338" s="431"/>
    </row>
    <row r="339" spans="5:23" s="26" customFormat="1">
      <c r="E339" s="77"/>
      <c r="F339" s="362"/>
      <c r="I339" s="160"/>
      <c r="J339" s="160"/>
      <c r="T339" s="431"/>
      <c r="U339" s="431"/>
      <c r="W339" s="431"/>
    </row>
    <row r="340" spans="5:23" s="26" customFormat="1">
      <c r="E340" s="77"/>
      <c r="F340" s="362"/>
      <c r="I340" s="160"/>
      <c r="J340" s="160"/>
      <c r="T340" s="431"/>
      <c r="U340" s="431"/>
      <c r="W340" s="431"/>
    </row>
    <row r="341" spans="5:23" s="26" customFormat="1">
      <c r="E341" s="77"/>
      <c r="F341" s="362"/>
      <c r="I341" s="160"/>
      <c r="J341" s="160"/>
      <c r="T341" s="431"/>
      <c r="U341" s="431"/>
      <c r="W341" s="431"/>
    </row>
    <row r="342" spans="5:23" s="26" customFormat="1">
      <c r="E342" s="77"/>
      <c r="F342" s="362"/>
      <c r="I342" s="160"/>
      <c r="J342" s="160"/>
      <c r="T342" s="431"/>
      <c r="U342" s="431"/>
      <c r="W342" s="431"/>
    </row>
    <row r="343" spans="5:23" s="26" customFormat="1">
      <c r="E343" s="77"/>
      <c r="F343" s="362"/>
      <c r="I343" s="160"/>
      <c r="J343" s="160"/>
      <c r="T343" s="431"/>
      <c r="U343" s="431"/>
      <c r="W343" s="431"/>
    </row>
    <row r="344" spans="5:23" s="26" customFormat="1">
      <c r="E344" s="77"/>
      <c r="F344" s="362"/>
      <c r="I344" s="160"/>
      <c r="J344" s="160"/>
      <c r="T344" s="431"/>
      <c r="U344" s="431"/>
      <c r="W344" s="431"/>
    </row>
    <row r="345" spans="5:23" s="26" customFormat="1">
      <c r="E345" s="77"/>
      <c r="F345" s="362"/>
      <c r="I345" s="160"/>
      <c r="J345" s="160"/>
      <c r="T345" s="431"/>
      <c r="U345" s="431"/>
      <c r="W345" s="431"/>
    </row>
    <row r="346" spans="5:23" s="26" customFormat="1">
      <c r="E346" s="77"/>
      <c r="F346" s="362"/>
      <c r="I346" s="160"/>
      <c r="J346" s="160"/>
      <c r="T346" s="431"/>
      <c r="U346" s="431"/>
      <c r="W346" s="431"/>
    </row>
    <row r="347" spans="5:23" s="26" customFormat="1">
      <c r="E347" s="77"/>
      <c r="F347" s="362"/>
      <c r="I347" s="160"/>
      <c r="J347" s="160"/>
      <c r="T347" s="431"/>
      <c r="U347" s="431"/>
      <c r="W347" s="431"/>
    </row>
    <row r="348" spans="5:23" s="26" customFormat="1">
      <c r="E348" s="77"/>
      <c r="F348" s="362"/>
      <c r="I348" s="160"/>
      <c r="J348" s="160"/>
      <c r="T348" s="431"/>
      <c r="U348" s="431"/>
      <c r="W348" s="431"/>
    </row>
    <row r="349" spans="5:23" s="26" customFormat="1">
      <c r="E349" s="77"/>
      <c r="F349" s="362"/>
      <c r="I349" s="160"/>
      <c r="J349" s="160"/>
      <c r="T349" s="431"/>
      <c r="U349" s="431"/>
      <c r="W349" s="431"/>
    </row>
    <row r="350" spans="5:23" s="26" customFormat="1">
      <c r="E350" s="77"/>
      <c r="F350" s="362"/>
      <c r="I350" s="160"/>
      <c r="J350" s="160"/>
      <c r="T350" s="431"/>
      <c r="U350" s="431"/>
      <c r="W350" s="431"/>
    </row>
    <row r="351" spans="5:23" s="26" customFormat="1">
      <c r="E351" s="77"/>
      <c r="F351" s="362"/>
      <c r="I351" s="160"/>
      <c r="J351" s="160"/>
      <c r="T351" s="431"/>
      <c r="U351" s="431"/>
      <c r="W351" s="431"/>
    </row>
    <row r="352" spans="5:23" s="26" customFormat="1">
      <c r="E352" s="77"/>
      <c r="F352" s="362"/>
      <c r="I352" s="160"/>
      <c r="J352" s="160"/>
      <c r="T352" s="431"/>
      <c r="U352" s="431"/>
      <c r="W352" s="431"/>
    </row>
    <row r="353" spans="5:23" s="26" customFormat="1">
      <c r="E353" s="77"/>
      <c r="F353" s="362"/>
      <c r="I353" s="160"/>
      <c r="J353" s="160"/>
      <c r="T353" s="431"/>
      <c r="U353" s="431"/>
      <c r="W353" s="431"/>
    </row>
    <row r="354" spans="5:23" s="26" customFormat="1">
      <c r="E354" s="77"/>
      <c r="F354" s="362"/>
      <c r="I354" s="160"/>
      <c r="J354" s="160"/>
      <c r="T354" s="431"/>
      <c r="U354" s="431"/>
      <c r="W354" s="431"/>
    </row>
    <row r="355" spans="5:23" s="26" customFormat="1">
      <c r="E355" s="77"/>
      <c r="F355" s="362"/>
      <c r="I355" s="160"/>
      <c r="J355" s="160"/>
      <c r="T355" s="431"/>
      <c r="U355" s="431"/>
      <c r="W355" s="431"/>
    </row>
    <row r="356" spans="5:23" s="26" customFormat="1">
      <c r="E356" s="77"/>
      <c r="F356" s="362"/>
      <c r="I356" s="160"/>
      <c r="J356" s="160"/>
      <c r="T356" s="431"/>
      <c r="U356" s="431"/>
      <c r="W356" s="431"/>
    </row>
    <row r="357" spans="5:23" s="26" customFormat="1">
      <c r="E357" s="77"/>
      <c r="F357" s="362"/>
      <c r="I357" s="160"/>
      <c r="J357" s="160"/>
      <c r="T357" s="431"/>
      <c r="U357" s="431"/>
      <c r="W357" s="431"/>
    </row>
    <row r="358" spans="5:23" s="26" customFormat="1">
      <c r="E358" s="77"/>
      <c r="F358" s="362"/>
      <c r="I358" s="160"/>
      <c r="J358" s="160"/>
      <c r="T358" s="431"/>
      <c r="U358" s="431"/>
      <c r="W358" s="431"/>
    </row>
    <row r="359" spans="5:23" s="26" customFormat="1">
      <c r="E359" s="77"/>
      <c r="F359" s="362"/>
      <c r="I359" s="160"/>
      <c r="J359" s="160"/>
      <c r="T359" s="431"/>
      <c r="U359" s="431"/>
      <c r="W359" s="431"/>
    </row>
    <row r="360" spans="5:23" s="26" customFormat="1">
      <c r="E360" s="77"/>
      <c r="F360" s="362"/>
      <c r="I360" s="160"/>
      <c r="J360" s="160"/>
      <c r="T360" s="431"/>
      <c r="U360" s="431"/>
      <c r="W360" s="431"/>
    </row>
    <row r="361" spans="5:23" s="26" customFormat="1">
      <c r="E361" s="77"/>
      <c r="F361" s="362"/>
      <c r="I361" s="160"/>
      <c r="J361" s="160"/>
      <c r="T361" s="431"/>
      <c r="U361" s="431"/>
      <c r="W361" s="431"/>
    </row>
    <row r="362" spans="5:23" s="26" customFormat="1">
      <c r="E362" s="77"/>
      <c r="F362" s="362"/>
      <c r="I362" s="160"/>
      <c r="J362" s="160"/>
      <c r="T362" s="431"/>
      <c r="U362" s="431"/>
      <c r="W362" s="431"/>
    </row>
    <row r="363" spans="5:23" s="26" customFormat="1">
      <c r="E363" s="77"/>
      <c r="F363" s="362"/>
      <c r="I363" s="160"/>
      <c r="J363" s="160"/>
      <c r="T363" s="431"/>
      <c r="U363" s="431"/>
      <c r="W363" s="431"/>
    </row>
    <row r="364" spans="5:23" s="26" customFormat="1">
      <c r="E364" s="77"/>
      <c r="F364" s="362"/>
      <c r="I364" s="160"/>
      <c r="J364" s="160"/>
      <c r="T364" s="431"/>
      <c r="U364" s="431"/>
      <c r="W364" s="431"/>
    </row>
    <row r="365" spans="5:23" s="26" customFormat="1">
      <c r="E365" s="77"/>
      <c r="F365" s="362"/>
      <c r="I365" s="160"/>
      <c r="J365" s="160"/>
      <c r="T365" s="431"/>
      <c r="U365" s="431"/>
      <c r="W365" s="431"/>
    </row>
    <row r="366" spans="5:23" s="26" customFormat="1">
      <c r="E366" s="77"/>
      <c r="F366" s="362"/>
      <c r="I366" s="160"/>
      <c r="J366" s="160"/>
      <c r="T366" s="431"/>
      <c r="U366" s="431"/>
      <c r="W366" s="431"/>
    </row>
    <row r="367" spans="5:23" s="26" customFormat="1">
      <c r="E367" s="77"/>
      <c r="F367" s="362"/>
      <c r="I367" s="160"/>
      <c r="J367" s="160"/>
      <c r="T367" s="431"/>
      <c r="U367" s="431"/>
      <c r="W367" s="431"/>
    </row>
    <row r="368" spans="5:23" s="26" customFormat="1">
      <c r="E368" s="77"/>
      <c r="F368" s="362"/>
      <c r="I368" s="160"/>
      <c r="J368" s="160"/>
      <c r="T368" s="431"/>
      <c r="U368" s="431"/>
      <c r="W368" s="431"/>
    </row>
    <row r="369" spans="5:23" s="26" customFormat="1">
      <c r="E369" s="77"/>
      <c r="F369" s="362"/>
      <c r="I369" s="160"/>
      <c r="J369" s="160"/>
      <c r="T369" s="431"/>
      <c r="U369" s="431"/>
      <c r="W369" s="431"/>
    </row>
    <row r="370" spans="5:23" s="26" customFormat="1">
      <c r="E370" s="77"/>
      <c r="F370" s="362"/>
      <c r="I370" s="160"/>
      <c r="J370" s="160"/>
      <c r="T370" s="431"/>
      <c r="U370" s="431"/>
      <c r="W370" s="431"/>
    </row>
    <row r="371" spans="5:23" s="26" customFormat="1">
      <c r="E371" s="77"/>
      <c r="F371" s="362"/>
      <c r="I371" s="160"/>
      <c r="J371" s="160"/>
      <c r="T371" s="431"/>
      <c r="U371" s="431"/>
      <c r="W371" s="431"/>
    </row>
    <row r="372" spans="5:23" s="26" customFormat="1">
      <c r="E372" s="77"/>
      <c r="F372" s="362"/>
      <c r="I372" s="160"/>
      <c r="J372" s="160"/>
      <c r="T372" s="431"/>
      <c r="U372" s="431"/>
      <c r="W372" s="431"/>
    </row>
    <row r="373" spans="5:23" s="26" customFormat="1">
      <c r="E373" s="77"/>
      <c r="F373" s="362"/>
      <c r="I373" s="160"/>
      <c r="J373" s="160"/>
      <c r="T373" s="431"/>
      <c r="U373" s="431"/>
      <c r="W373" s="431"/>
    </row>
    <row r="374" spans="5:23" s="26" customFormat="1">
      <c r="E374" s="77"/>
      <c r="F374" s="362"/>
      <c r="I374" s="160"/>
      <c r="J374" s="160"/>
      <c r="T374" s="431"/>
      <c r="U374" s="431"/>
      <c r="W374" s="431"/>
    </row>
    <row r="375" spans="5:23" s="26" customFormat="1">
      <c r="E375" s="77"/>
      <c r="F375" s="362"/>
      <c r="I375" s="160"/>
      <c r="J375" s="160"/>
      <c r="T375" s="431"/>
      <c r="U375" s="431"/>
      <c r="W375" s="431"/>
    </row>
    <row r="376" spans="5:23" s="26" customFormat="1">
      <c r="E376" s="77"/>
      <c r="F376" s="362"/>
      <c r="I376" s="160"/>
      <c r="J376" s="160"/>
      <c r="T376" s="431"/>
      <c r="U376" s="431"/>
      <c r="W376" s="431"/>
    </row>
    <row r="377" spans="5:23" s="26" customFormat="1">
      <c r="E377" s="77"/>
      <c r="F377" s="362"/>
      <c r="I377" s="160"/>
      <c r="J377" s="160"/>
      <c r="T377" s="431"/>
      <c r="U377" s="431"/>
      <c r="W377" s="431"/>
    </row>
    <row r="378" spans="5:23" s="26" customFormat="1">
      <c r="E378" s="77"/>
      <c r="F378" s="362"/>
      <c r="I378" s="160"/>
      <c r="J378" s="160"/>
      <c r="T378" s="431"/>
      <c r="U378" s="431"/>
      <c r="W378" s="431"/>
    </row>
    <row r="379" spans="5:23" s="26" customFormat="1">
      <c r="E379" s="77"/>
      <c r="F379" s="362"/>
      <c r="I379" s="160"/>
      <c r="J379" s="160"/>
      <c r="T379" s="431"/>
      <c r="U379" s="431"/>
      <c r="W379" s="431"/>
    </row>
    <row r="380" spans="5:23" s="26" customFormat="1">
      <c r="E380" s="77"/>
      <c r="F380" s="362"/>
      <c r="I380" s="160"/>
      <c r="J380" s="160"/>
      <c r="T380" s="431"/>
      <c r="U380" s="431"/>
      <c r="W380" s="431"/>
    </row>
    <row r="381" spans="5:23" s="26" customFormat="1">
      <c r="E381" s="77"/>
      <c r="F381" s="362"/>
      <c r="I381" s="160"/>
      <c r="J381" s="160"/>
      <c r="T381" s="431"/>
      <c r="U381" s="431"/>
      <c r="W381" s="431"/>
    </row>
    <row r="382" spans="5:23" s="26" customFormat="1">
      <c r="E382" s="77"/>
      <c r="F382" s="362"/>
      <c r="I382" s="160"/>
      <c r="J382" s="160"/>
      <c r="T382" s="431"/>
      <c r="U382" s="431"/>
      <c r="W382" s="431"/>
    </row>
    <row r="383" spans="5:23" s="26" customFormat="1">
      <c r="E383" s="77"/>
      <c r="F383" s="362"/>
      <c r="I383" s="160"/>
      <c r="J383" s="160"/>
      <c r="T383" s="431"/>
      <c r="U383" s="431"/>
      <c r="W383" s="431"/>
    </row>
    <row r="384" spans="5:23" s="26" customFormat="1">
      <c r="E384" s="77"/>
      <c r="F384" s="362"/>
      <c r="I384" s="160"/>
      <c r="J384" s="160"/>
      <c r="T384" s="431"/>
      <c r="U384" s="431"/>
      <c r="W384" s="431"/>
    </row>
    <row r="385" spans="5:23" s="26" customFormat="1">
      <c r="E385" s="77"/>
      <c r="F385" s="362"/>
      <c r="I385" s="160"/>
      <c r="J385" s="160"/>
      <c r="T385" s="431"/>
      <c r="U385" s="431"/>
      <c r="W385" s="431"/>
    </row>
    <row r="386" spans="5:23" s="26" customFormat="1">
      <c r="E386" s="77"/>
      <c r="F386" s="362"/>
      <c r="I386" s="160"/>
      <c r="J386" s="160"/>
      <c r="T386" s="431"/>
      <c r="U386" s="431"/>
      <c r="W386" s="431"/>
    </row>
    <row r="387" spans="5:23" s="26" customFormat="1">
      <c r="E387" s="77"/>
      <c r="F387" s="362"/>
      <c r="I387" s="160"/>
      <c r="J387" s="160"/>
      <c r="T387" s="431"/>
      <c r="U387" s="431"/>
      <c r="W387" s="431"/>
    </row>
    <row r="388" spans="5:23" s="26" customFormat="1">
      <c r="E388" s="77"/>
      <c r="F388" s="362"/>
      <c r="I388" s="160"/>
      <c r="J388" s="160"/>
      <c r="T388" s="431"/>
      <c r="U388" s="431"/>
      <c r="W388" s="431"/>
    </row>
    <row r="389" spans="5:23" s="26" customFormat="1">
      <c r="E389" s="77"/>
      <c r="F389" s="362"/>
      <c r="I389" s="160"/>
      <c r="J389" s="160"/>
      <c r="T389" s="431"/>
      <c r="U389" s="431"/>
      <c r="W389" s="431"/>
    </row>
    <row r="390" spans="5:23" s="26" customFormat="1">
      <c r="E390" s="77"/>
      <c r="F390" s="362"/>
      <c r="I390" s="160"/>
      <c r="J390" s="160"/>
      <c r="T390" s="431"/>
      <c r="U390" s="431"/>
      <c r="W390" s="431"/>
    </row>
    <row r="391" spans="5:23" s="26" customFormat="1">
      <c r="E391" s="77"/>
      <c r="F391" s="362"/>
      <c r="I391" s="160"/>
      <c r="J391" s="160"/>
      <c r="T391" s="431"/>
      <c r="U391" s="431"/>
      <c r="W391" s="431"/>
    </row>
    <row r="392" spans="5:23" s="26" customFormat="1">
      <c r="E392" s="77"/>
      <c r="F392" s="362"/>
      <c r="I392" s="160"/>
      <c r="J392" s="160"/>
      <c r="T392" s="431"/>
      <c r="U392" s="431"/>
      <c r="W392" s="431"/>
    </row>
    <row r="393" spans="5:23" s="26" customFormat="1">
      <c r="E393" s="77"/>
      <c r="F393" s="362"/>
      <c r="I393" s="160"/>
      <c r="J393" s="160"/>
      <c r="T393" s="431"/>
      <c r="U393" s="431"/>
      <c r="W393" s="431"/>
    </row>
    <row r="394" spans="5:23" s="26" customFormat="1">
      <c r="E394" s="77"/>
      <c r="F394" s="362"/>
      <c r="I394" s="160"/>
      <c r="J394" s="160"/>
      <c r="T394" s="431"/>
      <c r="U394" s="431"/>
      <c r="W394" s="431"/>
    </row>
    <row r="395" spans="5:23" s="26" customFormat="1">
      <c r="E395" s="77"/>
      <c r="F395" s="362"/>
      <c r="I395" s="160"/>
      <c r="J395" s="160"/>
      <c r="T395" s="431"/>
      <c r="U395" s="431"/>
      <c r="W395" s="431"/>
    </row>
    <row r="396" spans="5:23" s="26" customFormat="1">
      <c r="E396" s="77"/>
      <c r="F396" s="362"/>
      <c r="I396" s="160"/>
      <c r="J396" s="160"/>
      <c r="T396" s="431"/>
      <c r="U396" s="431"/>
      <c r="W396" s="431"/>
    </row>
    <row r="397" spans="5:23" s="26" customFormat="1">
      <c r="E397" s="77"/>
      <c r="F397" s="362"/>
      <c r="I397" s="160"/>
      <c r="J397" s="160"/>
      <c r="T397" s="431"/>
      <c r="U397" s="431"/>
      <c r="W397" s="431"/>
    </row>
    <row r="398" spans="5:23" s="26" customFormat="1">
      <c r="E398" s="77"/>
      <c r="F398" s="362"/>
      <c r="I398" s="160"/>
      <c r="J398" s="160"/>
      <c r="T398" s="431"/>
      <c r="U398" s="431"/>
      <c r="W398" s="431"/>
    </row>
    <row r="399" spans="5:23" s="26" customFormat="1">
      <c r="E399" s="77"/>
      <c r="F399" s="362"/>
      <c r="I399" s="160"/>
      <c r="J399" s="160"/>
      <c r="T399" s="431"/>
      <c r="U399" s="431"/>
      <c r="W399" s="431"/>
    </row>
    <row r="400" spans="5:23" s="26" customFormat="1">
      <c r="E400" s="77"/>
      <c r="F400" s="362"/>
      <c r="I400" s="160"/>
      <c r="J400" s="160"/>
      <c r="T400" s="431"/>
      <c r="U400" s="431"/>
      <c r="W400" s="431"/>
    </row>
    <row r="401" spans="5:23" s="26" customFormat="1">
      <c r="E401" s="77"/>
      <c r="F401" s="362"/>
      <c r="I401" s="160"/>
      <c r="J401" s="160"/>
      <c r="T401" s="431"/>
      <c r="U401" s="431"/>
      <c r="W401" s="431"/>
    </row>
    <row r="402" spans="5:23" s="26" customFormat="1">
      <c r="E402" s="77"/>
      <c r="F402" s="362"/>
      <c r="I402" s="160"/>
      <c r="J402" s="160"/>
      <c r="T402" s="431"/>
      <c r="U402" s="431"/>
      <c r="W402" s="431"/>
    </row>
    <row r="403" spans="5:23" s="26" customFormat="1">
      <c r="E403" s="77"/>
      <c r="F403" s="362"/>
      <c r="I403" s="160"/>
      <c r="J403" s="160"/>
      <c r="T403" s="431"/>
      <c r="U403" s="431"/>
      <c r="W403" s="431"/>
    </row>
    <row r="404" spans="5:23" s="26" customFormat="1">
      <c r="E404" s="77"/>
      <c r="F404" s="362"/>
      <c r="I404" s="160"/>
      <c r="J404" s="160"/>
      <c r="T404" s="431"/>
      <c r="U404" s="431"/>
      <c r="W404" s="431"/>
    </row>
    <row r="405" spans="5:23" s="26" customFormat="1">
      <c r="E405" s="77"/>
      <c r="F405" s="362"/>
      <c r="I405" s="160"/>
      <c r="J405" s="160"/>
      <c r="T405" s="431"/>
      <c r="U405" s="431"/>
      <c r="W405" s="431"/>
    </row>
    <row r="406" spans="5:23" s="26" customFormat="1">
      <c r="E406" s="77"/>
      <c r="F406" s="362"/>
      <c r="I406" s="160"/>
      <c r="J406" s="160"/>
      <c r="T406" s="431"/>
      <c r="U406" s="431"/>
      <c r="W406" s="431"/>
    </row>
    <row r="407" spans="5:23" s="26" customFormat="1">
      <c r="E407" s="77"/>
      <c r="F407" s="362"/>
      <c r="I407" s="160"/>
      <c r="J407" s="160"/>
      <c r="T407" s="431"/>
      <c r="U407" s="431"/>
      <c r="W407" s="431"/>
    </row>
    <row r="408" spans="5:23" s="26" customFormat="1">
      <c r="E408" s="77"/>
      <c r="F408" s="362"/>
      <c r="I408" s="160"/>
      <c r="J408" s="160"/>
      <c r="T408" s="431"/>
      <c r="U408" s="431"/>
      <c r="W408" s="431"/>
    </row>
    <row r="409" spans="5:23" s="26" customFormat="1">
      <c r="E409" s="77"/>
      <c r="F409" s="362"/>
      <c r="I409" s="160"/>
      <c r="J409" s="160"/>
      <c r="T409" s="431"/>
      <c r="U409" s="431"/>
      <c r="W409" s="431"/>
    </row>
    <row r="410" spans="5:23" s="26" customFormat="1">
      <c r="E410" s="77"/>
      <c r="F410" s="362"/>
      <c r="I410" s="160"/>
      <c r="J410" s="160"/>
      <c r="T410" s="431"/>
      <c r="U410" s="431"/>
      <c r="W410" s="431"/>
    </row>
    <row r="411" spans="5:23" s="26" customFormat="1">
      <c r="E411" s="77"/>
      <c r="F411" s="362"/>
      <c r="I411" s="160"/>
      <c r="J411" s="160"/>
      <c r="T411" s="431"/>
      <c r="U411" s="431"/>
      <c r="W411" s="431"/>
    </row>
    <row r="412" spans="5:23" s="26" customFormat="1">
      <c r="E412" s="77"/>
      <c r="F412" s="362"/>
      <c r="I412" s="160"/>
      <c r="J412" s="160"/>
      <c r="T412" s="431"/>
      <c r="U412" s="431"/>
      <c r="W412" s="431"/>
    </row>
    <row r="413" spans="5:23" s="26" customFormat="1">
      <c r="E413" s="77"/>
      <c r="F413" s="362"/>
      <c r="I413" s="160"/>
      <c r="J413" s="160"/>
      <c r="T413" s="431"/>
      <c r="U413" s="431"/>
      <c r="W413" s="431"/>
    </row>
    <row r="414" spans="5:23" s="26" customFormat="1">
      <c r="E414" s="77"/>
      <c r="F414" s="362"/>
      <c r="I414" s="160"/>
      <c r="J414" s="160"/>
      <c r="T414" s="431"/>
      <c r="U414" s="431"/>
      <c r="W414" s="431"/>
    </row>
    <row r="415" spans="5:23" s="26" customFormat="1">
      <c r="E415" s="77"/>
      <c r="F415" s="362"/>
      <c r="I415" s="160"/>
      <c r="J415" s="160"/>
      <c r="T415" s="431"/>
      <c r="U415" s="431"/>
      <c r="W415" s="431"/>
    </row>
    <row r="416" spans="5:23" s="26" customFormat="1">
      <c r="E416" s="77"/>
      <c r="F416" s="362"/>
      <c r="I416" s="160"/>
      <c r="J416" s="160"/>
      <c r="T416" s="431"/>
      <c r="U416" s="431"/>
      <c r="W416" s="431"/>
    </row>
    <row r="417" spans="5:23" s="26" customFormat="1">
      <c r="E417" s="77"/>
      <c r="F417" s="362"/>
      <c r="I417" s="160"/>
      <c r="J417" s="160"/>
      <c r="T417" s="431"/>
      <c r="U417" s="431"/>
      <c r="W417" s="431"/>
    </row>
    <row r="418" spans="5:23" s="26" customFormat="1">
      <c r="E418" s="77"/>
      <c r="F418" s="362"/>
      <c r="I418" s="160"/>
      <c r="J418" s="160"/>
      <c r="T418" s="431"/>
      <c r="U418" s="431"/>
      <c r="W418" s="431"/>
    </row>
    <row r="419" spans="5:23" s="26" customFormat="1">
      <c r="E419" s="77"/>
      <c r="F419" s="362"/>
      <c r="I419" s="160"/>
      <c r="J419" s="160"/>
      <c r="T419" s="431"/>
      <c r="U419" s="431"/>
      <c r="W419" s="431"/>
    </row>
    <row r="420" spans="5:23" s="26" customFormat="1">
      <c r="E420" s="77"/>
      <c r="F420" s="362"/>
      <c r="I420" s="160"/>
      <c r="J420" s="160"/>
      <c r="T420" s="431"/>
      <c r="U420" s="431"/>
      <c r="W420" s="431"/>
    </row>
    <row r="421" spans="5:23" s="26" customFormat="1">
      <c r="E421" s="77"/>
      <c r="F421" s="362"/>
      <c r="I421" s="160"/>
      <c r="J421" s="160"/>
      <c r="T421" s="431"/>
      <c r="U421" s="431"/>
      <c r="W421" s="431"/>
    </row>
    <row r="422" spans="5:23" s="26" customFormat="1">
      <c r="E422" s="77"/>
      <c r="F422" s="362"/>
      <c r="I422" s="160"/>
      <c r="J422" s="160"/>
      <c r="T422" s="431"/>
      <c r="U422" s="431"/>
      <c r="W422" s="431"/>
    </row>
    <row r="423" spans="5:23" s="26" customFormat="1">
      <c r="E423" s="77"/>
      <c r="F423" s="362"/>
      <c r="I423" s="160"/>
      <c r="J423" s="160"/>
      <c r="T423" s="431"/>
      <c r="U423" s="431"/>
      <c r="W423" s="431"/>
    </row>
    <row r="424" spans="5:23" s="26" customFormat="1">
      <c r="E424" s="77"/>
      <c r="F424" s="362"/>
      <c r="I424" s="160"/>
      <c r="J424" s="160"/>
      <c r="T424" s="431"/>
      <c r="U424" s="431"/>
      <c r="W424" s="431"/>
    </row>
    <row r="425" spans="5:23" s="26" customFormat="1">
      <c r="E425" s="77"/>
      <c r="F425" s="362"/>
      <c r="I425" s="160"/>
      <c r="J425" s="160"/>
      <c r="T425" s="431"/>
      <c r="U425" s="431"/>
      <c r="W425" s="431"/>
    </row>
    <row r="426" spans="5:23" s="26" customFormat="1">
      <c r="E426" s="77"/>
      <c r="F426" s="362"/>
      <c r="I426" s="160"/>
      <c r="J426" s="160"/>
      <c r="T426" s="431"/>
      <c r="U426" s="431"/>
      <c r="W426" s="431"/>
    </row>
    <row r="427" spans="5:23" s="26" customFormat="1">
      <c r="E427" s="77"/>
      <c r="F427" s="362"/>
      <c r="I427" s="160"/>
      <c r="J427" s="160"/>
      <c r="T427" s="431"/>
      <c r="U427" s="431"/>
      <c r="W427" s="431"/>
    </row>
    <row r="428" spans="5:23" s="26" customFormat="1">
      <c r="E428" s="77"/>
      <c r="F428" s="362"/>
      <c r="I428" s="160"/>
      <c r="J428" s="160"/>
      <c r="T428" s="431"/>
      <c r="U428" s="431"/>
      <c r="W428" s="431"/>
    </row>
    <row r="429" spans="5:23" s="26" customFormat="1">
      <c r="E429" s="77"/>
      <c r="F429" s="362"/>
      <c r="I429" s="160"/>
      <c r="J429" s="160"/>
      <c r="T429" s="431"/>
      <c r="U429" s="431"/>
      <c r="W429" s="431"/>
    </row>
    <row r="430" spans="5:23" s="26" customFormat="1">
      <c r="E430" s="77"/>
      <c r="F430" s="362"/>
      <c r="I430" s="160"/>
      <c r="J430" s="160"/>
      <c r="T430" s="431"/>
      <c r="U430" s="431"/>
      <c r="W430" s="431"/>
    </row>
    <row r="431" spans="5:23" s="26" customFormat="1">
      <c r="E431" s="77"/>
      <c r="F431" s="362"/>
      <c r="I431" s="160"/>
      <c r="J431" s="160"/>
      <c r="T431" s="431"/>
      <c r="U431" s="431"/>
      <c r="W431" s="431"/>
    </row>
    <row r="432" spans="5:23" s="26" customFormat="1">
      <c r="E432" s="77"/>
      <c r="F432" s="362"/>
      <c r="I432" s="160"/>
      <c r="J432" s="160"/>
      <c r="T432" s="431"/>
      <c r="U432" s="431"/>
      <c r="W432" s="431"/>
    </row>
    <row r="433" spans="5:23" s="26" customFormat="1">
      <c r="E433" s="77"/>
      <c r="F433" s="362"/>
      <c r="I433" s="160"/>
      <c r="J433" s="160"/>
      <c r="T433" s="431"/>
      <c r="U433" s="431"/>
      <c r="W433" s="431"/>
    </row>
    <row r="434" spans="5:23" s="26" customFormat="1">
      <c r="E434" s="77"/>
      <c r="F434" s="362"/>
      <c r="I434" s="160"/>
      <c r="J434" s="160"/>
      <c r="T434" s="431"/>
      <c r="U434" s="431"/>
      <c r="W434" s="431"/>
    </row>
    <row r="435" spans="5:23" s="26" customFormat="1">
      <c r="E435" s="77"/>
      <c r="F435" s="362"/>
      <c r="I435" s="160"/>
      <c r="J435" s="160"/>
      <c r="T435" s="431"/>
      <c r="U435" s="431"/>
      <c r="W435" s="431"/>
    </row>
    <row r="436" spans="5:23" s="26" customFormat="1">
      <c r="E436" s="77"/>
      <c r="F436" s="362"/>
      <c r="I436" s="160"/>
      <c r="J436" s="160"/>
      <c r="T436" s="431"/>
      <c r="U436" s="431"/>
      <c r="W436" s="431"/>
    </row>
    <row r="437" spans="5:23" s="26" customFormat="1">
      <c r="E437" s="77"/>
      <c r="F437" s="362"/>
      <c r="I437" s="160"/>
      <c r="J437" s="160"/>
      <c r="T437" s="431"/>
      <c r="U437" s="431"/>
      <c r="W437" s="431"/>
    </row>
    <row r="438" spans="5:23" s="26" customFormat="1">
      <c r="E438" s="77"/>
      <c r="F438" s="362"/>
      <c r="I438" s="160"/>
      <c r="J438" s="160"/>
      <c r="T438" s="431"/>
      <c r="U438" s="431"/>
      <c r="W438" s="431"/>
    </row>
    <row r="439" spans="5:23" s="26" customFormat="1">
      <c r="E439" s="77"/>
      <c r="F439" s="362"/>
      <c r="I439" s="160"/>
      <c r="J439" s="160"/>
      <c r="T439" s="431"/>
      <c r="U439" s="431"/>
      <c r="W439" s="431"/>
    </row>
    <row r="440" spans="5:23" s="26" customFormat="1">
      <c r="E440" s="77"/>
      <c r="F440" s="362"/>
      <c r="I440" s="160"/>
      <c r="J440" s="160"/>
      <c r="T440" s="431"/>
      <c r="U440" s="431"/>
      <c r="W440" s="431"/>
    </row>
    <row r="441" spans="5:23" s="26" customFormat="1">
      <c r="E441" s="77"/>
      <c r="F441" s="362"/>
      <c r="I441" s="160"/>
      <c r="J441" s="160"/>
      <c r="T441" s="431"/>
      <c r="U441" s="431"/>
      <c r="W441" s="431"/>
    </row>
    <row r="442" spans="5:23" s="26" customFormat="1">
      <c r="E442" s="77"/>
      <c r="F442" s="362"/>
      <c r="I442" s="160"/>
      <c r="J442" s="160"/>
      <c r="T442" s="431"/>
      <c r="U442" s="431"/>
      <c r="W442" s="431"/>
    </row>
    <row r="443" spans="5:23" s="26" customFormat="1">
      <c r="E443" s="77"/>
      <c r="F443" s="362"/>
      <c r="I443" s="160"/>
      <c r="J443" s="160"/>
      <c r="T443" s="431"/>
      <c r="U443" s="431"/>
      <c r="W443" s="431"/>
    </row>
    <row r="444" spans="5:23" s="26" customFormat="1">
      <c r="E444" s="77"/>
      <c r="F444" s="362"/>
      <c r="I444" s="160"/>
      <c r="J444" s="160"/>
      <c r="T444" s="431"/>
      <c r="U444" s="431"/>
      <c r="W444" s="431"/>
    </row>
    <row r="445" spans="5:23" s="26" customFormat="1">
      <c r="E445" s="77"/>
      <c r="F445" s="362"/>
      <c r="I445" s="160"/>
      <c r="J445" s="160"/>
      <c r="T445" s="431"/>
      <c r="U445" s="431"/>
      <c r="W445" s="431"/>
    </row>
    <row r="446" spans="5:23" s="26" customFormat="1">
      <c r="E446" s="77"/>
      <c r="F446" s="362"/>
      <c r="I446" s="160"/>
      <c r="J446" s="160"/>
      <c r="T446" s="431"/>
      <c r="U446" s="431"/>
      <c r="W446" s="431"/>
    </row>
    <row r="447" spans="5:23" s="26" customFormat="1">
      <c r="E447" s="77"/>
      <c r="F447" s="362"/>
      <c r="I447" s="160"/>
      <c r="J447" s="160"/>
      <c r="T447" s="431"/>
      <c r="U447" s="431"/>
      <c r="W447" s="431"/>
    </row>
    <row r="448" spans="5:23" s="26" customFormat="1">
      <c r="E448" s="77"/>
      <c r="F448" s="362"/>
      <c r="I448" s="160"/>
      <c r="J448" s="160"/>
      <c r="T448" s="431"/>
      <c r="U448" s="431"/>
      <c r="W448" s="431"/>
    </row>
    <row r="449" spans="5:23" s="26" customFormat="1">
      <c r="E449" s="77"/>
      <c r="F449" s="362"/>
      <c r="I449" s="160"/>
      <c r="J449" s="160"/>
      <c r="T449" s="431"/>
      <c r="U449" s="431"/>
      <c r="W449" s="431"/>
    </row>
    <row r="450" spans="5:23" s="26" customFormat="1">
      <c r="E450" s="77"/>
      <c r="F450" s="362"/>
      <c r="I450" s="160"/>
      <c r="J450" s="160"/>
      <c r="T450" s="431"/>
      <c r="U450" s="431"/>
      <c r="W450" s="431"/>
    </row>
    <row r="451" spans="5:23" s="26" customFormat="1">
      <c r="E451" s="77"/>
      <c r="F451" s="362"/>
      <c r="I451" s="160"/>
      <c r="J451" s="160"/>
      <c r="T451" s="431"/>
      <c r="U451" s="431"/>
      <c r="W451" s="431"/>
    </row>
    <row r="452" spans="5:23" s="26" customFormat="1">
      <c r="E452" s="77"/>
      <c r="F452" s="362"/>
      <c r="I452" s="160"/>
      <c r="J452" s="160"/>
      <c r="T452" s="431"/>
      <c r="U452" s="431"/>
      <c r="W452" s="431"/>
    </row>
    <row r="453" spans="5:23" s="26" customFormat="1">
      <c r="E453" s="77"/>
      <c r="F453" s="362"/>
      <c r="I453" s="160"/>
      <c r="J453" s="160"/>
      <c r="T453" s="431"/>
      <c r="U453" s="431"/>
      <c r="W453" s="431"/>
    </row>
    <row r="454" spans="5:23" s="26" customFormat="1">
      <c r="E454" s="77"/>
      <c r="F454" s="362"/>
      <c r="I454" s="160"/>
      <c r="J454" s="160"/>
      <c r="T454" s="431"/>
      <c r="U454" s="431"/>
      <c r="W454" s="431"/>
    </row>
    <row r="455" spans="5:23" s="26" customFormat="1">
      <c r="E455" s="77"/>
      <c r="F455" s="362"/>
      <c r="I455" s="160"/>
      <c r="J455" s="160"/>
      <c r="T455" s="431"/>
      <c r="U455" s="431"/>
      <c r="W455" s="431"/>
    </row>
    <row r="456" spans="5:23" s="26" customFormat="1">
      <c r="E456" s="77"/>
      <c r="F456" s="362"/>
      <c r="I456" s="160"/>
      <c r="J456" s="160"/>
      <c r="T456" s="431"/>
      <c r="U456" s="431"/>
      <c r="W456" s="431"/>
    </row>
    <row r="457" spans="5:23" s="26" customFormat="1">
      <c r="E457" s="77"/>
      <c r="F457" s="362"/>
      <c r="I457" s="160"/>
      <c r="J457" s="160"/>
      <c r="T457" s="431"/>
      <c r="U457" s="431"/>
      <c r="W457" s="431"/>
    </row>
    <row r="458" spans="5:23" s="26" customFormat="1">
      <c r="E458" s="77"/>
      <c r="F458" s="362"/>
      <c r="I458" s="160"/>
      <c r="J458" s="160"/>
      <c r="T458" s="431"/>
      <c r="U458" s="431"/>
      <c r="W458" s="431"/>
    </row>
    <row r="459" spans="5:23" s="26" customFormat="1">
      <c r="E459" s="77"/>
      <c r="F459" s="362"/>
      <c r="I459" s="160"/>
      <c r="J459" s="160"/>
      <c r="T459" s="431"/>
      <c r="U459" s="431"/>
      <c r="W459" s="431"/>
    </row>
    <row r="460" spans="5:23" s="26" customFormat="1">
      <c r="E460" s="77"/>
      <c r="F460" s="362"/>
      <c r="I460" s="160"/>
      <c r="J460" s="160"/>
      <c r="T460" s="431"/>
      <c r="U460" s="431"/>
      <c r="W460" s="431"/>
    </row>
    <row r="461" spans="5:23" s="26" customFormat="1">
      <c r="E461" s="77"/>
      <c r="F461" s="362"/>
      <c r="I461" s="160"/>
      <c r="J461" s="160"/>
      <c r="T461" s="431"/>
      <c r="U461" s="431"/>
      <c r="W461" s="431"/>
    </row>
    <row r="462" spans="5:23" s="26" customFormat="1">
      <c r="E462" s="77"/>
      <c r="F462" s="362"/>
      <c r="I462" s="160"/>
      <c r="J462" s="160"/>
      <c r="T462" s="431"/>
      <c r="U462" s="431"/>
      <c r="W462" s="431"/>
    </row>
    <row r="463" spans="5:23" s="26" customFormat="1">
      <c r="E463" s="77"/>
      <c r="F463" s="362"/>
      <c r="I463" s="160"/>
      <c r="J463" s="160"/>
      <c r="T463" s="431"/>
      <c r="U463" s="431"/>
      <c r="W463" s="431"/>
    </row>
    <row r="464" spans="5:23" s="26" customFormat="1">
      <c r="E464" s="77"/>
      <c r="F464" s="362"/>
      <c r="I464" s="160"/>
      <c r="J464" s="160"/>
      <c r="T464" s="431"/>
      <c r="U464" s="431"/>
      <c r="W464" s="431"/>
    </row>
    <row r="465" spans="5:23" s="26" customFormat="1">
      <c r="E465" s="77"/>
      <c r="F465" s="362"/>
      <c r="I465" s="160"/>
      <c r="J465" s="160"/>
      <c r="T465" s="431"/>
      <c r="U465" s="431"/>
      <c r="W465" s="431"/>
    </row>
    <row r="466" spans="5:23" s="26" customFormat="1">
      <c r="E466" s="77"/>
      <c r="F466" s="362"/>
      <c r="I466" s="160"/>
      <c r="J466" s="160"/>
      <c r="T466" s="431"/>
      <c r="U466" s="431"/>
      <c r="W466" s="431"/>
    </row>
    <row r="467" spans="5:23" s="26" customFormat="1">
      <c r="E467" s="77"/>
      <c r="F467" s="362"/>
      <c r="I467" s="160"/>
      <c r="J467" s="160"/>
      <c r="T467" s="431"/>
      <c r="U467" s="431"/>
      <c r="W467" s="431"/>
    </row>
    <row r="468" spans="5:23" s="26" customFormat="1">
      <c r="E468" s="77"/>
      <c r="F468" s="362"/>
      <c r="I468" s="160"/>
      <c r="J468" s="160"/>
      <c r="T468" s="431"/>
      <c r="U468" s="431"/>
      <c r="W468" s="431"/>
    </row>
    <row r="469" spans="5:23" s="26" customFormat="1">
      <c r="E469" s="77"/>
      <c r="F469" s="362"/>
      <c r="I469" s="160"/>
      <c r="J469" s="160"/>
      <c r="T469" s="431"/>
      <c r="U469" s="431"/>
      <c r="W469" s="431"/>
    </row>
    <row r="470" spans="5:23" s="26" customFormat="1">
      <c r="E470" s="77"/>
      <c r="F470" s="362"/>
      <c r="I470" s="160"/>
      <c r="J470" s="160"/>
      <c r="T470" s="431"/>
      <c r="U470" s="431"/>
      <c r="W470" s="431"/>
    </row>
    <row r="471" spans="5:23" s="26" customFormat="1">
      <c r="E471" s="77"/>
      <c r="F471" s="362"/>
      <c r="I471" s="160"/>
      <c r="J471" s="160"/>
      <c r="T471" s="431"/>
      <c r="U471" s="431"/>
      <c r="W471" s="431"/>
    </row>
    <row r="472" spans="5:23" s="26" customFormat="1">
      <c r="E472" s="77"/>
      <c r="F472" s="362"/>
      <c r="I472" s="160"/>
      <c r="J472" s="160"/>
      <c r="T472" s="431"/>
      <c r="U472" s="431"/>
      <c r="W472" s="431"/>
    </row>
    <row r="473" spans="5:23" s="26" customFormat="1">
      <c r="E473" s="77"/>
      <c r="F473" s="362"/>
      <c r="I473" s="160"/>
      <c r="J473" s="160"/>
      <c r="T473" s="431"/>
      <c r="U473" s="431"/>
      <c r="W473" s="431"/>
    </row>
    <row r="474" spans="5:23" s="26" customFormat="1">
      <c r="E474" s="77"/>
      <c r="F474" s="362"/>
      <c r="I474" s="160"/>
      <c r="J474" s="160"/>
      <c r="T474" s="431"/>
      <c r="U474" s="431"/>
      <c r="W474" s="431"/>
    </row>
    <row r="475" spans="5:23" s="26" customFormat="1">
      <c r="E475" s="77"/>
      <c r="F475" s="362"/>
      <c r="I475" s="160"/>
      <c r="J475" s="160"/>
      <c r="T475" s="431"/>
      <c r="U475" s="431"/>
      <c r="W475" s="431"/>
    </row>
    <row r="476" spans="5:23" s="26" customFormat="1">
      <c r="E476" s="77"/>
      <c r="F476" s="362"/>
      <c r="I476" s="160"/>
      <c r="J476" s="160"/>
      <c r="T476" s="431"/>
      <c r="U476" s="431"/>
      <c r="W476" s="431"/>
    </row>
    <row r="477" spans="5:23" s="26" customFormat="1">
      <c r="E477" s="77"/>
      <c r="F477" s="362"/>
      <c r="I477" s="160"/>
      <c r="J477" s="160"/>
      <c r="T477" s="431"/>
      <c r="U477" s="431"/>
      <c r="W477" s="431"/>
    </row>
    <row r="478" spans="5:23" s="26" customFormat="1">
      <c r="E478" s="77"/>
      <c r="F478" s="362"/>
      <c r="I478" s="160"/>
      <c r="J478" s="160"/>
      <c r="T478" s="431"/>
      <c r="U478" s="431"/>
      <c r="W478" s="431"/>
    </row>
    <row r="479" spans="5:23" s="26" customFormat="1">
      <c r="E479" s="77"/>
      <c r="F479" s="362"/>
      <c r="I479" s="160"/>
      <c r="J479" s="160"/>
      <c r="T479" s="431"/>
      <c r="U479" s="431"/>
      <c r="W479" s="431"/>
    </row>
    <row r="480" spans="5:23" s="26" customFormat="1">
      <c r="E480" s="77"/>
      <c r="F480" s="362"/>
      <c r="I480" s="160"/>
      <c r="J480" s="160"/>
      <c r="T480" s="431"/>
      <c r="U480" s="431"/>
      <c r="W480" s="431"/>
    </row>
    <row r="481" spans="5:23" s="26" customFormat="1">
      <c r="E481" s="77"/>
      <c r="F481" s="362"/>
      <c r="I481" s="160"/>
      <c r="J481" s="160"/>
      <c r="T481" s="431"/>
      <c r="U481" s="431"/>
      <c r="W481" s="431"/>
    </row>
    <row r="482" spans="5:23" s="26" customFormat="1">
      <c r="E482" s="77"/>
      <c r="F482" s="362"/>
      <c r="I482" s="160"/>
      <c r="J482" s="160"/>
      <c r="T482" s="431"/>
      <c r="U482" s="431"/>
      <c r="W482" s="431"/>
    </row>
    <row r="483" spans="5:23" s="26" customFormat="1">
      <c r="E483" s="77"/>
      <c r="F483" s="362"/>
      <c r="I483" s="160"/>
      <c r="J483" s="160"/>
      <c r="T483" s="431"/>
      <c r="U483" s="431"/>
      <c r="W483" s="431"/>
    </row>
    <row r="484" spans="5:23" s="26" customFormat="1">
      <c r="E484" s="77"/>
      <c r="F484" s="362"/>
      <c r="I484" s="160"/>
      <c r="J484" s="160"/>
      <c r="T484" s="431"/>
      <c r="U484" s="431"/>
      <c r="W484" s="431"/>
    </row>
    <row r="485" spans="5:23" s="26" customFormat="1">
      <c r="E485" s="77"/>
      <c r="F485" s="362"/>
      <c r="I485" s="160"/>
      <c r="J485" s="160"/>
      <c r="T485" s="431"/>
      <c r="U485" s="431"/>
      <c r="W485" s="431"/>
    </row>
    <row r="486" spans="5:23" s="26" customFormat="1">
      <c r="E486" s="77"/>
      <c r="F486" s="362"/>
      <c r="I486" s="160"/>
      <c r="J486" s="160"/>
      <c r="T486" s="431"/>
      <c r="U486" s="431"/>
      <c r="W486" s="431"/>
    </row>
    <row r="487" spans="5:23" s="26" customFormat="1">
      <c r="E487" s="77"/>
      <c r="F487" s="362"/>
      <c r="I487" s="160"/>
      <c r="J487" s="160"/>
      <c r="T487" s="431"/>
      <c r="U487" s="431"/>
      <c r="W487" s="431"/>
    </row>
    <row r="488" spans="5:23" s="26" customFormat="1">
      <c r="E488" s="77"/>
      <c r="F488" s="362"/>
      <c r="I488" s="160"/>
      <c r="J488" s="160"/>
      <c r="T488" s="431"/>
      <c r="U488" s="431"/>
      <c r="W488" s="431"/>
    </row>
    <row r="489" spans="5:23" s="26" customFormat="1">
      <c r="E489" s="77"/>
      <c r="F489" s="362"/>
      <c r="I489" s="160"/>
      <c r="J489" s="160"/>
      <c r="T489" s="431"/>
      <c r="U489" s="431"/>
      <c r="W489" s="431"/>
    </row>
    <row r="490" spans="5:23" s="26" customFormat="1">
      <c r="E490" s="77"/>
      <c r="F490" s="362"/>
      <c r="I490" s="160"/>
      <c r="J490" s="160"/>
      <c r="T490" s="431"/>
      <c r="U490" s="431"/>
      <c r="W490" s="431"/>
    </row>
    <row r="491" spans="5:23" s="26" customFormat="1">
      <c r="E491" s="77"/>
      <c r="F491" s="362"/>
      <c r="I491" s="160"/>
      <c r="J491" s="160"/>
      <c r="T491" s="431"/>
      <c r="U491" s="431"/>
      <c r="W491" s="431"/>
    </row>
    <row r="492" spans="5:23" s="26" customFormat="1">
      <c r="E492" s="77"/>
      <c r="F492" s="362"/>
      <c r="I492" s="160"/>
      <c r="J492" s="160"/>
      <c r="T492" s="431"/>
      <c r="U492" s="431"/>
      <c r="W492" s="431"/>
    </row>
    <row r="493" spans="5:23" s="26" customFormat="1">
      <c r="E493" s="77"/>
      <c r="F493" s="362"/>
      <c r="I493" s="160"/>
      <c r="J493" s="160"/>
      <c r="T493" s="431"/>
      <c r="U493" s="431"/>
      <c r="W493" s="431"/>
    </row>
    <row r="494" spans="5:23" s="26" customFormat="1">
      <c r="E494" s="77"/>
      <c r="F494" s="362"/>
      <c r="I494" s="160"/>
      <c r="J494" s="160"/>
      <c r="T494" s="431"/>
      <c r="U494" s="431"/>
      <c r="W494" s="431"/>
    </row>
    <row r="495" spans="5:23" s="26" customFormat="1">
      <c r="E495" s="77"/>
      <c r="F495" s="362"/>
      <c r="I495" s="160"/>
      <c r="J495" s="160"/>
      <c r="T495" s="431"/>
      <c r="U495" s="431"/>
      <c r="W495" s="431"/>
    </row>
    <row r="496" spans="5:23" s="26" customFormat="1">
      <c r="E496" s="77"/>
      <c r="F496" s="362"/>
      <c r="I496" s="160"/>
      <c r="J496" s="160"/>
      <c r="T496" s="431"/>
      <c r="U496" s="431"/>
      <c r="W496" s="431"/>
    </row>
    <row r="497" spans="5:23" s="26" customFormat="1">
      <c r="E497" s="77"/>
      <c r="F497" s="362"/>
      <c r="I497" s="160"/>
      <c r="J497" s="160"/>
      <c r="T497" s="431"/>
      <c r="U497" s="431"/>
      <c r="W497" s="431"/>
    </row>
    <row r="498" spans="5:23" s="26" customFormat="1">
      <c r="E498" s="77"/>
      <c r="F498" s="362"/>
      <c r="I498" s="160"/>
      <c r="J498" s="160"/>
      <c r="T498" s="431"/>
      <c r="U498" s="431"/>
      <c r="W498" s="431"/>
    </row>
    <row r="499" spans="5:23" s="26" customFormat="1">
      <c r="E499" s="77"/>
      <c r="F499" s="362"/>
      <c r="I499" s="160"/>
      <c r="J499" s="160"/>
      <c r="T499" s="431"/>
      <c r="U499" s="431"/>
      <c r="W499" s="431"/>
    </row>
    <row r="500" spans="5:23" s="26" customFormat="1">
      <c r="E500" s="77"/>
      <c r="F500" s="362"/>
      <c r="I500" s="160"/>
      <c r="J500" s="160"/>
      <c r="T500" s="431"/>
      <c r="U500" s="431"/>
      <c r="W500" s="431"/>
    </row>
    <row r="501" spans="5:23" s="26" customFormat="1">
      <c r="E501" s="77"/>
      <c r="F501" s="362"/>
      <c r="I501" s="160"/>
      <c r="J501" s="160"/>
      <c r="T501" s="431"/>
      <c r="U501" s="431"/>
      <c r="W501" s="431"/>
    </row>
    <row r="502" spans="5:23" s="26" customFormat="1">
      <c r="E502" s="77"/>
      <c r="F502" s="362"/>
      <c r="I502" s="160"/>
      <c r="J502" s="160"/>
      <c r="T502" s="431"/>
      <c r="U502" s="431"/>
      <c r="W502" s="431"/>
    </row>
    <row r="503" spans="5:23" s="26" customFormat="1">
      <c r="E503" s="77"/>
      <c r="F503" s="362"/>
      <c r="I503" s="160"/>
      <c r="J503" s="160"/>
      <c r="T503" s="431"/>
      <c r="U503" s="431"/>
      <c r="W503" s="431"/>
    </row>
    <row r="504" spans="5:23" s="26" customFormat="1">
      <c r="E504" s="77"/>
      <c r="F504" s="362"/>
      <c r="I504" s="160"/>
      <c r="J504" s="160"/>
      <c r="T504" s="431"/>
      <c r="U504" s="431"/>
      <c r="W504" s="431"/>
    </row>
    <row r="505" spans="5:23" s="26" customFormat="1">
      <c r="E505" s="77"/>
      <c r="F505" s="362"/>
      <c r="I505" s="160"/>
      <c r="J505" s="160"/>
      <c r="T505" s="431"/>
      <c r="U505" s="431"/>
      <c r="W505" s="431"/>
    </row>
    <row r="506" spans="5:23" s="26" customFormat="1">
      <c r="E506" s="77"/>
      <c r="F506" s="362"/>
      <c r="I506" s="160"/>
      <c r="J506" s="160"/>
      <c r="T506" s="431"/>
      <c r="U506" s="431"/>
      <c r="W506" s="431"/>
    </row>
    <row r="507" spans="5:23" s="26" customFormat="1">
      <c r="E507" s="77"/>
      <c r="F507" s="362"/>
      <c r="I507" s="160"/>
      <c r="J507" s="160"/>
      <c r="T507" s="431"/>
      <c r="U507" s="431"/>
      <c r="W507" s="431"/>
    </row>
    <row r="508" spans="5:23" s="26" customFormat="1">
      <c r="E508" s="77"/>
      <c r="F508" s="362"/>
      <c r="I508" s="160"/>
      <c r="J508" s="160"/>
      <c r="T508" s="431"/>
      <c r="U508" s="431"/>
      <c r="W508" s="431"/>
    </row>
    <row r="509" spans="5:23" s="26" customFormat="1">
      <c r="E509" s="77"/>
      <c r="F509" s="362"/>
      <c r="I509" s="160"/>
      <c r="J509" s="160"/>
      <c r="T509" s="431"/>
      <c r="U509" s="431"/>
      <c r="W509" s="431"/>
    </row>
    <row r="510" spans="5:23" s="26" customFormat="1">
      <c r="E510" s="77"/>
      <c r="F510" s="362"/>
      <c r="I510" s="160"/>
      <c r="J510" s="160"/>
      <c r="T510" s="431"/>
      <c r="U510" s="431"/>
      <c r="W510" s="431"/>
    </row>
    <row r="511" spans="5:23" s="26" customFormat="1">
      <c r="E511" s="77"/>
      <c r="F511" s="362"/>
      <c r="I511" s="160"/>
      <c r="J511" s="160"/>
      <c r="T511" s="431"/>
      <c r="U511" s="431"/>
      <c r="W511" s="431"/>
    </row>
    <row r="512" spans="5:23" s="26" customFormat="1">
      <c r="E512" s="77"/>
      <c r="F512" s="362"/>
      <c r="I512" s="160"/>
      <c r="J512" s="160"/>
      <c r="T512" s="431"/>
      <c r="U512" s="431"/>
      <c r="W512" s="431"/>
    </row>
    <row r="513" spans="5:23" s="26" customFormat="1">
      <c r="E513" s="77"/>
      <c r="F513" s="362"/>
      <c r="I513" s="160"/>
      <c r="J513" s="160"/>
      <c r="T513" s="431"/>
      <c r="U513" s="431"/>
      <c r="W513" s="431"/>
    </row>
    <row r="514" spans="5:23" s="26" customFormat="1">
      <c r="E514" s="77"/>
      <c r="F514" s="362"/>
      <c r="I514" s="160"/>
      <c r="J514" s="160"/>
      <c r="T514" s="431"/>
      <c r="U514" s="431"/>
      <c r="W514" s="431"/>
    </row>
    <row r="515" spans="5:23" s="26" customFormat="1">
      <c r="E515" s="77"/>
      <c r="F515" s="362"/>
      <c r="I515" s="160"/>
      <c r="J515" s="160"/>
      <c r="T515" s="431"/>
      <c r="U515" s="431"/>
      <c r="W515" s="431"/>
    </row>
    <row r="516" spans="5:23" s="26" customFormat="1">
      <c r="E516" s="77"/>
      <c r="F516" s="362"/>
      <c r="I516" s="160"/>
      <c r="J516" s="160"/>
      <c r="T516" s="431"/>
      <c r="U516" s="431"/>
      <c r="W516" s="431"/>
    </row>
    <row r="517" spans="5:23" s="26" customFormat="1">
      <c r="E517" s="77"/>
      <c r="F517" s="362"/>
      <c r="I517" s="160"/>
      <c r="J517" s="160"/>
      <c r="T517" s="431"/>
      <c r="U517" s="431"/>
      <c r="W517" s="431"/>
    </row>
    <row r="518" spans="5:23" s="26" customFormat="1">
      <c r="E518" s="77"/>
      <c r="F518" s="362"/>
      <c r="I518" s="160"/>
      <c r="J518" s="160"/>
      <c r="T518" s="431"/>
      <c r="U518" s="431"/>
      <c r="W518" s="431"/>
    </row>
  </sheetData>
  <sheetProtection formatCells="0" formatColumns="0" formatRows="0" insertColumns="0" insertRows="0" insertHyperlinks="0" deleteColumns="0" deleteRows="0" sort="0" autoFilter="0" pivotTables="0"/>
  <mergeCells count="68">
    <mergeCell ref="Y41:AH41"/>
    <mergeCell ref="X70:X77"/>
    <mergeCell ref="V70:V77"/>
    <mergeCell ref="V44:V50"/>
    <mergeCell ref="V52:V68"/>
    <mergeCell ref="X44:X50"/>
    <mergeCell ref="X52:X68"/>
    <mergeCell ref="X102:X116"/>
    <mergeCell ref="I79:I87"/>
    <mergeCell ref="I147:I158"/>
    <mergeCell ref="J147:J158"/>
    <mergeCell ref="X147:X158"/>
    <mergeCell ref="I127:I132"/>
    <mergeCell ref="J127:J132"/>
    <mergeCell ref="X127:X132"/>
    <mergeCell ref="I134:I145"/>
    <mergeCell ref="J134:J145"/>
    <mergeCell ref="X134:X145"/>
    <mergeCell ref="V127:V132"/>
    <mergeCell ref="V134:V145"/>
    <mergeCell ref="V147:V158"/>
    <mergeCell ref="X118:X122"/>
    <mergeCell ref="I124:I125"/>
    <mergeCell ref="J124:J125"/>
    <mergeCell ref="K124:K125"/>
    <mergeCell ref="X124:X125"/>
    <mergeCell ref="V118:V122"/>
    <mergeCell ref="I118:I122"/>
    <mergeCell ref="J118:J122"/>
    <mergeCell ref="X79:X87"/>
    <mergeCell ref="I89:I100"/>
    <mergeCell ref="J89:J100"/>
    <mergeCell ref="X89:X100"/>
    <mergeCell ref="I70:I77"/>
    <mergeCell ref="J70:J77"/>
    <mergeCell ref="R90:R96"/>
    <mergeCell ref="V102:V116"/>
    <mergeCell ref="V79:V87"/>
    <mergeCell ref="V89:V100"/>
    <mergeCell ref="I44:I50"/>
    <mergeCell ref="J44:J50"/>
    <mergeCell ref="I52:I68"/>
    <mergeCell ref="J52:J68"/>
    <mergeCell ref="R58:R64"/>
    <mergeCell ref="J79:J87"/>
    <mergeCell ref="R106:R112"/>
    <mergeCell ref="I102:I116"/>
    <mergeCell ref="J102:J116"/>
    <mergeCell ref="X6:X11"/>
    <mergeCell ref="V6:V11"/>
    <mergeCell ref="V13:V19"/>
    <mergeCell ref="V21:V26"/>
    <mergeCell ref="V28:V42"/>
    <mergeCell ref="X21:X26"/>
    <mergeCell ref="I28:I42"/>
    <mergeCell ref="J28:J42"/>
    <mergeCell ref="X28:X42"/>
    <mergeCell ref="I13:I19"/>
    <mergeCell ref="J13:J19"/>
    <mergeCell ref="X13:X19"/>
    <mergeCell ref="I21:I26"/>
    <mergeCell ref="J21:J26"/>
    <mergeCell ref="R32:R38"/>
    <mergeCell ref="B2:G2"/>
    <mergeCell ref="L2:Q2"/>
    <mergeCell ref="I6:I11"/>
    <mergeCell ref="J6:J11"/>
    <mergeCell ref="R2:W2"/>
  </mergeCells>
  <conditionalFormatting sqref="J4">
    <cfRule type="containsText" dxfId="5" priority="2" operator="containsText" text="ERROR">
      <formula>NOT(ISERROR(SEARCH("ERROR",J4)))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DF49-0C35-4828-AA32-41E64F7F68B9}">
  <sheetPr codeName="Sheet7"/>
  <dimension ref="A1:ACO24"/>
  <sheetViews>
    <sheetView tabSelected="1" zoomScaleNormal="100" workbookViewId="0">
      <pane xSplit="5" ySplit="15" topLeftCell="G16" activePane="bottomRight" state="frozen"/>
      <selection pane="bottomRight" activeCell="H5" sqref="H5"/>
      <selection pane="bottomLeft" activeCell="X33" sqref="X33"/>
      <selection pane="topRight" activeCell="X33" sqref="X33"/>
    </sheetView>
  </sheetViews>
  <sheetFormatPr defaultColWidth="9.42578125" defaultRowHeight="14.45"/>
  <cols>
    <col min="1" max="1" width="9.42578125" customWidth="1"/>
    <col min="2" max="2" width="34.5703125" customWidth="1"/>
    <col min="3" max="3" width="18.5703125" bestFit="1" customWidth="1"/>
    <col min="4" max="4" width="21.28515625" customWidth="1"/>
    <col min="5" max="5" width="4.42578125" customWidth="1"/>
    <col min="6" max="6" width="16.42578125" bestFit="1" customWidth="1"/>
    <col min="7" max="7" width="20.42578125" customWidth="1"/>
    <col min="8" max="291" width="15.42578125" bestFit="1" customWidth="1"/>
    <col min="292" max="292" width="9.42578125" style="102"/>
  </cols>
  <sheetData>
    <row r="1" spans="1:769">
      <c r="D1" s="98" t="s">
        <v>397</v>
      </c>
      <c r="E1" s="99"/>
      <c r="F1" s="100">
        <v>46027</v>
      </c>
      <c r="G1" s="101">
        <f>F1+7</f>
        <v>46034</v>
      </c>
      <c r="H1" s="101">
        <f>G1+7</f>
        <v>46041</v>
      </c>
      <c r="I1" s="101">
        <f t="shared" ref="I1:BT1" si="0">H1+7</f>
        <v>46048</v>
      </c>
      <c r="J1" s="101">
        <f t="shared" si="0"/>
        <v>46055</v>
      </c>
      <c r="K1" s="101">
        <f t="shared" si="0"/>
        <v>46062</v>
      </c>
      <c r="L1" s="101">
        <f t="shared" si="0"/>
        <v>46069</v>
      </c>
      <c r="M1" s="101">
        <f t="shared" si="0"/>
        <v>46076</v>
      </c>
      <c r="N1" s="101">
        <f t="shared" si="0"/>
        <v>46083</v>
      </c>
      <c r="O1" s="101">
        <f t="shared" si="0"/>
        <v>46090</v>
      </c>
      <c r="P1" s="101">
        <f t="shared" si="0"/>
        <v>46097</v>
      </c>
      <c r="Q1" s="101">
        <f t="shared" si="0"/>
        <v>46104</v>
      </c>
      <c r="R1" s="101">
        <f t="shared" si="0"/>
        <v>46111</v>
      </c>
      <c r="S1" s="101">
        <f t="shared" si="0"/>
        <v>46118</v>
      </c>
      <c r="T1" s="101">
        <f t="shared" si="0"/>
        <v>46125</v>
      </c>
      <c r="U1" s="101">
        <f t="shared" si="0"/>
        <v>46132</v>
      </c>
      <c r="V1" s="101">
        <f t="shared" si="0"/>
        <v>46139</v>
      </c>
      <c r="W1" s="101">
        <f t="shared" si="0"/>
        <v>46146</v>
      </c>
      <c r="X1" s="101">
        <f t="shared" si="0"/>
        <v>46153</v>
      </c>
      <c r="Y1" s="101">
        <f t="shared" si="0"/>
        <v>46160</v>
      </c>
      <c r="Z1" s="101">
        <f t="shared" si="0"/>
        <v>46167</v>
      </c>
      <c r="AA1" s="101">
        <f t="shared" si="0"/>
        <v>46174</v>
      </c>
      <c r="AB1" s="101">
        <f t="shared" si="0"/>
        <v>46181</v>
      </c>
      <c r="AC1" s="101">
        <f t="shared" si="0"/>
        <v>46188</v>
      </c>
      <c r="AD1" s="101">
        <f>AC1+7</f>
        <v>46195</v>
      </c>
      <c r="AE1" s="101">
        <f t="shared" si="0"/>
        <v>46202</v>
      </c>
      <c r="AF1" s="101">
        <f t="shared" si="0"/>
        <v>46209</v>
      </c>
      <c r="AG1" s="101">
        <f t="shared" si="0"/>
        <v>46216</v>
      </c>
      <c r="AH1" s="101">
        <f t="shared" si="0"/>
        <v>46223</v>
      </c>
      <c r="AI1" s="101">
        <f t="shared" si="0"/>
        <v>46230</v>
      </c>
      <c r="AJ1" s="101">
        <f t="shared" si="0"/>
        <v>46237</v>
      </c>
      <c r="AK1" s="101">
        <f t="shared" si="0"/>
        <v>46244</v>
      </c>
      <c r="AL1" s="101">
        <f t="shared" si="0"/>
        <v>46251</v>
      </c>
      <c r="AM1" s="101">
        <f t="shared" si="0"/>
        <v>46258</v>
      </c>
      <c r="AN1" s="101">
        <f t="shared" si="0"/>
        <v>46265</v>
      </c>
      <c r="AO1" s="101">
        <f t="shared" si="0"/>
        <v>46272</v>
      </c>
      <c r="AP1" s="101">
        <f t="shared" si="0"/>
        <v>46279</v>
      </c>
      <c r="AQ1" s="101">
        <f t="shared" si="0"/>
        <v>46286</v>
      </c>
      <c r="AR1" s="101">
        <f t="shared" si="0"/>
        <v>46293</v>
      </c>
      <c r="AS1" s="101">
        <f t="shared" si="0"/>
        <v>46300</v>
      </c>
      <c r="AT1" s="101">
        <f t="shared" si="0"/>
        <v>46307</v>
      </c>
      <c r="AU1" s="101">
        <f t="shared" si="0"/>
        <v>46314</v>
      </c>
      <c r="AV1" s="101">
        <f t="shared" si="0"/>
        <v>46321</v>
      </c>
      <c r="AW1" s="101">
        <f t="shared" si="0"/>
        <v>46328</v>
      </c>
      <c r="AX1" s="101">
        <f t="shared" si="0"/>
        <v>46335</v>
      </c>
      <c r="AY1" s="101">
        <f t="shared" si="0"/>
        <v>46342</v>
      </c>
      <c r="AZ1" s="101">
        <f t="shared" si="0"/>
        <v>46349</v>
      </c>
      <c r="BA1" s="101">
        <f t="shared" si="0"/>
        <v>46356</v>
      </c>
      <c r="BB1" s="101">
        <f t="shared" si="0"/>
        <v>46363</v>
      </c>
      <c r="BC1" s="101">
        <f t="shared" si="0"/>
        <v>46370</v>
      </c>
      <c r="BD1" s="101">
        <f t="shared" si="0"/>
        <v>46377</v>
      </c>
      <c r="BE1" s="101">
        <f t="shared" si="0"/>
        <v>46384</v>
      </c>
      <c r="BF1" s="101">
        <f t="shared" si="0"/>
        <v>46391</v>
      </c>
      <c r="BG1" s="101">
        <f t="shared" si="0"/>
        <v>46398</v>
      </c>
      <c r="BH1" s="101">
        <f t="shared" si="0"/>
        <v>46405</v>
      </c>
      <c r="BI1" s="101">
        <f t="shared" si="0"/>
        <v>46412</v>
      </c>
      <c r="BJ1" s="101">
        <f t="shared" si="0"/>
        <v>46419</v>
      </c>
      <c r="BK1" s="101">
        <f t="shared" si="0"/>
        <v>46426</v>
      </c>
      <c r="BL1" s="101">
        <f t="shared" si="0"/>
        <v>46433</v>
      </c>
      <c r="BM1" s="101">
        <f t="shared" si="0"/>
        <v>46440</v>
      </c>
      <c r="BN1" s="101">
        <f t="shared" si="0"/>
        <v>46447</v>
      </c>
      <c r="BO1" s="101">
        <f t="shared" si="0"/>
        <v>46454</v>
      </c>
      <c r="BP1" s="101">
        <f t="shared" si="0"/>
        <v>46461</v>
      </c>
      <c r="BQ1" s="101">
        <f t="shared" si="0"/>
        <v>46468</v>
      </c>
      <c r="BR1" s="101">
        <f t="shared" si="0"/>
        <v>46475</v>
      </c>
      <c r="BS1" s="101">
        <f t="shared" si="0"/>
        <v>46482</v>
      </c>
      <c r="BT1" s="101">
        <f t="shared" si="0"/>
        <v>46489</v>
      </c>
      <c r="BU1" s="101">
        <f t="shared" ref="BU1:EF1" si="1">BT1+7</f>
        <v>46496</v>
      </c>
      <c r="BV1" s="101">
        <f t="shared" si="1"/>
        <v>46503</v>
      </c>
      <c r="BW1" s="101">
        <f t="shared" si="1"/>
        <v>46510</v>
      </c>
      <c r="BX1" s="101">
        <f t="shared" si="1"/>
        <v>46517</v>
      </c>
      <c r="BY1" s="101">
        <f t="shared" si="1"/>
        <v>46524</v>
      </c>
      <c r="BZ1" s="101">
        <f t="shared" si="1"/>
        <v>46531</v>
      </c>
      <c r="CA1" s="101">
        <f t="shared" si="1"/>
        <v>46538</v>
      </c>
      <c r="CB1" s="101">
        <f t="shared" si="1"/>
        <v>46545</v>
      </c>
      <c r="CC1" s="101">
        <f t="shared" si="1"/>
        <v>46552</v>
      </c>
      <c r="CD1" s="101">
        <f t="shared" si="1"/>
        <v>46559</v>
      </c>
      <c r="CE1" s="101">
        <f t="shared" si="1"/>
        <v>46566</v>
      </c>
      <c r="CF1" s="101">
        <f t="shared" si="1"/>
        <v>46573</v>
      </c>
      <c r="CG1" s="101">
        <f t="shared" si="1"/>
        <v>46580</v>
      </c>
      <c r="CH1" s="101">
        <f t="shared" si="1"/>
        <v>46587</v>
      </c>
      <c r="CI1" s="101">
        <f t="shared" si="1"/>
        <v>46594</v>
      </c>
      <c r="CJ1" s="101">
        <f t="shared" si="1"/>
        <v>46601</v>
      </c>
      <c r="CK1" s="101">
        <f t="shared" si="1"/>
        <v>46608</v>
      </c>
      <c r="CL1" s="101">
        <f t="shared" si="1"/>
        <v>46615</v>
      </c>
      <c r="CM1" s="101">
        <f t="shared" si="1"/>
        <v>46622</v>
      </c>
      <c r="CN1" s="101">
        <f t="shared" si="1"/>
        <v>46629</v>
      </c>
      <c r="CO1" s="101">
        <f t="shared" si="1"/>
        <v>46636</v>
      </c>
      <c r="CP1" s="101">
        <f t="shared" si="1"/>
        <v>46643</v>
      </c>
      <c r="CQ1" s="101">
        <f t="shared" si="1"/>
        <v>46650</v>
      </c>
      <c r="CR1" s="101">
        <f t="shared" si="1"/>
        <v>46657</v>
      </c>
      <c r="CS1" s="101">
        <f t="shared" si="1"/>
        <v>46664</v>
      </c>
      <c r="CT1" s="101">
        <f t="shared" si="1"/>
        <v>46671</v>
      </c>
      <c r="CU1" s="101">
        <f t="shared" si="1"/>
        <v>46678</v>
      </c>
      <c r="CV1" s="101">
        <f t="shared" si="1"/>
        <v>46685</v>
      </c>
      <c r="CW1" s="101">
        <f t="shared" si="1"/>
        <v>46692</v>
      </c>
      <c r="CX1" s="101">
        <f t="shared" si="1"/>
        <v>46699</v>
      </c>
      <c r="CY1" s="101">
        <f t="shared" si="1"/>
        <v>46706</v>
      </c>
      <c r="CZ1" s="101">
        <f t="shared" si="1"/>
        <v>46713</v>
      </c>
      <c r="DA1" s="101">
        <f t="shared" si="1"/>
        <v>46720</v>
      </c>
      <c r="DB1" s="101">
        <f t="shared" si="1"/>
        <v>46727</v>
      </c>
      <c r="DC1" s="101">
        <f t="shared" si="1"/>
        <v>46734</v>
      </c>
      <c r="DD1" s="101">
        <f t="shared" si="1"/>
        <v>46741</v>
      </c>
      <c r="DE1" s="101">
        <f t="shared" si="1"/>
        <v>46748</v>
      </c>
      <c r="DF1" s="101">
        <f t="shared" si="1"/>
        <v>46755</v>
      </c>
      <c r="DG1" s="101">
        <f t="shared" si="1"/>
        <v>46762</v>
      </c>
      <c r="DH1" s="101">
        <f t="shared" si="1"/>
        <v>46769</v>
      </c>
      <c r="DI1" s="101">
        <f t="shared" si="1"/>
        <v>46776</v>
      </c>
      <c r="DJ1" s="101">
        <f t="shared" si="1"/>
        <v>46783</v>
      </c>
      <c r="DK1" s="101">
        <f t="shared" si="1"/>
        <v>46790</v>
      </c>
      <c r="DL1" s="101">
        <f t="shared" si="1"/>
        <v>46797</v>
      </c>
      <c r="DM1" s="101">
        <f t="shared" si="1"/>
        <v>46804</v>
      </c>
      <c r="DN1" s="101">
        <f t="shared" si="1"/>
        <v>46811</v>
      </c>
      <c r="DO1" s="101">
        <f t="shared" si="1"/>
        <v>46818</v>
      </c>
      <c r="DP1" s="101">
        <f t="shared" si="1"/>
        <v>46825</v>
      </c>
      <c r="DQ1" s="101">
        <f t="shared" si="1"/>
        <v>46832</v>
      </c>
      <c r="DR1" s="101">
        <f t="shared" si="1"/>
        <v>46839</v>
      </c>
      <c r="DS1" s="101">
        <f t="shared" si="1"/>
        <v>46846</v>
      </c>
      <c r="DT1" s="101">
        <f t="shared" si="1"/>
        <v>46853</v>
      </c>
      <c r="DU1" s="101">
        <f t="shared" si="1"/>
        <v>46860</v>
      </c>
      <c r="DV1" s="101">
        <f t="shared" si="1"/>
        <v>46867</v>
      </c>
      <c r="DW1" s="101">
        <f t="shared" si="1"/>
        <v>46874</v>
      </c>
      <c r="DX1" s="101">
        <f t="shared" si="1"/>
        <v>46881</v>
      </c>
      <c r="DY1" s="101">
        <f t="shared" si="1"/>
        <v>46888</v>
      </c>
      <c r="DZ1" s="101">
        <f t="shared" si="1"/>
        <v>46895</v>
      </c>
      <c r="EA1" s="101">
        <f t="shared" si="1"/>
        <v>46902</v>
      </c>
      <c r="EB1" s="101">
        <f t="shared" si="1"/>
        <v>46909</v>
      </c>
      <c r="EC1" s="101">
        <f t="shared" si="1"/>
        <v>46916</v>
      </c>
      <c r="ED1" s="101">
        <f t="shared" si="1"/>
        <v>46923</v>
      </c>
      <c r="EE1" s="101">
        <f t="shared" si="1"/>
        <v>46930</v>
      </c>
      <c r="EF1" s="101">
        <f t="shared" si="1"/>
        <v>46937</v>
      </c>
      <c r="EG1" s="101">
        <f t="shared" ref="EG1:GR1" si="2">EF1+7</f>
        <v>46944</v>
      </c>
      <c r="EH1" s="101">
        <f t="shared" si="2"/>
        <v>46951</v>
      </c>
      <c r="EI1" s="101">
        <f t="shared" si="2"/>
        <v>46958</v>
      </c>
      <c r="EJ1" s="101">
        <f t="shared" si="2"/>
        <v>46965</v>
      </c>
      <c r="EK1" s="101">
        <f t="shared" si="2"/>
        <v>46972</v>
      </c>
      <c r="EL1" s="101">
        <f t="shared" si="2"/>
        <v>46979</v>
      </c>
      <c r="EM1" s="101">
        <f t="shared" si="2"/>
        <v>46986</v>
      </c>
      <c r="EN1" s="101">
        <f t="shared" si="2"/>
        <v>46993</v>
      </c>
      <c r="EO1" s="101">
        <f t="shared" si="2"/>
        <v>47000</v>
      </c>
      <c r="EP1" s="101">
        <f t="shared" si="2"/>
        <v>47007</v>
      </c>
      <c r="EQ1" s="101">
        <f t="shared" si="2"/>
        <v>47014</v>
      </c>
      <c r="ER1" s="101">
        <f t="shared" si="2"/>
        <v>47021</v>
      </c>
      <c r="ES1" s="101">
        <f t="shared" si="2"/>
        <v>47028</v>
      </c>
      <c r="ET1" s="101">
        <f t="shared" si="2"/>
        <v>47035</v>
      </c>
      <c r="EU1" s="101">
        <f t="shared" si="2"/>
        <v>47042</v>
      </c>
      <c r="EV1" s="101">
        <f t="shared" si="2"/>
        <v>47049</v>
      </c>
      <c r="EW1" s="101">
        <f t="shared" si="2"/>
        <v>47056</v>
      </c>
      <c r="EX1" s="101">
        <f t="shared" si="2"/>
        <v>47063</v>
      </c>
      <c r="EY1" s="101">
        <f t="shared" si="2"/>
        <v>47070</v>
      </c>
      <c r="EZ1" s="101">
        <f t="shared" si="2"/>
        <v>47077</v>
      </c>
      <c r="FA1" s="101">
        <f t="shared" si="2"/>
        <v>47084</v>
      </c>
      <c r="FB1" s="101">
        <f t="shared" si="2"/>
        <v>47091</v>
      </c>
      <c r="FC1" s="101">
        <f t="shared" si="2"/>
        <v>47098</v>
      </c>
      <c r="FD1" s="101">
        <f t="shared" si="2"/>
        <v>47105</v>
      </c>
      <c r="FE1" s="101">
        <f t="shared" si="2"/>
        <v>47112</v>
      </c>
      <c r="FF1" s="101">
        <f t="shared" si="2"/>
        <v>47119</v>
      </c>
      <c r="FG1" s="101">
        <f t="shared" si="2"/>
        <v>47126</v>
      </c>
      <c r="FH1" s="101">
        <f t="shared" si="2"/>
        <v>47133</v>
      </c>
      <c r="FI1" s="101">
        <f t="shared" si="2"/>
        <v>47140</v>
      </c>
      <c r="FJ1" s="101">
        <f t="shared" si="2"/>
        <v>47147</v>
      </c>
      <c r="FK1" s="101">
        <f t="shared" si="2"/>
        <v>47154</v>
      </c>
      <c r="FL1" s="101">
        <f t="shared" si="2"/>
        <v>47161</v>
      </c>
      <c r="FM1" s="101">
        <f t="shared" si="2"/>
        <v>47168</v>
      </c>
      <c r="FN1" s="101">
        <f t="shared" si="2"/>
        <v>47175</v>
      </c>
      <c r="FO1" s="101">
        <f t="shared" si="2"/>
        <v>47182</v>
      </c>
      <c r="FP1" s="101">
        <f t="shared" si="2"/>
        <v>47189</v>
      </c>
      <c r="FQ1" s="101">
        <f t="shared" si="2"/>
        <v>47196</v>
      </c>
      <c r="FR1" s="101">
        <f t="shared" si="2"/>
        <v>47203</v>
      </c>
      <c r="FS1" s="101">
        <f t="shared" si="2"/>
        <v>47210</v>
      </c>
      <c r="FT1" s="101">
        <f t="shared" si="2"/>
        <v>47217</v>
      </c>
      <c r="FU1" s="101">
        <f t="shared" si="2"/>
        <v>47224</v>
      </c>
      <c r="FV1" s="101">
        <f t="shared" si="2"/>
        <v>47231</v>
      </c>
      <c r="FW1" s="101">
        <f t="shared" si="2"/>
        <v>47238</v>
      </c>
      <c r="FX1" s="101">
        <f t="shared" si="2"/>
        <v>47245</v>
      </c>
      <c r="FY1" s="101">
        <f t="shared" si="2"/>
        <v>47252</v>
      </c>
      <c r="FZ1" s="101">
        <f t="shared" si="2"/>
        <v>47259</v>
      </c>
      <c r="GA1" s="101">
        <f t="shared" si="2"/>
        <v>47266</v>
      </c>
      <c r="GB1" s="101">
        <f t="shared" si="2"/>
        <v>47273</v>
      </c>
      <c r="GC1" s="101">
        <f t="shared" si="2"/>
        <v>47280</v>
      </c>
      <c r="GD1" s="101">
        <f t="shared" si="2"/>
        <v>47287</v>
      </c>
      <c r="GE1" s="101">
        <f t="shared" si="2"/>
        <v>47294</v>
      </c>
      <c r="GF1" s="101">
        <f t="shared" si="2"/>
        <v>47301</v>
      </c>
      <c r="GG1" s="101">
        <f t="shared" si="2"/>
        <v>47308</v>
      </c>
      <c r="GH1" s="101">
        <f t="shared" si="2"/>
        <v>47315</v>
      </c>
      <c r="GI1" s="101">
        <f t="shared" si="2"/>
        <v>47322</v>
      </c>
      <c r="GJ1" s="101">
        <f t="shared" si="2"/>
        <v>47329</v>
      </c>
      <c r="GK1" s="101">
        <f t="shared" si="2"/>
        <v>47336</v>
      </c>
      <c r="GL1" s="101">
        <f t="shared" si="2"/>
        <v>47343</v>
      </c>
      <c r="GM1" s="101">
        <f t="shared" si="2"/>
        <v>47350</v>
      </c>
      <c r="GN1" s="101">
        <f t="shared" si="2"/>
        <v>47357</v>
      </c>
      <c r="GO1" s="101">
        <f t="shared" si="2"/>
        <v>47364</v>
      </c>
      <c r="GP1" s="101">
        <f t="shared" si="2"/>
        <v>47371</v>
      </c>
      <c r="GQ1" s="101">
        <f t="shared" si="2"/>
        <v>47378</v>
      </c>
      <c r="GR1" s="101">
        <f t="shared" si="2"/>
        <v>47385</v>
      </c>
      <c r="GS1" s="101">
        <f t="shared" ref="GS1:JD1" si="3">GR1+7</f>
        <v>47392</v>
      </c>
      <c r="GT1" s="101">
        <f t="shared" si="3"/>
        <v>47399</v>
      </c>
      <c r="GU1" s="101">
        <f t="shared" si="3"/>
        <v>47406</v>
      </c>
      <c r="GV1" s="101">
        <f t="shared" si="3"/>
        <v>47413</v>
      </c>
      <c r="GW1" s="101">
        <f t="shared" si="3"/>
        <v>47420</v>
      </c>
      <c r="GX1" s="101">
        <f t="shared" si="3"/>
        <v>47427</v>
      </c>
      <c r="GY1" s="101">
        <f t="shared" si="3"/>
        <v>47434</v>
      </c>
      <c r="GZ1" s="101">
        <f t="shared" si="3"/>
        <v>47441</v>
      </c>
      <c r="HA1" s="101">
        <f t="shared" si="3"/>
        <v>47448</v>
      </c>
      <c r="HB1" s="101">
        <f t="shared" si="3"/>
        <v>47455</v>
      </c>
      <c r="HC1" s="101">
        <f t="shared" si="3"/>
        <v>47462</v>
      </c>
      <c r="HD1" s="101">
        <f t="shared" si="3"/>
        <v>47469</v>
      </c>
      <c r="HE1" s="101">
        <f t="shared" si="3"/>
        <v>47476</v>
      </c>
      <c r="HF1" s="101">
        <f t="shared" si="3"/>
        <v>47483</v>
      </c>
      <c r="HG1" s="101">
        <f t="shared" si="3"/>
        <v>47490</v>
      </c>
      <c r="HH1" s="101">
        <f t="shared" si="3"/>
        <v>47497</v>
      </c>
      <c r="HI1" s="101">
        <f t="shared" si="3"/>
        <v>47504</v>
      </c>
      <c r="HJ1" s="101">
        <f t="shared" si="3"/>
        <v>47511</v>
      </c>
      <c r="HK1" s="101">
        <f t="shared" si="3"/>
        <v>47518</v>
      </c>
      <c r="HL1" s="101">
        <f t="shared" si="3"/>
        <v>47525</v>
      </c>
      <c r="HM1" s="101">
        <f t="shared" si="3"/>
        <v>47532</v>
      </c>
      <c r="HN1" s="101">
        <f t="shared" si="3"/>
        <v>47539</v>
      </c>
      <c r="HO1" s="101">
        <f t="shared" si="3"/>
        <v>47546</v>
      </c>
      <c r="HP1" s="101">
        <f t="shared" si="3"/>
        <v>47553</v>
      </c>
      <c r="HQ1" s="101">
        <f t="shared" si="3"/>
        <v>47560</v>
      </c>
      <c r="HR1" s="101">
        <f t="shared" si="3"/>
        <v>47567</v>
      </c>
      <c r="HS1" s="101">
        <f t="shared" si="3"/>
        <v>47574</v>
      </c>
      <c r="HT1" s="101">
        <f t="shared" si="3"/>
        <v>47581</v>
      </c>
      <c r="HU1" s="101">
        <f t="shared" si="3"/>
        <v>47588</v>
      </c>
      <c r="HV1" s="101">
        <f t="shared" si="3"/>
        <v>47595</v>
      </c>
      <c r="HW1" s="101">
        <f t="shared" si="3"/>
        <v>47602</v>
      </c>
      <c r="HX1" s="101">
        <f t="shared" si="3"/>
        <v>47609</v>
      </c>
      <c r="HY1" s="101">
        <f t="shared" si="3"/>
        <v>47616</v>
      </c>
      <c r="HZ1" s="101">
        <f t="shared" si="3"/>
        <v>47623</v>
      </c>
      <c r="IA1" s="101">
        <f t="shared" si="3"/>
        <v>47630</v>
      </c>
      <c r="IB1" s="101">
        <f t="shared" si="3"/>
        <v>47637</v>
      </c>
      <c r="IC1" s="101">
        <f t="shared" si="3"/>
        <v>47644</v>
      </c>
      <c r="ID1" s="101">
        <f t="shared" si="3"/>
        <v>47651</v>
      </c>
      <c r="IE1" s="101">
        <f t="shared" si="3"/>
        <v>47658</v>
      </c>
      <c r="IF1" s="101">
        <f t="shared" si="3"/>
        <v>47665</v>
      </c>
      <c r="IG1" s="101">
        <f t="shared" si="3"/>
        <v>47672</v>
      </c>
      <c r="IH1" s="101">
        <f t="shared" si="3"/>
        <v>47679</v>
      </c>
      <c r="II1" s="101">
        <f t="shared" si="3"/>
        <v>47686</v>
      </c>
      <c r="IJ1" s="101">
        <f t="shared" si="3"/>
        <v>47693</v>
      </c>
      <c r="IK1" s="101">
        <f t="shared" si="3"/>
        <v>47700</v>
      </c>
      <c r="IL1" s="101">
        <f t="shared" si="3"/>
        <v>47707</v>
      </c>
      <c r="IM1" s="101">
        <f t="shared" si="3"/>
        <v>47714</v>
      </c>
      <c r="IN1" s="101">
        <f t="shared" si="3"/>
        <v>47721</v>
      </c>
      <c r="IO1" s="101">
        <f t="shared" si="3"/>
        <v>47728</v>
      </c>
      <c r="IP1" s="101">
        <f t="shared" si="3"/>
        <v>47735</v>
      </c>
      <c r="IQ1" s="101">
        <f t="shared" si="3"/>
        <v>47742</v>
      </c>
      <c r="IR1" s="101">
        <f t="shared" si="3"/>
        <v>47749</v>
      </c>
      <c r="IS1" s="101">
        <f t="shared" si="3"/>
        <v>47756</v>
      </c>
      <c r="IT1" s="101">
        <f t="shared" si="3"/>
        <v>47763</v>
      </c>
      <c r="IU1" s="101">
        <f t="shared" si="3"/>
        <v>47770</v>
      </c>
      <c r="IV1" s="101">
        <f t="shared" si="3"/>
        <v>47777</v>
      </c>
      <c r="IW1" s="101">
        <f t="shared" si="3"/>
        <v>47784</v>
      </c>
      <c r="IX1" s="101">
        <f t="shared" si="3"/>
        <v>47791</v>
      </c>
      <c r="IY1" s="101">
        <f t="shared" si="3"/>
        <v>47798</v>
      </c>
      <c r="IZ1" s="101">
        <f t="shared" si="3"/>
        <v>47805</v>
      </c>
      <c r="JA1" s="101">
        <f t="shared" si="3"/>
        <v>47812</v>
      </c>
      <c r="JB1" s="101">
        <f t="shared" si="3"/>
        <v>47819</v>
      </c>
      <c r="JC1" s="101">
        <f t="shared" si="3"/>
        <v>47826</v>
      </c>
      <c r="JD1" s="101">
        <f t="shared" si="3"/>
        <v>47833</v>
      </c>
      <c r="JE1" s="101">
        <f t="shared" ref="JE1:KE1" si="4">JD1+7</f>
        <v>47840</v>
      </c>
      <c r="JF1" s="101">
        <f t="shared" si="4"/>
        <v>47847</v>
      </c>
      <c r="JG1" s="101">
        <f t="shared" si="4"/>
        <v>47854</v>
      </c>
      <c r="JH1" s="101">
        <f t="shared" si="4"/>
        <v>47861</v>
      </c>
      <c r="JI1" s="101">
        <f t="shared" si="4"/>
        <v>47868</v>
      </c>
      <c r="JJ1" s="101">
        <f t="shared" si="4"/>
        <v>47875</v>
      </c>
      <c r="JK1" s="101">
        <f t="shared" si="4"/>
        <v>47882</v>
      </c>
      <c r="JL1" s="101">
        <f t="shared" si="4"/>
        <v>47889</v>
      </c>
      <c r="JM1" s="101">
        <f t="shared" si="4"/>
        <v>47896</v>
      </c>
      <c r="JN1" s="101">
        <f t="shared" si="4"/>
        <v>47903</v>
      </c>
      <c r="JO1" s="101">
        <f t="shared" si="4"/>
        <v>47910</v>
      </c>
      <c r="JP1" s="101">
        <f t="shared" si="4"/>
        <v>47917</v>
      </c>
      <c r="JQ1" s="101">
        <f t="shared" si="4"/>
        <v>47924</v>
      </c>
      <c r="JR1" s="101">
        <f t="shared" si="4"/>
        <v>47931</v>
      </c>
      <c r="JS1" s="101">
        <f t="shared" si="4"/>
        <v>47938</v>
      </c>
      <c r="JT1" s="101">
        <f t="shared" si="4"/>
        <v>47945</v>
      </c>
      <c r="JU1" s="101">
        <f t="shared" si="4"/>
        <v>47952</v>
      </c>
      <c r="JV1" s="101">
        <f t="shared" si="4"/>
        <v>47959</v>
      </c>
      <c r="JW1" s="101">
        <f t="shared" si="4"/>
        <v>47966</v>
      </c>
      <c r="JX1" s="101">
        <f t="shared" si="4"/>
        <v>47973</v>
      </c>
      <c r="JY1" s="101">
        <f t="shared" si="4"/>
        <v>47980</v>
      </c>
      <c r="JZ1" s="101">
        <f t="shared" si="4"/>
        <v>47987</v>
      </c>
      <c r="KA1" s="101">
        <f t="shared" si="4"/>
        <v>47994</v>
      </c>
      <c r="KB1" s="101">
        <f t="shared" si="4"/>
        <v>48001</v>
      </c>
      <c r="KC1" s="101">
        <f t="shared" si="4"/>
        <v>48008</v>
      </c>
      <c r="KD1" s="101">
        <f t="shared" si="4"/>
        <v>48015</v>
      </c>
      <c r="KE1" s="101">
        <f t="shared" si="4"/>
        <v>48022</v>
      </c>
    </row>
    <row r="2" spans="1:769" s="102" customFormat="1">
      <c r="A2" s="777" t="s">
        <v>398</v>
      </c>
      <c r="B2" s="103"/>
      <c r="C2" s="104" t="s">
        <v>281</v>
      </c>
      <c r="D2" s="104" t="s">
        <v>281</v>
      </c>
      <c r="E2" s="104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  <c r="BU2" s="105"/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  <c r="DV2" s="105"/>
      <c r="DW2" s="105"/>
      <c r="DX2" s="105"/>
      <c r="DY2" s="105"/>
      <c r="DZ2" s="105"/>
      <c r="EA2" s="105"/>
      <c r="EB2" s="105"/>
      <c r="EC2" s="105"/>
      <c r="ED2" s="105"/>
      <c r="EE2" s="105"/>
      <c r="EF2" s="105"/>
      <c r="EG2" s="105"/>
      <c r="EH2" s="105"/>
      <c r="EI2" s="105"/>
      <c r="EJ2" s="105"/>
      <c r="EK2" s="105"/>
      <c r="EL2" s="105"/>
      <c r="EM2" s="105"/>
      <c r="EN2" s="105"/>
      <c r="EO2" s="105"/>
      <c r="EP2" s="105"/>
      <c r="EQ2" s="105"/>
      <c r="ER2" s="105"/>
      <c r="ES2" s="105"/>
      <c r="ET2" s="105"/>
      <c r="EU2" s="105"/>
      <c r="EV2" s="105"/>
      <c r="EW2" s="105"/>
      <c r="EX2" s="105"/>
      <c r="EY2" s="105"/>
      <c r="EZ2" s="105"/>
      <c r="FA2" s="105"/>
      <c r="FB2" s="105"/>
      <c r="FC2" s="105"/>
      <c r="FD2" s="105"/>
      <c r="FE2" s="105"/>
      <c r="FF2" s="105"/>
      <c r="FG2" s="105"/>
      <c r="FH2" s="105"/>
      <c r="FI2" s="105"/>
      <c r="FJ2" s="105"/>
      <c r="FK2" s="105"/>
      <c r="FL2" s="105"/>
      <c r="FM2" s="105"/>
      <c r="FN2" s="105"/>
      <c r="FO2" s="105"/>
      <c r="FP2" s="105"/>
      <c r="FQ2" s="105"/>
      <c r="FR2" s="105"/>
      <c r="FS2" s="105"/>
      <c r="FT2" s="105"/>
      <c r="FU2" s="105"/>
      <c r="FV2" s="105"/>
      <c r="FW2" s="105"/>
      <c r="FX2" s="105"/>
      <c r="FY2" s="105"/>
      <c r="FZ2" s="105"/>
      <c r="GA2" s="105"/>
      <c r="GB2" s="105"/>
      <c r="GC2" s="105"/>
      <c r="GD2" s="105"/>
      <c r="GE2" s="105"/>
      <c r="GF2" s="105"/>
      <c r="GG2" s="105"/>
      <c r="GH2" s="105"/>
      <c r="GI2" s="105"/>
      <c r="GJ2" s="105"/>
      <c r="GK2" s="105"/>
      <c r="GL2" s="105"/>
      <c r="GM2" s="105"/>
      <c r="GN2" s="105"/>
      <c r="GO2" s="105"/>
      <c r="GP2" s="105"/>
      <c r="GQ2" s="105"/>
      <c r="GR2" s="105"/>
      <c r="GS2" s="105"/>
      <c r="GT2" s="105"/>
      <c r="GU2" s="105"/>
      <c r="GV2" s="105"/>
      <c r="GW2" s="105"/>
      <c r="GX2" s="105"/>
      <c r="GY2" s="105"/>
      <c r="GZ2" s="105"/>
      <c r="HA2" s="105"/>
      <c r="HB2" s="105"/>
      <c r="HC2" s="105"/>
      <c r="HD2" s="105"/>
      <c r="HE2" s="105"/>
      <c r="HF2" s="105"/>
      <c r="HG2" s="105"/>
      <c r="HH2" s="105"/>
      <c r="HI2" s="105"/>
      <c r="HJ2" s="105"/>
      <c r="HK2" s="105"/>
      <c r="HL2" s="105"/>
      <c r="HM2" s="105"/>
      <c r="HN2" s="105"/>
      <c r="HO2" s="105"/>
      <c r="HP2" s="105"/>
      <c r="HQ2" s="105"/>
      <c r="HR2" s="105"/>
      <c r="HS2" s="105"/>
      <c r="HT2" s="105"/>
      <c r="HU2" s="105"/>
      <c r="HV2" s="105"/>
      <c r="HW2" s="105"/>
      <c r="HX2" s="105"/>
      <c r="HY2" s="105"/>
      <c r="HZ2" s="105"/>
      <c r="IA2" s="105"/>
      <c r="IB2" s="105"/>
      <c r="IC2" s="105"/>
      <c r="ID2" s="105"/>
      <c r="IE2" s="105"/>
      <c r="IF2" s="105"/>
      <c r="IG2" s="105"/>
      <c r="IH2" s="105"/>
      <c r="II2" s="105"/>
      <c r="IJ2" s="105"/>
      <c r="IK2" s="105"/>
      <c r="IL2" s="105"/>
      <c r="IM2" s="105"/>
      <c r="IN2" s="105"/>
      <c r="IO2" s="105"/>
      <c r="IP2" s="105"/>
      <c r="IQ2" s="105"/>
      <c r="IR2" s="105"/>
      <c r="IS2" s="105"/>
      <c r="IT2" s="105"/>
      <c r="IU2" s="105"/>
      <c r="IV2" s="105"/>
      <c r="IW2" s="105"/>
      <c r="IX2" s="105"/>
      <c r="IY2" s="105"/>
      <c r="IZ2" s="105"/>
      <c r="JA2" s="105"/>
      <c r="JB2" s="105"/>
      <c r="JC2" s="105"/>
      <c r="JD2" s="105"/>
      <c r="JE2" s="105"/>
      <c r="JF2" s="105"/>
      <c r="JG2" s="105"/>
      <c r="JH2" s="105"/>
      <c r="JI2" s="105"/>
      <c r="JJ2" s="105"/>
      <c r="JK2" s="105"/>
      <c r="JL2" s="105"/>
      <c r="JM2" s="105"/>
      <c r="JN2" s="105"/>
      <c r="JO2" s="105"/>
      <c r="JP2" s="105"/>
      <c r="JQ2" s="105"/>
      <c r="JR2" s="105"/>
      <c r="JS2" s="105"/>
      <c r="JT2" s="105"/>
      <c r="JU2" s="105"/>
      <c r="JV2" s="105"/>
      <c r="JW2" s="105"/>
      <c r="JX2" s="105"/>
      <c r="JY2" s="105"/>
      <c r="JZ2" s="105"/>
      <c r="KA2" s="105"/>
      <c r="KB2" s="105"/>
      <c r="KC2" s="105"/>
      <c r="KD2" s="105"/>
      <c r="KE2" s="105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</row>
    <row r="3" spans="1:769">
      <c r="A3" s="778"/>
      <c r="B3" s="106" t="s">
        <v>226</v>
      </c>
      <c r="C3" s="107">
        <f>'Revenue Tracking'!D4</f>
        <v>2045835.2199856236</v>
      </c>
      <c r="D3" s="107">
        <f>SUM(F3:KE3)</f>
        <v>2045835.2199856236</v>
      </c>
      <c r="E3" s="108"/>
      <c r="F3" s="109">
        <f>SUMIFS('Revenue Tracking'!$F$13:$F$19, 'Revenue Tracking'!$H$13:$H$19, "&gt;="&amp;F1,'Revenue Tracking'!$H$13:$H$19, "&lt;"&amp;G1)</f>
        <v>0</v>
      </c>
      <c r="G3" s="109">
        <f>SUMIFS('Revenue Tracking'!$F$13:$F$19, 'Revenue Tracking'!$H$13:$H$19, "&gt;="&amp;G1,'Revenue Tracking'!$H$13:$H$19, "&lt;"&amp;H1)</f>
        <v>0</v>
      </c>
      <c r="H3" s="109">
        <f>SUMIFS('Revenue Tracking'!$F$13:$F$19, 'Revenue Tracking'!$H$13:$H$19, "&gt;="&amp;H1,'Revenue Tracking'!$H$13:$H$19, "&lt;"&amp;I1)</f>
        <v>0</v>
      </c>
      <c r="I3" s="109">
        <f>SUMIFS('Revenue Tracking'!$F$13:$F$19, 'Revenue Tracking'!$H$13:$H$19, "&gt;="&amp;I1,'Revenue Tracking'!$H$13:$H$19, "&lt;"&amp;J1)</f>
        <v>0</v>
      </c>
      <c r="J3" s="109">
        <f>SUMIFS('Revenue Tracking'!$F$13:$F$19, 'Revenue Tracking'!$H$13:$H$19, "&gt;="&amp;J1,'Revenue Tracking'!$H$13:$H$19, "&lt;"&amp;K1)</f>
        <v>0</v>
      </c>
      <c r="K3" s="109">
        <f>SUMIFS('Revenue Tracking'!$F$13:$F$19, 'Revenue Tracking'!$H$13:$H$19, "&gt;="&amp;K1,'Revenue Tracking'!$H$13:$H$19, "&lt;"&amp;L1)</f>
        <v>0</v>
      </c>
      <c r="L3" s="109">
        <f>SUMIFS('Revenue Tracking'!$F$13:$F$19, 'Revenue Tracking'!$H$13:$H$19, "&gt;="&amp;L1,'Revenue Tracking'!$H$13:$H$19, "&lt;"&amp;M1)</f>
        <v>0</v>
      </c>
      <c r="M3" s="109">
        <f>SUMIFS('Revenue Tracking'!$F$13:$F$19, 'Revenue Tracking'!$H$13:$H$19, "&gt;="&amp;M1,'Revenue Tracking'!$H$13:$H$19, "&lt;"&amp;N1)</f>
        <v>0</v>
      </c>
      <c r="N3" s="109">
        <f>SUMIFS('Revenue Tracking'!$F$13:$F$19, 'Revenue Tracking'!$H$13:$H$19, "&gt;="&amp;N1,'Revenue Tracking'!$H$13:$H$19, "&lt;"&amp;O1)</f>
        <v>0</v>
      </c>
      <c r="O3" s="109">
        <f>SUMIFS('Revenue Tracking'!$F$13:$F$19, 'Revenue Tracking'!$H$13:$H$19, "&gt;="&amp;O1,'Revenue Tracking'!$H$13:$H$19, "&lt;"&amp;P1)</f>
        <v>0</v>
      </c>
      <c r="P3" s="109">
        <f>SUMIFS('Revenue Tracking'!$F$13:$F$19, 'Revenue Tracking'!$H$13:$H$19, "&gt;="&amp;P1,'Revenue Tracking'!$H$13:$H$19, "&lt;"&amp;Q1)</f>
        <v>0</v>
      </c>
      <c r="Q3" s="109">
        <f>SUMIFS('Revenue Tracking'!$F$13:$F$19, 'Revenue Tracking'!$H$13:$H$19, "&gt;="&amp;Q1,'Revenue Tracking'!$H$13:$H$19, "&lt;"&amp;R1)</f>
        <v>0</v>
      </c>
      <c r="R3" s="109">
        <f>SUMIFS('Revenue Tracking'!$F$13:$F$19, 'Revenue Tracking'!$H$13:$H$19, "&gt;="&amp;R1,'Revenue Tracking'!$H$13:$H$19, "&lt;"&amp;S1)</f>
        <v>1022917.6099928118</v>
      </c>
      <c r="S3" s="109">
        <f>SUMIFS('Revenue Tracking'!$F$13:$F$19, 'Revenue Tracking'!$H$13:$H$19, "&gt;="&amp;S1,'Revenue Tracking'!$H$13:$H$19, "&lt;"&amp;T1)</f>
        <v>0</v>
      </c>
      <c r="T3" s="109">
        <f>SUMIFS('Revenue Tracking'!$F$13:$F$19, 'Revenue Tracking'!$H$13:$H$19, "&gt;="&amp;T1,'Revenue Tracking'!$H$13:$H$19, "&lt;"&amp;U1)</f>
        <v>716042.32699496835</v>
      </c>
      <c r="U3" s="109">
        <f>SUMIFS('Revenue Tracking'!$F$13:$F$19, 'Revenue Tracking'!$H$13:$H$19, "&gt;="&amp;U1,'Revenue Tracking'!$H$13:$H$19, "&lt;"&amp;V1)</f>
        <v>0</v>
      </c>
      <c r="V3" s="109">
        <f>SUMIFS('Revenue Tracking'!$F$13:$F$19, 'Revenue Tracking'!$H$13:$H$19, "&gt;="&amp;V1,'Revenue Tracking'!$H$13:$H$19, "&lt;"&amp;W1)</f>
        <v>0</v>
      </c>
      <c r="W3" s="109">
        <f>SUMIFS('Revenue Tracking'!$F$13:$F$19, 'Revenue Tracking'!$H$13:$H$19, "&gt;="&amp;W1,'Revenue Tracking'!$H$13:$H$19, "&lt;"&amp;X1)</f>
        <v>0</v>
      </c>
      <c r="X3" s="109">
        <f>SUMIFS('Revenue Tracking'!$F$13:$F$19, 'Revenue Tracking'!$H$13:$H$19, "&gt;="&amp;X1,'Revenue Tracking'!$H$13:$H$19, "&lt;"&amp;Y1)</f>
        <v>0</v>
      </c>
      <c r="Y3" s="109">
        <f>SUMIFS('Revenue Tracking'!$F$13:$F$19, 'Revenue Tracking'!$H$13:$H$19, "&gt;="&amp;Y1,'Revenue Tracking'!$H$13:$H$19, "&lt;"&amp;Z1)</f>
        <v>204583.52199856238</v>
      </c>
      <c r="Z3" s="109">
        <f>SUMIFS('Revenue Tracking'!$F$13:$F$19, 'Revenue Tracking'!$H$13:$H$19, "&gt;="&amp;Z1,'Revenue Tracking'!$H$13:$H$19, "&lt;"&amp;AA1)</f>
        <v>0</v>
      </c>
      <c r="AA3" s="109">
        <f>SUMIFS('Revenue Tracking'!$F$13:$F$19, 'Revenue Tracking'!$H$13:$H$19, "&gt;="&amp;AA1,'Revenue Tracking'!$H$13:$H$19, "&lt;"&amp;AB1)</f>
        <v>0</v>
      </c>
      <c r="AB3" s="109">
        <f>SUMIFS('Revenue Tracking'!$F$13:$F$19, 'Revenue Tracking'!$H$13:$H$19, "&gt;="&amp;AB1,'Revenue Tracking'!$H$13:$H$19, "&lt;"&amp;AC1)</f>
        <v>0</v>
      </c>
      <c r="AC3" s="109">
        <f>SUMIFS('Revenue Tracking'!$F$13:$F$19, 'Revenue Tracking'!$H$13:$H$19, "&gt;="&amp;AC1,'Revenue Tracking'!$H$13:$H$19, "&lt;"&amp;AD1)</f>
        <v>0</v>
      </c>
      <c r="AD3" s="109">
        <f>SUMIFS('Revenue Tracking'!$F$13:$F$19, 'Revenue Tracking'!$H$13:$H$19, "&gt;="&amp;AD1,'Revenue Tracking'!$H$13:$H$19, "&lt;"&amp;AE1)</f>
        <v>0</v>
      </c>
      <c r="AE3" s="109">
        <f>SUMIFS('Revenue Tracking'!$F$13:$F$19, 'Revenue Tracking'!$H$13:$H$19, "&gt;="&amp;AE1,'Revenue Tracking'!$H$13:$H$19, "&lt;"&amp;AF1)</f>
        <v>0</v>
      </c>
      <c r="AF3" s="109">
        <f>SUMIFS('Revenue Tracking'!$F$13:$F$19, 'Revenue Tracking'!$H$13:$H$19, "&gt;="&amp;AF1,'Revenue Tracking'!$H$13:$H$19, "&lt;"&amp;AG1)</f>
        <v>0</v>
      </c>
      <c r="AG3" s="109">
        <f>SUMIFS('Revenue Tracking'!$F$13:$F$19, 'Revenue Tracking'!$H$13:$H$19, "&gt;="&amp;AG1,'Revenue Tracking'!$H$13:$H$19, "&lt;"&amp;AH1)</f>
        <v>0</v>
      </c>
      <c r="AH3" s="109">
        <f>SUMIFS('Revenue Tracking'!$F$13:$F$19, 'Revenue Tracking'!$H$13:$H$19, "&gt;="&amp;AH1,'Revenue Tracking'!$H$13:$H$19, "&lt;"&amp;AI1)</f>
        <v>0</v>
      </c>
      <c r="AI3" s="109">
        <f>SUMIFS('Revenue Tracking'!$F$13:$F$19, 'Revenue Tracking'!$H$13:$H$19, "&gt;="&amp;AI1,'Revenue Tracking'!$H$13:$H$19, "&lt;"&amp;AJ1)</f>
        <v>0</v>
      </c>
      <c r="AJ3" s="109">
        <f>SUMIFS('Revenue Tracking'!$F$13:$F$19, 'Revenue Tracking'!$H$13:$H$19, "&gt;="&amp;AJ1,'Revenue Tracking'!$H$13:$H$19, "&lt;"&amp;AK1)</f>
        <v>0</v>
      </c>
      <c r="AK3" s="109">
        <f>SUMIFS('Revenue Tracking'!$F$13:$F$19, 'Revenue Tracking'!$H$13:$H$19, "&gt;="&amp;AK1,'Revenue Tracking'!$H$13:$H$19, "&lt;"&amp;AL1)</f>
        <v>0</v>
      </c>
      <c r="AL3" s="109">
        <f>SUMIFS('Revenue Tracking'!$F$13:$F$19, 'Revenue Tracking'!$H$13:$H$19, "&gt;="&amp;AL1,'Revenue Tracking'!$H$13:$H$19, "&lt;"&amp;AM1)</f>
        <v>0</v>
      </c>
      <c r="AM3" s="109">
        <f>SUMIFS('Revenue Tracking'!$F$13:$F$19, 'Revenue Tracking'!$H$13:$H$19, "&gt;="&amp;AM1,'Revenue Tracking'!$H$13:$H$19, "&lt;"&amp;AN1)</f>
        <v>0</v>
      </c>
      <c r="AN3" s="109">
        <f>SUMIFS('Revenue Tracking'!$F$13:$F$19, 'Revenue Tracking'!$H$13:$H$19, "&gt;="&amp;AN1,'Revenue Tracking'!$H$13:$H$19, "&lt;"&amp;AO1)</f>
        <v>0</v>
      </c>
      <c r="AO3" s="109">
        <f>SUMIFS('Revenue Tracking'!$F$13:$F$19, 'Revenue Tracking'!$H$13:$H$19, "&gt;="&amp;AO1,'Revenue Tracking'!$H$13:$H$19, "&lt;"&amp;AP1)</f>
        <v>0</v>
      </c>
      <c r="AP3" s="109">
        <f>SUMIFS('Revenue Tracking'!$F$13:$F$19, 'Revenue Tracking'!$H$13:$H$19, "&gt;="&amp;AP1,'Revenue Tracking'!$H$13:$H$19, "&lt;"&amp;AQ1)</f>
        <v>0</v>
      </c>
      <c r="AQ3" s="109">
        <f>SUMIFS('Revenue Tracking'!$F$13:$F$19, 'Revenue Tracking'!$H$13:$H$19, "&gt;="&amp;AQ1,'Revenue Tracking'!$H$13:$H$19, "&lt;"&amp;AR1)</f>
        <v>0</v>
      </c>
      <c r="AR3" s="109">
        <f>SUMIFS('Revenue Tracking'!$F$13:$F$19, 'Revenue Tracking'!$H$13:$H$19, "&gt;="&amp;AR1,'Revenue Tracking'!$H$13:$H$19, "&lt;"&amp;AS1)</f>
        <v>0</v>
      </c>
      <c r="AS3" s="109">
        <f>SUMIFS('Revenue Tracking'!$F$13:$F$19, 'Revenue Tracking'!$H$13:$H$19, "&gt;="&amp;AS1,'Revenue Tracking'!$H$13:$H$19, "&lt;"&amp;AT1)</f>
        <v>0</v>
      </c>
      <c r="AT3" s="109">
        <f>SUMIFS('Revenue Tracking'!$F$13:$F$19, 'Revenue Tracking'!$H$13:$H$19, "&gt;="&amp;AT1,'Revenue Tracking'!$H$13:$H$19, "&lt;"&amp;AU1)</f>
        <v>0</v>
      </c>
      <c r="AU3" s="109">
        <f>SUMIFS('Revenue Tracking'!$F$13:$F$19, 'Revenue Tracking'!$H$13:$H$19, "&gt;="&amp;AU1,'Revenue Tracking'!$H$13:$H$19, "&lt;"&amp;AV1)</f>
        <v>0</v>
      </c>
      <c r="AV3" s="109">
        <f>SUMIFS('Revenue Tracking'!$F$13:$F$19, 'Revenue Tracking'!$H$13:$H$19, "&gt;="&amp;AV1,'Revenue Tracking'!$H$13:$H$19, "&lt;"&amp;AW1)</f>
        <v>0</v>
      </c>
      <c r="AW3" s="109">
        <f>SUMIFS('Revenue Tracking'!$F$13:$F$19, 'Revenue Tracking'!$H$13:$H$19, "&gt;="&amp;AW1,'Revenue Tracking'!$H$13:$H$19, "&lt;"&amp;AX1)</f>
        <v>0</v>
      </c>
      <c r="AX3" s="109">
        <f>SUMIFS('Revenue Tracking'!$F$13:$F$19, 'Revenue Tracking'!$H$13:$H$19, "&gt;="&amp;AX1,'Revenue Tracking'!$H$13:$H$19, "&lt;"&amp;AY1)</f>
        <v>0</v>
      </c>
      <c r="AY3" s="109">
        <f>SUMIFS('Revenue Tracking'!$F$13:$F$19, 'Revenue Tracking'!$H$13:$H$19, "&gt;="&amp;AY1,'Revenue Tracking'!$H$13:$H$19, "&lt;"&amp;AZ1)</f>
        <v>0</v>
      </c>
      <c r="AZ3" s="109">
        <f>SUMIFS('Revenue Tracking'!$F$13:$F$19, 'Revenue Tracking'!$H$13:$H$19, "&gt;="&amp;AZ1,'Revenue Tracking'!$H$13:$H$19, "&lt;"&amp;BA1)</f>
        <v>0</v>
      </c>
      <c r="BA3" s="109">
        <f>SUMIFS('Revenue Tracking'!$F$13:$F$19, 'Revenue Tracking'!$H$13:$H$19, "&gt;="&amp;BA1,'Revenue Tracking'!$H$13:$H$19, "&lt;"&amp;BB1)</f>
        <v>0</v>
      </c>
      <c r="BB3" s="109">
        <f>SUMIFS('Revenue Tracking'!$F$13:$F$19, 'Revenue Tracking'!$H$13:$H$19, "&gt;="&amp;BB1,'Revenue Tracking'!$H$13:$H$19, "&lt;"&amp;BC1)</f>
        <v>0</v>
      </c>
      <c r="BC3" s="109">
        <f>SUMIFS('Revenue Tracking'!$F$13:$F$19, 'Revenue Tracking'!$H$13:$H$19, "&gt;="&amp;BC1,'Revenue Tracking'!$H$13:$H$19, "&lt;"&amp;BD1)</f>
        <v>0</v>
      </c>
      <c r="BD3" s="109">
        <f>SUMIFS('Revenue Tracking'!$F$13:$F$19, 'Revenue Tracking'!$H$13:$H$19, "&gt;="&amp;BD1,'Revenue Tracking'!$H$13:$H$19, "&lt;"&amp;BE1)</f>
        <v>0</v>
      </c>
      <c r="BE3" s="109">
        <f>SUMIFS('Revenue Tracking'!$F$13:$F$19, 'Revenue Tracking'!$H$13:$H$19, "&gt;="&amp;BE1,'Revenue Tracking'!$H$13:$H$19, "&lt;"&amp;BF1)</f>
        <v>0</v>
      </c>
      <c r="BF3" s="109">
        <f>SUMIFS('Revenue Tracking'!$F$13:$F$19, 'Revenue Tracking'!$H$13:$H$19, "&gt;="&amp;BF1,'Revenue Tracking'!$H$13:$H$19, "&lt;"&amp;BG1)</f>
        <v>0</v>
      </c>
      <c r="BG3" s="109">
        <f>SUMIFS('Revenue Tracking'!$F$13:$F$19, 'Revenue Tracking'!$H$13:$H$19, "&gt;="&amp;BG1,'Revenue Tracking'!$H$13:$H$19, "&lt;"&amp;BH1)</f>
        <v>0</v>
      </c>
      <c r="BH3" s="109">
        <f>SUMIFS('Revenue Tracking'!$F$13:$F$19, 'Revenue Tracking'!$H$13:$H$19, "&gt;="&amp;BH1,'Revenue Tracking'!$H$13:$H$19, "&lt;"&amp;BI1)</f>
        <v>0</v>
      </c>
      <c r="BI3" s="109">
        <f>SUMIFS('Revenue Tracking'!$F$13:$F$19, 'Revenue Tracking'!$H$13:$H$19, "&gt;="&amp;BI1,'Revenue Tracking'!$H$13:$H$19, "&lt;"&amp;BJ1)</f>
        <v>0</v>
      </c>
      <c r="BJ3" s="109">
        <f>SUMIFS('Revenue Tracking'!$F$13:$F$19, 'Revenue Tracking'!$H$13:$H$19, "&gt;="&amp;BJ1,'Revenue Tracking'!$H$13:$H$19, "&lt;"&amp;BK1)</f>
        <v>0</v>
      </c>
      <c r="BK3" s="109">
        <f>SUMIFS('Revenue Tracking'!$F$13:$F$19, 'Revenue Tracking'!$H$13:$H$19, "&gt;="&amp;BK1,'Revenue Tracking'!$H$13:$H$19, "&lt;"&amp;BL1)</f>
        <v>0</v>
      </c>
      <c r="BL3" s="109">
        <f>SUMIFS('Revenue Tracking'!$F$13:$F$19, 'Revenue Tracking'!$H$13:$H$19, "&gt;="&amp;BL1,'Revenue Tracking'!$H$13:$H$19, "&lt;"&amp;BM1)</f>
        <v>0</v>
      </c>
      <c r="BM3" s="109">
        <f>SUMIFS('Revenue Tracking'!$F$13:$F$19, 'Revenue Tracking'!$H$13:$H$19, "&gt;="&amp;BM1,'Revenue Tracking'!$H$13:$H$19, "&lt;"&amp;BN1)</f>
        <v>0</v>
      </c>
      <c r="BN3" s="109">
        <f>SUMIFS('Revenue Tracking'!$F$13:$F$19, 'Revenue Tracking'!$H$13:$H$19, "&gt;="&amp;BN1,'Revenue Tracking'!$H$13:$H$19, "&lt;"&amp;BO1)</f>
        <v>0</v>
      </c>
      <c r="BO3" s="109">
        <f>SUMIFS('Revenue Tracking'!$F$13:$F$19, 'Revenue Tracking'!$H$13:$H$19, "&gt;="&amp;BO1,'Revenue Tracking'!$H$13:$H$19, "&lt;"&amp;BP1)</f>
        <v>0</v>
      </c>
      <c r="BP3" s="109">
        <f>SUMIFS('Revenue Tracking'!$F$13:$F$19, 'Revenue Tracking'!$H$13:$H$19, "&gt;="&amp;BP1,'Revenue Tracking'!$H$13:$H$19, "&lt;"&amp;BQ1)</f>
        <v>0</v>
      </c>
      <c r="BQ3" s="109">
        <f>SUMIFS('Revenue Tracking'!$F$13:$F$19, 'Revenue Tracking'!$H$13:$H$19, "&gt;="&amp;BQ1,'Revenue Tracking'!$H$13:$H$19, "&lt;"&amp;BR1)</f>
        <v>0</v>
      </c>
      <c r="BR3" s="109">
        <f>SUMIFS('Revenue Tracking'!$F$13:$F$19, 'Revenue Tracking'!$H$13:$H$19, "&gt;="&amp;BR1,'Revenue Tracking'!$H$13:$H$19, "&lt;"&amp;BS1)</f>
        <v>0</v>
      </c>
      <c r="BS3" s="109">
        <f>SUMIFS('Revenue Tracking'!$F$13:$F$19, 'Revenue Tracking'!$H$13:$H$19, "&gt;="&amp;BS1,'Revenue Tracking'!$H$13:$H$19, "&lt;"&amp;BT1)</f>
        <v>0</v>
      </c>
      <c r="BT3" s="109">
        <f>SUMIFS('Revenue Tracking'!$F$13:$F$19, 'Revenue Tracking'!$H$13:$H$19, "&gt;="&amp;BT1,'Revenue Tracking'!$H$13:$H$19, "&lt;"&amp;BU1)</f>
        <v>0</v>
      </c>
      <c r="BU3" s="109">
        <f>SUMIFS('Revenue Tracking'!$F$13:$F$19, 'Revenue Tracking'!$H$13:$H$19, "&gt;="&amp;BU1,'Revenue Tracking'!$H$13:$H$19, "&lt;"&amp;BV1)</f>
        <v>0</v>
      </c>
      <c r="BV3" s="109">
        <f>SUMIFS('Revenue Tracking'!$F$13:$F$19, 'Revenue Tracking'!$H$13:$H$19, "&gt;="&amp;BV1,'Revenue Tracking'!$H$13:$H$19, "&lt;"&amp;BW1)</f>
        <v>0</v>
      </c>
      <c r="BW3" s="109">
        <f>SUMIFS('Revenue Tracking'!$F$13:$F$19, 'Revenue Tracking'!$H$13:$H$19, "&gt;="&amp;BW1,'Revenue Tracking'!$H$13:$H$19, "&lt;"&amp;BX1)</f>
        <v>0</v>
      </c>
      <c r="BX3" s="109">
        <f>SUMIFS('Revenue Tracking'!$F$13:$F$19, 'Revenue Tracking'!$H$13:$H$19, "&gt;="&amp;BX1,'Revenue Tracking'!$H$13:$H$19, "&lt;"&amp;BY1)</f>
        <v>0</v>
      </c>
      <c r="BY3" s="109">
        <f>SUMIFS('Revenue Tracking'!$F$13:$F$19, 'Revenue Tracking'!$H$13:$H$19, "&gt;="&amp;BY1,'Revenue Tracking'!$H$13:$H$19, "&lt;"&amp;BZ1)</f>
        <v>0</v>
      </c>
      <c r="BZ3" s="109">
        <f>SUMIFS('Revenue Tracking'!$F$13:$F$19, 'Revenue Tracking'!$H$13:$H$19, "&gt;="&amp;BZ1,'Revenue Tracking'!$H$13:$H$19, "&lt;"&amp;CA1)</f>
        <v>102291.76099928119</v>
      </c>
      <c r="CA3" s="109">
        <f>SUMIFS('Revenue Tracking'!$F$13:$F$19, 'Revenue Tracking'!$H$13:$H$19, "&gt;="&amp;CA1,'Revenue Tracking'!$H$13:$H$19, "&lt;"&amp;CB1)</f>
        <v>0</v>
      </c>
      <c r="CB3" s="109">
        <f>SUMIFS('Revenue Tracking'!$F$13:$F$19, 'Revenue Tracking'!$H$13:$H$19, "&gt;="&amp;CB1,'Revenue Tracking'!$H$13:$H$19, "&lt;"&amp;CC1)</f>
        <v>0</v>
      </c>
      <c r="CC3" s="109">
        <f>SUMIFS('Revenue Tracking'!$F$13:$F$19, 'Revenue Tracking'!$H$13:$H$19, "&gt;="&amp;CC1,'Revenue Tracking'!$H$13:$H$19, "&lt;"&amp;CD1)</f>
        <v>0</v>
      </c>
      <c r="CD3" s="109">
        <f>SUMIFS('Revenue Tracking'!$F$13:$F$19, 'Revenue Tracking'!$H$13:$H$19, "&gt;="&amp;CD1,'Revenue Tracking'!$H$13:$H$19, "&lt;"&amp;CE1)</f>
        <v>0</v>
      </c>
      <c r="CE3" s="109">
        <f>SUMIFS('Revenue Tracking'!$F$13:$F$19, 'Revenue Tracking'!$H$13:$H$19, "&gt;="&amp;CE1,'Revenue Tracking'!$H$13:$H$19, "&lt;"&amp;CF1)</f>
        <v>0</v>
      </c>
      <c r="CF3" s="109">
        <f>SUMIFS('Revenue Tracking'!$F$13:$F$19, 'Revenue Tracking'!$H$13:$H$19, "&gt;="&amp;CF1,'Revenue Tracking'!$H$13:$H$19, "&lt;"&amp;CG1)</f>
        <v>0</v>
      </c>
      <c r="CG3" s="109">
        <f>SUMIFS('Revenue Tracking'!$F$13:$F$19, 'Revenue Tracking'!$H$13:$H$19, "&gt;="&amp;CG1,'Revenue Tracking'!$H$13:$H$19, "&lt;"&amp;CH1)</f>
        <v>0</v>
      </c>
      <c r="CH3" s="109">
        <f>SUMIFS('Revenue Tracking'!$F$13:$F$19, 'Revenue Tracking'!$H$13:$H$19, "&gt;="&amp;CH1,'Revenue Tracking'!$H$13:$H$19, "&lt;"&amp;CI1)</f>
        <v>0</v>
      </c>
      <c r="CI3" s="109">
        <f>SUMIFS('Revenue Tracking'!$F$13:$F$19, 'Revenue Tracking'!$H$13:$H$19, "&gt;="&amp;CI1,'Revenue Tracking'!$H$13:$H$19, "&lt;"&amp;CJ1)</f>
        <v>0</v>
      </c>
      <c r="CJ3" s="109">
        <f>SUMIFS('Revenue Tracking'!$F$13:$F$19, 'Revenue Tracking'!$H$13:$H$19, "&gt;="&amp;CJ1,'Revenue Tracking'!$H$13:$H$19, "&lt;"&amp;CK1)</f>
        <v>0</v>
      </c>
      <c r="CK3" s="109">
        <f>SUMIFS('Revenue Tracking'!$F$13:$F$19, 'Revenue Tracking'!$H$13:$H$19, "&gt;="&amp;CK1,'Revenue Tracking'!$H$13:$H$19, "&lt;"&amp;CL1)</f>
        <v>0</v>
      </c>
      <c r="CL3" s="109">
        <f>SUMIFS('Revenue Tracking'!$F$13:$F$19, 'Revenue Tracking'!$H$13:$H$19, "&gt;="&amp;CL1,'Revenue Tracking'!$H$13:$H$19, "&lt;"&amp;CM1)</f>
        <v>0</v>
      </c>
      <c r="CM3" s="109">
        <f>SUMIFS('Revenue Tracking'!$F$13:$F$19, 'Revenue Tracking'!$H$13:$H$19, "&gt;="&amp;CM1,'Revenue Tracking'!$H$13:$H$19, "&lt;"&amp;CN1)</f>
        <v>0</v>
      </c>
      <c r="CN3" s="109">
        <f>SUMIFS('Revenue Tracking'!$F$13:$F$19, 'Revenue Tracking'!$H$13:$H$19, "&gt;="&amp;CN1,'Revenue Tracking'!$H$13:$H$19, "&lt;"&amp;CO1)</f>
        <v>0</v>
      </c>
      <c r="CO3" s="109">
        <f>SUMIFS('Revenue Tracking'!$F$13:$F$19, 'Revenue Tracking'!$H$13:$H$19, "&gt;="&amp;CO1,'Revenue Tracking'!$H$13:$H$19, "&lt;"&amp;CP1)</f>
        <v>0</v>
      </c>
      <c r="CP3" s="109">
        <f>SUMIFS('Revenue Tracking'!$F$13:$F$19, 'Revenue Tracking'!$H$13:$H$19, "&gt;="&amp;CP1,'Revenue Tracking'!$H$13:$H$19, "&lt;"&amp;CQ1)</f>
        <v>0</v>
      </c>
      <c r="CQ3" s="109">
        <f>SUMIFS('Revenue Tracking'!$F$13:$F$19, 'Revenue Tracking'!$H$13:$H$19, "&gt;="&amp;CQ1,'Revenue Tracking'!$H$13:$H$19, "&lt;"&amp;CR1)</f>
        <v>0</v>
      </c>
      <c r="CR3" s="109">
        <f>SUMIFS('Revenue Tracking'!$F$13:$F$19, 'Revenue Tracking'!$H$13:$H$19, "&gt;="&amp;CR1,'Revenue Tracking'!$H$13:$H$19, "&lt;"&amp;CS1)</f>
        <v>0</v>
      </c>
      <c r="CS3" s="109">
        <f>SUMIFS('Revenue Tracking'!$F$13:$F$19, 'Revenue Tracking'!$H$13:$H$19, "&gt;="&amp;CS1,'Revenue Tracking'!$H$13:$H$19, "&lt;"&amp;CT1)</f>
        <v>0</v>
      </c>
      <c r="CT3" s="109">
        <f>SUMIFS('Revenue Tracking'!$F$13:$F$19, 'Revenue Tracking'!$H$13:$H$19, "&gt;="&amp;CT1,'Revenue Tracking'!$H$13:$H$19, "&lt;"&amp;CU1)</f>
        <v>0</v>
      </c>
      <c r="CU3" s="109">
        <f>SUMIFS('Revenue Tracking'!$F$13:$F$19, 'Revenue Tracking'!$H$13:$H$19, "&gt;="&amp;CU1,'Revenue Tracking'!$H$13:$H$19, "&lt;"&amp;CV1)</f>
        <v>0</v>
      </c>
      <c r="CV3" s="109">
        <f>SUMIFS('Revenue Tracking'!$F$13:$F$19, 'Revenue Tracking'!$H$13:$H$19, "&gt;="&amp;CV1,'Revenue Tracking'!$H$13:$H$19, "&lt;"&amp;CW1)</f>
        <v>0</v>
      </c>
      <c r="CW3" s="109">
        <f>SUMIFS('Revenue Tracking'!$F$13:$F$19, 'Revenue Tracking'!$H$13:$H$19, "&gt;="&amp;CW1,'Revenue Tracking'!$H$13:$H$19, "&lt;"&amp;CX1)</f>
        <v>0</v>
      </c>
      <c r="CX3" s="109">
        <f>SUMIFS('Revenue Tracking'!$F$13:$F$19, 'Revenue Tracking'!$H$13:$H$19, "&gt;="&amp;CX1,'Revenue Tracking'!$H$13:$H$19, "&lt;"&amp;CY1)</f>
        <v>0</v>
      </c>
      <c r="CY3" s="109">
        <f>SUMIFS('Revenue Tracking'!$F$13:$F$19, 'Revenue Tracking'!$H$13:$H$19, "&gt;="&amp;CY1,'Revenue Tracking'!$H$13:$H$19, "&lt;"&amp;CZ1)</f>
        <v>0</v>
      </c>
      <c r="CZ3" s="109">
        <f>SUMIFS('Revenue Tracking'!$F$13:$F$19, 'Revenue Tracking'!$H$13:$H$19, "&gt;="&amp;CZ1,'Revenue Tracking'!$H$13:$H$19, "&lt;"&amp;DA1)</f>
        <v>0</v>
      </c>
      <c r="DA3" s="109">
        <f>SUMIFS('Revenue Tracking'!$F$13:$F$19, 'Revenue Tracking'!$H$13:$H$19, "&gt;="&amp;DA1,'Revenue Tracking'!$H$13:$H$19, "&lt;"&amp;DB1)</f>
        <v>0</v>
      </c>
      <c r="DB3" s="109">
        <f>SUMIFS('Revenue Tracking'!$F$13:$F$19, 'Revenue Tracking'!$H$13:$H$19, "&gt;="&amp;DB1,'Revenue Tracking'!$H$13:$H$19, "&lt;"&amp;DC1)</f>
        <v>0</v>
      </c>
      <c r="DC3" s="109">
        <f>SUMIFS('Revenue Tracking'!$F$13:$F$19, 'Revenue Tracking'!$H$13:$H$19, "&gt;="&amp;DC1,'Revenue Tracking'!$H$13:$H$19, "&lt;"&amp;DD1)</f>
        <v>0</v>
      </c>
      <c r="DD3" s="109">
        <f>SUMIFS('Revenue Tracking'!$F$13:$F$19, 'Revenue Tracking'!$H$13:$H$19, "&gt;="&amp;DD1,'Revenue Tracking'!$H$13:$H$19, "&lt;"&amp;DE1)</f>
        <v>0</v>
      </c>
      <c r="DE3" s="109">
        <f>SUMIFS('Revenue Tracking'!$F$13:$F$19, 'Revenue Tracking'!$H$13:$H$19, "&gt;="&amp;DE1,'Revenue Tracking'!$H$13:$H$19, "&lt;"&amp;DF1)</f>
        <v>0</v>
      </c>
      <c r="DF3" s="109">
        <f>SUMIFS('Revenue Tracking'!$F$13:$F$19, 'Revenue Tracking'!$H$13:$H$19, "&gt;="&amp;DF1,'Revenue Tracking'!$H$13:$H$19, "&lt;"&amp;DG1)</f>
        <v>0</v>
      </c>
      <c r="DG3" s="109">
        <f>SUMIFS('Revenue Tracking'!$F$13:$F$19, 'Revenue Tracking'!$H$13:$H$19, "&gt;="&amp;DG1,'Revenue Tracking'!$H$13:$H$19, "&lt;"&amp;DH1)</f>
        <v>0</v>
      </c>
      <c r="DH3" s="109">
        <f>SUMIFS('Revenue Tracking'!$F$13:$F$19, 'Revenue Tracking'!$H$13:$H$19, "&gt;="&amp;DH1,'Revenue Tracking'!$H$13:$H$19, "&lt;"&amp;DI1)</f>
        <v>0</v>
      </c>
      <c r="DI3" s="109">
        <f>SUMIFS('Revenue Tracking'!$F$13:$F$19, 'Revenue Tracking'!$H$13:$H$19, "&gt;="&amp;DI1,'Revenue Tracking'!$H$13:$H$19, "&lt;"&amp;DJ1)</f>
        <v>0</v>
      </c>
      <c r="DJ3" s="109">
        <f>SUMIFS('Revenue Tracking'!$F$13:$F$19, 'Revenue Tracking'!$H$13:$H$19, "&gt;="&amp;DJ1,'Revenue Tracking'!$H$13:$H$19, "&lt;"&amp;DK1)</f>
        <v>0</v>
      </c>
      <c r="DK3" s="109">
        <f>SUMIFS('Revenue Tracking'!$F$13:$F$19, 'Revenue Tracking'!$H$13:$H$19, "&gt;="&amp;DK1,'Revenue Tracking'!$H$13:$H$19, "&lt;"&amp;DL1)</f>
        <v>0</v>
      </c>
      <c r="DL3" s="109">
        <f>SUMIFS('Revenue Tracking'!$F$13:$F$19, 'Revenue Tracking'!$H$13:$H$19, "&gt;="&amp;DL1,'Revenue Tracking'!$H$13:$H$19, "&lt;"&amp;DM1)</f>
        <v>0</v>
      </c>
      <c r="DM3" s="109">
        <f>SUMIFS('Revenue Tracking'!$F$13:$F$19, 'Revenue Tracking'!$H$13:$H$19, "&gt;="&amp;DM1,'Revenue Tracking'!$H$13:$H$19, "&lt;"&amp;DN1)</f>
        <v>0</v>
      </c>
      <c r="DN3" s="109">
        <f>SUMIFS('Revenue Tracking'!$F$13:$F$19, 'Revenue Tracking'!$H$13:$H$19, "&gt;="&amp;DN1,'Revenue Tracking'!$H$13:$H$19, "&lt;"&amp;DO1)</f>
        <v>0</v>
      </c>
      <c r="DO3" s="109">
        <f>SUMIFS('Revenue Tracking'!$F$13:$F$19, 'Revenue Tracking'!$H$13:$H$19, "&gt;="&amp;DO1,'Revenue Tracking'!$H$13:$H$19, "&lt;"&amp;DP1)</f>
        <v>0</v>
      </c>
      <c r="DP3" s="109">
        <f>SUMIFS('Revenue Tracking'!$F$13:$F$19, 'Revenue Tracking'!$H$13:$H$19, "&gt;="&amp;DP1,'Revenue Tracking'!$H$13:$H$19, "&lt;"&amp;DQ1)</f>
        <v>0</v>
      </c>
      <c r="DQ3" s="109">
        <f>SUMIFS('Revenue Tracking'!$F$13:$F$19, 'Revenue Tracking'!$H$13:$H$19, "&gt;="&amp;DQ1,'Revenue Tracking'!$H$13:$H$19, "&lt;"&amp;DR1)</f>
        <v>0</v>
      </c>
      <c r="DR3" s="109">
        <f>SUMIFS('Revenue Tracking'!$F$13:$F$19, 'Revenue Tracking'!$H$13:$H$19, "&gt;="&amp;DR1,'Revenue Tracking'!$H$13:$H$19, "&lt;"&amp;DS1)</f>
        <v>0</v>
      </c>
      <c r="DS3" s="109">
        <f>SUMIFS('Revenue Tracking'!$F$13:$F$19, 'Revenue Tracking'!$H$13:$H$19, "&gt;="&amp;DS1,'Revenue Tracking'!$H$13:$H$19, "&lt;"&amp;DT1)</f>
        <v>0</v>
      </c>
      <c r="DT3" s="109">
        <f>SUMIFS('Revenue Tracking'!$F$13:$F$19, 'Revenue Tracking'!$H$13:$H$19, "&gt;="&amp;DT1,'Revenue Tracking'!$H$13:$H$19, "&lt;"&amp;DU1)</f>
        <v>0</v>
      </c>
      <c r="DU3" s="109">
        <f>SUMIFS('Revenue Tracking'!$F$13:$F$19, 'Revenue Tracking'!$H$13:$H$19, "&gt;="&amp;DU1,'Revenue Tracking'!$H$13:$H$19, "&lt;"&amp;DV1)</f>
        <v>0</v>
      </c>
      <c r="DV3" s="109">
        <f>SUMIFS('Revenue Tracking'!$F$13:$F$19, 'Revenue Tracking'!$H$13:$H$19, "&gt;="&amp;DV1,'Revenue Tracking'!$H$13:$H$19, "&lt;"&amp;DW1)</f>
        <v>0</v>
      </c>
      <c r="DW3" s="109">
        <f>SUMIFS('Revenue Tracking'!$F$13:$F$19, 'Revenue Tracking'!$H$13:$H$19, "&gt;="&amp;DW1,'Revenue Tracking'!$H$13:$H$19, "&lt;"&amp;DX1)</f>
        <v>0</v>
      </c>
      <c r="DX3" s="109">
        <f>SUMIFS('Revenue Tracking'!$F$13:$F$19, 'Revenue Tracking'!$H$13:$H$19, "&gt;="&amp;DX1,'Revenue Tracking'!$H$13:$H$19, "&lt;"&amp;DY1)</f>
        <v>0</v>
      </c>
      <c r="DY3" s="109">
        <f>SUMIFS('Revenue Tracking'!$F$13:$F$19, 'Revenue Tracking'!$H$13:$H$19, "&gt;="&amp;DY1,'Revenue Tracking'!$H$13:$H$19, "&lt;"&amp;DZ1)</f>
        <v>0</v>
      </c>
      <c r="DZ3" s="109">
        <f>SUMIFS('Revenue Tracking'!$F$13:$F$19, 'Revenue Tracking'!$H$13:$H$19, "&gt;="&amp;DZ1,'Revenue Tracking'!$H$13:$H$19, "&lt;"&amp;EA1)</f>
        <v>0</v>
      </c>
      <c r="EA3" s="109">
        <f>SUMIFS('Revenue Tracking'!$F$13:$F$19, 'Revenue Tracking'!$H$13:$H$19, "&gt;="&amp;EA1,'Revenue Tracking'!$H$13:$H$19, "&lt;"&amp;EB1)</f>
        <v>0</v>
      </c>
      <c r="EB3" s="109">
        <f>SUMIFS('Revenue Tracking'!$F$13:$F$19, 'Revenue Tracking'!$H$13:$H$19, "&gt;="&amp;EB1,'Revenue Tracking'!$H$13:$H$19, "&lt;"&amp;EC1)</f>
        <v>0</v>
      </c>
      <c r="EC3" s="109">
        <f>SUMIFS('Revenue Tracking'!$F$13:$F$19, 'Revenue Tracking'!$H$13:$H$19, "&gt;="&amp;EC1,'Revenue Tracking'!$H$13:$H$19, "&lt;"&amp;ED1)</f>
        <v>0</v>
      </c>
      <c r="ED3" s="109">
        <f>SUMIFS('Revenue Tracking'!$F$13:$F$19, 'Revenue Tracking'!$H$13:$H$19, "&gt;="&amp;ED1,'Revenue Tracking'!$H$13:$H$19, "&lt;"&amp;EE1)</f>
        <v>0</v>
      </c>
      <c r="EE3" s="109">
        <f>SUMIFS('Revenue Tracking'!$F$13:$F$19, 'Revenue Tracking'!$H$13:$H$19, "&gt;="&amp;EE1,'Revenue Tracking'!$H$13:$H$19, "&lt;"&amp;EF1)</f>
        <v>0</v>
      </c>
      <c r="EF3" s="109">
        <f>SUMIFS('Revenue Tracking'!$F$13:$F$19, 'Revenue Tracking'!$H$13:$H$19, "&gt;="&amp;EF1,'Revenue Tracking'!$H$13:$H$19, "&lt;"&amp;EG1)</f>
        <v>0</v>
      </c>
      <c r="EG3" s="109">
        <f>SUMIFS('Revenue Tracking'!$F$13:$F$19, 'Revenue Tracking'!$H$13:$H$19, "&gt;="&amp;EG1,'Revenue Tracking'!$H$13:$H$19, "&lt;"&amp;EH1)</f>
        <v>0</v>
      </c>
      <c r="EH3" s="109">
        <f>SUMIFS('Revenue Tracking'!$F$13:$F$19, 'Revenue Tracking'!$H$13:$H$19, "&gt;="&amp;EH1,'Revenue Tracking'!$H$13:$H$19, "&lt;"&amp;EI1)</f>
        <v>0</v>
      </c>
      <c r="EI3" s="109">
        <f>SUMIFS('Revenue Tracking'!$F$13:$F$19, 'Revenue Tracking'!$H$13:$H$19, "&gt;="&amp;EI1,'Revenue Tracking'!$H$13:$H$19, "&lt;"&amp;EJ1)</f>
        <v>0</v>
      </c>
      <c r="EJ3" s="109">
        <f>SUMIFS('Revenue Tracking'!$F$13:$F$19, 'Revenue Tracking'!$H$13:$H$19, "&gt;="&amp;EJ1,'Revenue Tracking'!$H$13:$H$19, "&lt;"&amp;EK1)</f>
        <v>0</v>
      </c>
      <c r="EK3" s="109">
        <f>SUMIFS('Revenue Tracking'!$F$13:$F$19, 'Revenue Tracking'!$H$13:$H$19, "&gt;="&amp;EK1,'Revenue Tracking'!$H$13:$H$19, "&lt;"&amp;EL1)</f>
        <v>0</v>
      </c>
      <c r="EL3" s="109">
        <f>SUMIFS('Revenue Tracking'!$F$13:$F$19, 'Revenue Tracking'!$H$13:$H$19, "&gt;="&amp;EL1,'Revenue Tracking'!$H$13:$H$19, "&lt;"&amp;EM1)</f>
        <v>0</v>
      </c>
      <c r="EM3" s="109">
        <f>SUMIFS('Revenue Tracking'!$F$13:$F$19, 'Revenue Tracking'!$H$13:$H$19, "&gt;="&amp;EM1,'Revenue Tracking'!$H$13:$H$19, "&lt;"&amp;EN1)</f>
        <v>0</v>
      </c>
      <c r="EN3" s="109">
        <f>SUMIFS('Revenue Tracking'!$F$13:$F$19, 'Revenue Tracking'!$H$13:$H$19, "&gt;="&amp;EN1,'Revenue Tracking'!$H$13:$H$19, "&lt;"&amp;EO1)</f>
        <v>0</v>
      </c>
      <c r="EO3" s="109">
        <f>SUMIFS('Revenue Tracking'!$F$13:$F$19, 'Revenue Tracking'!$H$13:$H$19, "&gt;="&amp;EO1,'Revenue Tracking'!$H$13:$H$19, "&lt;"&amp;EP1)</f>
        <v>0</v>
      </c>
      <c r="EP3" s="109">
        <f>SUMIFS('Revenue Tracking'!$F$13:$F$19, 'Revenue Tracking'!$H$13:$H$19, "&gt;="&amp;EP1,'Revenue Tracking'!$H$13:$H$19, "&lt;"&amp;EQ1)</f>
        <v>0</v>
      </c>
      <c r="EQ3" s="109">
        <f>SUMIFS('Revenue Tracking'!$F$13:$F$19, 'Revenue Tracking'!$H$13:$H$19, "&gt;="&amp;EQ1,'Revenue Tracking'!$H$13:$H$19, "&lt;"&amp;ER1)</f>
        <v>0</v>
      </c>
      <c r="ER3" s="109">
        <f>SUMIFS('Revenue Tracking'!$F$13:$F$19, 'Revenue Tracking'!$H$13:$H$19, "&gt;="&amp;ER1,'Revenue Tracking'!$H$13:$H$19, "&lt;"&amp;ES1)</f>
        <v>0</v>
      </c>
      <c r="ES3" s="109">
        <f>SUMIFS('Revenue Tracking'!$F$13:$F$19, 'Revenue Tracking'!$H$13:$H$19, "&gt;="&amp;ES1,'Revenue Tracking'!$H$13:$H$19, "&lt;"&amp;ET1)</f>
        <v>0</v>
      </c>
      <c r="ET3" s="109">
        <f>SUMIFS('Revenue Tracking'!$F$13:$F$19, 'Revenue Tracking'!$H$13:$H$19, "&gt;="&amp;ET1,'Revenue Tracking'!$H$13:$H$19, "&lt;"&amp;EU1)</f>
        <v>0</v>
      </c>
      <c r="EU3" s="109">
        <f>SUMIFS('Revenue Tracking'!$F$13:$F$19, 'Revenue Tracking'!$H$13:$H$19, "&gt;="&amp;EU1,'Revenue Tracking'!$H$13:$H$19, "&lt;"&amp;EV1)</f>
        <v>0</v>
      </c>
      <c r="EV3" s="109">
        <f>SUMIFS('Revenue Tracking'!$F$13:$F$19, 'Revenue Tracking'!$H$13:$H$19, "&gt;="&amp;EV1,'Revenue Tracking'!$H$13:$H$19, "&lt;"&amp;EW1)</f>
        <v>0</v>
      </c>
      <c r="EW3" s="109">
        <f>SUMIFS('Revenue Tracking'!$F$13:$F$19, 'Revenue Tracking'!$H$13:$H$19, "&gt;="&amp;EW1,'Revenue Tracking'!$H$13:$H$19, "&lt;"&amp;EX1)</f>
        <v>0</v>
      </c>
      <c r="EX3" s="109">
        <f>SUMIFS('Revenue Tracking'!$F$13:$F$19, 'Revenue Tracking'!$H$13:$H$19, "&gt;="&amp;EX1,'Revenue Tracking'!$H$13:$H$19, "&lt;"&amp;EY1)</f>
        <v>0</v>
      </c>
      <c r="EY3" s="109">
        <f>SUMIFS('Revenue Tracking'!$F$13:$F$19, 'Revenue Tracking'!$H$13:$H$19, "&gt;="&amp;EY1,'Revenue Tracking'!$H$13:$H$19, "&lt;"&amp;EZ1)</f>
        <v>0</v>
      </c>
      <c r="EZ3" s="109">
        <f>SUMIFS('Revenue Tracking'!$F$13:$F$19, 'Revenue Tracking'!$H$13:$H$19, "&gt;="&amp;EZ1,'Revenue Tracking'!$H$13:$H$19, "&lt;"&amp;FA1)</f>
        <v>0</v>
      </c>
      <c r="FA3" s="109">
        <f>SUMIFS('Revenue Tracking'!$F$13:$F$19, 'Revenue Tracking'!$H$13:$H$19, "&gt;="&amp;FA1,'Revenue Tracking'!$H$13:$H$19, "&lt;"&amp;FB1)</f>
        <v>0</v>
      </c>
      <c r="FB3" s="109">
        <f>SUMIFS('Revenue Tracking'!$F$13:$F$19, 'Revenue Tracking'!$H$13:$H$19, "&gt;="&amp;FB1,'Revenue Tracking'!$H$13:$H$19, "&lt;"&amp;FC1)</f>
        <v>0</v>
      </c>
      <c r="FC3" s="109">
        <f>SUMIFS('Revenue Tracking'!$F$13:$F$19, 'Revenue Tracking'!$H$13:$H$19, "&gt;="&amp;FC1,'Revenue Tracking'!$H$13:$H$19, "&lt;"&amp;FD1)</f>
        <v>0</v>
      </c>
      <c r="FD3" s="109">
        <f>SUMIFS('Revenue Tracking'!$F$13:$F$19, 'Revenue Tracking'!$H$13:$H$19, "&gt;="&amp;FD1,'Revenue Tracking'!$H$13:$H$19, "&lt;"&amp;FE1)</f>
        <v>0</v>
      </c>
      <c r="FE3" s="109">
        <f>SUMIFS('Revenue Tracking'!$F$13:$F$19, 'Revenue Tracking'!$H$13:$H$19, "&gt;="&amp;FE1,'Revenue Tracking'!$H$13:$H$19, "&lt;"&amp;FF1)</f>
        <v>0</v>
      </c>
      <c r="FF3" s="109">
        <f>SUMIFS('Revenue Tracking'!$F$13:$F$19, 'Revenue Tracking'!$H$13:$H$19, "&gt;="&amp;FF1,'Revenue Tracking'!$H$13:$H$19, "&lt;"&amp;FG1)</f>
        <v>0</v>
      </c>
      <c r="FG3" s="109">
        <f>SUMIFS('Revenue Tracking'!$F$13:$F$19, 'Revenue Tracking'!$H$13:$H$19, "&gt;="&amp;FG1,'Revenue Tracking'!$H$13:$H$19, "&lt;"&amp;FH1)</f>
        <v>0</v>
      </c>
      <c r="FH3" s="109">
        <f>SUMIFS('Revenue Tracking'!$F$13:$F$19, 'Revenue Tracking'!$H$13:$H$19, "&gt;="&amp;FH1,'Revenue Tracking'!$H$13:$H$19, "&lt;"&amp;FI1)</f>
        <v>0</v>
      </c>
      <c r="FI3" s="109">
        <f>SUMIFS('Revenue Tracking'!$F$13:$F$19, 'Revenue Tracking'!$H$13:$H$19, "&gt;="&amp;FI1,'Revenue Tracking'!$H$13:$H$19, "&lt;"&amp;FJ1)</f>
        <v>0</v>
      </c>
      <c r="FJ3" s="109">
        <f>SUMIFS('Revenue Tracking'!$F$13:$F$19, 'Revenue Tracking'!$H$13:$H$19, "&gt;="&amp;FJ1,'Revenue Tracking'!$H$13:$H$19, "&lt;"&amp;FK1)</f>
        <v>0</v>
      </c>
      <c r="FK3" s="109">
        <f>SUMIFS('Revenue Tracking'!$F$13:$F$19, 'Revenue Tracking'!$H$13:$H$19, "&gt;="&amp;FK1,'Revenue Tracking'!$H$13:$H$19, "&lt;"&amp;FL1)</f>
        <v>0</v>
      </c>
      <c r="FL3" s="109">
        <f>SUMIFS('Revenue Tracking'!$F$13:$F$19, 'Revenue Tracking'!$H$13:$H$19, "&gt;="&amp;FL1,'Revenue Tracking'!$H$13:$H$19, "&lt;"&amp;FM1)</f>
        <v>0</v>
      </c>
      <c r="FM3" s="109">
        <f>SUMIFS('Revenue Tracking'!$F$13:$F$19, 'Revenue Tracking'!$H$13:$H$19, "&gt;="&amp;FM1,'Revenue Tracking'!$H$13:$H$19, "&lt;"&amp;FN1)</f>
        <v>0</v>
      </c>
      <c r="FN3" s="109">
        <f>SUMIFS('Revenue Tracking'!$F$13:$F$19, 'Revenue Tracking'!$H$13:$H$19, "&gt;="&amp;FN1,'Revenue Tracking'!$H$13:$H$19, "&lt;"&amp;FO1)</f>
        <v>0</v>
      </c>
      <c r="FO3" s="109">
        <f>SUMIFS('Revenue Tracking'!$F$13:$F$19, 'Revenue Tracking'!$H$13:$H$19, "&gt;="&amp;FO1,'Revenue Tracking'!$H$13:$H$19, "&lt;"&amp;FP1)</f>
        <v>0</v>
      </c>
      <c r="FP3" s="109">
        <f>SUMIFS('Revenue Tracking'!$F$13:$F$19, 'Revenue Tracking'!$H$13:$H$19, "&gt;="&amp;FP1,'Revenue Tracking'!$H$13:$H$19, "&lt;"&amp;FQ1)</f>
        <v>0</v>
      </c>
      <c r="FQ3" s="109">
        <f>SUMIFS('Revenue Tracking'!$F$13:$F$19, 'Revenue Tracking'!$H$13:$H$19, "&gt;="&amp;FQ1,'Revenue Tracking'!$H$13:$H$19, "&lt;"&amp;FR1)</f>
        <v>0</v>
      </c>
      <c r="FR3" s="109">
        <f>SUMIFS('Revenue Tracking'!$F$13:$F$19, 'Revenue Tracking'!$H$13:$H$19, "&gt;="&amp;FR1,'Revenue Tracking'!$H$13:$H$19, "&lt;"&amp;FS1)</f>
        <v>0</v>
      </c>
      <c r="FS3" s="109">
        <f>SUMIFS('Revenue Tracking'!$F$13:$F$19, 'Revenue Tracking'!$H$13:$H$19, "&gt;="&amp;FS1,'Revenue Tracking'!$H$13:$H$19, "&lt;"&amp;FT1)</f>
        <v>0</v>
      </c>
      <c r="FT3" s="109">
        <f>SUMIFS('Revenue Tracking'!$F$13:$F$19, 'Revenue Tracking'!$H$13:$H$19, "&gt;="&amp;FT1,'Revenue Tracking'!$H$13:$H$19, "&lt;"&amp;FU1)</f>
        <v>0</v>
      </c>
      <c r="FU3" s="109">
        <f>SUMIFS('Revenue Tracking'!$F$13:$F$19, 'Revenue Tracking'!$H$13:$H$19, "&gt;="&amp;FU1,'Revenue Tracking'!$H$13:$H$19, "&lt;"&amp;FV1)</f>
        <v>0</v>
      </c>
      <c r="FV3" s="109">
        <f>SUMIFS('Revenue Tracking'!$F$13:$F$19, 'Revenue Tracking'!$H$13:$H$19, "&gt;="&amp;FV1,'Revenue Tracking'!$H$13:$H$19, "&lt;"&amp;FW1)</f>
        <v>0</v>
      </c>
      <c r="FW3" s="109">
        <f>SUMIFS('Revenue Tracking'!$F$13:$F$19, 'Revenue Tracking'!$H$13:$H$19, "&gt;="&amp;FW1,'Revenue Tracking'!$H$13:$H$19, "&lt;"&amp;FX1)</f>
        <v>0</v>
      </c>
      <c r="FX3" s="109">
        <f>SUMIFS('Revenue Tracking'!$F$13:$F$19, 'Revenue Tracking'!$H$13:$H$19, "&gt;="&amp;FX1,'Revenue Tracking'!$H$13:$H$19, "&lt;"&amp;FY1)</f>
        <v>0</v>
      </c>
      <c r="FY3" s="109">
        <f>SUMIFS('Revenue Tracking'!$F$13:$F$19, 'Revenue Tracking'!$H$13:$H$19, "&gt;="&amp;FY1,'Revenue Tracking'!$H$13:$H$19, "&lt;"&amp;FZ1)</f>
        <v>0</v>
      </c>
      <c r="FZ3" s="109">
        <f>SUMIFS('Revenue Tracking'!$F$13:$F$19, 'Revenue Tracking'!$H$13:$H$19, "&gt;="&amp;FZ1,'Revenue Tracking'!$H$13:$H$19, "&lt;"&amp;GA1)</f>
        <v>0</v>
      </c>
      <c r="GA3" s="109">
        <f>SUMIFS('Revenue Tracking'!$F$13:$F$19, 'Revenue Tracking'!$H$13:$H$19, "&gt;="&amp;GA1,'Revenue Tracking'!$H$13:$H$19, "&lt;"&amp;GB1)</f>
        <v>0</v>
      </c>
      <c r="GB3" s="109">
        <f>SUMIFS('Revenue Tracking'!$F$13:$F$19, 'Revenue Tracking'!$H$13:$H$19, "&gt;="&amp;GB1,'Revenue Tracking'!$H$13:$H$19, "&lt;"&amp;GC1)</f>
        <v>0</v>
      </c>
      <c r="GC3" s="109">
        <f>SUMIFS('Revenue Tracking'!$F$13:$F$19, 'Revenue Tracking'!$H$13:$H$19, "&gt;="&amp;GC1,'Revenue Tracking'!$H$13:$H$19, "&lt;"&amp;GD1)</f>
        <v>0</v>
      </c>
      <c r="GD3" s="109">
        <f>SUMIFS('Revenue Tracking'!$F$13:$F$19, 'Revenue Tracking'!$H$13:$H$19, "&gt;="&amp;GD1,'Revenue Tracking'!$H$13:$H$19, "&lt;"&amp;GE1)</f>
        <v>0</v>
      </c>
      <c r="GE3" s="109">
        <f>SUMIFS('Revenue Tracking'!$F$13:$F$19, 'Revenue Tracking'!$H$13:$H$19, "&gt;="&amp;GE1,'Revenue Tracking'!$H$13:$H$19, "&lt;"&amp;GF1)</f>
        <v>0</v>
      </c>
      <c r="GF3" s="109">
        <f>SUMIFS('Revenue Tracking'!$F$13:$F$19, 'Revenue Tracking'!$H$13:$H$19, "&gt;="&amp;GF1,'Revenue Tracking'!$H$13:$H$19, "&lt;"&amp;GG1)</f>
        <v>0</v>
      </c>
      <c r="GG3" s="109">
        <f>SUMIFS('Revenue Tracking'!$F$13:$F$19, 'Revenue Tracking'!$H$13:$H$19, "&gt;="&amp;GG1,'Revenue Tracking'!$H$13:$H$19, "&lt;"&amp;GH1)</f>
        <v>0</v>
      </c>
      <c r="GH3" s="109">
        <f>SUMIFS('Revenue Tracking'!$F$13:$F$19, 'Revenue Tracking'!$H$13:$H$19, "&gt;="&amp;GH1,'Revenue Tracking'!$H$13:$H$19, "&lt;"&amp;GI1)</f>
        <v>0</v>
      </c>
      <c r="GI3" s="109">
        <f>SUMIFS('Revenue Tracking'!$F$13:$F$19, 'Revenue Tracking'!$H$13:$H$19, "&gt;="&amp;GI1,'Revenue Tracking'!$H$13:$H$19, "&lt;"&amp;GJ1)</f>
        <v>0</v>
      </c>
      <c r="GJ3" s="109">
        <f>SUMIFS('Revenue Tracking'!$F$13:$F$19, 'Revenue Tracking'!$H$13:$H$19, "&gt;="&amp;GJ1,'Revenue Tracking'!$H$13:$H$19, "&lt;"&amp;GK1)</f>
        <v>0</v>
      </c>
      <c r="GK3" s="109">
        <f>SUMIFS('Revenue Tracking'!$F$13:$F$19, 'Revenue Tracking'!$H$13:$H$19, "&gt;="&amp;GK1,'Revenue Tracking'!$H$13:$H$19, "&lt;"&amp;GL1)</f>
        <v>0</v>
      </c>
      <c r="GL3" s="109">
        <f>SUMIFS('Revenue Tracking'!$F$13:$F$19, 'Revenue Tracking'!$H$13:$H$19, "&gt;="&amp;GL1,'Revenue Tracking'!$H$13:$H$19, "&lt;"&amp;GM1)</f>
        <v>0</v>
      </c>
      <c r="GM3" s="109">
        <f>SUMIFS('Revenue Tracking'!$F$13:$F$19, 'Revenue Tracking'!$H$13:$H$19, "&gt;="&amp;GM1,'Revenue Tracking'!$H$13:$H$19, "&lt;"&amp;GN1)</f>
        <v>0</v>
      </c>
      <c r="GN3" s="109">
        <f>SUMIFS('Revenue Tracking'!$F$13:$F$19, 'Revenue Tracking'!$H$13:$H$19, "&gt;="&amp;GN1,'Revenue Tracking'!$H$13:$H$19, "&lt;"&amp;GO1)</f>
        <v>0</v>
      </c>
      <c r="GO3" s="109">
        <f>SUMIFS('Revenue Tracking'!$F$13:$F$19, 'Revenue Tracking'!$H$13:$H$19, "&gt;="&amp;GO1,'Revenue Tracking'!$H$13:$H$19, "&lt;"&amp;GP1)</f>
        <v>0</v>
      </c>
      <c r="GP3" s="109">
        <f>SUMIFS('Revenue Tracking'!$F$13:$F$19, 'Revenue Tracking'!$H$13:$H$19, "&gt;="&amp;GP1,'Revenue Tracking'!$H$13:$H$19, "&lt;"&amp;GQ1)</f>
        <v>0</v>
      </c>
      <c r="GQ3" s="109">
        <f>SUMIFS('Revenue Tracking'!$F$13:$F$19, 'Revenue Tracking'!$H$13:$H$19, "&gt;="&amp;GQ1,'Revenue Tracking'!$H$13:$H$19, "&lt;"&amp;GR1)</f>
        <v>0</v>
      </c>
      <c r="GR3" s="109">
        <f>SUMIFS('Revenue Tracking'!$F$13:$F$19, 'Revenue Tracking'!$H$13:$H$19, "&gt;="&amp;GR1,'Revenue Tracking'!$H$13:$H$19, "&lt;"&amp;GS1)</f>
        <v>0</v>
      </c>
      <c r="GS3" s="109">
        <f>SUMIFS('Revenue Tracking'!$F$13:$F$19, 'Revenue Tracking'!$H$13:$H$19, "&gt;="&amp;GS1,'Revenue Tracking'!$H$13:$H$19, "&lt;"&amp;GT1)</f>
        <v>0</v>
      </c>
      <c r="GT3" s="109">
        <f>SUMIFS('Revenue Tracking'!$F$13:$F$19, 'Revenue Tracking'!$H$13:$H$19, "&gt;="&amp;GT1,'Revenue Tracking'!$H$13:$H$19, "&lt;"&amp;GU1)</f>
        <v>0</v>
      </c>
      <c r="GU3" s="109">
        <f>SUMIFS('Revenue Tracking'!$F$13:$F$19, 'Revenue Tracking'!$H$13:$H$19, "&gt;="&amp;GU1,'Revenue Tracking'!$H$13:$H$19, "&lt;"&amp;GV1)</f>
        <v>0</v>
      </c>
      <c r="GV3" s="109">
        <f>SUMIFS('Revenue Tracking'!$F$13:$F$19, 'Revenue Tracking'!$H$13:$H$19, "&gt;="&amp;GV1,'Revenue Tracking'!$H$13:$H$19, "&lt;"&amp;GW1)</f>
        <v>0</v>
      </c>
      <c r="GW3" s="109">
        <f>SUMIFS('Revenue Tracking'!$F$13:$F$19, 'Revenue Tracking'!$H$13:$H$19, "&gt;="&amp;GW1,'Revenue Tracking'!$H$13:$H$19, "&lt;"&amp;GX1)</f>
        <v>0</v>
      </c>
      <c r="GX3" s="109">
        <f>SUMIFS('Revenue Tracking'!$F$13:$F$19, 'Revenue Tracking'!$H$13:$H$19, "&gt;="&amp;GX1,'Revenue Tracking'!$H$13:$H$19, "&lt;"&amp;GY1)</f>
        <v>0</v>
      </c>
      <c r="GY3" s="109">
        <f>SUMIFS('Revenue Tracking'!$F$13:$F$19, 'Revenue Tracking'!$H$13:$H$19, "&gt;="&amp;GY1,'Revenue Tracking'!$H$13:$H$19, "&lt;"&amp;GZ1)</f>
        <v>0</v>
      </c>
      <c r="GZ3" s="109">
        <f>SUMIFS('Revenue Tracking'!$F$13:$F$19, 'Revenue Tracking'!$H$13:$H$19, "&gt;="&amp;GZ1,'Revenue Tracking'!$H$13:$H$19, "&lt;"&amp;HA1)</f>
        <v>0</v>
      </c>
      <c r="HA3" s="109">
        <f>SUMIFS('Revenue Tracking'!$F$13:$F$19, 'Revenue Tracking'!$H$13:$H$19, "&gt;="&amp;HA1,'Revenue Tracking'!$H$13:$H$19, "&lt;"&amp;HB1)</f>
        <v>0</v>
      </c>
      <c r="HB3" s="109">
        <f>SUMIFS('Revenue Tracking'!$F$13:$F$19, 'Revenue Tracking'!$H$13:$H$19, "&gt;="&amp;HB1,'Revenue Tracking'!$H$13:$H$19, "&lt;"&amp;HC1)</f>
        <v>0</v>
      </c>
      <c r="HC3" s="109">
        <f>SUMIFS('Revenue Tracking'!$F$13:$F$19, 'Revenue Tracking'!$H$13:$H$19, "&gt;="&amp;HC1,'Revenue Tracking'!$H$13:$H$19, "&lt;"&amp;HD1)</f>
        <v>0</v>
      </c>
      <c r="HD3" s="109">
        <f>SUMIFS('Revenue Tracking'!$F$13:$F$19, 'Revenue Tracking'!$H$13:$H$19, "&gt;="&amp;HD1,'Revenue Tracking'!$H$13:$H$19, "&lt;"&amp;HE1)</f>
        <v>0</v>
      </c>
      <c r="HE3" s="109">
        <f>SUMIFS('Revenue Tracking'!$F$13:$F$19, 'Revenue Tracking'!$H$13:$H$19, "&gt;="&amp;HE1,'Revenue Tracking'!$H$13:$H$19, "&lt;"&amp;HF1)</f>
        <v>0</v>
      </c>
      <c r="HF3" s="109">
        <f>SUMIFS('Revenue Tracking'!$F$13:$F$19, 'Revenue Tracking'!$H$13:$H$19, "&gt;="&amp;HF1,'Revenue Tracking'!$H$13:$H$19, "&lt;"&amp;HG1)</f>
        <v>0</v>
      </c>
      <c r="HG3" s="109">
        <f>SUMIFS('Revenue Tracking'!$F$13:$F$19, 'Revenue Tracking'!$H$13:$H$19, "&gt;="&amp;HG1,'Revenue Tracking'!$H$13:$H$19, "&lt;"&amp;HH1)</f>
        <v>0</v>
      </c>
      <c r="HH3" s="109">
        <f>SUMIFS('Revenue Tracking'!$F$13:$F$19, 'Revenue Tracking'!$H$13:$H$19, "&gt;="&amp;HH1,'Revenue Tracking'!$H$13:$H$19, "&lt;"&amp;HI1)</f>
        <v>0</v>
      </c>
      <c r="HI3" s="109">
        <f>SUMIFS('Revenue Tracking'!$F$13:$F$19, 'Revenue Tracking'!$H$13:$H$19, "&gt;="&amp;HI1,'Revenue Tracking'!$H$13:$H$19, "&lt;"&amp;HJ1)</f>
        <v>0</v>
      </c>
      <c r="HJ3" s="109">
        <f>SUMIFS('Revenue Tracking'!$F$13:$F$19, 'Revenue Tracking'!$H$13:$H$19, "&gt;="&amp;HJ1,'Revenue Tracking'!$H$13:$H$19, "&lt;"&amp;HK1)</f>
        <v>0</v>
      </c>
      <c r="HK3" s="109">
        <f>SUMIFS('Revenue Tracking'!$F$13:$F$19, 'Revenue Tracking'!$H$13:$H$19, "&gt;="&amp;HK1,'Revenue Tracking'!$H$13:$H$19, "&lt;"&amp;HL1)</f>
        <v>0</v>
      </c>
      <c r="HL3" s="109">
        <f>SUMIFS('Revenue Tracking'!$F$13:$F$19, 'Revenue Tracking'!$H$13:$H$19, "&gt;="&amp;HL1,'Revenue Tracking'!$H$13:$H$19, "&lt;"&amp;HM1)</f>
        <v>0</v>
      </c>
      <c r="HM3" s="109">
        <f>SUMIFS('Revenue Tracking'!$F$13:$F$19, 'Revenue Tracking'!$H$13:$H$19, "&gt;="&amp;HM1,'Revenue Tracking'!$H$13:$H$19, "&lt;"&amp;HN1)</f>
        <v>0</v>
      </c>
      <c r="HN3" s="109">
        <f>SUMIFS('Revenue Tracking'!$F$13:$F$19, 'Revenue Tracking'!$H$13:$H$19, "&gt;="&amp;HN1,'Revenue Tracking'!$H$13:$H$19, "&lt;"&amp;HO1)</f>
        <v>0</v>
      </c>
      <c r="HO3" s="109">
        <f>SUMIFS('Revenue Tracking'!$F$13:$F$19, 'Revenue Tracking'!$H$13:$H$19, "&gt;="&amp;HO1,'Revenue Tracking'!$H$13:$H$19, "&lt;"&amp;HP1)</f>
        <v>0</v>
      </c>
      <c r="HP3" s="109">
        <f>SUMIFS('Revenue Tracking'!$F$13:$F$19, 'Revenue Tracking'!$H$13:$H$19, "&gt;="&amp;HP1,'Revenue Tracking'!$H$13:$H$19, "&lt;"&amp;HQ1)</f>
        <v>0</v>
      </c>
      <c r="HQ3" s="109">
        <f>SUMIFS('Revenue Tracking'!$F$13:$F$19, 'Revenue Tracking'!$H$13:$H$19, "&gt;="&amp;HQ1,'Revenue Tracking'!$H$13:$H$19, "&lt;"&amp;HR1)</f>
        <v>0</v>
      </c>
      <c r="HR3" s="109">
        <f>SUMIFS('Revenue Tracking'!$F$13:$F$19, 'Revenue Tracking'!$H$13:$H$19, "&gt;="&amp;HR1,'Revenue Tracking'!$H$13:$H$19, "&lt;"&amp;HS1)</f>
        <v>0</v>
      </c>
      <c r="HS3" s="109">
        <f>SUMIFS('Revenue Tracking'!$F$13:$F$19, 'Revenue Tracking'!$H$13:$H$19, "&gt;="&amp;HS1,'Revenue Tracking'!$H$13:$H$19, "&lt;"&amp;HT1)</f>
        <v>0</v>
      </c>
      <c r="HT3" s="109">
        <f>SUMIFS('Revenue Tracking'!$F$13:$F$19, 'Revenue Tracking'!$H$13:$H$19, "&gt;="&amp;HT1,'Revenue Tracking'!$H$13:$H$19, "&lt;"&amp;HU1)</f>
        <v>0</v>
      </c>
      <c r="HU3" s="109">
        <f>SUMIFS('Revenue Tracking'!$F$13:$F$19, 'Revenue Tracking'!$H$13:$H$19, "&gt;="&amp;HU1,'Revenue Tracking'!$H$13:$H$19, "&lt;"&amp;HV1)</f>
        <v>0</v>
      </c>
      <c r="HV3" s="109">
        <f>SUMIFS('Revenue Tracking'!$F$13:$F$19, 'Revenue Tracking'!$H$13:$H$19, "&gt;="&amp;HV1,'Revenue Tracking'!$H$13:$H$19, "&lt;"&amp;HW1)</f>
        <v>0</v>
      </c>
      <c r="HW3" s="109">
        <f>SUMIFS('Revenue Tracking'!$F$13:$F$19, 'Revenue Tracking'!$H$13:$H$19, "&gt;="&amp;HW1,'Revenue Tracking'!$H$13:$H$19, "&lt;"&amp;HX1)</f>
        <v>0</v>
      </c>
      <c r="HX3" s="109">
        <f>SUMIFS('Revenue Tracking'!$F$13:$F$19, 'Revenue Tracking'!$H$13:$H$19, "&gt;="&amp;HX1,'Revenue Tracking'!$H$13:$H$19, "&lt;"&amp;HY1)</f>
        <v>0</v>
      </c>
      <c r="HY3" s="109">
        <f>SUMIFS('Revenue Tracking'!$F$13:$F$19, 'Revenue Tracking'!$H$13:$H$19, "&gt;="&amp;HY1,'Revenue Tracking'!$H$13:$H$19, "&lt;"&amp;HZ1)</f>
        <v>0</v>
      </c>
      <c r="HZ3" s="109">
        <f>SUMIFS('Revenue Tracking'!$F$13:$F$19, 'Revenue Tracking'!$H$13:$H$19, "&gt;="&amp;HZ1,'Revenue Tracking'!$H$13:$H$19, "&lt;"&amp;IA1)</f>
        <v>0</v>
      </c>
      <c r="IA3" s="109">
        <f>SUMIFS('Revenue Tracking'!$F$13:$F$19, 'Revenue Tracking'!$H$13:$H$19, "&gt;="&amp;IA1,'Revenue Tracking'!$H$13:$H$19, "&lt;"&amp;IB1)</f>
        <v>0</v>
      </c>
      <c r="IB3" s="109">
        <f>SUMIFS('Revenue Tracking'!$F$13:$F$19, 'Revenue Tracking'!$H$13:$H$19, "&gt;="&amp;IB1,'Revenue Tracking'!$H$13:$H$19, "&lt;"&amp;IC1)</f>
        <v>0</v>
      </c>
      <c r="IC3" s="109">
        <f>SUMIFS('Revenue Tracking'!$F$13:$F$19, 'Revenue Tracking'!$H$13:$H$19, "&gt;="&amp;IC1,'Revenue Tracking'!$H$13:$H$19, "&lt;"&amp;ID1)</f>
        <v>0</v>
      </c>
      <c r="ID3" s="109">
        <f>SUMIFS('Revenue Tracking'!$F$13:$F$19, 'Revenue Tracking'!$H$13:$H$19, "&gt;="&amp;ID1,'Revenue Tracking'!$H$13:$H$19, "&lt;"&amp;IE1)</f>
        <v>0</v>
      </c>
      <c r="IE3" s="109">
        <f>SUMIFS('Revenue Tracking'!$F$13:$F$19, 'Revenue Tracking'!$H$13:$H$19, "&gt;="&amp;IE1,'Revenue Tracking'!$H$13:$H$19, "&lt;"&amp;IF1)</f>
        <v>0</v>
      </c>
      <c r="IF3" s="109">
        <f>SUMIFS('Revenue Tracking'!$F$13:$F$19, 'Revenue Tracking'!$H$13:$H$19, "&gt;="&amp;IF1,'Revenue Tracking'!$H$13:$H$19, "&lt;"&amp;IG1)</f>
        <v>0</v>
      </c>
      <c r="IG3" s="109">
        <f>SUMIFS('Revenue Tracking'!$F$13:$F$19, 'Revenue Tracking'!$H$13:$H$19, "&gt;="&amp;IG1,'Revenue Tracking'!$H$13:$H$19, "&lt;"&amp;IH1)</f>
        <v>0</v>
      </c>
      <c r="IH3" s="109">
        <f>SUMIFS('Revenue Tracking'!$F$13:$F$19, 'Revenue Tracking'!$H$13:$H$19, "&gt;="&amp;IH1,'Revenue Tracking'!$H$13:$H$19, "&lt;"&amp;II1)</f>
        <v>0</v>
      </c>
      <c r="II3" s="109">
        <f>SUMIFS('Revenue Tracking'!$F$13:$F$19, 'Revenue Tracking'!$H$13:$H$19, "&gt;="&amp;II1,'Revenue Tracking'!$H$13:$H$19, "&lt;"&amp;IJ1)</f>
        <v>0</v>
      </c>
      <c r="IJ3" s="109">
        <f>SUMIFS('Revenue Tracking'!$F$13:$F$19, 'Revenue Tracking'!$H$13:$H$19, "&gt;="&amp;IJ1,'Revenue Tracking'!$H$13:$H$19, "&lt;"&amp;IK1)</f>
        <v>0</v>
      </c>
      <c r="IK3" s="109">
        <f>SUMIFS('Revenue Tracking'!$F$13:$F$19, 'Revenue Tracking'!$H$13:$H$19, "&gt;="&amp;IK1,'Revenue Tracking'!$H$13:$H$19, "&lt;"&amp;IL1)</f>
        <v>0</v>
      </c>
      <c r="IL3" s="109">
        <f>SUMIFS('Revenue Tracking'!$F$13:$F$19, 'Revenue Tracking'!$H$13:$H$19, "&gt;="&amp;IL1,'Revenue Tracking'!$H$13:$H$19, "&lt;"&amp;IM1)</f>
        <v>0</v>
      </c>
      <c r="IM3" s="109">
        <f>SUMIFS('Revenue Tracking'!$F$13:$F$19, 'Revenue Tracking'!$H$13:$H$19, "&gt;="&amp;IM1,'Revenue Tracking'!$H$13:$H$19, "&lt;"&amp;IN1)</f>
        <v>0</v>
      </c>
      <c r="IN3" s="109">
        <f>SUMIFS('Revenue Tracking'!$F$13:$F$19, 'Revenue Tracking'!$H$13:$H$19, "&gt;="&amp;IN1,'Revenue Tracking'!$H$13:$H$19, "&lt;"&amp;IO1)</f>
        <v>0</v>
      </c>
      <c r="IO3" s="109">
        <f>SUMIFS('Revenue Tracking'!$F$13:$F$19, 'Revenue Tracking'!$H$13:$H$19, "&gt;="&amp;IO1,'Revenue Tracking'!$H$13:$H$19, "&lt;"&amp;IP1)</f>
        <v>0</v>
      </c>
      <c r="IP3" s="109">
        <f>SUMIFS('Revenue Tracking'!$F$13:$F$19, 'Revenue Tracking'!$H$13:$H$19, "&gt;="&amp;IP1,'Revenue Tracking'!$H$13:$H$19, "&lt;"&amp;IQ1)</f>
        <v>0</v>
      </c>
      <c r="IQ3" s="109">
        <f>SUMIFS('Revenue Tracking'!$F$13:$F$19, 'Revenue Tracking'!$H$13:$H$19, "&gt;="&amp;IQ1,'Revenue Tracking'!$H$13:$H$19, "&lt;"&amp;IR1)</f>
        <v>0</v>
      </c>
      <c r="IR3" s="109">
        <f>SUMIFS('Revenue Tracking'!$F$13:$F$19, 'Revenue Tracking'!$H$13:$H$19, "&gt;="&amp;IR1,'Revenue Tracking'!$H$13:$H$19, "&lt;"&amp;IS1)</f>
        <v>0</v>
      </c>
      <c r="IS3" s="109">
        <f>SUMIFS('Revenue Tracking'!$F$13:$F$19, 'Revenue Tracking'!$H$13:$H$19, "&gt;="&amp;IS1,'Revenue Tracking'!$H$13:$H$19, "&lt;"&amp;IT1)</f>
        <v>0</v>
      </c>
      <c r="IT3" s="109">
        <f>SUMIFS('Revenue Tracking'!$F$13:$F$19, 'Revenue Tracking'!$H$13:$H$19, "&gt;="&amp;IT1,'Revenue Tracking'!$H$13:$H$19, "&lt;"&amp;IU1)</f>
        <v>0</v>
      </c>
      <c r="IU3" s="109">
        <f>SUMIFS('Revenue Tracking'!$F$13:$F$19, 'Revenue Tracking'!$H$13:$H$19, "&gt;="&amp;IU1,'Revenue Tracking'!$H$13:$H$19, "&lt;"&amp;IV1)</f>
        <v>0</v>
      </c>
      <c r="IV3" s="109">
        <f>SUMIFS('Revenue Tracking'!$F$13:$F$19, 'Revenue Tracking'!$H$13:$H$19, "&gt;="&amp;IV1,'Revenue Tracking'!$H$13:$H$19, "&lt;"&amp;IW1)</f>
        <v>0</v>
      </c>
      <c r="IW3" s="109">
        <f>SUMIFS('Revenue Tracking'!$F$13:$F$19, 'Revenue Tracking'!$H$13:$H$19, "&gt;="&amp;IW1,'Revenue Tracking'!$H$13:$H$19, "&lt;"&amp;IX1)</f>
        <v>0</v>
      </c>
      <c r="IX3" s="109">
        <f>SUMIFS('Revenue Tracking'!$F$13:$F$19, 'Revenue Tracking'!$H$13:$H$19, "&gt;="&amp;IX1,'Revenue Tracking'!$H$13:$H$19, "&lt;"&amp;IY1)</f>
        <v>0</v>
      </c>
      <c r="IY3" s="109">
        <f>SUMIFS('Revenue Tracking'!$F$13:$F$19, 'Revenue Tracking'!$H$13:$H$19, "&gt;="&amp;IY1,'Revenue Tracking'!$H$13:$H$19, "&lt;"&amp;IZ1)</f>
        <v>0</v>
      </c>
      <c r="IZ3" s="109">
        <f>SUMIFS('Revenue Tracking'!$F$13:$F$19, 'Revenue Tracking'!$H$13:$H$19, "&gt;="&amp;IZ1,'Revenue Tracking'!$H$13:$H$19, "&lt;"&amp;JA1)</f>
        <v>0</v>
      </c>
      <c r="JA3" s="109">
        <f>SUMIFS('Revenue Tracking'!$F$13:$F$19, 'Revenue Tracking'!$H$13:$H$19, "&gt;="&amp;JA1,'Revenue Tracking'!$H$13:$H$19, "&lt;"&amp;JB1)</f>
        <v>0</v>
      </c>
      <c r="JB3" s="109">
        <f>SUMIFS('Revenue Tracking'!$F$13:$F$19, 'Revenue Tracking'!$H$13:$H$19, "&gt;="&amp;JB1,'Revenue Tracking'!$H$13:$H$19, "&lt;"&amp;JC1)</f>
        <v>0</v>
      </c>
      <c r="JC3" s="109">
        <f>SUMIFS('Revenue Tracking'!$F$13:$F$19, 'Revenue Tracking'!$H$13:$H$19, "&gt;="&amp;JC1,'Revenue Tracking'!$H$13:$H$19, "&lt;"&amp;JD1)</f>
        <v>0</v>
      </c>
      <c r="JD3" s="109">
        <f>SUMIFS('Revenue Tracking'!$F$13:$F$19, 'Revenue Tracking'!$H$13:$H$19, "&gt;="&amp;JD1,'Revenue Tracking'!$H$13:$H$19, "&lt;"&amp;JE1)</f>
        <v>0</v>
      </c>
      <c r="JE3" s="109">
        <f>SUMIFS('Revenue Tracking'!$F$13:$F$19, 'Revenue Tracking'!$H$13:$H$19, "&gt;="&amp;JE1,'Revenue Tracking'!$H$13:$H$19, "&lt;"&amp;JF1)</f>
        <v>0</v>
      </c>
      <c r="JF3" s="109">
        <f>SUMIFS('Revenue Tracking'!$F$13:$F$19, 'Revenue Tracking'!$H$13:$H$19, "&gt;="&amp;JF1,'Revenue Tracking'!$H$13:$H$19, "&lt;"&amp;JG1)</f>
        <v>0</v>
      </c>
      <c r="JG3" s="109">
        <f>SUMIFS('Revenue Tracking'!$F$13:$F$19, 'Revenue Tracking'!$H$13:$H$19, "&gt;="&amp;JG1,'Revenue Tracking'!$H$13:$H$19, "&lt;"&amp;JH1)</f>
        <v>0</v>
      </c>
      <c r="JH3" s="109">
        <f>SUMIFS('Revenue Tracking'!$F$13:$F$19, 'Revenue Tracking'!$H$13:$H$19, "&gt;="&amp;JH1,'Revenue Tracking'!$H$13:$H$19, "&lt;"&amp;JI1)</f>
        <v>0</v>
      </c>
      <c r="JI3" s="109">
        <f>SUMIFS('Revenue Tracking'!$F$13:$F$19, 'Revenue Tracking'!$H$13:$H$19, "&gt;="&amp;JI1,'Revenue Tracking'!$H$13:$H$19, "&lt;"&amp;JJ1)</f>
        <v>0</v>
      </c>
      <c r="JJ3" s="109">
        <f>SUMIFS('Revenue Tracking'!$F$13:$F$19, 'Revenue Tracking'!$H$13:$H$19, "&gt;="&amp;JJ1,'Revenue Tracking'!$H$13:$H$19, "&lt;"&amp;JK1)</f>
        <v>0</v>
      </c>
      <c r="JK3" s="109">
        <f>SUMIFS('Revenue Tracking'!$F$13:$F$19, 'Revenue Tracking'!$H$13:$H$19, "&gt;="&amp;JK1,'Revenue Tracking'!$H$13:$H$19, "&lt;"&amp;JL1)</f>
        <v>0</v>
      </c>
      <c r="JL3" s="109">
        <f>SUMIFS('Revenue Tracking'!$F$13:$F$19, 'Revenue Tracking'!$H$13:$H$19, "&gt;="&amp;JL1,'Revenue Tracking'!$H$13:$H$19, "&lt;"&amp;JM1)</f>
        <v>0</v>
      </c>
      <c r="JM3" s="109">
        <f>SUMIFS('Revenue Tracking'!$F$13:$F$19, 'Revenue Tracking'!$H$13:$H$19, "&gt;="&amp;JM1,'Revenue Tracking'!$H$13:$H$19, "&lt;"&amp;JN1)</f>
        <v>0</v>
      </c>
      <c r="JN3" s="109">
        <f>SUMIFS('Revenue Tracking'!$F$13:$F$19, 'Revenue Tracking'!$H$13:$H$19, "&gt;="&amp;JN1,'Revenue Tracking'!$H$13:$H$19, "&lt;"&amp;JO1)</f>
        <v>0</v>
      </c>
      <c r="JO3" s="109">
        <f>SUMIFS('Revenue Tracking'!$F$13:$F$19, 'Revenue Tracking'!$H$13:$H$19, "&gt;="&amp;JO1,'Revenue Tracking'!$H$13:$H$19, "&lt;"&amp;JP1)</f>
        <v>0</v>
      </c>
      <c r="JP3" s="109">
        <f>SUMIFS('Revenue Tracking'!$F$13:$F$19, 'Revenue Tracking'!$H$13:$H$19, "&gt;="&amp;JP1,'Revenue Tracking'!$H$13:$H$19, "&lt;"&amp;JQ1)</f>
        <v>0</v>
      </c>
      <c r="JQ3" s="109">
        <f>SUMIFS('Revenue Tracking'!$F$13:$F$19, 'Revenue Tracking'!$H$13:$H$19, "&gt;="&amp;JQ1,'Revenue Tracking'!$H$13:$H$19, "&lt;"&amp;JR1)</f>
        <v>0</v>
      </c>
      <c r="JR3" s="109">
        <f>SUMIFS('Revenue Tracking'!$F$13:$F$19, 'Revenue Tracking'!$H$13:$H$19, "&gt;="&amp;JR1,'Revenue Tracking'!$H$13:$H$19, "&lt;"&amp;JS1)</f>
        <v>0</v>
      </c>
      <c r="JS3" s="109">
        <f>SUMIFS('Revenue Tracking'!$F$13:$F$19, 'Revenue Tracking'!$H$13:$H$19, "&gt;="&amp;JS1,'Revenue Tracking'!$H$13:$H$19, "&lt;"&amp;JT1)</f>
        <v>0</v>
      </c>
      <c r="JT3" s="109">
        <f>SUMIFS('Revenue Tracking'!$F$13:$F$19, 'Revenue Tracking'!$H$13:$H$19, "&gt;="&amp;JT1,'Revenue Tracking'!$H$13:$H$19, "&lt;"&amp;JU1)</f>
        <v>0</v>
      </c>
      <c r="JU3" s="109">
        <f>SUMIFS('Revenue Tracking'!$F$13:$F$19, 'Revenue Tracking'!$H$13:$H$19, "&gt;="&amp;JU1,'Revenue Tracking'!$H$13:$H$19, "&lt;"&amp;JV1)</f>
        <v>0</v>
      </c>
      <c r="JV3" s="109">
        <f>SUMIFS('Revenue Tracking'!$F$13:$F$19, 'Revenue Tracking'!$H$13:$H$19, "&gt;="&amp;JV1,'Revenue Tracking'!$H$13:$H$19, "&lt;"&amp;JW1)</f>
        <v>0</v>
      </c>
      <c r="JW3" s="109">
        <f>SUMIFS('Revenue Tracking'!$F$13:$F$19, 'Revenue Tracking'!$H$13:$H$19, "&gt;="&amp;JW1,'Revenue Tracking'!$H$13:$H$19, "&lt;"&amp;JX1)</f>
        <v>0</v>
      </c>
      <c r="JX3" s="109">
        <f>SUMIFS('Revenue Tracking'!$F$13:$F$19, 'Revenue Tracking'!$H$13:$H$19, "&gt;="&amp;JX1,'Revenue Tracking'!$H$13:$H$19, "&lt;"&amp;JY1)</f>
        <v>0</v>
      </c>
      <c r="JY3" s="109">
        <f>SUMIFS('Revenue Tracking'!$F$13:$F$19, 'Revenue Tracking'!$H$13:$H$19, "&gt;="&amp;JY1,'Revenue Tracking'!$H$13:$H$19, "&lt;"&amp;JZ1)</f>
        <v>0</v>
      </c>
      <c r="JZ3" s="109">
        <f>SUMIFS('Revenue Tracking'!$F$13:$F$19, 'Revenue Tracking'!$H$13:$H$19, "&gt;="&amp;JZ1,'Revenue Tracking'!$H$13:$H$19, "&lt;"&amp;KA1)</f>
        <v>0</v>
      </c>
      <c r="KA3" s="109">
        <f>SUMIFS('Revenue Tracking'!$F$13:$F$19, 'Revenue Tracking'!$H$13:$H$19, "&gt;="&amp;KA1,'Revenue Tracking'!$H$13:$H$19, "&lt;"&amp;KB1)</f>
        <v>0</v>
      </c>
      <c r="KB3" s="109">
        <f>SUMIFS('Revenue Tracking'!$F$13:$F$19, 'Revenue Tracking'!$H$13:$H$19, "&gt;="&amp;KB1,'Revenue Tracking'!$H$13:$H$19, "&lt;"&amp;KC1)</f>
        <v>0</v>
      </c>
      <c r="KC3" s="109">
        <f>SUMIFS('Revenue Tracking'!$F$13:$F$19, 'Revenue Tracking'!$H$13:$H$19, "&gt;="&amp;KC1,'Revenue Tracking'!$H$13:$H$19, "&lt;"&amp;KD1)</f>
        <v>0</v>
      </c>
      <c r="KD3" s="109">
        <f>SUMIFS('Revenue Tracking'!$F$13:$F$19, 'Revenue Tracking'!$H$13:$H$19, "&gt;="&amp;KD1,'Revenue Tracking'!$H$13:$H$19, "&lt;"&amp;KE1)</f>
        <v>0</v>
      </c>
      <c r="KE3" s="109">
        <f>SUMIFS('Revenue Tracking'!$F$13:$F$19, 'Revenue Tracking'!$H$13:$H$19, "&gt;="&amp;KE1,'Revenue Tracking'!$H$13:$H$19, "&lt;"&amp;#REF!)</f>
        <v>0</v>
      </c>
    </row>
    <row r="4" spans="1:769">
      <c r="A4" s="778"/>
      <c r="B4" s="106" t="s">
        <v>399</v>
      </c>
      <c r="C4" s="107"/>
      <c r="D4" s="107"/>
      <c r="E4" s="108"/>
      <c r="F4" s="109">
        <f>F3</f>
        <v>0</v>
      </c>
      <c r="G4" s="109">
        <f>F4+G3</f>
        <v>0</v>
      </c>
      <c r="H4" s="109">
        <f>G4+H3</f>
        <v>0</v>
      </c>
      <c r="I4" s="109">
        <f t="shared" ref="I4:BT4" si="5">H4+I3</f>
        <v>0</v>
      </c>
      <c r="J4" s="109">
        <f t="shared" si="5"/>
        <v>0</v>
      </c>
      <c r="K4" s="109">
        <f t="shared" si="5"/>
        <v>0</v>
      </c>
      <c r="L4" s="109">
        <f t="shared" si="5"/>
        <v>0</v>
      </c>
      <c r="M4" s="109">
        <f t="shared" si="5"/>
        <v>0</v>
      </c>
      <c r="N4" s="109">
        <f t="shared" si="5"/>
        <v>0</v>
      </c>
      <c r="O4" s="109">
        <f t="shared" si="5"/>
        <v>0</v>
      </c>
      <c r="P4" s="109">
        <f t="shared" si="5"/>
        <v>0</v>
      </c>
      <c r="Q4" s="109">
        <f t="shared" si="5"/>
        <v>0</v>
      </c>
      <c r="R4" s="109">
        <f t="shared" si="5"/>
        <v>1022917.6099928118</v>
      </c>
      <c r="S4" s="109">
        <f t="shared" si="5"/>
        <v>1022917.6099928118</v>
      </c>
      <c r="T4" s="109">
        <f t="shared" si="5"/>
        <v>1738959.93698778</v>
      </c>
      <c r="U4" s="109">
        <f t="shared" si="5"/>
        <v>1738959.93698778</v>
      </c>
      <c r="V4" s="109">
        <f t="shared" si="5"/>
        <v>1738959.93698778</v>
      </c>
      <c r="W4" s="109">
        <f t="shared" si="5"/>
        <v>1738959.93698778</v>
      </c>
      <c r="X4" s="109">
        <f t="shared" si="5"/>
        <v>1738959.93698778</v>
      </c>
      <c r="Y4" s="109">
        <f t="shared" si="5"/>
        <v>1943543.4589863424</v>
      </c>
      <c r="Z4" s="109">
        <f t="shared" si="5"/>
        <v>1943543.4589863424</v>
      </c>
      <c r="AA4" s="109">
        <f t="shared" si="5"/>
        <v>1943543.4589863424</v>
      </c>
      <c r="AB4" s="109">
        <f t="shared" si="5"/>
        <v>1943543.4589863424</v>
      </c>
      <c r="AC4" s="109">
        <f t="shared" si="5"/>
        <v>1943543.4589863424</v>
      </c>
      <c r="AD4" s="109">
        <f>AC4+AD3</f>
        <v>1943543.4589863424</v>
      </c>
      <c r="AE4" s="109">
        <f t="shared" si="5"/>
        <v>1943543.4589863424</v>
      </c>
      <c r="AF4" s="109">
        <f t="shared" si="5"/>
        <v>1943543.4589863424</v>
      </c>
      <c r="AG4" s="109">
        <f t="shared" si="5"/>
        <v>1943543.4589863424</v>
      </c>
      <c r="AH4" s="109">
        <f t="shared" si="5"/>
        <v>1943543.4589863424</v>
      </c>
      <c r="AI4" s="109">
        <f t="shared" si="5"/>
        <v>1943543.4589863424</v>
      </c>
      <c r="AJ4" s="109">
        <f t="shared" si="5"/>
        <v>1943543.4589863424</v>
      </c>
      <c r="AK4" s="109">
        <f t="shared" si="5"/>
        <v>1943543.4589863424</v>
      </c>
      <c r="AL4" s="109">
        <f t="shared" si="5"/>
        <v>1943543.4589863424</v>
      </c>
      <c r="AM4" s="109">
        <f t="shared" si="5"/>
        <v>1943543.4589863424</v>
      </c>
      <c r="AN4" s="109">
        <f t="shared" si="5"/>
        <v>1943543.4589863424</v>
      </c>
      <c r="AO4" s="109">
        <f t="shared" si="5"/>
        <v>1943543.4589863424</v>
      </c>
      <c r="AP4" s="109">
        <f t="shared" si="5"/>
        <v>1943543.4589863424</v>
      </c>
      <c r="AQ4" s="109">
        <f t="shared" si="5"/>
        <v>1943543.4589863424</v>
      </c>
      <c r="AR4" s="109">
        <f t="shared" si="5"/>
        <v>1943543.4589863424</v>
      </c>
      <c r="AS4" s="109">
        <f t="shared" si="5"/>
        <v>1943543.4589863424</v>
      </c>
      <c r="AT4" s="109">
        <f t="shared" si="5"/>
        <v>1943543.4589863424</v>
      </c>
      <c r="AU4" s="109">
        <f t="shared" si="5"/>
        <v>1943543.4589863424</v>
      </c>
      <c r="AV4" s="109">
        <f t="shared" si="5"/>
        <v>1943543.4589863424</v>
      </c>
      <c r="AW4" s="109">
        <f t="shared" si="5"/>
        <v>1943543.4589863424</v>
      </c>
      <c r="AX4" s="109">
        <f t="shared" si="5"/>
        <v>1943543.4589863424</v>
      </c>
      <c r="AY4" s="109">
        <f t="shared" si="5"/>
        <v>1943543.4589863424</v>
      </c>
      <c r="AZ4" s="109">
        <f t="shared" si="5"/>
        <v>1943543.4589863424</v>
      </c>
      <c r="BA4" s="109">
        <f t="shared" si="5"/>
        <v>1943543.4589863424</v>
      </c>
      <c r="BB4" s="109">
        <f t="shared" si="5"/>
        <v>1943543.4589863424</v>
      </c>
      <c r="BC4" s="109">
        <f t="shared" si="5"/>
        <v>1943543.4589863424</v>
      </c>
      <c r="BD4" s="109">
        <f t="shared" si="5"/>
        <v>1943543.4589863424</v>
      </c>
      <c r="BE4" s="109">
        <f t="shared" si="5"/>
        <v>1943543.4589863424</v>
      </c>
      <c r="BF4" s="109">
        <f t="shared" si="5"/>
        <v>1943543.4589863424</v>
      </c>
      <c r="BG4" s="109">
        <f t="shared" si="5"/>
        <v>1943543.4589863424</v>
      </c>
      <c r="BH4" s="109">
        <f t="shared" si="5"/>
        <v>1943543.4589863424</v>
      </c>
      <c r="BI4" s="109">
        <f t="shared" si="5"/>
        <v>1943543.4589863424</v>
      </c>
      <c r="BJ4" s="109">
        <f t="shared" si="5"/>
        <v>1943543.4589863424</v>
      </c>
      <c r="BK4" s="109">
        <f t="shared" si="5"/>
        <v>1943543.4589863424</v>
      </c>
      <c r="BL4" s="109">
        <f t="shared" si="5"/>
        <v>1943543.4589863424</v>
      </c>
      <c r="BM4" s="109">
        <f t="shared" si="5"/>
        <v>1943543.4589863424</v>
      </c>
      <c r="BN4" s="109">
        <f t="shared" si="5"/>
        <v>1943543.4589863424</v>
      </c>
      <c r="BO4" s="109">
        <f t="shared" si="5"/>
        <v>1943543.4589863424</v>
      </c>
      <c r="BP4" s="109">
        <f t="shared" si="5"/>
        <v>1943543.4589863424</v>
      </c>
      <c r="BQ4" s="109">
        <f t="shared" si="5"/>
        <v>1943543.4589863424</v>
      </c>
      <c r="BR4" s="109">
        <f t="shared" si="5"/>
        <v>1943543.4589863424</v>
      </c>
      <c r="BS4" s="109">
        <f t="shared" si="5"/>
        <v>1943543.4589863424</v>
      </c>
      <c r="BT4" s="109">
        <f t="shared" si="5"/>
        <v>1943543.4589863424</v>
      </c>
      <c r="BU4" s="109">
        <f t="shared" ref="BU4:EF4" si="6">BT4+BU3</f>
        <v>1943543.4589863424</v>
      </c>
      <c r="BV4" s="109">
        <f t="shared" si="6"/>
        <v>1943543.4589863424</v>
      </c>
      <c r="BW4" s="109">
        <f t="shared" si="6"/>
        <v>1943543.4589863424</v>
      </c>
      <c r="BX4" s="109">
        <f t="shared" si="6"/>
        <v>1943543.4589863424</v>
      </c>
      <c r="BY4" s="109">
        <f t="shared" si="6"/>
        <v>1943543.4589863424</v>
      </c>
      <c r="BZ4" s="109">
        <f t="shared" si="6"/>
        <v>2045835.2199856236</v>
      </c>
      <c r="CA4" s="109">
        <f t="shared" si="6"/>
        <v>2045835.2199856236</v>
      </c>
      <c r="CB4" s="109">
        <f t="shared" si="6"/>
        <v>2045835.2199856236</v>
      </c>
      <c r="CC4" s="109">
        <f t="shared" si="6"/>
        <v>2045835.2199856236</v>
      </c>
      <c r="CD4" s="109">
        <f t="shared" si="6"/>
        <v>2045835.2199856236</v>
      </c>
      <c r="CE4" s="109">
        <f t="shared" si="6"/>
        <v>2045835.2199856236</v>
      </c>
      <c r="CF4" s="109">
        <f t="shared" si="6"/>
        <v>2045835.2199856236</v>
      </c>
      <c r="CG4" s="109">
        <f t="shared" si="6"/>
        <v>2045835.2199856236</v>
      </c>
      <c r="CH4" s="109">
        <f t="shared" si="6"/>
        <v>2045835.2199856236</v>
      </c>
      <c r="CI4" s="109">
        <f t="shared" si="6"/>
        <v>2045835.2199856236</v>
      </c>
      <c r="CJ4" s="109">
        <f t="shared" si="6"/>
        <v>2045835.2199856236</v>
      </c>
      <c r="CK4" s="109">
        <f t="shared" si="6"/>
        <v>2045835.2199856236</v>
      </c>
      <c r="CL4" s="109">
        <f t="shared" si="6"/>
        <v>2045835.2199856236</v>
      </c>
      <c r="CM4" s="109">
        <f t="shared" si="6"/>
        <v>2045835.2199856236</v>
      </c>
      <c r="CN4" s="109">
        <f t="shared" si="6"/>
        <v>2045835.2199856236</v>
      </c>
      <c r="CO4" s="109">
        <f t="shared" si="6"/>
        <v>2045835.2199856236</v>
      </c>
      <c r="CP4" s="109">
        <f t="shared" si="6"/>
        <v>2045835.2199856236</v>
      </c>
      <c r="CQ4" s="109">
        <f t="shared" si="6"/>
        <v>2045835.2199856236</v>
      </c>
      <c r="CR4" s="109">
        <f t="shared" si="6"/>
        <v>2045835.2199856236</v>
      </c>
      <c r="CS4" s="109">
        <f t="shared" si="6"/>
        <v>2045835.2199856236</v>
      </c>
      <c r="CT4" s="109">
        <f t="shared" si="6"/>
        <v>2045835.2199856236</v>
      </c>
      <c r="CU4" s="109">
        <f t="shared" si="6"/>
        <v>2045835.2199856236</v>
      </c>
      <c r="CV4" s="109">
        <f t="shared" si="6"/>
        <v>2045835.2199856236</v>
      </c>
      <c r="CW4" s="109">
        <f t="shared" si="6"/>
        <v>2045835.2199856236</v>
      </c>
      <c r="CX4" s="109">
        <f t="shared" si="6"/>
        <v>2045835.2199856236</v>
      </c>
      <c r="CY4" s="109">
        <f t="shared" si="6"/>
        <v>2045835.2199856236</v>
      </c>
      <c r="CZ4" s="109">
        <f t="shared" si="6"/>
        <v>2045835.2199856236</v>
      </c>
      <c r="DA4" s="109">
        <f t="shared" si="6"/>
        <v>2045835.2199856236</v>
      </c>
      <c r="DB4" s="109">
        <f t="shared" si="6"/>
        <v>2045835.2199856236</v>
      </c>
      <c r="DC4" s="109">
        <f t="shared" si="6"/>
        <v>2045835.2199856236</v>
      </c>
      <c r="DD4" s="109">
        <f t="shared" si="6"/>
        <v>2045835.2199856236</v>
      </c>
      <c r="DE4" s="109">
        <f t="shared" si="6"/>
        <v>2045835.2199856236</v>
      </c>
      <c r="DF4" s="109">
        <f t="shared" si="6"/>
        <v>2045835.2199856236</v>
      </c>
      <c r="DG4" s="109">
        <f t="shared" si="6"/>
        <v>2045835.2199856236</v>
      </c>
      <c r="DH4" s="109">
        <f t="shared" si="6"/>
        <v>2045835.2199856236</v>
      </c>
      <c r="DI4" s="109">
        <f t="shared" si="6"/>
        <v>2045835.2199856236</v>
      </c>
      <c r="DJ4" s="109">
        <f t="shared" si="6"/>
        <v>2045835.2199856236</v>
      </c>
      <c r="DK4" s="109">
        <f t="shared" si="6"/>
        <v>2045835.2199856236</v>
      </c>
      <c r="DL4" s="109">
        <f t="shared" si="6"/>
        <v>2045835.2199856236</v>
      </c>
      <c r="DM4" s="109">
        <f t="shared" si="6"/>
        <v>2045835.2199856236</v>
      </c>
      <c r="DN4" s="109">
        <f t="shared" si="6"/>
        <v>2045835.2199856236</v>
      </c>
      <c r="DO4" s="109">
        <f t="shared" si="6"/>
        <v>2045835.2199856236</v>
      </c>
      <c r="DP4" s="109">
        <f t="shared" si="6"/>
        <v>2045835.2199856236</v>
      </c>
      <c r="DQ4" s="109">
        <f t="shared" si="6"/>
        <v>2045835.2199856236</v>
      </c>
      <c r="DR4" s="109">
        <f t="shared" si="6"/>
        <v>2045835.2199856236</v>
      </c>
      <c r="DS4" s="109">
        <f t="shared" si="6"/>
        <v>2045835.2199856236</v>
      </c>
      <c r="DT4" s="109">
        <f t="shared" si="6"/>
        <v>2045835.2199856236</v>
      </c>
      <c r="DU4" s="109">
        <f t="shared" si="6"/>
        <v>2045835.2199856236</v>
      </c>
      <c r="DV4" s="109">
        <f t="shared" si="6"/>
        <v>2045835.2199856236</v>
      </c>
      <c r="DW4" s="109">
        <f t="shared" si="6"/>
        <v>2045835.2199856236</v>
      </c>
      <c r="DX4" s="109">
        <f t="shared" si="6"/>
        <v>2045835.2199856236</v>
      </c>
      <c r="DY4" s="109">
        <f t="shared" si="6"/>
        <v>2045835.2199856236</v>
      </c>
      <c r="DZ4" s="109">
        <f t="shared" si="6"/>
        <v>2045835.2199856236</v>
      </c>
      <c r="EA4" s="109">
        <f t="shared" si="6"/>
        <v>2045835.2199856236</v>
      </c>
      <c r="EB4" s="109">
        <f t="shared" si="6"/>
        <v>2045835.2199856236</v>
      </c>
      <c r="EC4" s="109">
        <f t="shared" si="6"/>
        <v>2045835.2199856236</v>
      </c>
      <c r="ED4" s="109">
        <f t="shared" si="6"/>
        <v>2045835.2199856236</v>
      </c>
      <c r="EE4" s="109">
        <f t="shared" si="6"/>
        <v>2045835.2199856236</v>
      </c>
      <c r="EF4" s="109">
        <f t="shared" si="6"/>
        <v>2045835.2199856236</v>
      </c>
      <c r="EG4" s="109">
        <f t="shared" ref="EG4:GR4" si="7">EF4+EG3</f>
        <v>2045835.2199856236</v>
      </c>
      <c r="EH4" s="109">
        <f t="shared" si="7"/>
        <v>2045835.2199856236</v>
      </c>
      <c r="EI4" s="109">
        <f t="shared" si="7"/>
        <v>2045835.2199856236</v>
      </c>
      <c r="EJ4" s="109">
        <f t="shared" si="7"/>
        <v>2045835.2199856236</v>
      </c>
      <c r="EK4" s="109">
        <f t="shared" si="7"/>
        <v>2045835.2199856236</v>
      </c>
      <c r="EL4" s="109">
        <f t="shared" si="7"/>
        <v>2045835.2199856236</v>
      </c>
      <c r="EM4" s="109">
        <f t="shared" si="7"/>
        <v>2045835.2199856236</v>
      </c>
      <c r="EN4" s="109">
        <f t="shared" si="7"/>
        <v>2045835.2199856236</v>
      </c>
      <c r="EO4" s="109">
        <f t="shared" si="7"/>
        <v>2045835.2199856236</v>
      </c>
      <c r="EP4" s="109">
        <f t="shared" si="7"/>
        <v>2045835.2199856236</v>
      </c>
      <c r="EQ4" s="109">
        <f t="shared" si="7"/>
        <v>2045835.2199856236</v>
      </c>
      <c r="ER4" s="109">
        <f t="shared" si="7"/>
        <v>2045835.2199856236</v>
      </c>
      <c r="ES4" s="109">
        <f t="shared" si="7"/>
        <v>2045835.2199856236</v>
      </c>
      <c r="ET4" s="109">
        <f t="shared" si="7"/>
        <v>2045835.2199856236</v>
      </c>
      <c r="EU4" s="109">
        <f t="shared" si="7"/>
        <v>2045835.2199856236</v>
      </c>
      <c r="EV4" s="109">
        <f t="shared" si="7"/>
        <v>2045835.2199856236</v>
      </c>
      <c r="EW4" s="109">
        <f t="shared" si="7"/>
        <v>2045835.2199856236</v>
      </c>
      <c r="EX4" s="109">
        <f t="shared" si="7"/>
        <v>2045835.2199856236</v>
      </c>
      <c r="EY4" s="109">
        <f t="shared" si="7"/>
        <v>2045835.2199856236</v>
      </c>
      <c r="EZ4" s="109">
        <f t="shared" si="7"/>
        <v>2045835.2199856236</v>
      </c>
      <c r="FA4" s="109">
        <f t="shared" si="7"/>
        <v>2045835.2199856236</v>
      </c>
      <c r="FB4" s="109">
        <f t="shared" si="7"/>
        <v>2045835.2199856236</v>
      </c>
      <c r="FC4" s="109">
        <f t="shared" si="7"/>
        <v>2045835.2199856236</v>
      </c>
      <c r="FD4" s="109">
        <f t="shared" si="7"/>
        <v>2045835.2199856236</v>
      </c>
      <c r="FE4" s="109">
        <f t="shared" si="7"/>
        <v>2045835.2199856236</v>
      </c>
      <c r="FF4" s="109">
        <f t="shared" si="7"/>
        <v>2045835.2199856236</v>
      </c>
      <c r="FG4" s="109">
        <f t="shared" si="7"/>
        <v>2045835.2199856236</v>
      </c>
      <c r="FH4" s="109">
        <f t="shared" si="7"/>
        <v>2045835.2199856236</v>
      </c>
      <c r="FI4" s="109">
        <f t="shared" si="7"/>
        <v>2045835.2199856236</v>
      </c>
      <c r="FJ4" s="109">
        <f t="shared" si="7"/>
        <v>2045835.2199856236</v>
      </c>
      <c r="FK4" s="109">
        <f t="shared" si="7"/>
        <v>2045835.2199856236</v>
      </c>
      <c r="FL4" s="109">
        <f t="shared" si="7"/>
        <v>2045835.2199856236</v>
      </c>
      <c r="FM4" s="109">
        <f t="shared" si="7"/>
        <v>2045835.2199856236</v>
      </c>
      <c r="FN4" s="109">
        <f t="shared" si="7"/>
        <v>2045835.2199856236</v>
      </c>
      <c r="FO4" s="109">
        <f t="shared" si="7"/>
        <v>2045835.2199856236</v>
      </c>
      <c r="FP4" s="109">
        <f t="shared" si="7"/>
        <v>2045835.2199856236</v>
      </c>
      <c r="FQ4" s="109">
        <f t="shared" si="7"/>
        <v>2045835.2199856236</v>
      </c>
      <c r="FR4" s="109">
        <f t="shared" si="7"/>
        <v>2045835.2199856236</v>
      </c>
      <c r="FS4" s="109">
        <f t="shared" si="7"/>
        <v>2045835.2199856236</v>
      </c>
      <c r="FT4" s="109">
        <f t="shared" si="7"/>
        <v>2045835.2199856236</v>
      </c>
      <c r="FU4" s="109">
        <f t="shared" si="7"/>
        <v>2045835.2199856236</v>
      </c>
      <c r="FV4" s="109">
        <f t="shared" si="7"/>
        <v>2045835.2199856236</v>
      </c>
      <c r="FW4" s="109">
        <f t="shared" si="7"/>
        <v>2045835.2199856236</v>
      </c>
      <c r="FX4" s="109">
        <f t="shared" si="7"/>
        <v>2045835.2199856236</v>
      </c>
      <c r="FY4" s="109">
        <f t="shared" si="7"/>
        <v>2045835.2199856236</v>
      </c>
      <c r="FZ4" s="109">
        <f t="shared" si="7"/>
        <v>2045835.2199856236</v>
      </c>
      <c r="GA4" s="109">
        <f t="shared" si="7"/>
        <v>2045835.2199856236</v>
      </c>
      <c r="GB4" s="109">
        <f t="shared" si="7"/>
        <v>2045835.2199856236</v>
      </c>
      <c r="GC4" s="109">
        <f t="shared" si="7"/>
        <v>2045835.2199856236</v>
      </c>
      <c r="GD4" s="109">
        <f t="shared" si="7"/>
        <v>2045835.2199856236</v>
      </c>
      <c r="GE4" s="109">
        <f t="shared" si="7"/>
        <v>2045835.2199856236</v>
      </c>
      <c r="GF4" s="109">
        <f t="shared" si="7"/>
        <v>2045835.2199856236</v>
      </c>
      <c r="GG4" s="109">
        <f t="shared" si="7"/>
        <v>2045835.2199856236</v>
      </c>
      <c r="GH4" s="109">
        <f t="shared" si="7"/>
        <v>2045835.2199856236</v>
      </c>
      <c r="GI4" s="109">
        <f t="shared" si="7"/>
        <v>2045835.2199856236</v>
      </c>
      <c r="GJ4" s="109">
        <f t="shared" si="7"/>
        <v>2045835.2199856236</v>
      </c>
      <c r="GK4" s="109">
        <f t="shared" si="7"/>
        <v>2045835.2199856236</v>
      </c>
      <c r="GL4" s="109">
        <f t="shared" si="7"/>
        <v>2045835.2199856236</v>
      </c>
      <c r="GM4" s="109">
        <f t="shared" si="7"/>
        <v>2045835.2199856236</v>
      </c>
      <c r="GN4" s="109">
        <f t="shared" si="7"/>
        <v>2045835.2199856236</v>
      </c>
      <c r="GO4" s="109">
        <f t="shared" si="7"/>
        <v>2045835.2199856236</v>
      </c>
      <c r="GP4" s="109">
        <f t="shared" si="7"/>
        <v>2045835.2199856236</v>
      </c>
      <c r="GQ4" s="109">
        <f t="shared" si="7"/>
        <v>2045835.2199856236</v>
      </c>
      <c r="GR4" s="109">
        <f t="shared" si="7"/>
        <v>2045835.2199856236</v>
      </c>
      <c r="GS4" s="109">
        <f t="shared" ref="GS4:JD4" si="8">GR4+GS3</f>
        <v>2045835.2199856236</v>
      </c>
      <c r="GT4" s="109">
        <f t="shared" si="8"/>
        <v>2045835.2199856236</v>
      </c>
      <c r="GU4" s="109">
        <f t="shared" si="8"/>
        <v>2045835.2199856236</v>
      </c>
      <c r="GV4" s="109">
        <f t="shared" si="8"/>
        <v>2045835.2199856236</v>
      </c>
      <c r="GW4" s="109">
        <f t="shared" si="8"/>
        <v>2045835.2199856236</v>
      </c>
      <c r="GX4" s="109">
        <f t="shared" si="8"/>
        <v>2045835.2199856236</v>
      </c>
      <c r="GY4" s="109">
        <f t="shared" si="8"/>
        <v>2045835.2199856236</v>
      </c>
      <c r="GZ4" s="109">
        <f t="shared" si="8"/>
        <v>2045835.2199856236</v>
      </c>
      <c r="HA4" s="109">
        <f t="shared" si="8"/>
        <v>2045835.2199856236</v>
      </c>
      <c r="HB4" s="109">
        <f t="shared" si="8"/>
        <v>2045835.2199856236</v>
      </c>
      <c r="HC4" s="109">
        <f t="shared" si="8"/>
        <v>2045835.2199856236</v>
      </c>
      <c r="HD4" s="109">
        <f t="shared" si="8"/>
        <v>2045835.2199856236</v>
      </c>
      <c r="HE4" s="109">
        <f t="shared" si="8"/>
        <v>2045835.2199856236</v>
      </c>
      <c r="HF4" s="109">
        <f t="shared" si="8"/>
        <v>2045835.2199856236</v>
      </c>
      <c r="HG4" s="109">
        <f t="shared" si="8"/>
        <v>2045835.2199856236</v>
      </c>
      <c r="HH4" s="109">
        <f t="shared" si="8"/>
        <v>2045835.2199856236</v>
      </c>
      <c r="HI4" s="109">
        <f t="shared" si="8"/>
        <v>2045835.2199856236</v>
      </c>
      <c r="HJ4" s="109">
        <f t="shared" si="8"/>
        <v>2045835.2199856236</v>
      </c>
      <c r="HK4" s="109">
        <f t="shared" si="8"/>
        <v>2045835.2199856236</v>
      </c>
      <c r="HL4" s="109">
        <f t="shared" si="8"/>
        <v>2045835.2199856236</v>
      </c>
      <c r="HM4" s="109">
        <f t="shared" si="8"/>
        <v>2045835.2199856236</v>
      </c>
      <c r="HN4" s="109">
        <f t="shared" si="8"/>
        <v>2045835.2199856236</v>
      </c>
      <c r="HO4" s="109">
        <f t="shared" si="8"/>
        <v>2045835.2199856236</v>
      </c>
      <c r="HP4" s="109">
        <f t="shared" si="8"/>
        <v>2045835.2199856236</v>
      </c>
      <c r="HQ4" s="109">
        <f t="shared" si="8"/>
        <v>2045835.2199856236</v>
      </c>
      <c r="HR4" s="109">
        <f t="shared" si="8"/>
        <v>2045835.2199856236</v>
      </c>
      <c r="HS4" s="109">
        <f t="shared" si="8"/>
        <v>2045835.2199856236</v>
      </c>
      <c r="HT4" s="109">
        <f t="shared" si="8"/>
        <v>2045835.2199856236</v>
      </c>
      <c r="HU4" s="109">
        <f t="shared" si="8"/>
        <v>2045835.2199856236</v>
      </c>
      <c r="HV4" s="109">
        <f t="shared" si="8"/>
        <v>2045835.2199856236</v>
      </c>
      <c r="HW4" s="109">
        <f t="shared" si="8"/>
        <v>2045835.2199856236</v>
      </c>
      <c r="HX4" s="109">
        <f t="shared" si="8"/>
        <v>2045835.2199856236</v>
      </c>
      <c r="HY4" s="109">
        <f t="shared" si="8"/>
        <v>2045835.2199856236</v>
      </c>
      <c r="HZ4" s="109">
        <f t="shared" si="8"/>
        <v>2045835.2199856236</v>
      </c>
      <c r="IA4" s="109">
        <f t="shared" si="8"/>
        <v>2045835.2199856236</v>
      </c>
      <c r="IB4" s="109">
        <f t="shared" si="8"/>
        <v>2045835.2199856236</v>
      </c>
      <c r="IC4" s="109">
        <f t="shared" si="8"/>
        <v>2045835.2199856236</v>
      </c>
      <c r="ID4" s="109">
        <f t="shared" si="8"/>
        <v>2045835.2199856236</v>
      </c>
      <c r="IE4" s="109">
        <f t="shared" si="8"/>
        <v>2045835.2199856236</v>
      </c>
      <c r="IF4" s="109">
        <f t="shared" si="8"/>
        <v>2045835.2199856236</v>
      </c>
      <c r="IG4" s="109">
        <f t="shared" si="8"/>
        <v>2045835.2199856236</v>
      </c>
      <c r="IH4" s="109">
        <f t="shared" si="8"/>
        <v>2045835.2199856236</v>
      </c>
      <c r="II4" s="109">
        <f t="shared" si="8"/>
        <v>2045835.2199856236</v>
      </c>
      <c r="IJ4" s="109">
        <f t="shared" si="8"/>
        <v>2045835.2199856236</v>
      </c>
      <c r="IK4" s="109">
        <f t="shared" si="8"/>
        <v>2045835.2199856236</v>
      </c>
      <c r="IL4" s="109">
        <f t="shared" si="8"/>
        <v>2045835.2199856236</v>
      </c>
      <c r="IM4" s="109">
        <f t="shared" si="8"/>
        <v>2045835.2199856236</v>
      </c>
      <c r="IN4" s="109">
        <f t="shared" si="8"/>
        <v>2045835.2199856236</v>
      </c>
      <c r="IO4" s="109">
        <f t="shared" si="8"/>
        <v>2045835.2199856236</v>
      </c>
      <c r="IP4" s="109">
        <f t="shared" si="8"/>
        <v>2045835.2199856236</v>
      </c>
      <c r="IQ4" s="109">
        <f t="shared" si="8"/>
        <v>2045835.2199856236</v>
      </c>
      <c r="IR4" s="109">
        <f t="shared" si="8"/>
        <v>2045835.2199856236</v>
      </c>
      <c r="IS4" s="109">
        <f t="shared" si="8"/>
        <v>2045835.2199856236</v>
      </c>
      <c r="IT4" s="109">
        <f t="shared" si="8"/>
        <v>2045835.2199856236</v>
      </c>
      <c r="IU4" s="109">
        <f t="shared" si="8"/>
        <v>2045835.2199856236</v>
      </c>
      <c r="IV4" s="109">
        <f t="shared" si="8"/>
        <v>2045835.2199856236</v>
      </c>
      <c r="IW4" s="109">
        <f t="shared" si="8"/>
        <v>2045835.2199856236</v>
      </c>
      <c r="IX4" s="109">
        <f t="shared" si="8"/>
        <v>2045835.2199856236</v>
      </c>
      <c r="IY4" s="109">
        <f t="shared" si="8"/>
        <v>2045835.2199856236</v>
      </c>
      <c r="IZ4" s="109">
        <f t="shared" si="8"/>
        <v>2045835.2199856236</v>
      </c>
      <c r="JA4" s="109">
        <f t="shared" si="8"/>
        <v>2045835.2199856236</v>
      </c>
      <c r="JB4" s="109">
        <f t="shared" si="8"/>
        <v>2045835.2199856236</v>
      </c>
      <c r="JC4" s="109">
        <f t="shared" si="8"/>
        <v>2045835.2199856236</v>
      </c>
      <c r="JD4" s="109">
        <f t="shared" si="8"/>
        <v>2045835.2199856236</v>
      </c>
      <c r="JE4" s="109">
        <f t="shared" ref="JE4:KE4" si="9">JD4+JE3</f>
        <v>2045835.2199856236</v>
      </c>
      <c r="JF4" s="109">
        <f t="shared" si="9"/>
        <v>2045835.2199856236</v>
      </c>
      <c r="JG4" s="109">
        <f t="shared" si="9"/>
        <v>2045835.2199856236</v>
      </c>
      <c r="JH4" s="109">
        <f t="shared" si="9"/>
        <v>2045835.2199856236</v>
      </c>
      <c r="JI4" s="109">
        <f t="shared" si="9"/>
        <v>2045835.2199856236</v>
      </c>
      <c r="JJ4" s="109">
        <f t="shared" si="9"/>
        <v>2045835.2199856236</v>
      </c>
      <c r="JK4" s="109">
        <f t="shared" si="9"/>
        <v>2045835.2199856236</v>
      </c>
      <c r="JL4" s="109">
        <f t="shared" si="9"/>
        <v>2045835.2199856236</v>
      </c>
      <c r="JM4" s="109">
        <f t="shared" si="9"/>
        <v>2045835.2199856236</v>
      </c>
      <c r="JN4" s="109">
        <f t="shared" si="9"/>
        <v>2045835.2199856236</v>
      </c>
      <c r="JO4" s="109">
        <f t="shared" si="9"/>
        <v>2045835.2199856236</v>
      </c>
      <c r="JP4" s="109">
        <f t="shared" si="9"/>
        <v>2045835.2199856236</v>
      </c>
      <c r="JQ4" s="109">
        <f t="shared" si="9"/>
        <v>2045835.2199856236</v>
      </c>
      <c r="JR4" s="109">
        <f t="shared" si="9"/>
        <v>2045835.2199856236</v>
      </c>
      <c r="JS4" s="109">
        <f t="shared" si="9"/>
        <v>2045835.2199856236</v>
      </c>
      <c r="JT4" s="109">
        <f t="shared" si="9"/>
        <v>2045835.2199856236</v>
      </c>
      <c r="JU4" s="109">
        <f t="shared" si="9"/>
        <v>2045835.2199856236</v>
      </c>
      <c r="JV4" s="109">
        <f t="shared" si="9"/>
        <v>2045835.2199856236</v>
      </c>
      <c r="JW4" s="109">
        <f t="shared" si="9"/>
        <v>2045835.2199856236</v>
      </c>
      <c r="JX4" s="109">
        <f t="shared" si="9"/>
        <v>2045835.2199856236</v>
      </c>
      <c r="JY4" s="109">
        <f t="shared" si="9"/>
        <v>2045835.2199856236</v>
      </c>
      <c r="JZ4" s="109">
        <f t="shared" si="9"/>
        <v>2045835.2199856236</v>
      </c>
      <c r="KA4" s="109">
        <f t="shared" si="9"/>
        <v>2045835.2199856236</v>
      </c>
      <c r="KB4" s="109">
        <f t="shared" si="9"/>
        <v>2045835.2199856236</v>
      </c>
      <c r="KC4" s="109">
        <f t="shared" si="9"/>
        <v>2045835.2199856236</v>
      </c>
      <c r="KD4" s="109">
        <f t="shared" si="9"/>
        <v>2045835.2199856236</v>
      </c>
      <c r="KE4" s="109">
        <f t="shared" si="9"/>
        <v>2045835.2199856236</v>
      </c>
    </row>
    <row r="5" spans="1:769" s="114" customFormat="1">
      <c r="A5" s="778"/>
      <c r="B5" s="110" t="s">
        <v>227</v>
      </c>
      <c r="C5" s="111">
        <f>'Revenue Tracking'!D5</f>
        <v>1676787.7905682609</v>
      </c>
      <c r="D5" s="111">
        <f>SUM(F5:KE5)</f>
        <v>1676787.7905682609</v>
      </c>
      <c r="E5" s="108"/>
      <c r="F5" s="112">
        <f>SUMIFS('Expenditure Breakdown'!$G$6:$G$166, 'Expenditure Breakdown'!$H$6:$H$166, "&gt;="&amp;F1,'Expenditure Breakdown'!$H$6:$H$166, "&lt;"&amp;G1)</f>
        <v>0</v>
      </c>
      <c r="G5" s="112">
        <f>SUMIFS('Expenditure Breakdown'!$G$6:$G$166, 'Expenditure Breakdown'!$H$6:$H$166, "&gt;="&amp;G1,'Expenditure Breakdown'!$H$6:$H$166, "&lt;"&amp;H1)</f>
        <v>0</v>
      </c>
      <c r="H5" s="112">
        <f>SUMIFS('Expenditure Breakdown'!$G$6:$G$166, 'Expenditure Breakdown'!$H$6:$H$166, "&gt;="&amp;H1,'Expenditure Breakdown'!$H$6:$H$166, "&lt;"&amp;I1)</f>
        <v>0</v>
      </c>
      <c r="I5" s="112">
        <f>SUMIFS('Expenditure Breakdown'!$G$6:$G$166, 'Expenditure Breakdown'!$H$6:$H$166, "&gt;="&amp;I1,'Expenditure Breakdown'!$H$6:$H$166, "&lt;"&amp;J1)</f>
        <v>0</v>
      </c>
      <c r="J5" s="112">
        <f>SUMIFS('Expenditure Breakdown'!$G$6:$G$166, 'Expenditure Breakdown'!$H$6:$H$166, "&gt;="&amp;J1,'Expenditure Breakdown'!$H$6:$H$166, "&lt;"&amp;K1)</f>
        <v>0</v>
      </c>
      <c r="K5" s="112">
        <f>SUMIFS('Expenditure Breakdown'!$G$6:$G$166, 'Expenditure Breakdown'!$H$6:$H$166, "&gt;="&amp;K1,'Expenditure Breakdown'!$H$6:$H$166, "&lt;"&amp;L1)</f>
        <v>0</v>
      </c>
      <c r="L5" s="112">
        <f>SUMIFS('Expenditure Breakdown'!$G$6:$G$166, 'Expenditure Breakdown'!$H$6:$H$166, "&gt;="&amp;L1,'Expenditure Breakdown'!$H$6:$H$166, "&lt;"&amp;M1)</f>
        <v>0</v>
      </c>
      <c r="M5" s="112">
        <f>SUMIFS('Expenditure Breakdown'!$G$6:$G$166, 'Expenditure Breakdown'!$H$6:$H$166, "&gt;="&amp;M1,'Expenditure Breakdown'!$H$6:$H$166, "&lt;"&amp;N1)</f>
        <v>0</v>
      </c>
      <c r="N5" s="112">
        <f>SUMIFS('Expenditure Breakdown'!$G$6:$G$166, 'Expenditure Breakdown'!$H$6:$H$166, "&gt;="&amp;N1,'Expenditure Breakdown'!$H$6:$H$166, "&lt;"&amp;O1)</f>
        <v>0</v>
      </c>
      <c r="O5" s="112">
        <f>SUMIFS('Expenditure Breakdown'!$G$6:$G$166, 'Expenditure Breakdown'!$H$6:$H$166, "&gt;="&amp;O1,'Expenditure Breakdown'!$H$6:$H$166, "&lt;"&amp;P1)</f>
        <v>0</v>
      </c>
      <c r="P5" s="112">
        <f>SUMIFS('Expenditure Breakdown'!$G$6:$G$166, 'Expenditure Breakdown'!$H$6:$H$166, "&gt;="&amp;P1,'Expenditure Breakdown'!$H$6:$H$166, "&lt;"&amp;Q1)</f>
        <v>0</v>
      </c>
      <c r="Q5" s="112">
        <f>SUMIFS('Expenditure Breakdown'!$G$6:$G$166, 'Expenditure Breakdown'!$H$6:$H$166, "&gt;="&amp;Q1,'Expenditure Breakdown'!$H$6:$H$166, "&lt;"&amp;R1)</f>
        <v>0</v>
      </c>
      <c r="R5" s="112">
        <f>SUMIFS('Expenditure Breakdown'!$G$6:$G$166, 'Expenditure Breakdown'!$H$6:$H$166, "&gt;="&amp;R1,'Expenditure Breakdown'!$H$6:$H$166, "&lt;"&amp;S1)</f>
        <v>0</v>
      </c>
      <c r="S5" s="112">
        <f>SUMIFS('Expenditure Breakdown'!$G$6:$G$166, 'Expenditure Breakdown'!$H$6:$H$166, "&gt;="&amp;S1,'Expenditure Breakdown'!$H$6:$H$166, "&lt;"&amp;T1)</f>
        <v>0</v>
      </c>
      <c r="T5" s="112">
        <f>SUMIFS('Expenditure Breakdown'!$G$6:$G$166, 'Expenditure Breakdown'!$H$6:$H$166, "&gt;="&amp;T1,'Expenditure Breakdown'!$H$6:$H$166, "&lt;"&amp;U1)</f>
        <v>0</v>
      </c>
      <c r="U5" s="112">
        <f>SUMIFS('Expenditure Breakdown'!$G$6:$G$166, 'Expenditure Breakdown'!$H$6:$H$166, "&gt;="&amp;U1,'Expenditure Breakdown'!$H$6:$H$166, "&lt;"&amp;V1)</f>
        <v>0</v>
      </c>
      <c r="V5" s="112">
        <f>SUMIFS('Expenditure Breakdown'!$G$6:$G$166, 'Expenditure Breakdown'!$H$6:$H$166, "&gt;="&amp;V1,'Expenditure Breakdown'!$H$6:$H$166, "&lt;"&amp;W1)</f>
        <v>202055.1</v>
      </c>
      <c r="W5" s="112">
        <f>SUMIFS('Expenditure Breakdown'!$G$6:$G$166, 'Expenditure Breakdown'!$H$6:$H$166, "&gt;="&amp;W1,'Expenditure Breakdown'!$H$6:$H$166, "&lt;"&amp;X1)</f>
        <v>118370.00000000001</v>
      </c>
      <c r="X5" s="112">
        <f>SUMIFS('Expenditure Breakdown'!$G$6:$G$166, 'Expenditure Breakdown'!$H$6:$H$166, "&gt;="&amp;X1,'Expenditure Breakdown'!$H$6:$H$166, "&lt;"&amp;Y1)</f>
        <v>184150.08888888889</v>
      </c>
      <c r="Y5" s="112">
        <f>SUMIFS('Expenditure Breakdown'!$G$6:$G$166, 'Expenditure Breakdown'!$H$6:$H$166, "&gt;="&amp;Y1,'Expenditure Breakdown'!$H$6:$H$166, "&lt;"&amp;Z1)</f>
        <v>399472.95652173914</v>
      </c>
      <c r="Z5" s="112">
        <f>SUMIFS('Expenditure Breakdown'!$G$6:$G$166, 'Expenditure Breakdown'!$H$6:$H$166, "&gt;="&amp;Z1,'Expenditure Breakdown'!$H$6:$H$166, "&lt;"&amp;AA1)</f>
        <v>62157.873957632852</v>
      </c>
      <c r="AA5" s="112">
        <f>SUMIFS('Expenditure Breakdown'!$G$6:$G$166, 'Expenditure Breakdown'!$H$6:$H$166, "&gt;="&amp;AA1,'Expenditure Breakdown'!$H$6:$H$166, "&lt;"&amp;AB1)</f>
        <v>710581.77120000008</v>
      </c>
      <c r="AB5" s="112">
        <f>SUMIFS('Expenditure Breakdown'!$G$6:$G$166, 'Expenditure Breakdown'!$H$6:$H$166, "&gt;="&amp;AB1,'Expenditure Breakdown'!$H$6:$H$166, "&lt;"&amp;AC1)</f>
        <v>0</v>
      </c>
      <c r="AC5" s="112">
        <f>SUMIFS('Expenditure Breakdown'!$G$6:$G$166, 'Expenditure Breakdown'!$H$6:$H$166, "&gt;="&amp;AC1,'Expenditure Breakdown'!$H$6:$H$166, "&lt;"&amp;AD1)</f>
        <v>0</v>
      </c>
      <c r="AD5" s="112">
        <f>SUMIFS('Expenditure Breakdown'!$G$6:$G$166, 'Expenditure Breakdown'!$H$6:$H$166, "&gt;="&amp;AD1,'Expenditure Breakdown'!$H$6:$H$166, "&lt;"&amp;AE1)</f>
        <v>0</v>
      </c>
      <c r="AE5" s="112">
        <f>SUMIFS('Expenditure Breakdown'!$G$6:$G$166, 'Expenditure Breakdown'!$H$6:$H$166, "&gt;="&amp;AE1,'Expenditure Breakdown'!$H$6:$H$166, "&lt;"&amp;AF1)</f>
        <v>0</v>
      </c>
      <c r="AF5" s="112">
        <f>SUMIFS('Expenditure Breakdown'!$G$6:$G$166, 'Expenditure Breakdown'!$H$6:$H$166, "&gt;="&amp;AF1,'Expenditure Breakdown'!$H$6:$H$166, "&lt;"&amp;AG1)</f>
        <v>0</v>
      </c>
      <c r="AG5" s="112">
        <f>SUMIFS('Expenditure Breakdown'!$G$6:$G$166, 'Expenditure Breakdown'!$H$6:$H$166, "&gt;="&amp;AG1,'Expenditure Breakdown'!$H$6:$H$166, "&lt;"&amp;AH1)</f>
        <v>0</v>
      </c>
      <c r="AH5" s="112">
        <f>SUMIFS('Expenditure Breakdown'!$G$6:$G$166, 'Expenditure Breakdown'!$H$6:$H$166, "&gt;="&amp;AH1,'Expenditure Breakdown'!$H$6:$H$166, "&lt;"&amp;AI1)</f>
        <v>0</v>
      </c>
      <c r="AI5" s="112">
        <f>SUMIFS('Expenditure Breakdown'!$G$6:$G$166, 'Expenditure Breakdown'!$H$6:$H$166, "&gt;="&amp;AI1,'Expenditure Breakdown'!$H$6:$H$166, "&lt;"&amp;AJ1)</f>
        <v>0</v>
      </c>
      <c r="AJ5" s="112">
        <f>SUMIFS('Expenditure Breakdown'!$G$6:$G$166, 'Expenditure Breakdown'!$H$6:$H$166, "&gt;="&amp;AJ1,'Expenditure Breakdown'!$H$6:$H$166, "&lt;"&amp;AK1)</f>
        <v>0</v>
      </c>
      <c r="AK5" s="112">
        <f>SUMIFS('Expenditure Breakdown'!$G$6:$G$166, 'Expenditure Breakdown'!$H$6:$H$166, "&gt;="&amp;AK1,'Expenditure Breakdown'!$H$6:$H$166, "&lt;"&amp;AL1)</f>
        <v>0</v>
      </c>
      <c r="AL5" s="112">
        <f>SUMIFS('Expenditure Breakdown'!$G$6:$G$166, 'Expenditure Breakdown'!$H$6:$H$166, "&gt;="&amp;AL1,'Expenditure Breakdown'!$H$6:$H$166, "&lt;"&amp;AM1)</f>
        <v>0</v>
      </c>
      <c r="AM5" s="112">
        <f>SUMIFS('Expenditure Breakdown'!$G$6:$G$166, 'Expenditure Breakdown'!$H$6:$H$166, "&gt;="&amp;AM1,'Expenditure Breakdown'!$H$6:$H$166, "&lt;"&amp;AN1)</f>
        <v>0</v>
      </c>
      <c r="AN5" s="112">
        <f>SUMIFS('Expenditure Breakdown'!$G$6:$G$166, 'Expenditure Breakdown'!$H$6:$H$166, "&gt;="&amp;AN1,'Expenditure Breakdown'!$H$6:$H$166, "&lt;"&amp;AO1)</f>
        <v>0</v>
      </c>
      <c r="AO5" s="112">
        <f>SUMIFS('Expenditure Breakdown'!$G$6:$G$166, 'Expenditure Breakdown'!$H$6:$H$166, "&gt;="&amp;AO1,'Expenditure Breakdown'!$H$6:$H$166, "&lt;"&amp;AP1)</f>
        <v>0</v>
      </c>
      <c r="AP5" s="112">
        <f>SUMIFS('Expenditure Breakdown'!$G$6:$G$166, 'Expenditure Breakdown'!$H$6:$H$166, "&gt;="&amp;AP1,'Expenditure Breakdown'!$H$6:$H$166, "&lt;"&amp;AQ1)</f>
        <v>0</v>
      </c>
      <c r="AQ5" s="112">
        <f>SUMIFS('Expenditure Breakdown'!$G$6:$G$166, 'Expenditure Breakdown'!$H$6:$H$166, "&gt;="&amp;AQ1,'Expenditure Breakdown'!$H$6:$H$166, "&lt;"&amp;AR1)</f>
        <v>0</v>
      </c>
      <c r="AR5" s="112">
        <f>SUMIFS('Expenditure Breakdown'!$G$6:$G$166, 'Expenditure Breakdown'!$H$6:$H$166, "&gt;="&amp;AR1,'Expenditure Breakdown'!$H$6:$H$166, "&lt;"&amp;AS1)</f>
        <v>0</v>
      </c>
      <c r="AS5" s="112">
        <f>SUMIFS('Expenditure Breakdown'!$G$6:$G$166, 'Expenditure Breakdown'!$H$6:$H$166, "&gt;="&amp;AS1,'Expenditure Breakdown'!$H$6:$H$166, "&lt;"&amp;AT1)</f>
        <v>0</v>
      </c>
      <c r="AT5" s="112">
        <f>SUMIFS('Expenditure Breakdown'!$G$6:$G$166, 'Expenditure Breakdown'!$H$6:$H$166, "&gt;="&amp;AT1,'Expenditure Breakdown'!$H$6:$H$166, "&lt;"&amp;AU1)</f>
        <v>0</v>
      </c>
      <c r="AU5" s="112">
        <f>SUMIFS('Expenditure Breakdown'!$G$6:$G$166, 'Expenditure Breakdown'!$H$6:$H$166, "&gt;="&amp;AU1,'Expenditure Breakdown'!$H$6:$H$166, "&lt;"&amp;AV1)</f>
        <v>0</v>
      </c>
      <c r="AV5" s="112">
        <f>SUMIFS('Expenditure Breakdown'!$G$6:$G$166, 'Expenditure Breakdown'!$H$6:$H$166, "&gt;="&amp;AV1,'Expenditure Breakdown'!$H$6:$H$166, "&lt;"&amp;AW1)</f>
        <v>0</v>
      </c>
      <c r="AW5" s="112">
        <f>SUMIFS('Expenditure Breakdown'!$G$6:$G$166, 'Expenditure Breakdown'!$H$6:$H$166, "&gt;="&amp;AW1,'Expenditure Breakdown'!$H$6:$H$166, "&lt;"&amp;AX1)</f>
        <v>0</v>
      </c>
      <c r="AX5" s="112">
        <f>SUMIFS('Expenditure Breakdown'!$G$6:$G$166, 'Expenditure Breakdown'!$H$6:$H$166, "&gt;="&amp;AX1,'Expenditure Breakdown'!$H$6:$H$166, "&lt;"&amp;AY1)</f>
        <v>0</v>
      </c>
      <c r="AY5" s="112">
        <f>SUMIFS('Expenditure Breakdown'!$G$6:$G$166, 'Expenditure Breakdown'!$H$6:$H$166, "&gt;="&amp;AY1,'Expenditure Breakdown'!$H$6:$H$166, "&lt;"&amp;AZ1)</f>
        <v>0</v>
      </c>
      <c r="AZ5" s="112">
        <f>SUMIFS('Expenditure Breakdown'!$G$6:$G$166, 'Expenditure Breakdown'!$H$6:$H$166, "&gt;="&amp;AZ1,'Expenditure Breakdown'!$H$6:$H$166, "&lt;"&amp;BA1)</f>
        <v>0</v>
      </c>
      <c r="BA5" s="112">
        <f>SUMIFS('Expenditure Breakdown'!$G$6:$G$166, 'Expenditure Breakdown'!$H$6:$H$166, "&gt;="&amp;BA1,'Expenditure Breakdown'!$H$6:$H$166, "&lt;"&amp;BB1)</f>
        <v>0</v>
      </c>
      <c r="BB5" s="112">
        <f>SUMIFS('Expenditure Breakdown'!$G$6:$G$166, 'Expenditure Breakdown'!$H$6:$H$166, "&gt;="&amp;BB1,'Expenditure Breakdown'!$H$6:$H$166, "&lt;"&amp;BC1)</f>
        <v>0</v>
      </c>
      <c r="BC5" s="112">
        <f>SUMIFS('Expenditure Breakdown'!$G$6:$G$166, 'Expenditure Breakdown'!$H$6:$H$166, "&gt;="&amp;BC1,'Expenditure Breakdown'!$H$6:$H$166, "&lt;"&amp;BD1)</f>
        <v>0</v>
      </c>
      <c r="BD5" s="112">
        <f>SUMIFS('Expenditure Breakdown'!$G$6:$G$166, 'Expenditure Breakdown'!$H$6:$H$166, "&gt;="&amp;BD1,'Expenditure Breakdown'!$H$6:$H$166, "&lt;"&amp;BE1)</f>
        <v>0</v>
      </c>
      <c r="BE5" s="112">
        <f>SUMIFS('Expenditure Breakdown'!$G$6:$G$166, 'Expenditure Breakdown'!$H$6:$H$166, "&gt;="&amp;BE1,'Expenditure Breakdown'!$H$6:$H$166, "&lt;"&amp;BF1)</f>
        <v>0</v>
      </c>
      <c r="BF5" s="112">
        <f>SUMIFS('Expenditure Breakdown'!$G$6:$G$166, 'Expenditure Breakdown'!$H$6:$H$166, "&gt;="&amp;BF1,'Expenditure Breakdown'!$H$6:$H$166, "&lt;"&amp;BG1)</f>
        <v>0</v>
      </c>
      <c r="BG5" s="112">
        <f>SUMIFS('Expenditure Breakdown'!$G$6:$G$166, 'Expenditure Breakdown'!$H$6:$H$166, "&gt;="&amp;BG1,'Expenditure Breakdown'!$H$6:$H$166, "&lt;"&amp;BH1)</f>
        <v>0</v>
      </c>
      <c r="BH5" s="112">
        <f>SUMIFS('Expenditure Breakdown'!$G$6:$G$166, 'Expenditure Breakdown'!$H$6:$H$166, "&gt;="&amp;BH1,'Expenditure Breakdown'!$H$6:$H$166, "&lt;"&amp;BI1)</f>
        <v>0</v>
      </c>
      <c r="BI5" s="112">
        <f>SUMIFS('Expenditure Breakdown'!$G$6:$G$166, 'Expenditure Breakdown'!$H$6:$H$166, "&gt;="&amp;BI1,'Expenditure Breakdown'!$H$6:$H$166, "&lt;"&amp;BJ1)</f>
        <v>0</v>
      </c>
      <c r="BJ5" s="112">
        <f>SUMIFS('Expenditure Breakdown'!$G$6:$G$166, 'Expenditure Breakdown'!$H$6:$H$166, "&gt;="&amp;BJ1,'Expenditure Breakdown'!$H$6:$H$166, "&lt;"&amp;BK1)</f>
        <v>0</v>
      </c>
      <c r="BK5" s="112">
        <f>SUMIFS('Expenditure Breakdown'!$G$6:$G$166, 'Expenditure Breakdown'!$H$6:$H$166, "&gt;="&amp;BK1,'Expenditure Breakdown'!$H$6:$H$166, "&lt;"&amp;BL1)</f>
        <v>0</v>
      </c>
      <c r="BL5" s="112">
        <f>SUMIFS('Expenditure Breakdown'!$G$6:$G$166, 'Expenditure Breakdown'!$H$6:$H$166, "&gt;="&amp;BL1,'Expenditure Breakdown'!$H$6:$H$166, "&lt;"&amp;BM1)</f>
        <v>0</v>
      </c>
      <c r="BM5" s="112">
        <f>SUMIFS('Expenditure Breakdown'!$G$6:$G$166, 'Expenditure Breakdown'!$H$6:$H$166, "&gt;="&amp;BM1,'Expenditure Breakdown'!$H$6:$H$166, "&lt;"&amp;BN1)</f>
        <v>0</v>
      </c>
      <c r="BN5" s="112">
        <f>SUMIFS('Expenditure Breakdown'!$G$6:$G$166, 'Expenditure Breakdown'!$H$6:$H$166, "&gt;="&amp;BN1,'Expenditure Breakdown'!$H$6:$H$166, "&lt;"&amp;BO1)</f>
        <v>0</v>
      </c>
      <c r="BO5" s="112">
        <f>SUMIFS('Expenditure Breakdown'!$G$6:$G$166, 'Expenditure Breakdown'!$H$6:$H$166, "&gt;="&amp;BO1,'Expenditure Breakdown'!$H$6:$H$166, "&lt;"&amp;BP1)</f>
        <v>0</v>
      </c>
      <c r="BP5" s="112">
        <f>SUMIFS('Expenditure Breakdown'!$G$6:$G$166, 'Expenditure Breakdown'!$H$6:$H$166, "&gt;="&amp;BP1,'Expenditure Breakdown'!$H$6:$H$166, "&lt;"&amp;BQ1)</f>
        <v>0</v>
      </c>
      <c r="BQ5" s="112">
        <f>SUMIFS('Expenditure Breakdown'!$G$6:$G$166, 'Expenditure Breakdown'!$H$6:$H$166, "&gt;="&amp;BQ1,'Expenditure Breakdown'!$H$6:$H$166, "&lt;"&amp;BR1)</f>
        <v>0</v>
      </c>
      <c r="BR5" s="112">
        <f>SUMIFS('Expenditure Breakdown'!$G$6:$G$166, 'Expenditure Breakdown'!$H$6:$H$166, "&gt;="&amp;BR1,'Expenditure Breakdown'!$H$6:$H$166, "&lt;"&amp;BS1)</f>
        <v>0</v>
      </c>
      <c r="BS5" s="112">
        <f>SUMIFS('Expenditure Breakdown'!$G$6:$G$166, 'Expenditure Breakdown'!$H$6:$H$166, "&gt;="&amp;BS1,'Expenditure Breakdown'!$H$6:$H$166, "&lt;"&amp;BT1)</f>
        <v>0</v>
      </c>
      <c r="BT5" s="112">
        <f>SUMIFS('Expenditure Breakdown'!$G$6:$G$166, 'Expenditure Breakdown'!$H$6:$H$166, "&gt;="&amp;BT1,'Expenditure Breakdown'!$H$6:$H$166, "&lt;"&amp;BU1)</f>
        <v>0</v>
      </c>
      <c r="BU5" s="112">
        <f>SUMIFS('Expenditure Breakdown'!$G$6:$G$166, 'Expenditure Breakdown'!$H$6:$H$166, "&gt;="&amp;BU1,'Expenditure Breakdown'!$H$6:$H$166, "&lt;"&amp;BV1)</f>
        <v>0</v>
      </c>
      <c r="BV5" s="112">
        <f>SUMIFS('Expenditure Breakdown'!$G$6:$G$166, 'Expenditure Breakdown'!$H$6:$H$166, "&gt;="&amp;BV1,'Expenditure Breakdown'!$H$6:$H$166, "&lt;"&amp;BW1)</f>
        <v>0</v>
      </c>
      <c r="BW5" s="112">
        <f>SUMIFS('Expenditure Breakdown'!$G$6:$G$166, 'Expenditure Breakdown'!$H$6:$H$166, "&gt;="&amp;BW1,'Expenditure Breakdown'!$H$6:$H$166, "&lt;"&amp;BX1)</f>
        <v>0</v>
      </c>
      <c r="BX5" s="112">
        <f>SUMIFS('Expenditure Breakdown'!$G$6:$G$166, 'Expenditure Breakdown'!$H$6:$H$166, "&gt;="&amp;BX1,'Expenditure Breakdown'!$H$6:$H$166, "&lt;"&amp;BY1)</f>
        <v>0</v>
      </c>
      <c r="BY5" s="112">
        <f>SUMIFS('Expenditure Breakdown'!$G$6:$G$166, 'Expenditure Breakdown'!$H$6:$H$166, "&gt;="&amp;BY1,'Expenditure Breakdown'!$H$6:$H$166, "&lt;"&amp;BZ1)</f>
        <v>0</v>
      </c>
      <c r="BZ5" s="112">
        <f>SUMIFS('Expenditure Breakdown'!$G$6:$G$166, 'Expenditure Breakdown'!$H$6:$H$166, "&gt;="&amp;BZ1,'Expenditure Breakdown'!$H$6:$H$166, "&lt;"&amp;CA1)</f>
        <v>0</v>
      </c>
      <c r="CA5" s="112">
        <f>SUMIFS('Expenditure Breakdown'!$G$6:$G$166, 'Expenditure Breakdown'!$H$6:$H$166, "&gt;="&amp;CA1,'Expenditure Breakdown'!$H$6:$H$166, "&lt;"&amp;CB1)</f>
        <v>0</v>
      </c>
      <c r="CB5" s="112">
        <f>SUMIFS('Expenditure Breakdown'!$G$6:$G$166, 'Expenditure Breakdown'!$H$6:$H$166, "&gt;="&amp;CB1,'Expenditure Breakdown'!$H$6:$H$166, "&lt;"&amp;CC1)</f>
        <v>0</v>
      </c>
      <c r="CC5" s="112">
        <f>SUMIFS('Expenditure Breakdown'!$G$6:$G$166, 'Expenditure Breakdown'!$H$6:$H$166, "&gt;="&amp;CC1,'Expenditure Breakdown'!$H$6:$H$166, "&lt;"&amp;CD1)</f>
        <v>0</v>
      </c>
      <c r="CD5" s="112">
        <f>SUMIFS('Expenditure Breakdown'!$G$6:$G$166, 'Expenditure Breakdown'!$H$6:$H$166, "&gt;="&amp;CD1,'Expenditure Breakdown'!$H$6:$H$166, "&lt;"&amp;CE1)</f>
        <v>0</v>
      </c>
      <c r="CE5" s="112">
        <f>SUMIFS('Expenditure Breakdown'!$G$6:$G$166, 'Expenditure Breakdown'!$H$6:$H$166, "&gt;="&amp;CE1,'Expenditure Breakdown'!$H$6:$H$166, "&lt;"&amp;CF1)</f>
        <v>0</v>
      </c>
      <c r="CF5" s="112">
        <f>SUMIFS('Expenditure Breakdown'!$G$6:$G$166, 'Expenditure Breakdown'!$H$6:$H$166, "&gt;="&amp;CF1,'Expenditure Breakdown'!$H$6:$H$166, "&lt;"&amp;CG1)</f>
        <v>0</v>
      </c>
      <c r="CG5" s="112">
        <f>SUMIFS('Expenditure Breakdown'!$G$6:$G$166, 'Expenditure Breakdown'!$H$6:$H$166, "&gt;="&amp;CG1,'Expenditure Breakdown'!$H$6:$H$166, "&lt;"&amp;CH1)</f>
        <v>0</v>
      </c>
      <c r="CH5" s="112">
        <f>SUMIFS('Expenditure Breakdown'!$G$6:$G$166, 'Expenditure Breakdown'!$H$6:$H$166, "&gt;="&amp;CH1,'Expenditure Breakdown'!$H$6:$H$166, "&lt;"&amp;CI1)</f>
        <v>0</v>
      </c>
      <c r="CI5" s="112">
        <f>SUMIFS('Expenditure Breakdown'!$G$6:$G$166, 'Expenditure Breakdown'!$H$6:$H$166, "&gt;="&amp;CI1,'Expenditure Breakdown'!$H$6:$H$166, "&lt;"&amp;CJ1)</f>
        <v>0</v>
      </c>
      <c r="CJ5" s="112">
        <f>SUMIFS('Expenditure Breakdown'!$G$6:$G$166, 'Expenditure Breakdown'!$H$6:$H$166, "&gt;="&amp;CJ1,'Expenditure Breakdown'!$H$6:$H$166, "&lt;"&amp;CK1)</f>
        <v>0</v>
      </c>
      <c r="CK5" s="112">
        <f>SUMIFS('Expenditure Breakdown'!$G$6:$G$166, 'Expenditure Breakdown'!$H$6:$H$166, "&gt;="&amp;CK1,'Expenditure Breakdown'!$H$6:$H$166, "&lt;"&amp;CL1)</f>
        <v>0</v>
      </c>
      <c r="CL5" s="112">
        <f>SUMIFS('Expenditure Breakdown'!$G$6:$G$166, 'Expenditure Breakdown'!$H$6:$H$166, "&gt;="&amp;CL1,'Expenditure Breakdown'!$H$6:$H$166, "&lt;"&amp;CM1)</f>
        <v>0</v>
      </c>
      <c r="CM5" s="112">
        <f>SUMIFS('Expenditure Breakdown'!$G$6:$G$166, 'Expenditure Breakdown'!$H$6:$H$166, "&gt;="&amp;CM1,'Expenditure Breakdown'!$H$6:$H$166, "&lt;"&amp;CN1)</f>
        <v>0</v>
      </c>
      <c r="CN5" s="112">
        <f>SUMIFS('Expenditure Breakdown'!$G$6:$G$166, 'Expenditure Breakdown'!$H$6:$H$166, "&gt;="&amp;CN1,'Expenditure Breakdown'!$H$6:$H$166, "&lt;"&amp;CO1)</f>
        <v>0</v>
      </c>
      <c r="CO5" s="112">
        <f>SUMIFS('Expenditure Breakdown'!$G$6:$G$166, 'Expenditure Breakdown'!$H$6:$H$166, "&gt;="&amp;CO1,'Expenditure Breakdown'!$H$6:$H$166, "&lt;"&amp;CP1)</f>
        <v>0</v>
      </c>
      <c r="CP5" s="112">
        <f>SUMIFS('Expenditure Breakdown'!$G$6:$G$166, 'Expenditure Breakdown'!$H$6:$H$166, "&gt;="&amp;CP1,'Expenditure Breakdown'!$H$6:$H$166, "&lt;"&amp;CQ1)</f>
        <v>0</v>
      </c>
      <c r="CQ5" s="112">
        <f>SUMIFS('Expenditure Breakdown'!$G$6:$G$166, 'Expenditure Breakdown'!$H$6:$H$166, "&gt;="&amp;CQ1,'Expenditure Breakdown'!$H$6:$H$166, "&lt;"&amp;CR1)</f>
        <v>0</v>
      </c>
      <c r="CR5" s="112">
        <f>SUMIFS('Expenditure Breakdown'!$G$6:$G$166, 'Expenditure Breakdown'!$H$6:$H$166, "&gt;="&amp;CR1,'Expenditure Breakdown'!$H$6:$H$166, "&lt;"&amp;CS1)</f>
        <v>0</v>
      </c>
      <c r="CS5" s="112">
        <f>SUMIFS('Expenditure Breakdown'!$G$6:$G$166, 'Expenditure Breakdown'!$H$6:$H$166, "&gt;="&amp;CS1,'Expenditure Breakdown'!$H$6:$H$166, "&lt;"&amp;CT1)</f>
        <v>0</v>
      </c>
      <c r="CT5" s="112">
        <f>SUMIFS('Expenditure Breakdown'!$G$6:$G$166, 'Expenditure Breakdown'!$H$6:$H$166, "&gt;="&amp;CT1,'Expenditure Breakdown'!$H$6:$H$166, "&lt;"&amp;CU1)</f>
        <v>0</v>
      </c>
      <c r="CU5" s="112">
        <f>SUMIFS('Expenditure Breakdown'!$G$6:$G$166, 'Expenditure Breakdown'!$H$6:$H$166, "&gt;="&amp;CU1,'Expenditure Breakdown'!$H$6:$H$166, "&lt;"&amp;CV1)</f>
        <v>0</v>
      </c>
      <c r="CV5" s="112">
        <f>SUMIFS('Expenditure Breakdown'!$G$6:$G$166, 'Expenditure Breakdown'!$H$6:$H$166, "&gt;="&amp;CV1,'Expenditure Breakdown'!$H$6:$H$166, "&lt;"&amp;CW1)</f>
        <v>0</v>
      </c>
      <c r="CW5" s="112">
        <f>SUMIFS('Expenditure Breakdown'!$G$6:$G$166, 'Expenditure Breakdown'!$H$6:$H$166, "&gt;="&amp;CW1,'Expenditure Breakdown'!$H$6:$H$166, "&lt;"&amp;CX1)</f>
        <v>0</v>
      </c>
      <c r="CX5" s="112">
        <f>SUMIFS('Expenditure Breakdown'!$G$6:$G$166, 'Expenditure Breakdown'!$H$6:$H$166, "&gt;="&amp;CX1,'Expenditure Breakdown'!$H$6:$H$166, "&lt;"&amp;CY1)</f>
        <v>0</v>
      </c>
      <c r="CY5" s="112">
        <f>SUMIFS('Expenditure Breakdown'!$G$6:$G$166, 'Expenditure Breakdown'!$H$6:$H$166, "&gt;="&amp;CY1,'Expenditure Breakdown'!$H$6:$H$166, "&lt;"&amp;CZ1)</f>
        <v>0</v>
      </c>
      <c r="CZ5" s="112">
        <f>SUMIFS('Expenditure Breakdown'!$G$6:$G$166, 'Expenditure Breakdown'!$H$6:$H$166, "&gt;="&amp;CZ1,'Expenditure Breakdown'!$H$6:$H$166, "&lt;"&amp;DA1)</f>
        <v>0</v>
      </c>
      <c r="DA5" s="112">
        <f>SUMIFS('Expenditure Breakdown'!$G$6:$G$166, 'Expenditure Breakdown'!$H$6:$H$166, "&gt;="&amp;DA1,'Expenditure Breakdown'!$H$6:$H$166, "&lt;"&amp;DB1)</f>
        <v>0</v>
      </c>
      <c r="DB5" s="112">
        <f>SUMIFS('Expenditure Breakdown'!$G$6:$G$166, 'Expenditure Breakdown'!$H$6:$H$166, "&gt;="&amp;DB1,'Expenditure Breakdown'!$H$6:$H$166, "&lt;"&amp;DC1)</f>
        <v>0</v>
      </c>
      <c r="DC5" s="112">
        <f>SUMIFS('Expenditure Breakdown'!$G$6:$G$166, 'Expenditure Breakdown'!$H$6:$H$166, "&gt;="&amp;DC1,'Expenditure Breakdown'!$H$6:$H$166, "&lt;"&amp;DD1)</f>
        <v>0</v>
      </c>
      <c r="DD5" s="112">
        <f>SUMIFS('Expenditure Breakdown'!$G$6:$G$166, 'Expenditure Breakdown'!$H$6:$H$166, "&gt;="&amp;DD1,'Expenditure Breakdown'!$H$6:$H$166, "&lt;"&amp;DE1)</f>
        <v>0</v>
      </c>
      <c r="DE5" s="112">
        <f>SUMIFS('Expenditure Breakdown'!$G$6:$G$166, 'Expenditure Breakdown'!$H$6:$H$166, "&gt;="&amp;DE1,'Expenditure Breakdown'!$H$6:$H$166, "&lt;"&amp;DF1)</f>
        <v>0</v>
      </c>
      <c r="DF5" s="112">
        <f>SUMIFS('Expenditure Breakdown'!$G$6:$G$166, 'Expenditure Breakdown'!$H$6:$H$166, "&gt;="&amp;DF1,'Expenditure Breakdown'!$H$6:$H$166, "&lt;"&amp;DG1)</f>
        <v>0</v>
      </c>
      <c r="DG5" s="112">
        <f>SUMIFS('Expenditure Breakdown'!$G$6:$G$166, 'Expenditure Breakdown'!$H$6:$H$166, "&gt;="&amp;DG1,'Expenditure Breakdown'!$H$6:$H$166, "&lt;"&amp;DH1)</f>
        <v>0</v>
      </c>
      <c r="DH5" s="112">
        <f>SUMIFS('Expenditure Breakdown'!$G$6:$G$166, 'Expenditure Breakdown'!$H$6:$H$166, "&gt;="&amp;DH1,'Expenditure Breakdown'!$H$6:$H$166, "&lt;"&amp;DI1)</f>
        <v>0</v>
      </c>
      <c r="DI5" s="112">
        <f>SUMIFS('Expenditure Breakdown'!$G$6:$G$166, 'Expenditure Breakdown'!$H$6:$H$166, "&gt;="&amp;DI1,'Expenditure Breakdown'!$H$6:$H$166, "&lt;"&amp;DJ1)</f>
        <v>0</v>
      </c>
      <c r="DJ5" s="112">
        <f>SUMIFS('Expenditure Breakdown'!$G$6:$G$166, 'Expenditure Breakdown'!$H$6:$H$166, "&gt;="&amp;DJ1,'Expenditure Breakdown'!$H$6:$H$166, "&lt;"&amp;DK1)</f>
        <v>0</v>
      </c>
      <c r="DK5" s="112">
        <f>SUMIFS('Expenditure Breakdown'!$G$6:$G$166, 'Expenditure Breakdown'!$H$6:$H$166, "&gt;="&amp;DK1,'Expenditure Breakdown'!$H$6:$H$166, "&lt;"&amp;DL1)</f>
        <v>0</v>
      </c>
      <c r="DL5" s="112">
        <f>SUMIFS('Expenditure Breakdown'!$G$6:$G$166, 'Expenditure Breakdown'!$H$6:$H$166, "&gt;="&amp;DL1,'Expenditure Breakdown'!$H$6:$H$166, "&lt;"&amp;DM1)</f>
        <v>0</v>
      </c>
      <c r="DM5" s="112">
        <f>SUMIFS('Expenditure Breakdown'!$G$6:$G$166, 'Expenditure Breakdown'!$H$6:$H$166, "&gt;="&amp;DM1,'Expenditure Breakdown'!$H$6:$H$166, "&lt;"&amp;DN1)</f>
        <v>0</v>
      </c>
      <c r="DN5" s="112">
        <f>SUMIFS('Expenditure Breakdown'!$G$6:$G$166, 'Expenditure Breakdown'!$H$6:$H$166, "&gt;="&amp;DN1,'Expenditure Breakdown'!$H$6:$H$166, "&lt;"&amp;DO1)</f>
        <v>0</v>
      </c>
      <c r="DO5" s="112">
        <f>SUMIFS('Expenditure Breakdown'!$G$6:$G$166, 'Expenditure Breakdown'!$H$6:$H$166, "&gt;="&amp;DO1,'Expenditure Breakdown'!$H$6:$H$166, "&lt;"&amp;DP1)</f>
        <v>0</v>
      </c>
      <c r="DP5" s="112">
        <f>SUMIFS('Expenditure Breakdown'!$G$6:$G$166, 'Expenditure Breakdown'!$H$6:$H$166, "&gt;="&amp;DP1,'Expenditure Breakdown'!$H$6:$H$166, "&lt;"&amp;DQ1)</f>
        <v>0</v>
      </c>
      <c r="DQ5" s="112">
        <f>SUMIFS('Expenditure Breakdown'!$G$6:$G$166, 'Expenditure Breakdown'!$H$6:$H$166, "&gt;="&amp;DQ1,'Expenditure Breakdown'!$H$6:$H$166, "&lt;"&amp;DR1)</f>
        <v>0</v>
      </c>
      <c r="DR5" s="112">
        <f>SUMIFS('Expenditure Breakdown'!$G$6:$G$166, 'Expenditure Breakdown'!$H$6:$H$166, "&gt;="&amp;DR1,'Expenditure Breakdown'!$H$6:$H$166, "&lt;"&amp;DS1)</f>
        <v>0</v>
      </c>
      <c r="DS5" s="112">
        <f>SUMIFS('Expenditure Breakdown'!$G$6:$G$166, 'Expenditure Breakdown'!$H$6:$H$166, "&gt;="&amp;DS1,'Expenditure Breakdown'!$H$6:$H$166, "&lt;"&amp;DT1)</f>
        <v>0</v>
      </c>
      <c r="DT5" s="112">
        <f>SUMIFS('Expenditure Breakdown'!$G$6:$G$166, 'Expenditure Breakdown'!$H$6:$H$166, "&gt;="&amp;DT1,'Expenditure Breakdown'!$H$6:$H$166, "&lt;"&amp;DU1)</f>
        <v>0</v>
      </c>
      <c r="DU5" s="112">
        <f>SUMIFS('Expenditure Breakdown'!$G$6:$G$166, 'Expenditure Breakdown'!$H$6:$H$166, "&gt;="&amp;DU1,'Expenditure Breakdown'!$H$6:$H$166, "&lt;"&amp;DV1)</f>
        <v>0</v>
      </c>
      <c r="DV5" s="112">
        <f>SUMIFS('Expenditure Breakdown'!$G$6:$G$166, 'Expenditure Breakdown'!$H$6:$H$166, "&gt;="&amp;DV1,'Expenditure Breakdown'!$H$6:$H$166, "&lt;"&amp;DW1)</f>
        <v>0</v>
      </c>
      <c r="DW5" s="112">
        <f>SUMIFS('Expenditure Breakdown'!$G$6:$G$166, 'Expenditure Breakdown'!$H$6:$H$166, "&gt;="&amp;DW1,'Expenditure Breakdown'!$H$6:$H$166, "&lt;"&amp;DX1)</f>
        <v>0</v>
      </c>
      <c r="DX5" s="112">
        <f>SUMIFS('Expenditure Breakdown'!$G$6:$G$166, 'Expenditure Breakdown'!$H$6:$H$166, "&gt;="&amp;DX1,'Expenditure Breakdown'!$H$6:$H$166, "&lt;"&amp;DY1)</f>
        <v>0</v>
      </c>
      <c r="DY5" s="112">
        <f>SUMIFS('Expenditure Breakdown'!$G$6:$G$166, 'Expenditure Breakdown'!$H$6:$H$166, "&gt;="&amp;DY1,'Expenditure Breakdown'!$H$6:$H$166, "&lt;"&amp;DZ1)</f>
        <v>0</v>
      </c>
      <c r="DZ5" s="112">
        <f>SUMIFS('Expenditure Breakdown'!$G$6:$G$166, 'Expenditure Breakdown'!$H$6:$H$166, "&gt;="&amp;DZ1,'Expenditure Breakdown'!$H$6:$H$166, "&lt;"&amp;EA1)</f>
        <v>0</v>
      </c>
      <c r="EA5" s="112">
        <f>SUMIFS('Expenditure Breakdown'!$G$6:$G$166, 'Expenditure Breakdown'!$H$6:$H$166, "&gt;="&amp;EA1,'Expenditure Breakdown'!$H$6:$H$166, "&lt;"&amp;EB1)</f>
        <v>0</v>
      </c>
      <c r="EB5" s="112">
        <f>SUMIFS('Expenditure Breakdown'!$G$6:$G$166, 'Expenditure Breakdown'!$H$6:$H$166, "&gt;="&amp;EB1,'Expenditure Breakdown'!$H$6:$H$166, "&lt;"&amp;EC1)</f>
        <v>0</v>
      </c>
      <c r="EC5" s="112">
        <f>SUMIFS('Expenditure Breakdown'!$G$6:$G$166, 'Expenditure Breakdown'!$H$6:$H$166, "&gt;="&amp;EC1,'Expenditure Breakdown'!$H$6:$H$166, "&lt;"&amp;ED1)</f>
        <v>0</v>
      </c>
      <c r="ED5" s="112">
        <f>SUMIFS('Expenditure Breakdown'!$G$6:$G$166, 'Expenditure Breakdown'!$H$6:$H$166, "&gt;="&amp;ED1,'Expenditure Breakdown'!$H$6:$H$166, "&lt;"&amp;EE1)</f>
        <v>0</v>
      </c>
      <c r="EE5" s="112">
        <f>SUMIFS('Expenditure Breakdown'!$G$6:$G$166, 'Expenditure Breakdown'!$H$6:$H$166, "&gt;="&amp;EE1,'Expenditure Breakdown'!$H$6:$H$166, "&lt;"&amp;EF1)</f>
        <v>0</v>
      </c>
      <c r="EF5" s="112">
        <f>SUMIFS('Expenditure Breakdown'!$G$6:$G$166, 'Expenditure Breakdown'!$H$6:$H$166, "&gt;="&amp;EF1,'Expenditure Breakdown'!$H$6:$H$166, "&lt;"&amp;EG1)</f>
        <v>0</v>
      </c>
      <c r="EG5" s="112">
        <f>SUMIFS('Expenditure Breakdown'!$G$6:$G$166, 'Expenditure Breakdown'!$H$6:$H$166, "&gt;="&amp;EG1,'Expenditure Breakdown'!$H$6:$H$166, "&lt;"&amp;EH1)</f>
        <v>0</v>
      </c>
      <c r="EH5" s="112">
        <f>SUMIFS('Expenditure Breakdown'!$G$6:$G$166, 'Expenditure Breakdown'!$H$6:$H$166, "&gt;="&amp;EH1,'Expenditure Breakdown'!$H$6:$H$166, "&lt;"&amp;EI1)</f>
        <v>0</v>
      </c>
      <c r="EI5" s="112">
        <f>SUMIFS('Expenditure Breakdown'!$G$6:$G$166, 'Expenditure Breakdown'!$H$6:$H$166, "&gt;="&amp;EI1,'Expenditure Breakdown'!$H$6:$H$166, "&lt;"&amp;EJ1)</f>
        <v>0</v>
      </c>
      <c r="EJ5" s="112">
        <f>SUMIFS('Expenditure Breakdown'!$G$6:$G$166, 'Expenditure Breakdown'!$H$6:$H$166, "&gt;="&amp;EJ1,'Expenditure Breakdown'!$H$6:$H$166, "&lt;"&amp;EK1)</f>
        <v>0</v>
      </c>
      <c r="EK5" s="112">
        <f>SUMIFS('Expenditure Breakdown'!$G$6:$G$166, 'Expenditure Breakdown'!$H$6:$H$166, "&gt;="&amp;EK1,'Expenditure Breakdown'!$H$6:$H$166, "&lt;"&amp;EL1)</f>
        <v>0</v>
      </c>
      <c r="EL5" s="112">
        <f>SUMIFS('Expenditure Breakdown'!$G$6:$G$166, 'Expenditure Breakdown'!$H$6:$H$166, "&gt;="&amp;EL1,'Expenditure Breakdown'!$H$6:$H$166, "&lt;"&amp;EM1)</f>
        <v>0</v>
      </c>
      <c r="EM5" s="112">
        <f>SUMIFS('Expenditure Breakdown'!$G$6:$G$166, 'Expenditure Breakdown'!$H$6:$H$166, "&gt;="&amp;EM1,'Expenditure Breakdown'!$H$6:$H$166, "&lt;"&amp;EN1)</f>
        <v>0</v>
      </c>
      <c r="EN5" s="112">
        <f>SUMIFS('Expenditure Breakdown'!$G$6:$G$166, 'Expenditure Breakdown'!$H$6:$H$166, "&gt;="&amp;EN1,'Expenditure Breakdown'!$H$6:$H$166, "&lt;"&amp;EO1)</f>
        <v>0</v>
      </c>
      <c r="EO5" s="112">
        <f>SUMIFS('Expenditure Breakdown'!$G$6:$G$166, 'Expenditure Breakdown'!$H$6:$H$166, "&gt;="&amp;EO1,'Expenditure Breakdown'!$H$6:$H$166, "&lt;"&amp;EP1)</f>
        <v>0</v>
      </c>
      <c r="EP5" s="112">
        <f>SUMIFS('Expenditure Breakdown'!$G$6:$G$166, 'Expenditure Breakdown'!$H$6:$H$166, "&gt;="&amp;EP1,'Expenditure Breakdown'!$H$6:$H$166, "&lt;"&amp;EQ1)</f>
        <v>0</v>
      </c>
      <c r="EQ5" s="112">
        <f>SUMIFS('Expenditure Breakdown'!$G$6:$G$166, 'Expenditure Breakdown'!$H$6:$H$166, "&gt;="&amp;EQ1,'Expenditure Breakdown'!$H$6:$H$166, "&lt;"&amp;ER1)</f>
        <v>0</v>
      </c>
      <c r="ER5" s="112">
        <f>SUMIFS('Expenditure Breakdown'!$G$6:$G$166, 'Expenditure Breakdown'!$H$6:$H$166, "&gt;="&amp;ER1,'Expenditure Breakdown'!$H$6:$H$166, "&lt;"&amp;ES1)</f>
        <v>0</v>
      </c>
      <c r="ES5" s="112">
        <f>SUMIFS('Expenditure Breakdown'!$G$6:$G$166, 'Expenditure Breakdown'!$H$6:$H$166, "&gt;="&amp;ES1,'Expenditure Breakdown'!$H$6:$H$166, "&lt;"&amp;ET1)</f>
        <v>0</v>
      </c>
      <c r="ET5" s="112">
        <f>SUMIFS('Expenditure Breakdown'!$G$6:$G$166, 'Expenditure Breakdown'!$H$6:$H$166, "&gt;="&amp;ET1,'Expenditure Breakdown'!$H$6:$H$166, "&lt;"&amp;EU1)</f>
        <v>0</v>
      </c>
      <c r="EU5" s="112">
        <f>SUMIFS('Expenditure Breakdown'!$G$6:$G$166, 'Expenditure Breakdown'!$H$6:$H$166, "&gt;="&amp;EU1,'Expenditure Breakdown'!$H$6:$H$166, "&lt;"&amp;EV1)</f>
        <v>0</v>
      </c>
      <c r="EV5" s="112">
        <f>SUMIFS('Expenditure Breakdown'!$G$6:$G$166, 'Expenditure Breakdown'!$H$6:$H$166, "&gt;="&amp;EV1,'Expenditure Breakdown'!$H$6:$H$166, "&lt;"&amp;EW1)</f>
        <v>0</v>
      </c>
      <c r="EW5" s="112">
        <f>SUMIFS('Expenditure Breakdown'!$G$6:$G$166, 'Expenditure Breakdown'!$H$6:$H$166, "&gt;="&amp;EW1,'Expenditure Breakdown'!$H$6:$H$166, "&lt;"&amp;EX1)</f>
        <v>0</v>
      </c>
      <c r="EX5" s="112">
        <f>SUMIFS('Expenditure Breakdown'!$G$6:$G$166, 'Expenditure Breakdown'!$H$6:$H$166, "&gt;="&amp;EX1,'Expenditure Breakdown'!$H$6:$H$166, "&lt;"&amp;EY1)</f>
        <v>0</v>
      </c>
      <c r="EY5" s="112">
        <f>SUMIFS('Expenditure Breakdown'!$G$6:$G$166, 'Expenditure Breakdown'!$H$6:$H$166, "&gt;="&amp;EY1,'Expenditure Breakdown'!$H$6:$H$166, "&lt;"&amp;EZ1)</f>
        <v>0</v>
      </c>
      <c r="EZ5" s="112">
        <f>SUMIFS('Expenditure Breakdown'!$G$6:$G$166, 'Expenditure Breakdown'!$H$6:$H$166, "&gt;="&amp;EZ1,'Expenditure Breakdown'!$H$6:$H$166, "&lt;"&amp;FA1)</f>
        <v>0</v>
      </c>
      <c r="FA5" s="112">
        <f>SUMIFS('Expenditure Breakdown'!$G$6:$G$166, 'Expenditure Breakdown'!$H$6:$H$166, "&gt;="&amp;FA1,'Expenditure Breakdown'!$H$6:$H$166, "&lt;"&amp;FB1)</f>
        <v>0</v>
      </c>
      <c r="FB5" s="112">
        <f>SUMIFS('Expenditure Breakdown'!$G$6:$G$166, 'Expenditure Breakdown'!$H$6:$H$166, "&gt;="&amp;FB1,'Expenditure Breakdown'!$H$6:$H$166, "&lt;"&amp;FC1)</f>
        <v>0</v>
      </c>
      <c r="FC5" s="112">
        <f>SUMIFS('Expenditure Breakdown'!$G$6:$G$166, 'Expenditure Breakdown'!$H$6:$H$166, "&gt;="&amp;FC1,'Expenditure Breakdown'!$H$6:$H$166, "&lt;"&amp;FD1)</f>
        <v>0</v>
      </c>
      <c r="FD5" s="112">
        <f>SUMIFS('Expenditure Breakdown'!$G$6:$G$166, 'Expenditure Breakdown'!$H$6:$H$166, "&gt;="&amp;FD1,'Expenditure Breakdown'!$H$6:$H$166, "&lt;"&amp;FE1)</f>
        <v>0</v>
      </c>
      <c r="FE5" s="112">
        <f>SUMIFS('Expenditure Breakdown'!$G$6:$G$166, 'Expenditure Breakdown'!$H$6:$H$166, "&gt;="&amp;FE1,'Expenditure Breakdown'!$H$6:$H$166, "&lt;"&amp;FF1)</f>
        <v>0</v>
      </c>
      <c r="FF5" s="112">
        <f>SUMIFS('Expenditure Breakdown'!$G$6:$G$166, 'Expenditure Breakdown'!$H$6:$H$166, "&gt;="&amp;FF1,'Expenditure Breakdown'!$H$6:$H$166, "&lt;"&amp;FG1)</f>
        <v>0</v>
      </c>
      <c r="FG5" s="112">
        <f>SUMIFS('Expenditure Breakdown'!$G$6:$G$166, 'Expenditure Breakdown'!$H$6:$H$166, "&gt;="&amp;FG1,'Expenditure Breakdown'!$H$6:$H$166, "&lt;"&amp;FH1)</f>
        <v>0</v>
      </c>
      <c r="FH5" s="112">
        <f>SUMIFS('Expenditure Breakdown'!$G$6:$G$166, 'Expenditure Breakdown'!$H$6:$H$166, "&gt;="&amp;FH1,'Expenditure Breakdown'!$H$6:$H$166, "&lt;"&amp;FI1)</f>
        <v>0</v>
      </c>
      <c r="FI5" s="112">
        <f>SUMIFS('Expenditure Breakdown'!$G$6:$G$166, 'Expenditure Breakdown'!$H$6:$H$166, "&gt;="&amp;FI1,'Expenditure Breakdown'!$H$6:$H$166, "&lt;"&amp;FJ1)</f>
        <v>0</v>
      </c>
      <c r="FJ5" s="112">
        <f>SUMIFS('Expenditure Breakdown'!$G$6:$G$166, 'Expenditure Breakdown'!$H$6:$H$166, "&gt;="&amp;FJ1,'Expenditure Breakdown'!$H$6:$H$166, "&lt;"&amp;FK1)</f>
        <v>0</v>
      </c>
      <c r="FK5" s="112">
        <f>SUMIFS('Expenditure Breakdown'!$G$6:$G$166, 'Expenditure Breakdown'!$H$6:$H$166, "&gt;="&amp;FK1,'Expenditure Breakdown'!$H$6:$H$166, "&lt;"&amp;FL1)</f>
        <v>0</v>
      </c>
      <c r="FL5" s="112">
        <f>SUMIFS('Expenditure Breakdown'!$G$6:$G$166, 'Expenditure Breakdown'!$H$6:$H$166, "&gt;="&amp;FL1,'Expenditure Breakdown'!$H$6:$H$166, "&lt;"&amp;FM1)</f>
        <v>0</v>
      </c>
      <c r="FM5" s="112">
        <f>SUMIFS('Expenditure Breakdown'!$G$6:$G$166, 'Expenditure Breakdown'!$H$6:$H$166, "&gt;="&amp;FM1,'Expenditure Breakdown'!$H$6:$H$166, "&lt;"&amp;FN1)</f>
        <v>0</v>
      </c>
      <c r="FN5" s="112">
        <f>SUMIFS('Expenditure Breakdown'!$G$6:$G$166, 'Expenditure Breakdown'!$H$6:$H$166, "&gt;="&amp;FN1,'Expenditure Breakdown'!$H$6:$H$166, "&lt;"&amp;FO1)</f>
        <v>0</v>
      </c>
      <c r="FO5" s="112">
        <f>SUMIFS('Expenditure Breakdown'!$G$6:$G$166, 'Expenditure Breakdown'!$H$6:$H$166, "&gt;="&amp;FO1,'Expenditure Breakdown'!$H$6:$H$166, "&lt;"&amp;FP1)</f>
        <v>0</v>
      </c>
      <c r="FP5" s="112">
        <f>SUMIFS('Expenditure Breakdown'!$G$6:$G$166, 'Expenditure Breakdown'!$H$6:$H$166, "&gt;="&amp;FP1,'Expenditure Breakdown'!$H$6:$H$166, "&lt;"&amp;FQ1)</f>
        <v>0</v>
      </c>
      <c r="FQ5" s="112">
        <f>SUMIFS('Expenditure Breakdown'!$G$6:$G$166, 'Expenditure Breakdown'!$H$6:$H$166, "&gt;="&amp;FQ1,'Expenditure Breakdown'!$H$6:$H$166, "&lt;"&amp;FR1)</f>
        <v>0</v>
      </c>
      <c r="FR5" s="112">
        <f>SUMIFS('Expenditure Breakdown'!$G$6:$G$166, 'Expenditure Breakdown'!$H$6:$H$166, "&gt;="&amp;FR1,'Expenditure Breakdown'!$H$6:$H$166, "&lt;"&amp;FS1)</f>
        <v>0</v>
      </c>
      <c r="FS5" s="112">
        <f>SUMIFS('Expenditure Breakdown'!$G$6:$G$166, 'Expenditure Breakdown'!$H$6:$H$166, "&gt;="&amp;FS1,'Expenditure Breakdown'!$H$6:$H$166, "&lt;"&amp;FT1)</f>
        <v>0</v>
      </c>
      <c r="FT5" s="112">
        <f>SUMIFS('Expenditure Breakdown'!$G$6:$G$166, 'Expenditure Breakdown'!$H$6:$H$166, "&gt;="&amp;FT1,'Expenditure Breakdown'!$H$6:$H$166, "&lt;"&amp;FU1)</f>
        <v>0</v>
      </c>
      <c r="FU5" s="112">
        <f>SUMIFS('Expenditure Breakdown'!$G$6:$G$166, 'Expenditure Breakdown'!$H$6:$H$166, "&gt;="&amp;FU1,'Expenditure Breakdown'!$H$6:$H$166, "&lt;"&amp;FV1)</f>
        <v>0</v>
      </c>
      <c r="FV5" s="112">
        <f>SUMIFS('Expenditure Breakdown'!$G$6:$G$166, 'Expenditure Breakdown'!$H$6:$H$166, "&gt;="&amp;FV1,'Expenditure Breakdown'!$H$6:$H$166, "&lt;"&amp;FW1)</f>
        <v>0</v>
      </c>
      <c r="FW5" s="112">
        <f>SUMIFS('Expenditure Breakdown'!$G$6:$G$166, 'Expenditure Breakdown'!$H$6:$H$166, "&gt;="&amp;FW1,'Expenditure Breakdown'!$H$6:$H$166, "&lt;"&amp;FX1)</f>
        <v>0</v>
      </c>
      <c r="FX5" s="112">
        <f>SUMIFS('Expenditure Breakdown'!$G$6:$G$166, 'Expenditure Breakdown'!$H$6:$H$166, "&gt;="&amp;FX1,'Expenditure Breakdown'!$H$6:$H$166, "&lt;"&amp;FY1)</f>
        <v>0</v>
      </c>
      <c r="FY5" s="112">
        <f>SUMIFS('Expenditure Breakdown'!$G$6:$G$166, 'Expenditure Breakdown'!$H$6:$H$166, "&gt;="&amp;FY1,'Expenditure Breakdown'!$H$6:$H$166, "&lt;"&amp;FZ1)</f>
        <v>0</v>
      </c>
      <c r="FZ5" s="112">
        <f>SUMIFS('Expenditure Breakdown'!$G$6:$G$166, 'Expenditure Breakdown'!$H$6:$H$166, "&gt;="&amp;FZ1,'Expenditure Breakdown'!$H$6:$H$166, "&lt;"&amp;GA1)</f>
        <v>0</v>
      </c>
      <c r="GA5" s="112">
        <f>SUMIFS('Expenditure Breakdown'!$G$6:$G$166, 'Expenditure Breakdown'!$H$6:$H$166, "&gt;="&amp;GA1,'Expenditure Breakdown'!$H$6:$H$166, "&lt;"&amp;GB1)</f>
        <v>0</v>
      </c>
      <c r="GB5" s="112">
        <f>SUMIFS('Expenditure Breakdown'!$G$6:$G$166, 'Expenditure Breakdown'!$H$6:$H$166, "&gt;="&amp;GB1,'Expenditure Breakdown'!$H$6:$H$166, "&lt;"&amp;GC1)</f>
        <v>0</v>
      </c>
      <c r="GC5" s="112">
        <f>SUMIFS('Expenditure Breakdown'!$G$6:$G$166, 'Expenditure Breakdown'!$H$6:$H$166, "&gt;="&amp;GC1,'Expenditure Breakdown'!$H$6:$H$166, "&lt;"&amp;GD1)</f>
        <v>0</v>
      </c>
      <c r="GD5" s="112">
        <f>SUMIFS('Expenditure Breakdown'!$G$6:$G$166, 'Expenditure Breakdown'!$H$6:$H$166, "&gt;="&amp;GD1,'Expenditure Breakdown'!$H$6:$H$166, "&lt;"&amp;GE1)</f>
        <v>0</v>
      </c>
      <c r="GE5" s="112">
        <f>SUMIFS('Expenditure Breakdown'!$G$6:$G$166, 'Expenditure Breakdown'!$H$6:$H$166, "&gt;="&amp;GE1,'Expenditure Breakdown'!$H$6:$H$166, "&lt;"&amp;GF1)</f>
        <v>0</v>
      </c>
      <c r="GF5" s="112">
        <f>SUMIFS('Expenditure Breakdown'!$G$6:$G$166, 'Expenditure Breakdown'!$H$6:$H$166, "&gt;="&amp;GF1,'Expenditure Breakdown'!$H$6:$H$166, "&lt;"&amp;GG1)</f>
        <v>0</v>
      </c>
      <c r="GG5" s="112">
        <f>SUMIFS('Expenditure Breakdown'!$G$6:$G$166, 'Expenditure Breakdown'!$H$6:$H$166, "&gt;="&amp;GG1,'Expenditure Breakdown'!$H$6:$H$166, "&lt;"&amp;GH1)</f>
        <v>0</v>
      </c>
      <c r="GH5" s="112">
        <f>SUMIFS('Expenditure Breakdown'!$G$6:$G$166, 'Expenditure Breakdown'!$H$6:$H$166, "&gt;="&amp;GH1,'Expenditure Breakdown'!$H$6:$H$166, "&lt;"&amp;GI1)</f>
        <v>0</v>
      </c>
      <c r="GI5" s="112">
        <f>SUMIFS('Expenditure Breakdown'!$G$6:$G$166, 'Expenditure Breakdown'!$H$6:$H$166, "&gt;="&amp;GI1,'Expenditure Breakdown'!$H$6:$H$166, "&lt;"&amp;GJ1)</f>
        <v>0</v>
      </c>
      <c r="GJ5" s="112">
        <f>SUMIFS('Expenditure Breakdown'!$G$6:$G$166, 'Expenditure Breakdown'!$H$6:$H$166, "&gt;="&amp;GJ1,'Expenditure Breakdown'!$H$6:$H$166, "&lt;"&amp;GK1)</f>
        <v>0</v>
      </c>
      <c r="GK5" s="112">
        <f>SUMIFS('Expenditure Breakdown'!$G$6:$G$166, 'Expenditure Breakdown'!$H$6:$H$166, "&gt;="&amp;GK1,'Expenditure Breakdown'!$H$6:$H$166, "&lt;"&amp;GL1)</f>
        <v>0</v>
      </c>
      <c r="GL5" s="112">
        <f>SUMIFS('Expenditure Breakdown'!$G$6:$G$166, 'Expenditure Breakdown'!$H$6:$H$166, "&gt;="&amp;GL1,'Expenditure Breakdown'!$H$6:$H$166, "&lt;"&amp;GM1)</f>
        <v>0</v>
      </c>
      <c r="GM5" s="112">
        <f>SUMIFS('Expenditure Breakdown'!$G$6:$G$166, 'Expenditure Breakdown'!$H$6:$H$166, "&gt;="&amp;GM1,'Expenditure Breakdown'!$H$6:$H$166, "&lt;"&amp;GN1)</f>
        <v>0</v>
      </c>
      <c r="GN5" s="112">
        <f>SUMIFS('Expenditure Breakdown'!$G$6:$G$166, 'Expenditure Breakdown'!$H$6:$H$166, "&gt;="&amp;GN1,'Expenditure Breakdown'!$H$6:$H$166, "&lt;"&amp;GO1)</f>
        <v>0</v>
      </c>
      <c r="GO5" s="112">
        <f>SUMIFS('Expenditure Breakdown'!$G$6:$G$166, 'Expenditure Breakdown'!$H$6:$H$166, "&gt;="&amp;GO1,'Expenditure Breakdown'!$H$6:$H$166, "&lt;"&amp;GP1)</f>
        <v>0</v>
      </c>
      <c r="GP5" s="112">
        <f>SUMIFS('Expenditure Breakdown'!$G$6:$G$166, 'Expenditure Breakdown'!$H$6:$H$166, "&gt;="&amp;GP1,'Expenditure Breakdown'!$H$6:$H$166, "&lt;"&amp;GQ1)</f>
        <v>0</v>
      </c>
      <c r="GQ5" s="112">
        <f>SUMIFS('Expenditure Breakdown'!$G$6:$G$166, 'Expenditure Breakdown'!$H$6:$H$166, "&gt;="&amp;GQ1,'Expenditure Breakdown'!$H$6:$H$166, "&lt;"&amp;GR1)</f>
        <v>0</v>
      </c>
      <c r="GR5" s="112">
        <f>SUMIFS('Expenditure Breakdown'!$G$6:$G$166, 'Expenditure Breakdown'!$H$6:$H$166, "&gt;="&amp;GR1,'Expenditure Breakdown'!$H$6:$H$166, "&lt;"&amp;GS1)</f>
        <v>0</v>
      </c>
      <c r="GS5" s="112">
        <f>SUMIFS('Expenditure Breakdown'!$G$6:$G$166, 'Expenditure Breakdown'!$H$6:$H$166, "&gt;="&amp;GS1,'Expenditure Breakdown'!$H$6:$H$166, "&lt;"&amp;GT1)</f>
        <v>0</v>
      </c>
      <c r="GT5" s="112">
        <f>SUMIFS('Expenditure Breakdown'!$G$6:$G$166, 'Expenditure Breakdown'!$H$6:$H$166, "&gt;="&amp;GT1,'Expenditure Breakdown'!$H$6:$H$166, "&lt;"&amp;GU1)</f>
        <v>0</v>
      </c>
      <c r="GU5" s="112">
        <f>SUMIFS('Expenditure Breakdown'!$G$6:$G$166, 'Expenditure Breakdown'!$H$6:$H$166, "&gt;="&amp;GU1,'Expenditure Breakdown'!$H$6:$H$166, "&lt;"&amp;GV1)</f>
        <v>0</v>
      </c>
      <c r="GV5" s="112">
        <f>SUMIFS('Expenditure Breakdown'!$G$6:$G$166, 'Expenditure Breakdown'!$H$6:$H$166, "&gt;="&amp;GV1,'Expenditure Breakdown'!$H$6:$H$166, "&lt;"&amp;GW1)</f>
        <v>0</v>
      </c>
      <c r="GW5" s="112">
        <f>SUMIFS('Expenditure Breakdown'!$G$6:$G$166, 'Expenditure Breakdown'!$H$6:$H$166, "&gt;="&amp;GW1,'Expenditure Breakdown'!$H$6:$H$166, "&lt;"&amp;GX1)</f>
        <v>0</v>
      </c>
      <c r="GX5" s="112">
        <f>SUMIFS('Expenditure Breakdown'!$G$6:$G$166, 'Expenditure Breakdown'!$H$6:$H$166, "&gt;="&amp;GX1,'Expenditure Breakdown'!$H$6:$H$166, "&lt;"&amp;GY1)</f>
        <v>0</v>
      </c>
      <c r="GY5" s="112">
        <f>SUMIFS('Expenditure Breakdown'!$G$6:$G$166, 'Expenditure Breakdown'!$H$6:$H$166, "&gt;="&amp;GY1,'Expenditure Breakdown'!$H$6:$H$166, "&lt;"&amp;GZ1)</f>
        <v>0</v>
      </c>
      <c r="GZ5" s="112">
        <f>SUMIFS('Expenditure Breakdown'!$G$6:$G$166, 'Expenditure Breakdown'!$H$6:$H$166, "&gt;="&amp;GZ1,'Expenditure Breakdown'!$H$6:$H$166, "&lt;"&amp;HA1)</f>
        <v>0</v>
      </c>
      <c r="HA5" s="112">
        <f>SUMIFS('Expenditure Breakdown'!$G$6:$G$166, 'Expenditure Breakdown'!$H$6:$H$166, "&gt;="&amp;HA1,'Expenditure Breakdown'!$H$6:$H$166, "&lt;"&amp;HB1)</f>
        <v>0</v>
      </c>
      <c r="HB5" s="112">
        <f>SUMIFS('Expenditure Breakdown'!$G$6:$G$166, 'Expenditure Breakdown'!$H$6:$H$166, "&gt;="&amp;HB1,'Expenditure Breakdown'!$H$6:$H$166, "&lt;"&amp;HC1)</f>
        <v>0</v>
      </c>
      <c r="HC5" s="112">
        <f>SUMIFS('Expenditure Breakdown'!$G$6:$G$166, 'Expenditure Breakdown'!$H$6:$H$166, "&gt;="&amp;HC1,'Expenditure Breakdown'!$H$6:$H$166, "&lt;"&amp;HD1)</f>
        <v>0</v>
      </c>
      <c r="HD5" s="112">
        <f>SUMIFS('Expenditure Breakdown'!$G$6:$G$166, 'Expenditure Breakdown'!$H$6:$H$166, "&gt;="&amp;HD1,'Expenditure Breakdown'!$H$6:$H$166, "&lt;"&amp;HE1)</f>
        <v>0</v>
      </c>
      <c r="HE5" s="112">
        <f>SUMIFS('Expenditure Breakdown'!$G$6:$G$166, 'Expenditure Breakdown'!$H$6:$H$166, "&gt;="&amp;HE1,'Expenditure Breakdown'!$H$6:$H$166, "&lt;"&amp;HF1)</f>
        <v>0</v>
      </c>
      <c r="HF5" s="112">
        <f>SUMIFS('Expenditure Breakdown'!$G$6:$G$166, 'Expenditure Breakdown'!$H$6:$H$166, "&gt;="&amp;HF1,'Expenditure Breakdown'!$H$6:$H$166, "&lt;"&amp;HG1)</f>
        <v>0</v>
      </c>
      <c r="HG5" s="112">
        <f>SUMIFS('Expenditure Breakdown'!$G$6:$G$166, 'Expenditure Breakdown'!$H$6:$H$166, "&gt;="&amp;HG1,'Expenditure Breakdown'!$H$6:$H$166, "&lt;"&amp;HH1)</f>
        <v>0</v>
      </c>
      <c r="HH5" s="112">
        <f>SUMIFS('Expenditure Breakdown'!$G$6:$G$166, 'Expenditure Breakdown'!$H$6:$H$166, "&gt;="&amp;HH1,'Expenditure Breakdown'!$H$6:$H$166, "&lt;"&amp;HI1)</f>
        <v>0</v>
      </c>
      <c r="HI5" s="112">
        <f>SUMIFS('Expenditure Breakdown'!$G$6:$G$166, 'Expenditure Breakdown'!$H$6:$H$166, "&gt;="&amp;HI1,'Expenditure Breakdown'!$H$6:$H$166, "&lt;"&amp;HJ1)</f>
        <v>0</v>
      </c>
      <c r="HJ5" s="112">
        <f>SUMIFS('Expenditure Breakdown'!$G$6:$G$166, 'Expenditure Breakdown'!$H$6:$H$166, "&gt;="&amp;HJ1,'Expenditure Breakdown'!$H$6:$H$166, "&lt;"&amp;HK1)</f>
        <v>0</v>
      </c>
      <c r="HK5" s="112">
        <f>SUMIFS('Expenditure Breakdown'!$G$6:$G$166, 'Expenditure Breakdown'!$H$6:$H$166, "&gt;="&amp;HK1,'Expenditure Breakdown'!$H$6:$H$166, "&lt;"&amp;HL1)</f>
        <v>0</v>
      </c>
      <c r="HL5" s="112">
        <f>SUMIFS('Expenditure Breakdown'!$G$6:$G$166, 'Expenditure Breakdown'!$H$6:$H$166, "&gt;="&amp;HL1,'Expenditure Breakdown'!$H$6:$H$166, "&lt;"&amp;HM1)</f>
        <v>0</v>
      </c>
      <c r="HM5" s="112">
        <f>SUMIFS('Expenditure Breakdown'!$G$6:$G$166, 'Expenditure Breakdown'!$H$6:$H$166, "&gt;="&amp;HM1,'Expenditure Breakdown'!$H$6:$H$166, "&lt;"&amp;HN1)</f>
        <v>0</v>
      </c>
      <c r="HN5" s="112">
        <f>SUMIFS('Expenditure Breakdown'!$G$6:$G$166, 'Expenditure Breakdown'!$H$6:$H$166, "&gt;="&amp;HN1,'Expenditure Breakdown'!$H$6:$H$166, "&lt;"&amp;HO1)</f>
        <v>0</v>
      </c>
      <c r="HO5" s="112">
        <f>SUMIFS('Expenditure Breakdown'!$G$6:$G$166, 'Expenditure Breakdown'!$H$6:$H$166, "&gt;="&amp;HO1,'Expenditure Breakdown'!$H$6:$H$166, "&lt;"&amp;HP1)</f>
        <v>0</v>
      </c>
      <c r="HP5" s="112">
        <f>SUMIFS('Expenditure Breakdown'!$G$6:$G$166, 'Expenditure Breakdown'!$H$6:$H$166, "&gt;="&amp;HP1,'Expenditure Breakdown'!$H$6:$H$166, "&lt;"&amp;HQ1)</f>
        <v>0</v>
      </c>
      <c r="HQ5" s="112">
        <f>SUMIFS('Expenditure Breakdown'!$G$6:$G$166, 'Expenditure Breakdown'!$H$6:$H$166, "&gt;="&amp;HQ1,'Expenditure Breakdown'!$H$6:$H$166, "&lt;"&amp;HR1)</f>
        <v>0</v>
      </c>
      <c r="HR5" s="112">
        <f>SUMIFS('Expenditure Breakdown'!$G$6:$G$166, 'Expenditure Breakdown'!$H$6:$H$166, "&gt;="&amp;HR1,'Expenditure Breakdown'!$H$6:$H$166, "&lt;"&amp;HS1)</f>
        <v>0</v>
      </c>
      <c r="HS5" s="112">
        <f>SUMIFS('Expenditure Breakdown'!$G$6:$G$166, 'Expenditure Breakdown'!$H$6:$H$166, "&gt;="&amp;HS1,'Expenditure Breakdown'!$H$6:$H$166, "&lt;"&amp;HT1)</f>
        <v>0</v>
      </c>
      <c r="HT5" s="112">
        <f>SUMIFS('Expenditure Breakdown'!$G$6:$G$166, 'Expenditure Breakdown'!$H$6:$H$166, "&gt;="&amp;HT1,'Expenditure Breakdown'!$H$6:$H$166, "&lt;"&amp;HU1)</f>
        <v>0</v>
      </c>
      <c r="HU5" s="112">
        <f>SUMIFS('Expenditure Breakdown'!$G$6:$G$166, 'Expenditure Breakdown'!$H$6:$H$166, "&gt;="&amp;HU1,'Expenditure Breakdown'!$H$6:$H$166, "&lt;"&amp;HV1)</f>
        <v>0</v>
      </c>
      <c r="HV5" s="112">
        <f>SUMIFS('Expenditure Breakdown'!$G$6:$G$166, 'Expenditure Breakdown'!$H$6:$H$166, "&gt;="&amp;HV1,'Expenditure Breakdown'!$H$6:$H$166, "&lt;"&amp;HW1)</f>
        <v>0</v>
      </c>
      <c r="HW5" s="112">
        <f>SUMIFS('Expenditure Breakdown'!$G$6:$G$166, 'Expenditure Breakdown'!$H$6:$H$166, "&gt;="&amp;HW1,'Expenditure Breakdown'!$H$6:$H$166, "&lt;"&amp;HX1)</f>
        <v>0</v>
      </c>
      <c r="HX5" s="112">
        <f>SUMIFS('Expenditure Breakdown'!$G$6:$G$166, 'Expenditure Breakdown'!$H$6:$H$166, "&gt;="&amp;HX1,'Expenditure Breakdown'!$H$6:$H$166, "&lt;"&amp;HY1)</f>
        <v>0</v>
      </c>
      <c r="HY5" s="112">
        <f>SUMIFS('Expenditure Breakdown'!$G$6:$G$166, 'Expenditure Breakdown'!$H$6:$H$166, "&gt;="&amp;HY1,'Expenditure Breakdown'!$H$6:$H$166, "&lt;"&amp;HZ1)</f>
        <v>0</v>
      </c>
      <c r="HZ5" s="112">
        <f>SUMIFS('Expenditure Breakdown'!$G$6:$G$166, 'Expenditure Breakdown'!$H$6:$H$166, "&gt;="&amp;HZ1,'Expenditure Breakdown'!$H$6:$H$166, "&lt;"&amp;IA1)</f>
        <v>0</v>
      </c>
      <c r="IA5" s="112">
        <f>SUMIFS('Expenditure Breakdown'!$G$6:$G$166, 'Expenditure Breakdown'!$H$6:$H$166, "&gt;="&amp;IA1,'Expenditure Breakdown'!$H$6:$H$166, "&lt;"&amp;IB1)</f>
        <v>0</v>
      </c>
      <c r="IB5" s="112">
        <f>SUMIFS('Expenditure Breakdown'!$G$6:$G$166, 'Expenditure Breakdown'!$H$6:$H$166, "&gt;="&amp;IB1,'Expenditure Breakdown'!$H$6:$H$166, "&lt;"&amp;IC1)</f>
        <v>0</v>
      </c>
      <c r="IC5" s="112">
        <f>SUMIFS('Expenditure Breakdown'!$G$6:$G$166, 'Expenditure Breakdown'!$H$6:$H$166, "&gt;="&amp;IC1,'Expenditure Breakdown'!$H$6:$H$166, "&lt;"&amp;ID1)</f>
        <v>0</v>
      </c>
      <c r="ID5" s="112">
        <f>SUMIFS('Expenditure Breakdown'!$G$6:$G$166, 'Expenditure Breakdown'!$H$6:$H$166, "&gt;="&amp;ID1,'Expenditure Breakdown'!$H$6:$H$166, "&lt;"&amp;IE1)</f>
        <v>0</v>
      </c>
      <c r="IE5" s="112">
        <f>SUMIFS('Expenditure Breakdown'!$G$6:$G$166, 'Expenditure Breakdown'!$H$6:$H$166, "&gt;="&amp;IE1,'Expenditure Breakdown'!$H$6:$H$166, "&lt;"&amp;IF1)</f>
        <v>0</v>
      </c>
      <c r="IF5" s="112">
        <f>SUMIFS('Expenditure Breakdown'!$G$6:$G$166, 'Expenditure Breakdown'!$H$6:$H$166, "&gt;="&amp;IF1,'Expenditure Breakdown'!$H$6:$H$166, "&lt;"&amp;IG1)</f>
        <v>0</v>
      </c>
      <c r="IG5" s="112">
        <f>SUMIFS('Expenditure Breakdown'!$G$6:$G$166, 'Expenditure Breakdown'!$H$6:$H$166, "&gt;="&amp;IG1,'Expenditure Breakdown'!$H$6:$H$166, "&lt;"&amp;IH1)</f>
        <v>0</v>
      </c>
      <c r="IH5" s="112">
        <f>SUMIFS('Expenditure Breakdown'!$G$6:$G$166, 'Expenditure Breakdown'!$H$6:$H$166, "&gt;="&amp;IH1,'Expenditure Breakdown'!$H$6:$H$166, "&lt;"&amp;II1)</f>
        <v>0</v>
      </c>
      <c r="II5" s="112">
        <f>SUMIFS('Expenditure Breakdown'!$G$6:$G$166, 'Expenditure Breakdown'!$H$6:$H$166, "&gt;="&amp;II1,'Expenditure Breakdown'!$H$6:$H$166, "&lt;"&amp;IJ1)</f>
        <v>0</v>
      </c>
      <c r="IJ5" s="112">
        <f>SUMIFS('Expenditure Breakdown'!$G$6:$G$166, 'Expenditure Breakdown'!$H$6:$H$166, "&gt;="&amp;IJ1,'Expenditure Breakdown'!$H$6:$H$166, "&lt;"&amp;IK1)</f>
        <v>0</v>
      </c>
      <c r="IK5" s="112">
        <f>SUMIFS('Expenditure Breakdown'!$G$6:$G$166, 'Expenditure Breakdown'!$H$6:$H$166, "&gt;="&amp;IK1,'Expenditure Breakdown'!$H$6:$H$166, "&lt;"&amp;IL1)</f>
        <v>0</v>
      </c>
      <c r="IL5" s="112">
        <f>SUMIFS('Expenditure Breakdown'!$G$6:$G$166, 'Expenditure Breakdown'!$H$6:$H$166, "&gt;="&amp;IL1,'Expenditure Breakdown'!$H$6:$H$166, "&lt;"&amp;IM1)</f>
        <v>0</v>
      </c>
      <c r="IM5" s="112">
        <f>SUMIFS('Expenditure Breakdown'!$G$6:$G$166, 'Expenditure Breakdown'!$H$6:$H$166, "&gt;="&amp;IM1,'Expenditure Breakdown'!$H$6:$H$166, "&lt;"&amp;IN1)</f>
        <v>0</v>
      </c>
      <c r="IN5" s="112">
        <f>SUMIFS('Expenditure Breakdown'!$G$6:$G$166, 'Expenditure Breakdown'!$H$6:$H$166, "&gt;="&amp;IN1,'Expenditure Breakdown'!$H$6:$H$166, "&lt;"&amp;IO1)</f>
        <v>0</v>
      </c>
      <c r="IO5" s="112">
        <f>SUMIFS('Expenditure Breakdown'!$G$6:$G$166, 'Expenditure Breakdown'!$H$6:$H$166, "&gt;="&amp;IO1,'Expenditure Breakdown'!$H$6:$H$166, "&lt;"&amp;IP1)</f>
        <v>0</v>
      </c>
      <c r="IP5" s="112">
        <f>SUMIFS('Expenditure Breakdown'!$G$6:$G$166, 'Expenditure Breakdown'!$H$6:$H$166, "&gt;="&amp;IP1,'Expenditure Breakdown'!$H$6:$H$166, "&lt;"&amp;IQ1)</f>
        <v>0</v>
      </c>
      <c r="IQ5" s="112">
        <f>SUMIFS('Expenditure Breakdown'!$G$6:$G$166, 'Expenditure Breakdown'!$H$6:$H$166, "&gt;="&amp;IQ1,'Expenditure Breakdown'!$H$6:$H$166, "&lt;"&amp;IR1)</f>
        <v>0</v>
      </c>
      <c r="IR5" s="112">
        <f>SUMIFS('Expenditure Breakdown'!$G$6:$G$166, 'Expenditure Breakdown'!$H$6:$H$166, "&gt;="&amp;IR1,'Expenditure Breakdown'!$H$6:$H$166, "&lt;"&amp;IS1)</f>
        <v>0</v>
      </c>
      <c r="IS5" s="112">
        <f>SUMIFS('Expenditure Breakdown'!$G$6:$G$166, 'Expenditure Breakdown'!$H$6:$H$166, "&gt;="&amp;IS1,'Expenditure Breakdown'!$H$6:$H$166, "&lt;"&amp;IT1)</f>
        <v>0</v>
      </c>
      <c r="IT5" s="112">
        <f>SUMIFS('Expenditure Breakdown'!$G$6:$G$166, 'Expenditure Breakdown'!$H$6:$H$166, "&gt;="&amp;IT1,'Expenditure Breakdown'!$H$6:$H$166, "&lt;"&amp;IU1)</f>
        <v>0</v>
      </c>
      <c r="IU5" s="112">
        <f>SUMIFS('Expenditure Breakdown'!$G$6:$G$166, 'Expenditure Breakdown'!$H$6:$H$166, "&gt;="&amp;IU1,'Expenditure Breakdown'!$H$6:$H$166, "&lt;"&amp;IV1)</f>
        <v>0</v>
      </c>
      <c r="IV5" s="112">
        <f>SUMIFS('Expenditure Breakdown'!$G$6:$G$166, 'Expenditure Breakdown'!$H$6:$H$166, "&gt;="&amp;IV1,'Expenditure Breakdown'!$H$6:$H$166, "&lt;"&amp;IW1)</f>
        <v>0</v>
      </c>
      <c r="IW5" s="112">
        <f>SUMIFS('Expenditure Breakdown'!$G$6:$G$166, 'Expenditure Breakdown'!$H$6:$H$166, "&gt;="&amp;IW1,'Expenditure Breakdown'!$H$6:$H$166, "&lt;"&amp;IX1)</f>
        <v>0</v>
      </c>
      <c r="IX5" s="112">
        <f>SUMIFS('Expenditure Breakdown'!$G$6:$G$166, 'Expenditure Breakdown'!$H$6:$H$166, "&gt;="&amp;IX1,'Expenditure Breakdown'!$H$6:$H$166, "&lt;"&amp;IY1)</f>
        <v>0</v>
      </c>
      <c r="IY5" s="112">
        <f>SUMIFS('Expenditure Breakdown'!$G$6:$G$166, 'Expenditure Breakdown'!$H$6:$H$166, "&gt;="&amp;IY1,'Expenditure Breakdown'!$H$6:$H$166, "&lt;"&amp;IZ1)</f>
        <v>0</v>
      </c>
      <c r="IZ5" s="112">
        <f>SUMIFS('Expenditure Breakdown'!$G$6:$G$166, 'Expenditure Breakdown'!$H$6:$H$166, "&gt;="&amp;IZ1,'Expenditure Breakdown'!$H$6:$H$166, "&lt;"&amp;JA1)</f>
        <v>0</v>
      </c>
      <c r="JA5" s="112">
        <f>SUMIFS('Expenditure Breakdown'!$G$6:$G$166, 'Expenditure Breakdown'!$H$6:$H$166, "&gt;="&amp;JA1,'Expenditure Breakdown'!$H$6:$H$166, "&lt;"&amp;JB1)</f>
        <v>0</v>
      </c>
      <c r="JB5" s="112">
        <f>SUMIFS('Expenditure Breakdown'!$G$6:$G$166, 'Expenditure Breakdown'!$H$6:$H$166, "&gt;="&amp;JB1,'Expenditure Breakdown'!$H$6:$H$166, "&lt;"&amp;JC1)</f>
        <v>0</v>
      </c>
      <c r="JC5" s="112">
        <f>SUMIFS('Expenditure Breakdown'!$G$6:$G$166, 'Expenditure Breakdown'!$H$6:$H$166, "&gt;="&amp;JC1,'Expenditure Breakdown'!$H$6:$H$166, "&lt;"&amp;JD1)</f>
        <v>0</v>
      </c>
      <c r="JD5" s="112">
        <f>SUMIFS('Expenditure Breakdown'!$G$6:$G$166, 'Expenditure Breakdown'!$H$6:$H$166, "&gt;="&amp;JD1,'Expenditure Breakdown'!$H$6:$H$166, "&lt;"&amp;JE1)</f>
        <v>0</v>
      </c>
      <c r="JE5" s="112">
        <f>SUMIFS('Expenditure Breakdown'!$G$6:$G$166, 'Expenditure Breakdown'!$H$6:$H$166, "&gt;="&amp;JE1,'Expenditure Breakdown'!$H$6:$H$166, "&lt;"&amp;JF1)</f>
        <v>0</v>
      </c>
      <c r="JF5" s="112">
        <f>SUMIFS('Expenditure Breakdown'!$G$6:$G$166, 'Expenditure Breakdown'!$H$6:$H$166, "&gt;="&amp;JF1,'Expenditure Breakdown'!$H$6:$H$166, "&lt;"&amp;JG1)</f>
        <v>0</v>
      </c>
      <c r="JG5" s="112">
        <f>SUMIFS('Expenditure Breakdown'!$G$6:$G$166, 'Expenditure Breakdown'!$H$6:$H$166, "&gt;="&amp;JG1,'Expenditure Breakdown'!$H$6:$H$166, "&lt;"&amp;JH1)</f>
        <v>0</v>
      </c>
      <c r="JH5" s="112">
        <f>SUMIFS('Expenditure Breakdown'!$G$6:$G$166, 'Expenditure Breakdown'!$H$6:$H$166, "&gt;="&amp;JH1,'Expenditure Breakdown'!$H$6:$H$166, "&lt;"&amp;JI1)</f>
        <v>0</v>
      </c>
      <c r="JI5" s="112">
        <f>SUMIFS('Expenditure Breakdown'!$G$6:$G$166, 'Expenditure Breakdown'!$H$6:$H$166, "&gt;="&amp;JI1,'Expenditure Breakdown'!$H$6:$H$166, "&lt;"&amp;JJ1)</f>
        <v>0</v>
      </c>
      <c r="JJ5" s="112">
        <f>SUMIFS('Expenditure Breakdown'!$G$6:$G$166, 'Expenditure Breakdown'!$H$6:$H$166, "&gt;="&amp;JJ1,'Expenditure Breakdown'!$H$6:$H$166, "&lt;"&amp;JK1)</f>
        <v>0</v>
      </c>
      <c r="JK5" s="112">
        <f>SUMIFS('Expenditure Breakdown'!$G$6:$G$166, 'Expenditure Breakdown'!$H$6:$H$166, "&gt;="&amp;JK1,'Expenditure Breakdown'!$H$6:$H$166, "&lt;"&amp;JL1)</f>
        <v>0</v>
      </c>
      <c r="JL5" s="112">
        <f>SUMIFS('Expenditure Breakdown'!$G$6:$G$166, 'Expenditure Breakdown'!$H$6:$H$166, "&gt;="&amp;JL1,'Expenditure Breakdown'!$H$6:$H$166, "&lt;"&amp;JM1)</f>
        <v>0</v>
      </c>
      <c r="JM5" s="112">
        <f>SUMIFS('Expenditure Breakdown'!$G$6:$G$166, 'Expenditure Breakdown'!$H$6:$H$166, "&gt;="&amp;JM1,'Expenditure Breakdown'!$H$6:$H$166, "&lt;"&amp;JN1)</f>
        <v>0</v>
      </c>
      <c r="JN5" s="112">
        <f>SUMIFS('Expenditure Breakdown'!$G$6:$G$166, 'Expenditure Breakdown'!$H$6:$H$166, "&gt;="&amp;JN1,'Expenditure Breakdown'!$H$6:$H$166, "&lt;"&amp;JO1)</f>
        <v>0</v>
      </c>
      <c r="JO5" s="112">
        <f>SUMIFS('Expenditure Breakdown'!$G$6:$G$166, 'Expenditure Breakdown'!$H$6:$H$166, "&gt;="&amp;JO1,'Expenditure Breakdown'!$H$6:$H$166, "&lt;"&amp;JP1)</f>
        <v>0</v>
      </c>
      <c r="JP5" s="112">
        <f>SUMIFS('Expenditure Breakdown'!$G$6:$G$166, 'Expenditure Breakdown'!$H$6:$H$166, "&gt;="&amp;JP1,'Expenditure Breakdown'!$H$6:$H$166, "&lt;"&amp;JQ1)</f>
        <v>0</v>
      </c>
      <c r="JQ5" s="112">
        <f>SUMIFS('Expenditure Breakdown'!$G$6:$G$166, 'Expenditure Breakdown'!$H$6:$H$166, "&gt;="&amp;JQ1,'Expenditure Breakdown'!$H$6:$H$166, "&lt;"&amp;JR1)</f>
        <v>0</v>
      </c>
      <c r="JR5" s="112">
        <f>SUMIFS('Expenditure Breakdown'!$G$6:$G$166, 'Expenditure Breakdown'!$H$6:$H$166, "&gt;="&amp;JR1,'Expenditure Breakdown'!$H$6:$H$166, "&lt;"&amp;JS1)</f>
        <v>0</v>
      </c>
      <c r="JS5" s="112">
        <f>SUMIFS('Expenditure Breakdown'!$G$6:$G$166, 'Expenditure Breakdown'!$H$6:$H$166, "&gt;="&amp;JS1,'Expenditure Breakdown'!$H$6:$H$166, "&lt;"&amp;JT1)</f>
        <v>0</v>
      </c>
      <c r="JT5" s="112">
        <f>SUMIFS('Expenditure Breakdown'!$G$6:$G$166, 'Expenditure Breakdown'!$H$6:$H$166, "&gt;="&amp;JT1,'Expenditure Breakdown'!$H$6:$H$166, "&lt;"&amp;JU1)</f>
        <v>0</v>
      </c>
      <c r="JU5" s="112">
        <f>SUMIFS('Expenditure Breakdown'!$G$6:$G$166, 'Expenditure Breakdown'!$H$6:$H$166, "&gt;="&amp;JU1,'Expenditure Breakdown'!$H$6:$H$166, "&lt;"&amp;JV1)</f>
        <v>0</v>
      </c>
      <c r="JV5" s="112">
        <f>SUMIFS('Expenditure Breakdown'!$G$6:$G$166, 'Expenditure Breakdown'!$H$6:$H$166, "&gt;="&amp;JV1,'Expenditure Breakdown'!$H$6:$H$166, "&lt;"&amp;JW1)</f>
        <v>0</v>
      </c>
      <c r="JW5" s="112">
        <f>SUMIFS('Expenditure Breakdown'!$G$6:$G$166, 'Expenditure Breakdown'!$H$6:$H$166, "&gt;="&amp;JW1,'Expenditure Breakdown'!$H$6:$H$166, "&lt;"&amp;JX1)</f>
        <v>0</v>
      </c>
      <c r="JX5" s="112">
        <f>SUMIFS('Expenditure Breakdown'!$G$6:$G$166, 'Expenditure Breakdown'!$H$6:$H$166, "&gt;="&amp;JX1,'Expenditure Breakdown'!$H$6:$H$166, "&lt;"&amp;JY1)</f>
        <v>0</v>
      </c>
      <c r="JY5" s="112">
        <f>SUMIFS('Expenditure Breakdown'!$G$6:$G$166, 'Expenditure Breakdown'!$H$6:$H$166, "&gt;="&amp;JY1,'Expenditure Breakdown'!$H$6:$H$166, "&lt;"&amp;JZ1)</f>
        <v>0</v>
      </c>
      <c r="JZ5" s="112">
        <f>SUMIFS('Expenditure Breakdown'!$G$6:$G$166, 'Expenditure Breakdown'!$H$6:$H$166, "&gt;="&amp;JZ1,'Expenditure Breakdown'!$H$6:$H$166, "&lt;"&amp;KA1)</f>
        <v>0</v>
      </c>
      <c r="KA5" s="112">
        <f>SUMIFS('Expenditure Breakdown'!$G$6:$G$166, 'Expenditure Breakdown'!$H$6:$H$166, "&gt;="&amp;KA1,'Expenditure Breakdown'!$H$6:$H$166, "&lt;"&amp;KB1)</f>
        <v>0</v>
      </c>
      <c r="KB5" s="112">
        <f>SUMIFS('Expenditure Breakdown'!$G$6:$G$166, 'Expenditure Breakdown'!$H$6:$H$166, "&gt;="&amp;KB1,'Expenditure Breakdown'!$H$6:$H$166, "&lt;"&amp;KC1)</f>
        <v>0</v>
      </c>
      <c r="KC5" s="112">
        <f>SUMIFS('Expenditure Breakdown'!$G$6:$G$166, 'Expenditure Breakdown'!$H$6:$H$166, "&gt;="&amp;KC1,'Expenditure Breakdown'!$H$6:$H$166, "&lt;"&amp;KD1)</f>
        <v>0</v>
      </c>
      <c r="KD5" s="112">
        <f>SUMIFS('Expenditure Breakdown'!$G$6:$G$166, 'Expenditure Breakdown'!$H$6:$H$166, "&gt;="&amp;KD1,'Expenditure Breakdown'!$H$6:$H$166, "&lt;"&amp;KE1)</f>
        <v>0</v>
      </c>
      <c r="KE5" s="112">
        <f>SUMIFS('Expenditure Breakdown'!$G$6:$G$166, 'Expenditure Breakdown'!$H$6:$H$166, "&gt;="&amp;KE1,'Expenditure Breakdown'!$H$6:$H$166, "&lt;"&amp;#REF!)</f>
        <v>0</v>
      </c>
      <c r="KF5" s="102"/>
      <c r="KG5" s="113"/>
      <c r="KH5" s="113"/>
    </row>
    <row r="6" spans="1:769" s="114" customFormat="1">
      <c r="A6" s="778"/>
      <c r="B6" s="110" t="s">
        <v>400</v>
      </c>
      <c r="C6" s="111"/>
      <c r="D6" s="111"/>
      <c r="E6" s="108"/>
      <c r="F6" s="112">
        <f>F5</f>
        <v>0</v>
      </c>
      <c r="G6" s="112">
        <f>F6+G5</f>
        <v>0</v>
      </c>
      <c r="H6" s="112">
        <f>G6+H5</f>
        <v>0</v>
      </c>
      <c r="I6" s="112">
        <f t="shared" ref="I6:BT6" si="10">H6+I5</f>
        <v>0</v>
      </c>
      <c r="J6" s="112">
        <f t="shared" si="10"/>
        <v>0</v>
      </c>
      <c r="K6" s="112">
        <f t="shared" si="10"/>
        <v>0</v>
      </c>
      <c r="L6" s="112">
        <f t="shared" si="10"/>
        <v>0</v>
      </c>
      <c r="M6" s="112">
        <f t="shared" si="10"/>
        <v>0</v>
      </c>
      <c r="N6" s="112">
        <f t="shared" si="10"/>
        <v>0</v>
      </c>
      <c r="O6" s="112">
        <f t="shared" si="10"/>
        <v>0</v>
      </c>
      <c r="P6" s="112">
        <f t="shared" si="10"/>
        <v>0</v>
      </c>
      <c r="Q6" s="112">
        <f t="shared" si="10"/>
        <v>0</v>
      </c>
      <c r="R6" s="112">
        <f t="shared" si="10"/>
        <v>0</v>
      </c>
      <c r="S6" s="112">
        <f t="shared" si="10"/>
        <v>0</v>
      </c>
      <c r="T6" s="112">
        <f t="shared" si="10"/>
        <v>0</v>
      </c>
      <c r="U6" s="112">
        <f t="shared" si="10"/>
        <v>0</v>
      </c>
      <c r="V6" s="112">
        <f t="shared" si="10"/>
        <v>202055.1</v>
      </c>
      <c r="W6" s="112">
        <f t="shared" si="10"/>
        <v>320425.10000000003</v>
      </c>
      <c r="X6" s="112">
        <f t="shared" si="10"/>
        <v>504575.18888888892</v>
      </c>
      <c r="Y6" s="112">
        <f t="shared" si="10"/>
        <v>904048.14541062806</v>
      </c>
      <c r="Z6" s="112">
        <f t="shared" si="10"/>
        <v>966206.01936826087</v>
      </c>
      <c r="AA6" s="112">
        <f t="shared" si="10"/>
        <v>1676787.7905682609</v>
      </c>
      <c r="AB6" s="112">
        <f t="shared" si="10"/>
        <v>1676787.7905682609</v>
      </c>
      <c r="AC6" s="112">
        <f t="shared" si="10"/>
        <v>1676787.7905682609</v>
      </c>
      <c r="AD6" s="112">
        <f>AC6+AD5</f>
        <v>1676787.7905682609</v>
      </c>
      <c r="AE6" s="112">
        <f t="shared" si="10"/>
        <v>1676787.7905682609</v>
      </c>
      <c r="AF6" s="112">
        <f t="shared" si="10"/>
        <v>1676787.7905682609</v>
      </c>
      <c r="AG6" s="112">
        <f t="shared" si="10"/>
        <v>1676787.7905682609</v>
      </c>
      <c r="AH6" s="112">
        <f t="shared" si="10"/>
        <v>1676787.7905682609</v>
      </c>
      <c r="AI6" s="112">
        <f t="shared" si="10"/>
        <v>1676787.7905682609</v>
      </c>
      <c r="AJ6" s="112">
        <f t="shared" si="10"/>
        <v>1676787.7905682609</v>
      </c>
      <c r="AK6" s="112">
        <f t="shared" si="10"/>
        <v>1676787.7905682609</v>
      </c>
      <c r="AL6" s="112">
        <f t="shared" si="10"/>
        <v>1676787.7905682609</v>
      </c>
      <c r="AM6" s="112">
        <f t="shared" si="10"/>
        <v>1676787.7905682609</v>
      </c>
      <c r="AN6" s="112">
        <f t="shared" si="10"/>
        <v>1676787.7905682609</v>
      </c>
      <c r="AO6" s="112">
        <f t="shared" si="10"/>
        <v>1676787.7905682609</v>
      </c>
      <c r="AP6" s="112">
        <f t="shared" si="10"/>
        <v>1676787.7905682609</v>
      </c>
      <c r="AQ6" s="112">
        <f t="shared" si="10"/>
        <v>1676787.7905682609</v>
      </c>
      <c r="AR6" s="112">
        <f t="shared" si="10"/>
        <v>1676787.7905682609</v>
      </c>
      <c r="AS6" s="112">
        <f t="shared" si="10"/>
        <v>1676787.7905682609</v>
      </c>
      <c r="AT6" s="112">
        <f t="shared" si="10"/>
        <v>1676787.7905682609</v>
      </c>
      <c r="AU6" s="112">
        <f t="shared" si="10"/>
        <v>1676787.7905682609</v>
      </c>
      <c r="AV6" s="112">
        <f t="shared" si="10"/>
        <v>1676787.7905682609</v>
      </c>
      <c r="AW6" s="112">
        <f t="shared" si="10"/>
        <v>1676787.7905682609</v>
      </c>
      <c r="AX6" s="112">
        <f t="shared" si="10"/>
        <v>1676787.7905682609</v>
      </c>
      <c r="AY6" s="112">
        <f t="shared" si="10"/>
        <v>1676787.7905682609</v>
      </c>
      <c r="AZ6" s="112">
        <f t="shared" si="10"/>
        <v>1676787.7905682609</v>
      </c>
      <c r="BA6" s="112">
        <f t="shared" si="10"/>
        <v>1676787.7905682609</v>
      </c>
      <c r="BB6" s="112">
        <f t="shared" si="10"/>
        <v>1676787.7905682609</v>
      </c>
      <c r="BC6" s="112">
        <f t="shared" si="10"/>
        <v>1676787.7905682609</v>
      </c>
      <c r="BD6" s="112">
        <f t="shared" si="10"/>
        <v>1676787.7905682609</v>
      </c>
      <c r="BE6" s="112">
        <f t="shared" si="10"/>
        <v>1676787.7905682609</v>
      </c>
      <c r="BF6" s="112">
        <f t="shared" si="10"/>
        <v>1676787.7905682609</v>
      </c>
      <c r="BG6" s="112">
        <f t="shared" si="10"/>
        <v>1676787.7905682609</v>
      </c>
      <c r="BH6" s="112">
        <f t="shared" si="10"/>
        <v>1676787.7905682609</v>
      </c>
      <c r="BI6" s="112">
        <f t="shared" si="10"/>
        <v>1676787.7905682609</v>
      </c>
      <c r="BJ6" s="112">
        <f t="shared" si="10"/>
        <v>1676787.7905682609</v>
      </c>
      <c r="BK6" s="112">
        <f t="shared" si="10"/>
        <v>1676787.7905682609</v>
      </c>
      <c r="BL6" s="112">
        <f t="shared" si="10"/>
        <v>1676787.7905682609</v>
      </c>
      <c r="BM6" s="112">
        <f t="shared" si="10"/>
        <v>1676787.7905682609</v>
      </c>
      <c r="BN6" s="112">
        <f t="shared" si="10"/>
        <v>1676787.7905682609</v>
      </c>
      <c r="BO6" s="112">
        <f t="shared" si="10"/>
        <v>1676787.7905682609</v>
      </c>
      <c r="BP6" s="112">
        <f t="shared" si="10"/>
        <v>1676787.7905682609</v>
      </c>
      <c r="BQ6" s="112">
        <f t="shared" si="10"/>
        <v>1676787.7905682609</v>
      </c>
      <c r="BR6" s="112">
        <f t="shared" si="10"/>
        <v>1676787.7905682609</v>
      </c>
      <c r="BS6" s="112">
        <f t="shared" si="10"/>
        <v>1676787.7905682609</v>
      </c>
      <c r="BT6" s="112">
        <f t="shared" si="10"/>
        <v>1676787.7905682609</v>
      </c>
      <c r="BU6" s="112">
        <f t="shared" ref="BU6:EF6" si="11">BT6+BU5</f>
        <v>1676787.7905682609</v>
      </c>
      <c r="BV6" s="112">
        <f t="shared" si="11"/>
        <v>1676787.7905682609</v>
      </c>
      <c r="BW6" s="112">
        <f t="shared" si="11"/>
        <v>1676787.7905682609</v>
      </c>
      <c r="BX6" s="112">
        <f t="shared" si="11"/>
        <v>1676787.7905682609</v>
      </c>
      <c r="BY6" s="112">
        <f t="shared" si="11"/>
        <v>1676787.7905682609</v>
      </c>
      <c r="BZ6" s="112">
        <f t="shared" si="11"/>
        <v>1676787.7905682609</v>
      </c>
      <c r="CA6" s="112">
        <f t="shared" si="11"/>
        <v>1676787.7905682609</v>
      </c>
      <c r="CB6" s="112">
        <f t="shared" si="11"/>
        <v>1676787.7905682609</v>
      </c>
      <c r="CC6" s="112">
        <f t="shared" si="11"/>
        <v>1676787.7905682609</v>
      </c>
      <c r="CD6" s="112">
        <f t="shared" si="11"/>
        <v>1676787.7905682609</v>
      </c>
      <c r="CE6" s="112">
        <f t="shared" si="11"/>
        <v>1676787.7905682609</v>
      </c>
      <c r="CF6" s="112">
        <f t="shared" si="11"/>
        <v>1676787.7905682609</v>
      </c>
      <c r="CG6" s="112">
        <f t="shared" si="11"/>
        <v>1676787.7905682609</v>
      </c>
      <c r="CH6" s="112">
        <f t="shared" si="11"/>
        <v>1676787.7905682609</v>
      </c>
      <c r="CI6" s="112">
        <f t="shared" si="11"/>
        <v>1676787.7905682609</v>
      </c>
      <c r="CJ6" s="112">
        <f t="shared" si="11"/>
        <v>1676787.7905682609</v>
      </c>
      <c r="CK6" s="112">
        <f t="shared" si="11"/>
        <v>1676787.7905682609</v>
      </c>
      <c r="CL6" s="112">
        <f t="shared" si="11"/>
        <v>1676787.7905682609</v>
      </c>
      <c r="CM6" s="112">
        <f t="shared" si="11"/>
        <v>1676787.7905682609</v>
      </c>
      <c r="CN6" s="112">
        <f t="shared" si="11"/>
        <v>1676787.7905682609</v>
      </c>
      <c r="CO6" s="112">
        <f t="shared" si="11"/>
        <v>1676787.7905682609</v>
      </c>
      <c r="CP6" s="112">
        <f t="shared" si="11"/>
        <v>1676787.7905682609</v>
      </c>
      <c r="CQ6" s="112">
        <f t="shared" si="11"/>
        <v>1676787.7905682609</v>
      </c>
      <c r="CR6" s="112">
        <f t="shared" si="11"/>
        <v>1676787.7905682609</v>
      </c>
      <c r="CS6" s="112">
        <f t="shared" si="11"/>
        <v>1676787.7905682609</v>
      </c>
      <c r="CT6" s="112">
        <f t="shared" si="11"/>
        <v>1676787.7905682609</v>
      </c>
      <c r="CU6" s="112">
        <f t="shared" si="11"/>
        <v>1676787.7905682609</v>
      </c>
      <c r="CV6" s="112">
        <f t="shared" si="11"/>
        <v>1676787.7905682609</v>
      </c>
      <c r="CW6" s="112">
        <f t="shared" si="11"/>
        <v>1676787.7905682609</v>
      </c>
      <c r="CX6" s="112">
        <f t="shared" si="11"/>
        <v>1676787.7905682609</v>
      </c>
      <c r="CY6" s="112">
        <f t="shared" si="11"/>
        <v>1676787.7905682609</v>
      </c>
      <c r="CZ6" s="112">
        <f t="shared" si="11"/>
        <v>1676787.7905682609</v>
      </c>
      <c r="DA6" s="112">
        <f t="shared" si="11"/>
        <v>1676787.7905682609</v>
      </c>
      <c r="DB6" s="112">
        <f t="shared" si="11"/>
        <v>1676787.7905682609</v>
      </c>
      <c r="DC6" s="112">
        <f t="shared" si="11"/>
        <v>1676787.7905682609</v>
      </c>
      <c r="DD6" s="112">
        <f t="shared" si="11"/>
        <v>1676787.7905682609</v>
      </c>
      <c r="DE6" s="112">
        <f t="shared" si="11"/>
        <v>1676787.7905682609</v>
      </c>
      <c r="DF6" s="112">
        <f t="shared" si="11"/>
        <v>1676787.7905682609</v>
      </c>
      <c r="DG6" s="112">
        <f t="shared" si="11"/>
        <v>1676787.7905682609</v>
      </c>
      <c r="DH6" s="112">
        <f t="shared" si="11"/>
        <v>1676787.7905682609</v>
      </c>
      <c r="DI6" s="112">
        <f t="shared" si="11"/>
        <v>1676787.7905682609</v>
      </c>
      <c r="DJ6" s="112">
        <f t="shared" si="11"/>
        <v>1676787.7905682609</v>
      </c>
      <c r="DK6" s="112">
        <f t="shared" si="11"/>
        <v>1676787.7905682609</v>
      </c>
      <c r="DL6" s="112">
        <f t="shared" si="11"/>
        <v>1676787.7905682609</v>
      </c>
      <c r="DM6" s="112">
        <f t="shared" si="11"/>
        <v>1676787.7905682609</v>
      </c>
      <c r="DN6" s="112">
        <f t="shared" si="11"/>
        <v>1676787.7905682609</v>
      </c>
      <c r="DO6" s="112">
        <f t="shared" si="11"/>
        <v>1676787.7905682609</v>
      </c>
      <c r="DP6" s="112">
        <f t="shared" si="11"/>
        <v>1676787.7905682609</v>
      </c>
      <c r="DQ6" s="112">
        <f t="shared" si="11"/>
        <v>1676787.7905682609</v>
      </c>
      <c r="DR6" s="112">
        <f t="shared" si="11"/>
        <v>1676787.7905682609</v>
      </c>
      <c r="DS6" s="112">
        <f t="shared" si="11"/>
        <v>1676787.7905682609</v>
      </c>
      <c r="DT6" s="112">
        <f t="shared" si="11"/>
        <v>1676787.7905682609</v>
      </c>
      <c r="DU6" s="112">
        <f t="shared" si="11"/>
        <v>1676787.7905682609</v>
      </c>
      <c r="DV6" s="112">
        <f t="shared" si="11"/>
        <v>1676787.7905682609</v>
      </c>
      <c r="DW6" s="112">
        <f t="shared" si="11"/>
        <v>1676787.7905682609</v>
      </c>
      <c r="DX6" s="112">
        <f t="shared" si="11"/>
        <v>1676787.7905682609</v>
      </c>
      <c r="DY6" s="112">
        <f t="shared" si="11"/>
        <v>1676787.7905682609</v>
      </c>
      <c r="DZ6" s="112">
        <f t="shared" si="11"/>
        <v>1676787.7905682609</v>
      </c>
      <c r="EA6" s="112">
        <f t="shared" si="11"/>
        <v>1676787.7905682609</v>
      </c>
      <c r="EB6" s="112">
        <f t="shared" si="11"/>
        <v>1676787.7905682609</v>
      </c>
      <c r="EC6" s="112">
        <f t="shared" si="11"/>
        <v>1676787.7905682609</v>
      </c>
      <c r="ED6" s="112">
        <f t="shared" si="11"/>
        <v>1676787.7905682609</v>
      </c>
      <c r="EE6" s="112">
        <f t="shared" si="11"/>
        <v>1676787.7905682609</v>
      </c>
      <c r="EF6" s="112">
        <f t="shared" si="11"/>
        <v>1676787.7905682609</v>
      </c>
      <c r="EG6" s="112">
        <f t="shared" ref="EG6:GR6" si="12">EF6+EG5</f>
        <v>1676787.7905682609</v>
      </c>
      <c r="EH6" s="112">
        <f t="shared" si="12"/>
        <v>1676787.7905682609</v>
      </c>
      <c r="EI6" s="112">
        <f t="shared" si="12"/>
        <v>1676787.7905682609</v>
      </c>
      <c r="EJ6" s="112">
        <f t="shared" si="12"/>
        <v>1676787.7905682609</v>
      </c>
      <c r="EK6" s="112">
        <f t="shared" si="12"/>
        <v>1676787.7905682609</v>
      </c>
      <c r="EL6" s="112">
        <f t="shared" si="12"/>
        <v>1676787.7905682609</v>
      </c>
      <c r="EM6" s="112">
        <f t="shared" si="12"/>
        <v>1676787.7905682609</v>
      </c>
      <c r="EN6" s="112">
        <f t="shared" si="12"/>
        <v>1676787.7905682609</v>
      </c>
      <c r="EO6" s="112">
        <f t="shared" si="12"/>
        <v>1676787.7905682609</v>
      </c>
      <c r="EP6" s="112">
        <f t="shared" si="12"/>
        <v>1676787.7905682609</v>
      </c>
      <c r="EQ6" s="112">
        <f t="shared" si="12"/>
        <v>1676787.7905682609</v>
      </c>
      <c r="ER6" s="112">
        <f t="shared" si="12"/>
        <v>1676787.7905682609</v>
      </c>
      <c r="ES6" s="112">
        <f t="shared" si="12"/>
        <v>1676787.7905682609</v>
      </c>
      <c r="ET6" s="112">
        <f t="shared" si="12"/>
        <v>1676787.7905682609</v>
      </c>
      <c r="EU6" s="112">
        <f t="shared" si="12"/>
        <v>1676787.7905682609</v>
      </c>
      <c r="EV6" s="112">
        <f t="shared" si="12"/>
        <v>1676787.7905682609</v>
      </c>
      <c r="EW6" s="112">
        <f t="shared" si="12"/>
        <v>1676787.7905682609</v>
      </c>
      <c r="EX6" s="112">
        <f t="shared" si="12"/>
        <v>1676787.7905682609</v>
      </c>
      <c r="EY6" s="112">
        <f t="shared" si="12"/>
        <v>1676787.7905682609</v>
      </c>
      <c r="EZ6" s="112">
        <f t="shared" si="12"/>
        <v>1676787.7905682609</v>
      </c>
      <c r="FA6" s="112">
        <f t="shared" si="12"/>
        <v>1676787.7905682609</v>
      </c>
      <c r="FB6" s="112">
        <f t="shared" si="12"/>
        <v>1676787.7905682609</v>
      </c>
      <c r="FC6" s="112">
        <f t="shared" si="12"/>
        <v>1676787.7905682609</v>
      </c>
      <c r="FD6" s="112">
        <f t="shared" si="12"/>
        <v>1676787.7905682609</v>
      </c>
      <c r="FE6" s="112">
        <f t="shared" si="12"/>
        <v>1676787.7905682609</v>
      </c>
      <c r="FF6" s="112">
        <f t="shared" si="12"/>
        <v>1676787.7905682609</v>
      </c>
      <c r="FG6" s="112">
        <f t="shared" si="12"/>
        <v>1676787.7905682609</v>
      </c>
      <c r="FH6" s="112">
        <f t="shared" si="12"/>
        <v>1676787.7905682609</v>
      </c>
      <c r="FI6" s="112">
        <f t="shared" si="12"/>
        <v>1676787.7905682609</v>
      </c>
      <c r="FJ6" s="112">
        <f t="shared" si="12"/>
        <v>1676787.7905682609</v>
      </c>
      <c r="FK6" s="112">
        <f t="shared" si="12"/>
        <v>1676787.7905682609</v>
      </c>
      <c r="FL6" s="112">
        <f t="shared" si="12"/>
        <v>1676787.7905682609</v>
      </c>
      <c r="FM6" s="112">
        <f t="shared" si="12"/>
        <v>1676787.7905682609</v>
      </c>
      <c r="FN6" s="112">
        <f t="shared" si="12"/>
        <v>1676787.7905682609</v>
      </c>
      <c r="FO6" s="112">
        <f t="shared" si="12"/>
        <v>1676787.7905682609</v>
      </c>
      <c r="FP6" s="112">
        <f t="shared" si="12"/>
        <v>1676787.7905682609</v>
      </c>
      <c r="FQ6" s="112">
        <f t="shared" si="12"/>
        <v>1676787.7905682609</v>
      </c>
      <c r="FR6" s="112">
        <f t="shared" si="12"/>
        <v>1676787.7905682609</v>
      </c>
      <c r="FS6" s="112">
        <f t="shared" si="12"/>
        <v>1676787.7905682609</v>
      </c>
      <c r="FT6" s="112">
        <f t="shared" si="12"/>
        <v>1676787.7905682609</v>
      </c>
      <c r="FU6" s="112">
        <f t="shared" si="12"/>
        <v>1676787.7905682609</v>
      </c>
      <c r="FV6" s="112">
        <f t="shared" si="12"/>
        <v>1676787.7905682609</v>
      </c>
      <c r="FW6" s="112">
        <f t="shared" si="12"/>
        <v>1676787.7905682609</v>
      </c>
      <c r="FX6" s="112">
        <f t="shared" si="12"/>
        <v>1676787.7905682609</v>
      </c>
      <c r="FY6" s="112">
        <f t="shared" si="12"/>
        <v>1676787.7905682609</v>
      </c>
      <c r="FZ6" s="112">
        <f t="shared" si="12"/>
        <v>1676787.7905682609</v>
      </c>
      <c r="GA6" s="112">
        <f t="shared" si="12"/>
        <v>1676787.7905682609</v>
      </c>
      <c r="GB6" s="112">
        <f t="shared" si="12"/>
        <v>1676787.7905682609</v>
      </c>
      <c r="GC6" s="112">
        <f t="shared" si="12"/>
        <v>1676787.7905682609</v>
      </c>
      <c r="GD6" s="112">
        <f t="shared" si="12"/>
        <v>1676787.7905682609</v>
      </c>
      <c r="GE6" s="112">
        <f t="shared" si="12"/>
        <v>1676787.7905682609</v>
      </c>
      <c r="GF6" s="112">
        <f t="shared" si="12"/>
        <v>1676787.7905682609</v>
      </c>
      <c r="GG6" s="112">
        <f t="shared" si="12"/>
        <v>1676787.7905682609</v>
      </c>
      <c r="GH6" s="112">
        <f t="shared" si="12"/>
        <v>1676787.7905682609</v>
      </c>
      <c r="GI6" s="112">
        <f t="shared" si="12"/>
        <v>1676787.7905682609</v>
      </c>
      <c r="GJ6" s="112">
        <f t="shared" si="12"/>
        <v>1676787.7905682609</v>
      </c>
      <c r="GK6" s="112">
        <f t="shared" si="12"/>
        <v>1676787.7905682609</v>
      </c>
      <c r="GL6" s="112">
        <f t="shared" si="12"/>
        <v>1676787.7905682609</v>
      </c>
      <c r="GM6" s="112">
        <f t="shared" si="12"/>
        <v>1676787.7905682609</v>
      </c>
      <c r="GN6" s="112">
        <f t="shared" si="12"/>
        <v>1676787.7905682609</v>
      </c>
      <c r="GO6" s="112">
        <f t="shared" si="12"/>
        <v>1676787.7905682609</v>
      </c>
      <c r="GP6" s="112">
        <f t="shared" si="12"/>
        <v>1676787.7905682609</v>
      </c>
      <c r="GQ6" s="112">
        <f t="shared" si="12"/>
        <v>1676787.7905682609</v>
      </c>
      <c r="GR6" s="112">
        <f t="shared" si="12"/>
        <v>1676787.7905682609</v>
      </c>
      <c r="GS6" s="112">
        <f t="shared" ref="GS6:JD6" si="13">GR6+GS5</f>
        <v>1676787.7905682609</v>
      </c>
      <c r="GT6" s="112">
        <f t="shared" si="13"/>
        <v>1676787.7905682609</v>
      </c>
      <c r="GU6" s="112">
        <f t="shared" si="13"/>
        <v>1676787.7905682609</v>
      </c>
      <c r="GV6" s="112">
        <f t="shared" si="13"/>
        <v>1676787.7905682609</v>
      </c>
      <c r="GW6" s="112">
        <f t="shared" si="13"/>
        <v>1676787.7905682609</v>
      </c>
      <c r="GX6" s="112">
        <f t="shared" si="13"/>
        <v>1676787.7905682609</v>
      </c>
      <c r="GY6" s="112">
        <f t="shared" si="13"/>
        <v>1676787.7905682609</v>
      </c>
      <c r="GZ6" s="112">
        <f t="shared" si="13"/>
        <v>1676787.7905682609</v>
      </c>
      <c r="HA6" s="112">
        <f t="shared" si="13"/>
        <v>1676787.7905682609</v>
      </c>
      <c r="HB6" s="112">
        <f t="shared" si="13"/>
        <v>1676787.7905682609</v>
      </c>
      <c r="HC6" s="112">
        <f t="shared" si="13"/>
        <v>1676787.7905682609</v>
      </c>
      <c r="HD6" s="112">
        <f t="shared" si="13"/>
        <v>1676787.7905682609</v>
      </c>
      <c r="HE6" s="112">
        <f t="shared" si="13"/>
        <v>1676787.7905682609</v>
      </c>
      <c r="HF6" s="112">
        <f t="shared" si="13"/>
        <v>1676787.7905682609</v>
      </c>
      <c r="HG6" s="112">
        <f t="shared" si="13"/>
        <v>1676787.7905682609</v>
      </c>
      <c r="HH6" s="112">
        <f t="shared" si="13"/>
        <v>1676787.7905682609</v>
      </c>
      <c r="HI6" s="112">
        <f t="shared" si="13"/>
        <v>1676787.7905682609</v>
      </c>
      <c r="HJ6" s="112">
        <f t="shared" si="13"/>
        <v>1676787.7905682609</v>
      </c>
      <c r="HK6" s="112">
        <f t="shared" si="13"/>
        <v>1676787.7905682609</v>
      </c>
      <c r="HL6" s="112">
        <f t="shared" si="13"/>
        <v>1676787.7905682609</v>
      </c>
      <c r="HM6" s="112">
        <f t="shared" si="13"/>
        <v>1676787.7905682609</v>
      </c>
      <c r="HN6" s="112">
        <f t="shared" si="13"/>
        <v>1676787.7905682609</v>
      </c>
      <c r="HO6" s="112">
        <f t="shared" si="13"/>
        <v>1676787.7905682609</v>
      </c>
      <c r="HP6" s="112">
        <f t="shared" si="13"/>
        <v>1676787.7905682609</v>
      </c>
      <c r="HQ6" s="112">
        <f t="shared" si="13"/>
        <v>1676787.7905682609</v>
      </c>
      <c r="HR6" s="112">
        <f t="shared" si="13"/>
        <v>1676787.7905682609</v>
      </c>
      <c r="HS6" s="112">
        <f t="shared" si="13"/>
        <v>1676787.7905682609</v>
      </c>
      <c r="HT6" s="112">
        <f t="shared" si="13"/>
        <v>1676787.7905682609</v>
      </c>
      <c r="HU6" s="112">
        <f t="shared" si="13"/>
        <v>1676787.7905682609</v>
      </c>
      <c r="HV6" s="112">
        <f t="shared" si="13"/>
        <v>1676787.7905682609</v>
      </c>
      <c r="HW6" s="112">
        <f t="shared" si="13"/>
        <v>1676787.7905682609</v>
      </c>
      <c r="HX6" s="112">
        <f t="shared" si="13"/>
        <v>1676787.7905682609</v>
      </c>
      <c r="HY6" s="112">
        <f t="shared" si="13"/>
        <v>1676787.7905682609</v>
      </c>
      <c r="HZ6" s="112">
        <f t="shared" si="13"/>
        <v>1676787.7905682609</v>
      </c>
      <c r="IA6" s="112">
        <f t="shared" si="13"/>
        <v>1676787.7905682609</v>
      </c>
      <c r="IB6" s="112">
        <f t="shared" si="13"/>
        <v>1676787.7905682609</v>
      </c>
      <c r="IC6" s="112">
        <f t="shared" si="13"/>
        <v>1676787.7905682609</v>
      </c>
      <c r="ID6" s="112">
        <f t="shared" si="13"/>
        <v>1676787.7905682609</v>
      </c>
      <c r="IE6" s="112">
        <f t="shared" si="13"/>
        <v>1676787.7905682609</v>
      </c>
      <c r="IF6" s="112">
        <f t="shared" si="13"/>
        <v>1676787.7905682609</v>
      </c>
      <c r="IG6" s="112">
        <f t="shared" si="13"/>
        <v>1676787.7905682609</v>
      </c>
      <c r="IH6" s="112">
        <f t="shared" si="13"/>
        <v>1676787.7905682609</v>
      </c>
      <c r="II6" s="112">
        <f t="shared" si="13"/>
        <v>1676787.7905682609</v>
      </c>
      <c r="IJ6" s="112">
        <f t="shared" si="13"/>
        <v>1676787.7905682609</v>
      </c>
      <c r="IK6" s="112">
        <f t="shared" si="13"/>
        <v>1676787.7905682609</v>
      </c>
      <c r="IL6" s="112">
        <f t="shared" si="13"/>
        <v>1676787.7905682609</v>
      </c>
      <c r="IM6" s="112">
        <f t="shared" si="13"/>
        <v>1676787.7905682609</v>
      </c>
      <c r="IN6" s="112">
        <f t="shared" si="13"/>
        <v>1676787.7905682609</v>
      </c>
      <c r="IO6" s="112">
        <f t="shared" si="13"/>
        <v>1676787.7905682609</v>
      </c>
      <c r="IP6" s="112">
        <f t="shared" si="13"/>
        <v>1676787.7905682609</v>
      </c>
      <c r="IQ6" s="112">
        <f t="shared" si="13"/>
        <v>1676787.7905682609</v>
      </c>
      <c r="IR6" s="112">
        <f t="shared" si="13"/>
        <v>1676787.7905682609</v>
      </c>
      <c r="IS6" s="112">
        <f t="shared" si="13"/>
        <v>1676787.7905682609</v>
      </c>
      <c r="IT6" s="112">
        <f t="shared" si="13"/>
        <v>1676787.7905682609</v>
      </c>
      <c r="IU6" s="112">
        <f t="shared" si="13"/>
        <v>1676787.7905682609</v>
      </c>
      <c r="IV6" s="112">
        <f t="shared" si="13"/>
        <v>1676787.7905682609</v>
      </c>
      <c r="IW6" s="112">
        <f t="shared" si="13"/>
        <v>1676787.7905682609</v>
      </c>
      <c r="IX6" s="112">
        <f t="shared" si="13"/>
        <v>1676787.7905682609</v>
      </c>
      <c r="IY6" s="112">
        <f t="shared" si="13"/>
        <v>1676787.7905682609</v>
      </c>
      <c r="IZ6" s="112">
        <f t="shared" si="13"/>
        <v>1676787.7905682609</v>
      </c>
      <c r="JA6" s="112">
        <f t="shared" si="13"/>
        <v>1676787.7905682609</v>
      </c>
      <c r="JB6" s="112">
        <f t="shared" si="13"/>
        <v>1676787.7905682609</v>
      </c>
      <c r="JC6" s="112">
        <f t="shared" si="13"/>
        <v>1676787.7905682609</v>
      </c>
      <c r="JD6" s="112">
        <f t="shared" si="13"/>
        <v>1676787.7905682609</v>
      </c>
      <c r="JE6" s="112">
        <f t="shared" ref="JE6:KE6" si="14">JD6+JE5</f>
        <v>1676787.7905682609</v>
      </c>
      <c r="JF6" s="112">
        <f t="shared" si="14"/>
        <v>1676787.7905682609</v>
      </c>
      <c r="JG6" s="112">
        <f t="shared" si="14"/>
        <v>1676787.7905682609</v>
      </c>
      <c r="JH6" s="112">
        <f t="shared" si="14"/>
        <v>1676787.7905682609</v>
      </c>
      <c r="JI6" s="112">
        <f t="shared" si="14"/>
        <v>1676787.7905682609</v>
      </c>
      <c r="JJ6" s="112">
        <f t="shared" si="14"/>
        <v>1676787.7905682609</v>
      </c>
      <c r="JK6" s="112">
        <f t="shared" si="14"/>
        <v>1676787.7905682609</v>
      </c>
      <c r="JL6" s="112">
        <f t="shared" si="14"/>
        <v>1676787.7905682609</v>
      </c>
      <c r="JM6" s="112">
        <f t="shared" si="14"/>
        <v>1676787.7905682609</v>
      </c>
      <c r="JN6" s="112">
        <f t="shared" si="14"/>
        <v>1676787.7905682609</v>
      </c>
      <c r="JO6" s="112">
        <f t="shared" si="14"/>
        <v>1676787.7905682609</v>
      </c>
      <c r="JP6" s="112">
        <f t="shared" si="14"/>
        <v>1676787.7905682609</v>
      </c>
      <c r="JQ6" s="112">
        <f t="shared" si="14"/>
        <v>1676787.7905682609</v>
      </c>
      <c r="JR6" s="112">
        <f t="shared" si="14"/>
        <v>1676787.7905682609</v>
      </c>
      <c r="JS6" s="112">
        <f t="shared" si="14"/>
        <v>1676787.7905682609</v>
      </c>
      <c r="JT6" s="112">
        <f t="shared" si="14"/>
        <v>1676787.7905682609</v>
      </c>
      <c r="JU6" s="112">
        <f t="shared" si="14"/>
        <v>1676787.7905682609</v>
      </c>
      <c r="JV6" s="112">
        <f t="shared" si="14"/>
        <v>1676787.7905682609</v>
      </c>
      <c r="JW6" s="112">
        <f t="shared" si="14"/>
        <v>1676787.7905682609</v>
      </c>
      <c r="JX6" s="112">
        <f t="shared" si="14"/>
        <v>1676787.7905682609</v>
      </c>
      <c r="JY6" s="112">
        <f t="shared" si="14"/>
        <v>1676787.7905682609</v>
      </c>
      <c r="JZ6" s="112">
        <f t="shared" si="14"/>
        <v>1676787.7905682609</v>
      </c>
      <c r="KA6" s="112">
        <f t="shared" si="14"/>
        <v>1676787.7905682609</v>
      </c>
      <c r="KB6" s="112">
        <f t="shared" si="14"/>
        <v>1676787.7905682609</v>
      </c>
      <c r="KC6" s="112">
        <f t="shared" si="14"/>
        <v>1676787.7905682609</v>
      </c>
      <c r="KD6" s="112">
        <f t="shared" si="14"/>
        <v>1676787.7905682609</v>
      </c>
      <c r="KE6" s="112">
        <f t="shared" si="14"/>
        <v>1676787.7905682609</v>
      </c>
      <c r="KF6" s="102"/>
      <c r="KG6" s="113"/>
    </row>
    <row r="7" spans="1:769">
      <c r="A7" s="778"/>
      <c r="B7" s="115" t="s">
        <v>401</v>
      </c>
      <c r="C7" s="116"/>
      <c r="D7" s="116"/>
      <c r="E7" s="117"/>
      <c r="F7" s="118">
        <f t="shared" ref="F7:H7" si="15">F4-F6</f>
        <v>0</v>
      </c>
      <c r="G7" s="118">
        <f t="shared" si="15"/>
        <v>0</v>
      </c>
      <c r="H7" s="118">
        <f t="shared" si="15"/>
        <v>0</v>
      </c>
      <c r="I7" s="118">
        <f t="shared" ref="I7:BT7" si="16">I4-I6</f>
        <v>0</v>
      </c>
      <c r="J7" s="118">
        <f t="shared" si="16"/>
        <v>0</v>
      </c>
      <c r="K7" s="118">
        <f t="shared" si="16"/>
        <v>0</v>
      </c>
      <c r="L7" s="118">
        <f t="shared" si="16"/>
        <v>0</v>
      </c>
      <c r="M7" s="118">
        <f t="shared" si="16"/>
        <v>0</v>
      </c>
      <c r="N7" s="118">
        <f t="shared" si="16"/>
        <v>0</v>
      </c>
      <c r="O7" s="118">
        <f t="shared" si="16"/>
        <v>0</v>
      </c>
      <c r="P7" s="118">
        <f t="shared" si="16"/>
        <v>0</v>
      </c>
      <c r="Q7" s="118">
        <f t="shared" si="16"/>
        <v>0</v>
      </c>
      <c r="R7" s="118">
        <f t="shared" si="16"/>
        <v>1022917.6099928118</v>
      </c>
      <c r="S7" s="118">
        <f t="shared" si="16"/>
        <v>1022917.6099928118</v>
      </c>
      <c r="T7" s="118">
        <f t="shared" si="16"/>
        <v>1738959.93698778</v>
      </c>
      <c r="U7" s="118">
        <f t="shared" si="16"/>
        <v>1738959.93698778</v>
      </c>
      <c r="V7" s="118">
        <f t="shared" si="16"/>
        <v>1536904.8369877799</v>
      </c>
      <c r="W7" s="118">
        <f t="shared" si="16"/>
        <v>1418534.8369877799</v>
      </c>
      <c r="X7" s="118">
        <f t="shared" si="16"/>
        <v>1234384.7480988912</v>
      </c>
      <c r="Y7" s="118">
        <f t="shared" si="16"/>
        <v>1039495.3135757144</v>
      </c>
      <c r="Z7" s="118">
        <f t="shared" si="16"/>
        <v>977337.43961808155</v>
      </c>
      <c r="AA7" s="118">
        <f t="shared" si="16"/>
        <v>266755.66841808148</v>
      </c>
      <c r="AB7" s="118">
        <f t="shared" si="16"/>
        <v>266755.66841808148</v>
      </c>
      <c r="AC7" s="118">
        <f t="shared" si="16"/>
        <v>266755.66841808148</v>
      </c>
      <c r="AD7" s="118">
        <f t="shared" si="16"/>
        <v>266755.66841808148</v>
      </c>
      <c r="AE7" s="118">
        <f t="shared" si="16"/>
        <v>266755.66841808148</v>
      </c>
      <c r="AF7" s="118">
        <f t="shared" si="16"/>
        <v>266755.66841808148</v>
      </c>
      <c r="AG7" s="118">
        <f t="shared" si="16"/>
        <v>266755.66841808148</v>
      </c>
      <c r="AH7" s="118">
        <f t="shared" si="16"/>
        <v>266755.66841808148</v>
      </c>
      <c r="AI7" s="118">
        <f t="shared" si="16"/>
        <v>266755.66841808148</v>
      </c>
      <c r="AJ7" s="118">
        <f t="shared" si="16"/>
        <v>266755.66841808148</v>
      </c>
      <c r="AK7" s="118">
        <f t="shared" si="16"/>
        <v>266755.66841808148</v>
      </c>
      <c r="AL7" s="118">
        <f t="shared" si="16"/>
        <v>266755.66841808148</v>
      </c>
      <c r="AM7" s="118">
        <f t="shared" si="16"/>
        <v>266755.66841808148</v>
      </c>
      <c r="AN7" s="118">
        <f t="shared" si="16"/>
        <v>266755.66841808148</v>
      </c>
      <c r="AO7" s="118">
        <f t="shared" si="16"/>
        <v>266755.66841808148</v>
      </c>
      <c r="AP7" s="118">
        <f t="shared" si="16"/>
        <v>266755.66841808148</v>
      </c>
      <c r="AQ7" s="118">
        <f t="shared" si="16"/>
        <v>266755.66841808148</v>
      </c>
      <c r="AR7" s="118">
        <f t="shared" si="16"/>
        <v>266755.66841808148</v>
      </c>
      <c r="AS7" s="118">
        <f t="shared" si="16"/>
        <v>266755.66841808148</v>
      </c>
      <c r="AT7" s="118">
        <f t="shared" si="16"/>
        <v>266755.66841808148</v>
      </c>
      <c r="AU7" s="118">
        <f t="shared" si="16"/>
        <v>266755.66841808148</v>
      </c>
      <c r="AV7" s="118">
        <f t="shared" si="16"/>
        <v>266755.66841808148</v>
      </c>
      <c r="AW7" s="118">
        <f t="shared" si="16"/>
        <v>266755.66841808148</v>
      </c>
      <c r="AX7" s="118">
        <f t="shared" si="16"/>
        <v>266755.66841808148</v>
      </c>
      <c r="AY7" s="118">
        <f t="shared" si="16"/>
        <v>266755.66841808148</v>
      </c>
      <c r="AZ7" s="118">
        <f t="shared" si="16"/>
        <v>266755.66841808148</v>
      </c>
      <c r="BA7" s="118">
        <f t="shared" si="16"/>
        <v>266755.66841808148</v>
      </c>
      <c r="BB7" s="118">
        <f t="shared" si="16"/>
        <v>266755.66841808148</v>
      </c>
      <c r="BC7" s="118">
        <f t="shared" si="16"/>
        <v>266755.66841808148</v>
      </c>
      <c r="BD7" s="118">
        <f t="shared" si="16"/>
        <v>266755.66841808148</v>
      </c>
      <c r="BE7" s="118">
        <f t="shared" si="16"/>
        <v>266755.66841808148</v>
      </c>
      <c r="BF7" s="118">
        <f t="shared" si="16"/>
        <v>266755.66841808148</v>
      </c>
      <c r="BG7" s="118">
        <f t="shared" si="16"/>
        <v>266755.66841808148</v>
      </c>
      <c r="BH7" s="118">
        <f t="shared" si="16"/>
        <v>266755.66841808148</v>
      </c>
      <c r="BI7" s="118">
        <f t="shared" si="16"/>
        <v>266755.66841808148</v>
      </c>
      <c r="BJ7" s="118">
        <f t="shared" si="16"/>
        <v>266755.66841808148</v>
      </c>
      <c r="BK7" s="118">
        <f t="shared" si="16"/>
        <v>266755.66841808148</v>
      </c>
      <c r="BL7" s="118">
        <f t="shared" si="16"/>
        <v>266755.66841808148</v>
      </c>
      <c r="BM7" s="118">
        <f t="shared" si="16"/>
        <v>266755.66841808148</v>
      </c>
      <c r="BN7" s="118">
        <f t="shared" si="16"/>
        <v>266755.66841808148</v>
      </c>
      <c r="BO7" s="118">
        <f t="shared" si="16"/>
        <v>266755.66841808148</v>
      </c>
      <c r="BP7" s="118">
        <f t="shared" si="16"/>
        <v>266755.66841808148</v>
      </c>
      <c r="BQ7" s="118">
        <f t="shared" si="16"/>
        <v>266755.66841808148</v>
      </c>
      <c r="BR7" s="118">
        <f t="shared" si="16"/>
        <v>266755.66841808148</v>
      </c>
      <c r="BS7" s="118">
        <f t="shared" si="16"/>
        <v>266755.66841808148</v>
      </c>
      <c r="BT7" s="118">
        <f t="shared" si="16"/>
        <v>266755.66841808148</v>
      </c>
      <c r="BU7" s="118">
        <f t="shared" ref="BU7:EF7" si="17">BU4-BU6</f>
        <v>266755.66841808148</v>
      </c>
      <c r="BV7" s="118">
        <f t="shared" si="17"/>
        <v>266755.66841808148</v>
      </c>
      <c r="BW7" s="118">
        <f t="shared" si="17"/>
        <v>266755.66841808148</v>
      </c>
      <c r="BX7" s="118">
        <f t="shared" si="17"/>
        <v>266755.66841808148</v>
      </c>
      <c r="BY7" s="118">
        <f t="shared" si="17"/>
        <v>266755.66841808148</v>
      </c>
      <c r="BZ7" s="118">
        <f t="shared" si="17"/>
        <v>369047.42941736267</v>
      </c>
      <c r="CA7" s="118">
        <f t="shared" si="17"/>
        <v>369047.42941736267</v>
      </c>
      <c r="CB7" s="118">
        <f t="shared" si="17"/>
        <v>369047.42941736267</v>
      </c>
      <c r="CC7" s="118">
        <f t="shared" si="17"/>
        <v>369047.42941736267</v>
      </c>
      <c r="CD7" s="118">
        <f t="shared" si="17"/>
        <v>369047.42941736267</v>
      </c>
      <c r="CE7" s="118">
        <f t="shared" si="17"/>
        <v>369047.42941736267</v>
      </c>
      <c r="CF7" s="118">
        <f t="shared" si="17"/>
        <v>369047.42941736267</v>
      </c>
      <c r="CG7" s="118">
        <f t="shared" si="17"/>
        <v>369047.42941736267</v>
      </c>
      <c r="CH7" s="118">
        <f t="shared" si="17"/>
        <v>369047.42941736267</v>
      </c>
      <c r="CI7" s="118">
        <f t="shared" si="17"/>
        <v>369047.42941736267</v>
      </c>
      <c r="CJ7" s="118">
        <f t="shared" si="17"/>
        <v>369047.42941736267</v>
      </c>
      <c r="CK7" s="118">
        <f t="shared" si="17"/>
        <v>369047.42941736267</v>
      </c>
      <c r="CL7" s="118">
        <f t="shared" si="17"/>
        <v>369047.42941736267</v>
      </c>
      <c r="CM7" s="118">
        <f t="shared" si="17"/>
        <v>369047.42941736267</v>
      </c>
      <c r="CN7" s="118">
        <f t="shared" si="17"/>
        <v>369047.42941736267</v>
      </c>
      <c r="CO7" s="118">
        <f t="shared" si="17"/>
        <v>369047.42941736267</v>
      </c>
      <c r="CP7" s="118">
        <f t="shared" si="17"/>
        <v>369047.42941736267</v>
      </c>
      <c r="CQ7" s="118">
        <f t="shared" si="17"/>
        <v>369047.42941736267</v>
      </c>
      <c r="CR7" s="118">
        <f t="shared" si="17"/>
        <v>369047.42941736267</v>
      </c>
      <c r="CS7" s="118">
        <f t="shared" si="17"/>
        <v>369047.42941736267</v>
      </c>
      <c r="CT7" s="118">
        <f t="shared" si="17"/>
        <v>369047.42941736267</v>
      </c>
      <c r="CU7" s="118">
        <f t="shared" si="17"/>
        <v>369047.42941736267</v>
      </c>
      <c r="CV7" s="118">
        <f t="shared" si="17"/>
        <v>369047.42941736267</v>
      </c>
      <c r="CW7" s="118">
        <f t="shared" si="17"/>
        <v>369047.42941736267</v>
      </c>
      <c r="CX7" s="118">
        <f t="shared" si="17"/>
        <v>369047.42941736267</v>
      </c>
      <c r="CY7" s="118">
        <f t="shared" si="17"/>
        <v>369047.42941736267</v>
      </c>
      <c r="CZ7" s="118">
        <f t="shared" si="17"/>
        <v>369047.42941736267</v>
      </c>
      <c r="DA7" s="118">
        <f t="shared" si="17"/>
        <v>369047.42941736267</v>
      </c>
      <c r="DB7" s="118">
        <f t="shared" si="17"/>
        <v>369047.42941736267</v>
      </c>
      <c r="DC7" s="118">
        <f t="shared" si="17"/>
        <v>369047.42941736267</v>
      </c>
      <c r="DD7" s="118">
        <f t="shared" si="17"/>
        <v>369047.42941736267</v>
      </c>
      <c r="DE7" s="118">
        <f t="shared" si="17"/>
        <v>369047.42941736267</v>
      </c>
      <c r="DF7" s="118">
        <f t="shared" si="17"/>
        <v>369047.42941736267</v>
      </c>
      <c r="DG7" s="118">
        <f t="shared" si="17"/>
        <v>369047.42941736267</v>
      </c>
      <c r="DH7" s="118">
        <f t="shared" si="17"/>
        <v>369047.42941736267</v>
      </c>
      <c r="DI7" s="118">
        <f t="shared" si="17"/>
        <v>369047.42941736267</v>
      </c>
      <c r="DJ7" s="118">
        <f t="shared" si="17"/>
        <v>369047.42941736267</v>
      </c>
      <c r="DK7" s="118">
        <f t="shared" si="17"/>
        <v>369047.42941736267</v>
      </c>
      <c r="DL7" s="118">
        <f t="shared" si="17"/>
        <v>369047.42941736267</v>
      </c>
      <c r="DM7" s="118">
        <f t="shared" si="17"/>
        <v>369047.42941736267</v>
      </c>
      <c r="DN7" s="118">
        <f t="shared" si="17"/>
        <v>369047.42941736267</v>
      </c>
      <c r="DO7" s="118">
        <f t="shared" si="17"/>
        <v>369047.42941736267</v>
      </c>
      <c r="DP7" s="118">
        <f t="shared" si="17"/>
        <v>369047.42941736267</v>
      </c>
      <c r="DQ7" s="118">
        <f t="shared" si="17"/>
        <v>369047.42941736267</v>
      </c>
      <c r="DR7" s="118">
        <f t="shared" si="17"/>
        <v>369047.42941736267</v>
      </c>
      <c r="DS7" s="118">
        <f t="shared" si="17"/>
        <v>369047.42941736267</v>
      </c>
      <c r="DT7" s="118">
        <f t="shared" si="17"/>
        <v>369047.42941736267</v>
      </c>
      <c r="DU7" s="118">
        <f t="shared" si="17"/>
        <v>369047.42941736267</v>
      </c>
      <c r="DV7" s="118">
        <f t="shared" si="17"/>
        <v>369047.42941736267</v>
      </c>
      <c r="DW7" s="118">
        <f t="shared" si="17"/>
        <v>369047.42941736267</v>
      </c>
      <c r="DX7" s="118">
        <f t="shared" si="17"/>
        <v>369047.42941736267</v>
      </c>
      <c r="DY7" s="118">
        <f t="shared" si="17"/>
        <v>369047.42941736267</v>
      </c>
      <c r="DZ7" s="118">
        <f t="shared" si="17"/>
        <v>369047.42941736267</v>
      </c>
      <c r="EA7" s="118">
        <f t="shared" si="17"/>
        <v>369047.42941736267</v>
      </c>
      <c r="EB7" s="118">
        <f t="shared" si="17"/>
        <v>369047.42941736267</v>
      </c>
      <c r="EC7" s="118">
        <f t="shared" si="17"/>
        <v>369047.42941736267</v>
      </c>
      <c r="ED7" s="118">
        <f t="shared" si="17"/>
        <v>369047.42941736267</v>
      </c>
      <c r="EE7" s="118">
        <f t="shared" si="17"/>
        <v>369047.42941736267</v>
      </c>
      <c r="EF7" s="118">
        <f t="shared" si="17"/>
        <v>369047.42941736267</v>
      </c>
      <c r="EG7" s="118">
        <f t="shared" ref="EG7:GR7" si="18">EG4-EG6</f>
        <v>369047.42941736267</v>
      </c>
      <c r="EH7" s="118">
        <f t="shared" si="18"/>
        <v>369047.42941736267</v>
      </c>
      <c r="EI7" s="118">
        <f t="shared" si="18"/>
        <v>369047.42941736267</v>
      </c>
      <c r="EJ7" s="118">
        <f t="shared" si="18"/>
        <v>369047.42941736267</v>
      </c>
      <c r="EK7" s="118">
        <f t="shared" si="18"/>
        <v>369047.42941736267</v>
      </c>
      <c r="EL7" s="118">
        <f t="shared" si="18"/>
        <v>369047.42941736267</v>
      </c>
      <c r="EM7" s="118">
        <f t="shared" si="18"/>
        <v>369047.42941736267</v>
      </c>
      <c r="EN7" s="118">
        <f t="shared" si="18"/>
        <v>369047.42941736267</v>
      </c>
      <c r="EO7" s="118">
        <f t="shared" si="18"/>
        <v>369047.42941736267</v>
      </c>
      <c r="EP7" s="118">
        <f t="shared" si="18"/>
        <v>369047.42941736267</v>
      </c>
      <c r="EQ7" s="118">
        <f t="shared" si="18"/>
        <v>369047.42941736267</v>
      </c>
      <c r="ER7" s="118">
        <f t="shared" si="18"/>
        <v>369047.42941736267</v>
      </c>
      <c r="ES7" s="118">
        <f t="shared" si="18"/>
        <v>369047.42941736267</v>
      </c>
      <c r="ET7" s="118">
        <f t="shared" si="18"/>
        <v>369047.42941736267</v>
      </c>
      <c r="EU7" s="118">
        <f t="shared" si="18"/>
        <v>369047.42941736267</v>
      </c>
      <c r="EV7" s="118">
        <f t="shared" si="18"/>
        <v>369047.42941736267</v>
      </c>
      <c r="EW7" s="118">
        <f t="shared" si="18"/>
        <v>369047.42941736267</v>
      </c>
      <c r="EX7" s="118">
        <f t="shared" si="18"/>
        <v>369047.42941736267</v>
      </c>
      <c r="EY7" s="118">
        <f t="shared" si="18"/>
        <v>369047.42941736267</v>
      </c>
      <c r="EZ7" s="118">
        <f t="shared" si="18"/>
        <v>369047.42941736267</v>
      </c>
      <c r="FA7" s="118">
        <f t="shared" si="18"/>
        <v>369047.42941736267</v>
      </c>
      <c r="FB7" s="118">
        <f t="shared" si="18"/>
        <v>369047.42941736267</v>
      </c>
      <c r="FC7" s="118">
        <f t="shared" si="18"/>
        <v>369047.42941736267</v>
      </c>
      <c r="FD7" s="118">
        <f t="shared" si="18"/>
        <v>369047.42941736267</v>
      </c>
      <c r="FE7" s="118">
        <f t="shared" si="18"/>
        <v>369047.42941736267</v>
      </c>
      <c r="FF7" s="118">
        <f t="shared" si="18"/>
        <v>369047.42941736267</v>
      </c>
      <c r="FG7" s="118">
        <f t="shared" si="18"/>
        <v>369047.42941736267</v>
      </c>
      <c r="FH7" s="118">
        <f t="shared" si="18"/>
        <v>369047.42941736267</v>
      </c>
      <c r="FI7" s="118">
        <f t="shared" si="18"/>
        <v>369047.42941736267</v>
      </c>
      <c r="FJ7" s="118">
        <f t="shared" si="18"/>
        <v>369047.42941736267</v>
      </c>
      <c r="FK7" s="118">
        <f t="shared" si="18"/>
        <v>369047.42941736267</v>
      </c>
      <c r="FL7" s="118">
        <f t="shared" si="18"/>
        <v>369047.42941736267</v>
      </c>
      <c r="FM7" s="118">
        <f t="shared" si="18"/>
        <v>369047.42941736267</v>
      </c>
      <c r="FN7" s="118">
        <f t="shared" si="18"/>
        <v>369047.42941736267</v>
      </c>
      <c r="FO7" s="118">
        <f t="shared" si="18"/>
        <v>369047.42941736267</v>
      </c>
      <c r="FP7" s="118">
        <f t="shared" si="18"/>
        <v>369047.42941736267</v>
      </c>
      <c r="FQ7" s="118">
        <f t="shared" si="18"/>
        <v>369047.42941736267</v>
      </c>
      <c r="FR7" s="118">
        <f t="shared" si="18"/>
        <v>369047.42941736267</v>
      </c>
      <c r="FS7" s="118">
        <f t="shared" si="18"/>
        <v>369047.42941736267</v>
      </c>
      <c r="FT7" s="118">
        <f t="shared" si="18"/>
        <v>369047.42941736267</v>
      </c>
      <c r="FU7" s="118">
        <f t="shared" si="18"/>
        <v>369047.42941736267</v>
      </c>
      <c r="FV7" s="118">
        <f t="shared" si="18"/>
        <v>369047.42941736267</v>
      </c>
      <c r="FW7" s="118">
        <f t="shared" si="18"/>
        <v>369047.42941736267</v>
      </c>
      <c r="FX7" s="118">
        <f t="shared" si="18"/>
        <v>369047.42941736267</v>
      </c>
      <c r="FY7" s="118">
        <f t="shared" si="18"/>
        <v>369047.42941736267</v>
      </c>
      <c r="FZ7" s="118">
        <f t="shared" si="18"/>
        <v>369047.42941736267</v>
      </c>
      <c r="GA7" s="118">
        <f t="shared" si="18"/>
        <v>369047.42941736267</v>
      </c>
      <c r="GB7" s="118">
        <f t="shared" si="18"/>
        <v>369047.42941736267</v>
      </c>
      <c r="GC7" s="118">
        <f t="shared" si="18"/>
        <v>369047.42941736267</v>
      </c>
      <c r="GD7" s="118">
        <f t="shared" si="18"/>
        <v>369047.42941736267</v>
      </c>
      <c r="GE7" s="118">
        <f t="shared" si="18"/>
        <v>369047.42941736267</v>
      </c>
      <c r="GF7" s="118">
        <f t="shared" si="18"/>
        <v>369047.42941736267</v>
      </c>
      <c r="GG7" s="118">
        <f t="shared" si="18"/>
        <v>369047.42941736267</v>
      </c>
      <c r="GH7" s="118">
        <f t="shared" si="18"/>
        <v>369047.42941736267</v>
      </c>
      <c r="GI7" s="118">
        <f t="shared" si="18"/>
        <v>369047.42941736267</v>
      </c>
      <c r="GJ7" s="118">
        <f t="shared" si="18"/>
        <v>369047.42941736267</v>
      </c>
      <c r="GK7" s="118">
        <f t="shared" si="18"/>
        <v>369047.42941736267</v>
      </c>
      <c r="GL7" s="118">
        <f t="shared" si="18"/>
        <v>369047.42941736267</v>
      </c>
      <c r="GM7" s="118">
        <f t="shared" si="18"/>
        <v>369047.42941736267</v>
      </c>
      <c r="GN7" s="118">
        <f t="shared" si="18"/>
        <v>369047.42941736267</v>
      </c>
      <c r="GO7" s="118">
        <f t="shared" si="18"/>
        <v>369047.42941736267</v>
      </c>
      <c r="GP7" s="118">
        <f t="shared" si="18"/>
        <v>369047.42941736267</v>
      </c>
      <c r="GQ7" s="118">
        <f t="shared" si="18"/>
        <v>369047.42941736267</v>
      </c>
      <c r="GR7" s="118">
        <f t="shared" si="18"/>
        <v>369047.42941736267</v>
      </c>
      <c r="GS7" s="118">
        <f t="shared" ref="GS7:JD7" si="19">GS4-GS6</f>
        <v>369047.42941736267</v>
      </c>
      <c r="GT7" s="118">
        <f t="shared" si="19"/>
        <v>369047.42941736267</v>
      </c>
      <c r="GU7" s="118">
        <f t="shared" si="19"/>
        <v>369047.42941736267</v>
      </c>
      <c r="GV7" s="118">
        <f t="shared" si="19"/>
        <v>369047.42941736267</v>
      </c>
      <c r="GW7" s="118">
        <f t="shared" si="19"/>
        <v>369047.42941736267</v>
      </c>
      <c r="GX7" s="118">
        <f t="shared" si="19"/>
        <v>369047.42941736267</v>
      </c>
      <c r="GY7" s="118">
        <f t="shared" si="19"/>
        <v>369047.42941736267</v>
      </c>
      <c r="GZ7" s="118">
        <f t="shared" si="19"/>
        <v>369047.42941736267</v>
      </c>
      <c r="HA7" s="118">
        <f t="shared" si="19"/>
        <v>369047.42941736267</v>
      </c>
      <c r="HB7" s="118">
        <f t="shared" si="19"/>
        <v>369047.42941736267</v>
      </c>
      <c r="HC7" s="118">
        <f t="shared" si="19"/>
        <v>369047.42941736267</v>
      </c>
      <c r="HD7" s="118">
        <f t="shared" si="19"/>
        <v>369047.42941736267</v>
      </c>
      <c r="HE7" s="118">
        <f t="shared" si="19"/>
        <v>369047.42941736267</v>
      </c>
      <c r="HF7" s="118">
        <f t="shared" si="19"/>
        <v>369047.42941736267</v>
      </c>
      <c r="HG7" s="118">
        <f t="shared" si="19"/>
        <v>369047.42941736267</v>
      </c>
      <c r="HH7" s="118">
        <f t="shared" si="19"/>
        <v>369047.42941736267</v>
      </c>
      <c r="HI7" s="118">
        <f t="shared" si="19"/>
        <v>369047.42941736267</v>
      </c>
      <c r="HJ7" s="118">
        <f t="shared" si="19"/>
        <v>369047.42941736267</v>
      </c>
      <c r="HK7" s="118">
        <f t="shared" si="19"/>
        <v>369047.42941736267</v>
      </c>
      <c r="HL7" s="118">
        <f t="shared" si="19"/>
        <v>369047.42941736267</v>
      </c>
      <c r="HM7" s="118">
        <f t="shared" si="19"/>
        <v>369047.42941736267</v>
      </c>
      <c r="HN7" s="118">
        <f t="shared" si="19"/>
        <v>369047.42941736267</v>
      </c>
      <c r="HO7" s="118">
        <f t="shared" si="19"/>
        <v>369047.42941736267</v>
      </c>
      <c r="HP7" s="118">
        <f t="shared" si="19"/>
        <v>369047.42941736267</v>
      </c>
      <c r="HQ7" s="118">
        <f t="shared" si="19"/>
        <v>369047.42941736267</v>
      </c>
      <c r="HR7" s="118">
        <f t="shared" si="19"/>
        <v>369047.42941736267</v>
      </c>
      <c r="HS7" s="118">
        <f t="shared" si="19"/>
        <v>369047.42941736267</v>
      </c>
      <c r="HT7" s="118">
        <f t="shared" si="19"/>
        <v>369047.42941736267</v>
      </c>
      <c r="HU7" s="118">
        <f t="shared" si="19"/>
        <v>369047.42941736267</v>
      </c>
      <c r="HV7" s="118">
        <f t="shared" si="19"/>
        <v>369047.42941736267</v>
      </c>
      <c r="HW7" s="118">
        <f t="shared" si="19"/>
        <v>369047.42941736267</v>
      </c>
      <c r="HX7" s="118">
        <f t="shared" si="19"/>
        <v>369047.42941736267</v>
      </c>
      <c r="HY7" s="118">
        <f t="shared" si="19"/>
        <v>369047.42941736267</v>
      </c>
      <c r="HZ7" s="118">
        <f t="shared" si="19"/>
        <v>369047.42941736267</v>
      </c>
      <c r="IA7" s="118">
        <f t="shared" si="19"/>
        <v>369047.42941736267</v>
      </c>
      <c r="IB7" s="118">
        <f t="shared" si="19"/>
        <v>369047.42941736267</v>
      </c>
      <c r="IC7" s="118">
        <f t="shared" si="19"/>
        <v>369047.42941736267</v>
      </c>
      <c r="ID7" s="118">
        <f t="shared" si="19"/>
        <v>369047.42941736267</v>
      </c>
      <c r="IE7" s="118">
        <f t="shared" si="19"/>
        <v>369047.42941736267</v>
      </c>
      <c r="IF7" s="118">
        <f t="shared" si="19"/>
        <v>369047.42941736267</v>
      </c>
      <c r="IG7" s="118">
        <f t="shared" si="19"/>
        <v>369047.42941736267</v>
      </c>
      <c r="IH7" s="118">
        <f t="shared" si="19"/>
        <v>369047.42941736267</v>
      </c>
      <c r="II7" s="118">
        <f t="shared" si="19"/>
        <v>369047.42941736267</v>
      </c>
      <c r="IJ7" s="118">
        <f t="shared" si="19"/>
        <v>369047.42941736267</v>
      </c>
      <c r="IK7" s="118">
        <f t="shared" si="19"/>
        <v>369047.42941736267</v>
      </c>
      <c r="IL7" s="118">
        <f t="shared" si="19"/>
        <v>369047.42941736267</v>
      </c>
      <c r="IM7" s="118">
        <f t="shared" si="19"/>
        <v>369047.42941736267</v>
      </c>
      <c r="IN7" s="118">
        <f t="shared" si="19"/>
        <v>369047.42941736267</v>
      </c>
      <c r="IO7" s="118">
        <f t="shared" si="19"/>
        <v>369047.42941736267</v>
      </c>
      <c r="IP7" s="118">
        <f t="shared" si="19"/>
        <v>369047.42941736267</v>
      </c>
      <c r="IQ7" s="118">
        <f t="shared" si="19"/>
        <v>369047.42941736267</v>
      </c>
      <c r="IR7" s="118">
        <f t="shared" si="19"/>
        <v>369047.42941736267</v>
      </c>
      <c r="IS7" s="118">
        <f t="shared" si="19"/>
        <v>369047.42941736267</v>
      </c>
      <c r="IT7" s="118">
        <f t="shared" si="19"/>
        <v>369047.42941736267</v>
      </c>
      <c r="IU7" s="118">
        <f t="shared" si="19"/>
        <v>369047.42941736267</v>
      </c>
      <c r="IV7" s="118">
        <f t="shared" si="19"/>
        <v>369047.42941736267</v>
      </c>
      <c r="IW7" s="118">
        <f t="shared" si="19"/>
        <v>369047.42941736267</v>
      </c>
      <c r="IX7" s="118">
        <f t="shared" si="19"/>
        <v>369047.42941736267</v>
      </c>
      <c r="IY7" s="118">
        <f t="shared" si="19"/>
        <v>369047.42941736267</v>
      </c>
      <c r="IZ7" s="118">
        <f t="shared" si="19"/>
        <v>369047.42941736267</v>
      </c>
      <c r="JA7" s="118">
        <f t="shared" si="19"/>
        <v>369047.42941736267</v>
      </c>
      <c r="JB7" s="118">
        <f t="shared" si="19"/>
        <v>369047.42941736267</v>
      </c>
      <c r="JC7" s="118">
        <f t="shared" si="19"/>
        <v>369047.42941736267</v>
      </c>
      <c r="JD7" s="118">
        <f t="shared" si="19"/>
        <v>369047.42941736267</v>
      </c>
      <c r="JE7" s="118">
        <f t="shared" ref="JE7:KE7" si="20">JE4-JE6</f>
        <v>369047.42941736267</v>
      </c>
      <c r="JF7" s="118">
        <f t="shared" si="20"/>
        <v>369047.42941736267</v>
      </c>
      <c r="JG7" s="118">
        <f t="shared" si="20"/>
        <v>369047.42941736267</v>
      </c>
      <c r="JH7" s="118">
        <f t="shared" si="20"/>
        <v>369047.42941736267</v>
      </c>
      <c r="JI7" s="118">
        <f t="shared" si="20"/>
        <v>369047.42941736267</v>
      </c>
      <c r="JJ7" s="118">
        <f t="shared" si="20"/>
        <v>369047.42941736267</v>
      </c>
      <c r="JK7" s="118">
        <f t="shared" si="20"/>
        <v>369047.42941736267</v>
      </c>
      <c r="JL7" s="118">
        <f t="shared" si="20"/>
        <v>369047.42941736267</v>
      </c>
      <c r="JM7" s="118">
        <f t="shared" si="20"/>
        <v>369047.42941736267</v>
      </c>
      <c r="JN7" s="118">
        <f t="shared" si="20"/>
        <v>369047.42941736267</v>
      </c>
      <c r="JO7" s="118">
        <f t="shared" si="20"/>
        <v>369047.42941736267</v>
      </c>
      <c r="JP7" s="118">
        <f t="shared" si="20"/>
        <v>369047.42941736267</v>
      </c>
      <c r="JQ7" s="118">
        <f t="shared" si="20"/>
        <v>369047.42941736267</v>
      </c>
      <c r="JR7" s="118">
        <f t="shared" si="20"/>
        <v>369047.42941736267</v>
      </c>
      <c r="JS7" s="118">
        <f t="shared" si="20"/>
        <v>369047.42941736267</v>
      </c>
      <c r="JT7" s="118">
        <f t="shared" si="20"/>
        <v>369047.42941736267</v>
      </c>
      <c r="JU7" s="118">
        <f t="shared" si="20"/>
        <v>369047.42941736267</v>
      </c>
      <c r="JV7" s="118">
        <f t="shared" si="20"/>
        <v>369047.42941736267</v>
      </c>
      <c r="JW7" s="118">
        <f t="shared" si="20"/>
        <v>369047.42941736267</v>
      </c>
      <c r="JX7" s="118">
        <f t="shared" si="20"/>
        <v>369047.42941736267</v>
      </c>
      <c r="JY7" s="118">
        <f t="shared" si="20"/>
        <v>369047.42941736267</v>
      </c>
      <c r="JZ7" s="118">
        <f t="shared" si="20"/>
        <v>369047.42941736267</v>
      </c>
      <c r="KA7" s="118">
        <f t="shared" si="20"/>
        <v>369047.42941736267</v>
      </c>
      <c r="KB7" s="118">
        <f t="shared" si="20"/>
        <v>369047.42941736267</v>
      </c>
      <c r="KC7" s="118">
        <f t="shared" si="20"/>
        <v>369047.42941736267</v>
      </c>
      <c r="KD7" s="118">
        <f t="shared" si="20"/>
        <v>369047.42941736267</v>
      </c>
      <c r="KE7" s="118">
        <f t="shared" si="20"/>
        <v>369047.42941736267</v>
      </c>
    </row>
    <row r="8" spans="1:769" s="102" customFormat="1">
      <c r="A8" s="777" t="s">
        <v>221</v>
      </c>
      <c r="B8" s="103"/>
      <c r="C8" s="104" t="s">
        <v>281</v>
      </c>
      <c r="D8" s="104" t="s">
        <v>281</v>
      </c>
      <c r="E8" s="104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  <c r="AZ8" s="119"/>
      <c r="BA8" s="119"/>
      <c r="BB8" s="119"/>
      <c r="BC8" s="119"/>
      <c r="BD8" s="119"/>
      <c r="BE8" s="119"/>
      <c r="BF8" s="119"/>
      <c r="BG8" s="119"/>
      <c r="BH8" s="119"/>
      <c r="BI8" s="119"/>
      <c r="BJ8" s="119"/>
      <c r="BK8" s="119"/>
      <c r="BL8" s="119"/>
      <c r="BM8" s="119"/>
      <c r="BN8" s="119"/>
      <c r="BO8" s="119"/>
      <c r="BP8" s="119"/>
      <c r="BQ8" s="119"/>
      <c r="BR8" s="119"/>
      <c r="BS8" s="119"/>
      <c r="BT8" s="119"/>
      <c r="BU8" s="119"/>
      <c r="BV8" s="119"/>
      <c r="BW8" s="119"/>
      <c r="BX8" s="119"/>
      <c r="BY8" s="119"/>
      <c r="BZ8" s="119"/>
      <c r="CA8" s="119"/>
      <c r="CB8" s="119"/>
      <c r="CC8" s="119"/>
      <c r="CD8" s="119"/>
      <c r="CE8" s="119"/>
      <c r="CF8" s="119"/>
      <c r="CG8" s="119"/>
      <c r="CH8" s="119"/>
      <c r="CI8" s="119"/>
      <c r="CJ8" s="119"/>
      <c r="CK8" s="119"/>
      <c r="CL8" s="119"/>
      <c r="CM8" s="119"/>
      <c r="CN8" s="119"/>
      <c r="CO8" s="119"/>
      <c r="CP8" s="119"/>
      <c r="CQ8" s="119"/>
      <c r="CR8" s="119"/>
      <c r="CS8" s="119"/>
      <c r="CT8" s="119"/>
      <c r="CU8" s="119"/>
      <c r="CV8" s="119"/>
      <c r="CW8" s="119"/>
      <c r="CX8" s="119"/>
      <c r="CY8" s="119"/>
      <c r="CZ8" s="119"/>
      <c r="DA8" s="119"/>
      <c r="DB8" s="119"/>
      <c r="DC8" s="119"/>
      <c r="DD8" s="119"/>
      <c r="DE8" s="119"/>
      <c r="DF8" s="119"/>
      <c r="DG8" s="119"/>
      <c r="DH8" s="119"/>
      <c r="DI8" s="119"/>
      <c r="DJ8" s="119"/>
      <c r="DK8" s="119"/>
      <c r="DL8" s="119"/>
      <c r="DM8" s="119"/>
      <c r="DN8" s="119"/>
      <c r="DO8" s="119"/>
      <c r="DP8" s="119"/>
      <c r="DQ8" s="119"/>
      <c r="DR8" s="119"/>
      <c r="DS8" s="119"/>
      <c r="DT8" s="119"/>
      <c r="DU8" s="119"/>
      <c r="DV8" s="119"/>
      <c r="DW8" s="119"/>
      <c r="DX8" s="119"/>
      <c r="DY8" s="119"/>
      <c r="DZ8" s="119"/>
      <c r="EA8" s="119"/>
      <c r="EB8" s="119"/>
      <c r="EC8" s="119"/>
      <c r="ED8" s="119"/>
      <c r="EE8" s="119"/>
      <c r="EF8" s="119"/>
      <c r="EG8" s="119"/>
      <c r="EH8" s="119"/>
      <c r="EI8" s="119"/>
      <c r="EJ8" s="119"/>
      <c r="EK8" s="119"/>
      <c r="EL8" s="119"/>
      <c r="EM8" s="119"/>
      <c r="EN8" s="119"/>
      <c r="EO8" s="119"/>
      <c r="EP8" s="119"/>
      <c r="EQ8" s="119"/>
      <c r="ER8" s="119"/>
      <c r="ES8" s="119"/>
      <c r="ET8" s="119"/>
      <c r="EU8" s="119"/>
      <c r="EV8" s="119"/>
      <c r="EW8" s="119"/>
      <c r="EX8" s="119"/>
      <c r="EY8" s="119"/>
      <c r="EZ8" s="119"/>
      <c r="FA8" s="119"/>
      <c r="FB8" s="119"/>
      <c r="FC8" s="119"/>
      <c r="FD8" s="119"/>
      <c r="FE8" s="119"/>
      <c r="FF8" s="119"/>
      <c r="FG8" s="119"/>
      <c r="FH8" s="119"/>
      <c r="FI8" s="119"/>
      <c r="FJ8" s="119"/>
      <c r="FK8" s="119"/>
      <c r="FL8" s="119"/>
      <c r="FM8" s="119"/>
      <c r="FN8" s="119"/>
      <c r="FO8" s="119"/>
      <c r="FP8" s="119"/>
      <c r="FQ8" s="119"/>
      <c r="FR8" s="119"/>
      <c r="FS8" s="119"/>
      <c r="FT8" s="119"/>
      <c r="FU8" s="119"/>
      <c r="FV8" s="119"/>
      <c r="FW8" s="119"/>
      <c r="FX8" s="119"/>
      <c r="FY8" s="119"/>
      <c r="FZ8" s="119"/>
      <c r="GA8" s="119"/>
      <c r="GB8" s="119"/>
      <c r="GC8" s="119"/>
      <c r="GD8" s="119"/>
      <c r="GE8" s="119"/>
      <c r="GF8" s="119"/>
      <c r="GG8" s="119"/>
      <c r="GH8" s="119"/>
      <c r="GI8" s="119"/>
      <c r="GJ8" s="119"/>
      <c r="GK8" s="119"/>
      <c r="GL8" s="119"/>
      <c r="GM8" s="119"/>
      <c r="GN8" s="119"/>
      <c r="GO8" s="119"/>
      <c r="GP8" s="119"/>
      <c r="GQ8" s="119"/>
      <c r="GR8" s="119"/>
      <c r="GS8" s="119"/>
      <c r="GT8" s="119"/>
      <c r="GU8" s="119"/>
      <c r="GV8" s="119"/>
      <c r="GW8" s="119"/>
      <c r="GX8" s="119"/>
      <c r="GY8" s="119"/>
      <c r="GZ8" s="119"/>
      <c r="HA8" s="119"/>
      <c r="HB8" s="119"/>
      <c r="HC8" s="119"/>
      <c r="HD8" s="119"/>
      <c r="HE8" s="119"/>
      <c r="HF8" s="119"/>
      <c r="HG8" s="119"/>
      <c r="HH8" s="119"/>
      <c r="HI8" s="119"/>
      <c r="HJ8" s="119"/>
      <c r="HK8" s="119"/>
      <c r="HL8" s="119"/>
      <c r="HM8" s="119"/>
      <c r="HN8" s="119"/>
      <c r="HO8" s="119"/>
      <c r="HP8" s="119"/>
      <c r="HQ8" s="119"/>
      <c r="HR8" s="119"/>
      <c r="HS8" s="119"/>
      <c r="HT8" s="119"/>
      <c r="HU8" s="119"/>
      <c r="HV8" s="119"/>
      <c r="HW8" s="119"/>
      <c r="HX8" s="119"/>
      <c r="HY8" s="119"/>
      <c r="HZ8" s="119"/>
      <c r="IA8" s="119"/>
      <c r="IB8" s="119"/>
      <c r="IC8" s="119"/>
      <c r="ID8" s="119"/>
      <c r="IE8" s="119"/>
      <c r="IF8" s="119"/>
      <c r="IG8" s="119"/>
      <c r="IH8" s="119"/>
      <c r="II8" s="119"/>
      <c r="IJ8" s="119"/>
      <c r="IK8" s="119"/>
      <c r="IL8" s="119"/>
      <c r="IM8" s="119"/>
      <c r="IN8" s="119"/>
      <c r="IO8" s="119"/>
      <c r="IP8" s="119"/>
      <c r="IQ8" s="119"/>
      <c r="IR8" s="119"/>
      <c r="IS8" s="119"/>
      <c r="IT8" s="119"/>
      <c r="IU8" s="119"/>
      <c r="IV8" s="119"/>
      <c r="IW8" s="119"/>
      <c r="IX8" s="119"/>
      <c r="IY8" s="119"/>
      <c r="IZ8" s="119"/>
      <c r="JA8" s="119"/>
      <c r="JB8" s="119"/>
      <c r="JC8" s="119"/>
      <c r="JD8" s="119"/>
      <c r="JE8" s="119"/>
      <c r="JF8" s="119"/>
      <c r="JG8" s="119"/>
      <c r="JH8" s="119"/>
      <c r="JI8" s="119"/>
      <c r="JJ8" s="119"/>
      <c r="JK8" s="119"/>
      <c r="JL8" s="119"/>
      <c r="JM8" s="119"/>
      <c r="JN8" s="119"/>
      <c r="JO8" s="119"/>
      <c r="JP8" s="119"/>
      <c r="JQ8" s="119"/>
      <c r="JR8" s="119"/>
      <c r="JS8" s="119"/>
      <c r="JT8" s="119"/>
      <c r="JU8" s="119"/>
      <c r="JV8" s="119"/>
      <c r="JW8" s="119"/>
      <c r="JX8" s="119"/>
      <c r="JY8" s="119"/>
      <c r="JZ8" s="119"/>
      <c r="KA8" s="119"/>
      <c r="KB8" s="119"/>
      <c r="KC8" s="119"/>
      <c r="KD8" s="119"/>
      <c r="KE8" s="119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</row>
    <row r="9" spans="1:769">
      <c r="A9" s="778"/>
      <c r="B9" s="120" t="s">
        <v>402</v>
      </c>
      <c r="C9" s="121">
        <f>'Revenue Tracking'!F4</f>
        <v>2045835.2199856236</v>
      </c>
      <c r="D9" s="121">
        <f>SUM(F9:KE9)</f>
        <v>2045835.2199856236</v>
      </c>
      <c r="E9" s="108"/>
      <c r="F9" s="122">
        <f>SUMIFS('Revenue Tracking'!$F$13:$F$19, 'Revenue Tracking'!$P$13:$P$19, "&gt;="&amp;F1,'Revenue Tracking'!$P$13:$P$19, "&lt;"&amp;G1)</f>
        <v>0</v>
      </c>
      <c r="G9" s="122">
        <f>SUMIFS('Revenue Tracking'!$F$13:$F$19, 'Revenue Tracking'!$P$13:$P$19, "&gt;="&amp;G1,'Revenue Tracking'!$P$13:$P$19, "&lt;"&amp;H1)</f>
        <v>0</v>
      </c>
      <c r="H9" s="122">
        <f>SUMIFS('Revenue Tracking'!$F$13:$F$19, 'Revenue Tracking'!$P$13:$P$19, "&gt;="&amp;H1,'Revenue Tracking'!$P$13:$P$19, "&lt;"&amp;I1)</f>
        <v>0</v>
      </c>
      <c r="I9" s="122">
        <f>SUMIFS('Revenue Tracking'!$F$13:$F$19, 'Revenue Tracking'!$P$13:$P$19, "&gt;="&amp;I1,'Revenue Tracking'!$P$13:$P$19, "&lt;"&amp;J1)</f>
        <v>0</v>
      </c>
      <c r="J9" s="122">
        <f>SUMIFS('Revenue Tracking'!$F$13:$F$19, 'Revenue Tracking'!$P$13:$P$19, "&gt;="&amp;J1,'Revenue Tracking'!$P$13:$P$19, "&lt;"&amp;K1)</f>
        <v>0</v>
      </c>
      <c r="K9" s="122">
        <f>SUMIFS('Revenue Tracking'!$F$13:$F$19, 'Revenue Tracking'!$P$13:$P$19, "&gt;="&amp;K1,'Revenue Tracking'!$P$13:$P$19, "&lt;"&amp;L1)</f>
        <v>0</v>
      </c>
      <c r="L9" s="122">
        <f>SUMIFS('Revenue Tracking'!$F$13:$F$19, 'Revenue Tracking'!$P$13:$P$19, "&gt;="&amp;L1,'Revenue Tracking'!$P$13:$P$19, "&lt;"&amp;M1)</f>
        <v>0</v>
      </c>
      <c r="M9" s="122">
        <f>SUMIFS('Revenue Tracking'!$F$13:$F$19, 'Revenue Tracking'!$P$13:$P$19, "&gt;="&amp;M1,'Revenue Tracking'!$P$13:$P$19, "&lt;"&amp;N1)</f>
        <v>0</v>
      </c>
      <c r="N9" s="122">
        <f>SUMIFS('Revenue Tracking'!$F$13:$F$19, 'Revenue Tracking'!$P$13:$P$19, "&gt;="&amp;N1,'Revenue Tracking'!$P$13:$P$19, "&lt;"&amp;O1)</f>
        <v>0</v>
      </c>
      <c r="O9" s="122">
        <f>SUMIFS('Revenue Tracking'!$F$13:$F$19, 'Revenue Tracking'!$P$13:$P$19, "&gt;="&amp;O1,'Revenue Tracking'!$P$13:$P$19, "&lt;"&amp;P1)</f>
        <v>0</v>
      </c>
      <c r="P9" s="122">
        <f>SUMIFS('Revenue Tracking'!$F$13:$F$19, 'Revenue Tracking'!$P$13:$P$19, "&gt;="&amp;P1,'Revenue Tracking'!$P$13:$P$19, "&lt;"&amp;Q1)</f>
        <v>0</v>
      </c>
      <c r="Q9" s="122">
        <f>SUMIFS('Revenue Tracking'!$F$13:$F$19, 'Revenue Tracking'!$P$13:$P$19, "&gt;="&amp;Q1,'Revenue Tracking'!$P$13:$P$19, "&lt;"&amp;R1)</f>
        <v>0</v>
      </c>
      <c r="R9" s="122">
        <f>SUMIFS('Revenue Tracking'!$F$13:$F$19, 'Revenue Tracking'!$P$13:$P$19, "&gt;="&amp;R1,'Revenue Tracking'!$P$13:$P$19, "&lt;"&amp;S1)</f>
        <v>1022917.6099928118</v>
      </c>
      <c r="S9" s="122">
        <f>SUMIFS('Revenue Tracking'!$F$13:$F$19, 'Revenue Tracking'!$P$13:$P$19, "&gt;="&amp;S1,'Revenue Tracking'!$P$13:$P$19, "&lt;"&amp;T1)</f>
        <v>0</v>
      </c>
      <c r="T9" s="122">
        <f>SUMIFS('Revenue Tracking'!$F$13:$F$19, 'Revenue Tracking'!$P$13:$P$19, "&gt;="&amp;T1,'Revenue Tracking'!$P$13:$P$19, "&lt;"&amp;U1)</f>
        <v>716042.32699496835</v>
      </c>
      <c r="U9" s="122">
        <f>SUMIFS('Revenue Tracking'!$F$13:$F$19, 'Revenue Tracking'!$P$13:$P$19, "&gt;="&amp;U1,'Revenue Tracking'!$P$13:$P$19, "&lt;"&amp;V1)</f>
        <v>0</v>
      </c>
      <c r="V9" s="122">
        <f>SUMIFS('Revenue Tracking'!$F$13:$F$19, 'Revenue Tracking'!$P$13:$P$19, "&gt;="&amp;V1,'Revenue Tracking'!$P$13:$P$19, "&lt;"&amp;W1)</f>
        <v>0</v>
      </c>
      <c r="W9" s="122">
        <f>SUMIFS('Revenue Tracking'!$F$13:$F$19, 'Revenue Tracking'!$P$13:$P$19, "&gt;="&amp;W1,'Revenue Tracking'!$P$13:$P$19, "&lt;"&amp;X1)</f>
        <v>0</v>
      </c>
      <c r="X9" s="122">
        <f>SUMIFS('Revenue Tracking'!$F$13:$F$19, 'Revenue Tracking'!$P$13:$P$19, "&gt;="&amp;X1,'Revenue Tracking'!$P$13:$P$19, "&lt;"&amp;Y1)</f>
        <v>0</v>
      </c>
      <c r="Y9" s="122">
        <f>SUMIFS('Revenue Tracking'!$F$13:$F$19, 'Revenue Tracking'!$P$13:$P$19, "&gt;="&amp;Y1,'Revenue Tracking'!$P$13:$P$19, "&lt;"&amp;Z1)</f>
        <v>204583.52199856238</v>
      </c>
      <c r="Z9" s="122">
        <f>SUMIFS('Revenue Tracking'!$F$13:$F$19, 'Revenue Tracking'!$P$13:$P$19, "&gt;="&amp;Z1,'Revenue Tracking'!$P$13:$P$19, "&lt;"&amp;AA1)</f>
        <v>0</v>
      </c>
      <c r="AA9" s="122">
        <f>SUMIFS('Revenue Tracking'!$F$13:$F$19, 'Revenue Tracking'!$P$13:$P$19, "&gt;="&amp;AA1,'Revenue Tracking'!$P$13:$P$19, "&lt;"&amp;AB1)</f>
        <v>102291.76099928119</v>
      </c>
      <c r="AB9" s="122">
        <f>SUMIFS('Revenue Tracking'!$F$13:$F$19, 'Revenue Tracking'!$P$13:$P$19, "&gt;="&amp;AB1,'Revenue Tracking'!$P$13:$P$19, "&lt;"&amp;AC1)</f>
        <v>0</v>
      </c>
      <c r="AC9" s="122">
        <f>SUMIFS('Revenue Tracking'!$F$13:$F$19, 'Revenue Tracking'!$P$13:$P$19, "&gt;="&amp;AC1,'Revenue Tracking'!$P$13:$P$19, "&lt;"&amp;AD1)</f>
        <v>0</v>
      </c>
      <c r="AD9" s="122">
        <f>SUMIFS('Revenue Tracking'!$F$13:$F$19, 'Revenue Tracking'!$P$13:$P$19, "&gt;="&amp;AD1,'Revenue Tracking'!$P$13:$P$19, "&lt;"&amp;AE1)</f>
        <v>0</v>
      </c>
      <c r="AE9" s="122">
        <f>SUMIFS('Revenue Tracking'!$F$13:$F$19, 'Revenue Tracking'!$P$13:$P$19, "&gt;="&amp;AE1,'Revenue Tracking'!$P$13:$P$19, "&lt;"&amp;AF1)</f>
        <v>0</v>
      </c>
      <c r="AF9" s="122">
        <f>SUMIFS('Revenue Tracking'!$F$13:$F$19, 'Revenue Tracking'!$P$13:$P$19, "&gt;="&amp;AF1,'Revenue Tracking'!$P$13:$P$19, "&lt;"&amp;AG1)</f>
        <v>0</v>
      </c>
      <c r="AG9" s="122">
        <f>SUMIFS('Revenue Tracking'!$F$13:$F$19, 'Revenue Tracking'!$P$13:$P$19, "&gt;="&amp;AG1,'Revenue Tracking'!$P$13:$P$19, "&lt;"&amp;AH1)</f>
        <v>0</v>
      </c>
      <c r="AH9" s="122">
        <f>SUMIFS('Revenue Tracking'!$F$13:$F$19, 'Revenue Tracking'!$P$13:$P$19, "&gt;="&amp;AH1,'Revenue Tracking'!$P$13:$P$19, "&lt;"&amp;AI1)</f>
        <v>0</v>
      </c>
      <c r="AI9" s="122">
        <f>SUMIFS('Revenue Tracking'!$F$13:$F$19, 'Revenue Tracking'!$P$13:$P$19, "&gt;="&amp;AI1,'Revenue Tracking'!$P$13:$P$19, "&lt;"&amp;AJ1)</f>
        <v>0</v>
      </c>
      <c r="AJ9" s="122">
        <f>SUMIFS('Revenue Tracking'!$F$13:$F$19, 'Revenue Tracking'!$P$13:$P$19, "&gt;="&amp;AJ1,'Revenue Tracking'!$P$13:$P$19, "&lt;"&amp;AK1)</f>
        <v>0</v>
      </c>
      <c r="AK9" s="122">
        <f>SUMIFS('Revenue Tracking'!$F$13:$F$19, 'Revenue Tracking'!$P$13:$P$19, "&gt;="&amp;AK1,'Revenue Tracking'!$P$13:$P$19, "&lt;"&amp;AL1)</f>
        <v>0</v>
      </c>
      <c r="AL9" s="122">
        <f>SUMIFS('Revenue Tracking'!$F$13:$F$19, 'Revenue Tracking'!$P$13:$P$19, "&gt;="&amp;AL1,'Revenue Tracking'!$P$13:$P$19, "&lt;"&amp;AM1)</f>
        <v>0</v>
      </c>
      <c r="AM9" s="122">
        <f>SUMIFS('Revenue Tracking'!$F$13:$F$19, 'Revenue Tracking'!$P$13:$P$19, "&gt;="&amp;AM1,'Revenue Tracking'!$P$13:$P$19, "&lt;"&amp;AN1)</f>
        <v>0</v>
      </c>
      <c r="AN9" s="122">
        <f>SUMIFS('Revenue Tracking'!$F$13:$F$19, 'Revenue Tracking'!$P$13:$P$19, "&gt;="&amp;AN1,'Revenue Tracking'!$P$13:$P$19, "&lt;"&amp;AO1)</f>
        <v>0</v>
      </c>
      <c r="AO9" s="122">
        <f>SUMIFS('Revenue Tracking'!$F$13:$F$19, 'Revenue Tracking'!$P$13:$P$19, "&gt;="&amp;AO1,'Revenue Tracking'!$P$13:$P$19, "&lt;"&amp;AP1)</f>
        <v>0</v>
      </c>
      <c r="AP9" s="122">
        <f>SUMIFS('Revenue Tracking'!$F$13:$F$19, 'Revenue Tracking'!$P$13:$P$19, "&gt;="&amp;AP1,'Revenue Tracking'!$P$13:$P$19, "&lt;"&amp;AQ1)</f>
        <v>0</v>
      </c>
      <c r="AQ9" s="122">
        <f>SUMIFS('Revenue Tracking'!$F$13:$F$19, 'Revenue Tracking'!$P$13:$P$19, "&gt;="&amp;AQ1,'Revenue Tracking'!$P$13:$P$19, "&lt;"&amp;AR1)</f>
        <v>0</v>
      </c>
      <c r="AR9" s="122">
        <f>SUMIFS('Revenue Tracking'!$F$13:$F$19, 'Revenue Tracking'!$P$13:$P$19, "&gt;="&amp;AR1,'Revenue Tracking'!$P$13:$P$19, "&lt;"&amp;AS1)</f>
        <v>0</v>
      </c>
      <c r="AS9" s="122">
        <f>SUMIFS('Revenue Tracking'!$F$13:$F$19, 'Revenue Tracking'!$P$13:$P$19, "&gt;="&amp;AS1,'Revenue Tracking'!$P$13:$P$19, "&lt;"&amp;AT1)</f>
        <v>0</v>
      </c>
      <c r="AT9" s="122">
        <f>SUMIFS('Revenue Tracking'!$F$13:$F$19, 'Revenue Tracking'!$P$13:$P$19, "&gt;="&amp;AT1,'Revenue Tracking'!$P$13:$P$19, "&lt;"&amp;AU1)</f>
        <v>0</v>
      </c>
      <c r="AU9" s="122">
        <f>SUMIFS('Revenue Tracking'!$F$13:$F$19, 'Revenue Tracking'!$P$13:$P$19, "&gt;="&amp;AU1,'Revenue Tracking'!$P$13:$P$19, "&lt;"&amp;AV1)</f>
        <v>0</v>
      </c>
      <c r="AV9" s="122">
        <f>SUMIFS('Revenue Tracking'!$F$13:$F$19, 'Revenue Tracking'!$P$13:$P$19, "&gt;="&amp;AV1,'Revenue Tracking'!$P$13:$P$19, "&lt;"&amp;AW1)</f>
        <v>0</v>
      </c>
      <c r="AW9" s="122">
        <f>SUMIFS('Revenue Tracking'!$F$13:$F$19, 'Revenue Tracking'!$P$13:$P$19, "&gt;="&amp;AW1,'Revenue Tracking'!$P$13:$P$19, "&lt;"&amp;AX1)</f>
        <v>0</v>
      </c>
      <c r="AX9" s="122">
        <f>SUMIFS('Revenue Tracking'!$F$13:$F$19, 'Revenue Tracking'!$P$13:$P$19, "&gt;="&amp;AX1,'Revenue Tracking'!$P$13:$P$19, "&lt;"&amp;AY1)</f>
        <v>0</v>
      </c>
      <c r="AY9" s="122">
        <f>SUMIFS('Revenue Tracking'!$F$13:$F$19, 'Revenue Tracking'!$P$13:$P$19, "&gt;="&amp;AY1,'Revenue Tracking'!$P$13:$P$19, "&lt;"&amp;AZ1)</f>
        <v>0</v>
      </c>
      <c r="AZ9" s="122">
        <f>SUMIFS('Revenue Tracking'!$F$13:$F$19, 'Revenue Tracking'!$P$13:$P$19, "&gt;="&amp;AZ1,'Revenue Tracking'!$P$13:$P$19, "&lt;"&amp;BA1)</f>
        <v>0</v>
      </c>
      <c r="BA9" s="122">
        <f>SUMIFS('Revenue Tracking'!$F$13:$F$19, 'Revenue Tracking'!$P$13:$P$19, "&gt;="&amp;BA1,'Revenue Tracking'!$P$13:$P$19, "&lt;"&amp;BB1)</f>
        <v>0</v>
      </c>
      <c r="BB9" s="122">
        <f>SUMIFS('Revenue Tracking'!$F$13:$F$19, 'Revenue Tracking'!$P$13:$P$19, "&gt;="&amp;BB1,'Revenue Tracking'!$P$13:$P$19, "&lt;"&amp;BC1)</f>
        <v>0</v>
      </c>
      <c r="BC9" s="122">
        <f>SUMIFS('Revenue Tracking'!$F$13:$F$19, 'Revenue Tracking'!$P$13:$P$19, "&gt;="&amp;BC1,'Revenue Tracking'!$P$13:$P$19, "&lt;"&amp;BD1)</f>
        <v>0</v>
      </c>
      <c r="BD9" s="122">
        <f>SUMIFS('Revenue Tracking'!$F$13:$F$19, 'Revenue Tracking'!$P$13:$P$19, "&gt;="&amp;BD1,'Revenue Tracking'!$P$13:$P$19, "&lt;"&amp;BE1)</f>
        <v>0</v>
      </c>
      <c r="BE9" s="122">
        <f>SUMIFS('Revenue Tracking'!$F$13:$F$19, 'Revenue Tracking'!$P$13:$P$19, "&gt;="&amp;BE1,'Revenue Tracking'!$P$13:$P$19, "&lt;"&amp;BF1)</f>
        <v>0</v>
      </c>
      <c r="BF9" s="122">
        <f>SUMIFS('Revenue Tracking'!$F$13:$F$19, 'Revenue Tracking'!$P$13:$P$19, "&gt;="&amp;BF1,'Revenue Tracking'!$P$13:$P$19, "&lt;"&amp;BG1)</f>
        <v>0</v>
      </c>
      <c r="BG9" s="122">
        <f>SUMIFS('Revenue Tracking'!$F$13:$F$19, 'Revenue Tracking'!$P$13:$P$19, "&gt;="&amp;BG1,'Revenue Tracking'!$P$13:$P$19, "&lt;"&amp;BH1)</f>
        <v>0</v>
      </c>
      <c r="BH9" s="122">
        <f>SUMIFS('Revenue Tracking'!$F$13:$F$19, 'Revenue Tracking'!$P$13:$P$19, "&gt;="&amp;BH1,'Revenue Tracking'!$P$13:$P$19, "&lt;"&amp;BI1)</f>
        <v>0</v>
      </c>
      <c r="BI9" s="122">
        <f>SUMIFS('Revenue Tracking'!$F$13:$F$19, 'Revenue Tracking'!$P$13:$P$19, "&gt;="&amp;BI1,'Revenue Tracking'!$P$13:$P$19, "&lt;"&amp;BJ1)</f>
        <v>0</v>
      </c>
      <c r="BJ9" s="122">
        <f>SUMIFS('Revenue Tracking'!$F$13:$F$19, 'Revenue Tracking'!$P$13:$P$19, "&gt;="&amp;BJ1,'Revenue Tracking'!$P$13:$P$19, "&lt;"&amp;BK1)</f>
        <v>0</v>
      </c>
      <c r="BK9" s="122">
        <f>SUMIFS('Revenue Tracking'!$F$13:$F$19, 'Revenue Tracking'!$P$13:$P$19, "&gt;="&amp;BK1,'Revenue Tracking'!$P$13:$P$19, "&lt;"&amp;BL1)</f>
        <v>0</v>
      </c>
      <c r="BL9" s="122">
        <f>SUMIFS('Revenue Tracking'!$F$13:$F$19, 'Revenue Tracking'!$P$13:$P$19, "&gt;="&amp;BL1,'Revenue Tracking'!$P$13:$P$19, "&lt;"&amp;BM1)</f>
        <v>0</v>
      </c>
      <c r="BM9" s="122">
        <f>SUMIFS('Revenue Tracking'!$F$13:$F$19, 'Revenue Tracking'!$P$13:$P$19, "&gt;="&amp;BM1,'Revenue Tracking'!$P$13:$P$19, "&lt;"&amp;BN1)</f>
        <v>0</v>
      </c>
      <c r="BN9" s="122">
        <f>SUMIFS('Revenue Tracking'!$F$13:$F$19, 'Revenue Tracking'!$P$13:$P$19, "&gt;="&amp;BN1,'Revenue Tracking'!$P$13:$P$19, "&lt;"&amp;BO1)</f>
        <v>0</v>
      </c>
      <c r="BO9" s="122">
        <f>SUMIFS('Revenue Tracking'!$F$13:$F$19, 'Revenue Tracking'!$P$13:$P$19, "&gt;="&amp;BO1,'Revenue Tracking'!$P$13:$P$19, "&lt;"&amp;BP1)</f>
        <v>0</v>
      </c>
      <c r="BP9" s="122">
        <f>SUMIFS('Revenue Tracking'!$F$13:$F$19, 'Revenue Tracking'!$P$13:$P$19, "&gt;="&amp;BP1,'Revenue Tracking'!$P$13:$P$19, "&lt;"&amp;BQ1)</f>
        <v>0</v>
      </c>
      <c r="BQ9" s="122">
        <f>SUMIFS('Revenue Tracking'!$F$13:$F$19, 'Revenue Tracking'!$P$13:$P$19, "&gt;="&amp;BQ1,'Revenue Tracking'!$P$13:$P$19, "&lt;"&amp;BR1)</f>
        <v>0</v>
      </c>
      <c r="BR9" s="122">
        <f>SUMIFS('Revenue Tracking'!$F$13:$F$19, 'Revenue Tracking'!$P$13:$P$19, "&gt;="&amp;BR1,'Revenue Tracking'!$P$13:$P$19, "&lt;"&amp;BS1)</f>
        <v>0</v>
      </c>
      <c r="BS9" s="122">
        <f>SUMIFS('Revenue Tracking'!$F$13:$F$19, 'Revenue Tracking'!$P$13:$P$19, "&gt;="&amp;BS1,'Revenue Tracking'!$P$13:$P$19, "&lt;"&amp;BT1)</f>
        <v>0</v>
      </c>
      <c r="BT9" s="122">
        <f>SUMIFS('Revenue Tracking'!$F$13:$F$19, 'Revenue Tracking'!$P$13:$P$19, "&gt;="&amp;BT1,'Revenue Tracking'!$P$13:$P$19, "&lt;"&amp;BU1)</f>
        <v>0</v>
      </c>
      <c r="BU9" s="122">
        <f>SUMIFS('Revenue Tracking'!$F$13:$F$19, 'Revenue Tracking'!$P$13:$P$19, "&gt;="&amp;BU1,'Revenue Tracking'!$P$13:$P$19, "&lt;"&amp;BV1)</f>
        <v>0</v>
      </c>
      <c r="BV9" s="122">
        <f>SUMIFS('Revenue Tracking'!$F$13:$F$19, 'Revenue Tracking'!$P$13:$P$19, "&gt;="&amp;BV1,'Revenue Tracking'!$P$13:$P$19, "&lt;"&amp;BW1)</f>
        <v>0</v>
      </c>
      <c r="BW9" s="122">
        <f>SUMIFS('Revenue Tracking'!$F$13:$F$19, 'Revenue Tracking'!$P$13:$P$19, "&gt;="&amp;BW1,'Revenue Tracking'!$P$13:$P$19, "&lt;"&amp;BX1)</f>
        <v>0</v>
      </c>
      <c r="BX9" s="122">
        <f>SUMIFS('Revenue Tracking'!$F$13:$F$19, 'Revenue Tracking'!$P$13:$P$19, "&gt;="&amp;BX1,'Revenue Tracking'!$P$13:$P$19, "&lt;"&amp;BY1)</f>
        <v>0</v>
      </c>
      <c r="BY9" s="122">
        <f>SUMIFS('Revenue Tracking'!$F$13:$F$19, 'Revenue Tracking'!$P$13:$P$19, "&gt;="&amp;BY1,'Revenue Tracking'!$P$13:$P$19, "&lt;"&amp;BZ1)</f>
        <v>0</v>
      </c>
      <c r="BZ9" s="122">
        <f>SUMIFS('Revenue Tracking'!$F$13:$F$19, 'Revenue Tracking'!$P$13:$P$19, "&gt;="&amp;BZ1,'Revenue Tracking'!$P$13:$P$19, "&lt;"&amp;CA1)</f>
        <v>0</v>
      </c>
      <c r="CA9" s="122">
        <f>SUMIFS('Revenue Tracking'!$F$13:$F$19, 'Revenue Tracking'!$P$13:$P$19, "&gt;="&amp;CA1,'Revenue Tracking'!$P$13:$P$19, "&lt;"&amp;CB1)</f>
        <v>0</v>
      </c>
      <c r="CB9" s="122">
        <f>SUMIFS('Revenue Tracking'!$F$13:$F$19, 'Revenue Tracking'!$P$13:$P$19, "&gt;="&amp;CB1,'Revenue Tracking'!$P$13:$P$19, "&lt;"&amp;CC1)</f>
        <v>0</v>
      </c>
      <c r="CC9" s="122">
        <f>SUMIFS('Revenue Tracking'!$F$13:$F$19, 'Revenue Tracking'!$P$13:$P$19, "&gt;="&amp;CC1,'Revenue Tracking'!$P$13:$P$19, "&lt;"&amp;CD1)</f>
        <v>0</v>
      </c>
      <c r="CD9" s="122">
        <f>SUMIFS('Revenue Tracking'!$F$13:$F$19, 'Revenue Tracking'!$P$13:$P$19, "&gt;="&amp;CD1,'Revenue Tracking'!$P$13:$P$19, "&lt;"&amp;CE1)</f>
        <v>0</v>
      </c>
      <c r="CE9" s="122">
        <f>SUMIFS('Revenue Tracking'!$F$13:$F$19, 'Revenue Tracking'!$P$13:$P$19, "&gt;="&amp;CE1,'Revenue Tracking'!$P$13:$P$19, "&lt;"&amp;CF1)</f>
        <v>0</v>
      </c>
      <c r="CF9" s="122">
        <f>SUMIFS('Revenue Tracking'!$F$13:$F$19, 'Revenue Tracking'!$P$13:$P$19, "&gt;="&amp;CF1,'Revenue Tracking'!$P$13:$P$19, "&lt;"&amp;CG1)</f>
        <v>0</v>
      </c>
      <c r="CG9" s="122">
        <f>SUMIFS('Revenue Tracking'!$F$13:$F$19, 'Revenue Tracking'!$P$13:$P$19, "&gt;="&amp;CG1,'Revenue Tracking'!$P$13:$P$19, "&lt;"&amp;CH1)</f>
        <v>0</v>
      </c>
      <c r="CH9" s="122">
        <f>SUMIFS('Revenue Tracking'!$F$13:$F$19, 'Revenue Tracking'!$P$13:$P$19, "&gt;="&amp;CH1,'Revenue Tracking'!$P$13:$P$19, "&lt;"&amp;CI1)</f>
        <v>0</v>
      </c>
      <c r="CI9" s="122">
        <f>SUMIFS('Revenue Tracking'!$F$13:$F$19, 'Revenue Tracking'!$P$13:$P$19, "&gt;="&amp;CI1,'Revenue Tracking'!$P$13:$P$19, "&lt;"&amp;CJ1)</f>
        <v>0</v>
      </c>
      <c r="CJ9" s="122">
        <f>SUMIFS('Revenue Tracking'!$F$13:$F$19, 'Revenue Tracking'!$P$13:$P$19, "&gt;="&amp;CJ1,'Revenue Tracking'!$P$13:$P$19, "&lt;"&amp;CK1)</f>
        <v>0</v>
      </c>
      <c r="CK9" s="122">
        <f>SUMIFS('Revenue Tracking'!$F$13:$F$19, 'Revenue Tracking'!$P$13:$P$19, "&gt;="&amp;CK1,'Revenue Tracking'!$P$13:$P$19, "&lt;"&amp;CL1)</f>
        <v>0</v>
      </c>
      <c r="CL9" s="122">
        <f>SUMIFS('Revenue Tracking'!$F$13:$F$19, 'Revenue Tracking'!$P$13:$P$19, "&gt;="&amp;CL1,'Revenue Tracking'!$P$13:$P$19, "&lt;"&amp;CM1)</f>
        <v>0</v>
      </c>
      <c r="CM9" s="122">
        <f>SUMIFS('Revenue Tracking'!$F$13:$F$19, 'Revenue Tracking'!$P$13:$P$19, "&gt;="&amp;CM1,'Revenue Tracking'!$P$13:$P$19, "&lt;"&amp;CN1)</f>
        <v>0</v>
      </c>
      <c r="CN9" s="122">
        <f>SUMIFS('Revenue Tracking'!$F$13:$F$19, 'Revenue Tracking'!$P$13:$P$19, "&gt;="&amp;CN1,'Revenue Tracking'!$P$13:$P$19, "&lt;"&amp;CO1)</f>
        <v>0</v>
      </c>
      <c r="CO9" s="122">
        <f>SUMIFS('Revenue Tracking'!$F$13:$F$19, 'Revenue Tracking'!$P$13:$P$19, "&gt;="&amp;CO1,'Revenue Tracking'!$P$13:$P$19, "&lt;"&amp;CP1)</f>
        <v>0</v>
      </c>
      <c r="CP9" s="122">
        <f>SUMIFS('Revenue Tracking'!$F$13:$F$19, 'Revenue Tracking'!$P$13:$P$19, "&gt;="&amp;CP1,'Revenue Tracking'!$P$13:$P$19, "&lt;"&amp;CQ1)</f>
        <v>0</v>
      </c>
      <c r="CQ9" s="122">
        <f>SUMIFS('Revenue Tracking'!$F$13:$F$19, 'Revenue Tracking'!$P$13:$P$19, "&gt;="&amp;CQ1,'Revenue Tracking'!$P$13:$P$19, "&lt;"&amp;CR1)</f>
        <v>0</v>
      </c>
      <c r="CR9" s="122">
        <f>SUMIFS('Revenue Tracking'!$F$13:$F$19, 'Revenue Tracking'!$P$13:$P$19, "&gt;="&amp;CR1,'Revenue Tracking'!$P$13:$P$19, "&lt;"&amp;CS1)</f>
        <v>0</v>
      </c>
      <c r="CS9" s="122">
        <f>SUMIFS('Revenue Tracking'!$F$13:$F$19, 'Revenue Tracking'!$P$13:$P$19, "&gt;="&amp;CS1,'Revenue Tracking'!$P$13:$P$19, "&lt;"&amp;CT1)</f>
        <v>0</v>
      </c>
      <c r="CT9" s="122">
        <f>SUMIFS('Revenue Tracking'!$F$13:$F$19, 'Revenue Tracking'!$P$13:$P$19, "&gt;="&amp;CT1,'Revenue Tracking'!$P$13:$P$19, "&lt;"&amp;CU1)</f>
        <v>0</v>
      </c>
      <c r="CU9" s="122">
        <f>SUMIFS('Revenue Tracking'!$F$13:$F$19, 'Revenue Tracking'!$P$13:$P$19, "&gt;="&amp;CU1,'Revenue Tracking'!$P$13:$P$19, "&lt;"&amp;CV1)</f>
        <v>0</v>
      </c>
      <c r="CV9" s="122">
        <f>SUMIFS('Revenue Tracking'!$F$13:$F$19, 'Revenue Tracking'!$P$13:$P$19, "&gt;="&amp;CV1,'Revenue Tracking'!$P$13:$P$19, "&lt;"&amp;CW1)</f>
        <v>0</v>
      </c>
      <c r="CW9" s="122">
        <f>SUMIFS('Revenue Tracking'!$F$13:$F$19, 'Revenue Tracking'!$P$13:$P$19, "&gt;="&amp;CW1,'Revenue Tracking'!$P$13:$P$19, "&lt;"&amp;CX1)</f>
        <v>0</v>
      </c>
      <c r="CX9" s="122">
        <f>SUMIFS('Revenue Tracking'!$F$13:$F$19, 'Revenue Tracking'!$P$13:$P$19, "&gt;="&amp;CX1,'Revenue Tracking'!$P$13:$P$19, "&lt;"&amp;CY1)</f>
        <v>0</v>
      </c>
      <c r="CY9" s="122">
        <f>SUMIFS('Revenue Tracking'!$F$13:$F$19, 'Revenue Tracking'!$P$13:$P$19, "&gt;="&amp;CY1,'Revenue Tracking'!$P$13:$P$19, "&lt;"&amp;CZ1)</f>
        <v>0</v>
      </c>
      <c r="CZ9" s="122">
        <f>SUMIFS('Revenue Tracking'!$F$13:$F$19, 'Revenue Tracking'!$P$13:$P$19, "&gt;="&amp;CZ1,'Revenue Tracking'!$P$13:$P$19, "&lt;"&amp;DA1)</f>
        <v>0</v>
      </c>
      <c r="DA9" s="122">
        <f>SUMIFS('Revenue Tracking'!$F$13:$F$19, 'Revenue Tracking'!$P$13:$P$19, "&gt;="&amp;DA1,'Revenue Tracking'!$P$13:$P$19, "&lt;"&amp;DB1)</f>
        <v>0</v>
      </c>
      <c r="DB9" s="122">
        <f>SUMIFS('Revenue Tracking'!$F$13:$F$19, 'Revenue Tracking'!$P$13:$P$19, "&gt;="&amp;DB1,'Revenue Tracking'!$P$13:$P$19, "&lt;"&amp;DC1)</f>
        <v>0</v>
      </c>
      <c r="DC9" s="122">
        <f>SUMIFS('Revenue Tracking'!$F$13:$F$19, 'Revenue Tracking'!$P$13:$P$19, "&gt;="&amp;DC1,'Revenue Tracking'!$P$13:$P$19, "&lt;"&amp;DD1)</f>
        <v>0</v>
      </c>
      <c r="DD9" s="122">
        <f>SUMIFS('Revenue Tracking'!$F$13:$F$19, 'Revenue Tracking'!$P$13:$P$19, "&gt;="&amp;DD1,'Revenue Tracking'!$P$13:$P$19, "&lt;"&amp;DE1)</f>
        <v>0</v>
      </c>
      <c r="DE9" s="122">
        <f>SUMIFS('Revenue Tracking'!$F$13:$F$19, 'Revenue Tracking'!$P$13:$P$19, "&gt;="&amp;DE1,'Revenue Tracking'!$P$13:$P$19, "&lt;"&amp;DF1)</f>
        <v>0</v>
      </c>
      <c r="DF9" s="122">
        <f>SUMIFS('Revenue Tracking'!$F$13:$F$19, 'Revenue Tracking'!$P$13:$P$19, "&gt;="&amp;DF1,'Revenue Tracking'!$P$13:$P$19, "&lt;"&amp;DG1)</f>
        <v>0</v>
      </c>
      <c r="DG9" s="122">
        <f>SUMIFS('Revenue Tracking'!$F$13:$F$19, 'Revenue Tracking'!$P$13:$P$19, "&gt;="&amp;DG1,'Revenue Tracking'!$P$13:$P$19, "&lt;"&amp;DH1)</f>
        <v>0</v>
      </c>
      <c r="DH9" s="122">
        <f>SUMIFS('Revenue Tracking'!$F$13:$F$19, 'Revenue Tracking'!$P$13:$P$19, "&gt;="&amp;DH1,'Revenue Tracking'!$P$13:$P$19, "&lt;"&amp;DI1)</f>
        <v>0</v>
      </c>
      <c r="DI9" s="122">
        <f>SUMIFS('Revenue Tracking'!$F$13:$F$19, 'Revenue Tracking'!$P$13:$P$19, "&gt;="&amp;DI1,'Revenue Tracking'!$P$13:$P$19, "&lt;"&amp;DJ1)</f>
        <v>0</v>
      </c>
      <c r="DJ9" s="122">
        <f>SUMIFS('Revenue Tracking'!$F$13:$F$19, 'Revenue Tracking'!$P$13:$P$19, "&gt;="&amp;DJ1,'Revenue Tracking'!$P$13:$P$19, "&lt;"&amp;DK1)</f>
        <v>0</v>
      </c>
      <c r="DK9" s="122">
        <f>SUMIFS('Revenue Tracking'!$F$13:$F$19, 'Revenue Tracking'!$P$13:$P$19, "&gt;="&amp;DK1,'Revenue Tracking'!$P$13:$P$19, "&lt;"&amp;DL1)</f>
        <v>0</v>
      </c>
      <c r="DL9" s="122">
        <f>SUMIFS('Revenue Tracking'!$F$13:$F$19, 'Revenue Tracking'!$P$13:$P$19, "&gt;="&amp;DL1,'Revenue Tracking'!$P$13:$P$19, "&lt;"&amp;DM1)</f>
        <v>0</v>
      </c>
      <c r="DM9" s="122">
        <f>SUMIFS('Revenue Tracking'!$F$13:$F$19, 'Revenue Tracking'!$P$13:$P$19, "&gt;="&amp;DM1,'Revenue Tracking'!$P$13:$P$19, "&lt;"&amp;DN1)</f>
        <v>0</v>
      </c>
      <c r="DN9" s="122">
        <f>SUMIFS('Revenue Tracking'!$F$13:$F$19, 'Revenue Tracking'!$P$13:$P$19, "&gt;="&amp;DN1,'Revenue Tracking'!$P$13:$P$19, "&lt;"&amp;DO1)</f>
        <v>0</v>
      </c>
      <c r="DO9" s="122">
        <f>SUMIFS('Revenue Tracking'!$F$13:$F$19, 'Revenue Tracking'!$P$13:$P$19, "&gt;="&amp;DO1,'Revenue Tracking'!$P$13:$P$19, "&lt;"&amp;DP1)</f>
        <v>0</v>
      </c>
      <c r="DP9" s="122">
        <f>SUMIFS('Revenue Tracking'!$F$13:$F$19, 'Revenue Tracking'!$P$13:$P$19, "&gt;="&amp;DP1,'Revenue Tracking'!$P$13:$P$19, "&lt;"&amp;DQ1)</f>
        <v>0</v>
      </c>
      <c r="DQ9" s="122">
        <f>SUMIFS('Revenue Tracking'!$F$13:$F$19, 'Revenue Tracking'!$P$13:$P$19, "&gt;="&amp;DQ1,'Revenue Tracking'!$P$13:$P$19, "&lt;"&amp;DR1)</f>
        <v>0</v>
      </c>
      <c r="DR9" s="122">
        <f>SUMIFS('Revenue Tracking'!$F$13:$F$19, 'Revenue Tracking'!$P$13:$P$19, "&gt;="&amp;DR1,'Revenue Tracking'!$P$13:$P$19, "&lt;"&amp;DS1)</f>
        <v>0</v>
      </c>
      <c r="DS9" s="122">
        <f>SUMIFS('Revenue Tracking'!$F$13:$F$19, 'Revenue Tracking'!$P$13:$P$19, "&gt;="&amp;DS1,'Revenue Tracking'!$P$13:$P$19, "&lt;"&amp;DT1)</f>
        <v>0</v>
      </c>
      <c r="DT9" s="122">
        <f>SUMIFS('Revenue Tracking'!$F$13:$F$19, 'Revenue Tracking'!$P$13:$P$19, "&gt;="&amp;DT1,'Revenue Tracking'!$P$13:$P$19, "&lt;"&amp;DU1)</f>
        <v>0</v>
      </c>
      <c r="DU9" s="122">
        <f>SUMIFS('Revenue Tracking'!$F$13:$F$19, 'Revenue Tracking'!$P$13:$P$19, "&gt;="&amp;DU1,'Revenue Tracking'!$P$13:$P$19, "&lt;"&amp;DV1)</f>
        <v>0</v>
      </c>
      <c r="DV9" s="122">
        <f>SUMIFS('Revenue Tracking'!$F$13:$F$19, 'Revenue Tracking'!$P$13:$P$19, "&gt;="&amp;DV1,'Revenue Tracking'!$P$13:$P$19, "&lt;"&amp;DW1)</f>
        <v>0</v>
      </c>
      <c r="DW9" s="122">
        <f>SUMIFS('Revenue Tracking'!$F$13:$F$19, 'Revenue Tracking'!$P$13:$P$19, "&gt;="&amp;DW1,'Revenue Tracking'!$P$13:$P$19, "&lt;"&amp;DX1)</f>
        <v>0</v>
      </c>
      <c r="DX9" s="122">
        <f>SUMIFS('Revenue Tracking'!$F$13:$F$19, 'Revenue Tracking'!$P$13:$P$19, "&gt;="&amp;DX1,'Revenue Tracking'!$P$13:$P$19, "&lt;"&amp;DY1)</f>
        <v>0</v>
      </c>
      <c r="DY9" s="122">
        <f>SUMIFS('Revenue Tracking'!$F$13:$F$19, 'Revenue Tracking'!$P$13:$P$19, "&gt;="&amp;DY1,'Revenue Tracking'!$P$13:$P$19, "&lt;"&amp;DZ1)</f>
        <v>0</v>
      </c>
      <c r="DZ9" s="122">
        <f>SUMIFS('Revenue Tracking'!$F$13:$F$19, 'Revenue Tracking'!$P$13:$P$19, "&gt;="&amp;DZ1,'Revenue Tracking'!$P$13:$P$19, "&lt;"&amp;EA1)</f>
        <v>0</v>
      </c>
      <c r="EA9" s="122">
        <f>SUMIFS('Revenue Tracking'!$F$13:$F$19, 'Revenue Tracking'!$P$13:$P$19, "&gt;="&amp;EA1,'Revenue Tracking'!$P$13:$P$19, "&lt;"&amp;EB1)</f>
        <v>0</v>
      </c>
      <c r="EB9" s="122">
        <f>SUMIFS('Revenue Tracking'!$F$13:$F$19, 'Revenue Tracking'!$P$13:$P$19, "&gt;="&amp;EB1,'Revenue Tracking'!$P$13:$P$19, "&lt;"&amp;EC1)</f>
        <v>0</v>
      </c>
      <c r="EC9" s="122">
        <f>SUMIFS('Revenue Tracking'!$F$13:$F$19, 'Revenue Tracking'!$P$13:$P$19, "&gt;="&amp;EC1,'Revenue Tracking'!$P$13:$P$19, "&lt;"&amp;ED1)</f>
        <v>0</v>
      </c>
      <c r="ED9" s="122">
        <f>SUMIFS('Revenue Tracking'!$F$13:$F$19, 'Revenue Tracking'!$P$13:$P$19, "&gt;="&amp;ED1,'Revenue Tracking'!$P$13:$P$19, "&lt;"&amp;EE1)</f>
        <v>0</v>
      </c>
      <c r="EE9" s="122">
        <f>SUMIFS('Revenue Tracking'!$F$13:$F$19, 'Revenue Tracking'!$P$13:$P$19, "&gt;="&amp;EE1,'Revenue Tracking'!$P$13:$P$19, "&lt;"&amp;EF1)</f>
        <v>0</v>
      </c>
      <c r="EF9" s="122">
        <f>SUMIFS('Revenue Tracking'!$F$13:$F$19, 'Revenue Tracking'!$P$13:$P$19, "&gt;="&amp;EF1,'Revenue Tracking'!$P$13:$P$19, "&lt;"&amp;EG1)</f>
        <v>0</v>
      </c>
      <c r="EG9" s="122">
        <f>SUMIFS('Revenue Tracking'!$F$13:$F$19, 'Revenue Tracking'!$P$13:$P$19, "&gt;="&amp;EG1,'Revenue Tracking'!$P$13:$P$19, "&lt;"&amp;EH1)</f>
        <v>0</v>
      </c>
      <c r="EH9" s="122">
        <f>SUMIFS('Revenue Tracking'!$F$13:$F$19, 'Revenue Tracking'!$P$13:$P$19, "&gt;="&amp;EH1,'Revenue Tracking'!$P$13:$P$19, "&lt;"&amp;EI1)</f>
        <v>0</v>
      </c>
      <c r="EI9" s="122">
        <f>SUMIFS('Revenue Tracking'!$F$13:$F$19, 'Revenue Tracking'!$P$13:$P$19, "&gt;="&amp;EI1,'Revenue Tracking'!$P$13:$P$19, "&lt;"&amp;EJ1)</f>
        <v>0</v>
      </c>
      <c r="EJ9" s="122">
        <f>SUMIFS('Revenue Tracking'!$F$13:$F$19, 'Revenue Tracking'!$P$13:$P$19, "&gt;="&amp;EJ1,'Revenue Tracking'!$P$13:$P$19, "&lt;"&amp;EK1)</f>
        <v>0</v>
      </c>
      <c r="EK9" s="122">
        <f>SUMIFS('Revenue Tracking'!$F$13:$F$19, 'Revenue Tracking'!$P$13:$P$19, "&gt;="&amp;EK1,'Revenue Tracking'!$P$13:$P$19, "&lt;"&amp;EL1)</f>
        <v>0</v>
      </c>
      <c r="EL9" s="122">
        <f>SUMIFS('Revenue Tracking'!$F$13:$F$19, 'Revenue Tracking'!$P$13:$P$19, "&gt;="&amp;EL1,'Revenue Tracking'!$P$13:$P$19, "&lt;"&amp;EM1)</f>
        <v>0</v>
      </c>
      <c r="EM9" s="122">
        <f>SUMIFS('Revenue Tracking'!$F$13:$F$19, 'Revenue Tracking'!$P$13:$P$19, "&gt;="&amp;EM1,'Revenue Tracking'!$P$13:$P$19, "&lt;"&amp;EN1)</f>
        <v>0</v>
      </c>
      <c r="EN9" s="122">
        <f>SUMIFS('Revenue Tracking'!$F$13:$F$19, 'Revenue Tracking'!$P$13:$P$19, "&gt;="&amp;EN1,'Revenue Tracking'!$P$13:$P$19, "&lt;"&amp;EO1)</f>
        <v>0</v>
      </c>
      <c r="EO9" s="122">
        <f>SUMIFS('Revenue Tracking'!$F$13:$F$19, 'Revenue Tracking'!$P$13:$P$19, "&gt;="&amp;EO1,'Revenue Tracking'!$P$13:$P$19, "&lt;"&amp;EP1)</f>
        <v>0</v>
      </c>
      <c r="EP9" s="122">
        <f>SUMIFS('Revenue Tracking'!$F$13:$F$19, 'Revenue Tracking'!$P$13:$P$19, "&gt;="&amp;EP1,'Revenue Tracking'!$P$13:$P$19, "&lt;"&amp;EQ1)</f>
        <v>0</v>
      </c>
      <c r="EQ9" s="122">
        <f>SUMIFS('Revenue Tracking'!$F$13:$F$19, 'Revenue Tracking'!$P$13:$P$19, "&gt;="&amp;EQ1,'Revenue Tracking'!$P$13:$P$19, "&lt;"&amp;ER1)</f>
        <v>0</v>
      </c>
      <c r="ER9" s="122">
        <f>SUMIFS('Revenue Tracking'!$F$13:$F$19, 'Revenue Tracking'!$P$13:$P$19, "&gt;="&amp;ER1,'Revenue Tracking'!$P$13:$P$19, "&lt;"&amp;ES1)</f>
        <v>0</v>
      </c>
      <c r="ES9" s="122">
        <f>SUMIFS('Revenue Tracking'!$F$13:$F$19, 'Revenue Tracking'!$P$13:$P$19, "&gt;="&amp;ES1,'Revenue Tracking'!$P$13:$P$19, "&lt;"&amp;ET1)</f>
        <v>0</v>
      </c>
      <c r="ET9" s="122">
        <f>SUMIFS('Revenue Tracking'!$F$13:$F$19, 'Revenue Tracking'!$P$13:$P$19, "&gt;="&amp;ET1,'Revenue Tracking'!$P$13:$P$19, "&lt;"&amp;EU1)</f>
        <v>0</v>
      </c>
      <c r="EU9" s="122">
        <f>SUMIFS('Revenue Tracking'!$F$13:$F$19, 'Revenue Tracking'!$P$13:$P$19, "&gt;="&amp;EU1,'Revenue Tracking'!$P$13:$P$19, "&lt;"&amp;EV1)</f>
        <v>0</v>
      </c>
      <c r="EV9" s="122">
        <f>SUMIFS('Revenue Tracking'!$F$13:$F$19, 'Revenue Tracking'!$P$13:$P$19, "&gt;="&amp;EV1,'Revenue Tracking'!$P$13:$P$19, "&lt;"&amp;EW1)</f>
        <v>0</v>
      </c>
      <c r="EW9" s="122">
        <f>SUMIFS('Revenue Tracking'!$F$13:$F$19, 'Revenue Tracking'!$P$13:$P$19, "&gt;="&amp;EW1,'Revenue Tracking'!$P$13:$P$19, "&lt;"&amp;EX1)</f>
        <v>0</v>
      </c>
      <c r="EX9" s="122">
        <f>SUMIFS('Revenue Tracking'!$F$13:$F$19, 'Revenue Tracking'!$P$13:$P$19, "&gt;="&amp;EX1,'Revenue Tracking'!$P$13:$P$19, "&lt;"&amp;EY1)</f>
        <v>0</v>
      </c>
      <c r="EY9" s="122">
        <f>SUMIFS('Revenue Tracking'!$F$13:$F$19, 'Revenue Tracking'!$P$13:$P$19, "&gt;="&amp;EY1,'Revenue Tracking'!$P$13:$P$19, "&lt;"&amp;EZ1)</f>
        <v>0</v>
      </c>
      <c r="EZ9" s="122">
        <f>SUMIFS('Revenue Tracking'!$F$13:$F$19, 'Revenue Tracking'!$P$13:$P$19, "&gt;="&amp;EZ1,'Revenue Tracking'!$P$13:$P$19, "&lt;"&amp;FA1)</f>
        <v>0</v>
      </c>
      <c r="FA9" s="122">
        <f>SUMIFS('Revenue Tracking'!$F$13:$F$19, 'Revenue Tracking'!$P$13:$P$19, "&gt;="&amp;FA1,'Revenue Tracking'!$P$13:$P$19, "&lt;"&amp;FB1)</f>
        <v>0</v>
      </c>
      <c r="FB9" s="122">
        <f>SUMIFS('Revenue Tracking'!$F$13:$F$19, 'Revenue Tracking'!$P$13:$P$19, "&gt;="&amp;FB1,'Revenue Tracking'!$P$13:$P$19, "&lt;"&amp;FC1)</f>
        <v>0</v>
      </c>
      <c r="FC9" s="122">
        <f>SUMIFS('Revenue Tracking'!$F$13:$F$19, 'Revenue Tracking'!$P$13:$P$19, "&gt;="&amp;FC1,'Revenue Tracking'!$P$13:$P$19, "&lt;"&amp;FD1)</f>
        <v>0</v>
      </c>
      <c r="FD9" s="122">
        <f>SUMIFS('Revenue Tracking'!$F$13:$F$19, 'Revenue Tracking'!$P$13:$P$19, "&gt;="&amp;FD1,'Revenue Tracking'!$P$13:$P$19, "&lt;"&amp;FE1)</f>
        <v>0</v>
      </c>
      <c r="FE9" s="122">
        <f>SUMIFS('Revenue Tracking'!$F$13:$F$19, 'Revenue Tracking'!$P$13:$P$19, "&gt;="&amp;FE1,'Revenue Tracking'!$P$13:$P$19, "&lt;"&amp;FF1)</f>
        <v>0</v>
      </c>
      <c r="FF9" s="122">
        <f>SUMIFS('Revenue Tracking'!$F$13:$F$19, 'Revenue Tracking'!$P$13:$P$19, "&gt;="&amp;FF1,'Revenue Tracking'!$P$13:$P$19, "&lt;"&amp;FG1)</f>
        <v>0</v>
      </c>
      <c r="FG9" s="122">
        <f>SUMIFS('Revenue Tracking'!$F$13:$F$19, 'Revenue Tracking'!$P$13:$P$19, "&gt;="&amp;FG1,'Revenue Tracking'!$P$13:$P$19, "&lt;"&amp;FH1)</f>
        <v>0</v>
      </c>
      <c r="FH9" s="122">
        <f>SUMIFS('Revenue Tracking'!$F$13:$F$19, 'Revenue Tracking'!$P$13:$P$19, "&gt;="&amp;FH1,'Revenue Tracking'!$P$13:$P$19, "&lt;"&amp;FI1)</f>
        <v>0</v>
      </c>
      <c r="FI9" s="122">
        <f>SUMIFS('Revenue Tracking'!$F$13:$F$19, 'Revenue Tracking'!$P$13:$P$19, "&gt;="&amp;FI1,'Revenue Tracking'!$P$13:$P$19, "&lt;"&amp;FJ1)</f>
        <v>0</v>
      </c>
      <c r="FJ9" s="122">
        <f>SUMIFS('Revenue Tracking'!$F$13:$F$19, 'Revenue Tracking'!$P$13:$P$19, "&gt;="&amp;FJ1,'Revenue Tracking'!$P$13:$P$19, "&lt;"&amp;FK1)</f>
        <v>0</v>
      </c>
      <c r="FK9" s="122">
        <f>SUMIFS('Revenue Tracking'!$F$13:$F$19, 'Revenue Tracking'!$P$13:$P$19, "&gt;="&amp;FK1,'Revenue Tracking'!$P$13:$P$19, "&lt;"&amp;FL1)</f>
        <v>0</v>
      </c>
      <c r="FL9" s="122">
        <f>SUMIFS('Revenue Tracking'!$F$13:$F$19, 'Revenue Tracking'!$P$13:$P$19, "&gt;="&amp;FL1,'Revenue Tracking'!$P$13:$P$19, "&lt;"&amp;FM1)</f>
        <v>0</v>
      </c>
      <c r="FM9" s="122">
        <f>SUMIFS('Revenue Tracking'!$F$13:$F$19, 'Revenue Tracking'!$P$13:$P$19, "&gt;="&amp;FM1,'Revenue Tracking'!$P$13:$P$19, "&lt;"&amp;FN1)</f>
        <v>0</v>
      </c>
      <c r="FN9" s="122">
        <f>SUMIFS('Revenue Tracking'!$F$13:$F$19, 'Revenue Tracking'!$P$13:$P$19, "&gt;="&amp;FN1,'Revenue Tracking'!$P$13:$P$19, "&lt;"&amp;FO1)</f>
        <v>0</v>
      </c>
      <c r="FO9" s="122">
        <f>SUMIFS('Revenue Tracking'!$F$13:$F$19, 'Revenue Tracking'!$P$13:$P$19, "&gt;="&amp;FO1,'Revenue Tracking'!$P$13:$P$19, "&lt;"&amp;FP1)</f>
        <v>0</v>
      </c>
      <c r="FP9" s="122">
        <f>SUMIFS('Revenue Tracking'!$F$13:$F$19, 'Revenue Tracking'!$P$13:$P$19, "&gt;="&amp;FP1,'Revenue Tracking'!$P$13:$P$19, "&lt;"&amp;FQ1)</f>
        <v>0</v>
      </c>
      <c r="FQ9" s="122">
        <f>SUMIFS('Revenue Tracking'!$F$13:$F$19, 'Revenue Tracking'!$P$13:$P$19, "&gt;="&amp;FQ1,'Revenue Tracking'!$P$13:$P$19, "&lt;"&amp;FR1)</f>
        <v>0</v>
      </c>
      <c r="FR9" s="122">
        <f>SUMIFS('Revenue Tracking'!$F$13:$F$19, 'Revenue Tracking'!$P$13:$P$19, "&gt;="&amp;FR1,'Revenue Tracking'!$P$13:$P$19, "&lt;"&amp;FS1)</f>
        <v>0</v>
      </c>
      <c r="FS9" s="122">
        <f>SUMIFS('Revenue Tracking'!$F$13:$F$19, 'Revenue Tracking'!$P$13:$P$19, "&gt;="&amp;FS1,'Revenue Tracking'!$P$13:$P$19, "&lt;"&amp;FT1)</f>
        <v>0</v>
      </c>
      <c r="FT9" s="122">
        <f>SUMIFS('Revenue Tracking'!$F$13:$F$19, 'Revenue Tracking'!$P$13:$P$19, "&gt;="&amp;FT1,'Revenue Tracking'!$P$13:$P$19, "&lt;"&amp;FU1)</f>
        <v>0</v>
      </c>
      <c r="FU9" s="122">
        <f>SUMIFS('Revenue Tracking'!$F$13:$F$19, 'Revenue Tracking'!$P$13:$P$19, "&gt;="&amp;FU1,'Revenue Tracking'!$P$13:$P$19, "&lt;"&amp;FV1)</f>
        <v>0</v>
      </c>
      <c r="FV9" s="122">
        <f>SUMIFS('Revenue Tracking'!$F$13:$F$19, 'Revenue Tracking'!$P$13:$P$19, "&gt;="&amp;FV1,'Revenue Tracking'!$P$13:$P$19, "&lt;"&amp;FW1)</f>
        <v>0</v>
      </c>
      <c r="FW9" s="122">
        <f>SUMIFS('Revenue Tracking'!$F$13:$F$19, 'Revenue Tracking'!$P$13:$P$19, "&gt;="&amp;FW1,'Revenue Tracking'!$P$13:$P$19, "&lt;"&amp;FX1)</f>
        <v>0</v>
      </c>
      <c r="FX9" s="122">
        <f>SUMIFS('Revenue Tracking'!$F$13:$F$19, 'Revenue Tracking'!$P$13:$P$19, "&gt;="&amp;FX1,'Revenue Tracking'!$P$13:$P$19, "&lt;"&amp;FY1)</f>
        <v>0</v>
      </c>
      <c r="FY9" s="122">
        <f>SUMIFS('Revenue Tracking'!$F$13:$F$19, 'Revenue Tracking'!$P$13:$P$19, "&gt;="&amp;FY1,'Revenue Tracking'!$P$13:$P$19, "&lt;"&amp;FZ1)</f>
        <v>0</v>
      </c>
      <c r="FZ9" s="122">
        <f>SUMIFS('Revenue Tracking'!$F$13:$F$19, 'Revenue Tracking'!$P$13:$P$19, "&gt;="&amp;FZ1,'Revenue Tracking'!$P$13:$P$19, "&lt;"&amp;GA1)</f>
        <v>0</v>
      </c>
      <c r="GA9" s="122">
        <f>SUMIFS('Revenue Tracking'!$F$13:$F$19, 'Revenue Tracking'!$P$13:$P$19, "&gt;="&amp;GA1,'Revenue Tracking'!$P$13:$P$19, "&lt;"&amp;GB1)</f>
        <v>0</v>
      </c>
      <c r="GB9" s="122">
        <f>SUMIFS('Revenue Tracking'!$F$13:$F$19, 'Revenue Tracking'!$P$13:$P$19, "&gt;="&amp;GB1,'Revenue Tracking'!$P$13:$P$19, "&lt;"&amp;GC1)</f>
        <v>0</v>
      </c>
      <c r="GC9" s="122">
        <f>SUMIFS('Revenue Tracking'!$F$13:$F$19, 'Revenue Tracking'!$P$13:$P$19, "&gt;="&amp;GC1,'Revenue Tracking'!$P$13:$P$19, "&lt;"&amp;GD1)</f>
        <v>0</v>
      </c>
      <c r="GD9" s="122">
        <f>SUMIFS('Revenue Tracking'!$F$13:$F$19, 'Revenue Tracking'!$P$13:$P$19, "&gt;="&amp;GD1,'Revenue Tracking'!$P$13:$P$19, "&lt;"&amp;GE1)</f>
        <v>0</v>
      </c>
      <c r="GE9" s="122">
        <f>SUMIFS('Revenue Tracking'!$F$13:$F$19, 'Revenue Tracking'!$P$13:$P$19, "&gt;="&amp;GE1,'Revenue Tracking'!$P$13:$P$19, "&lt;"&amp;GF1)</f>
        <v>0</v>
      </c>
      <c r="GF9" s="122">
        <f>SUMIFS('Revenue Tracking'!$F$13:$F$19, 'Revenue Tracking'!$P$13:$P$19, "&gt;="&amp;GF1,'Revenue Tracking'!$P$13:$P$19, "&lt;"&amp;GG1)</f>
        <v>0</v>
      </c>
      <c r="GG9" s="122">
        <f>SUMIFS('Revenue Tracking'!$F$13:$F$19, 'Revenue Tracking'!$P$13:$P$19, "&gt;="&amp;GG1,'Revenue Tracking'!$P$13:$P$19, "&lt;"&amp;GH1)</f>
        <v>0</v>
      </c>
      <c r="GH9" s="122">
        <f>SUMIFS('Revenue Tracking'!$F$13:$F$19, 'Revenue Tracking'!$P$13:$P$19, "&gt;="&amp;GH1,'Revenue Tracking'!$P$13:$P$19, "&lt;"&amp;GI1)</f>
        <v>0</v>
      </c>
      <c r="GI9" s="122">
        <f>SUMIFS('Revenue Tracking'!$F$13:$F$19, 'Revenue Tracking'!$P$13:$P$19, "&gt;="&amp;GI1,'Revenue Tracking'!$P$13:$P$19, "&lt;"&amp;GJ1)</f>
        <v>0</v>
      </c>
      <c r="GJ9" s="122">
        <f>SUMIFS('Revenue Tracking'!$F$13:$F$19, 'Revenue Tracking'!$P$13:$P$19, "&gt;="&amp;GJ1,'Revenue Tracking'!$P$13:$P$19, "&lt;"&amp;GK1)</f>
        <v>0</v>
      </c>
      <c r="GK9" s="122">
        <f>SUMIFS('Revenue Tracking'!$F$13:$F$19, 'Revenue Tracking'!$P$13:$P$19, "&gt;="&amp;GK1,'Revenue Tracking'!$P$13:$P$19, "&lt;"&amp;GL1)</f>
        <v>0</v>
      </c>
      <c r="GL9" s="122">
        <f>SUMIFS('Revenue Tracking'!$F$13:$F$19, 'Revenue Tracking'!$P$13:$P$19, "&gt;="&amp;GL1,'Revenue Tracking'!$P$13:$P$19, "&lt;"&amp;GM1)</f>
        <v>0</v>
      </c>
      <c r="GM9" s="122">
        <f>SUMIFS('Revenue Tracking'!$F$13:$F$19, 'Revenue Tracking'!$P$13:$P$19, "&gt;="&amp;GM1,'Revenue Tracking'!$P$13:$P$19, "&lt;"&amp;GN1)</f>
        <v>0</v>
      </c>
      <c r="GN9" s="122">
        <f>SUMIFS('Revenue Tracking'!$F$13:$F$19, 'Revenue Tracking'!$P$13:$P$19, "&gt;="&amp;GN1,'Revenue Tracking'!$P$13:$P$19, "&lt;"&amp;GO1)</f>
        <v>0</v>
      </c>
      <c r="GO9" s="122">
        <f>SUMIFS('Revenue Tracking'!$F$13:$F$19, 'Revenue Tracking'!$P$13:$P$19, "&gt;="&amp;GO1,'Revenue Tracking'!$P$13:$P$19, "&lt;"&amp;GP1)</f>
        <v>0</v>
      </c>
      <c r="GP9" s="122">
        <f>SUMIFS('Revenue Tracking'!$F$13:$F$19, 'Revenue Tracking'!$P$13:$P$19, "&gt;="&amp;GP1,'Revenue Tracking'!$P$13:$P$19, "&lt;"&amp;GQ1)</f>
        <v>0</v>
      </c>
      <c r="GQ9" s="122">
        <f>SUMIFS('Revenue Tracking'!$F$13:$F$19, 'Revenue Tracking'!$P$13:$P$19, "&gt;="&amp;GQ1,'Revenue Tracking'!$P$13:$P$19, "&lt;"&amp;GR1)</f>
        <v>0</v>
      </c>
      <c r="GR9" s="122">
        <f>SUMIFS('Revenue Tracking'!$F$13:$F$19, 'Revenue Tracking'!$P$13:$P$19, "&gt;="&amp;GR1,'Revenue Tracking'!$P$13:$P$19, "&lt;"&amp;GS1)</f>
        <v>0</v>
      </c>
      <c r="GS9" s="122">
        <f>SUMIFS('Revenue Tracking'!$F$13:$F$19, 'Revenue Tracking'!$P$13:$P$19, "&gt;="&amp;GS1,'Revenue Tracking'!$P$13:$P$19, "&lt;"&amp;GT1)</f>
        <v>0</v>
      </c>
      <c r="GT9" s="122">
        <f>SUMIFS('Revenue Tracking'!$F$13:$F$19, 'Revenue Tracking'!$P$13:$P$19, "&gt;="&amp;GT1,'Revenue Tracking'!$P$13:$P$19, "&lt;"&amp;GU1)</f>
        <v>0</v>
      </c>
      <c r="GU9" s="122">
        <f>SUMIFS('Revenue Tracking'!$F$13:$F$19, 'Revenue Tracking'!$P$13:$P$19, "&gt;="&amp;GU1,'Revenue Tracking'!$P$13:$P$19, "&lt;"&amp;GV1)</f>
        <v>0</v>
      </c>
      <c r="GV9" s="122">
        <f>SUMIFS('Revenue Tracking'!$F$13:$F$19, 'Revenue Tracking'!$P$13:$P$19, "&gt;="&amp;GV1,'Revenue Tracking'!$P$13:$P$19, "&lt;"&amp;GW1)</f>
        <v>0</v>
      </c>
      <c r="GW9" s="122">
        <f>SUMIFS('Revenue Tracking'!$F$13:$F$19, 'Revenue Tracking'!$P$13:$P$19, "&gt;="&amp;GW1,'Revenue Tracking'!$P$13:$P$19, "&lt;"&amp;GX1)</f>
        <v>0</v>
      </c>
      <c r="GX9" s="122">
        <f>SUMIFS('Revenue Tracking'!$F$13:$F$19, 'Revenue Tracking'!$P$13:$P$19, "&gt;="&amp;GX1,'Revenue Tracking'!$P$13:$P$19, "&lt;"&amp;GY1)</f>
        <v>0</v>
      </c>
      <c r="GY9" s="122">
        <f>SUMIFS('Revenue Tracking'!$F$13:$F$19, 'Revenue Tracking'!$P$13:$P$19, "&gt;="&amp;GY1,'Revenue Tracking'!$P$13:$P$19, "&lt;"&amp;GZ1)</f>
        <v>0</v>
      </c>
      <c r="GZ9" s="122">
        <f>SUMIFS('Revenue Tracking'!$F$13:$F$19, 'Revenue Tracking'!$P$13:$P$19, "&gt;="&amp;GZ1,'Revenue Tracking'!$P$13:$P$19, "&lt;"&amp;HA1)</f>
        <v>0</v>
      </c>
      <c r="HA9" s="122">
        <f>SUMIFS('Revenue Tracking'!$F$13:$F$19, 'Revenue Tracking'!$P$13:$P$19, "&gt;="&amp;HA1,'Revenue Tracking'!$P$13:$P$19, "&lt;"&amp;HB1)</f>
        <v>0</v>
      </c>
      <c r="HB9" s="122">
        <f>SUMIFS('Revenue Tracking'!$F$13:$F$19, 'Revenue Tracking'!$P$13:$P$19, "&gt;="&amp;HB1,'Revenue Tracking'!$P$13:$P$19, "&lt;"&amp;HC1)</f>
        <v>0</v>
      </c>
      <c r="HC9" s="122">
        <f>SUMIFS('Revenue Tracking'!$F$13:$F$19, 'Revenue Tracking'!$P$13:$P$19, "&gt;="&amp;HC1,'Revenue Tracking'!$P$13:$P$19, "&lt;"&amp;HD1)</f>
        <v>0</v>
      </c>
      <c r="HD9" s="122">
        <f>SUMIFS('Revenue Tracking'!$F$13:$F$19, 'Revenue Tracking'!$P$13:$P$19, "&gt;="&amp;HD1,'Revenue Tracking'!$P$13:$P$19, "&lt;"&amp;HE1)</f>
        <v>0</v>
      </c>
      <c r="HE9" s="122">
        <f>SUMIFS('Revenue Tracking'!$F$13:$F$19, 'Revenue Tracking'!$P$13:$P$19, "&gt;="&amp;HE1,'Revenue Tracking'!$P$13:$P$19, "&lt;"&amp;HF1)</f>
        <v>0</v>
      </c>
      <c r="HF9" s="122">
        <f>SUMIFS('Revenue Tracking'!$F$13:$F$19, 'Revenue Tracking'!$P$13:$P$19, "&gt;="&amp;HF1,'Revenue Tracking'!$P$13:$P$19, "&lt;"&amp;HG1)</f>
        <v>0</v>
      </c>
      <c r="HG9" s="122">
        <f>SUMIFS('Revenue Tracking'!$F$13:$F$19, 'Revenue Tracking'!$P$13:$P$19, "&gt;="&amp;HG1,'Revenue Tracking'!$P$13:$P$19, "&lt;"&amp;HH1)</f>
        <v>0</v>
      </c>
      <c r="HH9" s="122">
        <f>SUMIFS('Revenue Tracking'!$F$13:$F$19, 'Revenue Tracking'!$P$13:$P$19, "&gt;="&amp;HH1,'Revenue Tracking'!$P$13:$P$19, "&lt;"&amp;HI1)</f>
        <v>0</v>
      </c>
      <c r="HI9" s="122">
        <f>SUMIFS('Revenue Tracking'!$F$13:$F$19, 'Revenue Tracking'!$P$13:$P$19, "&gt;="&amp;HI1,'Revenue Tracking'!$P$13:$P$19, "&lt;"&amp;HJ1)</f>
        <v>0</v>
      </c>
      <c r="HJ9" s="122">
        <f>SUMIFS('Revenue Tracking'!$F$13:$F$19, 'Revenue Tracking'!$P$13:$P$19, "&gt;="&amp;HJ1,'Revenue Tracking'!$P$13:$P$19, "&lt;"&amp;HK1)</f>
        <v>0</v>
      </c>
      <c r="HK9" s="122">
        <f>SUMIFS('Revenue Tracking'!$F$13:$F$19, 'Revenue Tracking'!$P$13:$P$19, "&gt;="&amp;HK1,'Revenue Tracking'!$P$13:$P$19, "&lt;"&amp;HL1)</f>
        <v>0</v>
      </c>
      <c r="HL9" s="122">
        <f>SUMIFS('Revenue Tracking'!$F$13:$F$19, 'Revenue Tracking'!$P$13:$P$19, "&gt;="&amp;HL1,'Revenue Tracking'!$P$13:$P$19, "&lt;"&amp;HM1)</f>
        <v>0</v>
      </c>
      <c r="HM9" s="122">
        <f>SUMIFS('Revenue Tracking'!$F$13:$F$19, 'Revenue Tracking'!$P$13:$P$19, "&gt;="&amp;HM1,'Revenue Tracking'!$P$13:$P$19, "&lt;"&amp;HN1)</f>
        <v>0</v>
      </c>
      <c r="HN9" s="122">
        <f>SUMIFS('Revenue Tracking'!$F$13:$F$19, 'Revenue Tracking'!$P$13:$P$19, "&gt;="&amp;HN1,'Revenue Tracking'!$P$13:$P$19, "&lt;"&amp;HO1)</f>
        <v>0</v>
      </c>
      <c r="HO9" s="122">
        <f>SUMIFS('Revenue Tracking'!$F$13:$F$19, 'Revenue Tracking'!$P$13:$P$19, "&gt;="&amp;HO1,'Revenue Tracking'!$P$13:$P$19, "&lt;"&amp;HP1)</f>
        <v>0</v>
      </c>
      <c r="HP9" s="122">
        <f>SUMIFS('Revenue Tracking'!$F$13:$F$19, 'Revenue Tracking'!$P$13:$P$19, "&gt;="&amp;HP1,'Revenue Tracking'!$P$13:$P$19, "&lt;"&amp;HQ1)</f>
        <v>0</v>
      </c>
      <c r="HQ9" s="122">
        <f>SUMIFS('Revenue Tracking'!$F$13:$F$19, 'Revenue Tracking'!$P$13:$P$19, "&gt;="&amp;HQ1,'Revenue Tracking'!$P$13:$P$19, "&lt;"&amp;HR1)</f>
        <v>0</v>
      </c>
      <c r="HR9" s="122">
        <f>SUMIFS('Revenue Tracking'!$F$13:$F$19, 'Revenue Tracking'!$P$13:$P$19, "&gt;="&amp;HR1,'Revenue Tracking'!$P$13:$P$19, "&lt;"&amp;HS1)</f>
        <v>0</v>
      </c>
      <c r="HS9" s="122">
        <f>SUMIFS('Revenue Tracking'!$F$13:$F$19, 'Revenue Tracking'!$P$13:$P$19, "&gt;="&amp;HS1,'Revenue Tracking'!$P$13:$P$19, "&lt;"&amp;HT1)</f>
        <v>0</v>
      </c>
      <c r="HT9" s="122">
        <f>SUMIFS('Revenue Tracking'!$F$13:$F$19, 'Revenue Tracking'!$P$13:$P$19, "&gt;="&amp;HT1,'Revenue Tracking'!$P$13:$P$19, "&lt;"&amp;HU1)</f>
        <v>0</v>
      </c>
      <c r="HU9" s="122">
        <f>SUMIFS('Revenue Tracking'!$F$13:$F$19, 'Revenue Tracking'!$P$13:$P$19, "&gt;="&amp;HU1,'Revenue Tracking'!$P$13:$P$19, "&lt;"&amp;HV1)</f>
        <v>0</v>
      </c>
      <c r="HV9" s="122">
        <f>SUMIFS('Revenue Tracking'!$F$13:$F$19, 'Revenue Tracking'!$P$13:$P$19, "&gt;="&amp;HV1,'Revenue Tracking'!$P$13:$P$19, "&lt;"&amp;HW1)</f>
        <v>0</v>
      </c>
      <c r="HW9" s="122">
        <f>SUMIFS('Revenue Tracking'!$F$13:$F$19, 'Revenue Tracking'!$P$13:$P$19, "&gt;="&amp;HW1,'Revenue Tracking'!$P$13:$P$19, "&lt;"&amp;HX1)</f>
        <v>0</v>
      </c>
      <c r="HX9" s="122">
        <f>SUMIFS('Revenue Tracking'!$F$13:$F$19, 'Revenue Tracking'!$P$13:$P$19, "&gt;="&amp;HX1,'Revenue Tracking'!$P$13:$P$19, "&lt;"&amp;HY1)</f>
        <v>0</v>
      </c>
      <c r="HY9" s="122">
        <f>SUMIFS('Revenue Tracking'!$F$13:$F$19, 'Revenue Tracking'!$P$13:$P$19, "&gt;="&amp;HY1,'Revenue Tracking'!$P$13:$P$19, "&lt;"&amp;HZ1)</f>
        <v>0</v>
      </c>
      <c r="HZ9" s="122">
        <f>SUMIFS('Revenue Tracking'!$F$13:$F$19, 'Revenue Tracking'!$P$13:$P$19, "&gt;="&amp;HZ1,'Revenue Tracking'!$P$13:$P$19, "&lt;"&amp;IA1)</f>
        <v>0</v>
      </c>
      <c r="IA9" s="122">
        <f>SUMIFS('Revenue Tracking'!$F$13:$F$19, 'Revenue Tracking'!$P$13:$P$19, "&gt;="&amp;IA1,'Revenue Tracking'!$P$13:$P$19, "&lt;"&amp;IB1)</f>
        <v>0</v>
      </c>
      <c r="IB9" s="122">
        <f>SUMIFS('Revenue Tracking'!$F$13:$F$19, 'Revenue Tracking'!$P$13:$P$19, "&gt;="&amp;IB1,'Revenue Tracking'!$P$13:$P$19, "&lt;"&amp;IC1)</f>
        <v>0</v>
      </c>
      <c r="IC9" s="122">
        <f>SUMIFS('Revenue Tracking'!$F$13:$F$19, 'Revenue Tracking'!$P$13:$P$19, "&gt;="&amp;IC1,'Revenue Tracking'!$P$13:$P$19, "&lt;"&amp;ID1)</f>
        <v>0</v>
      </c>
      <c r="ID9" s="122">
        <f>SUMIFS('Revenue Tracking'!$F$13:$F$19, 'Revenue Tracking'!$P$13:$P$19, "&gt;="&amp;ID1,'Revenue Tracking'!$P$13:$P$19, "&lt;"&amp;IE1)</f>
        <v>0</v>
      </c>
      <c r="IE9" s="122">
        <f>SUMIFS('Revenue Tracking'!$F$13:$F$19, 'Revenue Tracking'!$P$13:$P$19, "&gt;="&amp;IE1,'Revenue Tracking'!$P$13:$P$19, "&lt;"&amp;IF1)</f>
        <v>0</v>
      </c>
      <c r="IF9" s="122">
        <f>SUMIFS('Revenue Tracking'!$F$13:$F$19, 'Revenue Tracking'!$P$13:$P$19, "&gt;="&amp;IF1,'Revenue Tracking'!$P$13:$P$19, "&lt;"&amp;IG1)</f>
        <v>0</v>
      </c>
      <c r="IG9" s="122">
        <f>SUMIFS('Revenue Tracking'!$F$13:$F$19, 'Revenue Tracking'!$P$13:$P$19, "&gt;="&amp;IG1,'Revenue Tracking'!$P$13:$P$19, "&lt;"&amp;IH1)</f>
        <v>0</v>
      </c>
      <c r="IH9" s="122">
        <f>SUMIFS('Revenue Tracking'!$F$13:$F$19, 'Revenue Tracking'!$P$13:$P$19, "&gt;="&amp;IH1,'Revenue Tracking'!$P$13:$P$19, "&lt;"&amp;II1)</f>
        <v>0</v>
      </c>
      <c r="II9" s="122">
        <f>SUMIFS('Revenue Tracking'!$F$13:$F$19, 'Revenue Tracking'!$P$13:$P$19, "&gt;="&amp;II1,'Revenue Tracking'!$P$13:$P$19, "&lt;"&amp;IJ1)</f>
        <v>0</v>
      </c>
      <c r="IJ9" s="122">
        <f>SUMIFS('Revenue Tracking'!$F$13:$F$19, 'Revenue Tracking'!$P$13:$P$19, "&gt;="&amp;IJ1,'Revenue Tracking'!$P$13:$P$19, "&lt;"&amp;IK1)</f>
        <v>0</v>
      </c>
      <c r="IK9" s="122">
        <f>SUMIFS('Revenue Tracking'!$F$13:$F$19, 'Revenue Tracking'!$P$13:$P$19, "&gt;="&amp;IK1,'Revenue Tracking'!$P$13:$P$19, "&lt;"&amp;IL1)</f>
        <v>0</v>
      </c>
      <c r="IL9" s="122">
        <f>SUMIFS('Revenue Tracking'!$F$13:$F$19, 'Revenue Tracking'!$P$13:$P$19, "&gt;="&amp;IL1,'Revenue Tracking'!$P$13:$P$19, "&lt;"&amp;IM1)</f>
        <v>0</v>
      </c>
      <c r="IM9" s="122">
        <f>SUMIFS('Revenue Tracking'!$F$13:$F$19, 'Revenue Tracking'!$P$13:$P$19, "&gt;="&amp;IM1,'Revenue Tracking'!$P$13:$P$19, "&lt;"&amp;IN1)</f>
        <v>0</v>
      </c>
      <c r="IN9" s="122">
        <f>SUMIFS('Revenue Tracking'!$F$13:$F$19, 'Revenue Tracking'!$P$13:$P$19, "&gt;="&amp;IN1,'Revenue Tracking'!$P$13:$P$19, "&lt;"&amp;IO1)</f>
        <v>0</v>
      </c>
      <c r="IO9" s="122">
        <f>SUMIFS('Revenue Tracking'!$F$13:$F$19, 'Revenue Tracking'!$P$13:$P$19, "&gt;="&amp;IO1,'Revenue Tracking'!$P$13:$P$19, "&lt;"&amp;IP1)</f>
        <v>0</v>
      </c>
      <c r="IP9" s="122">
        <f>SUMIFS('Revenue Tracking'!$F$13:$F$19, 'Revenue Tracking'!$P$13:$P$19, "&gt;="&amp;IP1,'Revenue Tracking'!$P$13:$P$19, "&lt;"&amp;IQ1)</f>
        <v>0</v>
      </c>
      <c r="IQ9" s="122">
        <f>SUMIFS('Revenue Tracking'!$F$13:$F$19, 'Revenue Tracking'!$P$13:$P$19, "&gt;="&amp;IQ1,'Revenue Tracking'!$P$13:$P$19, "&lt;"&amp;IR1)</f>
        <v>0</v>
      </c>
      <c r="IR9" s="122">
        <f>SUMIFS('Revenue Tracking'!$F$13:$F$19, 'Revenue Tracking'!$P$13:$P$19, "&gt;="&amp;IR1,'Revenue Tracking'!$P$13:$P$19, "&lt;"&amp;IS1)</f>
        <v>0</v>
      </c>
      <c r="IS9" s="122">
        <f>SUMIFS('Revenue Tracking'!$F$13:$F$19, 'Revenue Tracking'!$P$13:$P$19, "&gt;="&amp;IS1,'Revenue Tracking'!$P$13:$P$19, "&lt;"&amp;IT1)</f>
        <v>0</v>
      </c>
      <c r="IT9" s="122">
        <f>SUMIFS('Revenue Tracking'!$F$13:$F$19, 'Revenue Tracking'!$P$13:$P$19, "&gt;="&amp;IT1,'Revenue Tracking'!$P$13:$P$19, "&lt;"&amp;IU1)</f>
        <v>0</v>
      </c>
      <c r="IU9" s="122">
        <f>SUMIFS('Revenue Tracking'!$F$13:$F$19, 'Revenue Tracking'!$P$13:$P$19, "&gt;="&amp;IU1,'Revenue Tracking'!$P$13:$P$19, "&lt;"&amp;IV1)</f>
        <v>0</v>
      </c>
      <c r="IV9" s="122">
        <f>SUMIFS('Revenue Tracking'!$F$13:$F$19, 'Revenue Tracking'!$P$13:$P$19, "&gt;="&amp;IV1,'Revenue Tracking'!$P$13:$P$19, "&lt;"&amp;IW1)</f>
        <v>0</v>
      </c>
      <c r="IW9" s="122">
        <f>SUMIFS('Revenue Tracking'!$F$13:$F$19, 'Revenue Tracking'!$P$13:$P$19, "&gt;="&amp;IW1,'Revenue Tracking'!$P$13:$P$19, "&lt;"&amp;IX1)</f>
        <v>0</v>
      </c>
      <c r="IX9" s="122">
        <f>SUMIFS('Revenue Tracking'!$F$13:$F$19, 'Revenue Tracking'!$P$13:$P$19, "&gt;="&amp;IX1,'Revenue Tracking'!$P$13:$P$19, "&lt;"&amp;IY1)</f>
        <v>0</v>
      </c>
      <c r="IY9" s="122">
        <f>SUMIFS('Revenue Tracking'!$F$13:$F$19, 'Revenue Tracking'!$P$13:$P$19, "&gt;="&amp;IY1,'Revenue Tracking'!$P$13:$P$19, "&lt;"&amp;IZ1)</f>
        <v>0</v>
      </c>
      <c r="IZ9" s="122">
        <f>SUMIFS('Revenue Tracking'!$F$13:$F$19, 'Revenue Tracking'!$P$13:$P$19, "&gt;="&amp;IZ1,'Revenue Tracking'!$P$13:$P$19, "&lt;"&amp;JA1)</f>
        <v>0</v>
      </c>
      <c r="JA9" s="122">
        <f>SUMIFS('Revenue Tracking'!$F$13:$F$19, 'Revenue Tracking'!$P$13:$P$19, "&gt;="&amp;JA1,'Revenue Tracking'!$P$13:$P$19, "&lt;"&amp;JB1)</f>
        <v>0</v>
      </c>
      <c r="JB9" s="122">
        <f>SUMIFS('Revenue Tracking'!$F$13:$F$19, 'Revenue Tracking'!$P$13:$P$19, "&gt;="&amp;JB1,'Revenue Tracking'!$P$13:$P$19, "&lt;"&amp;JC1)</f>
        <v>0</v>
      </c>
      <c r="JC9" s="122">
        <f>SUMIFS('Revenue Tracking'!$F$13:$F$19, 'Revenue Tracking'!$P$13:$P$19, "&gt;="&amp;JC1,'Revenue Tracking'!$P$13:$P$19, "&lt;"&amp;JD1)</f>
        <v>0</v>
      </c>
      <c r="JD9" s="122">
        <f>SUMIFS('Revenue Tracking'!$F$13:$F$19, 'Revenue Tracking'!$P$13:$P$19, "&gt;="&amp;JD1,'Revenue Tracking'!$P$13:$P$19, "&lt;"&amp;JE1)</f>
        <v>0</v>
      </c>
      <c r="JE9" s="122">
        <f>SUMIFS('Revenue Tracking'!$F$13:$F$19, 'Revenue Tracking'!$P$13:$P$19, "&gt;="&amp;JE1,'Revenue Tracking'!$P$13:$P$19, "&lt;"&amp;JF1)</f>
        <v>0</v>
      </c>
      <c r="JF9" s="122">
        <f>SUMIFS('Revenue Tracking'!$F$13:$F$19, 'Revenue Tracking'!$P$13:$P$19, "&gt;="&amp;JF1,'Revenue Tracking'!$P$13:$P$19, "&lt;"&amp;JG1)</f>
        <v>0</v>
      </c>
      <c r="JG9" s="122">
        <f>SUMIFS('Revenue Tracking'!$F$13:$F$19, 'Revenue Tracking'!$P$13:$P$19, "&gt;="&amp;JG1,'Revenue Tracking'!$P$13:$P$19, "&lt;"&amp;JH1)</f>
        <v>0</v>
      </c>
      <c r="JH9" s="122">
        <f>SUMIFS('Revenue Tracking'!$F$13:$F$19, 'Revenue Tracking'!$P$13:$P$19, "&gt;="&amp;JH1,'Revenue Tracking'!$P$13:$P$19, "&lt;"&amp;JI1)</f>
        <v>0</v>
      </c>
      <c r="JI9" s="122">
        <f>SUMIFS('Revenue Tracking'!$F$13:$F$19, 'Revenue Tracking'!$P$13:$P$19, "&gt;="&amp;JI1,'Revenue Tracking'!$P$13:$P$19, "&lt;"&amp;JJ1)</f>
        <v>0</v>
      </c>
      <c r="JJ9" s="122">
        <f>SUMIFS('Revenue Tracking'!$F$13:$F$19, 'Revenue Tracking'!$P$13:$P$19, "&gt;="&amp;JJ1,'Revenue Tracking'!$P$13:$P$19, "&lt;"&amp;JK1)</f>
        <v>0</v>
      </c>
      <c r="JK9" s="122">
        <f>SUMIFS('Revenue Tracking'!$F$13:$F$19, 'Revenue Tracking'!$P$13:$P$19, "&gt;="&amp;JK1,'Revenue Tracking'!$P$13:$P$19, "&lt;"&amp;JL1)</f>
        <v>0</v>
      </c>
      <c r="JL9" s="122">
        <f>SUMIFS('Revenue Tracking'!$F$13:$F$19, 'Revenue Tracking'!$P$13:$P$19, "&gt;="&amp;JL1,'Revenue Tracking'!$P$13:$P$19, "&lt;"&amp;JM1)</f>
        <v>0</v>
      </c>
      <c r="JM9" s="122">
        <f>SUMIFS('Revenue Tracking'!$F$13:$F$19, 'Revenue Tracking'!$P$13:$P$19, "&gt;="&amp;JM1,'Revenue Tracking'!$P$13:$P$19, "&lt;"&amp;JN1)</f>
        <v>0</v>
      </c>
      <c r="JN9" s="122">
        <f>SUMIFS('Revenue Tracking'!$F$13:$F$19, 'Revenue Tracking'!$P$13:$P$19, "&gt;="&amp;JN1,'Revenue Tracking'!$P$13:$P$19, "&lt;"&amp;JO1)</f>
        <v>0</v>
      </c>
      <c r="JO9" s="122">
        <f>SUMIFS('Revenue Tracking'!$F$13:$F$19, 'Revenue Tracking'!$P$13:$P$19, "&gt;="&amp;JO1,'Revenue Tracking'!$P$13:$P$19, "&lt;"&amp;JP1)</f>
        <v>0</v>
      </c>
      <c r="JP9" s="122">
        <f>SUMIFS('Revenue Tracking'!$F$13:$F$19, 'Revenue Tracking'!$P$13:$P$19, "&gt;="&amp;JP1,'Revenue Tracking'!$P$13:$P$19, "&lt;"&amp;JQ1)</f>
        <v>0</v>
      </c>
      <c r="JQ9" s="122">
        <f>SUMIFS('Revenue Tracking'!$F$13:$F$19, 'Revenue Tracking'!$P$13:$P$19, "&gt;="&amp;JQ1,'Revenue Tracking'!$P$13:$P$19, "&lt;"&amp;JR1)</f>
        <v>0</v>
      </c>
      <c r="JR9" s="122">
        <f>SUMIFS('Revenue Tracking'!$F$13:$F$19, 'Revenue Tracking'!$P$13:$P$19, "&gt;="&amp;JR1,'Revenue Tracking'!$P$13:$P$19, "&lt;"&amp;JS1)</f>
        <v>0</v>
      </c>
      <c r="JS9" s="122">
        <f>SUMIFS('Revenue Tracking'!$F$13:$F$19, 'Revenue Tracking'!$P$13:$P$19, "&gt;="&amp;JS1,'Revenue Tracking'!$P$13:$P$19, "&lt;"&amp;JT1)</f>
        <v>0</v>
      </c>
      <c r="JT9" s="122">
        <f>SUMIFS('Revenue Tracking'!$F$13:$F$19, 'Revenue Tracking'!$P$13:$P$19, "&gt;="&amp;JT1,'Revenue Tracking'!$P$13:$P$19, "&lt;"&amp;JU1)</f>
        <v>0</v>
      </c>
      <c r="JU9" s="122">
        <f>SUMIFS('Revenue Tracking'!$F$13:$F$19, 'Revenue Tracking'!$P$13:$P$19, "&gt;="&amp;JU1,'Revenue Tracking'!$P$13:$P$19, "&lt;"&amp;JV1)</f>
        <v>0</v>
      </c>
      <c r="JV9" s="122">
        <f>SUMIFS('Revenue Tracking'!$F$13:$F$19, 'Revenue Tracking'!$P$13:$P$19, "&gt;="&amp;JV1,'Revenue Tracking'!$P$13:$P$19, "&lt;"&amp;JW1)</f>
        <v>0</v>
      </c>
      <c r="JW9" s="122">
        <f>SUMIFS('Revenue Tracking'!$F$13:$F$19, 'Revenue Tracking'!$P$13:$P$19, "&gt;="&amp;JW1,'Revenue Tracking'!$P$13:$P$19, "&lt;"&amp;JX1)</f>
        <v>0</v>
      </c>
      <c r="JX9" s="122">
        <f>SUMIFS('Revenue Tracking'!$F$13:$F$19, 'Revenue Tracking'!$P$13:$P$19, "&gt;="&amp;JX1,'Revenue Tracking'!$P$13:$P$19, "&lt;"&amp;JY1)</f>
        <v>0</v>
      </c>
      <c r="JY9" s="122">
        <f>SUMIFS('Revenue Tracking'!$F$13:$F$19, 'Revenue Tracking'!$P$13:$P$19, "&gt;="&amp;JY1,'Revenue Tracking'!$P$13:$P$19, "&lt;"&amp;JZ1)</f>
        <v>0</v>
      </c>
      <c r="JZ9" s="122">
        <f>SUMIFS('Revenue Tracking'!$F$13:$F$19, 'Revenue Tracking'!$P$13:$P$19, "&gt;="&amp;JZ1,'Revenue Tracking'!$P$13:$P$19, "&lt;"&amp;KA1)</f>
        <v>0</v>
      </c>
      <c r="KA9" s="122">
        <f>SUMIFS('Revenue Tracking'!$F$13:$F$19, 'Revenue Tracking'!$P$13:$P$19, "&gt;="&amp;KA1,'Revenue Tracking'!$P$13:$P$19, "&lt;"&amp;KB1)</f>
        <v>0</v>
      </c>
      <c r="KB9" s="122">
        <f>SUMIFS('Revenue Tracking'!$F$13:$F$19, 'Revenue Tracking'!$P$13:$P$19, "&gt;="&amp;KB1,'Revenue Tracking'!$P$13:$P$19, "&lt;"&amp;KC1)</f>
        <v>0</v>
      </c>
      <c r="KC9" s="122">
        <f>SUMIFS('Revenue Tracking'!$F$13:$F$19, 'Revenue Tracking'!$P$13:$P$19, "&gt;="&amp;KC1,'Revenue Tracking'!$P$13:$P$19, "&lt;"&amp;KD1)</f>
        <v>0</v>
      </c>
      <c r="KD9" s="122">
        <f>SUMIFS('Revenue Tracking'!$F$13:$F$19, 'Revenue Tracking'!$P$13:$P$19, "&gt;="&amp;KD1,'Revenue Tracking'!$P$13:$P$19, "&lt;"&amp;KE1)</f>
        <v>0</v>
      </c>
      <c r="KE9" s="122">
        <f>SUMIFS('Revenue Tracking'!$F$13:$F$19, 'Revenue Tracking'!$P$13:$P$19, "&gt;="&amp;KE1,'Revenue Tracking'!$P$13:$P$19, "&lt;"&amp;#REF!)</f>
        <v>0</v>
      </c>
    </row>
    <row r="10" spans="1:769">
      <c r="A10" s="778"/>
      <c r="B10" s="120" t="s">
        <v>403</v>
      </c>
      <c r="C10" s="121"/>
      <c r="D10" s="121"/>
      <c r="E10" s="108"/>
      <c r="F10" s="122">
        <f>F9</f>
        <v>0</v>
      </c>
      <c r="G10" s="122">
        <f>F10+G9</f>
        <v>0</v>
      </c>
      <c r="H10" s="122">
        <f>G10+H9</f>
        <v>0</v>
      </c>
      <c r="I10" s="122">
        <f t="shared" ref="I10:BT10" si="21">H10+I9</f>
        <v>0</v>
      </c>
      <c r="J10" s="122">
        <f t="shared" si="21"/>
        <v>0</v>
      </c>
      <c r="K10" s="122">
        <f t="shared" si="21"/>
        <v>0</v>
      </c>
      <c r="L10" s="122">
        <f t="shared" si="21"/>
        <v>0</v>
      </c>
      <c r="M10" s="122">
        <f t="shared" si="21"/>
        <v>0</v>
      </c>
      <c r="N10" s="122">
        <f t="shared" si="21"/>
        <v>0</v>
      </c>
      <c r="O10" s="122">
        <f t="shared" si="21"/>
        <v>0</v>
      </c>
      <c r="P10" s="122">
        <f t="shared" si="21"/>
        <v>0</v>
      </c>
      <c r="Q10" s="122">
        <f t="shared" si="21"/>
        <v>0</v>
      </c>
      <c r="R10" s="122">
        <f t="shared" si="21"/>
        <v>1022917.6099928118</v>
      </c>
      <c r="S10" s="122">
        <f t="shared" si="21"/>
        <v>1022917.6099928118</v>
      </c>
      <c r="T10" s="122">
        <f t="shared" si="21"/>
        <v>1738959.93698778</v>
      </c>
      <c r="U10" s="122">
        <f t="shared" si="21"/>
        <v>1738959.93698778</v>
      </c>
      <c r="V10" s="122">
        <f t="shared" si="21"/>
        <v>1738959.93698778</v>
      </c>
      <c r="W10" s="122">
        <f t="shared" si="21"/>
        <v>1738959.93698778</v>
      </c>
      <c r="X10" s="122">
        <f t="shared" si="21"/>
        <v>1738959.93698778</v>
      </c>
      <c r="Y10" s="122">
        <f t="shared" si="21"/>
        <v>1943543.4589863424</v>
      </c>
      <c r="Z10" s="122">
        <f t="shared" si="21"/>
        <v>1943543.4589863424</v>
      </c>
      <c r="AA10" s="122">
        <f t="shared" si="21"/>
        <v>2045835.2199856236</v>
      </c>
      <c r="AB10" s="122">
        <f t="shared" si="21"/>
        <v>2045835.2199856236</v>
      </c>
      <c r="AC10" s="122">
        <f t="shared" si="21"/>
        <v>2045835.2199856236</v>
      </c>
      <c r="AD10" s="122">
        <f>AC10+AD9</f>
        <v>2045835.2199856236</v>
      </c>
      <c r="AE10" s="122">
        <f t="shared" si="21"/>
        <v>2045835.2199856236</v>
      </c>
      <c r="AF10" s="122">
        <f t="shared" si="21"/>
        <v>2045835.2199856236</v>
      </c>
      <c r="AG10" s="122">
        <f t="shared" si="21"/>
        <v>2045835.2199856236</v>
      </c>
      <c r="AH10" s="122">
        <f t="shared" si="21"/>
        <v>2045835.2199856236</v>
      </c>
      <c r="AI10" s="122">
        <f t="shared" si="21"/>
        <v>2045835.2199856236</v>
      </c>
      <c r="AJ10" s="122">
        <f t="shared" si="21"/>
        <v>2045835.2199856236</v>
      </c>
      <c r="AK10" s="122">
        <f t="shared" si="21"/>
        <v>2045835.2199856236</v>
      </c>
      <c r="AL10" s="122">
        <f t="shared" si="21"/>
        <v>2045835.2199856236</v>
      </c>
      <c r="AM10" s="122">
        <f t="shared" si="21"/>
        <v>2045835.2199856236</v>
      </c>
      <c r="AN10" s="122">
        <f t="shared" si="21"/>
        <v>2045835.2199856236</v>
      </c>
      <c r="AO10" s="122">
        <f t="shared" si="21"/>
        <v>2045835.2199856236</v>
      </c>
      <c r="AP10" s="122">
        <f t="shared" si="21"/>
        <v>2045835.2199856236</v>
      </c>
      <c r="AQ10" s="122">
        <f t="shared" si="21"/>
        <v>2045835.2199856236</v>
      </c>
      <c r="AR10" s="122">
        <f t="shared" si="21"/>
        <v>2045835.2199856236</v>
      </c>
      <c r="AS10" s="122">
        <f t="shared" si="21"/>
        <v>2045835.2199856236</v>
      </c>
      <c r="AT10" s="122">
        <f t="shared" si="21"/>
        <v>2045835.2199856236</v>
      </c>
      <c r="AU10" s="122">
        <f t="shared" si="21"/>
        <v>2045835.2199856236</v>
      </c>
      <c r="AV10" s="122">
        <f t="shared" si="21"/>
        <v>2045835.2199856236</v>
      </c>
      <c r="AW10" s="122">
        <f t="shared" si="21"/>
        <v>2045835.2199856236</v>
      </c>
      <c r="AX10" s="122">
        <f t="shared" si="21"/>
        <v>2045835.2199856236</v>
      </c>
      <c r="AY10" s="122">
        <f t="shared" si="21"/>
        <v>2045835.2199856236</v>
      </c>
      <c r="AZ10" s="122">
        <f t="shared" si="21"/>
        <v>2045835.2199856236</v>
      </c>
      <c r="BA10" s="122">
        <f t="shared" si="21"/>
        <v>2045835.2199856236</v>
      </c>
      <c r="BB10" s="122">
        <f t="shared" si="21"/>
        <v>2045835.2199856236</v>
      </c>
      <c r="BC10" s="122">
        <f t="shared" si="21"/>
        <v>2045835.2199856236</v>
      </c>
      <c r="BD10" s="122">
        <f t="shared" si="21"/>
        <v>2045835.2199856236</v>
      </c>
      <c r="BE10" s="122">
        <f t="shared" si="21"/>
        <v>2045835.2199856236</v>
      </c>
      <c r="BF10" s="122">
        <f t="shared" si="21"/>
        <v>2045835.2199856236</v>
      </c>
      <c r="BG10" s="122">
        <f t="shared" si="21"/>
        <v>2045835.2199856236</v>
      </c>
      <c r="BH10" s="122">
        <f t="shared" si="21"/>
        <v>2045835.2199856236</v>
      </c>
      <c r="BI10" s="122">
        <f t="shared" si="21"/>
        <v>2045835.2199856236</v>
      </c>
      <c r="BJ10" s="122">
        <f t="shared" si="21"/>
        <v>2045835.2199856236</v>
      </c>
      <c r="BK10" s="122">
        <f t="shared" si="21"/>
        <v>2045835.2199856236</v>
      </c>
      <c r="BL10" s="122">
        <f t="shared" si="21"/>
        <v>2045835.2199856236</v>
      </c>
      <c r="BM10" s="122">
        <f t="shared" si="21"/>
        <v>2045835.2199856236</v>
      </c>
      <c r="BN10" s="122">
        <f t="shared" si="21"/>
        <v>2045835.2199856236</v>
      </c>
      <c r="BO10" s="122">
        <f t="shared" si="21"/>
        <v>2045835.2199856236</v>
      </c>
      <c r="BP10" s="122">
        <f t="shared" si="21"/>
        <v>2045835.2199856236</v>
      </c>
      <c r="BQ10" s="122">
        <f t="shared" si="21"/>
        <v>2045835.2199856236</v>
      </c>
      <c r="BR10" s="122">
        <f t="shared" si="21"/>
        <v>2045835.2199856236</v>
      </c>
      <c r="BS10" s="122">
        <f t="shared" si="21"/>
        <v>2045835.2199856236</v>
      </c>
      <c r="BT10" s="122">
        <f t="shared" si="21"/>
        <v>2045835.2199856236</v>
      </c>
      <c r="BU10" s="122">
        <f t="shared" ref="BU10:EF10" si="22">BT10+BU9</f>
        <v>2045835.2199856236</v>
      </c>
      <c r="BV10" s="122">
        <f t="shared" si="22"/>
        <v>2045835.2199856236</v>
      </c>
      <c r="BW10" s="122">
        <f t="shared" si="22"/>
        <v>2045835.2199856236</v>
      </c>
      <c r="BX10" s="122">
        <f t="shared" si="22"/>
        <v>2045835.2199856236</v>
      </c>
      <c r="BY10" s="122">
        <f t="shared" si="22"/>
        <v>2045835.2199856236</v>
      </c>
      <c r="BZ10" s="122">
        <f t="shared" si="22"/>
        <v>2045835.2199856236</v>
      </c>
      <c r="CA10" s="122">
        <f t="shared" si="22"/>
        <v>2045835.2199856236</v>
      </c>
      <c r="CB10" s="122">
        <f t="shared" si="22"/>
        <v>2045835.2199856236</v>
      </c>
      <c r="CC10" s="122">
        <f t="shared" si="22"/>
        <v>2045835.2199856236</v>
      </c>
      <c r="CD10" s="122">
        <f t="shared" si="22"/>
        <v>2045835.2199856236</v>
      </c>
      <c r="CE10" s="122">
        <f t="shared" si="22"/>
        <v>2045835.2199856236</v>
      </c>
      <c r="CF10" s="122">
        <f t="shared" si="22"/>
        <v>2045835.2199856236</v>
      </c>
      <c r="CG10" s="122">
        <f t="shared" si="22"/>
        <v>2045835.2199856236</v>
      </c>
      <c r="CH10" s="122">
        <f t="shared" si="22"/>
        <v>2045835.2199856236</v>
      </c>
      <c r="CI10" s="122">
        <f t="shared" si="22"/>
        <v>2045835.2199856236</v>
      </c>
      <c r="CJ10" s="122">
        <f t="shared" si="22"/>
        <v>2045835.2199856236</v>
      </c>
      <c r="CK10" s="122">
        <f t="shared" si="22"/>
        <v>2045835.2199856236</v>
      </c>
      <c r="CL10" s="122">
        <f t="shared" si="22"/>
        <v>2045835.2199856236</v>
      </c>
      <c r="CM10" s="122">
        <f t="shared" si="22"/>
        <v>2045835.2199856236</v>
      </c>
      <c r="CN10" s="122">
        <f t="shared" si="22"/>
        <v>2045835.2199856236</v>
      </c>
      <c r="CO10" s="122">
        <f t="shared" si="22"/>
        <v>2045835.2199856236</v>
      </c>
      <c r="CP10" s="122">
        <f t="shared" si="22"/>
        <v>2045835.2199856236</v>
      </c>
      <c r="CQ10" s="122">
        <f t="shared" si="22"/>
        <v>2045835.2199856236</v>
      </c>
      <c r="CR10" s="122">
        <f t="shared" si="22"/>
        <v>2045835.2199856236</v>
      </c>
      <c r="CS10" s="122">
        <f t="shared" si="22"/>
        <v>2045835.2199856236</v>
      </c>
      <c r="CT10" s="122">
        <f t="shared" si="22"/>
        <v>2045835.2199856236</v>
      </c>
      <c r="CU10" s="122">
        <f t="shared" si="22"/>
        <v>2045835.2199856236</v>
      </c>
      <c r="CV10" s="122">
        <f t="shared" si="22"/>
        <v>2045835.2199856236</v>
      </c>
      <c r="CW10" s="122">
        <f t="shared" si="22"/>
        <v>2045835.2199856236</v>
      </c>
      <c r="CX10" s="122">
        <f t="shared" si="22"/>
        <v>2045835.2199856236</v>
      </c>
      <c r="CY10" s="122">
        <f t="shared" si="22"/>
        <v>2045835.2199856236</v>
      </c>
      <c r="CZ10" s="122">
        <f t="shared" si="22"/>
        <v>2045835.2199856236</v>
      </c>
      <c r="DA10" s="122">
        <f t="shared" si="22"/>
        <v>2045835.2199856236</v>
      </c>
      <c r="DB10" s="122">
        <f t="shared" si="22"/>
        <v>2045835.2199856236</v>
      </c>
      <c r="DC10" s="122">
        <f t="shared" si="22"/>
        <v>2045835.2199856236</v>
      </c>
      <c r="DD10" s="122">
        <f t="shared" si="22"/>
        <v>2045835.2199856236</v>
      </c>
      <c r="DE10" s="122">
        <f t="shared" si="22"/>
        <v>2045835.2199856236</v>
      </c>
      <c r="DF10" s="122">
        <f t="shared" si="22"/>
        <v>2045835.2199856236</v>
      </c>
      <c r="DG10" s="122">
        <f t="shared" si="22"/>
        <v>2045835.2199856236</v>
      </c>
      <c r="DH10" s="122">
        <f t="shared" si="22"/>
        <v>2045835.2199856236</v>
      </c>
      <c r="DI10" s="122">
        <f t="shared" si="22"/>
        <v>2045835.2199856236</v>
      </c>
      <c r="DJ10" s="122">
        <f t="shared" si="22"/>
        <v>2045835.2199856236</v>
      </c>
      <c r="DK10" s="122">
        <f t="shared" si="22"/>
        <v>2045835.2199856236</v>
      </c>
      <c r="DL10" s="122">
        <f t="shared" si="22"/>
        <v>2045835.2199856236</v>
      </c>
      <c r="DM10" s="122">
        <f t="shared" si="22"/>
        <v>2045835.2199856236</v>
      </c>
      <c r="DN10" s="122">
        <f t="shared" si="22"/>
        <v>2045835.2199856236</v>
      </c>
      <c r="DO10" s="122">
        <f t="shared" si="22"/>
        <v>2045835.2199856236</v>
      </c>
      <c r="DP10" s="122">
        <f t="shared" si="22"/>
        <v>2045835.2199856236</v>
      </c>
      <c r="DQ10" s="122">
        <f t="shared" si="22"/>
        <v>2045835.2199856236</v>
      </c>
      <c r="DR10" s="122">
        <f t="shared" si="22"/>
        <v>2045835.2199856236</v>
      </c>
      <c r="DS10" s="122">
        <f t="shared" si="22"/>
        <v>2045835.2199856236</v>
      </c>
      <c r="DT10" s="122">
        <f t="shared" si="22"/>
        <v>2045835.2199856236</v>
      </c>
      <c r="DU10" s="122">
        <f t="shared" si="22"/>
        <v>2045835.2199856236</v>
      </c>
      <c r="DV10" s="122">
        <f t="shared" si="22"/>
        <v>2045835.2199856236</v>
      </c>
      <c r="DW10" s="122">
        <f t="shared" si="22"/>
        <v>2045835.2199856236</v>
      </c>
      <c r="DX10" s="122">
        <f t="shared" si="22"/>
        <v>2045835.2199856236</v>
      </c>
      <c r="DY10" s="122">
        <f t="shared" si="22"/>
        <v>2045835.2199856236</v>
      </c>
      <c r="DZ10" s="122">
        <f t="shared" si="22"/>
        <v>2045835.2199856236</v>
      </c>
      <c r="EA10" s="122">
        <f t="shared" si="22"/>
        <v>2045835.2199856236</v>
      </c>
      <c r="EB10" s="122">
        <f t="shared" si="22"/>
        <v>2045835.2199856236</v>
      </c>
      <c r="EC10" s="122">
        <f t="shared" si="22"/>
        <v>2045835.2199856236</v>
      </c>
      <c r="ED10" s="122">
        <f t="shared" si="22"/>
        <v>2045835.2199856236</v>
      </c>
      <c r="EE10" s="122">
        <f t="shared" si="22"/>
        <v>2045835.2199856236</v>
      </c>
      <c r="EF10" s="122">
        <f t="shared" si="22"/>
        <v>2045835.2199856236</v>
      </c>
      <c r="EG10" s="122">
        <f t="shared" ref="EG10:GR10" si="23">EF10+EG9</f>
        <v>2045835.2199856236</v>
      </c>
      <c r="EH10" s="122">
        <f t="shared" si="23"/>
        <v>2045835.2199856236</v>
      </c>
      <c r="EI10" s="122">
        <f t="shared" si="23"/>
        <v>2045835.2199856236</v>
      </c>
      <c r="EJ10" s="122">
        <f t="shared" si="23"/>
        <v>2045835.2199856236</v>
      </c>
      <c r="EK10" s="122">
        <f t="shared" si="23"/>
        <v>2045835.2199856236</v>
      </c>
      <c r="EL10" s="122">
        <f t="shared" si="23"/>
        <v>2045835.2199856236</v>
      </c>
      <c r="EM10" s="122">
        <f t="shared" si="23"/>
        <v>2045835.2199856236</v>
      </c>
      <c r="EN10" s="122">
        <f t="shared" si="23"/>
        <v>2045835.2199856236</v>
      </c>
      <c r="EO10" s="122">
        <f t="shared" si="23"/>
        <v>2045835.2199856236</v>
      </c>
      <c r="EP10" s="122">
        <f t="shared" si="23"/>
        <v>2045835.2199856236</v>
      </c>
      <c r="EQ10" s="122">
        <f t="shared" si="23"/>
        <v>2045835.2199856236</v>
      </c>
      <c r="ER10" s="122">
        <f t="shared" si="23"/>
        <v>2045835.2199856236</v>
      </c>
      <c r="ES10" s="122">
        <f t="shared" si="23"/>
        <v>2045835.2199856236</v>
      </c>
      <c r="ET10" s="122">
        <f t="shared" si="23"/>
        <v>2045835.2199856236</v>
      </c>
      <c r="EU10" s="122">
        <f t="shared" si="23"/>
        <v>2045835.2199856236</v>
      </c>
      <c r="EV10" s="122">
        <f t="shared" si="23"/>
        <v>2045835.2199856236</v>
      </c>
      <c r="EW10" s="122">
        <f t="shared" si="23"/>
        <v>2045835.2199856236</v>
      </c>
      <c r="EX10" s="122">
        <f t="shared" si="23"/>
        <v>2045835.2199856236</v>
      </c>
      <c r="EY10" s="122">
        <f t="shared" si="23"/>
        <v>2045835.2199856236</v>
      </c>
      <c r="EZ10" s="122">
        <f t="shared" si="23"/>
        <v>2045835.2199856236</v>
      </c>
      <c r="FA10" s="122">
        <f t="shared" si="23"/>
        <v>2045835.2199856236</v>
      </c>
      <c r="FB10" s="122">
        <f t="shared" si="23"/>
        <v>2045835.2199856236</v>
      </c>
      <c r="FC10" s="122">
        <f t="shared" si="23"/>
        <v>2045835.2199856236</v>
      </c>
      <c r="FD10" s="122">
        <f t="shared" si="23"/>
        <v>2045835.2199856236</v>
      </c>
      <c r="FE10" s="122">
        <f t="shared" si="23"/>
        <v>2045835.2199856236</v>
      </c>
      <c r="FF10" s="122">
        <f t="shared" si="23"/>
        <v>2045835.2199856236</v>
      </c>
      <c r="FG10" s="122">
        <f t="shared" si="23"/>
        <v>2045835.2199856236</v>
      </c>
      <c r="FH10" s="122">
        <f t="shared" si="23"/>
        <v>2045835.2199856236</v>
      </c>
      <c r="FI10" s="122">
        <f t="shared" si="23"/>
        <v>2045835.2199856236</v>
      </c>
      <c r="FJ10" s="122">
        <f t="shared" si="23"/>
        <v>2045835.2199856236</v>
      </c>
      <c r="FK10" s="122">
        <f t="shared" si="23"/>
        <v>2045835.2199856236</v>
      </c>
      <c r="FL10" s="122">
        <f t="shared" si="23"/>
        <v>2045835.2199856236</v>
      </c>
      <c r="FM10" s="122">
        <f t="shared" si="23"/>
        <v>2045835.2199856236</v>
      </c>
      <c r="FN10" s="122">
        <f t="shared" si="23"/>
        <v>2045835.2199856236</v>
      </c>
      <c r="FO10" s="122">
        <f t="shared" si="23"/>
        <v>2045835.2199856236</v>
      </c>
      <c r="FP10" s="122">
        <f t="shared" si="23"/>
        <v>2045835.2199856236</v>
      </c>
      <c r="FQ10" s="122">
        <f t="shared" si="23"/>
        <v>2045835.2199856236</v>
      </c>
      <c r="FR10" s="122">
        <f t="shared" si="23"/>
        <v>2045835.2199856236</v>
      </c>
      <c r="FS10" s="122">
        <f t="shared" si="23"/>
        <v>2045835.2199856236</v>
      </c>
      <c r="FT10" s="122">
        <f t="shared" si="23"/>
        <v>2045835.2199856236</v>
      </c>
      <c r="FU10" s="122">
        <f t="shared" si="23"/>
        <v>2045835.2199856236</v>
      </c>
      <c r="FV10" s="122">
        <f t="shared" si="23"/>
        <v>2045835.2199856236</v>
      </c>
      <c r="FW10" s="122">
        <f t="shared" si="23"/>
        <v>2045835.2199856236</v>
      </c>
      <c r="FX10" s="122">
        <f t="shared" si="23"/>
        <v>2045835.2199856236</v>
      </c>
      <c r="FY10" s="122">
        <f t="shared" si="23"/>
        <v>2045835.2199856236</v>
      </c>
      <c r="FZ10" s="122">
        <f t="shared" si="23"/>
        <v>2045835.2199856236</v>
      </c>
      <c r="GA10" s="122">
        <f t="shared" si="23"/>
        <v>2045835.2199856236</v>
      </c>
      <c r="GB10" s="122">
        <f t="shared" si="23"/>
        <v>2045835.2199856236</v>
      </c>
      <c r="GC10" s="122">
        <f t="shared" si="23"/>
        <v>2045835.2199856236</v>
      </c>
      <c r="GD10" s="122">
        <f t="shared" si="23"/>
        <v>2045835.2199856236</v>
      </c>
      <c r="GE10" s="122">
        <f t="shared" si="23"/>
        <v>2045835.2199856236</v>
      </c>
      <c r="GF10" s="122">
        <f t="shared" si="23"/>
        <v>2045835.2199856236</v>
      </c>
      <c r="GG10" s="122">
        <f t="shared" si="23"/>
        <v>2045835.2199856236</v>
      </c>
      <c r="GH10" s="122">
        <f t="shared" si="23"/>
        <v>2045835.2199856236</v>
      </c>
      <c r="GI10" s="122">
        <f t="shared" si="23"/>
        <v>2045835.2199856236</v>
      </c>
      <c r="GJ10" s="122">
        <f t="shared" si="23"/>
        <v>2045835.2199856236</v>
      </c>
      <c r="GK10" s="122">
        <f t="shared" si="23"/>
        <v>2045835.2199856236</v>
      </c>
      <c r="GL10" s="122">
        <f t="shared" si="23"/>
        <v>2045835.2199856236</v>
      </c>
      <c r="GM10" s="122">
        <f t="shared" si="23"/>
        <v>2045835.2199856236</v>
      </c>
      <c r="GN10" s="122">
        <f t="shared" si="23"/>
        <v>2045835.2199856236</v>
      </c>
      <c r="GO10" s="122">
        <f t="shared" si="23"/>
        <v>2045835.2199856236</v>
      </c>
      <c r="GP10" s="122">
        <f t="shared" si="23"/>
        <v>2045835.2199856236</v>
      </c>
      <c r="GQ10" s="122">
        <f t="shared" si="23"/>
        <v>2045835.2199856236</v>
      </c>
      <c r="GR10" s="122">
        <f t="shared" si="23"/>
        <v>2045835.2199856236</v>
      </c>
      <c r="GS10" s="122">
        <f t="shared" ref="GS10:JD10" si="24">GR10+GS9</f>
        <v>2045835.2199856236</v>
      </c>
      <c r="GT10" s="122">
        <f t="shared" si="24"/>
        <v>2045835.2199856236</v>
      </c>
      <c r="GU10" s="122">
        <f t="shared" si="24"/>
        <v>2045835.2199856236</v>
      </c>
      <c r="GV10" s="122">
        <f t="shared" si="24"/>
        <v>2045835.2199856236</v>
      </c>
      <c r="GW10" s="122">
        <f t="shared" si="24"/>
        <v>2045835.2199856236</v>
      </c>
      <c r="GX10" s="122">
        <f t="shared" si="24"/>
        <v>2045835.2199856236</v>
      </c>
      <c r="GY10" s="122">
        <f t="shared" si="24"/>
        <v>2045835.2199856236</v>
      </c>
      <c r="GZ10" s="122">
        <f t="shared" si="24"/>
        <v>2045835.2199856236</v>
      </c>
      <c r="HA10" s="122">
        <f t="shared" si="24"/>
        <v>2045835.2199856236</v>
      </c>
      <c r="HB10" s="122">
        <f t="shared" si="24"/>
        <v>2045835.2199856236</v>
      </c>
      <c r="HC10" s="122">
        <f t="shared" si="24"/>
        <v>2045835.2199856236</v>
      </c>
      <c r="HD10" s="122">
        <f t="shared" si="24"/>
        <v>2045835.2199856236</v>
      </c>
      <c r="HE10" s="122">
        <f t="shared" si="24"/>
        <v>2045835.2199856236</v>
      </c>
      <c r="HF10" s="122">
        <f t="shared" si="24"/>
        <v>2045835.2199856236</v>
      </c>
      <c r="HG10" s="122">
        <f t="shared" si="24"/>
        <v>2045835.2199856236</v>
      </c>
      <c r="HH10" s="122">
        <f t="shared" si="24"/>
        <v>2045835.2199856236</v>
      </c>
      <c r="HI10" s="122">
        <f t="shared" si="24"/>
        <v>2045835.2199856236</v>
      </c>
      <c r="HJ10" s="122">
        <f t="shared" si="24"/>
        <v>2045835.2199856236</v>
      </c>
      <c r="HK10" s="122">
        <f t="shared" si="24"/>
        <v>2045835.2199856236</v>
      </c>
      <c r="HL10" s="122">
        <f t="shared" si="24"/>
        <v>2045835.2199856236</v>
      </c>
      <c r="HM10" s="122">
        <f t="shared" si="24"/>
        <v>2045835.2199856236</v>
      </c>
      <c r="HN10" s="122">
        <f t="shared" si="24"/>
        <v>2045835.2199856236</v>
      </c>
      <c r="HO10" s="122">
        <f t="shared" si="24"/>
        <v>2045835.2199856236</v>
      </c>
      <c r="HP10" s="122">
        <f t="shared" si="24"/>
        <v>2045835.2199856236</v>
      </c>
      <c r="HQ10" s="122">
        <f t="shared" si="24"/>
        <v>2045835.2199856236</v>
      </c>
      <c r="HR10" s="122">
        <f t="shared" si="24"/>
        <v>2045835.2199856236</v>
      </c>
      <c r="HS10" s="122">
        <f t="shared" si="24"/>
        <v>2045835.2199856236</v>
      </c>
      <c r="HT10" s="122">
        <f t="shared" si="24"/>
        <v>2045835.2199856236</v>
      </c>
      <c r="HU10" s="122">
        <f t="shared" si="24"/>
        <v>2045835.2199856236</v>
      </c>
      <c r="HV10" s="122">
        <f t="shared" si="24"/>
        <v>2045835.2199856236</v>
      </c>
      <c r="HW10" s="122">
        <f t="shared" si="24"/>
        <v>2045835.2199856236</v>
      </c>
      <c r="HX10" s="122">
        <f t="shared" si="24"/>
        <v>2045835.2199856236</v>
      </c>
      <c r="HY10" s="122">
        <f t="shared" si="24"/>
        <v>2045835.2199856236</v>
      </c>
      <c r="HZ10" s="122">
        <f t="shared" si="24"/>
        <v>2045835.2199856236</v>
      </c>
      <c r="IA10" s="122">
        <f t="shared" si="24"/>
        <v>2045835.2199856236</v>
      </c>
      <c r="IB10" s="122">
        <f t="shared" si="24"/>
        <v>2045835.2199856236</v>
      </c>
      <c r="IC10" s="122">
        <f t="shared" si="24"/>
        <v>2045835.2199856236</v>
      </c>
      <c r="ID10" s="122">
        <f t="shared" si="24"/>
        <v>2045835.2199856236</v>
      </c>
      <c r="IE10" s="122">
        <f t="shared" si="24"/>
        <v>2045835.2199856236</v>
      </c>
      <c r="IF10" s="122">
        <f t="shared" si="24"/>
        <v>2045835.2199856236</v>
      </c>
      <c r="IG10" s="122">
        <f t="shared" si="24"/>
        <v>2045835.2199856236</v>
      </c>
      <c r="IH10" s="122">
        <f t="shared" si="24"/>
        <v>2045835.2199856236</v>
      </c>
      <c r="II10" s="122">
        <f t="shared" si="24"/>
        <v>2045835.2199856236</v>
      </c>
      <c r="IJ10" s="122">
        <f t="shared" si="24"/>
        <v>2045835.2199856236</v>
      </c>
      <c r="IK10" s="122">
        <f t="shared" si="24"/>
        <v>2045835.2199856236</v>
      </c>
      <c r="IL10" s="122">
        <f t="shared" si="24"/>
        <v>2045835.2199856236</v>
      </c>
      <c r="IM10" s="122">
        <f t="shared" si="24"/>
        <v>2045835.2199856236</v>
      </c>
      <c r="IN10" s="122">
        <f t="shared" si="24"/>
        <v>2045835.2199856236</v>
      </c>
      <c r="IO10" s="122">
        <f t="shared" si="24"/>
        <v>2045835.2199856236</v>
      </c>
      <c r="IP10" s="122">
        <f t="shared" si="24"/>
        <v>2045835.2199856236</v>
      </c>
      <c r="IQ10" s="122">
        <f t="shared" si="24"/>
        <v>2045835.2199856236</v>
      </c>
      <c r="IR10" s="122">
        <f t="shared" si="24"/>
        <v>2045835.2199856236</v>
      </c>
      <c r="IS10" s="122">
        <f t="shared" si="24"/>
        <v>2045835.2199856236</v>
      </c>
      <c r="IT10" s="122">
        <f t="shared" si="24"/>
        <v>2045835.2199856236</v>
      </c>
      <c r="IU10" s="122">
        <f t="shared" si="24"/>
        <v>2045835.2199856236</v>
      </c>
      <c r="IV10" s="122">
        <f t="shared" si="24"/>
        <v>2045835.2199856236</v>
      </c>
      <c r="IW10" s="122">
        <f t="shared" si="24"/>
        <v>2045835.2199856236</v>
      </c>
      <c r="IX10" s="122">
        <f t="shared" si="24"/>
        <v>2045835.2199856236</v>
      </c>
      <c r="IY10" s="122">
        <f t="shared" si="24"/>
        <v>2045835.2199856236</v>
      </c>
      <c r="IZ10" s="122">
        <f t="shared" si="24"/>
        <v>2045835.2199856236</v>
      </c>
      <c r="JA10" s="122">
        <f t="shared" si="24"/>
        <v>2045835.2199856236</v>
      </c>
      <c r="JB10" s="122">
        <f t="shared" si="24"/>
        <v>2045835.2199856236</v>
      </c>
      <c r="JC10" s="122">
        <f t="shared" si="24"/>
        <v>2045835.2199856236</v>
      </c>
      <c r="JD10" s="122">
        <f t="shared" si="24"/>
        <v>2045835.2199856236</v>
      </c>
      <c r="JE10" s="122">
        <f t="shared" ref="JE10:KE10" si="25">JD10+JE9</f>
        <v>2045835.2199856236</v>
      </c>
      <c r="JF10" s="122">
        <f t="shared" si="25"/>
        <v>2045835.2199856236</v>
      </c>
      <c r="JG10" s="122">
        <f t="shared" si="25"/>
        <v>2045835.2199856236</v>
      </c>
      <c r="JH10" s="122">
        <f t="shared" si="25"/>
        <v>2045835.2199856236</v>
      </c>
      <c r="JI10" s="122">
        <f t="shared" si="25"/>
        <v>2045835.2199856236</v>
      </c>
      <c r="JJ10" s="122">
        <f t="shared" si="25"/>
        <v>2045835.2199856236</v>
      </c>
      <c r="JK10" s="122">
        <f t="shared" si="25"/>
        <v>2045835.2199856236</v>
      </c>
      <c r="JL10" s="122">
        <f t="shared" si="25"/>
        <v>2045835.2199856236</v>
      </c>
      <c r="JM10" s="122">
        <f t="shared" si="25"/>
        <v>2045835.2199856236</v>
      </c>
      <c r="JN10" s="122">
        <f t="shared" si="25"/>
        <v>2045835.2199856236</v>
      </c>
      <c r="JO10" s="122">
        <f t="shared" si="25"/>
        <v>2045835.2199856236</v>
      </c>
      <c r="JP10" s="122">
        <f t="shared" si="25"/>
        <v>2045835.2199856236</v>
      </c>
      <c r="JQ10" s="122">
        <f t="shared" si="25"/>
        <v>2045835.2199856236</v>
      </c>
      <c r="JR10" s="122">
        <f t="shared" si="25"/>
        <v>2045835.2199856236</v>
      </c>
      <c r="JS10" s="122">
        <f t="shared" si="25"/>
        <v>2045835.2199856236</v>
      </c>
      <c r="JT10" s="122">
        <f t="shared" si="25"/>
        <v>2045835.2199856236</v>
      </c>
      <c r="JU10" s="122">
        <f t="shared" si="25"/>
        <v>2045835.2199856236</v>
      </c>
      <c r="JV10" s="122">
        <f t="shared" si="25"/>
        <v>2045835.2199856236</v>
      </c>
      <c r="JW10" s="122">
        <f t="shared" si="25"/>
        <v>2045835.2199856236</v>
      </c>
      <c r="JX10" s="122">
        <f t="shared" si="25"/>
        <v>2045835.2199856236</v>
      </c>
      <c r="JY10" s="122">
        <f t="shared" si="25"/>
        <v>2045835.2199856236</v>
      </c>
      <c r="JZ10" s="122">
        <f t="shared" si="25"/>
        <v>2045835.2199856236</v>
      </c>
      <c r="KA10" s="122">
        <f t="shared" si="25"/>
        <v>2045835.2199856236</v>
      </c>
      <c r="KB10" s="122">
        <f t="shared" si="25"/>
        <v>2045835.2199856236</v>
      </c>
      <c r="KC10" s="122">
        <f t="shared" si="25"/>
        <v>2045835.2199856236</v>
      </c>
      <c r="KD10" s="122">
        <f t="shared" si="25"/>
        <v>2045835.2199856236</v>
      </c>
      <c r="KE10" s="122">
        <f t="shared" si="25"/>
        <v>2045835.2199856236</v>
      </c>
    </row>
    <row r="11" spans="1:769" s="114" customFormat="1">
      <c r="A11" s="778"/>
      <c r="B11" s="123" t="s">
        <v>404</v>
      </c>
      <c r="C11" s="124">
        <f>'Revenue Tracking'!F5</f>
        <v>1483371.7138488539</v>
      </c>
      <c r="D11" s="124">
        <f>SUM(F11:KE11)</f>
        <v>1483371.7138488542</v>
      </c>
      <c r="E11" s="108"/>
      <c r="F11" s="125">
        <f>SUMIFS('Expenditure Breakdown'!$Q$6:$Q$166, 'Expenditure Breakdown'!$W$6:$W$166, "&gt;="&amp;F1,'Expenditure Breakdown'!$W$6:$W$166, "&lt;"&amp;G1)</f>
        <v>0</v>
      </c>
      <c r="G11" s="125">
        <f>SUMIFS('Expenditure Breakdown'!$Q$6:$Q$166, 'Expenditure Breakdown'!$W$6:$W$166, "&gt;="&amp;G1,'Expenditure Breakdown'!$W$6:$W$166, "&lt;"&amp;H1)</f>
        <v>0</v>
      </c>
      <c r="H11" s="125">
        <f>SUMIFS('Expenditure Breakdown'!$Q$6:$Q$166, 'Expenditure Breakdown'!$W$6:$W$166, "&gt;="&amp;H1,'Expenditure Breakdown'!$W$6:$W$166, "&lt;"&amp;I1)</f>
        <v>0</v>
      </c>
      <c r="I11" s="125">
        <f>SUMIFS('Expenditure Breakdown'!$Q$6:$Q$166, 'Expenditure Breakdown'!$W$6:$W$166, "&gt;="&amp;I1,'Expenditure Breakdown'!$W$6:$W$166, "&lt;"&amp;J1)</f>
        <v>0</v>
      </c>
      <c r="J11" s="125">
        <f>SUMIFS('Expenditure Breakdown'!$Q$6:$Q$166, 'Expenditure Breakdown'!$W$6:$W$166, "&gt;="&amp;J1,'Expenditure Breakdown'!$W$6:$W$166, "&lt;"&amp;K1)</f>
        <v>0</v>
      </c>
      <c r="K11" s="125">
        <f>SUMIFS('Expenditure Breakdown'!$Q$6:$Q$166, 'Expenditure Breakdown'!$W$6:$W$166, "&gt;="&amp;K1,'Expenditure Breakdown'!$W$6:$W$166, "&lt;"&amp;L1)</f>
        <v>0</v>
      </c>
      <c r="L11" s="125">
        <f>SUMIFS('Expenditure Breakdown'!$Q$6:$Q$166, 'Expenditure Breakdown'!$W$6:$W$166, "&gt;="&amp;L1,'Expenditure Breakdown'!$W$6:$W$166, "&lt;"&amp;M1)</f>
        <v>0</v>
      </c>
      <c r="M11" s="125">
        <f>SUMIFS('Expenditure Breakdown'!$Q$6:$Q$166, 'Expenditure Breakdown'!$W$6:$W$166, "&gt;="&amp;M1,'Expenditure Breakdown'!$W$6:$W$166, "&lt;"&amp;N1)</f>
        <v>0</v>
      </c>
      <c r="N11" s="125">
        <f>SUMIFS('Expenditure Breakdown'!$Q$6:$Q$166, 'Expenditure Breakdown'!$W$6:$W$166, "&gt;="&amp;N1,'Expenditure Breakdown'!$W$6:$W$166, "&lt;"&amp;O1)</f>
        <v>0</v>
      </c>
      <c r="O11" s="125">
        <f>SUMIFS('Expenditure Breakdown'!$Q$6:$Q$166, 'Expenditure Breakdown'!$W$6:$W$166, "&gt;="&amp;O1,'Expenditure Breakdown'!$W$6:$W$166, "&lt;"&amp;P1)</f>
        <v>0</v>
      </c>
      <c r="P11" s="125">
        <f>SUMIFS('Expenditure Breakdown'!$Q$6:$Q$166, 'Expenditure Breakdown'!$W$6:$W$166, "&gt;="&amp;P1,'Expenditure Breakdown'!$W$6:$W$166, "&lt;"&amp;Q1)</f>
        <v>0</v>
      </c>
      <c r="Q11" s="125">
        <f>SUMIFS('Expenditure Breakdown'!$Q$6:$Q$166, 'Expenditure Breakdown'!$W$6:$W$166, "&gt;="&amp;Q1,'Expenditure Breakdown'!$W$6:$W$166, "&lt;"&amp;R1)</f>
        <v>33631.612359903382</v>
      </c>
      <c r="R11" s="125">
        <f>SUMIFS('Expenditure Breakdown'!$Q$6:$Q$166, 'Expenditure Breakdown'!$W$6:$W$166, "&gt;="&amp;R1,'Expenditure Breakdown'!$W$6:$W$166, "&lt;"&amp;S1)</f>
        <v>50447.418539855069</v>
      </c>
      <c r="S11" s="125">
        <f>SUMIFS('Expenditure Breakdown'!$Q$6:$Q$166, 'Expenditure Breakdown'!$W$6:$W$166, "&gt;="&amp;S1,'Expenditure Breakdown'!$W$6:$W$166, "&lt;"&amp;T1)</f>
        <v>1837.5</v>
      </c>
      <c r="T11" s="125">
        <f>SUMIFS('Expenditure Breakdown'!$Q$6:$Q$166, 'Expenditure Breakdown'!$W$6:$W$166, "&gt;="&amp;T1,'Expenditure Breakdown'!$W$6:$W$166, "&lt;"&amp;U1)</f>
        <v>0</v>
      </c>
      <c r="U11" s="125">
        <f>SUMIFS('Expenditure Breakdown'!$Q$6:$Q$166, 'Expenditure Breakdown'!$W$6:$W$166, "&gt;="&amp;U1,'Expenditure Breakdown'!$W$6:$W$166, "&lt;"&amp;V1)</f>
        <v>0</v>
      </c>
      <c r="V11" s="125">
        <f>SUMIFS('Expenditure Breakdown'!$Q$6:$Q$166, 'Expenditure Breakdown'!$W$6:$W$166, "&gt;="&amp;V1,'Expenditure Breakdown'!$W$6:$W$166, "&lt;"&amp;W1)</f>
        <v>138044.65</v>
      </c>
      <c r="W11" s="125">
        <f>SUMIFS('Expenditure Breakdown'!$Q$6:$Q$166, 'Expenditure Breakdown'!$W$6:$W$166, "&gt;="&amp;W1,'Expenditure Breakdown'!$W$6:$W$166, "&lt;"&amp;X1)</f>
        <v>85916.530899758465</v>
      </c>
      <c r="X11" s="125">
        <f>SUMIFS('Expenditure Breakdown'!$Q$6:$Q$166, 'Expenditure Breakdown'!$W$6:$W$166, "&gt;="&amp;X1,'Expenditure Breakdown'!$W$6:$W$166, "&lt;"&amp;Y1)</f>
        <v>115636.16496962706</v>
      </c>
      <c r="Y11" s="125">
        <f>SUMIFS('Expenditure Breakdown'!$Q$6:$Q$166, 'Expenditure Breakdown'!$W$6:$W$166, "&gt;="&amp;Y1,'Expenditure Breakdown'!$W$6:$W$166, "&lt;"&amp;Z1)</f>
        <v>33631.612359903382</v>
      </c>
      <c r="Z11" s="125">
        <f>SUMIFS('Expenditure Breakdown'!$Q$6:$Q$166, 'Expenditure Breakdown'!$W$6:$W$166, "&gt;="&amp;Z1,'Expenditure Breakdown'!$W$6:$W$166, "&lt;"&amp;AA1)</f>
        <v>190735.41853985508</v>
      </c>
      <c r="AA11" s="125">
        <f>SUMIFS('Expenditure Breakdown'!$Q$6:$Q$166, 'Expenditure Breakdown'!$W$6:$W$166, "&gt;="&amp;AA1,'Expenditure Breakdown'!$W$6:$W$166, "&lt;"&amp;AB1)</f>
        <v>754837.5</v>
      </c>
      <c r="AB11" s="125">
        <f>SUMIFS('Expenditure Breakdown'!$Q$6:$Q$166, 'Expenditure Breakdown'!$W$6:$W$166, "&gt;="&amp;AB1,'Expenditure Breakdown'!$W$6:$W$166, "&lt;"&amp;AC1)</f>
        <v>0</v>
      </c>
      <c r="AC11" s="125">
        <f>SUMIFS('Expenditure Breakdown'!$Q$6:$Q$166, 'Expenditure Breakdown'!$W$6:$W$166, "&gt;="&amp;AC1,'Expenditure Breakdown'!$W$6:$W$166, "&lt;"&amp;AD1)</f>
        <v>0</v>
      </c>
      <c r="AD11" s="125">
        <f>SUMIFS('Expenditure Breakdown'!$Q$6:$Q$166, 'Expenditure Breakdown'!$W$6:$W$166, "&gt;="&amp;AD1,'Expenditure Breakdown'!$W$6:$W$166, "&lt;"&amp;AE1)</f>
        <v>16815.806179951691</v>
      </c>
      <c r="AE11" s="125">
        <f>SUMIFS('Expenditure Breakdown'!$Q$6:$Q$166, 'Expenditure Breakdown'!$W$6:$W$166, "&gt;="&amp;AE1,'Expenditure Breakdown'!$W$6:$W$166, "&lt;"&amp;AF1)</f>
        <v>0</v>
      </c>
      <c r="AF11" s="125">
        <f>SUMIFS('Expenditure Breakdown'!$Q$6:$Q$166, 'Expenditure Breakdown'!$W$6:$W$166, "&gt;="&amp;AF1,'Expenditure Breakdown'!$W$6:$W$166, "&lt;"&amp;AG1)</f>
        <v>1837.5</v>
      </c>
      <c r="AG11" s="125">
        <f>SUMIFS('Expenditure Breakdown'!$Q$6:$Q$166, 'Expenditure Breakdown'!$W$6:$W$166, "&gt;="&amp;AG1,'Expenditure Breakdown'!$W$6:$W$166, "&lt;"&amp;AH1)</f>
        <v>0</v>
      </c>
      <c r="AH11" s="125">
        <f>SUMIFS('Expenditure Breakdown'!$Q$6:$Q$166, 'Expenditure Breakdown'!$W$6:$W$166, "&gt;="&amp;AH1,'Expenditure Breakdown'!$W$6:$W$166, "&lt;"&amp;AI1)</f>
        <v>0</v>
      </c>
      <c r="AI11" s="125">
        <f>SUMIFS('Expenditure Breakdown'!$Q$6:$Q$166, 'Expenditure Breakdown'!$W$6:$W$166, "&gt;="&amp;AI1,'Expenditure Breakdown'!$W$6:$W$166, "&lt;"&amp;AJ1)</f>
        <v>60000</v>
      </c>
      <c r="AJ11" s="125">
        <f>SUMIFS('Expenditure Breakdown'!$Q$6:$Q$166, 'Expenditure Breakdown'!$W$6:$W$166, "&gt;="&amp;AJ1,'Expenditure Breakdown'!$W$6:$W$166, "&lt;"&amp;AK1)</f>
        <v>0</v>
      </c>
      <c r="AK11" s="125">
        <f>SUMIFS('Expenditure Breakdown'!$Q$6:$Q$166, 'Expenditure Breakdown'!$W$6:$W$166, "&gt;="&amp;AK1,'Expenditure Breakdown'!$W$6:$W$166, "&lt;"&amp;AL1)</f>
        <v>0</v>
      </c>
      <c r="AL11" s="125">
        <f>SUMIFS('Expenditure Breakdown'!$Q$6:$Q$166, 'Expenditure Breakdown'!$W$6:$W$166, "&gt;="&amp;AL1,'Expenditure Breakdown'!$W$6:$W$166, "&lt;"&amp;AM1)</f>
        <v>0</v>
      </c>
      <c r="AM11" s="125">
        <f>SUMIFS('Expenditure Breakdown'!$Q$6:$Q$166, 'Expenditure Breakdown'!$W$6:$W$166, "&gt;="&amp;AM1,'Expenditure Breakdown'!$W$6:$W$166, "&lt;"&amp;AN1)</f>
        <v>0</v>
      </c>
      <c r="AN11" s="125">
        <f>SUMIFS('Expenditure Breakdown'!$Q$6:$Q$166, 'Expenditure Breakdown'!$W$6:$W$166, "&gt;="&amp;AN1,'Expenditure Breakdown'!$W$6:$W$166, "&lt;"&amp;AO1)</f>
        <v>0</v>
      </c>
      <c r="AO11" s="125">
        <f>SUMIFS('Expenditure Breakdown'!$Q$6:$Q$166, 'Expenditure Breakdown'!$W$6:$W$166, "&gt;="&amp;AO1,'Expenditure Breakdown'!$W$6:$W$166, "&lt;"&amp;AP1)</f>
        <v>0</v>
      </c>
      <c r="AP11" s="125">
        <f>SUMIFS('Expenditure Breakdown'!$Q$6:$Q$166, 'Expenditure Breakdown'!$W$6:$W$166, "&gt;="&amp;AP1,'Expenditure Breakdown'!$W$6:$W$166, "&lt;"&amp;AQ1)</f>
        <v>0</v>
      </c>
      <c r="AQ11" s="125">
        <f>SUMIFS('Expenditure Breakdown'!$Q$6:$Q$166, 'Expenditure Breakdown'!$W$6:$W$166, "&gt;="&amp;AQ1,'Expenditure Breakdown'!$W$6:$W$166, "&lt;"&amp;AR1)</f>
        <v>0</v>
      </c>
      <c r="AR11" s="125">
        <f>SUMIFS('Expenditure Breakdown'!$Q$6:$Q$166, 'Expenditure Breakdown'!$W$6:$W$166, "&gt;="&amp;AR1,'Expenditure Breakdown'!$W$6:$W$166, "&lt;"&amp;AS1)</f>
        <v>0</v>
      </c>
      <c r="AS11" s="125">
        <f>SUMIFS('Expenditure Breakdown'!$Q$6:$Q$166, 'Expenditure Breakdown'!$W$6:$W$166, "&gt;="&amp;AS1,'Expenditure Breakdown'!$W$6:$W$166, "&lt;"&amp;AT1)</f>
        <v>0</v>
      </c>
      <c r="AT11" s="125">
        <f>SUMIFS('Expenditure Breakdown'!$Q$6:$Q$166, 'Expenditure Breakdown'!$W$6:$W$166, "&gt;="&amp;AT1,'Expenditure Breakdown'!$W$6:$W$166, "&lt;"&amp;AU1)</f>
        <v>0</v>
      </c>
      <c r="AU11" s="125">
        <f>SUMIFS('Expenditure Breakdown'!$Q$6:$Q$166, 'Expenditure Breakdown'!$W$6:$W$166, "&gt;="&amp;AU1,'Expenditure Breakdown'!$W$6:$W$166, "&lt;"&amp;AV1)</f>
        <v>0</v>
      </c>
      <c r="AV11" s="125">
        <f>SUMIFS('Expenditure Breakdown'!$Q$6:$Q$166, 'Expenditure Breakdown'!$W$6:$W$166, "&gt;="&amp;AV1,'Expenditure Breakdown'!$W$6:$W$166, "&lt;"&amp;AW1)</f>
        <v>0</v>
      </c>
      <c r="AW11" s="125">
        <f>SUMIFS('Expenditure Breakdown'!$Q$6:$Q$166, 'Expenditure Breakdown'!$W$6:$W$166, "&gt;="&amp;AW1,'Expenditure Breakdown'!$W$6:$W$166, "&lt;"&amp;AX1)</f>
        <v>0</v>
      </c>
      <c r="AX11" s="125">
        <f>SUMIFS('Expenditure Breakdown'!$Q$6:$Q$166, 'Expenditure Breakdown'!$W$6:$W$166, "&gt;="&amp;AX1,'Expenditure Breakdown'!$W$6:$W$166, "&lt;"&amp;AY1)</f>
        <v>0</v>
      </c>
      <c r="AY11" s="125">
        <f>SUMIFS('Expenditure Breakdown'!$Q$6:$Q$166, 'Expenditure Breakdown'!$W$6:$W$166, "&gt;="&amp;AY1,'Expenditure Breakdown'!$W$6:$W$166, "&lt;"&amp;AZ1)</f>
        <v>0</v>
      </c>
      <c r="AZ11" s="125">
        <f>SUMIFS('Expenditure Breakdown'!$Q$6:$Q$166, 'Expenditure Breakdown'!$W$6:$W$166, "&gt;="&amp;AZ1,'Expenditure Breakdown'!$W$6:$W$166, "&lt;"&amp;BA1)</f>
        <v>0</v>
      </c>
      <c r="BA11" s="125">
        <f>SUMIFS('Expenditure Breakdown'!$Q$6:$Q$166, 'Expenditure Breakdown'!$W$6:$W$166, "&gt;="&amp;BA1,'Expenditure Breakdown'!$W$6:$W$166, "&lt;"&amp;BB1)</f>
        <v>0</v>
      </c>
      <c r="BB11" s="125">
        <f>SUMIFS('Expenditure Breakdown'!$Q$6:$Q$166, 'Expenditure Breakdown'!$W$6:$W$166, "&gt;="&amp;BB1,'Expenditure Breakdown'!$W$6:$W$166, "&lt;"&amp;BC1)</f>
        <v>0</v>
      </c>
      <c r="BC11" s="125">
        <f>SUMIFS('Expenditure Breakdown'!$Q$6:$Q$166, 'Expenditure Breakdown'!$W$6:$W$166, "&gt;="&amp;BC1,'Expenditure Breakdown'!$W$6:$W$166, "&lt;"&amp;BD1)</f>
        <v>0</v>
      </c>
      <c r="BD11" s="125">
        <f>SUMIFS('Expenditure Breakdown'!$Q$6:$Q$166, 'Expenditure Breakdown'!$W$6:$W$166, "&gt;="&amp;BD1,'Expenditure Breakdown'!$W$6:$W$166, "&lt;"&amp;BE1)</f>
        <v>0</v>
      </c>
      <c r="BE11" s="125">
        <f>SUMIFS('Expenditure Breakdown'!$Q$6:$Q$166, 'Expenditure Breakdown'!$W$6:$W$166, "&gt;="&amp;BE1,'Expenditure Breakdown'!$W$6:$W$166, "&lt;"&amp;BF1)</f>
        <v>0</v>
      </c>
      <c r="BF11" s="125">
        <f>SUMIFS('Expenditure Breakdown'!$Q$6:$Q$166, 'Expenditure Breakdown'!$W$6:$W$166, "&gt;="&amp;BF1,'Expenditure Breakdown'!$W$6:$W$166, "&lt;"&amp;BG1)</f>
        <v>0</v>
      </c>
      <c r="BG11" s="125">
        <f>SUMIFS('Expenditure Breakdown'!$Q$6:$Q$166, 'Expenditure Breakdown'!$W$6:$W$166, "&gt;="&amp;BG1,'Expenditure Breakdown'!$W$6:$W$166, "&lt;"&amp;BH1)</f>
        <v>0</v>
      </c>
      <c r="BH11" s="125">
        <f>SUMIFS('Expenditure Breakdown'!$Q$6:$Q$166, 'Expenditure Breakdown'!$W$6:$W$166, "&gt;="&amp;BH1,'Expenditure Breakdown'!$W$6:$W$166, "&lt;"&amp;BI1)</f>
        <v>0</v>
      </c>
      <c r="BI11" s="125">
        <f>SUMIFS('Expenditure Breakdown'!$Q$6:$Q$166, 'Expenditure Breakdown'!$W$6:$W$166, "&gt;="&amp;BI1,'Expenditure Breakdown'!$W$6:$W$166, "&lt;"&amp;BJ1)</f>
        <v>0</v>
      </c>
      <c r="BJ11" s="125">
        <f>SUMIFS('Expenditure Breakdown'!$Q$6:$Q$166, 'Expenditure Breakdown'!$W$6:$W$166, "&gt;="&amp;BJ1,'Expenditure Breakdown'!$W$6:$W$166, "&lt;"&amp;BK1)</f>
        <v>0</v>
      </c>
      <c r="BK11" s="125">
        <f>SUMIFS('Expenditure Breakdown'!$Q$6:$Q$166, 'Expenditure Breakdown'!$W$6:$W$166, "&gt;="&amp;BK1,'Expenditure Breakdown'!$W$6:$W$166, "&lt;"&amp;BL1)</f>
        <v>0</v>
      </c>
      <c r="BL11" s="125">
        <f>SUMIFS('Expenditure Breakdown'!$Q$6:$Q$166, 'Expenditure Breakdown'!$W$6:$W$166, "&gt;="&amp;BL1,'Expenditure Breakdown'!$W$6:$W$166, "&lt;"&amp;BM1)</f>
        <v>0</v>
      </c>
      <c r="BM11" s="125">
        <f>SUMIFS('Expenditure Breakdown'!$Q$6:$Q$166, 'Expenditure Breakdown'!$W$6:$W$166, "&gt;="&amp;BM1,'Expenditure Breakdown'!$W$6:$W$166, "&lt;"&amp;BN1)</f>
        <v>0</v>
      </c>
      <c r="BN11" s="125">
        <f>SUMIFS('Expenditure Breakdown'!$Q$6:$Q$166, 'Expenditure Breakdown'!$W$6:$W$166, "&gt;="&amp;BN1,'Expenditure Breakdown'!$W$6:$W$166, "&lt;"&amp;BO1)</f>
        <v>0</v>
      </c>
      <c r="BO11" s="125">
        <f>SUMIFS('Expenditure Breakdown'!$Q$6:$Q$166, 'Expenditure Breakdown'!$W$6:$W$166, "&gt;="&amp;BO1,'Expenditure Breakdown'!$W$6:$W$166, "&lt;"&amp;BP1)</f>
        <v>0</v>
      </c>
      <c r="BP11" s="125">
        <f>SUMIFS('Expenditure Breakdown'!$Q$6:$Q$166, 'Expenditure Breakdown'!$W$6:$W$166, "&gt;="&amp;BP1,'Expenditure Breakdown'!$W$6:$W$166, "&lt;"&amp;BQ1)</f>
        <v>0</v>
      </c>
      <c r="BQ11" s="125">
        <f>SUMIFS('Expenditure Breakdown'!$Q$6:$Q$166, 'Expenditure Breakdown'!$W$6:$W$166, "&gt;="&amp;BQ1,'Expenditure Breakdown'!$W$6:$W$166, "&lt;"&amp;BR1)</f>
        <v>0</v>
      </c>
      <c r="BR11" s="125">
        <f>SUMIFS('Expenditure Breakdown'!$Q$6:$Q$166, 'Expenditure Breakdown'!$W$6:$W$166, "&gt;="&amp;BR1,'Expenditure Breakdown'!$W$6:$W$166, "&lt;"&amp;BS1)</f>
        <v>0</v>
      </c>
      <c r="BS11" s="125">
        <f>SUMIFS('Expenditure Breakdown'!$Q$6:$Q$166, 'Expenditure Breakdown'!$W$6:$W$166, "&gt;="&amp;BS1,'Expenditure Breakdown'!$W$6:$W$166, "&lt;"&amp;BT1)</f>
        <v>0</v>
      </c>
      <c r="BT11" s="125">
        <f>SUMIFS('Expenditure Breakdown'!$Q$6:$Q$166, 'Expenditure Breakdown'!$W$6:$W$166, "&gt;="&amp;BT1,'Expenditure Breakdown'!$W$6:$W$166, "&lt;"&amp;BU1)</f>
        <v>0</v>
      </c>
      <c r="BU11" s="125">
        <f>SUMIFS('Expenditure Breakdown'!$Q$6:$Q$166, 'Expenditure Breakdown'!$W$6:$W$166, "&gt;="&amp;BU1,'Expenditure Breakdown'!$W$6:$W$166, "&lt;"&amp;BV1)</f>
        <v>0</v>
      </c>
      <c r="BV11" s="125">
        <f>SUMIFS('Expenditure Breakdown'!$Q$6:$Q$166, 'Expenditure Breakdown'!$W$6:$W$166, "&gt;="&amp;BV1,'Expenditure Breakdown'!$W$6:$W$166, "&lt;"&amp;BW1)</f>
        <v>0</v>
      </c>
      <c r="BW11" s="125">
        <f>SUMIFS('Expenditure Breakdown'!$Q$6:$Q$166, 'Expenditure Breakdown'!$W$6:$W$166, "&gt;="&amp;BW1,'Expenditure Breakdown'!$W$6:$W$166, "&lt;"&amp;BX1)</f>
        <v>0</v>
      </c>
      <c r="BX11" s="125">
        <f>SUMIFS('Expenditure Breakdown'!$Q$6:$Q$166, 'Expenditure Breakdown'!$W$6:$W$166, "&gt;="&amp;BX1,'Expenditure Breakdown'!$W$6:$W$166, "&lt;"&amp;BY1)</f>
        <v>0</v>
      </c>
      <c r="BY11" s="125">
        <f>SUMIFS('Expenditure Breakdown'!$Q$6:$Q$166, 'Expenditure Breakdown'!$W$6:$W$166, "&gt;="&amp;BY1,'Expenditure Breakdown'!$W$6:$W$166, "&lt;"&amp;BZ1)</f>
        <v>0</v>
      </c>
      <c r="BZ11" s="125">
        <f>SUMIFS('Expenditure Breakdown'!$Q$6:$Q$166, 'Expenditure Breakdown'!$W$6:$W$166, "&gt;="&amp;BZ1,'Expenditure Breakdown'!$W$6:$W$166, "&lt;"&amp;CA1)</f>
        <v>0</v>
      </c>
      <c r="CA11" s="125">
        <f>SUMIFS('Expenditure Breakdown'!$Q$6:$Q$166, 'Expenditure Breakdown'!$W$6:$W$166, "&gt;="&amp;CA1,'Expenditure Breakdown'!$W$6:$W$166, "&lt;"&amp;CB1)</f>
        <v>0</v>
      </c>
      <c r="CB11" s="125">
        <f>SUMIFS('Expenditure Breakdown'!$Q$6:$Q$166, 'Expenditure Breakdown'!$W$6:$W$166, "&gt;="&amp;CB1,'Expenditure Breakdown'!$W$6:$W$166, "&lt;"&amp;CC1)</f>
        <v>0</v>
      </c>
      <c r="CC11" s="125">
        <f>SUMIFS('Expenditure Breakdown'!$Q$6:$Q$166, 'Expenditure Breakdown'!$W$6:$W$166, "&gt;="&amp;CC1,'Expenditure Breakdown'!$W$6:$W$166, "&lt;"&amp;CD1)</f>
        <v>0</v>
      </c>
      <c r="CD11" s="125">
        <f>SUMIFS('Expenditure Breakdown'!$Q$6:$Q$166, 'Expenditure Breakdown'!$W$6:$W$166, "&gt;="&amp;CD1,'Expenditure Breakdown'!$W$6:$W$166, "&lt;"&amp;CE1)</f>
        <v>0</v>
      </c>
      <c r="CE11" s="125">
        <f>SUMIFS('Expenditure Breakdown'!$Q$6:$Q$166, 'Expenditure Breakdown'!$W$6:$W$166, "&gt;="&amp;CE1,'Expenditure Breakdown'!$W$6:$W$166, "&lt;"&amp;CF1)</f>
        <v>0</v>
      </c>
      <c r="CF11" s="125">
        <f>SUMIFS('Expenditure Breakdown'!$Q$6:$Q$166, 'Expenditure Breakdown'!$W$6:$W$166, "&gt;="&amp;CF1,'Expenditure Breakdown'!$W$6:$W$166, "&lt;"&amp;CG1)</f>
        <v>0</v>
      </c>
      <c r="CG11" s="125">
        <f>SUMIFS('Expenditure Breakdown'!$Q$6:$Q$166, 'Expenditure Breakdown'!$W$6:$W$166, "&gt;="&amp;CG1,'Expenditure Breakdown'!$W$6:$W$166, "&lt;"&amp;CH1)</f>
        <v>0</v>
      </c>
      <c r="CH11" s="125">
        <f>SUMIFS('Expenditure Breakdown'!$Q$6:$Q$166, 'Expenditure Breakdown'!$W$6:$W$166, "&gt;="&amp;CH1,'Expenditure Breakdown'!$W$6:$W$166, "&lt;"&amp;CI1)</f>
        <v>0</v>
      </c>
      <c r="CI11" s="125">
        <f>SUMIFS('Expenditure Breakdown'!$Q$6:$Q$166, 'Expenditure Breakdown'!$W$6:$W$166, "&gt;="&amp;CI1,'Expenditure Breakdown'!$W$6:$W$166, "&lt;"&amp;CJ1)</f>
        <v>0</v>
      </c>
      <c r="CJ11" s="125">
        <f>SUMIFS('Expenditure Breakdown'!$Q$6:$Q$166, 'Expenditure Breakdown'!$W$6:$W$166, "&gt;="&amp;CJ1,'Expenditure Breakdown'!$W$6:$W$166, "&lt;"&amp;CK1)</f>
        <v>0</v>
      </c>
      <c r="CK11" s="125">
        <f>SUMIFS('Expenditure Breakdown'!$Q$6:$Q$166, 'Expenditure Breakdown'!$W$6:$W$166, "&gt;="&amp;CK1,'Expenditure Breakdown'!$W$6:$W$166, "&lt;"&amp;CL1)</f>
        <v>0</v>
      </c>
      <c r="CL11" s="125">
        <f>SUMIFS('Expenditure Breakdown'!$Q$6:$Q$166, 'Expenditure Breakdown'!$W$6:$W$166, "&gt;="&amp;CL1,'Expenditure Breakdown'!$W$6:$W$166, "&lt;"&amp;CM1)</f>
        <v>0</v>
      </c>
      <c r="CM11" s="125">
        <f>SUMIFS('Expenditure Breakdown'!$Q$6:$Q$166, 'Expenditure Breakdown'!$W$6:$W$166, "&gt;="&amp;CM1,'Expenditure Breakdown'!$W$6:$W$166, "&lt;"&amp;CN1)</f>
        <v>0</v>
      </c>
      <c r="CN11" s="125">
        <f>SUMIFS('Expenditure Breakdown'!$Q$6:$Q$166, 'Expenditure Breakdown'!$W$6:$W$166, "&gt;="&amp;CN1,'Expenditure Breakdown'!$W$6:$W$166, "&lt;"&amp;CO1)</f>
        <v>0</v>
      </c>
      <c r="CO11" s="125">
        <f>SUMIFS('Expenditure Breakdown'!$Q$6:$Q$166, 'Expenditure Breakdown'!$W$6:$W$166, "&gt;="&amp;CO1,'Expenditure Breakdown'!$W$6:$W$166, "&lt;"&amp;CP1)</f>
        <v>0</v>
      </c>
      <c r="CP11" s="125">
        <f>SUMIFS('Expenditure Breakdown'!$Q$6:$Q$166, 'Expenditure Breakdown'!$W$6:$W$166, "&gt;="&amp;CP1,'Expenditure Breakdown'!$W$6:$W$166, "&lt;"&amp;CQ1)</f>
        <v>0</v>
      </c>
      <c r="CQ11" s="125">
        <f>SUMIFS('Expenditure Breakdown'!$Q$6:$Q$166, 'Expenditure Breakdown'!$W$6:$W$166, "&gt;="&amp;CQ1,'Expenditure Breakdown'!$W$6:$W$166, "&lt;"&amp;CR1)</f>
        <v>0</v>
      </c>
      <c r="CR11" s="125">
        <f>SUMIFS('Expenditure Breakdown'!$Q$6:$Q$166, 'Expenditure Breakdown'!$W$6:$W$166, "&gt;="&amp;CR1,'Expenditure Breakdown'!$W$6:$W$166, "&lt;"&amp;CS1)</f>
        <v>0</v>
      </c>
      <c r="CS11" s="125">
        <f>SUMIFS('Expenditure Breakdown'!$Q$6:$Q$166, 'Expenditure Breakdown'!$W$6:$W$166, "&gt;="&amp;CS1,'Expenditure Breakdown'!$W$6:$W$166, "&lt;"&amp;CT1)</f>
        <v>0</v>
      </c>
      <c r="CT11" s="125">
        <f>SUMIFS('Expenditure Breakdown'!$Q$6:$Q$166, 'Expenditure Breakdown'!$W$6:$W$166, "&gt;="&amp;CT1,'Expenditure Breakdown'!$W$6:$W$166, "&lt;"&amp;CU1)</f>
        <v>0</v>
      </c>
      <c r="CU11" s="125">
        <f>SUMIFS('Expenditure Breakdown'!$Q$6:$Q$166, 'Expenditure Breakdown'!$W$6:$W$166, "&gt;="&amp;CU1,'Expenditure Breakdown'!$W$6:$W$166, "&lt;"&amp;CV1)</f>
        <v>0</v>
      </c>
      <c r="CV11" s="125">
        <f>SUMIFS('Expenditure Breakdown'!$Q$6:$Q$166, 'Expenditure Breakdown'!$W$6:$W$166, "&gt;="&amp;CV1,'Expenditure Breakdown'!$W$6:$W$166, "&lt;"&amp;CW1)</f>
        <v>0</v>
      </c>
      <c r="CW11" s="125">
        <f>SUMIFS('Expenditure Breakdown'!$Q$6:$Q$166, 'Expenditure Breakdown'!$W$6:$W$166, "&gt;="&amp;CW1,'Expenditure Breakdown'!$W$6:$W$166, "&lt;"&amp;CX1)</f>
        <v>0</v>
      </c>
      <c r="CX11" s="125">
        <f>SUMIFS('Expenditure Breakdown'!$Q$6:$Q$166, 'Expenditure Breakdown'!$W$6:$W$166, "&gt;="&amp;CX1,'Expenditure Breakdown'!$W$6:$W$166, "&lt;"&amp;CY1)</f>
        <v>0</v>
      </c>
      <c r="CY11" s="125">
        <f>SUMIFS('Expenditure Breakdown'!$Q$6:$Q$166, 'Expenditure Breakdown'!$W$6:$W$166, "&gt;="&amp;CY1,'Expenditure Breakdown'!$W$6:$W$166, "&lt;"&amp;CZ1)</f>
        <v>0</v>
      </c>
      <c r="CZ11" s="125">
        <f>SUMIFS('Expenditure Breakdown'!$Q$6:$Q$166, 'Expenditure Breakdown'!$W$6:$W$166, "&gt;="&amp;CZ1,'Expenditure Breakdown'!$W$6:$W$166, "&lt;"&amp;DA1)</f>
        <v>0</v>
      </c>
      <c r="DA11" s="125">
        <f>SUMIFS('Expenditure Breakdown'!$Q$6:$Q$166, 'Expenditure Breakdown'!$W$6:$W$166, "&gt;="&amp;DA1,'Expenditure Breakdown'!$W$6:$W$166, "&lt;"&amp;DB1)</f>
        <v>0</v>
      </c>
      <c r="DB11" s="125">
        <f>SUMIFS('Expenditure Breakdown'!$Q$6:$Q$166, 'Expenditure Breakdown'!$W$6:$W$166, "&gt;="&amp;DB1,'Expenditure Breakdown'!$W$6:$W$166, "&lt;"&amp;DC1)</f>
        <v>0</v>
      </c>
      <c r="DC11" s="125">
        <f>SUMIFS('Expenditure Breakdown'!$Q$6:$Q$166, 'Expenditure Breakdown'!$W$6:$W$166, "&gt;="&amp;DC1,'Expenditure Breakdown'!$W$6:$W$166, "&lt;"&amp;DD1)</f>
        <v>0</v>
      </c>
      <c r="DD11" s="125">
        <f>SUMIFS('Expenditure Breakdown'!$Q$6:$Q$166, 'Expenditure Breakdown'!$W$6:$W$166, "&gt;="&amp;DD1,'Expenditure Breakdown'!$W$6:$W$166, "&lt;"&amp;DE1)</f>
        <v>0</v>
      </c>
      <c r="DE11" s="125">
        <f>SUMIFS('Expenditure Breakdown'!$Q$6:$Q$166, 'Expenditure Breakdown'!$W$6:$W$166, "&gt;="&amp;DE1,'Expenditure Breakdown'!$W$6:$W$166, "&lt;"&amp;DF1)</f>
        <v>0</v>
      </c>
      <c r="DF11" s="125">
        <f>SUMIFS('Expenditure Breakdown'!$Q$6:$Q$166, 'Expenditure Breakdown'!$W$6:$W$166, "&gt;="&amp;DF1,'Expenditure Breakdown'!$W$6:$W$166, "&lt;"&amp;DG1)</f>
        <v>0</v>
      </c>
      <c r="DG11" s="125">
        <f>SUMIFS('Expenditure Breakdown'!$Q$6:$Q$166, 'Expenditure Breakdown'!$W$6:$W$166, "&gt;="&amp;DG1,'Expenditure Breakdown'!$W$6:$W$166, "&lt;"&amp;DH1)</f>
        <v>0</v>
      </c>
      <c r="DH11" s="125">
        <f>SUMIFS('Expenditure Breakdown'!$Q$6:$Q$166, 'Expenditure Breakdown'!$W$6:$W$166, "&gt;="&amp;DH1,'Expenditure Breakdown'!$W$6:$W$166, "&lt;"&amp;DI1)</f>
        <v>0</v>
      </c>
      <c r="DI11" s="125">
        <f>SUMIFS('Expenditure Breakdown'!$Q$6:$Q$166, 'Expenditure Breakdown'!$W$6:$W$166, "&gt;="&amp;DI1,'Expenditure Breakdown'!$W$6:$W$166, "&lt;"&amp;DJ1)</f>
        <v>0</v>
      </c>
      <c r="DJ11" s="125">
        <f>SUMIFS('Expenditure Breakdown'!$Q$6:$Q$166, 'Expenditure Breakdown'!$W$6:$W$166, "&gt;="&amp;DJ1,'Expenditure Breakdown'!$W$6:$W$166, "&lt;"&amp;DK1)</f>
        <v>0</v>
      </c>
      <c r="DK11" s="125">
        <f>SUMIFS('Expenditure Breakdown'!$Q$6:$Q$166, 'Expenditure Breakdown'!$W$6:$W$166, "&gt;="&amp;DK1,'Expenditure Breakdown'!$W$6:$W$166, "&lt;"&amp;DL1)</f>
        <v>0</v>
      </c>
      <c r="DL11" s="125">
        <f>SUMIFS('Expenditure Breakdown'!$Q$6:$Q$166, 'Expenditure Breakdown'!$W$6:$W$166, "&gt;="&amp;DL1,'Expenditure Breakdown'!$W$6:$W$166, "&lt;"&amp;DM1)</f>
        <v>0</v>
      </c>
      <c r="DM11" s="125">
        <f>SUMIFS('Expenditure Breakdown'!$Q$6:$Q$166, 'Expenditure Breakdown'!$W$6:$W$166, "&gt;="&amp;DM1,'Expenditure Breakdown'!$W$6:$W$166, "&lt;"&amp;DN1)</f>
        <v>0</v>
      </c>
      <c r="DN11" s="125">
        <f>SUMIFS('Expenditure Breakdown'!$Q$6:$Q$166, 'Expenditure Breakdown'!$W$6:$W$166, "&gt;="&amp;DN1,'Expenditure Breakdown'!$W$6:$W$166, "&lt;"&amp;DO1)</f>
        <v>0</v>
      </c>
      <c r="DO11" s="125">
        <f>SUMIFS('Expenditure Breakdown'!$Q$6:$Q$166, 'Expenditure Breakdown'!$W$6:$W$166, "&gt;="&amp;DO1,'Expenditure Breakdown'!$W$6:$W$166, "&lt;"&amp;DP1)</f>
        <v>0</v>
      </c>
      <c r="DP11" s="125">
        <f>SUMIFS('Expenditure Breakdown'!$Q$6:$Q$166, 'Expenditure Breakdown'!$W$6:$W$166, "&gt;="&amp;DP1,'Expenditure Breakdown'!$W$6:$W$166, "&lt;"&amp;DQ1)</f>
        <v>0</v>
      </c>
      <c r="DQ11" s="125">
        <f>SUMIFS('Expenditure Breakdown'!$Q$6:$Q$166, 'Expenditure Breakdown'!$W$6:$W$166, "&gt;="&amp;DQ1,'Expenditure Breakdown'!$W$6:$W$166, "&lt;"&amp;DR1)</f>
        <v>0</v>
      </c>
      <c r="DR11" s="125">
        <f>SUMIFS('Expenditure Breakdown'!$Q$6:$Q$166, 'Expenditure Breakdown'!$W$6:$W$166, "&gt;="&amp;DR1,'Expenditure Breakdown'!$W$6:$W$166, "&lt;"&amp;DS1)</f>
        <v>0</v>
      </c>
      <c r="DS11" s="125">
        <f>SUMIFS('Expenditure Breakdown'!$Q$6:$Q$166, 'Expenditure Breakdown'!$W$6:$W$166, "&gt;="&amp;DS1,'Expenditure Breakdown'!$W$6:$W$166, "&lt;"&amp;DT1)</f>
        <v>0</v>
      </c>
      <c r="DT11" s="125">
        <f>SUMIFS('Expenditure Breakdown'!$Q$6:$Q$166, 'Expenditure Breakdown'!$W$6:$W$166, "&gt;="&amp;DT1,'Expenditure Breakdown'!$W$6:$W$166, "&lt;"&amp;DU1)</f>
        <v>0</v>
      </c>
      <c r="DU11" s="125">
        <f>SUMIFS('Expenditure Breakdown'!$Q$6:$Q$166, 'Expenditure Breakdown'!$W$6:$W$166, "&gt;="&amp;DU1,'Expenditure Breakdown'!$W$6:$W$166, "&lt;"&amp;DV1)</f>
        <v>0</v>
      </c>
      <c r="DV11" s="125">
        <f>SUMIFS('Expenditure Breakdown'!$Q$6:$Q$166, 'Expenditure Breakdown'!$W$6:$W$166, "&gt;="&amp;DV1,'Expenditure Breakdown'!$W$6:$W$166, "&lt;"&amp;DW1)</f>
        <v>0</v>
      </c>
      <c r="DW11" s="125">
        <f>SUMIFS('Expenditure Breakdown'!$Q$6:$Q$166, 'Expenditure Breakdown'!$W$6:$W$166, "&gt;="&amp;DW1,'Expenditure Breakdown'!$W$6:$W$166, "&lt;"&amp;DX1)</f>
        <v>0</v>
      </c>
      <c r="DX11" s="125">
        <f>SUMIFS('Expenditure Breakdown'!$Q$6:$Q$166, 'Expenditure Breakdown'!$W$6:$W$166, "&gt;="&amp;DX1,'Expenditure Breakdown'!$W$6:$W$166, "&lt;"&amp;DY1)</f>
        <v>0</v>
      </c>
      <c r="DY11" s="125">
        <f>SUMIFS('Expenditure Breakdown'!$Q$6:$Q$166, 'Expenditure Breakdown'!$W$6:$W$166, "&gt;="&amp;DY1,'Expenditure Breakdown'!$W$6:$W$166, "&lt;"&amp;DZ1)</f>
        <v>0</v>
      </c>
      <c r="DZ11" s="125">
        <f>SUMIFS('Expenditure Breakdown'!$Q$6:$Q$166, 'Expenditure Breakdown'!$W$6:$W$166, "&gt;="&amp;DZ1,'Expenditure Breakdown'!$W$6:$W$166, "&lt;"&amp;EA1)</f>
        <v>0</v>
      </c>
      <c r="EA11" s="125">
        <f>SUMIFS('Expenditure Breakdown'!$Q$6:$Q$166, 'Expenditure Breakdown'!$W$6:$W$166, "&gt;="&amp;EA1,'Expenditure Breakdown'!$W$6:$W$166, "&lt;"&amp;EB1)</f>
        <v>0</v>
      </c>
      <c r="EB11" s="125">
        <f>SUMIFS('Expenditure Breakdown'!$Q$6:$Q$166, 'Expenditure Breakdown'!$W$6:$W$166, "&gt;="&amp;EB1,'Expenditure Breakdown'!$W$6:$W$166, "&lt;"&amp;EC1)</f>
        <v>0</v>
      </c>
      <c r="EC11" s="125">
        <f>SUMIFS('Expenditure Breakdown'!$Q$6:$Q$166, 'Expenditure Breakdown'!$W$6:$W$166, "&gt;="&amp;EC1,'Expenditure Breakdown'!$W$6:$W$166, "&lt;"&amp;ED1)</f>
        <v>0</v>
      </c>
      <c r="ED11" s="125">
        <f>SUMIFS('Expenditure Breakdown'!$Q$6:$Q$166, 'Expenditure Breakdown'!$W$6:$W$166, "&gt;="&amp;ED1,'Expenditure Breakdown'!$W$6:$W$166, "&lt;"&amp;EE1)</f>
        <v>0</v>
      </c>
      <c r="EE11" s="125">
        <f>SUMIFS('Expenditure Breakdown'!$Q$6:$Q$166, 'Expenditure Breakdown'!$W$6:$W$166, "&gt;="&amp;EE1,'Expenditure Breakdown'!$W$6:$W$166, "&lt;"&amp;EF1)</f>
        <v>0</v>
      </c>
      <c r="EF11" s="125">
        <f>SUMIFS('Expenditure Breakdown'!$Q$6:$Q$166, 'Expenditure Breakdown'!$W$6:$W$166, "&gt;="&amp;EF1,'Expenditure Breakdown'!$W$6:$W$166, "&lt;"&amp;EG1)</f>
        <v>0</v>
      </c>
      <c r="EG11" s="125">
        <f>SUMIFS('Expenditure Breakdown'!$Q$6:$Q$166, 'Expenditure Breakdown'!$W$6:$W$166, "&gt;="&amp;EG1,'Expenditure Breakdown'!$W$6:$W$166, "&lt;"&amp;EH1)</f>
        <v>0</v>
      </c>
      <c r="EH11" s="125">
        <f>SUMIFS('Expenditure Breakdown'!$Q$6:$Q$166, 'Expenditure Breakdown'!$W$6:$W$166, "&gt;="&amp;EH1,'Expenditure Breakdown'!$W$6:$W$166, "&lt;"&amp;EI1)</f>
        <v>0</v>
      </c>
      <c r="EI11" s="125">
        <f>SUMIFS('Expenditure Breakdown'!$Q$6:$Q$166, 'Expenditure Breakdown'!$W$6:$W$166, "&gt;="&amp;EI1,'Expenditure Breakdown'!$W$6:$W$166, "&lt;"&amp;EJ1)</f>
        <v>0</v>
      </c>
      <c r="EJ11" s="125">
        <f>SUMIFS('Expenditure Breakdown'!$Q$6:$Q$166, 'Expenditure Breakdown'!$W$6:$W$166, "&gt;="&amp;EJ1,'Expenditure Breakdown'!$W$6:$W$166, "&lt;"&amp;EK1)</f>
        <v>0</v>
      </c>
      <c r="EK11" s="125">
        <f>SUMIFS('Expenditure Breakdown'!$Q$6:$Q$166, 'Expenditure Breakdown'!$W$6:$W$166, "&gt;="&amp;EK1,'Expenditure Breakdown'!$W$6:$W$166, "&lt;"&amp;EL1)</f>
        <v>0</v>
      </c>
      <c r="EL11" s="125">
        <f>SUMIFS('Expenditure Breakdown'!$Q$6:$Q$166, 'Expenditure Breakdown'!$W$6:$W$166, "&gt;="&amp;EL1,'Expenditure Breakdown'!$W$6:$W$166, "&lt;"&amp;EM1)</f>
        <v>0</v>
      </c>
      <c r="EM11" s="125">
        <f>SUMIFS('Expenditure Breakdown'!$Q$6:$Q$166, 'Expenditure Breakdown'!$W$6:$W$166, "&gt;="&amp;EM1,'Expenditure Breakdown'!$W$6:$W$166, "&lt;"&amp;EN1)</f>
        <v>0</v>
      </c>
      <c r="EN11" s="125">
        <f>SUMIFS('Expenditure Breakdown'!$Q$6:$Q$166, 'Expenditure Breakdown'!$W$6:$W$166, "&gt;="&amp;EN1,'Expenditure Breakdown'!$W$6:$W$166, "&lt;"&amp;EO1)</f>
        <v>0</v>
      </c>
      <c r="EO11" s="125">
        <f>SUMIFS('Expenditure Breakdown'!$Q$6:$Q$166, 'Expenditure Breakdown'!$W$6:$W$166, "&gt;="&amp;EO1,'Expenditure Breakdown'!$W$6:$W$166, "&lt;"&amp;EP1)</f>
        <v>0</v>
      </c>
      <c r="EP11" s="125">
        <f>SUMIFS('Expenditure Breakdown'!$Q$6:$Q$166, 'Expenditure Breakdown'!$W$6:$W$166, "&gt;="&amp;EP1,'Expenditure Breakdown'!$W$6:$W$166, "&lt;"&amp;EQ1)</f>
        <v>0</v>
      </c>
      <c r="EQ11" s="125">
        <f>SUMIFS('Expenditure Breakdown'!$Q$6:$Q$166, 'Expenditure Breakdown'!$W$6:$W$166, "&gt;="&amp;EQ1,'Expenditure Breakdown'!$W$6:$W$166, "&lt;"&amp;ER1)</f>
        <v>0</v>
      </c>
      <c r="ER11" s="125">
        <f>SUMIFS('Expenditure Breakdown'!$Q$6:$Q$166, 'Expenditure Breakdown'!$W$6:$W$166, "&gt;="&amp;ER1,'Expenditure Breakdown'!$W$6:$W$166, "&lt;"&amp;ES1)</f>
        <v>0</v>
      </c>
      <c r="ES11" s="125">
        <f>SUMIFS('Expenditure Breakdown'!$Q$6:$Q$166, 'Expenditure Breakdown'!$W$6:$W$166, "&gt;="&amp;ES1,'Expenditure Breakdown'!$W$6:$W$166, "&lt;"&amp;ET1)</f>
        <v>0</v>
      </c>
      <c r="ET11" s="125">
        <f>SUMIFS('Expenditure Breakdown'!$Q$6:$Q$166, 'Expenditure Breakdown'!$W$6:$W$166, "&gt;="&amp;ET1,'Expenditure Breakdown'!$W$6:$W$166, "&lt;"&amp;EU1)</f>
        <v>0</v>
      </c>
      <c r="EU11" s="125">
        <f>SUMIFS('Expenditure Breakdown'!$Q$6:$Q$166, 'Expenditure Breakdown'!$W$6:$W$166, "&gt;="&amp;EU1,'Expenditure Breakdown'!$W$6:$W$166, "&lt;"&amp;EV1)</f>
        <v>0</v>
      </c>
      <c r="EV11" s="125">
        <f>SUMIFS('Expenditure Breakdown'!$Q$6:$Q$166, 'Expenditure Breakdown'!$W$6:$W$166, "&gt;="&amp;EV1,'Expenditure Breakdown'!$W$6:$W$166, "&lt;"&amp;EW1)</f>
        <v>0</v>
      </c>
      <c r="EW11" s="125">
        <f>SUMIFS('Expenditure Breakdown'!$Q$6:$Q$166, 'Expenditure Breakdown'!$W$6:$W$166, "&gt;="&amp;EW1,'Expenditure Breakdown'!$W$6:$W$166, "&lt;"&amp;EX1)</f>
        <v>0</v>
      </c>
      <c r="EX11" s="125">
        <f>SUMIFS('Expenditure Breakdown'!$Q$6:$Q$166, 'Expenditure Breakdown'!$W$6:$W$166, "&gt;="&amp;EX1,'Expenditure Breakdown'!$W$6:$W$166, "&lt;"&amp;EY1)</f>
        <v>0</v>
      </c>
      <c r="EY11" s="125">
        <f>SUMIFS('Expenditure Breakdown'!$Q$6:$Q$166, 'Expenditure Breakdown'!$W$6:$W$166, "&gt;="&amp;EY1,'Expenditure Breakdown'!$W$6:$W$166, "&lt;"&amp;EZ1)</f>
        <v>0</v>
      </c>
      <c r="EZ11" s="125">
        <f>SUMIFS('Expenditure Breakdown'!$Q$6:$Q$166, 'Expenditure Breakdown'!$W$6:$W$166, "&gt;="&amp;EZ1,'Expenditure Breakdown'!$W$6:$W$166, "&lt;"&amp;FA1)</f>
        <v>0</v>
      </c>
      <c r="FA11" s="125">
        <f>SUMIFS('Expenditure Breakdown'!$Q$6:$Q$166, 'Expenditure Breakdown'!$W$6:$W$166, "&gt;="&amp;FA1,'Expenditure Breakdown'!$W$6:$W$166, "&lt;"&amp;FB1)</f>
        <v>0</v>
      </c>
      <c r="FB11" s="125">
        <f>SUMIFS('Expenditure Breakdown'!$Q$6:$Q$166, 'Expenditure Breakdown'!$W$6:$W$166, "&gt;="&amp;FB1,'Expenditure Breakdown'!$W$6:$W$166, "&lt;"&amp;FC1)</f>
        <v>0</v>
      </c>
      <c r="FC11" s="125">
        <f>SUMIFS('Expenditure Breakdown'!$Q$6:$Q$166, 'Expenditure Breakdown'!$W$6:$W$166, "&gt;="&amp;FC1,'Expenditure Breakdown'!$W$6:$W$166, "&lt;"&amp;FD1)</f>
        <v>0</v>
      </c>
      <c r="FD11" s="125">
        <f>SUMIFS('Expenditure Breakdown'!$Q$6:$Q$166, 'Expenditure Breakdown'!$W$6:$W$166, "&gt;="&amp;FD1,'Expenditure Breakdown'!$W$6:$W$166, "&lt;"&amp;FE1)</f>
        <v>0</v>
      </c>
      <c r="FE11" s="125">
        <f>SUMIFS('Expenditure Breakdown'!$Q$6:$Q$166, 'Expenditure Breakdown'!$W$6:$W$166, "&gt;="&amp;FE1,'Expenditure Breakdown'!$W$6:$W$166, "&lt;"&amp;FF1)</f>
        <v>0</v>
      </c>
      <c r="FF11" s="125">
        <f>SUMIFS('Expenditure Breakdown'!$Q$6:$Q$166, 'Expenditure Breakdown'!$W$6:$W$166, "&gt;="&amp;FF1,'Expenditure Breakdown'!$W$6:$W$166, "&lt;"&amp;FG1)</f>
        <v>0</v>
      </c>
      <c r="FG11" s="125">
        <f>SUMIFS('Expenditure Breakdown'!$Q$6:$Q$166, 'Expenditure Breakdown'!$W$6:$W$166, "&gt;="&amp;FG1,'Expenditure Breakdown'!$W$6:$W$166, "&lt;"&amp;FH1)</f>
        <v>0</v>
      </c>
      <c r="FH11" s="125">
        <f>SUMIFS('Expenditure Breakdown'!$Q$6:$Q$166, 'Expenditure Breakdown'!$W$6:$W$166, "&gt;="&amp;FH1,'Expenditure Breakdown'!$W$6:$W$166, "&lt;"&amp;FI1)</f>
        <v>0</v>
      </c>
      <c r="FI11" s="125">
        <f>SUMIFS('Expenditure Breakdown'!$Q$6:$Q$166, 'Expenditure Breakdown'!$W$6:$W$166, "&gt;="&amp;FI1,'Expenditure Breakdown'!$W$6:$W$166, "&lt;"&amp;FJ1)</f>
        <v>0</v>
      </c>
      <c r="FJ11" s="125">
        <f>SUMIFS('Expenditure Breakdown'!$Q$6:$Q$166, 'Expenditure Breakdown'!$W$6:$W$166, "&gt;="&amp;FJ1,'Expenditure Breakdown'!$W$6:$W$166, "&lt;"&amp;FK1)</f>
        <v>0</v>
      </c>
      <c r="FK11" s="125">
        <f>SUMIFS('Expenditure Breakdown'!$Q$6:$Q$166, 'Expenditure Breakdown'!$W$6:$W$166, "&gt;="&amp;FK1,'Expenditure Breakdown'!$W$6:$W$166, "&lt;"&amp;FL1)</f>
        <v>0</v>
      </c>
      <c r="FL11" s="125">
        <f>SUMIFS('Expenditure Breakdown'!$Q$6:$Q$166, 'Expenditure Breakdown'!$W$6:$W$166, "&gt;="&amp;FL1,'Expenditure Breakdown'!$W$6:$W$166, "&lt;"&amp;FM1)</f>
        <v>0</v>
      </c>
      <c r="FM11" s="125">
        <f>SUMIFS('Expenditure Breakdown'!$Q$6:$Q$166, 'Expenditure Breakdown'!$W$6:$W$166, "&gt;="&amp;FM1,'Expenditure Breakdown'!$W$6:$W$166, "&lt;"&amp;FN1)</f>
        <v>0</v>
      </c>
      <c r="FN11" s="125">
        <f>SUMIFS('Expenditure Breakdown'!$Q$6:$Q$166, 'Expenditure Breakdown'!$W$6:$W$166, "&gt;="&amp;FN1,'Expenditure Breakdown'!$W$6:$W$166, "&lt;"&amp;FO1)</f>
        <v>0</v>
      </c>
      <c r="FO11" s="125">
        <f>SUMIFS('Expenditure Breakdown'!$Q$6:$Q$166, 'Expenditure Breakdown'!$W$6:$W$166, "&gt;="&amp;FO1,'Expenditure Breakdown'!$W$6:$W$166, "&lt;"&amp;FP1)</f>
        <v>0</v>
      </c>
      <c r="FP11" s="125">
        <f>SUMIFS('Expenditure Breakdown'!$Q$6:$Q$166, 'Expenditure Breakdown'!$W$6:$W$166, "&gt;="&amp;FP1,'Expenditure Breakdown'!$W$6:$W$166, "&lt;"&amp;FQ1)</f>
        <v>0</v>
      </c>
      <c r="FQ11" s="125">
        <f>SUMIFS('Expenditure Breakdown'!$Q$6:$Q$166, 'Expenditure Breakdown'!$W$6:$W$166, "&gt;="&amp;FQ1,'Expenditure Breakdown'!$W$6:$W$166, "&lt;"&amp;FR1)</f>
        <v>0</v>
      </c>
      <c r="FR11" s="125">
        <f>SUMIFS('Expenditure Breakdown'!$Q$6:$Q$166, 'Expenditure Breakdown'!$W$6:$W$166, "&gt;="&amp;FR1,'Expenditure Breakdown'!$W$6:$W$166, "&lt;"&amp;FS1)</f>
        <v>0</v>
      </c>
      <c r="FS11" s="125">
        <f>SUMIFS('Expenditure Breakdown'!$Q$6:$Q$166, 'Expenditure Breakdown'!$W$6:$W$166, "&gt;="&amp;FS1,'Expenditure Breakdown'!$W$6:$W$166, "&lt;"&amp;FT1)</f>
        <v>0</v>
      </c>
      <c r="FT11" s="125">
        <f>SUMIFS('Expenditure Breakdown'!$Q$6:$Q$166, 'Expenditure Breakdown'!$W$6:$W$166, "&gt;="&amp;FT1,'Expenditure Breakdown'!$W$6:$W$166, "&lt;"&amp;FU1)</f>
        <v>0</v>
      </c>
      <c r="FU11" s="125">
        <f>SUMIFS('Expenditure Breakdown'!$Q$6:$Q$166, 'Expenditure Breakdown'!$W$6:$W$166, "&gt;="&amp;FU1,'Expenditure Breakdown'!$W$6:$W$166, "&lt;"&amp;FV1)</f>
        <v>0</v>
      </c>
      <c r="FV11" s="125">
        <f>SUMIFS('Expenditure Breakdown'!$Q$6:$Q$166, 'Expenditure Breakdown'!$W$6:$W$166, "&gt;="&amp;FV1,'Expenditure Breakdown'!$W$6:$W$166, "&lt;"&amp;FW1)</f>
        <v>0</v>
      </c>
      <c r="FW11" s="125">
        <f>SUMIFS('Expenditure Breakdown'!$Q$6:$Q$166, 'Expenditure Breakdown'!$W$6:$W$166, "&gt;="&amp;FW1,'Expenditure Breakdown'!$W$6:$W$166, "&lt;"&amp;FX1)</f>
        <v>0</v>
      </c>
      <c r="FX11" s="125">
        <f>SUMIFS('Expenditure Breakdown'!$Q$6:$Q$166, 'Expenditure Breakdown'!$W$6:$W$166, "&gt;="&amp;FX1,'Expenditure Breakdown'!$W$6:$W$166, "&lt;"&amp;FY1)</f>
        <v>0</v>
      </c>
      <c r="FY11" s="125">
        <f>SUMIFS('Expenditure Breakdown'!$Q$6:$Q$166, 'Expenditure Breakdown'!$W$6:$W$166, "&gt;="&amp;FY1,'Expenditure Breakdown'!$W$6:$W$166, "&lt;"&amp;FZ1)</f>
        <v>0</v>
      </c>
      <c r="FZ11" s="125">
        <f>SUMIFS('Expenditure Breakdown'!$Q$6:$Q$166, 'Expenditure Breakdown'!$W$6:$W$166, "&gt;="&amp;FZ1,'Expenditure Breakdown'!$W$6:$W$166, "&lt;"&amp;GA1)</f>
        <v>0</v>
      </c>
      <c r="GA11" s="125">
        <f>SUMIFS('Expenditure Breakdown'!$Q$6:$Q$166, 'Expenditure Breakdown'!$W$6:$W$166, "&gt;="&amp;GA1,'Expenditure Breakdown'!$W$6:$W$166, "&lt;"&amp;GB1)</f>
        <v>0</v>
      </c>
      <c r="GB11" s="125">
        <f>SUMIFS('Expenditure Breakdown'!$Q$6:$Q$166, 'Expenditure Breakdown'!$W$6:$W$166, "&gt;="&amp;GB1,'Expenditure Breakdown'!$W$6:$W$166, "&lt;"&amp;GC1)</f>
        <v>0</v>
      </c>
      <c r="GC11" s="125">
        <f>SUMIFS('Expenditure Breakdown'!$Q$6:$Q$166, 'Expenditure Breakdown'!$W$6:$W$166, "&gt;="&amp;GC1,'Expenditure Breakdown'!$W$6:$W$166, "&lt;"&amp;GD1)</f>
        <v>0</v>
      </c>
      <c r="GD11" s="125">
        <f>SUMIFS('Expenditure Breakdown'!$Q$6:$Q$166, 'Expenditure Breakdown'!$W$6:$W$166, "&gt;="&amp;GD1,'Expenditure Breakdown'!$W$6:$W$166, "&lt;"&amp;GE1)</f>
        <v>0</v>
      </c>
      <c r="GE11" s="125">
        <f>SUMIFS('Expenditure Breakdown'!$Q$6:$Q$166, 'Expenditure Breakdown'!$W$6:$W$166, "&gt;="&amp;GE1,'Expenditure Breakdown'!$W$6:$W$166, "&lt;"&amp;GF1)</f>
        <v>0</v>
      </c>
      <c r="GF11" s="125">
        <f>SUMIFS('Expenditure Breakdown'!$Q$6:$Q$166, 'Expenditure Breakdown'!$W$6:$W$166, "&gt;="&amp;GF1,'Expenditure Breakdown'!$W$6:$W$166, "&lt;"&amp;GG1)</f>
        <v>0</v>
      </c>
      <c r="GG11" s="125">
        <f>SUMIFS('Expenditure Breakdown'!$Q$6:$Q$166, 'Expenditure Breakdown'!$W$6:$W$166, "&gt;="&amp;GG1,'Expenditure Breakdown'!$W$6:$W$166, "&lt;"&amp;GH1)</f>
        <v>0</v>
      </c>
      <c r="GH11" s="125">
        <f>SUMIFS('Expenditure Breakdown'!$Q$6:$Q$166, 'Expenditure Breakdown'!$W$6:$W$166, "&gt;="&amp;GH1,'Expenditure Breakdown'!$W$6:$W$166, "&lt;"&amp;GI1)</f>
        <v>0</v>
      </c>
      <c r="GI11" s="125">
        <f>SUMIFS('Expenditure Breakdown'!$Q$6:$Q$166, 'Expenditure Breakdown'!$W$6:$W$166, "&gt;="&amp;GI1,'Expenditure Breakdown'!$W$6:$W$166, "&lt;"&amp;GJ1)</f>
        <v>0</v>
      </c>
      <c r="GJ11" s="125">
        <f>SUMIFS('Expenditure Breakdown'!$Q$6:$Q$166, 'Expenditure Breakdown'!$W$6:$W$166, "&gt;="&amp;GJ1,'Expenditure Breakdown'!$W$6:$W$166, "&lt;"&amp;GK1)</f>
        <v>0</v>
      </c>
      <c r="GK11" s="125">
        <f>SUMIFS('Expenditure Breakdown'!$Q$6:$Q$166, 'Expenditure Breakdown'!$W$6:$W$166, "&gt;="&amp;GK1,'Expenditure Breakdown'!$W$6:$W$166, "&lt;"&amp;GL1)</f>
        <v>0</v>
      </c>
      <c r="GL11" s="125">
        <f>SUMIFS('Expenditure Breakdown'!$Q$6:$Q$166, 'Expenditure Breakdown'!$W$6:$W$166, "&gt;="&amp;GL1,'Expenditure Breakdown'!$W$6:$W$166, "&lt;"&amp;GM1)</f>
        <v>0</v>
      </c>
      <c r="GM11" s="125">
        <f>SUMIFS('Expenditure Breakdown'!$Q$6:$Q$166, 'Expenditure Breakdown'!$W$6:$W$166, "&gt;="&amp;GM1,'Expenditure Breakdown'!$W$6:$W$166, "&lt;"&amp;GN1)</f>
        <v>0</v>
      </c>
      <c r="GN11" s="125">
        <f>SUMIFS('Expenditure Breakdown'!$Q$6:$Q$166, 'Expenditure Breakdown'!$W$6:$W$166, "&gt;="&amp;GN1,'Expenditure Breakdown'!$W$6:$W$166, "&lt;"&amp;GO1)</f>
        <v>0</v>
      </c>
      <c r="GO11" s="125">
        <f>SUMIFS('Expenditure Breakdown'!$Q$6:$Q$166, 'Expenditure Breakdown'!$W$6:$W$166, "&gt;="&amp;GO1,'Expenditure Breakdown'!$W$6:$W$166, "&lt;"&amp;GP1)</f>
        <v>0</v>
      </c>
      <c r="GP11" s="125">
        <f>SUMIFS('Expenditure Breakdown'!$Q$6:$Q$166, 'Expenditure Breakdown'!$W$6:$W$166, "&gt;="&amp;GP1,'Expenditure Breakdown'!$W$6:$W$166, "&lt;"&amp;GQ1)</f>
        <v>0</v>
      </c>
      <c r="GQ11" s="125">
        <f>SUMIFS('Expenditure Breakdown'!$Q$6:$Q$166, 'Expenditure Breakdown'!$W$6:$W$166, "&gt;="&amp;GQ1,'Expenditure Breakdown'!$W$6:$W$166, "&lt;"&amp;GR1)</f>
        <v>0</v>
      </c>
      <c r="GR11" s="125">
        <f>SUMIFS('Expenditure Breakdown'!$Q$6:$Q$166, 'Expenditure Breakdown'!$W$6:$W$166, "&gt;="&amp;GR1,'Expenditure Breakdown'!$W$6:$W$166, "&lt;"&amp;GS1)</f>
        <v>0</v>
      </c>
      <c r="GS11" s="125">
        <f>SUMIFS('Expenditure Breakdown'!$Q$6:$Q$166, 'Expenditure Breakdown'!$W$6:$W$166, "&gt;="&amp;GS1,'Expenditure Breakdown'!$W$6:$W$166, "&lt;"&amp;GT1)</f>
        <v>0</v>
      </c>
      <c r="GT11" s="125">
        <f>SUMIFS('Expenditure Breakdown'!$Q$6:$Q$166, 'Expenditure Breakdown'!$W$6:$W$166, "&gt;="&amp;GT1,'Expenditure Breakdown'!$W$6:$W$166, "&lt;"&amp;GU1)</f>
        <v>0</v>
      </c>
      <c r="GU11" s="125">
        <f>SUMIFS('Expenditure Breakdown'!$Q$6:$Q$166, 'Expenditure Breakdown'!$W$6:$W$166, "&gt;="&amp;GU1,'Expenditure Breakdown'!$W$6:$W$166, "&lt;"&amp;GV1)</f>
        <v>0</v>
      </c>
      <c r="GV11" s="125">
        <f>SUMIFS('Expenditure Breakdown'!$Q$6:$Q$166, 'Expenditure Breakdown'!$W$6:$W$166, "&gt;="&amp;GV1,'Expenditure Breakdown'!$W$6:$W$166, "&lt;"&amp;GW1)</f>
        <v>0</v>
      </c>
      <c r="GW11" s="125">
        <f>SUMIFS('Expenditure Breakdown'!$Q$6:$Q$166, 'Expenditure Breakdown'!$W$6:$W$166, "&gt;="&amp;GW1,'Expenditure Breakdown'!$W$6:$W$166, "&lt;"&amp;GX1)</f>
        <v>0</v>
      </c>
      <c r="GX11" s="125">
        <f>SUMIFS('Expenditure Breakdown'!$Q$6:$Q$166, 'Expenditure Breakdown'!$W$6:$W$166, "&gt;="&amp;GX1,'Expenditure Breakdown'!$W$6:$W$166, "&lt;"&amp;GY1)</f>
        <v>0</v>
      </c>
      <c r="GY11" s="125">
        <f>SUMIFS('Expenditure Breakdown'!$Q$6:$Q$166, 'Expenditure Breakdown'!$W$6:$W$166, "&gt;="&amp;GY1,'Expenditure Breakdown'!$W$6:$W$166, "&lt;"&amp;GZ1)</f>
        <v>0</v>
      </c>
      <c r="GZ11" s="125">
        <f>SUMIFS('Expenditure Breakdown'!$Q$6:$Q$166, 'Expenditure Breakdown'!$W$6:$W$166, "&gt;="&amp;GZ1,'Expenditure Breakdown'!$W$6:$W$166, "&lt;"&amp;HA1)</f>
        <v>0</v>
      </c>
      <c r="HA11" s="125">
        <f>SUMIFS('Expenditure Breakdown'!$Q$6:$Q$166, 'Expenditure Breakdown'!$W$6:$W$166, "&gt;="&amp;HA1,'Expenditure Breakdown'!$W$6:$W$166, "&lt;"&amp;HB1)</f>
        <v>0</v>
      </c>
      <c r="HB11" s="125">
        <f>SUMIFS('Expenditure Breakdown'!$Q$6:$Q$166, 'Expenditure Breakdown'!$W$6:$W$166, "&gt;="&amp;HB1,'Expenditure Breakdown'!$W$6:$W$166, "&lt;"&amp;HC1)</f>
        <v>0</v>
      </c>
      <c r="HC11" s="125">
        <f>SUMIFS('Expenditure Breakdown'!$Q$6:$Q$166, 'Expenditure Breakdown'!$W$6:$W$166, "&gt;="&amp;HC1,'Expenditure Breakdown'!$W$6:$W$166, "&lt;"&amp;HD1)</f>
        <v>0</v>
      </c>
      <c r="HD11" s="125">
        <f>SUMIFS('Expenditure Breakdown'!$Q$6:$Q$166, 'Expenditure Breakdown'!$W$6:$W$166, "&gt;="&amp;HD1,'Expenditure Breakdown'!$W$6:$W$166, "&lt;"&amp;HE1)</f>
        <v>0</v>
      </c>
      <c r="HE11" s="125">
        <f>SUMIFS('Expenditure Breakdown'!$Q$6:$Q$166, 'Expenditure Breakdown'!$W$6:$W$166, "&gt;="&amp;HE1,'Expenditure Breakdown'!$W$6:$W$166, "&lt;"&amp;HF1)</f>
        <v>0</v>
      </c>
      <c r="HF11" s="125">
        <f>SUMIFS('Expenditure Breakdown'!$Q$6:$Q$166, 'Expenditure Breakdown'!$W$6:$W$166, "&gt;="&amp;HF1,'Expenditure Breakdown'!$W$6:$W$166, "&lt;"&amp;HG1)</f>
        <v>0</v>
      </c>
      <c r="HG11" s="125">
        <f>SUMIFS('Expenditure Breakdown'!$Q$6:$Q$166, 'Expenditure Breakdown'!$W$6:$W$166, "&gt;="&amp;HG1,'Expenditure Breakdown'!$W$6:$W$166, "&lt;"&amp;HH1)</f>
        <v>0</v>
      </c>
      <c r="HH11" s="125">
        <f>SUMIFS('Expenditure Breakdown'!$Q$6:$Q$166, 'Expenditure Breakdown'!$W$6:$W$166, "&gt;="&amp;HH1,'Expenditure Breakdown'!$W$6:$W$166, "&lt;"&amp;HI1)</f>
        <v>0</v>
      </c>
      <c r="HI11" s="125">
        <f>SUMIFS('Expenditure Breakdown'!$Q$6:$Q$166, 'Expenditure Breakdown'!$W$6:$W$166, "&gt;="&amp;HI1,'Expenditure Breakdown'!$W$6:$W$166, "&lt;"&amp;HJ1)</f>
        <v>0</v>
      </c>
      <c r="HJ11" s="125">
        <f>SUMIFS('Expenditure Breakdown'!$Q$6:$Q$166, 'Expenditure Breakdown'!$W$6:$W$166, "&gt;="&amp;HJ1,'Expenditure Breakdown'!$W$6:$W$166, "&lt;"&amp;HK1)</f>
        <v>0</v>
      </c>
      <c r="HK11" s="125">
        <f>SUMIFS('Expenditure Breakdown'!$Q$6:$Q$166, 'Expenditure Breakdown'!$W$6:$W$166, "&gt;="&amp;HK1,'Expenditure Breakdown'!$W$6:$W$166, "&lt;"&amp;HL1)</f>
        <v>0</v>
      </c>
      <c r="HL11" s="125">
        <f>SUMIFS('Expenditure Breakdown'!$Q$6:$Q$166, 'Expenditure Breakdown'!$W$6:$W$166, "&gt;="&amp;HL1,'Expenditure Breakdown'!$W$6:$W$166, "&lt;"&amp;HM1)</f>
        <v>0</v>
      </c>
      <c r="HM11" s="125">
        <f>SUMIFS('Expenditure Breakdown'!$Q$6:$Q$166, 'Expenditure Breakdown'!$W$6:$W$166, "&gt;="&amp;HM1,'Expenditure Breakdown'!$W$6:$W$166, "&lt;"&amp;HN1)</f>
        <v>0</v>
      </c>
      <c r="HN11" s="125">
        <f>SUMIFS('Expenditure Breakdown'!$Q$6:$Q$166, 'Expenditure Breakdown'!$W$6:$W$166, "&gt;="&amp;HN1,'Expenditure Breakdown'!$W$6:$W$166, "&lt;"&amp;HO1)</f>
        <v>0</v>
      </c>
      <c r="HO11" s="125">
        <f>SUMIFS('Expenditure Breakdown'!$Q$6:$Q$166, 'Expenditure Breakdown'!$W$6:$W$166, "&gt;="&amp;HO1,'Expenditure Breakdown'!$W$6:$W$166, "&lt;"&amp;HP1)</f>
        <v>0</v>
      </c>
      <c r="HP11" s="125">
        <f>SUMIFS('Expenditure Breakdown'!$Q$6:$Q$166, 'Expenditure Breakdown'!$W$6:$W$166, "&gt;="&amp;HP1,'Expenditure Breakdown'!$W$6:$W$166, "&lt;"&amp;HQ1)</f>
        <v>0</v>
      </c>
      <c r="HQ11" s="125">
        <f>SUMIFS('Expenditure Breakdown'!$Q$6:$Q$166, 'Expenditure Breakdown'!$W$6:$W$166, "&gt;="&amp;HQ1,'Expenditure Breakdown'!$W$6:$W$166, "&lt;"&amp;HR1)</f>
        <v>0</v>
      </c>
      <c r="HR11" s="125">
        <f>SUMIFS('Expenditure Breakdown'!$Q$6:$Q$166, 'Expenditure Breakdown'!$W$6:$W$166, "&gt;="&amp;HR1,'Expenditure Breakdown'!$W$6:$W$166, "&lt;"&amp;HS1)</f>
        <v>0</v>
      </c>
      <c r="HS11" s="125">
        <f>SUMIFS('Expenditure Breakdown'!$Q$6:$Q$166, 'Expenditure Breakdown'!$W$6:$W$166, "&gt;="&amp;HS1,'Expenditure Breakdown'!$W$6:$W$166, "&lt;"&amp;HT1)</f>
        <v>0</v>
      </c>
      <c r="HT11" s="125">
        <f>SUMIFS('Expenditure Breakdown'!$Q$6:$Q$166, 'Expenditure Breakdown'!$W$6:$W$166, "&gt;="&amp;HT1,'Expenditure Breakdown'!$W$6:$W$166, "&lt;"&amp;HU1)</f>
        <v>0</v>
      </c>
      <c r="HU11" s="125">
        <f>SUMIFS('Expenditure Breakdown'!$Q$6:$Q$166, 'Expenditure Breakdown'!$W$6:$W$166, "&gt;="&amp;HU1,'Expenditure Breakdown'!$W$6:$W$166, "&lt;"&amp;HV1)</f>
        <v>0</v>
      </c>
      <c r="HV11" s="125">
        <f>SUMIFS('Expenditure Breakdown'!$Q$6:$Q$166, 'Expenditure Breakdown'!$W$6:$W$166, "&gt;="&amp;HV1,'Expenditure Breakdown'!$W$6:$W$166, "&lt;"&amp;HW1)</f>
        <v>0</v>
      </c>
      <c r="HW11" s="125">
        <f>SUMIFS('Expenditure Breakdown'!$Q$6:$Q$166, 'Expenditure Breakdown'!$W$6:$W$166, "&gt;="&amp;HW1,'Expenditure Breakdown'!$W$6:$W$166, "&lt;"&amp;HX1)</f>
        <v>0</v>
      </c>
      <c r="HX11" s="125">
        <f>SUMIFS('Expenditure Breakdown'!$Q$6:$Q$166, 'Expenditure Breakdown'!$W$6:$W$166, "&gt;="&amp;HX1,'Expenditure Breakdown'!$W$6:$W$166, "&lt;"&amp;HY1)</f>
        <v>0</v>
      </c>
      <c r="HY11" s="125">
        <f>SUMIFS('Expenditure Breakdown'!$Q$6:$Q$166, 'Expenditure Breakdown'!$W$6:$W$166, "&gt;="&amp;HY1,'Expenditure Breakdown'!$W$6:$W$166, "&lt;"&amp;HZ1)</f>
        <v>0</v>
      </c>
      <c r="HZ11" s="125">
        <f>SUMIFS('Expenditure Breakdown'!$Q$6:$Q$166, 'Expenditure Breakdown'!$W$6:$W$166, "&gt;="&amp;HZ1,'Expenditure Breakdown'!$W$6:$W$166, "&lt;"&amp;IA1)</f>
        <v>0</v>
      </c>
      <c r="IA11" s="125">
        <f>SUMIFS('Expenditure Breakdown'!$Q$6:$Q$166, 'Expenditure Breakdown'!$W$6:$W$166, "&gt;="&amp;IA1,'Expenditure Breakdown'!$W$6:$W$166, "&lt;"&amp;IB1)</f>
        <v>0</v>
      </c>
      <c r="IB11" s="125">
        <f>SUMIFS('Expenditure Breakdown'!$Q$6:$Q$166, 'Expenditure Breakdown'!$W$6:$W$166, "&gt;="&amp;IB1,'Expenditure Breakdown'!$W$6:$W$166, "&lt;"&amp;IC1)</f>
        <v>0</v>
      </c>
      <c r="IC11" s="125">
        <f>SUMIFS('Expenditure Breakdown'!$Q$6:$Q$166, 'Expenditure Breakdown'!$W$6:$W$166, "&gt;="&amp;IC1,'Expenditure Breakdown'!$W$6:$W$166, "&lt;"&amp;ID1)</f>
        <v>0</v>
      </c>
      <c r="ID11" s="125">
        <f>SUMIFS('Expenditure Breakdown'!$Q$6:$Q$166, 'Expenditure Breakdown'!$W$6:$W$166, "&gt;="&amp;ID1,'Expenditure Breakdown'!$W$6:$W$166, "&lt;"&amp;IE1)</f>
        <v>0</v>
      </c>
      <c r="IE11" s="125">
        <f>SUMIFS('Expenditure Breakdown'!$Q$6:$Q$166, 'Expenditure Breakdown'!$W$6:$W$166, "&gt;="&amp;IE1,'Expenditure Breakdown'!$W$6:$W$166, "&lt;"&amp;IF1)</f>
        <v>0</v>
      </c>
      <c r="IF11" s="125">
        <f>SUMIFS('Expenditure Breakdown'!$Q$6:$Q$166, 'Expenditure Breakdown'!$W$6:$W$166, "&gt;="&amp;IF1,'Expenditure Breakdown'!$W$6:$W$166, "&lt;"&amp;IG1)</f>
        <v>0</v>
      </c>
      <c r="IG11" s="125">
        <f>SUMIFS('Expenditure Breakdown'!$Q$6:$Q$166, 'Expenditure Breakdown'!$W$6:$W$166, "&gt;="&amp;IG1,'Expenditure Breakdown'!$W$6:$W$166, "&lt;"&amp;IH1)</f>
        <v>0</v>
      </c>
      <c r="IH11" s="125">
        <f>SUMIFS('Expenditure Breakdown'!$Q$6:$Q$166, 'Expenditure Breakdown'!$W$6:$W$166, "&gt;="&amp;IH1,'Expenditure Breakdown'!$W$6:$W$166, "&lt;"&amp;II1)</f>
        <v>0</v>
      </c>
      <c r="II11" s="125">
        <f>SUMIFS('Expenditure Breakdown'!$Q$6:$Q$166, 'Expenditure Breakdown'!$W$6:$W$166, "&gt;="&amp;II1,'Expenditure Breakdown'!$W$6:$W$166, "&lt;"&amp;IJ1)</f>
        <v>0</v>
      </c>
      <c r="IJ11" s="125">
        <f>SUMIFS('Expenditure Breakdown'!$Q$6:$Q$166, 'Expenditure Breakdown'!$W$6:$W$166, "&gt;="&amp;IJ1,'Expenditure Breakdown'!$W$6:$W$166, "&lt;"&amp;IK1)</f>
        <v>0</v>
      </c>
      <c r="IK11" s="125">
        <f>SUMIFS('Expenditure Breakdown'!$Q$6:$Q$166, 'Expenditure Breakdown'!$W$6:$W$166, "&gt;="&amp;IK1,'Expenditure Breakdown'!$W$6:$W$166, "&lt;"&amp;IL1)</f>
        <v>0</v>
      </c>
      <c r="IL11" s="125">
        <f>SUMIFS('Expenditure Breakdown'!$Q$6:$Q$166, 'Expenditure Breakdown'!$W$6:$W$166, "&gt;="&amp;IL1,'Expenditure Breakdown'!$W$6:$W$166, "&lt;"&amp;IM1)</f>
        <v>0</v>
      </c>
      <c r="IM11" s="125">
        <f>SUMIFS('Expenditure Breakdown'!$Q$6:$Q$166, 'Expenditure Breakdown'!$W$6:$W$166, "&gt;="&amp;IM1,'Expenditure Breakdown'!$W$6:$W$166, "&lt;"&amp;IN1)</f>
        <v>0</v>
      </c>
      <c r="IN11" s="125">
        <f>SUMIFS('Expenditure Breakdown'!$Q$6:$Q$166, 'Expenditure Breakdown'!$W$6:$W$166, "&gt;="&amp;IN1,'Expenditure Breakdown'!$W$6:$W$166, "&lt;"&amp;IO1)</f>
        <v>0</v>
      </c>
      <c r="IO11" s="125">
        <f>SUMIFS('Expenditure Breakdown'!$Q$6:$Q$166, 'Expenditure Breakdown'!$W$6:$W$166, "&gt;="&amp;IO1,'Expenditure Breakdown'!$W$6:$W$166, "&lt;"&amp;IP1)</f>
        <v>0</v>
      </c>
      <c r="IP11" s="125">
        <f>SUMIFS('Expenditure Breakdown'!$Q$6:$Q$166, 'Expenditure Breakdown'!$W$6:$W$166, "&gt;="&amp;IP1,'Expenditure Breakdown'!$W$6:$W$166, "&lt;"&amp;IQ1)</f>
        <v>0</v>
      </c>
      <c r="IQ11" s="125">
        <f>SUMIFS('Expenditure Breakdown'!$Q$6:$Q$166, 'Expenditure Breakdown'!$W$6:$W$166, "&gt;="&amp;IQ1,'Expenditure Breakdown'!$W$6:$W$166, "&lt;"&amp;IR1)</f>
        <v>0</v>
      </c>
      <c r="IR11" s="125">
        <f>SUMIFS('Expenditure Breakdown'!$Q$6:$Q$166, 'Expenditure Breakdown'!$W$6:$W$166, "&gt;="&amp;IR1,'Expenditure Breakdown'!$W$6:$W$166, "&lt;"&amp;IS1)</f>
        <v>0</v>
      </c>
      <c r="IS11" s="125">
        <f>SUMIFS('Expenditure Breakdown'!$Q$6:$Q$166, 'Expenditure Breakdown'!$W$6:$W$166, "&gt;="&amp;IS1,'Expenditure Breakdown'!$W$6:$W$166, "&lt;"&amp;IT1)</f>
        <v>0</v>
      </c>
      <c r="IT11" s="125">
        <f>SUMIFS('Expenditure Breakdown'!$Q$6:$Q$166, 'Expenditure Breakdown'!$W$6:$W$166, "&gt;="&amp;IT1,'Expenditure Breakdown'!$W$6:$W$166, "&lt;"&amp;IU1)</f>
        <v>0</v>
      </c>
      <c r="IU11" s="125">
        <f>SUMIFS('Expenditure Breakdown'!$Q$6:$Q$166, 'Expenditure Breakdown'!$W$6:$W$166, "&gt;="&amp;IU1,'Expenditure Breakdown'!$W$6:$W$166, "&lt;"&amp;IV1)</f>
        <v>0</v>
      </c>
      <c r="IV11" s="125">
        <f>SUMIFS('Expenditure Breakdown'!$Q$6:$Q$166, 'Expenditure Breakdown'!$W$6:$W$166, "&gt;="&amp;IV1,'Expenditure Breakdown'!$W$6:$W$166, "&lt;"&amp;IW1)</f>
        <v>0</v>
      </c>
      <c r="IW11" s="125">
        <f>SUMIFS('Expenditure Breakdown'!$Q$6:$Q$166, 'Expenditure Breakdown'!$W$6:$W$166, "&gt;="&amp;IW1,'Expenditure Breakdown'!$W$6:$W$166, "&lt;"&amp;IX1)</f>
        <v>0</v>
      </c>
      <c r="IX11" s="125">
        <f>SUMIFS('Expenditure Breakdown'!$Q$6:$Q$166, 'Expenditure Breakdown'!$W$6:$W$166, "&gt;="&amp;IX1,'Expenditure Breakdown'!$W$6:$W$166, "&lt;"&amp;IY1)</f>
        <v>0</v>
      </c>
      <c r="IY11" s="125">
        <f>SUMIFS('Expenditure Breakdown'!$Q$6:$Q$166, 'Expenditure Breakdown'!$W$6:$W$166, "&gt;="&amp;IY1,'Expenditure Breakdown'!$W$6:$W$166, "&lt;"&amp;IZ1)</f>
        <v>0</v>
      </c>
      <c r="IZ11" s="125">
        <f>SUMIFS('Expenditure Breakdown'!$Q$6:$Q$166, 'Expenditure Breakdown'!$W$6:$W$166, "&gt;="&amp;IZ1,'Expenditure Breakdown'!$W$6:$W$166, "&lt;"&amp;JA1)</f>
        <v>0</v>
      </c>
      <c r="JA11" s="125">
        <f>SUMIFS('Expenditure Breakdown'!$Q$6:$Q$166, 'Expenditure Breakdown'!$W$6:$W$166, "&gt;="&amp;JA1,'Expenditure Breakdown'!$W$6:$W$166, "&lt;"&amp;JB1)</f>
        <v>0</v>
      </c>
      <c r="JB11" s="125">
        <f>SUMIFS('Expenditure Breakdown'!$Q$6:$Q$166, 'Expenditure Breakdown'!$W$6:$W$166, "&gt;="&amp;JB1,'Expenditure Breakdown'!$W$6:$W$166, "&lt;"&amp;JC1)</f>
        <v>0</v>
      </c>
      <c r="JC11" s="125">
        <f>SUMIFS('Expenditure Breakdown'!$Q$6:$Q$166, 'Expenditure Breakdown'!$W$6:$W$166, "&gt;="&amp;JC1,'Expenditure Breakdown'!$W$6:$W$166, "&lt;"&amp;JD1)</f>
        <v>0</v>
      </c>
      <c r="JD11" s="125">
        <f>SUMIFS('Expenditure Breakdown'!$Q$6:$Q$166, 'Expenditure Breakdown'!$W$6:$W$166, "&gt;="&amp;JD1,'Expenditure Breakdown'!$W$6:$W$166, "&lt;"&amp;JE1)</f>
        <v>0</v>
      </c>
      <c r="JE11" s="125">
        <f>SUMIFS('Expenditure Breakdown'!$Q$6:$Q$166, 'Expenditure Breakdown'!$W$6:$W$166, "&gt;="&amp;JE1,'Expenditure Breakdown'!$W$6:$W$166, "&lt;"&amp;JF1)</f>
        <v>0</v>
      </c>
      <c r="JF11" s="125">
        <f>SUMIFS('Expenditure Breakdown'!$Q$6:$Q$166, 'Expenditure Breakdown'!$W$6:$W$166, "&gt;="&amp;JF1,'Expenditure Breakdown'!$W$6:$W$166, "&lt;"&amp;JG1)</f>
        <v>0</v>
      </c>
      <c r="JG11" s="125">
        <f>SUMIFS('Expenditure Breakdown'!$Q$6:$Q$166, 'Expenditure Breakdown'!$W$6:$W$166, "&gt;="&amp;JG1,'Expenditure Breakdown'!$W$6:$W$166, "&lt;"&amp;JH1)</f>
        <v>0</v>
      </c>
      <c r="JH11" s="125">
        <f>SUMIFS('Expenditure Breakdown'!$Q$6:$Q$166, 'Expenditure Breakdown'!$W$6:$W$166, "&gt;="&amp;JH1,'Expenditure Breakdown'!$W$6:$W$166, "&lt;"&amp;JI1)</f>
        <v>0</v>
      </c>
      <c r="JI11" s="125">
        <f>SUMIFS('Expenditure Breakdown'!$Q$6:$Q$166, 'Expenditure Breakdown'!$W$6:$W$166, "&gt;="&amp;JI1,'Expenditure Breakdown'!$W$6:$W$166, "&lt;"&amp;JJ1)</f>
        <v>0</v>
      </c>
      <c r="JJ11" s="125">
        <f>SUMIFS('Expenditure Breakdown'!$Q$6:$Q$166, 'Expenditure Breakdown'!$W$6:$W$166, "&gt;="&amp;JJ1,'Expenditure Breakdown'!$W$6:$W$166, "&lt;"&amp;JK1)</f>
        <v>0</v>
      </c>
      <c r="JK11" s="125">
        <f>SUMIFS('Expenditure Breakdown'!$Q$6:$Q$166, 'Expenditure Breakdown'!$W$6:$W$166, "&gt;="&amp;JK1,'Expenditure Breakdown'!$W$6:$W$166, "&lt;"&amp;JL1)</f>
        <v>0</v>
      </c>
      <c r="JL11" s="125">
        <f>SUMIFS('Expenditure Breakdown'!$Q$6:$Q$166, 'Expenditure Breakdown'!$W$6:$W$166, "&gt;="&amp;JL1,'Expenditure Breakdown'!$W$6:$W$166, "&lt;"&amp;JM1)</f>
        <v>0</v>
      </c>
      <c r="JM11" s="125">
        <f>SUMIFS('Expenditure Breakdown'!$Q$6:$Q$166, 'Expenditure Breakdown'!$W$6:$W$166, "&gt;="&amp;JM1,'Expenditure Breakdown'!$W$6:$W$166, "&lt;"&amp;JN1)</f>
        <v>0</v>
      </c>
      <c r="JN11" s="125">
        <f>SUMIFS('Expenditure Breakdown'!$Q$6:$Q$166, 'Expenditure Breakdown'!$W$6:$W$166, "&gt;="&amp;JN1,'Expenditure Breakdown'!$W$6:$W$166, "&lt;"&amp;JO1)</f>
        <v>0</v>
      </c>
      <c r="JO11" s="125">
        <f>SUMIFS('Expenditure Breakdown'!$Q$6:$Q$166, 'Expenditure Breakdown'!$W$6:$W$166, "&gt;="&amp;JO1,'Expenditure Breakdown'!$W$6:$W$166, "&lt;"&amp;JP1)</f>
        <v>0</v>
      </c>
      <c r="JP11" s="125">
        <f>SUMIFS('Expenditure Breakdown'!$Q$6:$Q$166, 'Expenditure Breakdown'!$W$6:$W$166, "&gt;="&amp;JP1,'Expenditure Breakdown'!$W$6:$W$166, "&lt;"&amp;JQ1)</f>
        <v>0</v>
      </c>
      <c r="JQ11" s="125">
        <f>SUMIFS('Expenditure Breakdown'!$Q$6:$Q$166, 'Expenditure Breakdown'!$W$6:$W$166, "&gt;="&amp;JQ1,'Expenditure Breakdown'!$W$6:$W$166, "&lt;"&amp;JR1)</f>
        <v>0</v>
      </c>
      <c r="JR11" s="125">
        <f>SUMIFS('Expenditure Breakdown'!$Q$6:$Q$166, 'Expenditure Breakdown'!$W$6:$W$166, "&gt;="&amp;JR1,'Expenditure Breakdown'!$W$6:$W$166, "&lt;"&amp;JS1)</f>
        <v>0</v>
      </c>
      <c r="JS11" s="125">
        <f>SUMIFS('Expenditure Breakdown'!$Q$6:$Q$166, 'Expenditure Breakdown'!$W$6:$W$166, "&gt;="&amp;JS1,'Expenditure Breakdown'!$W$6:$W$166, "&lt;"&amp;JT1)</f>
        <v>0</v>
      </c>
      <c r="JT11" s="125">
        <f>SUMIFS('Expenditure Breakdown'!$Q$6:$Q$166, 'Expenditure Breakdown'!$W$6:$W$166, "&gt;="&amp;JT1,'Expenditure Breakdown'!$W$6:$W$166, "&lt;"&amp;JU1)</f>
        <v>0</v>
      </c>
      <c r="JU11" s="125">
        <f>SUMIFS('Expenditure Breakdown'!$Q$6:$Q$166, 'Expenditure Breakdown'!$W$6:$W$166, "&gt;="&amp;JU1,'Expenditure Breakdown'!$W$6:$W$166, "&lt;"&amp;JV1)</f>
        <v>0</v>
      </c>
      <c r="JV11" s="125">
        <f>SUMIFS('Expenditure Breakdown'!$Q$6:$Q$166, 'Expenditure Breakdown'!$W$6:$W$166, "&gt;="&amp;JV1,'Expenditure Breakdown'!$W$6:$W$166, "&lt;"&amp;JW1)</f>
        <v>0</v>
      </c>
      <c r="JW11" s="125">
        <f>SUMIFS('Expenditure Breakdown'!$Q$6:$Q$166, 'Expenditure Breakdown'!$W$6:$W$166, "&gt;="&amp;JW1,'Expenditure Breakdown'!$W$6:$W$166, "&lt;"&amp;JX1)</f>
        <v>0</v>
      </c>
      <c r="JX11" s="125">
        <f>SUMIFS('Expenditure Breakdown'!$Q$6:$Q$166, 'Expenditure Breakdown'!$W$6:$W$166, "&gt;="&amp;JX1,'Expenditure Breakdown'!$W$6:$W$166, "&lt;"&amp;JY1)</f>
        <v>0</v>
      </c>
      <c r="JY11" s="125">
        <f>SUMIFS('Expenditure Breakdown'!$Q$6:$Q$166, 'Expenditure Breakdown'!$W$6:$W$166, "&gt;="&amp;JY1,'Expenditure Breakdown'!$W$6:$W$166, "&lt;"&amp;JZ1)</f>
        <v>0</v>
      </c>
      <c r="JZ11" s="125">
        <f>SUMIFS('Expenditure Breakdown'!$Q$6:$Q$166, 'Expenditure Breakdown'!$W$6:$W$166, "&gt;="&amp;JZ1,'Expenditure Breakdown'!$W$6:$W$166, "&lt;"&amp;KA1)</f>
        <v>0</v>
      </c>
      <c r="KA11" s="125">
        <f>SUMIFS('Expenditure Breakdown'!$Q$6:$Q$166, 'Expenditure Breakdown'!$W$6:$W$166, "&gt;="&amp;KA1,'Expenditure Breakdown'!$W$6:$W$166, "&lt;"&amp;KB1)</f>
        <v>0</v>
      </c>
      <c r="KB11" s="125">
        <f>SUMIFS('Expenditure Breakdown'!$Q$6:$Q$166, 'Expenditure Breakdown'!$W$6:$W$166, "&gt;="&amp;KB1,'Expenditure Breakdown'!$W$6:$W$166, "&lt;"&amp;KC1)</f>
        <v>0</v>
      </c>
      <c r="KC11" s="125">
        <f>SUMIFS('Expenditure Breakdown'!$Q$6:$Q$166, 'Expenditure Breakdown'!$W$6:$W$166, "&gt;="&amp;KC1,'Expenditure Breakdown'!$W$6:$W$166, "&lt;"&amp;KD1)</f>
        <v>0</v>
      </c>
      <c r="KD11" s="125">
        <f>SUMIFS('Expenditure Breakdown'!$Q$6:$Q$166, 'Expenditure Breakdown'!$W$6:$W$166, "&gt;="&amp;KD1,'Expenditure Breakdown'!$W$6:$W$166, "&lt;"&amp;KE1)</f>
        <v>0</v>
      </c>
      <c r="KE11" s="125">
        <f>SUMIFS('Expenditure Breakdown'!$Q$6:$Q$166, 'Expenditure Breakdown'!$W$6:$W$166, "&gt;="&amp;KE1,'Expenditure Breakdown'!$W$6:$W$166, "&lt;"&amp;#REF!)</f>
        <v>0</v>
      </c>
      <c r="KF11" s="102"/>
      <c r="KG11" s="113"/>
      <c r="KH11" s="113"/>
    </row>
    <row r="12" spans="1:769" s="114" customFormat="1">
      <c r="A12" s="778"/>
      <c r="B12" s="123" t="s">
        <v>405</v>
      </c>
      <c r="C12" s="124"/>
      <c r="D12" s="124"/>
      <c r="E12" s="108"/>
      <c r="F12" s="125">
        <f>F11</f>
        <v>0</v>
      </c>
      <c r="G12" s="125">
        <f>F12+G11</f>
        <v>0</v>
      </c>
      <c r="H12" s="125">
        <f>G12+H11</f>
        <v>0</v>
      </c>
      <c r="I12" s="125">
        <f t="shared" ref="I12:BT12" si="26">H12+I11</f>
        <v>0</v>
      </c>
      <c r="J12" s="125">
        <f t="shared" si="26"/>
        <v>0</v>
      </c>
      <c r="K12" s="125">
        <f t="shared" si="26"/>
        <v>0</v>
      </c>
      <c r="L12" s="125">
        <f t="shared" si="26"/>
        <v>0</v>
      </c>
      <c r="M12" s="125">
        <f t="shared" si="26"/>
        <v>0</v>
      </c>
      <c r="N12" s="125">
        <f t="shared" si="26"/>
        <v>0</v>
      </c>
      <c r="O12" s="125">
        <f t="shared" si="26"/>
        <v>0</v>
      </c>
      <c r="P12" s="125">
        <f t="shared" si="26"/>
        <v>0</v>
      </c>
      <c r="Q12" s="125">
        <f t="shared" si="26"/>
        <v>33631.612359903382</v>
      </c>
      <c r="R12" s="125">
        <f t="shared" si="26"/>
        <v>84079.030899758451</v>
      </c>
      <c r="S12" s="125">
        <f t="shared" si="26"/>
        <v>85916.530899758451</v>
      </c>
      <c r="T12" s="125">
        <f t="shared" si="26"/>
        <v>85916.530899758451</v>
      </c>
      <c r="U12" s="125">
        <f t="shared" si="26"/>
        <v>85916.530899758451</v>
      </c>
      <c r="V12" s="125">
        <f t="shared" si="26"/>
        <v>223961.18089975844</v>
      </c>
      <c r="W12" s="125">
        <f t="shared" si="26"/>
        <v>309877.71179951692</v>
      </c>
      <c r="X12" s="125">
        <f t="shared" si="26"/>
        <v>425513.87676914397</v>
      </c>
      <c r="Y12" s="125">
        <f t="shared" si="26"/>
        <v>459145.48912904738</v>
      </c>
      <c r="Z12" s="125">
        <f t="shared" si="26"/>
        <v>649880.90766890242</v>
      </c>
      <c r="AA12" s="125">
        <f t="shared" si="26"/>
        <v>1404718.4076689025</v>
      </c>
      <c r="AB12" s="125">
        <f t="shared" si="26"/>
        <v>1404718.4076689025</v>
      </c>
      <c r="AC12" s="125">
        <f t="shared" si="26"/>
        <v>1404718.4076689025</v>
      </c>
      <c r="AD12" s="125">
        <f>AC12+AD11</f>
        <v>1421534.2138488542</v>
      </c>
      <c r="AE12" s="125">
        <f t="shared" si="26"/>
        <v>1421534.2138488542</v>
      </c>
      <c r="AF12" s="125">
        <f t="shared" si="26"/>
        <v>1423371.7138488542</v>
      </c>
      <c r="AG12" s="125">
        <f t="shared" si="26"/>
        <v>1423371.7138488542</v>
      </c>
      <c r="AH12" s="125">
        <f t="shared" si="26"/>
        <v>1423371.7138488542</v>
      </c>
      <c r="AI12" s="125">
        <f t="shared" si="26"/>
        <v>1483371.7138488542</v>
      </c>
      <c r="AJ12" s="125">
        <f t="shared" si="26"/>
        <v>1483371.7138488542</v>
      </c>
      <c r="AK12" s="125">
        <f t="shared" si="26"/>
        <v>1483371.7138488542</v>
      </c>
      <c r="AL12" s="125">
        <f t="shared" si="26"/>
        <v>1483371.7138488542</v>
      </c>
      <c r="AM12" s="125">
        <f t="shared" si="26"/>
        <v>1483371.7138488542</v>
      </c>
      <c r="AN12" s="125">
        <f t="shared" si="26"/>
        <v>1483371.7138488542</v>
      </c>
      <c r="AO12" s="125">
        <f t="shared" si="26"/>
        <v>1483371.7138488542</v>
      </c>
      <c r="AP12" s="125">
        <f t="shared" si="26"/>
        <v>1483371.7138488542</v>
      </c>
      <c r="AQ12" s="125">
        <f t="shared" si="26"/>
        <v>1483371.7138488542</v>
      </c>
      <c r="AR12" s="125">
        <f t="shared" si="26"/>
        <v>1483371.7138488542</v>
      </c>
      <c r="AS12" s="125">
        <f t="shared" si="26"/>
        <v>1483371.7138488542</v>
      </c>
      <c r="AT12" s="125">
        <f t="shared" si="26"/>
        <v>1483371.7138488542</v>
      </c>
      <c r="AU12" s="125">
        <f t="shared" si="26"/>
        <v>1483371.7138488542</v>
      </c>
      <c r="AV12" s="125">
        <f t="shared" si="26"/>
        <v>1483371.7138488542</v>
      </c>
      <c r="AW12" s="125">
        <f t="shared" si="26"/>
        <v>1483371.7138488542</v>
      </c>
      <c r="AX12" s="125">
        <f t="shared" si="26"/>
        <v>1483371.7138488542</v>
      </c>
      <c r="AY12" s="125">
        <f t="shared" si="26"/>
        <v>1483371.7138488542</v>
      </c>
      <c r="AZ12" s="125">
        <f t="shared" si="26"/>
        <v>1483371.7138488542</v>
      </c>
      <c r="BA12" s="125">
        <f t="shared" si="26"/>
        <v>1483371.7138488542</v>
      </c>
      <c r="BB12" s="125">
        <f t="shared" si="26"/>
        <v>1483371.7138488542</v>
      </c>
      <c r="BC12" s="125">
        <f t="shared" si="26"/>
        <v>1483371.7138488542</v>
      </c>
      <c r="BD12" s="125">
        <f t="shared" si="26"/>
        <v>1483371.7138488542</v>
      </c>
      <c r="BE12" s="125">
        <f t="shared" si="26"/>
        <v>1483371.7138488542</v>
      </c>
      <c r="BF12" s="125">
        <f t="shared" si="26"/>
        <v>1483371.7138488542</v>
      </c>
      <c r="BG12" s="125">
        <f t="shared" si="26"/>
        <v>1483371.7138488542</v>
      </c>
      <c r="BH12" s="125">
        <f t="shared" si="26"/>
        <v>1483371.7138488542</v>
      </c>
      <c r="BI12" s="125">
        <f t="shared" si="26"/>
        <v>1483371.7138488542</v>
      </c>
      <c r="BJ12" s="125">
        <f t="shared" si="26"/>
        <v>1483371.7138488542</v>
      </c>
      <c r="BK12" s="125">
        <f t="shared" si="26"/>
        <v>1483371.7138488542</v>
      </c>
      <c r="BL12" s="125">
        <f t="shared" si="26"/>
        <v>1483371.7138488542</v>
      </c>
      <c r="BM12" s="125">
        <f t="shared" si="26"/>
        <v>1483371.7138488542</v>
      </c>
      <c r="BN12" s="125">
        <f t="shared" si="26"/>
        <v>1483371.7138488542</v>
      </c>
      <c r="BO12" s="125">
        <f t="shared" si="26"/>
        <v>1483371.7138488542</v>
      </c>
      <c r="BP12" s="125">
        <f t="shared" si="26"/>
        <v>1483371.7138488542</v>
      </c>
      <c r="BQ12" s="125">
        <f t="shared" si="26"/>
        <v>1483371.7138488542</v>
      </c>
      <c r="BR12" s="125">
        <f t="shared" si="26"/>
        <v>1483371.7138488542</v>
      </c>
      <c r="BS12" s="125">
        <f t="shared" si="26"/>
        <v>1483371.7138488542</v>
      </c>
      <c r="BT12" s="125">
        <f t="shared" si="26"/>
        <v>1483371.7138488542</v>
      </c>
      <c r="BU12" s="125">
        <f t="shared" ref="BU12:EF12" si="27">BT12+BU11</f>
        <v>1483371.7138488542</v>
      </c>
      <c r="BV12" s="125">
        <f t="shared" si="27"/>
        <v>1483371.7138488542</v>
      </c>
      <c r="BW12" s="125">
        <f t="shared" si="27"/>
        <v>1483371.7138488542</v>
      </c>
      <c r="BX12" s="125">
        <f t="shared" si="27"/>
        <v>1483371.7138488542</v>
      </c>
      <c r="BY12" s="125">
        <f t="shared" si="27"/>
        <v>1483371.7138488542</v>
      </c>
      <c r="BZ12" s="125">
        <f t="shared" si="27"/>
        <v>1483371.7138488542</v>
      </c>
      <c r="CA12" s="125">
        <f t="shared" si="27"/>
        <v>1483371.7138488542</v>
      </c>
      <c r="CB12" s="125">
        <f t="shared" si="27"/>
        <v>1483371.7138488542</v>
      </c>
      <c r="CC12" s="125">
        <f t="shared" si="27"/>
        <v>1483371.7138488542</v>
      </c>
      <c r="CD12" s="125">
        <f t="shared" si="27"/>
        <v>1483371.7138488542</v>
      </c>
      <c r="CE12" s="125">
        <f t="shared" si="27"/>
        <v>1483371.7138488542</v>
      </c>
      <c r="CF12" s="125">
        <f t="shared" si="27"/>
        <v>1483371.7138488542</v>
      </c>
      <c r="CG12" s="125">
        <f t="shared" si="27"/>
        <v>1483371.7138488542</v>
      </c>
      <c r="CH12" s="125">
        <f t="shared" si="27"/>
        <v>1483371.7138488542</v>
      </c>
      <c r="CI12" s="125">
        <f t="shared" si="27"/>
        <v>1483371.7138488542</v>
      </c>
      <c r="CJ12" s="125">
        <f t="shared" si="27"/>
        <v>1483371.7138488542</v>
      </c>
      <c r="CK12" s="125">
        <f t="shared" si="27"/>
        <v>1483371.7138488542</v>
      </c>
      <c r="CL12" s="125">
        <f t="shared" si="27"/>
        <v>1483371.7138488542</v>
      </c>
      <c r="CM12" s="125">
        <f t="shared" si="27"/>
        <v>1483371.7138488542</v>
      </c>
      <c r="CN12" s="125">
        <f t="shared" si="27"/>
        <v>1483371.7138488542</v>
      </c>
      <c r="CO12" s="125">
        <f t="shared" si="27"/>
        <v>1483371.7138488542</v>
      </c>
      <c r="CP12" s="125">
        <f t="shared" si="27"/>
        <v>1483371.7138488542</v>
      </c>
      <c r="CQ12" s="125">
        <f t="shared" si="27"/>
        <v>1483371.7138488542</v>
      </c>
      <c r="CR12" s="125">
        <f t="shared" si="27"/>
        <v>1483371.7138488542</v>
      </c>
      <c r="CS12" s="125">
        <f t="shared" si="27"/>
        <v>1483371.7138488542</v>
      </c>
      <c r="CT12" s="125">
        <f t="shared" si="27"/>
        <v>1483371.7138488542</v>
      </c>
      <c r="CU12" s="125">
        <f t="shared" si="27"/>
        <v>1483371.7138488542</v>
      </c>
      <c r="CV12" s="125">
        <f t="shared" si="27"/>
        <v>1483371.7138488542</v>
      </c>
      <c r="CW12" s="125">
        <f t="shared" si="27"/>
        <v>1483371.7138488542</v>
      </c>
      <c r="CX12" s="125">
        <f t="shared" si="27"/>
        <v>1483371.7138488542</v>
      </c>
      <c r="CY12" s="125">
        <f t="shared" si="27"/>
        <v>1483371.7138488542</v>
      </c>
      <c r="CZ12" s="125">
        <f t="shared" si="27"/>
        <v>1483371.7138488542</v>
      </c>
      <c r="DA12" s="125">
        <f t="shared" si="27"/>
        <v>1483371.7138488542</v>
      </c>
      <c r="DB12" s="125">
        <f t="shared" si="27"/>
        <v>1483371.7138488542</v>
      </c>
      <c r="DC12" s="125">
        <f t="shared" si="27"/>
        <v>1483371.7138488542</v>
      </c>
      <c r="DD12" s="125">
        <f t="shared" si="27"/>
        <v>1483371.7138488542</v>
      </c>
      <c r="DE12" s="125">
        <f t="shared" si="27"/>
        <v>1483371.7138488542</v>
      </c>
      <c r="DF12" s="125">
        <f t="shared" si="27"/>
        <v>1483371.7138488542</v>
      </c>
      <c r="DG12" s="125">
        <f t="shared" si="27"/>
        <v>1483371.7138488542</v>
      </c>
      <c r="DH12" s="125">
        <f t="shared" si="27"/>
        <v>1483371.7138488542</v>
      </c>
      <c r="DI12" s="125">
        <f t="shared" si="27"/>
        <v>1483371.7138488542</v>
      </c>
      <c r="DJ12" s="125">
        <f t="shared" si="27"/>
        <v>1483371.7138488542</v>
      </c>
      <c r="DK12" s="125">
        <f t="shared" si="27"/>
        <v>1483371.7138488542</v>
      </c>
      <c r="DL12" s="125">
        <f t="shared" si="27"/>
        <v>1483371.7138488542</v>
      </c>
      <c r="DM12" s="125">
        <f t="shared" si="27"/>
        <v>1483371.7138488542</v>
      </c>
      <c r="DN12" s="125">
        <f t="shared" si="27"/>
        <v>1483371.7138488542</v>
      </c>
      <c r="DO12" s="125">
        <f t="shared" si="27"/>
        <v>1483371.7138488542</v>
      </c>
      <c r="DP12" s="125">
        <f t="shared" si="27"/>
        <v>1483371.7138488542</v>
      </c>
      <c r="DQ12" s="125">
        <f t="shared" si="27"/>
        <v>1483371.7138488542</v>
      </c>
      <c r="DR12" s="125">
        <f t="shared" si="27"/>
        <v>1483371.7138488542</v>
      </c>
      <c r="DS12" s="125">
        <f t="shared" si="27"/>
        <v>1483371.7138488542</v>
      </c>
      <c r="DT12" s="125">
        <f t="shared" si="27"/>
        <v>1483371.7138488542</v>
      </c>
      <c r="DU12" s="125">
        <f t="shared" si="27"/>
        <v>1483371.7138488542</v>
      </c>
      <c r="DV12" s="125">
        <f t="shared" si="27"/>
        <v>1483371.7138488542</v>
      </c>
      <c r="DW12" s="125">
        <f t="shared" si="27"/>
        <v>1483371.7138488542</v>
      </c>
      <c r="DX12" s="125">
        <f t="shared" si="27"/>
        <v>1483371.7138488542</v>
      </c>
      <c r="DY12" s="125">
        <f t="shared" si="27"/>
        <v>1483371.7138488542</v>
      </c>
      <c r="DZ12" s="125">
        <f t="shared" si="27"/>
        <v>1483371.7138488542</v>
      </c>
      <c r="EA12" s="125">
        <f t="shared" si="27"/>
        <v>1483371.7138488542</v>
      </c>
      <c r="EB12" s="125">
        <f t="shared" si="27"/>
        <v>1483371.7138488542</v>
      </c>
      <c r="EC12" s="125">
        <f t="shared" si="27"/>
        <v>1483371.7138488542</v>
      </c>
      <c r="ED12" s="125">
        <f t="shared" si="27"/>
        <v>1483371.7138488542</v>
      </c>
      <c r="EE12" s="125">
        <f t="shared" si="27"/>
        <v>1483371.7138488542</v>
      </c>
      <c r="EF12" s="125">
        <f t="shared" si="27"/>
        <v>1483371.7138488542</v>
      </c>
      <c r="EG12" s="125">
        <f t="shared" ref="EG12:GR12" si="28">EF12+EG11</f>
        <v>1483371.7138488542</v>
      </c>
      <c r="EH12" s="125">
        <f t="shared" si="28"/>
        <v>1483371.7138488542</v>
      </c>
      <c r="EI12" s="125">
        <f t="shared" si="28"/>
        <v>1483371.7138488542</v>
      </c>
      <c r="EJ12" s="125">
        <f t="shared" si="28"/>
        <v>1483371.7138488542</v>
      </c>
      <c r="EK12" s="125">
        <f t="shared" si="28"/>
        <v>1483371.7138488542</v>
      </c>
      <c r="EL12" s="125">
        <f t="shared" si="28"/>
        <v>1483371.7138488542</v>
      </c>
      <c r="EM12" s="125">
        <f t="shared" si="28"/>
        <v>1483371.7138488542</v>
      </c>
      <c r="EN12" s="125">
        <f t="shared" si="28"/>
        <v>1483371.7138488542</v>
      </c>
      <c r="EO12" s="125">
        <f t="shared" si="28"/>
        <v>1483371.7138488542</v>
      </c>
      <c r="EP12" s="125">
        <f t="shared" si="28"/>
        <v>1483371.7138488542</v>
      </c>
      <c r="EQ12" s="125">
        <f t="shared" si="28"/>
        <v>1483371.7138488542</v>
      </c>
      <c r="ER12" s="125">
        <f t="shared" si="28"/>
        <v>1483371.7138488542</v>
      </c>
      <c r="ES12" s="125">
        <f t="shared" si="28"/>
        <v>1483371.7138488542</v>
      </c>
      <c r="ET12" s="125">
        <f t="shared" si="28"/>
        <v>1483371.7138488542</v>
      </c>
      <c r="EU12" s="125">
        <f t="shared" si="28"/>
        <v>1483371.7138488542</v>
      </c>
      <c r="EV12" s="125">
        <f t="shared" si="28"/>
        <v>1483371.7138488542</v>
      </c>
      <c r="EW12" s="125">
        <f t="shared" si="28"/>
        <v>1483371.7138488542</v>
      </c>
      <c r="EX12" s="125">
        <f t="shared" si="28"/>
        <v>1483371.7138488542</v>
      </c>
      <c r="EY12" s="125">
        <f t="shared" si="28"/>
        <v>1483371.7138488542</v>
      </c>
      <c r="EZ12" s="125">
        <f t="shared" si="28"/>
        <v>1483371.7138488542</v>
      </c>
      <c r="FA12" s="125">
        <f t="shared" si="28"/>
        <v>1483371.7138488542</v>
      </c>
      <c r="FB12" s="125">
        <f t="shared" si="28"/>
        <v>1483371.7138488542</v>
      </c>
      <c r="FC12" s="125">
        <f t="shared" si="28"/>
        <v>1483371.7138488542</v>
      </c>
      <c r="FD12" s="125">
        <f t="shared" si="28"/>
        <v>1483371.7138488542</v>
      </c>
      <c r="FE12" s="125">
        <f t="shared" si="28"/>
        <v>1483371.7138488542</v>
      </c>
      <c r="FF12" s="125">
        <f t="shared" si="28"/>
        <v>1483371.7138488542</v>
      </c>
      <c r="FG12" s="125">
        <f t="shared" si="28"/>
        <v>1483371.7138488542</v>
      </c>
      <c r="FH12" s="125">
        <f t="shared" si="28"/>
        <v>1483371.7138488542</v>
      </c>
      <c r="FI12" s="125">
        <f t="shared" si="28"/>
        <v>1483371.7138488542</v>
      </c>
      <c r="FJ12" s="125">
        <f t="shared" si="28"/>
        <v>1483371.7138488542</v>
      </c>
      <c r="FK12" s="125">
        <f t="shared" si="28"/>
        <v>1483371.7138488542</v>
      </c>
      <c r="FL12" s="125">
        <f t="shared" si="28"/>
        <v>1483371.7138488542</v>
      </c>
      <c r="FM12" s="125">
        <f t="shared" si="28"/>
        <v>1483371.7138488542</v>
      </c>
      <c r="FN12" s="125">
        <f t="shared" si="28"/>
        <v>1483371.7138488542</v>
      </c>
      <c r="FO12" s="125">
        <f t="shared" si="28"/>
        <v>1483371.7138488542</v>
      </c>
      <c r="FP12" s="125">
        <f t="shared" si="28"/>
        <v>1483371.7138488542</v>
      </c>
      <c r="FQ12" s="125">
        <f t="shared" si="28"/>
        <v>1483371.7138488542</v>
      </c>
      <c r="FR12" s="125">
        <f t="shared" si="28"/>
        <v>1483371.7138488542</v>
      </c>
      <c r="FS12" s="125">
        <f t="shared" si="28"/>
        <v>1483371.7138488542</v>
      </c>
      <c r="FT12" s="125">
        <f t="shared" si="28"/>
        <v>1483371.7138488542</v>
      </c>
      <c r="FU12" s="125">
        <f t="shared" si="28"/>
        <v>1483371.7138488542</v>
      </c>
      <c r="FV12" s="125">
        <f t="shared" si="28"/>
        <v>1483371.7138488542</v>
      </c>
      <c r="FW12" s="125">
        <f t="shared" si="28"/>
        <v>1483371.7138488542</v>
      </c>
      <c r="FX12" s="125">
        <f t="shared" si="28"/>
        <v>1483371.7138488542</v>
      </c>
      <c r="FY12" s="125">
        <f t="shared" si="28"/>
        <v>1483371.7138488542</v>
      </c>
      <c r="FZ12" s="125">
        <f t="shared" si="28"/>
        <v>1483371.7138488542</v>
      </c>
      <c r="GA12" s="125">
        <f t="shared" si="28"/>
        <v>1483371.7138488542</v>
      </c>
      <c r="GB12" s="125">
        <f t="shared" si="28"/>
        <v>1483371.7138488542</v>
      </c>
      <c r="GC12" s="125">
        <f t="shared" si="28"/>
        <v>1483371.7138488542</v>
      </c>
      <c r="GD12" s="125">
        <f t="shared" si="28"/>
        <v>1483371.7138488542</v>
      </c>
      <c r="GE12" s="125">
        <f t="shared" si="28"/>
        <v>1483371.7138488542</v>
      </c>
      <c r="GF12" s="125">
        <f t="shared" si="28"/>
        <v>1483371.7138488542</v>
      </c>
      <c r="GG12" s="125">
        <f t="shared" si="28"/>
        <v>1483371.7138488542</v>
      </c>
      <c r="GH12" s="125">
        <f t="shared" si="28"/>
        <v>1483371.7138488542</v>
      </c>
      <c r="GI12" s="125">
        <f t="shared" si="28"/>
        <v>1483371.7138488542</v>
      </c>
      <c r="GJ12" s="125">
        <f t="shared" si="28"/>
        <v>1483371.7138488542</v>
      </c>
      <c r="GK12" s="125">
        <f t="shared" si="28"/>
        <v>1483371.7138488542</v>
      </c>
      <c r="GL12" s="125">
        <f t="shared" si="28"/>
        <v>1483371.7138488542</v>
      </c>
      <c r="GM12" s="125">
        <f t="shared" si="28"/>
        <v>1483371.7138488542</v>
      </c>
      <c r="GN12" s="125">
        <f t="shared" si="28"/>
        <v>1483371.7138488542</v>
      </c>
      <c r="GO12" s="125">
        <f t="shared" si="28"/>
        <v>1483371.7138488542</v>
      </c>
      <c r="GP12" s="125">
        <f t="shared" si="28"/>
        <v>1483371.7138488542</v>
      </c>
      <c r="GQ12" s="125">
        <f t="shared" si="28"/>
        <v>1483371.7138488542</v>
      </c>
      <c r="GR12" s="125">
        <f t="shared" si="28"/>
        <v>1483371.7138488542</v>
      </c>
      <c r="GS12" s="125">
        <f t="shared" ref="GS12:JD12" si="29">GR12+GS11</f>
        <v>1483371.7138488542</v>
      </c>
      <c r="GT12" s="125">
        <f t="shared" si="29"/>
        <v>1483371.7138488542</v>
      </c>
      <c r="GU12" s="125">
        <f t="shared" si="29"/>
        <v>1483371.7138488542</v>
      </c>
      <c r="GV12" s="125">
        <f t="shared" si="29"/>
        <v>1483371.7138488542</v>
      </c>
      <c r="GW12" s="125">
        <f t="shared" si="29"/>
        <v>1483371.7138488542</v>
      </c>
      <c r="GX12" s="125">
        <f t="shared" si="29"/>
        <v>1483371.7138488542</v>
      </c>
      <c r="GY12" s="125">
        <f t="shared" si="29"/>
        <v>1483371.7138488542</v>
      </c>
      <c r="GZ12" s="125">
        <f t="shared" si="29"/>
        <v>1483371.7138488542</v>
      </c>
      <c r="HA12" s="125">
        <f t="shared" si="29"/>
        <v>1483371.7138488542</v>
      </c>
      <c r="HB12" s="125">
        <f t="shared" si="29"/>
        <v>1483371.7138488542</v>
      </c>
      <c r="HC12" s="125">
        <f t="shared" si="29"/>
        <v>1483371.7138488542</v>
      </c>
      <c r="HD12" s="125">
        <f t="shared" si="29"/>
        <v>1483371.7138488542</v>
      </c>
      <c r="HE12" s="125">
        <f t="shared" si="29"/>
        <v>1483371.7138488542</v>
      </c>
      <c r="HF12" s="125">
        <f t="shared" si="29"/>
        <v>1483371.7138488542</v>
      </c>
      <c r="HG12" s="125">
        <f t="shared" si="29"/>
        <v>1483371.7138488542</v>
      </c>
      <c r="HH12" s="125">
        <f t="shared" si="29"/>
        <v>1483371.7138488542</v>
      </c>
      <c r="HI12" s="125">
        <f t="shared" si="29"/>
        <v>1483371.7138488542</v>
      </c>
      <c r="HJ12" s="125">
        <f t="shared" si="29"/>
        <v>1483371.7138488542</v>
      </c>
      <c r="HK12" s="125">
        <f t="shared" si="29"/>
        <v>1483371.7138488542</v>
      </c>
      <c r="HL12" s="125">
        <f t="shared" si="29"/>
        <v>1483371.7138488542</v>
      </c>
      <c r="HM12" s="125">
        <f t="shared" si="29"/>
        <v>1483371.7138488542</v>
      </c>
      <c r="HN12" s="125">
        <f t="shared" si="29"/>
        <v>1483371.7138488542</v>
      </c>
      <c r="HO12" s="125">
        <f t="shared" si="29"/>
        <v>1483371.7138488542</v>
      </c>
      <c r="HP12" s="125">
        <f t="shared" si="29"/>
        <v>1483371.7138488542</v>
      </c>
      <c r="HQ12" s="125">
        <f t="shared" si="29"/>
        <v>1483371.7138488542</v>
      </c>
      <c r="HR12" s="125">
        <f t="shared" si="29"/>
        <v>1483371.7138488542</v>
      </c>
      <c r="HS12" s="125">
        <f t="shared" si="29"/>
        <v>1483371.7138488542</v>
      </c>
      <c r="HT12" s="125">
        <f t="shared" si="29"/>
        <v>1483371.7138488542</v>
      </c>
      <c r="HU12" s="125">
        <f t="shared" si="29"/>
        <v>1483371.7138488542</v>
      </c>
      <c r="HV12" s="125">
        <f t="shared" si="29"/>
        <v>1483371.7138488542</v>
      </c>
      <c r="HW12" s="125">
        <f t="shared" si="29"/>
        <v>1483371.7138488542</v>
      </c>
      <c r="HX12" s="125">
        <f t="shared" si="29"/>
        <v>1483371.7138488542</v>
      </c>
      <c r="HY12" s="125">
        <f t="shared" si="29"/>
        <v>1483371.7138488542</v>
      </c>
      <c r="HZ12" s="125">
        <f t="shared" si="29"/>
        <v>1483371.7138488542</v>
      </c>
      <c r="IA12" s="125">
        <f t="shared" si="29"/>
        <v>1483371.7138488542</v>
      </c>
      <c r="IB12" s="125">
        <f t="shared" si="29"/>
        <v>1483371.7138488542</v>
      </c>
      <c r="IC12" s="125">
        <f t="shared" si="29"/>
        <v>1483371.7138488542</v>
      </c>
      <c r="ID12" s="125">
        <f t="shared" si="29"/>
        <v>1483371.7138488542</v>
      </c>
      <c r="IE12" s="125">
        <f t="shared" si="29"/>
        <v>1483371.7138488542</v>
      </c>
      <c r="IF12" s="125">
        <f t="shared" si="29"/>
        <v>1483371.7138488542</v>
      </c>
      <c r="IG12" s="125">
        <f t="shared" si="29"/>
        <v>1483371.7138488542</v>
      </c>
      <c r="IH12" s="125">
        <f t="shared" si="29"/>
        <v>1483371.7138488542</v>
      </c>
      <c r="II12" s="125">
        <f t="shared" si="29"/>
        <v>1483371.7138488542</v>
      </c>
      <c r="IJ12" s="125">
        <f t="shared" si="29"/>
        <v>1483371.7138488542</v>
      </c>
      <c r="IK12" s="125">
        <f t="shared" si="29"/>
        <v>1483371.7138488542</v>
      </c>
      <c r="IL12" s="125">
        <f t="shared" si="29"/>
        <v>1483371.7138488542</v>
      </c>
      <c r="IM12" s="125">
        <f t="shared" si="29"/>
        <v>1483371.7138488542</v>
      </c>
      <c r="IN12" s="125">
        <f t="shared" si="29"/>
        <v>1483371.7138488542</v>
      </c>
      <c r="IO12" s="125">
        <f t="shared" si="29"/>
        <v>1483371.7138488542</v>
      </c>
      <c r="IP12" s="125">
        <f t="shared" si="29"/>
        <v>1483371.7138488542</v>
      </c>
      <c r="IQ12" s="125">
        <f t="shared" si="29"/>
        <v>1483371.7138488542</v>
      </c>
      <c r="IR12" s="125">
        <f t="shared" si="29"/>
        <v>1483371.7138488542</v>
      </c>
      <c r="IS12" s="125">
        <f t="shared" si="29"/>
        <v>1483371.7138488542</v>
      </c>
      <c r="IT12" s="125">
        <f t="shared" si="29"/>
        <v>1483371.7138488542</v>
      </c>
      <c r="IU12" s="125">
        <f t="shared" si="29"/>
        <v>1483371.7138488542</v>
      </c>
      <c r="IV12" s="125">
        <f t="shared" si="29"/>
        <v>1483371.7138488542</v>
      </c>
      <c r="IW12" s="125">
        <f t="shared" si="29"/>
        <v>1483371.7138488542</v>
      </c>
      <c r="IX12" s="125">
        <f t="shared" si="29"/>
        <v>1483371.7138488542</v>
      </c>
      <c r="IY12" s="125">
        <f t="shared" si="29"/>
        <v>1483371.7138488542</v>
      </c>
      <c r="IZ12" s="125">
        <f t="shared" si="29"/>
        <v>1483371.7138488542</v>
      </c>
      <c r="JA12" s="125">
        <f t="shared" si="29"/>
        <v>1483371.7138488542</v>
      </c>
      <c r="JB12" s="125">
        <f t="shared" si="29"/>
        <v>1483371.7138488542</v>
      </c>
      <c r="JC12" s="125">
        <f t="shared" si="29"/>
        <v>1483371.7138488542</v>
      </c>
      <c r="JD12" s="125">
        <f t="shared" si="29"/>
        <v>1483371.7138488542</v>
      </c>
      <c r="JE12" s="125">
        <f t="shared" ref="JE12:KE12" si="30">JD12+JE11</f>
        <v>1483371.7138488542</v>
      </c>
      <c r="JF12" s="125">
        <f t="shared" si="30"/>
        <v>1483371.7138488542</v>
      </c>
      <c r="JG12" s="125">
        <f t="shared" si="30"/>
        <v>1483371.7138488542</v>
      </c>
      <c r="JH12" s="125">
        <f t="shared" si="30"/>
        <v>1483371.7138488542</v>
      </c>
      <c r="JI12" s="125">
        <f t="shared" si="30"/>
        <v>1483371.7138488542</v>
      </c>
      <c r="JJ12" s="125">
        <f t="shared" si="30"/>
        <v>1483371.7138488542</v>
      </c>
      <c r="JK12" s="125">
        <f t="shared" si="30"/>
        <v>1483371.7138488542</v>
      </c>
      <c r="JL12" s="125">
        <f t="shared" si="30"/>
        <v>1483371.7138488542</v>
      </c>
      <c r="JM12" s="125">
        <f t="shared" si="30"/>
        <v>1483371.7138488542</v>
      </c>
      <c r="JN12" s="125">
        <f t="shared" si="30"/>
        <v>1483371.7138488542</v>
      </c>
      <c r="JO12" s="125">
        <f t="shared" si="30"/>
        <v>1483371.7138488542</v>
      </c>
      <c r="JP12" s="125">
        <f t="shared" si="30"/>
        <v>1483371.7138488542</v>
      </c>
      <c r="JQ12" s="125">
        <f t="shared" si="30"/>
        <v>1483371.7138488542</v>
      </c>
      <c r="JR12" s="125">
        <f t="shared" si="30"/>
        <v>1483371.7138488542</v>
      </c>
      <c r="JS12" s="125">
        <f t="shared" si="30"/>
        <v>1483371.7138488542</v>
      </c>
      <c r="JT12" s="125">
        <f t="shared" si="30"/>
        <v>1483371.7138488542</v>
      </c>
      <c r="JU12" s="125">
        <f t="shared" si="30"/>
        <v>1483371.7138488542</v>
      </c>
      <c r="JV12" s="125">
        <f t="shared" si="30"/>
        <v>1483371.7138488542</v>
      </c>
      <c r="JW12" s="125">
        <f t="shared" si="30"/>
        <v>1483371.7138488542</v>
      </c>
      <c r="JX12" s="125">
        <f t="shared" si="30"/>
        <v>1483371.7138488542</v>
      </c>
      <c r="JY12" s="125">
        <f t="shared" si="30"/>
        <v>1483371.7138488542</v>
      </c>
      <c r="JZ12" s="125">
        <f t="shared" si="30"/>
        <v>1483371.7138488542</v>
      </c>
      <c r="KA12" s="125">
        <f t="shared" si="30"/>
        <v>1483371.7138488542</v>
      </c>
      <c r="KB12" s="125">
        <f t="shared" si="30"/>
        <v>1483371.7138488542</v>
      </c>
      <c r="KC12" s="125">
        <f t="shared" si="30"/>
        <v>1483371.7138488542</v>
      </c>
      <c r="KD12" s="125">
        <f t="shared" si="30"/>
        <v>1483371.7138488542</v>
      </c>
      <c r="KE12" s="125">
        <f t="shared" si="30"/>
        <v>1483371.7138488542</v>
      </c>
      <c r="KF12" s="102"/>
      <c r="KG12" s="113"/>
    </row>
    <row r="13" spans="1:769" s="102" customFormat="1">
      <c r="A13" s="778"/>
      <c r="E13" s="108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19"/>
      <c r="BE13" s="119"/>
      <c r="BF13" s="119"/>
      <c r="BG13" s="119"/>
      <c r="BH13" s="119"/>
      <c r="BI13" s="119"/>
      <c r="BJ13" s="119"/>
      <c r="BK13" s="119"/>
      <c r="BL13" s="119"/>
      <c r="BM13" s="119"/>
      <c r="BN13" s="119"/>
      <c r="BO13" s="119"/>
      <c r="BP13" s="119"/>
      <c r="BQ13" s="119"/>
      <c r="BR13" s="119"/>
      <c r="BS13" s="119"/>
      <c r="BT13" s="119"/>
      <c r="BU13" s="119"/>
      <c r="BV13" s="119"/>
      <c r="BW13" s="119"/>
      <c r="BX13" s="119"/>
      <c r="BY13" s="119"/>
      <c r="BZ13" s="119"/>
      <c r="CA13" s="119"/>
      <c r="CB13" s="119"/>
      <c r="CC13" s="119"/>
      <c r="CD13" s="119"/>
      <c r="CE13" s="119"/>
      <c r="CF13" s="119"/>
      <c r="CG13" s="119"/>
      <c r="CH13" s="119"/>
      <c r="CI13" s="119"/>
      <c r="CJ13" s="119"/>
      <c r="CK13" s="119"/>
      <c r="CL13" s="119"/>
      <c r="CM13" s="119"/>
      <c r="CN13" s="119"/>
      <c r="CO13" s="119"/>
      <c r="CP13" s="119"/>
      <c r="CQ13" s="119"/>
      <c r="CR13" s="119"/>
      <c r="CS13" s="119"/>
      <c r="CT13" s="119"/>
      <c r="CU13" s="119"/>
      <c r="CV13" s="119"/>
      <c r="CW13" s="119"/>
      <c r="CX13" s="119"/>
      <c r="CY13" s="119"/>
      <c r="CZ13" s="119"/>
      <c r="DA13" s="119"/>
      <c r="DB13" s="119"/>
      <c r="DC13" s="119"/>
      <c r="DD13" s="119"/>
      <c r="DE13" s="119"/>
      <c r="DF13" s="119"/>
      <c r="DG13" s="119"/>
      <c r="DH13" s="119"/>
      <c r="DI13" s="119"/>
      <c r="DJ13" s="119"/>
      <c r="DK13" s="119"/>
      <c r="DL13" s="119"/>
      <c r="DM13" s="119"/>
      <c r="DN13" s="119"/>
      <c r="DO13" s="119"/>
      <c r="DP13" s="119"/>
      <c r="DQ13" s="119"/>
      <c r="DR13" s="119"/>
      <c r="DS13" s="119"/>
      <c r="DT13" s="119"/>
      <c r="DU13" s="119"/>
      <c r="DV13" s="119"/>
      <c r="DW13" s="119"/>
      <c r="DX13" s="119"/>
      <c r="DY13" s="119"/>
      <c r="DZ13" s="119"/>
      <c r="EA13" s="119"/>
      <c r="EB13" s="119"/>
      <c r="EC13" s="119"/>
      <c r="ED13" s="119"/>
      <c r="EE13" s="119"/>
      <c r="EF13" s="119"/>
      <c r="EG13" s="119"/>
      <c r="EH13" s="119"/>
      <c r="EI13" s="119"/>
      <c r="EJ13" s="119"/>
      <c r="EK13" s="119"/>
      <c r="EL13" s="119"/>
      <c r="EM13" s="119"/>
      <c r="EN13" s="119"/>
      <c r="EO13" s="119"/>
      <c r="EP13" s="119"/>
      <c r="EQ13" s="119"/>
      <c r="ER13" s="119"/>
      <c r="ES13" s="119"/>
      <c r="ET13" s="119"/>
      <c r="EU13" s="119"/>
      <c r="EV13" s="119"/>
      <c r="EW13" s="119"/>
      <c r="EX13" s="119"/>
      <c r="EY13" s="119"/>
      <c r="EZ13" s="119"/>
      <c r="FA13" s="119"/>
      <c r="FB13" s="119"/>
      <c r="FC13" s="119"/>
      <c r="FD13" s="119"/>
      <c r="FE13" s="119"/>
      <c r="FF13" s="119"/>
      <c r="FG13" s="119"/>
      <c r="FH13" s="119"/>
      <c r="FI13" s="119"/>
      <c r="FJ13" s="119"/>
      <c r="FK13" s="119"/>
      <c r="FL13" s="119"/>
      <c r="FM13" s="119"/>
      <c r="FN13" s="119"/>
      <c r="FO13" s="119"/>
      <c r="FP13" s="119"/>
      <c r="FQ13" s="119"/>
      <c r="FR13" s="119"/>
      <c r="FS13" s="119"/>
      <c r="FT13" s="119"/>
      <c r="FU13" s="119"/>
      <c r="FV13" s="119"/>
      <c r="FW13" s="119"/>
      <c r="FX13" s="119"/>
      <c r="FY13" s="119"/>
      <c r="FZ13" s="119"/>
      <c r="GA13" s="119"/>
      <c r="GB13" s="119"/>
      <c r="GC13" s="119"/>
      <c r="GD13" s="119"/>
      <c r="GE13" s="119"/>
      <c r="GF13" s="119"/>
      <c r="GG13" s="119"/>
      <c r="GH13" s="119"/>
      <c r="GI13" s="119"/>
      <c r="GJ13" s="119"/>
      <c r="GK13" s="119"/>
      <c r="GL13" s="119"/>
      <c r="GM13" s="119"/>
      <c r="GN13" s="119"/>
      <c r="GO13" s="119"/>
      <c r="GP13" s="119"/>
      <c r="GQ13" s="119"/>
      <c r="GR13" s="119"/>
      <c r="GS13" s="119"/>
      <c r="GT13" s="119"/>
      <c r="GU13" s="119"/>
      <c r="GV13" s="119"/>
      <c r="GW13" s="119"/>
      <c r="GX13" s="119"/>
      <c r="GY13" s="119"/>
      <c r="GZ13" s="119"/>
      <c r="HA13" s="119"/>
      <c r="HB13" s="119"/>
      <c r="HC13" s="119"/>
      <c r="HD13" s="119"/>
      <c r="HE13" s="119"/>
      <c r="HF13" s="119"/>
      <c r="HG13" s="119"/>
      <c r="HH13" s="119"/>
      <c r="HI13" s="119"/>
      <c r="HJ13" s="119"/>
      <c r="HK13" s="119"/>
      <c r="HL13" s="119"/>
      <c r="HM13" s="119"/>
      <c r="HN13" s="119"/>
      <c r="HO13" s="119"/>
      <c r="HP13" s="119"/>
      <c r="HQ13" s="119"/>
      <c r="HR13" s="119"/>
      <c r="HS13" s="119"/>
      <c r="HT13" s="119"/>
      <c r="HU13" s="119"/>
      <c r="HV13" s="119"/>
      <c r="HW13" s="119"/>
      <c r="HX13" s="119"/>
      <c r="HY13" s="119"/>
      <c r="HZ13" s="119"/>
      <c r="IA13" s="119"/>
      <c r="IB13" s="119"/>
      <c r="IC13" s="119"/>
      <c r="ID13" s="119"/>
      <c r="IE13" s="119"/>
      <c r="IF13" s="119"/>
      <c r="IG13" s="119"/>
      <c r="IH13" s="119"/>
      <c r="II13" s="119"/>
      <c r="IJ13" s="119"/>
      <c r="IK13" s="119"/>
      <c r="IL13" s="119"/>
      <c r="IM13" s="119"/>
      <c r="IN13" s="119"/>
      <c r="IO13" s="119"/>
      <c r="IP13" s="119"/>
      <c r="IQ13" s="119"/>
      <c r="IR13" s="119"/>
      <c r="IS13" s="119"/>
      <c r="IT13" s="119"/>
      <c r="IU13" s="119"/>
      <c r="IV13" s="119"/>
      <c r="IW13" s="119"/>
      <c r="IX13" s="119"/>
      <c r="IY13" s="119"/>
      <c r="IZ13" s="119"/>
      <c r="JA13" s="119"/>
      <c r="JB13" s="119"/>
      <c r="JC13" s="119"/>
      <c r="JD13" s="119"/>
      <c r="JE13" s="119"/>
      <c r="JF13" s="119"/>
      <c r="JG13" s="119"/>
      <c r="JH13" s="119"/>
      <c r="JI13" s="119"/>
      <c r="JJ13" s="119"/>
      <c r="JK13" s="119"/>
      <c r="JL13" s="119"/>
      <c r="JM13" s="119"/>
      <c r="JN13" s="119"/>
      <c r="JO13" s="119"/>
      <c r="JP13" s="119"/>
      <c r="JQ13" s="119"/>
      <c r="JR13" s="119"/>
      <c r="JS13" s="119"/>
      <c r="JT13" s="119"/>
      <c r="JU13" s="119"/>
      <c r="JV13" s="119"/>
      <c r="JW13" s="119"/>
      <c r="JX13" s="119"/>
      <c r="JY13" s="119"/>
      <c r="JZ13" s="119"/>
      <c r="KA13" s="119"/>
      <c r="KB13" s="119"/>
      <c r="KC13" s="119"/>
      <c r="KD13" s="119"/>
      <c r="KE13" s="119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</row>
    <row r="14" spans="1:769">
      <c r="A14" s="778"/>
      <c r="B14" s="115" t="s">
        <v>406</v>
      </c>
      <c r="C14" s="116"/>
      <c r="D14" s="116"/>
      <c r="E14" s="117"/>
      <c r="F14" s="118">
        <f t="shared" ref="F14:H14" si="31">F10-F12</f>
        <v>0</v>
      </c>
      <c r="G14" s="118">
        <f t="shared" si="31"/>
        <v>0</v>
      </c>
      <c r="H14" s="118">
        <f t="shared" si="31"/>
        <v>0</v>
      </c>
      <c r="I14" s="118">
        <f t="shared" ref="I14:BT14" si="32">I10-I12</f>
        <v>0</v>
      </c>
      <c r="J14" s="118">
        <f t="shared" si="32"/>
        <v>0</v>
      </c>
      <c r="K14" s="118">
        <f t="shared" si="32"/>
        <v>0</v>
      </c>
      <c r="L14" s="118">
        <f t="shared" si="32"/>
        <v>0</v>
      </c>
      <c r="M14" s="118">
        <f t="shared" si="32"/>
        <v>0</v>
      </c>
      <c r="N14" s="118">
        <f t="shared" si="32"/>
        <v>0</v>
      </c>
      <c r="O14" s="118">
        <f t="shared" si="32"/>
        <v>0</v>
      </c>
      <c r="P14" s="118">
        <f t="shared" si="32"/>
        <v>0</v>
      </c>
      <c r="Q14" s="118">
        <f t="shared" si="32"/>
        <v>-33631.612359903382</v>
      </c>
      <c r="R14" s="118">
        <f t="shared" si="32"/>
        <v>938838.57909305335</v>
      </c>
      <c r="S14" s="118">
        <f t="shared" si="32"/>
        <v>937001.07909305335</v>
      </c>
      <c r="T14" s="118">
        <f t="shared" si="32"/>
        <v>1653043.4060880216</v>
      </c>
      <c r="U14" s="118">
        <f t="shared" si="32"/>
        <v>1653043.4060880216</v>
      </c>
      <c r="V14" s="118">
        <f t="shared" si="32"/>
        <v>1514998.7560880217</v>
      </c>
      <c r="W14" s="118">
        <f t="shared" si="32"/>
        <v>1429082.2251882632</v>
      </c>
      <c r="X14" s="118">
        <f t="shared" si="32"/>
        <v>1313446.0602186359</v>
      </c>
      <c r="Y14" s="118">
        <f t="shared" si="32"/>
        <v>1484397.969857295</v>
      </c>
      <c r="Z14" s="118">
        <f t="shared" si="32"/>
        <v>1293662.5513174399</v>
      </c>
      <c r="AA14" s="118">
        <f t="shared" si="32"/>
        <v>641116.81231672107</v>
      </c>
      <c r="AB14" s="118">
        <f t="shared" si="32"/>
        <v>641116.81231672107</v>
      </c>
      <c r="AC14" s="118">
        <f t="shared" si="32"/>
        <v>641116.81231672107</v>
      </c>
      <c r="AD14" s="118">
        <f t="shared" si="32"/>
        <v>624301.00613676943</v>
      </c>
      <c r="AE14" s="118">
        <f t="shared" si="32"/>
        <v>624301.00613676943</v>
      </c>
      <c r="AF14" s="118">
        <f t="shared" si="32"/>
        <v>622463.50613676943</v>
      </c>
      <c r="AG14" s="118">
        <f t="shared" si="32"/>
        <v>622463.50613676943</v>
      </c>
      <c r="AH14" s="118">
        <f t="shared" si="32"/>
        <v>622463.50613676943</v>
      </c>
      <c r="AI14" s="118">
        <f t="shared" si="32"/>
        <v>562463.50613676943</v>
      </c>
      <c r="AJ14" s="118">
        <f t="shared" si="32"/>
        <v>562463.50613676943</v>
      </c>
      <c r="AK14" s="118">
        <f t="shared" si="32"/>
        <v>562463.50613676943</v>
      </c>
      <c r="AL14" s="118">
        <f t="shared" si="32"/>
        <v>562463.50613676943</v>
      </c>
      <c r="AM14" s="118">
        <f t="shared" si="32"/>
        <v>562463.50613676943</v>
      </c>
      <c r="AN14" s="118">
        <f t="shared" si="32"/>
        <v>562463.50613676943</v>
      </c>
      <c r="AO14" s="118">
        <f t="shared" si="32"/>
        <v>562463.50613676943</v>
      </c>
      <c r="AP14" s="118">
        <f t="shared" si="32"/>
        <v>562463.50613676943</v>
      </c>
      <c r="AQ14" s="118">
        <f t="shared" si="32"/>
        <v>562463.50613676943</v>
      </c>
      <c r="AR14" s="118">
        <f t="shared" si="32"/>
        <v>562463.50613676943</v>
      </c>
      <c r="AS14" s="118">
        <f t="shared" si="32"/>
        <v>562463.50613676943</v>
      </c>
      <c r="AT14" s="118">
        <f t="shared" si="32"/>
        <v>562463.50613676943</v>
      </c>
      <c r="AU14" s="118">
        <f t="shared" si="32"/>
        <v>562463.50613676943</v>
      </c>
      <c r="AV14" s="118">
        <f t="shared" si="32"/>
        <v>562463.50613676943</v>
      </c>
      <c r="AW14" s="118">
        <f t="shared" si="32"/>
        <v>562463.50613676943</v>
      </c>
      <c r="AX14" s="118">
        <f t="shared" si="32"/>
        <v>562463.50613676943</v>
      </c>
      <c r="AY14" s="118">
        <f t="shared" si="32"/>
        <v>562463.50613676943</v>
      </c>
      <c r="AZ14" s="118">
        <f t="shared" si="32"/>
        <v>562463.50613676943</v>
      </c>
      <c r="BA14" s="118">
        <f t="shared" si="32"/>
        <v>562463.50613676943</v>
      </c>
      <c r="BB14" s="118">
        <f t="shared" si="32"/>
        <v>562463.50613676943</v>
      </c>
      <c r="BC14" s="118">
        <f t="shared" si="32"/>
        <v>562463.50613676943</v>
      </c>
      <c r="BD14" s="118">
        <f t="shared" si="32"/>
        <v>562463.50613676943</v>
      </c>
      <c r="BE14" s="118">
        <f t="shared" si="32"/>
        <v>562463.50613676943</v>
      </c>
      <c r="BF14" s="118">
        <f t="shared" si="32"/>
        <v>562463.50613676943</v>
      </c>
      <c r="BG14" s="118">
        <f t="shared" si="32"/>
        <v>562463.50613676943</v>
      </c>
      <c r="BH14" s="118">
        <f t="shared" si="32"/>
        <v>562463.50613676943</v>
      </c>
      <c r="BI14" s="118">
        <f t="shared" si="32"/>
        <v>562463.50613676943</v>
      </c>
      <c r="BJ14" s="118">
        <f t="shared" si="32"/>
        <v>562463.50613676943</v>
      </c>
      <c r="BK14" s="118">
        <f t="shared" si="32"/>
        <v>562463.50613676943</v>
      </c>
      <c r="BL14" s="118">
        <f t="shared" si="32"/>
        <v>562463.50613676943</v>
      </c>
      <c r="BM14" s="118">
        <f t="shared" si="32"/>
        <v>562463.50613676943</v>
      </c>
      <c r="BN14" s="118">
        <f t="shared" si="32"/>
        <v>562463.50613676943</v>
      </c>
      <c r="BO14" s="118">
        <f t="shared" si="32"/>
        <v>562463.50613676943</v>
      </c>
      <c r="BP14" s="118">
        <f t="shared" si="32"/>
        <v>562463.50613676943</v>
      </c>
      <c r="BQ14" s="118">
        <f t="shared" si="32"/>
        <v>562463.50613676943</v>
      </c>
      <c r="BR14" s="118">
        <f t="shared" si="32"/>
        <v>562463.50613676943</v>
      </c>
      <c r="BS14" s="118">
        <f t="shared" si="32"/>
        <v>562463.50613676943</v>
      </c>
      <c r="BT14" s="118">
        <f t="shared" si="32"/>
        <v>562463.50613676943</v>
      </c>
      <c r="BU14" s="118">
        <f t="shared" ref="BU14:EF14" si="33">BU10-BU12</f>
        <v>562463.50613676943</v>
      </c>
      <c r="BV14" s="118">
        <f t="shared" si="33"/>
        <v>562463.50613676943</v>
      </c>
      <c r="BW14" s="118">
        <f t="shared" si="33"/>
        <v>562463.50613676943</v>
      </c>
      <c r="BX14" s="118">
        <f t="shared" si="33"/>
        <v>562463.50613676943</v>
      </c>
      <c r="BY14" s="118">
        <f t="shared" si="33"/>
        <v>562463.50613676943</v>
      </c>
      <c r="BZ14" s="118">
        <f t="shared" si="33"/>
        <v>562463.50613676943</v>
      </c>
      <c r="CA14" s="118">
        <f t="shared" si="33"/>
        <v>562463.50613676943</v>
      </c>
      <c r="CB14" s="118">
        <f t="shared" si="33"/>
        <v>562463.50613676943</v>
      </c>
      <c r="CC14" s="118">
        <f t="shared" si="33"/>
        <v>562463.50613676943</v>
      </c>
      <c r="CD14" s="118">
        <f t="shared" si="33"/>
        <v>562463.50613676943</v>
      </c>
      <c r="CE14" s="118">
        <f t="shared" si="33"/>
        <v>562463.50613676943</v>
      </c>
      <c r="CF14" s="118">
        <f t="shared" si="33"/>
        <v>562463.50613676943</v>
      </c>
      <c r="CG14" s="118">
        <f t="shared" si="33"/>
        <v>562463.50613676943</v>
      </c>
      <c r="CH14" s="118">
        <f t="shared" si="33"/>
        <v>562463.50613676943</v>
      </c>
      <c r="CI14" s="118">
        <f t="shared" si="33"/>
        <v>562463.50613676943</v>
      </c>
      <c r="CJ14" s="118">
        <f t="shared" si="33"/>
        <v>562463.50613676943</v>
      </c>
      <c r="CK14" s="118">
        <f t="shared" si="33"/>
        <v>562463.50613676943</v>
      </c>
      <c r="CL14" s="118">
        <f t="shared" si="33"/>
        <v>562463.50613676943</v>
      </c>
      <c r="CM14" s="118">
        <f t="shared" si="33"/>
        <v>562463.50613676943</v>
      </c>
      <c r="CN14" s="118">
        <f t="shared" si="33"/>
        <v>562463.50613676943</v>
      </c>
      <c r="CO14" s="118">
        <f t="shared" si="33"/>
        <v>562463.50613676943</v>
      </c>
      <c r="CP14" s="118">
        <f t="shared" si="33"/>
        <v>562463.50613676943</v>
      </c>
      <c r="CQ14" s="118">
        <f t="shared" si="33"/>
        <v>562463.50613676943</v>
      </c>
      <c r="CR14" s="118">
        <f t="shared" si="33"/>
        <v>562463.50613676943</v>
      </c>
      <c r="CS14" s="118">
        <f t="shared" si="33"/>
        <v>562463.50613676943</v>
      </c>
      <c r="CT14" s="118">
        <f t="shared" si="33"/>
        <v>562463.50613676943</v>
      </c>
      <c r="CU14" s="118">
        <f t="shared" si="33"/>
        <v>562463.50613676943</v>
      </c>
      <c r="CV14" s="118">
        <f t="shared" si="33"/>
        <v>562463.50613676943</v>
      </c>
      <c r="CW14" s="118">
        <f t="shared" si="33"/>
        <v>562463.50613676943</v>
      </c>
      <c r="CX14" s="118">
        <f t="shared" si="33"/>
        <v>562463.50613676943</v>
      </c>
      <c r="CY14" s="118">
        <f t="shared" si="33"/>
        <v>562463.50613676943</v>
      </c>
      <c r="CZ14" s="118">
        <f t="shared" si="33"/>
        <v>562463.50613676943</v>
      </c>
      <c r="DA14" s="118">
        <f t="shared" si="33"/>
        <v>562463.50613676943</v>
      </c>
      <c r="DB14" s="118">
        <f t="shared" si="33"/>
        <v>562463.50613676943</v>
      </c>
      <c r="DC14" s="118">
        <f t="shared" si="33"/>
        <v>562463.50613676943</v>
      </c>
      <c r="DD14" s="118">
        <f t="shared" si="33"/>
        <v>562463.50613676943</v>
      </c>
      <c r="DE14" s="118">
        <f t="shared" si="33"/>
        <v>562463.50613676943</v>
      </c>
      <c r="DF14" s="118">
        <f t="shared" si="33"/>
        <v>562463.50613676943</v>
      </c>
      <c r="DG14" s="118">
        <f t="shared" si="33"/>
        <v>562463.50613676943</v>
      </c>
      <c r="DH14" s="118">
        <f t="shared" si="33"/>
        <v>562463.50613676943</v>
      </c>
      <c r="DI14" s="118">
        <f t="shared" si="33"/>
        <v>562463.50613676943</v>
      </c>
      <c r="DJ14" s="118">
        <f t="shared" si="33"/>
        <v>562463.50613676943</v>
      </c>
      <c r="DK14" s="118">
        <f t="shared" si="33"/>
        <v>562463.50613676943</v>
      </c>
      <c r="DL14" s="118">
        <f t="shared" si="33"/>
        <v>562463.50613676943</v>
      </c>
      <c r="DM14" s="118">
        <f t="shared" si="33"/>
        <v>562463.50613676943</v>
      </c>
      <c r="DN14" s="118">
        <f t="shared" si="33"/>
        <v>562463.50613676943</v>
      </c>
      <c r="DO14" s="118">
        <f t="shared" si="33"/>
        <v>562463.50613676943</v>
      </c>
      <c r="DP14" s="118">
        <f t="shared" si="33"/>
        <v>562463.50613676943</v>
      </c>
      <c r="DQ14" s="118">
        <f t="shared" si="33"/>
        <v>562463.50613676943</v>
      </c>
      <c r="DR14" s="118">
        <f t="shared" si="33"/>
        <v>562463.50613676943</v>
      </c>
      <c r="DS14" s="118">
        <f t="shared" si="33"/>
        <v>562463.50613676943</v>
      </c>
      <c r="DT14" s="118">
        <f t="shared" si="33"/>
        <v>562463.50613676943</v>
      </c>
      <c r="DU14" s="118">
        <f t="shared" si="33"/>
        <v>562463.50613676943</v>
      </c>
      <c r="DV14" s="118">
        <f t="shared" si="33"/>
        <v>562463.50613676943</v>
      </c>
      <c r="DW14" s="118">
        <f t="shared" si="33"/>
        <v>562463.50613676943</v>
      </c>
      <c r="DX14" s="118">
        <f t="shared" si="33"/>
        <v>562463.50613676943</v>
      </c>
      <c r="DY14" s="118">
        <f t="shared" si="33"/>
        <v>562463.50613676943</v>
      </c>
      <c r="DZ14" s="118">
        <f t="shared" si="33"/>
        <v>562463.50613676943</v>
      </c>
      <c r="EA14" s="118">
        <f t="shared" si="33"/>
        <v>562463.50613676943</v>
      </c>
      <c r="EB14" s="118">
        <f t="shared" si="33"/>
        <v>562463.50613676943</v>
      </c>
      <c r="EC14" s="118">
        <f t="shared" si="33"/>
        <v>562463.50613676943</v>
      </c>
      <c r="ED14" s="118">
        <f t="shared" si="33"/>
        <v>562463.50613676943</v>
      </c>
      <c r="EE14" s="118">
        <f t="shared" si="33"/>
        <v>562463.50613676943</v>
      </c>
      <c r="EF14" s="118">
        <f t="shared" si="33"/>
        <v>562463.50613676943</v>
      </c>
      <c r="EG14" s="118">
        <f t="shared" ref="EG14:GR14" si="34">EG10-EG12</f>
        <v>562463.50613676943</v>
      </c>
      <c r="EH14" s="118">
        <f t="shared" si="34"/>
        <v>562463.50613676943</v>
      </c>
      <c r="EI14" s="118">
        <f t="shared" si="34"/>
        <v>562463.50613676943</v>
      </c>
      <c r="EJ14" s="118">
        <f t="shared" si="34"/>
        <v>562463.50613676943</v>
      </c>
      <c r="EK14" s="118">
        <f t="shared" si="34"/>
        <v>562463.50613676943</v>
      </c>
      <c r="EL14" s="118">
        <f t="shared" si="34"/>
        <v>562463.50613676943</v>
      </c>
      <c r="EM14" s="118">
        <f t="shared" si="34"/>
        <v>562463.50613676943</v>
      </c>
      <c r="EN14" s="118">
        <f t="shared" si="34"/>
        <v>562463.50613676943</v>
      </c>
      <c r="EO14" s="118">
        <f t="shared" si="34"/>
        <v>562463.50613676943</v>
      </c>
      <c r="EP14" s="118">
        <f t="shared" si="34"/>
        <v>562463.50613676943</v>
      </c>
      <c r="EQ14" s="118">
        <f t="shared" si="34"/>
        <v>562463.50613676943</v>
      </c>
      <c r="ER14" s="118">
        <f t="shared" si="34"/>
        <v>562463.50613676943</v>
      </c>
      <c r="ES14" s="118">
        <f t="shared" si="34"/>
        <v>562463.50613676943</v>
      </c>
      <c r="ET14" s="118">
        <f t="shared" si="34"/>
        <v>562463.50613676943</v>
      </c>
      <c r="EU14" s="118">
        <f t="shared" si="34"/>
        <v>562463.50613676943</v>
      </c>
      <c r="EV14" s="118">
        <f t="shared" si="34"/>
        <v>562463.50613676943</v>
      </c>
      <c r="EW14" s="118">
        <f t="shared" si="34"/>
        <v>562463.50613676943</v>
      </c>
      <c r="EX14" s="118">
        <f t="shared" si="34"/>
        <v>562463.50613676943</v>
      </c>
      <c r="EY14" s="118">
        <f t="shared" si="34"/>
        <v>562463.50613676943</v>
      </c>
      <c r="EZ14" s="118">
        <f t="shared" si="34"/>
        <v>562463.50613676943</v>
      </c>
      <c r="FA14" s="118">
        <f t="shared" si="34"/>
        <v>562463.50613676943</v>
      </c>
      <c r="FB14" s="118">
        <f t="shared" si="34"/>
        <v>562463.50613676943</v>
      </c>
      <c r="FC14" s="118">
        <f t="shared" si="34"/>
        <v>562463.50613676943</v>
      </c>
      <c r="FD14" s="118">
        <f t="shared" si="34"/>
        <v>562463.50613676943</v>
      </c>
      <c r="FE14" s="118">
        <f t="shared" si="34"/>
        <v>562463.50613676943</v>
      </c>
      <c r="FF14" s="118">
        <f t="shared" si="34"/>
        <v>562463.50613676943</v>
      </c>
      <c r="FG14" s="118">
        <f t="shared" si="34"/>
        <v>562463.50613676943</v>
      </c>
      <c r="FH14" s="118">
        <f t="shared" si="34"/>
        <v>562463.50613676943</v>
      </c>
      <c r="FI14" s="118">
        <f t="shared" si="34"/>
        <v>562463.50613676943</v>
      </c>
      <c r="FJ14" s="118">
        <f t="shared" si="34"/>
        <v>562463.50613676943</v>
      </c>
      <c r="FK14" s="118">
        <f t="shared" si="34"/>
        <v>562463.50613676943</v>
      </c>
      <c r="FL14" s="118">
        <f t="shared" si="34"/>
        <v>562463.50613676943</v>
      </c>
      <c r="FM14" s="118">
        <f t="shared" si="34"/>
        <v>562463.50613676943</v>
      </c>
      <c r="FN14" s="118">
        <f t="shared" si="34"/>
        <v>562463.50613676943</v>
      </c>
      <c r="FO14" s="118">
        <f t="shared" si="34"/>
        <v>562463.50613676943</v>
      </c>
      <c r="FP14" s="118">
        <f t="shared" si="34"/>
        <v>562463.50613676943</v>
      </c>
      <c r="FQ14" s="118">
        <f t="shared" si="34"/>
        <v>562463.50613676943</v>
      </c>
      <c r="FR14" s="118">
        <f t="shared" si="34"/>
        <v>562463.50613676943</v>
      </c>
      <c r="FS14" s="118">
        <f t="shared" si="34"/>
        <v>562463.50613676943</v>
      </c>
      <c r="FT14" s="118">
        <f t="shared" si="34"/>
        <v>562463.50613676943</v>
      </c>
      <c r="FU14" s="118">
        <f t="shared" si="34"/>
        <v>562463.50613676943</v>
      </c>
      <c r="FV14" s="118">
        <f t="shared" si="34"/>
        <v>562463.50613676943</v>
      </c>
      <c r="FW14" s="118">
        <f t="shared" si="34"/>
        <v>562463.50613676943</v>
      </c>
      <c r="FX14" s="118">
        <f t="shared" si="34"/>
        <v>562463.50613676943</v>
      </c>
      <c r="FY14" s="118">
        <f t="shared" si="34"/>
        <v>562463.50613676943</v>
      </c>
      <c r="FZ14" s="118">
        <f t="shared" si="34"/>
        <v>562463.50613676943</v>
      </c>
      <c r="GA14" s="118">
        <f t="shared" si="34"/>
        <v>562463.50613676943</v>
      </c>
      <c r="GB14" s="118">
        <f t="shared" si="34"/>
        <v>562463.50613676943</v>
      </c>
      <c r="GC14" s="118">
        <f t="shared" si="34"/>
        <v>562463.50613676943</v>
      </c>
      <c r="GD14" s="118">
        <f t="shared" si="34"/>
        <v>562463.50613676943</v>
      </c>
      <c r="GE14" s="118">
        <f t="shared" si="34"/>
        <v>562463.50613676943</v>
      </c>
      <c r="GF14" s="118">
        <f t="shared" si="34"/>
        <v>562463.50613676943</v>
      </c>
      <c r="GG14" s="118">
        <f t="shared" si="34"/>
        <v>562463.50613676943</v>
      </c>
      <c r="GH14" s="118">
        <f t="shared" si="34"/>
        <v>562463.50613676943</v>
      </c>
      <c r="GI14" s="118">
        <f t="shared" si="34"/>
        <v>562463.50613676943</v>
      </c>
      <c r="GJ14" s="118">
        <f t="shared" si="34"/>
        <v>562463.50613676943</v>
      </c>
      <c r="GK14" s="118">
        <f t="shared" si="34"/>
        <v>562463.50613676943</v>
      </c>
      <c r="GL14" s="118">
        <f t="shared" si="34"/>
        <v>562463.50613676943</v>
      </c>
      <c r="GM14" s="118">
        <f t="shared" si="34"/>
        <v>562463.50613676943</v>
      </c>
      <c r="GN14" s="118">
        <f t="shared" si="34"/>
        <v>562463.50613676943</v>
      </c>
      <c r="GO14" s="118">
        <f t="shared" si="34"/>
        <v>562463.50613676943</v>
      </c>
      <c r="GP14" s="118">
        <f t="shared" si="34"/>
        <v>562463.50613676943</v>
      </c>
      <c r="GQ14" s="118">
        <f t="shared" si="34"/>
        <v>562463.50613676943</v>
      </c>
      <c r="GR14" s="118">
        <f t="shared" si="34"/>
        <v>562463.50613676943</v>
      </c>
      <c r="GS14" s="118">
        <f t="shared" ref="GS14:JD14" si="35">GS10-GS12</f>
        <v>562463.50613676943</v>
      </c>
      <c r="GT14" s="118">
        <f t="shared" si="35"/>
        <v>562463.50613676943</v>
      </c>
      <c r="GU14" s="118">
        <f t="shared" si="35"/>
        <v>562463.50613676943</v>
      </c>
      <c r="GV14" s="118">
        <f t="shared" si="35"/>
        <v>562463.50613676943</v>
      </c>
      <c r="GW14" s="118">
        <f t="shared" si="35"/>
        <v>562463.50613676943</v>
      </c>
      <c r="GX14" s="118">
        <f t="shared" si="35"/>
        <v>562463.50613676943</v>
      </c>
      <c r="GY14" s="118">
        <f t="shared" si="35"/>
        <v>562463.50613676943</v>
      </c>
      <c r="GZ14" s="118">
        <f t="shared" si="35"/>
        <v>562463.50613676943</v>
      </c>
      <c r="HA14" s="118">
        <f t="shared" si="35"/>
        <v>562463.50613676943</v>
      </c>
      <c r="HB14" s="118">
        <f t="shared" si="35"/>
        <v>562463.50613676943</v>
      </c>
      <c r="HC14" s="118">
        <f t="shared" si="35"/>
        <v>562463.50613676943</v>
      </c>
      <c r="HD14" s="118">
        <f t="shared" si="35"/>
        <v>562463.50613676943</v>
      </c>
      <c r="HE14" s="118">
        <f t="shared" si="35"/>
        <v>562463.50613676943</v>
      </c>
      <c r="HF14" s="118">
        <f t="shared" si="35"/>
        <v>562463.50613676943</v>
      </c>
      <c r="HG14" s="118">
        <f t="shared" si="35"/>
        <v>562463.50613676943</v>
      </c>
      <c r="HH14" s="118">
        <f t="shared" si="35"/>
        <v>562463.50613676943</v>
      </c>
      <c r="HI14" s="118">
        <f t="shared" si="35"/>
        <v>562463.50613676943</v>
      </c>
      <c r="HJ14" s="118">
        <f t="shared" si="35"/>
        <v>562463.50613676943</v>
      </c>
      <c r="HK14" s="118">
        <f t="shared" si="35"/>
        <v>562463.50613676943</v>
      </c>
      <c r="HL14" s="118">
        <f t="shared" si="35"/>
        <v>562463.50613676943</v>
      </c>
      <c r="HM14" s="118">
        <f t="shared" si="35"/>
        <v>562463.50613676943</v>
      </c>
      <c r="HN14" s="118">
        <f t="shared" si="35"/>
        <v>562463.50613676943</v>
      </c>
      <c r="HO14" s="118">
        <f t="shared" si="35"/>
        <v>562463.50613676943</v>
      </c>
      <c r="HP14" s="118">
        <f t="shared" si="35"/>
        <v>562463.50613676943</v>
      </c>
      <c r="HQ14" s="118">
        <f t="shared" si="35"/>
        <v>562463.50613676943</v>
      </c>
      <c r="HR14" s="118">
        <f t="shared" si="35"/>
        <v>562463.50613676943</v>
      </c>
      <c r="HS14" s="118">
        <f t="shared" si="35"/>
        <v>562463.50613676943</v>
      </c>
      <c r="HT14" s="118">
        <f t="shared" si="35"/>
        <v>562463.50613676943</v>
      </c>
      <c r="HU14" s="118">
        <f t="shared" si="35"/>
        <v>562463.50613676943</v>
      </c>
      <c r="HV14" s="118">
        <f t="shared" si="35"/>
        <v>562463.50613676943</v>
      </c>
      <c r="HW14" s="118">
        <f t="shared" si="35"/>
        <v>562463.50613676943</v>
      </c>
      <c r="HX14" s="118">
        <f t="shared" si="35"/>
        <v>562463.50613676943</v>
      </c>
      <c r="HY14" s="118">
        <f t="shared" si="35"/>
        <v>562463.50613676943</v>
      </c>
      <c r="HZ14" s="118">
        <f t="shared" si="35"/>
        <v>562463.50613676943</v>
      </c>
      <c r="IA14" s="118">
        <f t="shared" si="35"/>
        <v>562463.50613676943</v>
      </c>
      <c r="IB14" s="118">
        <f t="shared" si="35"/>
        <v>562463.50613676943</v>
      </c>
      <c r="IC14" s="118">
        <f t="shared" si="35"/>
        <v>562463.50613676943</v>
      </c>
      <c r="ID14" s="118">
        <f t="shared" si="35"/>
        <v>562463.50613676943</v>
      </c>
      <c r="IE14" s="118">
        <f t="shared" si="35"/>
        <v>562463.50613676943</v>
      </c>
      <c r="IF14" s="118">
        <f t="shared" si="35"/>
        <v>562463.50613676943</v>
      </c>
      <c r="IG14" s="118">
        <f t="shared" si="35"/>
        <v>562463.50613676943</v>
      </c>
      <c r="IH14" s="118">
        <f t="shared" si="35"/>
        <v>562463.50613676943</v>
      </c>
      <c r="II14" s="118">
        <f t="shared" si="35"/>
        <v>562463.50613676943</v>
      </c>
      <c r="IJ14" s="118">
        <f t="shared" si="35"/>
        <v>562463.50613676943</v>
      </c>
      <c r="IK14" s="118">
        <f t="shared" si="35"/>
        <v>562463.50613676943</v>
      </c>
      <c r="IL14" s="118">
        <f t="shared" si="35"/>
        <v>562463.50613676943</v>
      </c>
      <c r="IM14" s="118">
        <f t="shared" si="35"/>
        <v>562463.50613676943</v>
      </c>
      <c r="IN14" s="118">
        <f t="shared" si="35"/>
        <v>562463.50613676943</v>
      </c>
      <c r="IO14" s="118">
        <f t="shared" si="35"/>
        <v>562463.50613676943</v>
      </c>
      <c r="IP14" s="118">
        <f t="shared" si="35"/>
        <v>562463.50613676943</v>
      </c>
      <c r="IQ14" s="118">
        <f t="shared" si="35"/>
        <v>562463.50613676943</v>
      </c>
      <c r="IR14" s="118">
        <f t="shared" si="35"/>
        <v>562463.50613676943</v>
      </c>
      <c r="IS14" s="118">
        <f t="shared" si="35"/>
        <v>562463.50613676943</v>
      </c>
      <c r="IT14" s="118">
        <f t="shared" si="35"/>
        <v>562463.50613676943</v>
      </c>
      <c r="IU14" s="118">
        <f t="shared" si="35"/>
        <v>562463.50613676943</v>
      </c>
      <c r="IV14" s="118">
        <f t="shared" si="35"/>
        <v>562463.50613676943</v>
      </c>
      <c r="IW14" s="118">
        <f t="shared" si="35"/>
        <v>562463.50613676943</v>
      </c>
      <c r="IX14" s="118">
        <f t="shared" si="35"/>
        <v>562463.50613676943</v>
      </c>
      <c r="IY14" s="118">
        <f t="shared" si="35"/>
        <v>562463.50613676943</v>
      </c>
      <c r="IZ14" s="118">
        <f t="shared" si="35"/>
        <v>562463.50613676943</v>
      </c>
      <c r="JA14" s="118">
        <f t="shared" si="35"/>
        <v>562463.50613676943</v>
      </c>
      <c r="JB14" s="118">
        <f t="shared" si="35"/>
        <v>562463.50613676943</v>
      </c>
      <c r="JC14" s="118">
        <f t="shared" si="35"/>
        <v>562463.50613676943</v>
      </c>
      <c r="JD14" s="118">
        <f t="shared" si="35"/>
        <v>562463.50613676943</v>
      </c>
      <c r="JE14" s="118">
        <f t="shared" ref="JE14:KE14" si="36">JE10-JE12</f>
        <v>562463.50613676943</v>
      </c>
      <c r="JF14" s="118">
        <f t="shared" si="36"/>
        <v>562463.50613676943</v>
      </c>
      <c r="JG14" s="118">
        <f t="shared" si="36"/>
        <v>562463.50613676943</v>
      </c>
      <c r="JH14" s="118">
        <f t="shared" si="36"/>
        <v>562463.50613676943</v>
      </c>
      <c r="JI14" s="118">
        <f t="shared" si="36"/>
        <v>562463.50613676943</v>
      </c>
      <c r="JJ14" s="118">
        <f t="shared" si="36"/>
        <v>562463.50613676943</v>
      </c>
      <c r="JK14" s="118">
        <f t="shared" si="36"/>
        <v>562463.50613676943</v>
      </c>
      <c r="JL14" s="118">
        <f t="shared" si="36"/>
        <v>562463.50613676943</v>
      </c>
      <c r="JM14" s="118">
        <f t="shared" si="36"/>
        <v>562463.50613676943</v>
      </c>
      <c r="JN14" s="118">
        <f t="shared" si="36"/>
        <v>562463.50613676943</v>
      </c>
      <c r="JO14" s="118">
        <f t="shared" si="36"/>
        <v>562463.50613676943</v>
      </c>
      <c r="JP14" s="118">
        <f t="shared" si="36"/>
        <v>562463.50613676943</v>
      </c>
      <c r="JQ14" s="118">
        <f t="shared" si="36"/>
        <v>562463.50613676943</v>
      </c>
      <c r="JR14" s="118">
        <f t="shared" si="36"/>
        <v>562463.50613676943</v>
      </c>
      <c r="JS14" s="118">
        <f t="shared" si="36"/>
        <v>562463.50613676943</v>
      </c>
      <c r="JT14" s="118">
        <f t="shared" si="36"/>
        <v>562463.50613676943</v>
      </c>
      <c r="JU14" s="118">
        <f t="shared" si="36"/>
        <v>562463.50613676943</v>
      </c>
      <c r="JV14" s="118">
        <f t="shared" si="36"/>
        <v>562463.50613676943</v>
      </c>
      <c r="JW14" s="118">
        <f t="shared" si="36"/>
        <v>562463.50613676943</v>
      </c>
      <c r="JX14" s="118">
        <f t="shared" si="36"/>
        <v>562463.50613676943</v>
      </c>
      <c r="JY14" s="118">
        <f t="shared" si="36"/>
        <v>562463.50613676943</v>
      </c>
      <c r="JZ14" s="118">
        <f t="shared" si="36"/>
        <v>562463.50613676943</v>
      </c>
      <c r="KA14" s="118">
        <f t="shared" si="36"/>
        <v>562463.50613676943</v>
      </c>
      <c r="KB14" s="118">
        <f t="shared" si="36"/>
        <v>562463.50613676943</v>
      </c>
      <c r="KC14" s="118">
        <f t="shared" si="36"/>
        <v>562463.50613676943</v>
      </c>
      <c r="KD14" s="118">
        <f t="shared" si="36"/>
        <v>562463.50613676943</v>
      </c>
      <c r="KE14" s="118">
        <f t="shared" si="36"/>
        <v>562463.50613676943</v>
      </c>
    </row>
    <row r="15" spans="1:769" s="102" customFormat="1"/>
    <row r="16" spans="1:769" s="102" customFormat="1">
      <c r="C16" s="104" t="s">
        <v>281</v>
      </c>
      <c r="D16" s="104" t="s">
        <v>281</v>
      </c>
    </row>
    <row r="17" spans="1:291">
      <c r="A17" s="779"/>
      <c r="B17" s="106" t="s">
        <v>407</v>
      </c>
      <c r="C17" s="275">
        <f>C3-D17</f>
        <v>0</v>
      </c>
      <c r="D17" s="107">
        <f>SUM(F17:KE17)</f>
        <v>2045835.2199856234</v>
      </c>
      <c r="E17" s="117"/>
      <c r="F17" s="125">
        <f>SUMIFS('Expenditure Breakdown'!$U$6:$U$166, 'Expenditure Breakdown'!$T$6:$T$166, "&gt;="&amp;F1,'Expenditure Breakdown'!$T$6:$T$166, "&lt;"&amp;G1)</f>
        <v>0</v>
      </c>
      <c r="G17" s="125">
        <f>SUMIFS('Expenditure Breakdown'!$U$6:$U$166, 'Expenditure Breakdown'!$T$6:$T$166, "&gt;="&amp;G1,'Expenditure Breakdown'!$T$6:$T$166, "&lt;"&amp;H1)</f>
        <v>0</v>
      </c>
      <c r="H17" s="125">
        <f>SUMIFS('Expenditure Breakdown'!$U$6:$U$166, 'Expenditure Breakdown'!$T$6:$T$166, "&gt;="&amp;H1,'Expenditure Breakdown'!$T$6:$T$166, "&lt;"&amp;I1)</f>
        <v>0</v>
      </c>
      <c r="I17" s="125">
        <f>SUMIFS('Expenditure Breakdown'!$U$6:$U$166, 'Expenditure Breakdown'!$T$6:$T$166, "&gt;="&amp;I1,'Expenditure Breakdown'!$T$6:$T$166, "&lt;"&amp;J1)</f>
        <v>0</v>
      </c>
      <c r="J17" s="125">
        <f>SUMIFS('Expenditure Breakdown'!$U$6:$U$166, 'Expenditure Breakdown'!$T$6:$T$166, "&gt;="&amp;J1,'Expenditure Breakdown'!$T$6:$T$166, "&lt;"&amp;K1)</f>
        <v>0</v>
      </c>
      <c r="K17" s="125">
        <f>SUMIFS('Expenditure Breakdown'!$U$6:$U$166, 'Expenditure Breakdown'!$T$6:$T$166, "&gt;="&amp;K1,'Expenditure Breakdown'!$T$6:$T$166, "&lt;"&amp;L1)</f>
        <v>0</v>
      </c>
      <c r="L17" s="125">
        <f>SUMIFS('Expenditure Breakdown'!$U$6:$U$166, 'Expenditure Breakdown'!$T$6:$T$166, "&gt;="&amp;L1,'Expenditure Breakdown'!$T$6:$T$166, "&lt;"&amp;M1)</f>
        <v>0</v>
      </c>
      <c r="M17" s="125">
        <f>SUMIFS('Expenditure Breakdown'!$U$6:$U$166, 'Expenditure Breakdown'!$T$6:$T$166, "&gt;="&amp;M1,'Expenditure Breakdown'!$T$6:$T$166, "&lt;"&amp;N1)</f>
        <v>0</v>
      </c>
      <c r="N17" s="125">
        <f>SUMIFS('Expenditure Breakdown'!$U$6:$U$166, 'Expenditure Breakdown'!$T$6:$T$166, "&gt;="&amp;N1,'Expenditure Breakdown'!$T$6:$T$166, "&lt;"&amp;O1)</f>
        <v>0</v>
      </c>
      <c r="O17" s="125">
        <f>SUMIFS('Expenditure Breakdown'!$U$6:$U$166, 'Expenditure Breakdown'!$T$6:$T$166, "&gt;="&amp;O1,'Expenditure Breakdown'!$T$6:$T$166, "&lt;"&amp;P1)</f>
        <v>0</v>
      </c>
      <c r="P17" s="125">
        <f>SUMIFS('Expenditure Breakdown'!$U$6:$U$166, 'Expenditure Breakdown'!$T$6:$T$166, "&gt;="&amp;P1,'Expenditure Breakdown'!$T$6:$T$166, "&lt;"&amp;Q1)</f>
        <v>0</v>
      </c>
      <c r="Q17" s="125">
        <f>SUMIFS('Expenditure Breakdown'!$U$6:$U$166, 'Expenditure Breakdown'!$T$6:$T$166, "&gt;="&amp;Q1,'Expenditure Breakdown'!$T$6:$T$166, "&lt;"&amp;R1)</f>
        <v>0</v>
      </c>
      <c r="R17" s="125">
        <f>SUMIFS('Expenditure Breakdown'!$U$6:$U$166, 'Expenditure Breakdown'!$T$6:$T$166, "&gt;="&amp;R1,'Expenditure Breakdown'!$T$6:$T$166, "&lt;"&amp;S1)</f>
        <v>278360.20064369746</v>
      </c>
      <c r="S17" s="125">
        <f>SUMIFS('Expenditure Breakdown'!$U$6:$U$166, 'Expenditure Breakdown'!$T$6:$T$166, "&gt;="&amp;S1,'Expenditure Breakdown'!$T$6:$T$166, "&lt;"&amp;T1)</f>
        <v>0</v>
      </c>
      <c r="T17" s="125">
        <f>SUMIFS('Expenditure Breakdown'!$U$6:$U$166, 'Expenditure Breakdown'!$T$6:$T$166, "&gt;="&amp;T1,'Expenditure Breakdown'!$T$6:$T$166, "&lt;"&amp;U1)</f>
        <v>0</v>
      </c>
      <c r="U17" s="125">
        <f>SUMIFS('Expenditure Breakdown'!$U$6:$U$166, 'Expenditure Breakdown'!$T$6:$T$166, "&gt;="&amp;U1,'Expenditure Breakdown'!$T$6:$T$166, "&lt;"&amp;V1)</f>
        <v>0</v>
      </c>
      <c r="V17" s="125">
        <f>SUMIFS('Expenditure Breakdown'!$U$6:$U$166, 'Expenditure Breakdown'!$T$6:$T$166, "&gt;="&amp;V1,'Expenditure Breakdown'!$T$6:$T$166, "&lt;"&amp;W1)</f>
        <v>1203683.5418582063</v>
      </c>
      <c r="W17" s="125">
        <f>SUMIFS('Expenditure Breakdown'!$U$6:$U$166, 'Expenditure Breakdown'!$T$6:$T$166, "&gt;="&amp;W1,'Expenditure Breakdown'!$T$6:$T$166, "&lt;"&amp;X1)</f>
        <v>0</v>
      </c>
      <c r="X17" s="125">
        <f>SUMIFS('Expenditure Breakdown'!$U$6:$U$166, 'Expenditure Breakdown'!$T$6:$T$166, "&gt;="&amp;X1,'Expenditure Breakdown'!$T$6:$T$166, "&lt;"&amp;Y1)</f>
        <v>0</v>
      </c>
      <c r="Y17" s="125">
        <f>SUMIFS('Expenditure Breakdown'!$U$6:$U$166, 'Expenditure Breakdown'!$T$6:$T$166, "&gt;="&amp;Y1,'Expenditure Breakdown'!$T$6:$T$166, "&lt;"&amp;Z1)</f>
        <v>0</v>
      </c>
      <c r="Z17" s="125">
        <f>SUMIFS('Expenditure Breakdown'!$U$6:$U$166, 'Expenditure Breakdown'!$T$6:$T$166, "&gt;="&amp;Z1,'Expenditure Breakdown'!$T$6:$T$166, "&lt;"&amp;AA1)</f>
        <v>448409.87815170316</v>
      </c>
      <c r="AA17" s="125">
        <f>SUMIFS('Expenditure Breakdown'!$U$6:$U$166, 'Expenditure Breakdown'!$T$6:$T$166, "&gt;="&amp;AA1,'Expenditure Breakdown'!$T$6:$T$166, "&lt;"&amp;AB1)</f>
        <v>0</v>
      </c>
      <c r="AB17" s="125">
        <f>SUMIFS('Expenditure Breakdown'!$U$6:$U$166, 'Expenditure Breakdown'!$T$6:$T$166, "&gt;="&amp;AB1,'Expenditure Breakdown'!$T$6:$T$166, "&lt;"&amp;AC1)</f>
        <v>0</v>
      </c>
      <c r="AC17" s="125">
        <f>SUMIFS('Expenditure Breakdown'!$U$6:$U$166, 'Expenditure Breakdown'!$T$6:$T$166, "&gt;="&amp;AC1,'Expenditure Breakdown'!$T$6:$T$166, "&lt;"&amp;AD1)</f>
        <v>0</v>
      </c>
      <c r="AD17" s="125">
        <f>SUMIFS('Expenditure Breakdown'!$U$6:$U$166, 'Expenditure Breakdown'!$T$6:$T$166, "&gt;="&amp;AD1,'Expenditure Breakdown'!$T$6:$T$166, "&lt;"&amp;AE1)</f>
        <v>0</v>
      </c>
      <c r="AE17" s="125">
        <f>SUMIFS('Expenditure Breakdown'!$U$6:$U$166, 'Expenditure Breakdown'!$T$6:$T$166, "&gt;="&amp;AE1,'Expenditure Breakdown'!$T$6:$T$166, "&lt;"&amp;AF1)</f>
        <v>115381.59933201643</v>
      </c>
      <c r="AF17" s="125">
        <f>SUMIFS('Expenditure Breakdown'!$U$6:$U$166, 'Expenditure Breakdown'!$T$6:$T$166, "&gt;="&amp;AF1,'Expenditure Breakdown'!$T$6:$T$166, "&lt;"&amp;AG1)</f>
        <v>0</v>
      </c>
      <c r="AG17" s="125">
        <f>SUMIFS('Expenditure Breakdown'!$U$6:$U$166, 'Expenditure Breakdown'!$T$6:$T$166, "&gt;="&amp;AG1,'Expenditure Breakdown'!$T$6:$T$166, "&lt;"&amp;AH1)</f>
        <v>0</v>
      </c>
      <c r="AH17" s="125">
        <f>SUMIFS('Expenditure Breakdown'!$U$6:$U$166, 'Expenditure Breakdown'!$T$6:$T$166, "&gt;="&amp;AH1,'Expenditure Breakdown'!$T$6:$T$166, "&lt;"&amp;AI1)</f>
        <v>0</v>
      </c>
      <c r="AI17" s="125">
        <f>SUMIFS('Expenditure Breakdown'!$U$6:$U$166, 'Expenditure Breakdown'!$T$6:$T$166, "&gt;="&amp;AI1,'Expenditure Breakdown'!$T$6:$T$166, "&lt;"&amp;AJ1)</f>
        <v>0</v>
      </c>
      <c r="AJ17" s="125">
        <f>SUMIFS('Expenditure Breakdown'!$U$6:$U$166, 'Expenditure Breakdown'!$T$6:$T$166, "&gt;="&amp;AJ1,'Expenditure Breakdown'!$T$6:$T$166, "&lt;"&amp;AK1)</f>
        <v>0</v>
      </c>
      <c r="AK17" s="125">
        <f>SUMIFS('Expenditure Breakdown'!$U$6:$U$166, 'Expenditure Breakdown'!$T$6:$T$166, "&gt;="&amp;AK1,'Expenditure Breakdown'!$T$6:$T$166, "&lt;"&amp;AL1)</f>
        <v>0</v>
      </c>
      <c r="AL17" s="125">
        <f>SUMIFS('Expenditure Breakdown'!$U$6:$U$166, 'Expenditure Breakdown'!$T$6:$T$166, "&gt;="&amp;AL1,'Expenditure Breakdown'!$T$6:$T$166, "&lt;"&amp;AM1)</f>
        <v>0</v>
      </c>
      <c r="AM17" s="125">
        <f>SUMIFS('Expenditure Breakdown'!$U$6:$U$166, 'Expenditure Breakdown'!$T$6:$T$166, "&gt;="&amp;AM1,'Expenditure Breakdown'!$T$6:$T$166, "&lt;"&amp;AN1)</f>
        <v>0</v>
      </c>
      <c r="AN17" s="125">
        <f>SUMIFS('Expenditure Breakdown'!$U$6:$U$166, 'Expenditure Breakdown'!$T$6:$T$166, "&gt;="&amp;AN1,'Expenditure Breakdown'!$T$6:$T$166, "&lt;"&amp;AO1)</f>
        <v>0</v>
      </c>
      <c r="AO17" s="125">
        <f>SUMIFS('Expenditure Breakdown'!$U$6:$U$166, 'Expenditure Breakdown'!$T$6:$T$166, "&gt;="&amp;AO1,'Expenditure Breakdown'!$T$6:$T$166, "&lt;"&amp;AP1)</f>
        <v>0</v>
      </c>
      <c r="AP17" s="125">
        <f>SUMIFS('Expenditure Breakdown'!$U$6:$U$166, 'Expenditure Breakdown'!$T$6:$T$166, "&gt;="&amp;AP1,'Expenditure Breakdown'!$T$6:$T$166, "&lt;"&amp;AQ1)</f>
        <v>0</v>
      </c>
      <c r="AQ17" s="125">
        <f>SUMIFS('Expenditure Breakdown'!$U$6:$U$166, 'Expenditure Breakdown'!$T$6:$T$166, "&gt;="&amp;AQ1,'Expenditure Breakdown'!$T$6:$T$166, "&lt;"&amp;AR1)</f>
        <v>0</v>
      </c>
      <c r="AR17" s="125">
        <f>SUMIFS('Expenditure Breakdown'!$U$6:$U$166, 'Expenditure Breakdown'!$T$6:$T$166, "&gt;="&amp;AR1,'Expenditure Breakdown'!$T$6:$T$166, "&lt;"&amp;AS1)</f>
        <v>0</v>
      </c>
      <c r="AS17" s="125">
        <f>SUMIFS('Expenditure Breakdown'!$U$6:$U$166, 'Expenditure Breakdown'!$T$6:$T$166, "&gt;="&amp;AS1,'Expenditure Breakdown'!$T$6:$T$166, "&lt;"&amp;AT1)</f>
        <v>0</v>
      </c>
      <c r="AT17" s="125">
        <f>SUMIFS('Expenditure Breakdown'!$U$6:$U$166, 'Expenditure Breakdown'!$T$6:$T$166, "&gt;="&amp;AT1,'Expenditure Breakdown'!$T$6:$T$166, "&lt;"&amp;AU1)</f>
        <v>0</v>
      </c>
      <c r="AU17" s="125">
        <f>SUMIFS('Expenditure Breakdown'!$U$6:$U$166, 'Expenditure Breakdown'!$T$6:$T$166, "&gt;="&amp;AU1,'Expenditure Breakdown'!$T$6:$T$166, "&lt;"&amp;AV1)</f>
        <v>0</v>
      </c>
      <c r="AV17" s="125">
        <f>SUMIFS('Expenditure Breakdown'!$U$6:$U$166, 'Expenditure Breakdown'!$T$6:$T$166, "&gt;="&amp;AV1,'Expenditure Breakdown'!$T$6:$T$166, "&lt;"&amp;AW1)</f>
        <v>0</v>
      </c>
      <c r="AW17" s="125">
        <f>SUMIFS('Expenditure Breakdown'!$U$6:$U$166, 'Expenditure Breakdown'!$T$6:$T$166, "&gt;="&amp;AW1,'Expenditure Breakdown'!$T$6:$T$166, "&lt;"&amp;AX1)</f>
        <v>0</v>
      </c>
      <c r="AX17" s="125">
        <f>SUMIFS('Expenditure Breakdown'!$U$6:$U$166, 'Expenditure Breakdown'!$T$6:$T$166, "&gt;="&amp;AX1,'Expenditure Breakdown'!$T$6:$T$166, "&lt;"&amp;AY1)</f>
        <v>0</v>
      </c>
      <c r="AY17" s="125">
        <f>SUMIFS('Expenditure Breakdown'!$U$6:$U$166, 'Expenditure Breakdown'!$T$6:$T$166, "&gt;="&amp;AY1,'Expenditure Breakdown'!$T$6:$T$166, "&lt;"&amp;AZ1)</f>
        <v>0</v>
      </c>
      <c r="AZ17" s="125">
        <f>SUMIFS('Expenditure Breakdown'!$U$6:$U$166, 'Expenditure Breakdown'!$T$6:$T$166, "&gt;="&amp;AZ1,'Expenditure Breakdown'!$T$6:$T$166, "&lt;"&amp;BA1)</f>
        <v>0</v>
      </c>
      <c r="BA17" s="125">
        <f>SUMIFS('Expenditure Breakdown'!$U$6:$U$166, 'Expenditure Breakdown'!$T$6:$T$166, "&gt;="&amp;BA1,'Expenditure Breakdown'!$T$6:$T$166, "&lt;"&amp;BB1)</f>
        <v>0</v>
      </c>
      <c r="BB17" s="125">
        <f>SUMIFS('Expenditure Breakdown'!$U$6:$U$166, 'Expenditure Breakdown'!$T$6:$T$166, "&gt;="&amp;BB1,'Expenditure Breakdown'!$T$6:$T$166, "&lt;"&amp;BC1)</f>
        <v>0</v>
      </c>
      <c r="BC17" s="125">
        <f>SUMIFS('Expenditure Breakdown'!$U$6:$U$166, 'Expenditure Breakdown'!$T$6:$T$166, "&gt;="&amp;BC1,'Expenditure Breakdown'!$T$6:$T$166, "&lt;"&amp;BD1)</f>
        <v>0</v>
      </c>
      <c r="BD17" s="125">
        <f>SUMIFS('Expenditure Breakdown'!$U$6:$U$166, 'Expenditure Breakdown'!$T$6:$T$166, "&gt;="&amp;BD1,'Expenditure Breakdown'!$T$6:$T$166, "&lt;"&amp;BE1)</f>
        <v>0</v>
      </c>
      <c r="BE17" s="125">
        <f>SUMIFS('Expenditure Breakdown'!$U$6:$U$166, 'Expenditure Breakdown'!$T$6:$T$166, "&gt;="&amp;BE1,'Expenditure Breakdown'!$T$6:$T$166, "&lt;"&amp;BF1)</f>
        <v>0</v>
      </c>
      <c r="BF17" s="125">
        <f>SUMIFS('Expenditure Breakdown'!$U$6:$U$166, 'Expenditure Breakdown'!$T$6:$T$166, "&gt;="&amp;BF1,'Expenditure Breakdown'!$T$6:$T$166, "&lt;"&amp;BG1)</f>
        <v>0</v>
      </c>
      <c r="BG17" s="125">
        <f>SUMIFS('Expenditure Breakdown'!$U$6:$U$166, 'Expenditure Breakdown'!$T$6:$T$166, "&gt;="&amp;BG1,'Expenditure Breakdown'!$T$6:$T$166, "&lt;"&amp;BH1)</f>
        <v>0</v>
      </c>
      <c r="BH17" s="125">
        <f>SUMIFS('Expenditure Breakdown'!$U$6:$U$166, 'Expenditure Breakdown'!$T$6:$T$166, "&gt;="&amp;BH1,'Expenditure Breakdown'!$T$6:$T$166, "&lt;"&amp;BI1)</f>
        <v>0</v>
      </c>
      <c r="BI17" s="125">
        <f>SUMIFS('Expenditure Breakdown'!$U$6:$U$166, 'Expenditure Breakdown'!$T$6:$T$166, "&gt;="&amp;BI1,'Expenditure Breakdown'!$T$6:$T$166, "&lt;"&amp;BJ1)</f>
        <v>0</v>
      </c>
      <c r="BJ17" s="125">
        <f>SUMIFS('Expenditure Breakdown'!$U$6:$U$166, 'Expenditure Breakdown'!$T$6:$T$166, "&gt;="&amp;BJ1,'Expenditure Breakdown'!$T$6:$T$166, "&lt;"&amp;BK1)</f>
        <v>0</v>
      </c>
      <c r="BK17" s="125">
        <f>SUMIFS('Expenditure Breakdown'!$U$6:$U$166, 'Expenditure Breakdown'!$T$6:$T$166, "&gt;="&amp;BK1,'Expenditure Breakdown'!$T$6:$T$166, "&lt;"&amp;BL1)</f>
        <v>0</v>
      </c>
      <c r="BL17" s="125">
        <f>SUMIFS('Expenditure Breakdown'!$U$6:$U$166, 'Expenditure Breakdown'!$T$6:$T$166, "&gt;="&amp;BL1,'Expenditure Breakdown'!$T$6:$T$166, "&lt;"&amp;BM1)</f>
        <v>0</v>
      </c>
      <c r="BM17" s="125">
        <f>SUMIFS('Expenditure Breakdown'!$U$6:$U$166, 'Expenditure Breakdown'!$T$6:$T$166, "&gt;="&amp;BM1,'Expenditure Breakdown'!$T$6:$T$166, "&lt;"&amp;BN1)</f>
        <v>0</v>
      </c>
      <c r="BN17" s="125">
        <f>SUMIFS('Expenditure Breakdown'!$U$6:$U$166, 'Expenditure Breakdown'!$T$6:$T$166, "&gt;="&amp;BN1,'Expenditure Breakdown'!$T$6:$T$166, "&lt;"&amp;BO1)</f>
        <v>0</v>
      </c>
      <c r="BO17" s="125">
        <f>SUMIFS('Expenditure Breakdown'!$U$6:$U$166, 'Expenditure Breakdown'!$T$6:$T$166, "&gt;="&amp;BO1,'Expenditure Breakdown'!$T$6:$T$166, "&lt;"&amp;BP1)</f>
        <v>0</v>
      </c>
      <c r="BP17" s="125">
        <f>SUMIFS('Expenditure Breakdown'!$U$6:$U$166, 'Expenditure Breakdown'!$T$6:$T$166, "&gt;="&amp;BP1,'Expenditure Breakdown'!$T$6:$T$166, "&lt;"&amp;BQ1)</f>
        <v>0</v>
      </c>
      <c r="BQ17" s="125">
        <f>SUMIFS('Expenditure Breakdown'!$U$6:$U$166, 'Expenditure Breakdown'!$T$6:$T$166, "&gt;="&amp;BQ1,'Expenditure Breakdown'!$T$6:$T$166, "&lt;"&amp;BR1)</f>
        <v>0</v>
      </c>
      <c r="BR17" s="125">
        <f>SUMIFS('Expenditure Breakdown'!$U$6:$U$166, 'Expenditure Breakdown'!$T$6:$T$166, "&gt;="&amp;BR1,'Expenditure Breakdown'!$T$6:$T$166, "&lt;"&amp;BS1)</f>
        <v>0</v>
      </c>
      <c r="BS17" s="125">
        <f>SUMIFS('Expenditure Breakdown'!$U$6:$U$166, 'Expenditure Breakdown'!$T$6:$T$166, "&gt;="&amp;BS1,'Expenditure Breakdown'!$T$6:$T$166, "&lt;"&amp;BT1)</f>
        <v>0</v>
      </c>
      <c r="BT17" s="125">
        <f>SUMIFS('Expenditure Breakdown'!$U$6:$U$166, 'Expenditure Breakdown'!$T$6:$T$166, "&gt;="&amp;BT1,'Expenditure Breakdown'!$T$6:$T$166, "&lt;"&amp;BU1)</f>
        <v>0</v>
      </c>
      <c r="BU17" s="125">
        <f>SUMIFS('Expenditure Breakdown'!$U$6:$U$166, 'Expenditure Breakdown'!$T$6:$T$166, "&gt;="&amp;BU1,'Expenditure Breakdown'!$T$6:$T$166, "&lt;"&amp;BV1)</f>
        <v>0</v>
      </c>
      <c r="BV17" s="125">
        <f>SUMIFS('Expenditure Breakdown'!$U$6:$U$166, 'Expenditure Breakdown'!$T$6:$T$166, "&gt;="&amp;BV1,'Expenditure Breakdown'!$T$6:$T$166, "&lt;"&amp;BW1)</f>
        <v>0</v>
      </c>
      <c r="BW17" s="125">
        <f>SUMIFS('Expenditure Breakdown'!$U$6:$U$166, 'Expenditure Breakdown'!$T$6:$T$166, "&gt;="&amp;BW1,'Expenditure Breakdown'!$T$6:$T$166, "&lt;"&amp;BX1)</f>
        <v>0</v>
      </c>
      <c r="BX17" s="125">
        <f>SUMIFS('Expenditure Breakdown'!$U$6:$U$166, 'Expenditure Breakdown'!$T$6:$T$166, "&gt;="&amp;BX1,'Expenditure Breakdown'!$T$6:$T$166, "&lt;"&amp;BY1)</f>
        <v>0</v>
      </c>
      <c r="BY17" s="125">
        <f>SUMIFS('Expenditure Breakdown'!$U$6:$U$166, 'Expenditure Breakdown'!$T$6:$T$166, "&gt;="&amp;BY1,'Expenditure Breakdown'!$T$6:$T$166, "&lt;"&amp;BZ1)</f>
        <v>0</v>
      </c>
      <c r="BZ17" s="125">
        <f>SUMIFS('Expenditure Breakdown'!$U$6:$U$166, 'Expenditure Breakdown'!$T$6:$T$166, "&gt;="&amp;BZ1,'Expenditure Breakdown'!$T$6:$T$166, "&lt;"&amp;CA1)</f>
        <v>0</v>
      </c>
      <c r="CA17" s="125">
        <f>SUMIFS('Expenditure Breakdown'!$U$6:$U$166, 'Expenditure Breakdown'!$T$6:$T$166, "&gt;="&amp;CA1,'Expenditure Breakdown'!$T$6:$T$166, "&lt;"&amp;CB1)</f>
        <v>0</v>
      </c>
      <c r="CB17" s="125">
        <f>SUMIFS('Expenditure Breakdown'!$U$6:$U$166, 'Expenditure Breakdown'!$T$6:$T$166, "&gt;="&amp;CB1,'Expenditure Breakdown'!$T$6:$T$166, "&lt;"&amp;CC1)</f>
        <v>0</v>
      </c>
      <c r="CC17" s="125">
        <f>SUMIFS('Expenditure Breakdown'!$U$6:$U$166, 'Expenditure Breakdown'!$T$6:$T$166, "&gt;="&amp;CC1,'Expenditure Breakdown'!$T$6:$T$166, "&lt;"&amp;CD1)</f>
        <v>0</v>
      </c>
      <c r="CD17" s="125">
        <f>SUMIFS('Expenditure Breakdown'!$U$6:$U$166, 'Expenditure Breakdown'!$T$6:$T$166, "&gt;="&amp;CD1,'Expenditure Breakdown'!$T$6:$T$166, "&lt;"&amp;CE1)</f>
        <v>0</v>
      </c>
      <c r="CE17" s="125">
        <f>SUMIFS('Expenditure Breakdown'!$U$6:$U$166, 'Expenditure Breakdown'!$T$6:$T$166, "&gt;="&amp;CE1,'Expenditure Breakdown'!$T$6:$T$166, "&lt;"&amp;CF1)</f>
        <v>0</v>
      </c>
      <c r="CF17" s="125">
        <f>SUMIFS('Expenditure Breakdown'!$U$6:$U$166, 'Expenditure Breakdown'!$T$6:$T$166, "&gt;="&amp;CF1,'Expenditure Breakdown'!$T$6:$T$166, "&lt;"&amp;CG1)</f>
        <v>0</v>
      </c>
      <c r="CG17" s="125">
        <f>SUMIFS('Expenditure Breakdown'!$U$6:$U$166, 'Expenditure Breakdown'!$T$6:$T$166, "&gt;="&amp;CG1,'Expenditure Breakdown'!$T$6:$T$166, "&lt;"&amp;CH1)</f>
        <v>0</v>
      </c>
      <c r="CH17" s="125">
        <f>SUMIFS('Expenditure Breakdown'!$U$6:$U$166, 'Expenditure Breakdown'!$T$6:$T$166, "&gt;="&amp;CH1,'Expenditure Breakdown'!$T$6:$T$166, "&lt;"&amp;CI1)</f>
        <v>0</v>
      </c>
      <c r="CI17" s="125">
        <f>SUMIFS('Expenditure Breakdown'!$U$6:$U$166, 'Expenditure Breakdown'!$T$6:$T$166, "&gt;="&amp;CI1,'Expenditure Breakdown'!$T$6:$T$166, "&lt;"&amp;CJ1)</f>
        <v>0</v>
      </c>
      <c r="CJ17" s="125">
        <f>SUMIFS('Expenditure Breakdown'!$U$6:$U$166, 'Expenditure Breakdown'!$T$6:$T$166, "&gt;="&amp;CJ1,'Expenditure Breakdown'!$T$6:$T$166, "&lt;"&amp;CK1)</f>
        <v>0</v>
      </c>
      <c r="CK17" s="125">
        <f>SUMIFS('Expenditure Breakdown'!$U$6:$U$166, 'Expenditure Breakdown'!$T$6:$T$166, "&gt;="&amp;CK1,'Expenditure Breakdown'!$T$6:$T$166, "&lt;"&amp;CL1)</f>
        <v>0</v>
      </c>
      <c r="CL17" s="125">
        <f>SUMIFS('Expenditure Breakdown'!$U$6:$U$166, 'Expenditure Breakdown'!$T$6:$T$166, "&gt;="&amp;CL1,'Expenditure Breakdown'!$T$6:$T$166, "&lt;"&amp;CM1)</f>
        <v>0</v>
      </c>
      <c r="CM17" s="125">
        <f>SUMIFS('Expenditure Breakdown'!$U$6:$U$166, 'Expenditure Breakdown'!$T$6:$T$166, "&gt;="&amp;CM1,'Expenditure Breakdown'!$T$6:$T$166, "&lt;"&amp;CN1)</f>
        <v>0</v>
      </c>
      <c r="CN17" s="125">
        <f>SUMIFS('Expenditure Breakdown'!$U$6:$U$166, 'Expenditure Breakdown'!$T$6:$T$166, "&gt;="&amp;CN1,'Expenditure Breakdown'!$T$6:$T$166, "&lt;"&amp;CO1)</f>
        <v>0</v>
      </c>
      <c r="CO17" s="125">
        <f>SUMIFS('Expenditure Breakdown'!$U$6:$U$166, 'Expenditure Breakdown'!$T$6:$T$166, "&gt;="&amp;CO1,'Expenditure Breakdown'!$T$6:$T$166, "&lt;"&amp;CP1)</f>
        <v>0</v>
      </c>
      <c r="CP17" s="125">
        <f>SUMIFS('Expenditure Breakdown'!$U$6:$U$166, 'Expenditure Breakdown'!$T$6:$T$166, "&gt;="&amp;CP1,'Expenditure Breakdown'!$T$6:$T$166, "&lt;"&amp;CQ1)</f>
        <v>0</v>
      </c>
      <c r="CQ17" s="125">
        <f>SUMIFS('Expenditure Breakdown'!$U$6:$U$166, 'Expenditure Breakdown'!$T$6:$T$166, "&gt;="&amp;CQ1,'Expenditure Breakdown'!$T$6:$T$166, "&lt;"&amp;CR1)</f>
        <v>0</v>
      </c>
      <c r="CR17" s="125">
        <f>SUMIFS('Expenditure Breakdown'!$U$6:$U$166, 'Expenditure Breakdown'!$T$6:$T$166, "&gt;="&amp;CR1,'Expenditure Breakdown'!$T$6:$T$166, "&lt;"&amp;CS1)</f>
        <v>0</v>
      </c>
      <c r="CS17" s="125">
        <f>SUMIFS('Expenditure Breakdown'!$U$6:$U$166, 'Expenditure Breakdown'!$T$6:$T$166, "&gt;="&amp;CS1,'Expenditure Breakdown'!$T$6:$T$166, "&lt;"&amp;CT1)</f>
        <v>0</v>
      </c>
      <c r="CT17" s="125">
        <f>SUMIFS('Expenditure Breakdown'!$U$6:$U$166, 'Expenditure Breakdown'!$T$6:$T$166, "&gt;="&amp;CT1,'Expenditure Breakdown'!$T$6:$T$166, "&lt;"&amp;CU1)</f>
        <v>0</v>
      </c>
      <c r="CU17" s="125">
        <f>SUMIFS('Expenditure Breakdown'!$U$6:$U$166, 'Expenditure Breakdown'!$T$6:$T$166, "&gt;="&amp;CU1,'Expenditure Breakdown'!$T$6:$T$166, "&lt;"&amp;CV1)</f>
        <v>0</v>
      </c>
      <c r="CV17" s="125">
        <f>SUMIFS('Expenditure Breakdown'!$U$6:$U$166, 'Expenditure Breakdown'!$T$6:$T$166, "&gt;="&amp;CV1,'Expenditure Breakdown'!$T$6:$T$166, "&lt;"&amp;CW1)</f>
        <v>0</v>
      </c>
      <c r="CW17" s="125">
        <f>SUMIFS('Expenditure Breakdown'!$U$6:$U$166, 'Expenditure Breakdown'!$T$6:$T$166, "&gt;="&amp;CW1,'Expenditure Breakdown'!$T$6:$T$166, "&lt;"&amp;CX1)</f>
        <v>0</v>
      </c>
      <c r="CX17" s="125">
        <f>SUMIFS('Expenditure Breakdown'!$U$6:$U$166, 'Expenditure Breakdown'!$T$6:$T$166, "&gt;="&amp;CX1,'Expenditure Breakdown'!$T$6:$T$166, "&lt;"&amp;CY1)</f>
        <v>0</v>
      </c>
      <c r="CY17" s="125">
        <f>SUMIFS('Expenditure Breakdown'!$U$6:$U$166, 'Expenditure Breakdown'!$T$6:$T$166, "&gt;="&amp;CY1,'Expenditure Breakdown'!$T$6:$T$166, "&lt;"&amp;CZ1)</f>
        <v>0</v>
      </c>
      <c r="CZ17" s="125">
        <f>SUMIFS('Expenditure Breakdown'!$U$6:$U$166, 'Expenditure Breakdown'!$T$6:$T$166, "&gt;="&amp;CZ1,'Expenditure Breakdown'!$T$6:$T$166, "&lt;"&amp;DA1)</f>
        <v>0</v>
      </c>
      <c r="DA17" s="125">
        <f>SUMIFS('Expenditure Breakdown'!$U$6:$U$166, 'Expenditure Breakdown'!$T$6:$T$166, "&gt;="&amp;DA1,'Expenditure Breakdown'!$T$6:$T$166, "&lt;"&amp;DB1)</f>
        <v>0</v>
      </c>
      <c r="DB17" s="125">
        <f>SUMIFS('Expenditure Breakdown'!$U$6:$U$166, 'Expenditure Breakdown'!$T$6:$T$166, "&gt;="&amp;DB1,'Expenditure Breakdown'!$T$6:$T$166, "&lt;"&amp;DC1)</f>
        <v>0</v>
      </c>
      <c r="DC17" s="125">
        <f>SUMIFS('Expenditure Breakdown'!$U$6:$U$166, 'Expenditure Breakdown'!$T$6:$T$166, "&gt;="&amp;DC1,'Expenditure Breakdown'!$T$6:$T$166, "&lt;"&amp;DD1)</f>
        <v>0</v>
      </c>
      <c r="DD17" s="125">
        <f>SUMIFS('Expenditure Breakdown'!$U$6:$U$166, 'Expenditure Breakdown'!$T$6:$T$166, "&gt;="&amp;DD1,'Expenditure Breakdown'!$T$6:$T$166, "&lt;"&amp;DE1)</f>
        <v>0</v>
      </c>
      <c r="DE17" s="125">
        <f>SUMIFS('Expenditure Breakdown'!$U$6:$U$166, 'Expenditure Breakdown'!$T$6:$T$166, "&gt;="&amp;DE1,'Expenditure Breakdown'!$T$6:$T$166, "&lt;"&amp;DF1)</f>
        <v>0</v>
      </c>
      <c r="DF17" s="125">
        <f>SUMIFS('Expenditure Breakdown'!$U$6:$U$166, 'Expenditure Breakdown'!$T$6:$T$166, "&gt;="&amp;DF1,'Expenditure Breakdown'!$T$6:$T$166, "&lt;"&amp;DG1)</f>
        <v>0</v>
      </c>
      <c r="DG17" s="125">
        <f>SUMIFS('Expenditure Breakdown'!$U$6:$U$166, 'Expenditure Breakdown'!$T$6:$T$166, "&gt;="&amp;DG1,'Expenditure Breakdown'!$T$6:$T$166, "&lt;"&amp;DH1)</f>
        <v>0</v>
      </c>
      <c r="DH17" s="125">
        <f>SUMIFS('Expenditure Breakdown'!$U$6:$U$166, 'Expenditure Breakdown'!$T$6:$T$166, "&gt;="&amp;DH1,'Expenditure Breakdown'!$T$6:$T$166, "&lt;"&amp;DI1)</f>
        <v>0</v>
      </c>
      <c r="DI17" s="125">
        <f>SUMIFS('Expenditure Breakdown'!$U$6:$U$166, 'Expenditure Breakdown'!$T$6:$T$166, "&gt;="&amp;DI1,'Expenditure Breakdown'!$T$6:$T$166, "&lt;"&amp;DJ1)</f>
        <v>0</v>
      </c>
      <c r="DJ17" s="125">
        <f>SUMIFS('Expenditure Breakdown'!$U$6:$U$166, 'Expenditure Breakdown'!$T$6:$T$166, "&gt;="&amp;DJ1,'Expenditure Breakdown'!$T$6:$T$166, "&lt;"&amp;DK1)</f>
        <v>0</v>
      </c>
      <c r="DK17" s="125">
        <f>SUMIFS('Expenditure Breakdown'!$U$6:$U$166, 'Expenditure Breakdown'!$T$6:$T$166, "&gt;="&amp;DK1,'Expenditure Breakdown'!$T$6:$T$166, "&lt;"&amp;DL1)</f>
        <v>0</v>
      </c>
      <c r="DL17" s="125">
        <f>SUMIFS('Expenditure Breakdown'!$U$6:$U$166, 'Expenditure Breakdown'!$T$6:$T$166, "&gt;="&amp;DL1,'Expenditure Breakdown'!$T$6:$T$166, "&lt;"&amp;DM1)</f>
        <v>0</v>
      </c>
      <c r="DM17" s="125">
        <f>SUMIFS('Expenditure Breakdown'!$U$6:$U$166, 'Expenditure Breakdown'!$T$6:$T$166, "&gt;="&amp;DM1,'Expenditure Breakdown'!$T$6:$T$166, "&lt;"&amp;DN1)</f>
        <v>0</v>
      </c>
      <c r="DN17" s="125">
        <f>SUMIFS('Expenditure Breakdown'!$U$6:$U$166, 'Expenditure Breakdown'!$T$6:$T$166, "&gt;="&amp;DN1,'Expenditure Breakdown'!$T$6:$T$166, "&lt;"&amp;DO1)</f>
        <v>0</v>
      </c>
      <c r="DO17" s="125">
        <f>SUMIFS('Expenditure Breakdown'!$U$6:$U$166, 'Expenditure Breakdown'!$T$6:$T$166, "&gt;="&amp;DO1,'Expenditure Breakdown'!$T$6:$T$166, "&lt;"&amp;DP1)</f>
        <v>0</v>
      </c>
      <c r="DP17" s="125">
        <f>SUMIFS('Expenditure Breakdown'!$U$6:$U$166, 'Expenditure Breakdown'!$T$6:$T$166, "&gt;="&amp;DP1,'Expenditure Breakdown'!$T$6:$T$166, "&lt;"&amp;DQ1)</f>
        <v>0</v>
      </c>
      <c r="DQ17" s="125">
        <f>SUMIFS('Expenditure Breakdown'!$U$6:$U$166, 'Expenditure Breakdown'!$T$6:$T$166, "&gt;="&amp;DQ1,'Expenditure Breakdown'!$T$6:$T$166, "&lt;"&amp;DR1)</f>
        <v>0</v>
      </c>
      <c r="DR17" s="125">
        <f>SUMIFS('Expenditure Breakdown'!$U$6:$U$166, 'Expenditure Breakdown'!$T$6:$T$166, "&gt;="&amp;DR1,'Expenditure Breakdown'!$T$6:$T$166, "&lt;"&amp;DS1)</f>
        <v>0</v>
      </c>
      <c r="DS17" s="125">
        <f>SUMIFS('Expenditure Breakdown'!$U$6:$U$166, 'Expenditure Breakdown'!$T$6:$T$166, "&gt;="&amp;DS1,'Expenditure Breakdown'!$T$6:$T$166, "&lt;"&amp;DT1)</f>
        <v>0</v>
      </c>
      <c r="DT17" s="125">
        <f>SUMIFS('Expenditure Breakdown'!$U$6:$U$166, 'Expenditure Breakdown'!$T$6:$T$166, "&gt;="&amp;DT1,'Expenditure Breakdown'!$T$6:$T$166, "&lt;"&amp;DU1)</f>
        <v>0</v>
      </c>
      <c r="DU17" s="125">
        <f>SUMIFS('Expenditure Breakdown'!$U$6:$U$166, 'Expenditure Breakdown'!$T$6:$T$166, "&gt;="&amp;DU1,'Expenditure Breakdown'!$T$6:$T$166, "&lt;"&amp;DV1)</f>
        <v>0</v>
      </c>
      <c r="DV17" s="125">
        <f>SUMIFS('Expenditure Breakdown'!$U$6:$U$166, 'Expenditure Breakdown'!$T$6:$T$166, "&gt;="&amp;DV1,'Expenditure Breakdown'!$T$6:$T$166, "&lt;"&amp;DW1)</f>
        <v>0</v>
      </c>
      <c r="DW17" s="125">
        <f>SUMIFS('Expenditure Breakdown'!$U$6:$U$166, 'Expenditure Breakdown'!$T$6:$T$166, "&gt;="&amp;DW1,'Expenditure Breakdown'!$T$6:$T$166, "&lt;"&amp;DX1)</f>
        <v>0</v>
      </c>
      <c r="DX17" s="125">
        <f>SUMIFS('Expenditure Breakdown'!$U$6:$U$166, 'Expenditure Breakdown'!$T$6:$T$166, "&gt;="&amp;DX1,'Expenditure Breakdown'!$T$6:$T$166, "&lt;"&amp;DY1)</f>
        <v>0</v>
      </c>
      <c r="DY17" s="125">
        <f>SUMIFS('Expenditure Breakdown'!$U$6:$U$166, 'Expenditure Breakdown'!$T$6:$T$166, "&gt;="&amp;DY1,'Expenditure Breakdown'!$T$6:$T$166, "&lt;"&amp;DZ1)</f>
        <v>0</v>
      </c>
      <c r="DZ17" s="125">
        <f>SUMIFS('Expenditure Breakdown'!$U$6:$U$166, 'Expenditure Breakdown'!$T$6:$T$166, "&gt;="&amp;DZ1,'Expenditure Breakdown'!$T$6:$T$166, "&lt;"&amp;EA1)</f>
        <v>0</v>
      </c>
      <c r="EA17" s="125">
        <f>SUMIFS('Expenditure Breakdown'!$U$6:$U$166, 'Expenditure Breakdown'!$T$6:$T$166, "&gt;="&amp;EA1,'Expenditure Breakdown'!$T$6:$T$166, "&lt;"&amp;EB1)</f>
        <v>0</v>
      </c>
      <c r="EB17" s="125">
        <f>SUMIFS('Expenditure Breakdown'!$U$6:$U$166, 'Expenditure Breakdown'!$T$6:$T$166, "&gt;="&amp;EB1,'Expenditure Breakdown'!$T$6:$T$166, "&lt;"&amp;EC1)</f>
        <v>0</v>
      </c>
      <c r="EC17" s="125">
        <f>SUMIFS('Expenditure Breakdown'!$U$6:$U$166, 'Expenditure Breakdown'!$T$6:$T$166, "&gt;="&amp;EC1,'Expenditure Breakdown'!$T$6:$T$166, "&lt;"&amp;ED1)</f>
        <v>0</v>
      </c>
      <c r="ED17" s="125">
        <f>SUMIFS('Expenditure Breakdown'!$U$6:$U$166, 'Expenditure Breakdown'!$T$6:$T$166, "&gt;="&amp;ED1,'Expenditure Breakdown'!$T$6:$T$166, "&lt;"&amp;EE1)</f>
        <v>0</v>
      </c>
      <c r="EE17" s="125">
        <f>SUMIFS('Expenditure Breakdown'!$U$6:$U$166, 'Expenditure Breakdown'!$T$6:$T$166, "&gt;="&amp;EE1,'Expenditure Breakdown'!$T$6:$T$166, "&lt;"&amp;EF1)</f>
        <v>0</v>
      </c>
      <c r="EF17" s="125">
        <f>SUMIFS('Expenditure Breakdown'!$U$6:$U$166, 'Expenditure Breakdown'!$T$6:$T$166, "&gt;="&amp;EF1,'Expenditure Breakdown'!$T$6:$T$166, "&lt;"&amp;EG1)</f>
        <v>0</v>
      </c>
      <c r="EG17" s="125">
        <f>SUMIFS('Expenditure Breakdown'!$U$6:$U$166, 'Expenditure Breakdown'!$T$6:$T$166, "&gt;="&amp;EG1,'Expenditure Breakdown'!$T$6:$T$166, "&lt;"&amp;EH1)</f>
        <v>0</v>
      </c>
      <c r="EH17" s="125">
        <f>SUMIFS('Expenditure Breakdown'!$U$6:$U$166, 'Expenditure Breakdown'!$T$6:$T$166, "&gt;="&amp;EH1,'Expenditure Breakdown'!$T$6:$T$166, "&lt;"&amp;EI1)</f>
        <v>0</v>
      </c>
      <c r="EI17" s="125">
        <f>SUMIFS('Expenditure Breakdown'!$U$6:$U$166, 'Expenditure Breakdown'!$T$6:$T$166, "&gt;="&amp;EI1,'Expenditure Breakdown'!$T$6:$T$166, "&lt;"&amp;EJ1)</f>
        <v>0</v>
      </c>
      <c r="EJ17" s="125">
        <f>SUMIFS('Expenditure Breakdown'!$U$6:$U$166, 'Expenditure Breakdown'!$T$6:$T$166, "&gt;="&amp;EJ1,'Expenditure Breakdown'!$T$6:$T$166, "&lt;"&amp;EK1)</f>
        <v>0</v>
      </c>
      <c r="EK17" s="125">
        <f>SUMIFS('Expenditure Breakdown'!$U$6:$U$166, 'Expenditure Breakdown'!$T$6:$T$166, "&gt;="&amp;EK1,'Expenditure Breakdown'!$T$6:$T$166, "&lt;"&amp;EL1)</f>
        <v>0</v>
      </c>
      <c r="EL17" s="125">
        <f>SUMIFS('Expenditure Breakdown'!$U$6:$U$166, 'Expenditure Breakdown'!$T$6:$T$166, "&gt;="&amp;EL1,'Expenditure Breakdown'!$T$6:$T$166, "&lt;"&amp;EM1)</f>
        <v>0</v>
      </c>
      <c r="EM17" s="125">
        <f>SUMIFS('Expenditure Breakdown'!$U$6:$U$166, 'Expenditure Breakdown'!$T$6:$T$166, "&gt;="&amp;EM1,'Expenditure Breakdown'!$T$6:$T$166, "&lt;"&amp;EN1)</f>
        <v>0</v>
      </c>
      <c r="EN17" s="125">
        <f>SUMIFS('Expenditure Breakdown'!$U$6:$U$166, 'Expenditure Breakdown'!$T$6:$T$166, "&gt;="&amp;EN1,'Expenditure Breakdown'!$T$6:$T$166, "&lt;"&amp;EO1)</f>
        <v>0</v>
      </c>
      <c r="EO17" s="125">
        <f>SUMIFS('Expenditure Breakdown'!$U$6:$U$166, 'Expenditure Breakdown'!$T$6:$T$166, "&gt;="&amp;EO1,'Expenditure Breakdown'!$T$6:$T$166, "&lt;"&amp;EP1)</f>
        <v>0</v>
      </c>
      <c r="EP17" s="125">
        <f>SUMIFS('Expenditure Breakdown'!$U$6:$U$166, 'Expenditure Breakdown'!$T$6:$T$166, "&gt;="&amp;EP1,'Expenditure Breakdown'!$T$6:$T$166, "&lt;"&amp;EQ1)</f>
        <v>0</v>
      </c>
      <c r="EQ17" s="125">
        <f>SUMIFS('Expenditure Breakdown'!$U$6:$U$166, 'Expenditure Breakdown'!$T$6:$T$166, "&gt;="&amp;EQ1,'Expenditure Breakdown'!$T$6:$T$166, "&lt;"&amp;ER1)</f>
        <v>0</v>
      </c>
      <c r="ER17" s="125">
        <f>SUMIFS('Expenditure Breakdown'!$U$6:$U$166, 'Expenditure Breakdown'!$T$6:$T$166, "&gt;="&amp;ER1,'Expenditure Breakdown'!$T$6:$T$166, "&lt;"&amp;ES1)</f>
        <v>0</v>
      </c>
      <c r="ES17" s="125">
        <f>SUMIFS('Expenditure Breakdown'!$U$6:$U$166, 'Expenditure Breakdown'!$T$6:$T$166, "&gt;="&amp;ES1,'Expenditure Breakdown'!$T$6:$T$166, "&lt;"&amp;ET1)</f>
        <v>0</v>
      </c>
      <c r="ET17" s="125">
        <f>SUMIFS('Expenditure Breakdown'!$U$6:$U$166, 'Expenditure Breakdown'!$T$6:$T$166, "&gt;="&amp;ET1,'Expenditure Breakdown'!$T$6:$T$166, "&lt;"&amp;EU1)</f>
        <v>0</v>
      </c>
      <c r="EU17" s="125">
        <f>SUMIFS('Expenditure Breakdown'!$U$6:$U$166, 'Expenditure Breakdown'!$T$6:$T$166, "&gt;="&amp;EU1,'Expenditure Breakdown'!$T$6:$T$166, "&lt;"&amp;EV1)</f>
        <v>0</v>
      </c>
      <c r="EV17" s="125">
        <f>SUMIFS('Expenditure Breakdown'!$U$6:$U$166, 'Expenditure Breakdown'!$T$6:$T$166, "&gt;="&amp;EV1,'Expenditure Breakdown'!$T$6:$T$166, "&lt;"&amp;EW1)</f>
        <v>0</v>
      </c>
      <c r="EW17" s="125">
        <f>SUMIFS('Expenditure Breakdown'!$U$6:$U$166, 'Expenditure Breakdown'!$T$6:$T$166, "&gt;="&amp;EW1,'Expenditure Breakdown'!$T$6:$T$166, "&lt;"&amp;EX1)</f>
        <v>0</v>
      </c>
      <c r="EX17" s="125">
        <f>SUMIFS('Expenditure Breakdown'!$U$6:$U$166, 'Expenditure Breakdown'!$T$6:$T$166, "&gt;="&amp;EX1,'Expenditure Breakdown'!$T$6:$T$166, "&lt;"&amp;EY1)</f>
        <v>0</v>
      </c>
      <c r="EY17" s="125">
        <f>SUMIFS('Expenditure Breakdown'!$U$6:$U$166, 'Expenditure Breakdown'!$T$6:$T$166, "&gt;="&amp;EY1,'Expenditure Breakdown'!$T$6:$T$166, "&lt;"&amp;EZ1)</f>
        <v>0</v>
      </c>
      <c r="EZ17" s="125">
        <f>SUMIFS('Expenditure Breakdown'!$U$6:$U$166, 'Expenditure Breakdown'!$T$6:$T$166, "&gt;="&amp;EZ1,'Expenditure Breakdown'!$T$6:$T$166, "&lt;"&amp;FA1)</f>
        <v>0</v>
      </c>
      <c r="FA17" s="125">
        <f>SUMIFS('Expenditure Breakdown'!$U$6:$U$166, 'Expenditure Breakdown'!$T$6:$T$166, "&gt;="&amp;FA1,'Expenditure Breakdown'!$T$6:$T$166, "&lt;"&amp;FB1)</f>
        <v>0</v>
      </c>
      <c r="FB17" s="125">
        <f>SUMIFS('Expenditure Breakdown'!$U$6:$U$166, 'Expenditure Breakdown'!$T$6:$T$166, "&gt;="&amp;FB1,'Expenditure Breakdown'!$T$6:$T$166, "&lt;"&amp;FC1)</f>
        <v>0</v>
      </c>
      <c r="FC17" s="125">
        <f>SUMIFS('Expenditure Breakdown'!$U$6:$U$166, 'Expenditure Breakdown'!$T$6:$T$166, "&gt;="&amp;FC1,'Expenditure Breakdown'!$T$6:$T$166, "&lt;"&amp;FD1)</f>
        <v>0</v>
      </c>
      <c r="FD17" s="125">
        <f>SUMIFS('Expenditure Breakdown'!$U$6:$U$166, 'Expenditure Breakdown'!$T$6:$T$166, "&gt;="&amp;FD1,'Expenditure Breakdown'!$T$6:$T$166, "&lt;"&amp;FE1)</f>
        <v>0</v>
      </c>
      <c r="FE17" s="125">
        <f>SUMIFS('Expenditure Breakdown'!$U$6:$U$166, 'Expenditure Breakdown'!$T$6:$T$166, "&gt;="&amp;FE1,'Expenditure Breakdown'!$T$6:$T$166, "&lt;"&amp;FF1)</f>
        <v>0</v>
      </c>
      <c r="FF17" s="125">
        <f>SUMIFS('Expenditure Breakdown'!$U$6:$U$166, 'Expenditure Breakdown'!$T$6:$T$166, "&gt;="&amp;FF1,'Expenditure Breakdown'!$T$6:$T$166, "&lt;"&amp;FG1)</f>
        <v>0</v>
      </c>
      <c r="FG17" s="125">
        <f>SUMIFS('Expenditure Breakdown'!$U$6:$U$166, 'Expenditure Breakdown'!$T$6:$T$166, "&gt;="&amp;FG1,'Expenditure Breakdown'!$T$6:$T$166, "&lt;"&amp;FH1)</f>
        <v>0</v>
      </c>
      <c r="FH17" s="125">
        <f>SUMIFS('Expenditure Breakdown'!$U$6:$U$166, 'Expenditure Breakdown'!$T$6:$T$166, "&gt;="&amp;FH1,'Expenditure Breakdown'!$T$6:$T$166, "&lt;"&amp;FI1)</f>
        <v>0</v>
      </c>
      <c r="FI17" s="125">
        <f>SUMIFS('Expenditure Breakdown'!$U$6:$U$166, 'Expenditure Breakdown'!$T$6:$T$166, "&gt;="&amp;FI1,'Expenditure Breakdown'!$T$6:$T$166, "&lt;"&amp;FJ1)</f>
        <v>0</v>
      </c>
      <c r="FJ17" s="125">
        <f>SUMIFS('Expenditure Breakdown'!$U$6:$U$166, 'Expenditure Breakdown'!$T$6:$T$166, "&gt;="&amp;FJ1,'Expenditure Breakdown'!$T$6:$T$166, "&lt;"&amp;FK1)</f>
        <v>0</v>
      </c>
      <c r="FK17" s="125">
        <f>SUMIFS('Expenditure Breakdown'!$U$6:$U$166, 'Expenditure Breakdown'!$T$6:$T$166, "&gt;="&amp;FK1,'Expenditure Breakdown'!$T$6:$T$166, "&lt;"&amp;FL1)</f>
        <v>0</v>
      </c>
      <c r="FL17" s="125">
        <f>SUMIFS('Expenditure Breakdown'!$U$6:$U$166, 'Expenditure Breakdown'!$T$6:$T$166, "&gt;="&amp;FL1,'Expenditure Breakdown'!$T$6:$T$166, "&lt;"&amp;FM1)</f>
        <v>0</v>
      </c>
      <c r="FM17" s="125">
        <f>SUMIFS('Expenditure Breakdown'!$U$6:$U$166, 'Expenditure Breakdown'!$T$6:$T$166, "&gt;="&amp;FM1,'Expenditure Breakdown'!$T$6:$T$166, "&lt;"&amp;FN1)</f>
        <v>0</v>
      </c>
      <c r="FN17" s="125">
        <f>SUMIFS('Expenditure Breakdown'!$U$6:$U$166, 'Expenditure Breakdown'!$T$6:$T$166, "&gt;="&amp;FN1,'Expenditure Breakdown'!$T$6:$T$166, "&lt;"&amp;FO1)</f>
        <v>0</v>
      </c>
      <c r="FO17" s="125">
        <f>SUMIFS('Expenditure Breakdown'!$U$6:$U$166, 'Expenditure Breakdown'!$T$6:$T$166, "&gt;="&amp;FO1,'Expenditure Breakdown'!$T$6:$T$166, "&lt;"&amp;FP1)</f>
        <v>0</v>
      </c>
      <c r="FP17" s="125">
        <f>SUMIFS('Expenditure Breakdown'!$U$6:$U$166, 'Expenditure Breakdown'!$T$6:$T$166, "&gt;="&amp;FP1,'Expenditure Breakdown'!$T$6:$T$166, "&lt;"&amp;FQ1)</f>
        <v>0</v>
      </c>
      <c r="FQ17" s="125">
        <f>SUMIFS('Expenditure Breakdown'!$U$6:$U$166, 'Expenditure Breakdown'!$T$6:$T$166, "&gt;="&amp;FQ1,'Expenditure Breakdown'!$T$6:$T$166, "&lt;"&amp;FR1)</f>
        <v>0</v>
      </c>
      <c r="FR17" s="125">
        <f>SUMIFS('Expenditure Breakdown'!$U$6:$U$166, 'Expenditure Breakdown'!$T$6:$T$166, "&gt;="&amp;FR1,'Expenditure Breakdown'!$T$6:$T$166, "&lt;"&amp;FS1)</f>
        <v>0</v>
      </c>
      <c r="FS17" s="125">
        <f>SUMIFS('Expenditure Breakdown'!$U$6:$U$166, 'Expenditure Breakdown'!$T$6:$T$166, "&gt;="&amp;FS1,'Expenditure Breakdown'!$T$6:$T$166, "&lt;"&amp;FT1)</f>
        <v>0</v>
      </c>
      <c r="FT17" s="125">
        <f>SUMIFS('Expenditure Breakdown'!$U$6:$U$166, 'Expenditure Breakdown'!$T$6:$T$166, "&gt;="&amp;FT1,'Expenditure Breakdown'!$T$6:$T$166, "&lt;"&amp;FU1)</f>
        <v>0</v>
      </c>
      <c r="FU17" s="125">
        <f>SUMIFS('Expenditure Breakdown'!$U$6:$U$166, 'Expenditure Breakdown'!$T$6:$T$166, "&gt;="&amp;FU1,'Expenditure Breakdown'!$T$6:$T$166, "&lt;"&amp;FV1)</f>
        <v>0</v>
      </c>
      <c r="FV17" s="125">
        <f>SUMIFS('Expenditure Breakdown'!$U$6:$U$166, 'Expenditure Breakdown'!$T$6:$T$166, "&gt;="&amp;FV1,'Expenditure Breakdown'!$T$6:$T$166, "&lt;"&amp;FW1)</f>
        <v>0</v>
      </c>
      <c r="FW17" s="125">
        <f>SUMIFS('Expenditure Breakdown'!$U$6:$U$166, 'Expenditure Breakdown'!$T$6:$T$166, "&gt;="&amp;FW1,'Expenditure Breakdown'!$T$6:$T$166, "&lt;"&amp;FX1)</f>
        <v>0</v>
      </c>
      <c r="FX17" s="125">
        <f>SUMIFS('Expenditure Breakdown'!$U$6:$U$166, 'Expenditure Breakdown'!$T$6:$T$166, "&gt;="&amp;FX1,'Expenditure Breakdown'!$T$6:$T$166, "&lt;"&amp;FY1)</f>
        <v>0</v>
      </c>
      <c r="FY17" s="125">
        <f>SUMIFS('Expenditure Breakdown'!$U$6:$U$166, 'Expenditure Breakdown'!$T$6:$T$166, "&gt;="&amp;FY1,'Expenditure Breakdown'!$T$6:$T$166, "&lt;"&amp;FZ1)</f>
        <v>0</v>
      </c>
      <c r="FZ17" s="125">
        <f>SUMIFS('Expenditure Breakdown'!$U$6:$U$166, 'Expenditure Breakdown'!$T$6:$T$166, "&gt;="&amp;FZ1,'Expenditure Breakdown'!$T$6:$T$166, "&lt;"&amp;GA1)</f>
        <v>0</v>
      </c>
      <c r="GA17" s="125">
        <f>SUMIFS('Expenditure Breakdown'!$U$6:$U$166, 'Expenditure Breakdown'!$T$6:$T$166, "&gt;="&amp;GA1,'Expenditure Breakdown'!$T$6:$T$166, "&lt;"&amp;GB1)</f>
        <v>0</v>
      </c>
      <c r="GB17" s="125">
        <f>SUMIFS('Expenditure Breakdown'!$U$6:$U$166, 'Expenditure Breakdown'!$T$6:$T$166, "&gt;="&amp;GB1,'Expenditure Breakdown'!$T$6:$T$166, "&lt;"&amp;GC1)</f>
        <v>0</v>
      </c>
      <c r="GC17" s="125">
        <f>SUMIFS('Expenditure Breakdown'!$U$6:$U$166, 'Expenditure Breakdown'!$T$6:$T$166, "&gt;="&amp;GC1,'Expenditure Breakdown'!$T$6:$T$166, "&lt;"&amp;GD1)</f>
        <v>0</v>
      </c>
      <c r="GD17" s="125">
        <f>SUMIFS('Expenditure Breakdown'!$U$6:$U$166, 'Expenditure Breakdown'!$T$6:$T$166, "&gt;="&amp;GD1,'Expenditure Breakdown'!$T$6:$T$166, "&lt;"&amp;GE1)</f>
        <v>0</v>
      </c>
      <c r="GE17" s="125">
        <f>SUMIFS('Expenditure Breakdown'!$U$6:$U$166, 'Expenditure Breakdown'!$T$6:$T$166, "&gt;="&amp;GE1,'Expenditure Breakdown'!$T$6:$T$166, "&lt;"&amp;GF1)</f>
        <v>0</v>
      </c>
      <c r="GF17" s="125">
        <f>SUMIFS('Expenditure Breakdown'!$U$6:$U$166, 'Expenditure Breakdown'!$T$6:$T$166, "&gt;="&amp;GF1,'Expenditure Breakdown'!$T$6:$T$166, "&lt;"&amp;GG1)</f>
        <v>0</v>
      </c>
      <c r="GG17" s="125">
        <f>SUMIFS('Expenditure Breakdown'!$U$6:$U$166, 'Expenditure Breakdown'!$T$6:$T$166, "&gt;="&amp;GG1,'Expenditure Breakdown'!$T$6:$T$166, "&lt;"&amp;GH1)</f>
        <v>0</v>
      </c>
      <c r="GH17" s="125">
        <f>SUMIFS('Expenditure Breakdown'!$U$6:$U$166, 'Expenditure Breakdown'!$T$6:$T$166, "&gt;="&amp;GH1,'Expenditure Breakdown'!$T$6:$T$166, "&lt;"&amp;GI1)</f>
        <v>0</v>
      </c>
      <c r="GI17" s="125">
        <f>SUMIFS('Expenditure Breakdown'!$U$6:$U$166, 'Expenditure Breakdown'!$T$6:$T$166, "&gt;="&amp;GI1,'Expenditure Breakdown'!$T$6:$T$166, "&lt;"&amp;GJ1)</f>
        <v>0</v>
      </c>
      <c r="GJ17" s="125">
        <f>SUMIFS('Expenditure Breakdown'!$U$6:$U$166, 'Expenditure Breakdown'!$T$6:$T$166, "&gt;="&amp;GJ1,'Expenditure Breakdown'!$T$6:$T$166, "&lt;"&amp;GK1)</f>
        <v>0</v>
      </c>
      <c r="GK17" s="125">
        <f>SUMIFS('Expenditure Breakdown'!$U$6:$U$166, 'Expenditure Breakdown'!$T$6:$T$166, "&gt;="&amp;GK1,'Expenditure Breakdown'!$T$6:$T$166, "&lt;"&amp;GL1)</f>
        <v>0</v>
      </c>
      <c r="GL17" s="125">
        <f>SUMIFS('Expenditure Breakdown'!$U$6:$U$166, 'Expenditure Breakdown'!$T$6:$T$166, "&gt;="&amp;GL1,'Expenditure Breakdown'!$T$6:$T$166, "&lt;"&amp;GM1)</f>
        <v>0</v>
      </c>
      <c r="GM17" s="125">
        <f>SUMIFS('Expenditure Breakdown'!$U$6:$U$166, 'Expenditure Breakdown'!$T$6:$T$166, "&gt;="&amp;GM1,'Expenditure Breakdown'!$T$6:$T$166, "&lt;"&amp;GN1)</f>
        <v>0</v>
      </c>
      <c r="GN17" s="125">
        <f>SUMIFS('Expenditure Breakdown'!$U$6:$U$166, 'Expenditure Breakdown'!$T$6:$T$166, "&gt;="&amp;GN1,'Expenditure Breakdown'!$T$6:$T$166, "&lt;"&amp;GO1)</f>
        <v>0</v>
      </c>
      <c r="GO17" s="125">
        <f>SUMIFS('Expenditure Breakdown'!$U$6:$U$166, 'Expenditure Breakdown'!$T$6:$T$166, "&gt;="&amp;GO1,'Expenditure Breakdown'!$T$6:$T$166, "&lt;"&amp;GP1)</f>
        <v>0</v>
      </c>
      <c r="GP17" s="125">
        <f>SUMIFS('Expenditure Breakdown'!$U$6:$U$166, 'Expenditure Breakdown'!$T$6:$T$166, "&gt;="&amp;GP1,'Expenditure Breakdown'!$T$6:$T$166, "&lt;"&amp;GQ1)</f>
        <v>0</v>
      </c>
      <c r="GQ17" s="125">
        <f>SUMIFS('Expenditure Breakdown'!$U$6:$U$166, 'Expenditure Breakdown'!$T$6:$T$166, "&gt;="&amp;GQ1,'Expenditure Breakdown'!$T$6:$T$166, "&lt;"&amp;GR1)</f>
        <v>0</v>
      </c>
      <c r="GR17" s="125">
        <f>SUMIFS('Expenditure Breakdown'!$U$6:$U$166, 'Expenditure Breakdown'!$T$6:$T$166, "&gt;="&amp;GR1,'Expenditure Breakdown'!$T$6:$T$166, "&lt;"&amp;GS1)</f>
        <v>0</v>
      </c>
      <c r="GS17" s="125">
        <f>SUMIFS('Expenditure Breakdown'!$U$6:$U$166, 'Expenditure Breakdown'!$T$6:$T$166, "&gt;="&amp;GS1,'Expenditure Breakdown'!$T$6:$T$166, "&lt;"&amp;GT1)</f>
        <v>0</v>
      </c>
      <c r="GT17" s="125">
        <f>SUMIFS('Expenditure Breakdown'!$U$6:$U$166, 'Expenditure Breakdown'!$T$6:$T$166, "&gt;="&amp;GT1,'Expenditure Breakdown'!$T$6:$T$166, "&lt;"&amp;GU1)</f>
        <v>0</v>
      </c>
      <c r="GU17" s="125">
        <f>SUMIFS('Expenditure Breakdown'!$U$6:$U$166, 'Expenditure Breakdown'!$T$6:$T$166, "&gt;="&amp;GU1,'Expenditure Breakdown'!$T$6:$T$166, "&lt;"&amp;GV1)</f>
        <v>0</v>
      </c>
      <c r="GV17" s="125">
        <f>SUMIFS('Expenditure Breakdown'!$U$6:$U$166, 'Expenditure Breakdown'!$T$6:$T$166, "&gt;="&amp;GV1,'Expenditure Breakdown'!$T$6:$T$166, "&lt;"&amp;GW1)</f>
        <v>0</v>
      </c>
      <c r="GW17" s="125">
        <f>SUMIFS('Expenditure Breakdown'!$U$6:$U$166, 'Expenditure Breakdown'!$T$6:$T$166, "&gt;="&amp;GW1,'Expenditure Breakdown'!$T$6:$T$166, "&lt;"&amp;GX1)</f>
        <v>0</v>
      </c>
      <c r="GX17" s="125">
        <f>SUMIFS('Expenditure Breakdown'!$U$6:$U$166, 'Expenditure Breakdown'!$T$6:$T$166, "&gt;="&amp;GX1,'Expenditure Breakdown'!$T$6:$T$166, "&lt;"&amp;GY1)</f>
        <v>0</v>
      </c>
      <c r="GY17" s="125">
        <f>SUMIFS('Expenditure Breakdown'!$U$6:$U$166, 'Expenditure Breakdown'!$T$6:$T$166, "&gt;="&amp;GY1,'Expenditure Breakdown'!$T$6:$T$166, "&lt;"&amp;GZ1)</f>
        <v>0</v>
      </c>
      <c r="GZ17" s="125">
        <f>SUMIFS('Expenditure Breakdown'!$U$6:$U$166, 'Expenditure Breakdown'!$T$6:$T$166, "&gt;="&amp;GZ1,'Expenditure Breakdown'!$T$6:$T$166, "&lt;"&amp;HA1)</f>
        <v>0</v>
      </c>
      <c r="HA17" s="125">
        <f>SUMIFS('Expenditure Breakdown'!$U$6:$U$166, 'Expenditure Breakdown'!$T$6:$T$166, "&gt;="&amp;HA1,'Expenditure Breakdown'!$T$6:$T$166, "&lt;"&amp;HB1)</f>
        <v>0</v>
      </c>
      <c r="HB17" s="125">
        <f>SUMIFS('Expenditure Breakdown'!$U$6:$U$166, 'Expenditure Breakdown'!$T$6:$T$166, "&gt;="&amp;HB1,'Expenditure Breakdown'!$T$6:$T$166, "&lt;"&amp;HC1)</f>
        <v>0</v>
      </c>
      <c r="HC17" s="125">
        <f>SUMIFS('Expenditure Breakdown'!$U$6:$U$166, 'Expenditure Breakdown'!$T$6:$T$166, "&gt;="&amp;HC1,'Expenditure Breakdown'!$T$6:$T$166, "&lt;"&amp;HD1)</f>
        <v>0</v>
      </c>
      <c r="HD17" s="125">
        <f>SUMIFS('Expenditure Breakdown'!$U$6:$U$166, 'Expenditure Breakdown'!$T$6:$T$166, "&gt;="&amp;HD1,'Expenditure Breakdown'!$T$6:$T$166, "&lt;"&amp;HE1)</f>
        <v>0</v>
      </c>
      <c r="HE17" s="125">
        <f>SUMIFS('Expenditure Breakdown'!$U$6:$U$166, 'Expenditure Breakdown'!$T$6:$T$166, "&gt;="&amp;HE1,'Expenditure Breakdown'!$T$6:$T$166, "&lt;"&amp;HF1)</f>
        <v>0</v>
      </c>
      <c r="HF17" s="125">
        <f>SUMIFS('Expenditure Breakdown'!$U$6:$U$166, 'Expenditure Breakdown'!$T$6:$T$166, "&gt;="&amp;HF1,'Expenditure Breakdown'!$T$6:$T$166, "&lt;"&amp;HG1)</f>
        <v>0</v>
      </c>
      <c r="HG17" s="125">
        <f>SUMIFS('Expenditure Breakdown'!$U$6:$U$166, 'Expenditure Breakdown'!$T$6:$T$166, "&gt;="&amp;HG1,'Expenditure Breakdown'!$T$6:$T$166, "&lt;"&amp;HH1)</f>
        <v>0</v>
      </c>
      <c r="HH17" s="125">
        <f>SUMIFS('Expenditure Breakdown'!$U$6:$U$166, 'Expenditure Breakdown'!$T$6:$T$166, "&gt;="&amp;HH1,'Expenditure Breakdown'!$T$6:$T$166, "&lt;"&amp;HI1)</f>
        <v>0</v>
      </c>
      <c r="HI17" s="125">
        <f>SUMIFS('Expenditure Breakdown'!$U$6:$U$166, 'Expenditure Breakdown'!$T$6:$T$166, "&gt;="&amp;HI1,'Expenditure Breakdown'!$T$6:$T$166, "&lt;"&amp;HJ1)</f>
        <v>0</v>
      </c>
      <c r="HJ17" s="125">
        <f>SUMIFS('Expenditure Breakdown'!$U$6:$U$166, 'Expenditure Breakdown'!$T$6:$T$166, "&gt;="&amp;HJ1,'Expenditure Breakdown'!$T$6:$T$166, "&lt;"&amp;HK1)</f>
        <v>0</v>
      </c>
      <c r="HK17" s="125">
        <f>SUMIFS('Expenditure Breakdown'!$U$6:$U$166, 'Expenditure Breakdown'!$T$6:$T$166, "&gt;="&amp;HK1,'Expenditure Breakdown'!$T$6:$T$166, "&lt;"&amp;HL1)</f>
        <v>0</v>
      </c>
      <c r="HL17" s="125">
        <f>SUMIFS('Expenditure Breakdown'!$U$6:$U$166, 'Expenditure Breakdown'!$T$6:$T$166, "&gt;="&amp;HL1,'Expenditure Breakdown'!$T$6:$T$166, "&lt;"&amp;HM1)</f>
        <v>0</v>
      </c>
      <c r="HM17" s="125">
        <f>SUMIFS('Expenditure Breakdown'!$U$6:$U$166, 'Expenditure Breakdown'!$T$6:$T$166, "&gt;="&amp;HM1,'Expenditure Breakdown'!$T$6:$T$166, "&lt;"&amp;HN1)</f>
        <v>0</v>
      </c>
      <c r="HN17" s="125">
        <f>SUMIFS('Expenditure Breakdown'!$U$6:$U$166, 'Expenditure Breakdown'!$T$6:$T$166, "&gt;="&amp;HN1,'Expenditure Breakdown'!$T$6:$T$166, "&lt;"&amp;HO1)</f>
        <v>0</v>
      </c>
      <c r="HO17" s="125">
        <f>SUMIFS('Expenditure Breakdown'!$U$6:$U$166, 'Expenditure Breakdown'!$T$6:$T$166, "&gt;="&amp;HO1,'Expenditure Breakdown'!$T$6:$T$166, "&lt;"&amp;HP1)</f>
        <v>0</v>
      </c>
      <c r="HP17" s="125">
        <f>SUMIFS('Expenditure Breakdown'!$U$6:$U$166, 'Expenditure Breakdown'!$T$6:$T$166, "&gt;="&amp;HP1,'Expenditure Breakdown'!$T$6:$T$166, "&lt;"&amp;HQ1)</f>
        <v>0</v>
      </c>
      <c r="HQ17" s="125">
        <f>SUMIFS('Expenditure Breakdown'!$U$6:$U$166, 'Expenditure Breakdown'!$T$6:$T$166, "&gt;="&amp;HQ1,'Expenditure Breakdown'!$T$6:$T$166, "&lt;"&amp;HR1)</f>
        <v>0</v>
      </c>
      <c r="HR17" s="125">
        <f>SUMIFS('Expenditure Breakdown'!$U$6:$U$166, 'Expenditure Breakdown'!$T$6:$T$166, "&gt;="&amp;HR1,'Expenditure Breakdown'!$T$6:$T$166, "&lt;"&amp;HS1)</f>
        <v>0</v>
      </c>
      <c r="HS17" s="125">
        <f>SUMIFS('Expenditure Breakdown'!$U$6:$U$166, 'Expenditure Breakdown'!$T$6:$T$166, "&gt;="&amp;HS1,'Expenditure Breakdown'!$T$6:$T$166, "&lt;"&amp;HT1)</f>
        <v>0</v>
      </c>
      <c r="HT17" s="125">
        <f>SUMIFS('Expenditure Breakdown'!$U$6:$U$166, 'Expenditure Breakdown'!$T$6:$T$166, "&gt;="&amp;HT1,'Expenditure Breakdown'!$T$6:$T$166, "&lt;"&amp;HU1)</f>
        <v>0</v>
      </c>
      <c r="HU17" s="125">
        <f>SUMIFS('Expenditure Breakdown'!$U$6:$U$166, 'Expenditure Breakdown'!$T$6:$T$166, "&gt;="&amp;HU1,'Expenditure Breakdown'!$T$6:$T$166, "&lt;"&amp;HV1)</f>
        <v>0</v>
      </c>
      <c r="HV17" s="125">
        <f>SUMIFS('Expenditure Breakdown'!$U$6:$U$166, 'Expenditure Breakdown'!$T$6:$T$166, "&gt;="&amp;HV1,'Expenditure Breakdown'!$T$6:$T$166, "&lt;"&amp;HW1)</f>
        <v>0</v>
      </c>
      <c r="HW17" s="125">
        <f>SUMIFS('Expenditure Breakdown'!$U$6:$U$166, 'Expenditure Breakdown'!$T$6:$T$166, "&gt;="&amp;HW1,'Expenditure Breakdown'!$T$6:$T$166, "&lt;"&amp;HX1)</f>
        <v>0</v>
      </c>
      <c r="HX17" s="125">
        <f>SUMIFS('Expenditure Breakdown'!$U$6:$U$166, 'Expenditure Breakdown'!$T$6:$T$166, "&gt;="&amp;HX1,'Expenditure Breakdown'!$T$6:$T$166, "&lt;"&amp;HY1)</f>
        <v>0</v>
      </c>
      <c r="HY17" s="125">
        <f>SUMIFS('Expenditure Breakdown'!$U$6:$U$166, 'Expenditure Breakdown'!$T$6:$T$166, "&gt;="&amp;HY1,'Expenditure Breakdown'!$T$6:$T$166, "&lt;"&amp;HZ1)</f>
        <v>0</v>
      </c>
      <c r="HZ17" s="125">
        <f>SUMIFS('Expenditure Breakdown'!$U$6:$U$166, 'Expenditure Breakdown'!$T$6:$T$166, "&gt;="&amp;HZ1,'Expenditure Breakdown'!$T$6:$T$166, "&lt;"&amp;IA1)</f>
        <v>0</v>
      </c>
      <c r="IA17" s="125">
        <f>SUMIFS('Expenditure Breakdown'!$U$6:$U$166, 'Expenditure Breakdown'!$T$6:$T$166, "&gt;="&amp;IA1,'Expenditure Breakdown'!$T$6:$T$166, "&lt;"&amp;IB1)</f>
        <v>0</v>
      </c>
      <c r="IB17" s="125">
        <f>SUMIFS('Expenditure Breakdown'!$U$6:$U$166, 'Expenditure Breakdown'!$T$6:$T$166, "&gt;="&amp;IB1,'Expenditure Breakdown'!$T$6:$T$166, "&lt;"&amp;IC1)</f>
        <v>0</v>
      </c>
      <c r="IC17" s="125">
        <f>SUMIFS('Expenditure Breakdown'!$U$6:$U$166, 'Expenditure Breakdown'!$T$6:$T$166, "&gt;="&amp;IC1,'Expenditure Breakdown'!$T$6:$T$166, "&lt;"&amp;ID1)</f>
        <v>0</v>
      </c>
      <c r="ID17" s="125">
        <f>SUMIFS('Expenditure Breakdown'!$U$6:$U$166, 'Expenditure Breakdown'!$T$6:$T$166, "&gt;="&amp;ID1,'Expenditure Breakdown'!$T$6:$T$166, "&lt;"&amp;IE1)</f>
        <v>0</v>
      </c>
      <c r="IE17" s="125">
        <f>SUMIFS('Expenditure Breakdown'!$U$6:$U$166, 'Expenditure Breakdown'!$T$6:$T$166, "&gt;="&amp;IE1,'Expenditure Breakdown'!$T$6:$T$166, "&lt;"&amp;IF1)</f>
        <v>0</v>
      </c>
      <c r="IF17" s="125">
        <f>SUMIFS('Expenditure Breakdown'!$U$6:$U$166, 'Expenditure Breakdown'!$T$6:$T$166, "&gt;="&amp;IF1,'Expenditure Breakdown'!$T$6:$T$166, "&lt;"&amp;IG1)</f>
        <v>0</v>
      </c>
      <c r="IG17" s="125">
        <f>SUMIFS('Expenditure Breakdown'!$U$6:$U$166, 'Expenditure Breakdown'!$T$6:$T$166, "&gt;="&amp;IG1,'Expenditure Breakdown'!$T$6:$T$166, "&lt;"&amp;IH1)</f>
        <v>0</v>
      </c>
      <c r="IH17" s="125">
        <f>SUMIFS('Expenditure Breakdown'!$U$6:$U$166, 'Expenditure Breakdown'!$T$6:$T$166, "&gt;="&amp;IH1,'Expenditure Breakdown'!$T$6:$T$166, "&lt;"&amp;II1)</f>
        <v>0</v>
      </c>
      <c r="II17" s="125">
        <f>SUMIFS('Expenditure Breakdown'!$U$6:$U$166, 'Expenditure Breakdown'!$T$6:$T$166, "&gt;="&amp;II1,'Expenditure Breakdown'!$T$6:$T$166, "&lt;"&amp;IJ1)</f>
        <v>0</v>
      </c>
      <c r="IJ17" s="125">
        <f>SUMIFS('Expenditure Breakdown'!$U$6:$U$166, 'Expenditure Breakdown'!$T$6:$T$166, "&gt;="&amp;IJ1,'Expenditure Breakdown'!$T$6:$T$166, "&lt;"&amp;IK1)</f>
        <v>0</v>
      </c>
      <c r="IK17" s="125">
        <f>SUMIFS('Expenditure Breakdown'!$U$6:$U$166, 'Expenditure Breakdown'!$T$6:$T$166, "&gt;="&amp;IK1,'Expenditure Breakdown'!$T$6:$T$166, "&lt;"&amp;IL1)</f>
        <v>0</v>
      </c>
      <c r="IL17" s="125">
        <f>SUMIFS('Expenditure Breakdown'!$U$6:$U$166, 'Expenditure Breakdown'!$T$6:$T$166, "&gt;="&amp;IL1,'Expenditure Breakdown'!$T$6:$T$166, "&lt;"&amp;IM1)</f>
        <v>0</v>
      </c>
      <c r="IM17" s="125">
        <f>SUMIFS('Expenditure Breakdown'!$U$6:$U$166, 'Expenditure Breakdown'!$T$6:$T$166, "&gt;="&amp;IM1,'Expenditure Breakdown'!$T$6:$T$166, "&lt;"&amp;IN1)</f>
        <v>0</v>
      </c>
      <c r="IN17" s="125">
        <f>SUMIFS('Expenditure Breakdown'!$U$6:$U$166, 'Expenditure Breakdown'!$T$6:$T$166, "&gt;="&amp;IN1,'Expenditure Breakdown'!$T$6:$T$166, "&lt;"&amp;IO1)</f>
        <v>0</v>
      </c>
      <c r="IO17" s="125">
        <f>SUMIFS('Expenditure Breakdown'!$U$6:$U$166, 'Expenditure Breakdown'!$T$6:$T$166, "&gt;="&amp;IO1,'Expenditure Breakdown'!$T$6:$T$166, "&lt;"&amp;IP1)</f>
        <v>0</v>
      </c>
      <c r="IP17" s="125">
        <f>SUMIFS('Expenditure Breakdown'!$U$6:$U$166, 'Expenditure Breakdown'!$T$6:$T$166, "&gt;="&amp;IP1,'Expenditure Breakdown'!$T$6:$T$166, "&lt;"&amp;IQ1)</f>
        <v>0</v>
      </c>
      <c r="IQ17" s="125">
        <f>SUMIFS('Expenditure Breakdown'!$U$6:$U$166, 'Expenditure Breakdown'!$T$6:$T$166, "&gt;="&amp;IQ1,'Expenditure Breakdown'!$T$6:$T$166, "&lt;"&amp;IR1)</f>
        <v>0</v>
      </c>
      <c r="IR17" s="125">
        <f>SUMIFS('Expenditure Breakdown'!$U$6:$U$166, 'Expenditure Breakdown'!$T$6:$T$166, "&gt;="&amp;IR1,'Expenditure Breakdown'!$T$6:$T$166, "&lt;"&amp;IS1)</f>
        <v>0</v>
      </c>
      <c r="IS17" s="125">
        <f>SUMIFS('Expenditure Breakdown'!$U$6:$U$166, 'Expenditure Breakdown'!$T$6:$T$166, "&gt;="&amp;IS1,'Expenditure Breakdown'!$T$6:$T$166, "&lt;"&amp;IT1)</f>
        <v>0</v>
      </c>
      <c r="IT17" s="125">
        <f>SUMIFS('Expenditure Breakdown'!$U$6:$U$166, 'Expenditure Breakdown'!$T$6:$T$166, "&gt;="&amp;IT1,'Expenditure Breakdown'!$T$6:$T$166, "&lt;"&amp;IU1)</f>
        <v>0</v>
      </c>
      <c r="IU17" s="125">
        <f>SUMIFS('Expenditure Breakdown'!$U$6:$U$166, 'Expenditure Breakdown'!$T$6:$T$166, "&gt;="&amp;IU1,'Expenditure Breakdown'!$T$6:$T$166, "&lt;"&amp;IV1)</f>
        <v>0</v>
      </c>
      <c r="IV17" s="125">
        <f>SUMIFS('Expenditure Breakdown'!$U$6:$U$166, 'Expenditure Breakdown'!$T$6:$T$166, "&gt;="&amp;IV1,'Expenditure Breakdown'!$T$6:$T$166, "&lt;"&amp;IW1)</f>
        <v>0</v>
      </c>
      <c r="IW17" s="125">
        <f>SUMIFS('Expenditure Breakdown'!$U$6:$U$166, 'Expenditure Breakdown'!$T$6:$T$166, "&gt;="&amp;IW1,'Expenditure Breakdown'!$T$6:$T$166, "&lt;"&amp;IX1)</f>
        <v>0</v>
      </c>
      <c r="IX17" s="125">
        <f>SUMIFS('Expenditure Breakdown'!$U$6:$U$166, 'Expenditure Breakdown'!$T$6:$T$166, "&gt;="&amp;IX1,'Expenditure Breakdown'!$T$6:$T$166, "&lt;"&amp;IY1)</f>
        <v>0</v>
      </c>
      <c r="IY17" s="125">
        <f>SUMIFS('Expenditure Breakdown'!$U$6:$U$166, 'Expenditure Breakdown'!$T$6:$T$166, "&gt;="&amp;IY1,'Expenditure Breakdown'!$T$6:$T$166, "&lt;"&amp;IZ1)</f>
        <v>0</v>
      </c>
      <c r="IZ17" s="125">
        <f>SUMIFS('Expenditure Breakdown'!$U$6:$U$166, 'Expenditure Breakdown'!$T$6:$T$166, "&gt;="&amp;IZ1,'Expenditure Breakdown'!$T$6:$T$166, "&lt;"&amp;JA1)</f>
        <v>0</v>
      </c>
      <c r="JA17" s="125">
        <f>SUMIFS('Expenditure Breakdown'!$U$6:$U$166, 'Expenditure Breakdown'!$T$6:$T$166, "&gt;="&amp;JA1,'Expenditure Breakdown'!$T$6:$T$166, "&lt;"&amp;JB1)</f>
        <v>0</v>
      </c>
      <c r="JB17" s="125">
        <f>SUMIFS('Expenditure Breakdown'!$U$6:$U$166, 'Expenditure Breakdown'!$T$6:$T$166, "&gt;="&amp;JB1,'Expenditure Breakdown'!$T$6:$T$166, "&lt;"&amp;JC1)</f>
        <v>0</v>
      </c>
      <c r="JC17" s="125">
        <f>SUMIFS('Expenditure Breakdown'!$U$6:$U$166, 'Expenditure Breakdown'!$T$6:$T$166, "&gt;="&amp;JC1,'Expenditure Breakdown'!$T$6:$T$166, "&lt;"&amp;JD1)</f>
        <v>0</v>
      </c>
      <c r="JD17" s="125">
        <f>SUMIFS('Expenditure Breakdown'!$U$6:$U$166, 'Expenditure Breakdown'!$T$6:$T$166, "&gt;="&amp;JD1,'Expenditure Breakdown'!$T$6:$T$166, "&lt;"&amp;JE1)</f>
        <v>0</v>
      </c>
      <c r="JE17" s="125">
        <f>SUMIFS('Expenditure Breakdown'!$U$6:$U$166, 'Expenditure Breakdown'!$T$6:$T$166, "&gt;="&amp;JE1,'Expenditure Breakdown'!$T$6:$T$166, "&lt;"&amp;JF1)</f>
        <v>0</v>
      </c>
      <c r="JF17" s="125">
        <f>SUMIFS('Expenditure Breakdown'!$U$6:$U$166, 'Expenditure Breakdown'!$T$6:$T$166, "&gt;="&amp;JF1,'Expenditure Breakdown'!$T$6:$T$166, "&lt;"&amp;JG1)</f>
        <v>0</v>
      </c>
      <c r="JG17" s="125">
        <f>SUMIFS('Expenditure Breakdown'!$U$6:$U$166, 'Expenditure Breakdown'!$T$6:$T$166, "&gt;="&amp;JG1,'Expenditure Breakdown'!$T$6:$T$166, "&lt;"&amp;JH1)</f>
        <v>0</v>
      </c>
      <c r="JH17" s="125">
        <f>SUMIFS('Expenditure Breakdown'!$U$6:$U$166, 'Expenditure Breakdown'!$T$6:$T$166, "&gt;="&amp;JH1,'Expenditure Breakdown'!$T$6:$T$166, "&lt;"&amp;JI1)</f>
        <v>0</v>
      </c>
      <c r="JI17" s="125">
        <f>SUMIFS('Expenditure Breakdown'!$U$6:$U$166, 'Expenditure Breakdown'!$T$6:$T$166, "&gt;="&amp;JI1,'Expenditure Breakdown'!$T$6:$T$166, "&lt;"&amp;JJ1)</f>
        <v>0</v>
      </c>
      <c r="JJ17" s="125">
        <f>SUMIFS('Expenditure Breakdown'!$U$6:$U$166, 'Expenditure Breakdown'!$T$6:$T$166, "&gt;="&amp;JJ1,'Expenditure Breakdown'!$T$6:$T$166, "&lt;"&amp;JK1)</f>
        <v>0</v>
      </c>
      <c r="JK17" s="125">
        <f>SUMIFS('Expenditure Breakdown'!$U$6:$U$166, 'Expenditure Breakdown'!$T$6:$T$166, "&gt;="&amp;JK1,'Expenditure Breakdown'!$T$6:$T$166, "&lt;"&amp;JL1)</f>
        <v>0</v>
      </c>
      <c r="JL17" s="125">
        <f>SUMIFS('Expenditure Breakdown'!$U$6:$U$166, 'Expenditure Breakdown'!$T$6:$T$166, "&gt;="&amp;JL1,'Expenditure Breakdown'!$T$6:$T$166, "&lt;"&amp;JM1)</f>
        <v>0</v>
      </c>
      <c r="JM17" s="125">
        <f>SUMIFS('Expenditure Breakdown'!$U$6:$U$166, 'Expenditure Breakdown'!$T$6:$T$166, "&gt;="&amp;JM1,'Expenditure Breakdown'!$T$6:$T$166, "&lt;"&amp;JN1)</f>
        <v>0</v>
      </c>
      <c r="JN17" s="125">
        <f>SUMIFS('Expenditure Breakdown'!$U$6:$U$166, 'Expenditure Breakdown'!$T$6:$T$166, "&gt;="&amp;JN1,'Expenditure Breakdown'!$T$6:$T$166, "&lt;"&amp;JO1)</f>
        <v>0</v>
      </c>
      <c r="JO17" s="125">
        <f>SUMIFS('Expenditure Breakdown'!$U$6:$U$166, 'Expenditure Breakdown'!$T$6:$T$166, "&gt;="&amp;JO1,'Expenditure Breakdown'!$T$6:$T$166, "&lt;"&amp;JP1)</f>
        <v>0</v>
      </c>
      <c r="JP17" s="125">
        <f>SUMIFS('Expenditure Breakdown'!$U$6:$U$166, 'Expenditure Breakdown'!$T$6:$T$166, "&gt;="&amp;JP1,'Expenditure Breakdown'!$T$6:$T$166, "&lt;"&amp;JQ1)</f>
        <v>0</v>
      </c>
      <c r="JQ17" s="125">
        <f>SUMIFS('Expenditure Breakdown'!$U$6:$U$166, 'Expenditure Breakdown'!$T$6:$T$166, "&gt;="&amp;JQ1,'Expenditure Breakdown'!$T$6:$T$166, "&lt;"&amp;JR1)</f>
        <v>0</v>
      </c>
      <c r="JR17" s="125">
        <f>SUMIFS('Expenditure Breakdown'!$U$6:$U$166, 'Expenditure Breakdown'!$T$6:$T$166, "&gt;="&amp;JR1,'Expenditure Breakdown'!$T$6:$T$166, "&lt;"&amp;JS1)</f>
        <v>0</v>
      </c>
      <c r="JS17" s="125">
        <f>SUMIFS('Expenditure Breakdown'!$U$6:$U$166, 'Expenditure Breakdown'!$T$6:$T$166, "&gt;="&amp;JS1,'Expenditure Breakdown'!$T$6:$T$166, "&lt;"&amp;JT1)</f>
        <v>0</v>
      </c>
      <c r="JT17" s="125">
        <f>SUMIFS('Expenditure Breakdown'!$U$6:$U$166, 'Expenditure Breakdown'!$T$6:$T$166, "&gt;="&amp;JT1,'Expenditure Breakdown'!$T$6:$T$166, "&lt;"&amp;JU1)</f>
        <v>0</v>
      </c>
      <c r="JU17" s="125">
        <f>SUMIFS('Expenditure Breakdown'!$U$6:$U$166, 'Expenditure Breakdown'!$T$6:$T$166, "&gt;="&amp;JU1,'Expenditure Breakdown'!$T$6:$T$166, "&lt;"&amp;JV1)</f>
        <v>0</v>
      </c>
      <c r="JV17" s="125">
        <f>SUMIFS('Expenditure Breakdown'!$U$6:$U$166, 'Expenditure Breakdown'!$T$6:$T$166, "&gt;="&amp;JV1,'Expenditure Breakdown'!$T$6:$T$166, "&lt;"&amp;JW1)</f>
        <v>0</v>
      </c>
      <c r="JW17" s="125">
        <f>SUMIFS('Expenditure Breakdown'!$U$6:$U$166, 'Expenditure Breakdown'!$T$6:$T$166, "&gt;="&amp;JW1,'Expenditure Breakdown'!$T$6:$T$166, "&lt;"&amp;JX1)</f>
        <v>0</v>
      </c>
      <c r="JX17" s="125">
        <f>SUMIFS('Expenditure Breakdown'!$U$6:$U$166, 'Expenditure Breakdown'!$T$6:$T$166, "&gt;="&amp;JX1,'Expenditure Breakdown'!$T$6:$T$166, "&lt;"&amp;JY1)</f>
        <v>0</v>
      </c>
      <c r="JY17" s="125">
        <f>SUMIFS('Expenditure Breakdown'!$U$6:$U$166, 'Expenditure Breakdown'!$T$6:$T$166, "&gt;="&amp;JY1,'Expenditure Breakdown'!$T$6:$T$166, "&lt;"&amp;JZ1)</f>
        <v>0</v>
      </c>
      <c r="JZ17" s="125">
        <f>SUMIFS('Expenditure Breakdown'!$U$6:$U$166, 'Expenditure Breakdown'!$T$6:$T$166, "&gt;="&amp;JZ1,'Expenditure Breakdown'!$T$6:$T$166, "&lt;"&amp;KA1)</f>
        <v>0</v>
      </c>
      <c r="KA17" s="125">
        <f>SUMIFS('Expenditure Breakdown'!$U$6:$U$166, 'Expenditure Breakdown'!$T$6:$T$166, "&gt;="&amp;KA1,'Expenditure Breakdown'!$T$6:$T$166, "&lt;"&amp;KB1)</f>
        <v>0</v>
      </c>
      <c r="KB17" s="125">
        <f>SUMIFS('Expenditure Breakdown'!$U$6:$U$166, 'Expenditure Breakdown'!$T$6:$T$166, "&gt;="&amp;KB1,'Expenditure Breakdown'!$T$6:$T$166, "&lt;"&amp;KC1)</f>
        <v>0</v>
      </c>
      <c r="KC17" s="125">
        <f>SUMIFS('Expenditure Breakdown'!$U$6:$U$166, 'Expenditure Breakdown'!$T$6:$T$166, "&gt;="&amp;KC1,'Expenditure Breakdown'!$T$6:$T$166, "&lt;"&amp;KD1)</f>
        <v>0</v>
      </c>
      <c r="KD17" s="125">
        <f>SUMIFS('Expenditure Breakdown'!$U$6:$U$166, 'Expenditure Breakdown'!$T$6:$T$166, "&gt;="&amp;KD1,'Expenditure Breakdown'!$T$6:$T$166, "&lt;"&amp;KE1)</f>
        <v>0</v>
      </c>
      <c r="KE17" s="125">
        <f>SUMIFS('Expenditure Breakdown'!$U$6:$U$166, 'Expenditure Breakdown'!$T$6:$T$166, "&gt;="&amp;KE1,'Expenditure Breakdown'!$T$6:$T$166, "&lt;"&amp;#REF!)</f>
        <v>0</v>
      </c>
    </row>
    <row r="18" spans="1:291">
      <c r="A18" s="779"/>
      <c r="B18" s="106" t="s">
        <v>408</v>
      </c>
      <c r="C18" s="275">
        <f>D17-D18</f>
        <v>0</v>
      </c>
      <c r="D18" s="107">
        <f>MAX(F18:KE18)</f>
        <v>2045835.2199856234</v>
      </c>
      <c r="E18" s="117"/>
      <c r="F18" s="125">
        <f>F17</f>
        <v>0</v>
      </c>
      <c r="G18" s="125">
        <f>F18+G17</f>
        <v>0</v>
      </c>
      <c r="H18" s="125">
        <f>G18+H17</f>
        <v>0</v>
      </c>
      <c r="I18" s="125">
        <f t="shared" ref="I18:BT18" si="37">H18+I17</f>
        <v>0</v>
      </c>
      <c r="J18" s="125">
        <f t="shared" si="37"/>
        <v>0</v>
      </c>
      <c r="K18" s="125">
        <f t="shared" si="37"/>
        <v>0</v>
      </c>
      <c r="L18" s="125">
        <f t="shared" si="37"/>
        <v>0</v>
      </c>
      <c r="M18" s="125">
        <f t="shared" si="37"/>
        <v>0</v>
      </c>
      <c r="N18" s="125">
        <f t="shared" si="37"/>
        <v>0</v>
      </c>
      <c r="O18" s="125">
        <f t="shared" si="37"/>
        <v>0</v>
      </c>
      <c r="P18" s="125">
        <f t="shared" si="37"/>
        <v>0</v>
      </c>
      <c r="Q18" s="125">
        <f t="shared" si="37"/>
        <v>0</v>
      </c>
      <c r="R18" s="125">
        <f t="shared" si="37"/>
        <v>278360.20064369746</v>
      </c>
      <c r="S18" s="125">
        <f t="shared" si="37"/>
        <v>278360.20064369746</v>
      </c>
      <c r="T18" s="125">
        <f t="shared" si="37"/>
        <v>278360.20064369746</v>
      </c>
      <c r="U18" s="125">
        <f t="shared" si="37"/>
        <v>278360.20064369746</v>
      </c>
      <c r="V18" s="125">
        <f t="shared" si="37"/>
        <v>1482043.7425019038</v>
      </c>
      <c r="W18" s="125">
        <f t="shared" si="37"/>
        <v>1482043.7425019038</v>
      </c>
      <c r="X18" s="125">
        <f t="shared" si="37"/>
        <v>1482043.7425019038</v>
      </c>
      <c r="Y18" s="125">
        <f t="shared" si="37"/>
        <v>1482043.7425019038</v>
      </c>
      <c r="Z18" s="125">
        <f t="shared" si="37"/>
        <v>1930453.620653607</v>
      </c>
      <c r="AA18" s="125">
        <f t="shared" si="37"/>
        <v>1930453.620653607</v>
      </c>
      <c r="AB18" s="125">
        <f t="shared" si="37"/>
        <v>1930453.620653607</v>
      </c>
      <c r="AC18" s="125">
        <f t="shared" si="37"/>
        <v>1930453.620653607</v>
      </c>
      <c r="AD18" s="125">
        <f>AC18+AD17</f>
        <v>1930453.620653607</v>
      </c>
      <c r="AE18" s="125">
        <f t="shared" si="37"/>
        <v>2045835.2199856234</v>
      </c>
      <c r="AF18" s="125">
        <f t="shared" si="37"/>
        <v>2045835.2199856234</v>
      </c>
      <c r="AG18" s="125">
        <f t="shared" si="37"/>
        <v>2045835.2199856234</v>
      </c>
      <c r="AH18" s="125">
        <f t="shared" si="37"/>
        <v>2045835.2199856234</v>
      </c>
      <c r="AI18" s="125">
        <f t="shared" si="37"/>
        <v>2045835.2199856234</v>
      </c>
      <c r="AJ18" s="125">
        <f t="shared" si="37"/>
        <v>2045835.2199856234</v>
      </c>
      <c r="AK18" s="125">
        <f t="shared" si="37"/>
        <v>2045835.2199856234</v>
      </c>
      <c r="AL18" s="125">
        <f t="shared" si="37"/>
        <v>2045835.2199856234</v>
      </c>
      <c r="AM18" s="125">
        <f t="shared" si="37"/>
        <v>2045835.2199856234</v>
      </c>
      <c r="AN18" s="125">
        <f t="shared" si="37"/>
        <v>2045835.2199856234</v>
      </c>
      <c r="AO18" s="125">
        <f t="shared" si="37"/>
        <v>2045835.2199856234</v>
      </c>
      <c r="AP18" s="125">
        <f t="shared" si="37"/>
        <v>2045835.2199856234</v>
      </c>
      <c r="AQ18" s="125">
        <f t="shared" si="37"/>
        <v>2045835.2199856234</v>
      </c>
      <c r="AR18" s="125">
        <f t="shared" si="37"/>
        <v>2045835.2199856234</v>
      </c>
      <c r="AS18" s="125">
        <f t="shared" si="37"/>
        <v>2045835.2199856234</v>
      </c>
      <c r="AT18" s="125">
        <f t="shared" si="37"/>
        <v>2045835.2199856234</v>
      </c>
      <c r="AU18" s="125">
        <f t="shared" si="37"/>
        <v>2045835.2199856234</v>
      </c>
      <c r="AV18" s="125">
        <f t="shared" si="37"/>
        <v>2045835.2199856234</v>
      </c>
      <c r="AW18" s="125">
        <f t="shared" si="37"/>
        <v>2045835.2199856234</v>
      </c>
      <c r="AX18" s="125">
        <f t="shared" si="37"/>
        <v>2045835.2199856234</v>
      </c>
      <c r="AY18" s="125">
        <f t="shared" si="37"/>
        <v>2045835.2199856234</v>
      </c>
      <c r="AZ18" s="125">
        <f t="shared" si="37"/>
        <v>2045835.2199856234</v>
      </c>
      <c r="BA18" s="125">
        <f t="shared" si="37"/>
        <v>2045835.2199856234</v>
      </c>
      <c r="BB18" s="125">
        <f t="shared" si="37"/>
        <v>2045835.2199856234</v>
      </c>
      <c r="BC18" s="125">
        <f t="shared" si="37"/>
        <v>2045835.2199856234</v>
      </c>
      <c r="BD18" s="125">
        <f t="shared" si="37"/>
        <v>2045835.2199856234</v>
      </c>
      <c r="BE18" s="125">
        <f t="shared" si="37"/>
        <v>2045835.2199856234</v>
      </c>
      <c r="BF18" s="125">
        <f t="shared" si="37"/>
        <v>2045835.2199856234</v>
      </c>
      <c r="BG18" s="125">
        <f t="shared" si="37"/>
        <v>2045835.2199856234</v>
      </c>
      <c r="BH18" s="125">
        <f t="shared" si="37"/>
        <v>2045835.2199856234</v>
      </c>
      <c r="BI18" s="125">
        <f t="shared" si="37"/>
        <v>2045835.2199856234</v>
      </c>
      <c r="BJ18" s="125">
        <f t="shared" si="37"/>
        <v>2045835.2199856234</v>
      </c>
      <c r="BK18" s="125">
        <f t="shared" si="37"/>
        <v>2045835.2199856234</v>
      </c>
      <c r="BL18" s="125">
        <f t="shared" si="37"/>
        <v>2045835.2199856234</v>
      </c>
      <c r="BM18" s="125">
        <f t="shared" si="37"/>
        <v>2045835.2199856234</v>
      </c>
      <c r="BN18" s="125">
        <f t="shared" si="37"/>
        <v>2045835.2199856234</v>
      </c>
      <c r="BO18" s="125">
        <f t="shared" si="37"/>
        <v>2045835.2199856234</v>
      </c>
      <c r="BP18" s="125">
        <f t="shared" si="37"/>
        <v>2045835.2199856234</v>
      </c>
      <c r="BQ18" s="125">
        <f t="shared" si="37"/>
        <v>2045835.2199856234</v>
      </c>
      <c r="BR18" s="125">
        <f t="shared" si="37"/>
        <v>2045835.2199856234</v>
      </c>
      <c r="BS18" s="125">
        <f t="shared" si="37"/>
        <v>2045835.2199856234</v>
      </c>
      <c r="BT18" s="125">
        <f t="shared" si="37"/>
        <v>2045835.2199856234</v>
      </c>
      <c r="BU18" s="125">
        <f t="shared" ref="BU18:EF18" si="38">BT18+BU17</f>
        <v>2045835.2199856234</v>
      </c>
      <c r="BV18" s="125">
        <f t="shared" si="38"/>
        <v>2045835.2199856234</v>
      </c>
      <c r="BW18" s="125">
        <f t="shared" si="38"/>
        <v>2045835.2199856234</v>
      </c>
      <c r="BX18" s="125">
        <f t="shared" si="38"/>
        <v>2045835.2199856234</v>
      </c>
      <c r="BY18" s="125">
        <f t="shared" si="38"/>
        <v>2045835.2199856234</v>
      </c>
      <c r="BZ18" s="125">
        <f t="shared" si="38"/>
        <v>2045835.2199856234</v>
      </c>
      <c r="CA18" s="125">
        <f t="shared" si="38"/>
        <v>2045835.2199856234</v>
      </c>
      <c r="CB18" s="125">
        <f t="shared" si="38"/>
        <v>2045835.2199856234</v>
      </c>
      <c r="CC18" s="125">
        <f t="shared" si="38"/>
        <v>2045835.2199856234</v>
      </c>
      <c r="CD18" s="125">
        <f t="shared" si="38"/>
        <v>2045835.2199856234</v>
      </c>
      <c r="CE18" s="125">
        <f t="shared" si="38"/>
        <v>2045835.2199856234</v>
      </c>
      <c r="CF18" s="125">
        <f t="shared" si="38"/>
        <v>2045835.2199856234</v>
      </c>
      <c r="CG18" s="125">
        <f t="shared" si="38"/>
        <v>2045835.2199856234</v>
      </c>
      <c r="CH18" s="125">
        <f t="shared" si="38"/>
        <v>2045835.2199856234</v>
      </c>
      <c r="CI18" s="125">
        <f t="shared" si="38"/>
        <v>2045835.2199856234</v>
      </c>
      <c r="CJ18" s="125">
        <f t="shared" si="38"/>
        <v>2045835.2199856234</v>
      </c>
      <c r="CK18" s="125">
        <f t="shared" si="38"/>
        <v>2045835.2199856234</v>
      </c>
      <c r="CL18" s="125">
        <f t="shared" si="38"/>
        <v>2045835.2199856234</v>
      </c>
      <c r="CM18" s="125">
        <f t="shared" si="38"/>
        <v>2045835.2199856234</v>
      </c>
      <c r="CN18" s="125">
        <f t="shared" si="38"/>
        <v>2045835.2199856234</v>
      </c>
      <c r="CO18" s="125">
        <f t="shared" si="38"/>
        <v>2045835.2199856234</v>
      </c>
      <c r="CP18" s="125">
        <f t="shared" si="38"/>
        <v>2045835.2199856234</v>
      </c>
      <c r="CQ18" s="125">
        <f t="shared" si="38"/>
        <v>2045835.2199856234</v>
      </c>
      <c r="CR18" s="125">
        <f t="shared" si="38"/>
        <v>2045835.2199856234</v>
      </c>
      <c r="CS18" s="125">
        <f t="shared" si="38"/>
        <v>2045835.2199856234</v>
      </c>
      <c r="CT18" s="125">
        <f t="shared" si="38"/>
        <v>2045835.2199856234</v>
      </c>
      <c r="CU18" s="125">
        <f t="shared" si="38"/>
        <v>2045835.2199856234</v>
      </c>
      <c r="CV18" s="125">
        <f t="shared" si="38"/>
        <v>2045835.2199856234</v>
      </c>
      <c r="CW18" s="125">
        <f t="shared" si="38"/>
        <v>2045835.2199856234</v>
      </c>
      <c r="CX18" s="125">
        <f t="shared" si="38"/>
        <v>2045835.2199856234</v>
      </c>
      <c r="CY18" s="125">
        <f t="shared" si="38"/>
        <v>2045835.2199856234</v>
      </c>
      <c r="CZ18" s="125">
        <f t="shared" si="38"/>
        <v>2045835.2199856234</v>
      </c>
      <c r="DA18" s="125">
        <f t="shared" si="38"/>
        <v>2045835.2199856234</v>
      </c>
      <c r="DB18" s="125">
        <f t="shared" si="38"/>
        <v>2045835.2199856234</v>
      </c>
      <c r="DC18" s="125">
        <f t="shared" si="38"/>
        <v>2045835.2199856234</v>
      </c>
      <c r="DD18" s="125">
        <f t="shared" si="38"/>
        <v>2045835.2199856234</v>
      </c>
      <c r="DE18" s="125">
        <f t="shared" si="38"/>
        <v>2045835.2199856234</v>
      </c>
      <c r="DF18" s="125">
        <f t="shared" si="38"/>
        <v>2045835.2199856234</v>
      </c>
      <c r="DG18" s="125">
        <f t="shared" si="38"/>
        <v>2045835.2199856234</v>
      </c>
      <c r="DH18" s="125">
        <f t="shared" si="38"/>
        <v>2045835.2199856234</v>
      </c>
      <c r="DI18" s="125">
        <f t="shared" si="38"/>
        <v>2045835.2199856234</v>
      </c>
      <c r="DJ18" s="125">
        <f t="shared" si="38"/>
        <v>2045835.2199856234</v>
      </c>
      <c r="DK18" s="125">
        <f t="shared" si="38"/>
        <v>2045835.2199856234</v>
      </c>
      <c r="DL18" s="125">
        <f t="shared" si="38"/>
        <v>2045835.2199856234</v>
      </c>
      <c r="DM18" s="125">
        <f t="shared" si="38"/>
        <v>2045835.2199856234</v>
      </c>
      <c r="DN18" s="125">
        <f t="shared" si="38"/>
        <v>2045835.2199856234</v>
      </c>
      <c r="DO18" s="125">
        <f t="shared" si="38"/>
        <v>2045835.2199856234</v>
      </c>
      <c r="DP18" s="125">
        <f t="shared" si="38"/>
        <v>2045835.2199856234</v>
      </c>
      <c r="DQ18" s="125">
        <f t="shared" si="38"/>
        <v>2045835.2199856234</v>
      </c>
      <c r="DR18" s="125">
        <f t="shared" si="38"/>
        <v>2045835.2199856234</v>
      </c>
      <c r="DS18" s="125">
        <f t="shared" si="38"/>
        <v>2045835.2199856234</v>
      </c>
      <c r="DT18" s="125">
        <f t="shared" si="38"/>
        <v>2045835.2199856234</v>
      </c>
      <c r="DU18" s="125">
        <f t="shared" si="38"/>
        <v>2045835.2199856234</v>
      </c>
      <c r="DV18" s="125">
        <f t="shared" si="38"/>
        <v>2045835.2199856234</v>
      </c>
      <c r="DW18" s="125">
        <f t="shared" si="38"/>
        <v>2045835.2199856234</v>
      </c>
      <c r="DX18" s="125">
        <f t="shared" si="38"/>
        <v>2045835.2199856234</v>
      </c>
      <c r="DY18" s="125">
        <f t="shared" si="38"/>
        <v>2045835.2199856234</v>
      </c>
      <c r="DZ18" s="125">
        <f t="shared" si="38"/>
        <v>2045835.2199856234</v>
      </c>
      <c r="EA18" s="125">
        <f t="shared" si="38"/>
        <v>2045835.2199856234</v>
      </c>
      <c r="EB18" s="125">
        <f t="shared" si="38"/>
        <v>2045835.2199856234</v>
      </c>
      <c r="EC18" s="125">
        <f t="shared" si="38"/>
        <v>2045835.2199856234</v>
      </c>
      <c r="ED18" s="125">
        <f t="shared" si="38"/>
        <v>2045835.2199856234</v>
      </c>
      <c r="EE18" s="125">
        <f t="shared" si="38"/>
        <v>2045835.2199856234</v>
      </c>
      <c r="EF18" s="125">
        <f t="shared" si="38"/>
        <v>2045835.2199856234</v>
      </c>
      <c r="EG18" s="125">
        <f t="shared" ref="EG18:GR18" si="39">EF18+EG17</f>
        <v>2045835.2199856234</v>
      </c>
      <c r="EH18" s="125">
        <f t="shared" si="39"/>
        <v>2045835.2199856234</v>
      </c>
      <c r="EI18" s="125">
        <f t="shared" si="39"/>
        <v>2045835.2199856234</v>
      </c>
      <c r="EJ18" s="125">
        <f t="shared" si="39"/>
        <v>2045835.2199856234</v>
      </c>
      <c r="EK18" s="125">
        <f t="shared" si="39"/>
        <v>2045835.2199856234</v>
      </c>
      <c r="EL18" s="125">
        <f t="shared" si="39"/>
        <v>2045835.2199856234</v>
      </c>
      <c r="EM18" s="125">
        <f t="shared" si="39"/>
        <v>2045835.2199856234</v>
      </c>
      <c r="EN18" s="125">
        <f t="shared" si="39"/>
        <v>2045835.2199856234</v>
      </c>
      <c r="EO18" s="125">
        <f t="shared" si="39"/>
        <v>2045835.2199856234</v>
      </c>
      <c r="EP18" s="125">
        <f t="shared" si="39"/>
        <v>2045835.2199856234</v>
      </c>
      <c r="EQ18" s="125">
        <f t="shared" si="39"/>
        <v>2045835.2199856234</v>
      </c>
      <c r="ER18" s="125">
        <f t="shared" si="39"/>
        <v>2045835.2199856234</v>
      </c>
      <c r="ES18" s="125">
        <f t="shared" si="39"/>
        <v>2045835.2199856234</v>
      </c>
      <c r="ET18" s="125">
        <f t="shared" si="39"/>
        <v>2045835.2199856234</v>
      </c>
      <c r="EU18" s="125">
        <f t="shared" si="39"/>
        <v>2045835.2199856234</v>
      </c>
      <c r="EV18" s="125">
        <f t="shared" si="39"/>
        <v>2045835.2199856234</v>
      </c>
      <c r="EW18" s="125">
        <f t="shared" si="39"/>
        <v>2045835.2199856234</v>
      </c>
      <c r="EX18" s="125">
        <f t="shared" si="39"/>
        <v>2045835.2199856234</v>
      </c>
      <c r="EY18" s="125">
        <f t="shared" si="39"/>
        <v>2045835.2199856234</v>
      </c>
      <c r="EZ18" s="125">
        <f t="shared" si="39"/>
        <v>2045835.2199856234</v>
      </c>
      <c r="FA18" s="125">
        <f t="shared" si="39"/>
        <v>2045835.2199856234</v>
      </c>
      <c r="FB18" s="125">
        <f t="shared" si="39"/>
        <v>2045835.2199856234</v>
      </c>
      <c r="FC18" s="125">
        <f t="shared" si="39"/>
        <v>2045835.2199856234</v>
      </c>
      <c r="FD18" s="125">
        <f t="shared" si="39"/>
        <v>2045835.2199856234</v>
      </c>
      <c r="FE18" s="125">
        <f t="shared" si="39"/>
        <v>2045835.2199856234</v>
      </c>
      <c r="FF18" s="125">
        <f t="shared" si="39"/>
        <v>2045835.2199856234</v>
      </c>
      <c r="FG18" s="125">
        <f t="shared" si="39"/>
        <v>2045835.2199856234</v>
      </c>
      <c r="FH18" s="125">
        <f t="shared" si="39"/>
        <v>2045835.2199856234</v>
      </c>
      <c r="FI18" s="125">
        <f t="shared" si="39"/>
        <v>2045835.2199856234</v>
      </c>
      <c r="FJ18" s="125">
        <f t="shared" si="39"/>
        <v>2045835.2199856234</v>
      </c>
      <c r="FK18" s="125">
        <f t="shared" si="39"/>
        <v>2045835.2199856234</v>
      </c>
      <c r="FL18" s="125">
        <f t="shared" si="39"/>
        <v>2045835.2199856234</v>
      </c>
      <c r="FM18" s="125">
        <f t="shared" si="39"/>
        <v>2045835.2199856234</v>
      </c>
      <c r="FN18" s="125">
        <f t="shared" si="39"/>
        <v>2045835.2199856234</v>
      </c>
      <c r="FO18" s="125">
        <f t="shared" si="39"/>
        <v>2045835.2199856234</v>
      </c>
      <c r="FP18" s="125">
        <f t="shared" si="39"/>
        <v>2045835.2199856234</v>
      </c>
      <c r="FQ18" s="125">
        <f t="shared" si="39"/>
        <v>2045835.2199856234</v>
      </c>
      <c r="FR18" s="125">
        <f t="shared" si="39"/>
        <v>2045835.2199856234</v>
      </c>
      <c r="FS18" s="125">
        <f t="shared" si="39"/>
        <v>2045835.2199856234</v>
      </c>
      <c r="FT18" s="125">
        <f t="shared" si="39"/>
        <v>2045835.2199856234</v>
      </c>
      <c r="FU18" s="125">
        <f t="shared" si="39"/>
        <v>2045835.2199856234</v>
      </c>
      <c r="FV18" s="125">
        <f t="shared" si="39"/>
        <v>2045835.2199856234</v>
      </c>
      <c r="FW18" s="125">
        <f t="shared" si="39"/>
        <v>2045835.2199856234</v>
      </c>
      <c r="FX18" s="125">
        <f t="shared" si="39"/>
        <v>2045835.2199856234</v>
      </c>
      <c r="FY18" s="125">
        <f t="shared" si="39"/>
        <v>2045835.2199856234</v>
      </c>
      <c r="FZ18" s="125">
        <f t="shared" si="39"/>
        <v>2045835.2199856234</v>
      </c>
      <c r="GA18" s="125">
        <f t="shared" si="39"/>
        <v>2045835.2199856234</v>
      </c>
      <c r="GB18" s="125">
        <f t="shared" si="39"/>
        <v>2045835.2199856234</v>
      </c>
      <c r="GC18" s="125">
        <f t="shared" si="39"/>
        <v>2045835.2199856234</v>
      </c>
      <c r="GD18" s="125">
        <f t="shared" si="39"/>
        <v>2045835.2199856234</v>
      </c>
      <c r="GE18" s="125">
        <f t="shared" si="39"/>
        <v>2045835.2199856234</v>
      </c>
      <c r="GF18" s="125">
        <f t="shared" si="39"/>
        <v>2045835.2199856234</v>
      </c>
      <c r="GG18" s="125">
        <f t="shared" si="39"/>
        <v>2045835.2199856234</v>
      </c>
      <c r="GH18" s="125">
        <f t="shared" si="39"/>
        <v>2045835.2199856234</v>
      </c>
      <c r="GI18" s="125">
        <f t="shared" si="39"/>
        <v>2045835.2199856234</v>
      </c>
      <c r="GJ18" s="125">
        <f t="shared" si="39"/>
        <v>2045835.2199856234</v>
      </c>
      <c r="GK18" s="125">
        <f t="shared" si="39"/>
        <v>2045835.2199856234</v>
      </c>
      <c r="GL18" s="125">
        <f t="shared" si="39"/>
        <v>2045835.2199856234</v>
      </c>
      <c r="GM18" s="125">
        <f t="shared" si="39"/>
        <v>2045835.2199856234</v>
      </c>
      <c r="GN18" s="125">
        <f t="shared" si="39"/>
        <v>2045835.2199856234</v>
      </c>
      <c r="GO18" s="125">
        <f t="shared" si="39"/>
        <v>2045835.2199856234</v>
      </c>
      <c r="GP18" s="125">
        <f t="shared" si="39"/>
        <v>2045835.2199856234</v>
      </c>
      <c r="GQ18" s="125">
        <f t="shared" si="39"/>
        <v>2045835.2199856234</v>
      </c>
      <c r="GR18" s="125">
        <f t="shared" si="39"/>
        <v>2045835.2199856234</v>
      </c>
      <c r="GS18" s="125">
        <f t="shared" ref="GS18:JD18" si="40">GR18+GS17</f>
        <v>2045835.2199856234</v>
      </c>
      <c r="GT18" s="125">
        <f t="shared" si="40"/>
        <v>2045835.2199856234</v>
      </c>
      <c r="GU18" s="125">
        <f t="shared" si="40"/>
        <v>2045835.2199856234</v>
      </c>
      <c r="GV18" s="125">
        <f t="shared" si="40"/>
        <v>2045835.2199856234</v>
      </c>
      <c r="GW18" s="125">
        <f t="shared" si="40"/>
        <v>2045835.2199856234</v>
      </c>
      <c r="GX18" s="125">
        <f t="shared" si="40"/>
        <v>2045835.2199856234</v>
      </c>
      <c r="GY18" s="125">
        <f t="shared" si="40"/>
        <v>2045835.2199856234</v>
      </c>
      <c r="GZ18" s="125">
        <f t="shared" si="40"/>
        <v>2045835.2199856234</v>
      </c>
      <c r="HA18" s="125">
        <f t="shared" si="40"/>
        <v>2045835.2199856234</v>
      </c>
      <c r="HB18" s="125">
        <f t="shared" si="40"/>
        <v>2045835.2199856234</v>
      </c>
      <c r="HC18" s="125">
        <f t="shared" si="40"/>
        <v>2045835.2199856234</v>
      </c>
      <c r="HD18" s="125">
        <f t="shared" si="40"/>
        <v>2045835.2199856234</v>
      </c>
      <c r="HE18" s="125">
        <f t="shared" si="40"/>
        <v>2045835.2199856234</v>
      </c>
      <c r="HF18" s="125">
        <f t="shared" si="40"/>
        <v>2045835.2199856234</v>
      </c>
      <c r="HG18" s="125">
        <f t="shared" si="40"/>
        <v>2045835.2199856234</v>
      </c>
      <c r="HH18" s="125">
        <f t="shared" si="40"/>
        <v>2045835.2199856234</v>
      </c>
      <c r="HI18" s="125">
        <f t="shared" si="40"/>
        <v>2045835.2199856234</v>
      </c>
      <c r="HJ18" s="125">
        <f t="shared" si="40"/>
        <v>2045835.2199856234</v>
      </c>
      <c r="HK18" s="125">
        <f t="shared" si="40"/>
        <v>2045835.2199856234</v>
      </c>
      <c r="HL18" s="125">
        <f t="shared" si="40"/>
        <v>2045835.2199856234</v>
      </c>
      <c r="HM18" s="125">
        <f t="shared" si="40"/>
        <v>2045835.2199856234</v>
      </c>
      <c r="HN18" s="125">
        <f t="shared" si="40"/>
        <v>2045835.2199856234</v>
      </c>
      <c r="HO18" s="125">
        <f t="shared" si="40"/>
        <v>2045835.2199856234</v>
      </c>
      <c r="HP18" s="125">
        <f t="shared" si="40"/>
        <v>2045835.2199856234</v>
      </c>
      <c r="HQ18" s="125">
        <f t="shared" si="40"/>
        <v>2045835.2199856234</v>
      </c>
      <c r="HR18" s="125">
        <f t="shared" si="40"/>
        <v>2045835.2199856234</v>
      </c>
      <c r="HS18" s="125">
        <f t="shared" si="40"/>
        <v>2045835.2199856234</v>
      </c>
      <c r="HT18" s="125">
        <f t="shared" si="40"/>
        <v>2045835.2199856234</v>
      </c>
      <c r="HU18" s="125">
        <f t="shared" si="40"/>
        <v>2045835.2199856234</v>
      </c>
      <c r="HV18" s="125">
        <f t="shared" si="40"/>
        <v>2045835.2199856234</v>
      </c>
      <c r="HW18" s="125">
        <f t="shared" si="40"/>
        <v>2045835.2199856234</v>
      </c>
      <c r="HX18" s="125">
        <f t="shared" si="40"/>
        <v>2045835.2199856234</v>
      </c>
      <c r="HY18" s="125">
        <f t="shared" si="40"/>
        <v>2045835.2199856234</v>
      </c>
      <c r="HZ18" s="125">
        <f t="shared" si="40"/>
        <v>2045835.2199856234</v>
      </c>
      <c r="IA18" s="125">
        <f t="shared" si="40"/>
        <v>2045835.2199856234</v>
      </c>
      <c r="IB18" s="125">
        <f t="shared" si="40"/>
        <v>2045835.2199856234</v>
      </c>
      <c r="IC18" s="125">
        <f t="shared" si="40"/>
        <v>2045835.2199856234</v>
      </c>
      <c r="ID18" s="125">
        <f t="shared" si="40"/>
        <v>2045835.2199856234</v>
      </c>
      <c r="IE18" s="125">
        <f t="shared" si="40"/>
        <v>2045835.2199856234</v>
      </c>
      <c r="IF18" s="125">
        <f t="shared" si="40"/>
        <v>2045835.2199856234</v>
      </c>
      <c r="IG18" s="125">
        <f t="shared" si="40"/>
        <v>2045835.2199856234</v>
      </c>
      <c r="IH18" s="125">
        <f t="shared" si="40"/>
        <v>2045835.2199856234</v>
      </c>
      <c r="II18" s="125">
        <f t="shared" si="40"/>
        <v>2045835.2199856234</v>
      </c>
      <c r="IJ18" s="125">
        <f t="shared" si="40"/>
        <v>2045835.2199856234</v>
      </c>
      <c r="IK18" s="125">
        <f t="shared" si="40"/>
        <v>2045835.2199856234</v>
      </c>
      <c r="IL18" s="125">
        <f t="shared" si="40"/>
        <v>2045835.2199856234</v>
      </c>
      <c r="IM18" s="125">
        <f t="shared" si="40"/>
        <v>2045835.2199856234</v>
      </c>
      <c r="IN18" s="125">
        <f t="shared" si="40"/>
        <v>2045835.2199856234</v>
      </c>
      <c r="IO18" s="125">
        <f t="shared" si="40"/>
        <v>2045835.2199856234</v>
      </c>
      <c r="IP18" s="125">
        <f t="shared" si="40"/>
        <v>2045835.2199856234</v>
      </c>
      <c r="IQ18" s="125">
        <f t="shared" si="40"/>
        <v>2045835.2199856234</v>
      </c>
      <c r="IR18" s="125">
        <f t="shared" si="40"/>
        <v>2045835.2199856234</v>
      </c>
      <c r="IS18" s="125">
        <f t="shared" si="40"/>
        <v>2045835.2199856234</v>
      </c>
      <c r="IT18" s="125">
        <f t="shared" si="40"/>
        <v>2045835.2199856234</v>
      </c>
      <c r="IU18" s="125">
        <f t="shared" si="40"/>
        <v>2045835.2199856234</v>
      </c>
      <c r="IV18" s="125">
        <f t="shared" si="40"/>
        <v>2045835.2199856234</v>
      </c>
      <c r="IW18" s="125">
        <f t="shared" si="40"/>
        <v>2045835.2199856234</v>
      </c>
      <c r="IX18" s="125">
        <f t="shared" si="40"/>
        <v>2045835.2199856234</v>
      </c>
      <c r="IY18" s="125">
        <f t="shared" si="40"/>
        <v>2045835.2199856234</v>
      </c>
      <c r="IZ18" s="125">
        <f t="shared" si="40"/>
        <v>2045835.2199856234</v>
      </c>
      <c r="JA18" s="125">
        <f t="shared" si="40"/>
        <v>2045835.2199856234</v>
      </c>
      <c r="JB18" s="125">
        <f t="shared" si="40"/>
        <v>2045835.2199856234</v>
      </c>
      <c r="JC18" s="125">
        <f t="shared" si="40"/>
        <v>2045835.2199856234</v>
      </c>
      <c r="JD18" s="125">
        <f t="shared" si="40"/>
        <v>2045835.2199856234</v>
      </c>
      <c r="JE18" s="125">
        <f t="shared" ref="JE18:KE18" si="41">JD18+JE17</f>
        <v>2045835.2199856234</v>
      </c>
      <c r="JF18" s="125">
        <f t="shared" si="41"/>
        <v>2045835.2199856234</v>
      </c>
      <c r="JG18" s="125">
        <f t="shared" si="41"/>
        <v>2045835.2199856234</v>
      </c>
      <c r="JH18" s="125">
        <f t="shared" si="41"/>
        <v>2045835.2199856234</v>
      </c>
      <c r="JI18" s="125">
        <f t="shared" si="41"/>
        <v>2045835.2199856234</v>
      </c>
      <c r="JJ18" s="125">
        <f t="shared" si="41"/>
        <v>2045835.2199856234</v>
      </c>
      <c r="JK18" s="125">
        <f t="shared" si="41"/>
        <v>2045835.2199856234</v>
      </c>
      <c r="JL18" s="125">
        <f t="shared" si="41"/>
        <v>2045835.2199856234</v>
      </c>
      <c r="JM18" s="125">
        <f t="shared" si="41"/>
        <v>2045835.2199856234</v>
      </c>
      <c r="JN18" s="125">
        <f t="shared" si="41"/>
        <v>2045835.2199856234</v>
      </c>
      <c r="JO18" s="125">
        <f t="shared" si="41"/>
        <v>2045835.2199856234</v>
      </c>
      <c r="JP18" s="125">
        <f t="shared" si="41"/>
        <v>2045835.2199856234</v>
      </c>
      <c r="JQ18" s="125">
        <f t="shared" si="41"/>
        <v>2045835.2199856234</v>
      </c>
      <c r="JR18" s="125">
        <f t="shared" si="41"/>
        <v>2045835.2199856234</v>
      </c>
      <c r="JS18" s="125">
        <f t="shared" si="41"/>
        <v>2045835.2199856234</v>
      </c>
      <c r="JT18" s="125">
        <f t="shared" si="41"/>
        <v>2045835.2199856234</v>
      </c>
      <c r="JU18" s="125">
        <f t="shared" si="41"/>
        <v>2045835.2199856234</v>
      </c>
      <c r="JV18" s="125">
        <f t="shared" si="41"/>
        <v>2045835.2199856234</v>
      </c>
      <c r="JW18" s="125">
        <f t="shared" si="41"/>
        <v>2045835.2199856234</v>
      </c>
      <c r="JX18" s="125">
        <f t="shared" si="41"/>
        <v>2045835.2199856234</v>
      </c>
      <c r="JY18" s="125">
        <f t="shared" si="41"/>
        <v>2045835.2199856234</v>
      </c>
      <c r="JZ18" s="125">
        <f t="shared" si="41"/>
        <v>2045835.2199856234</v>
      </c>
      <c r="KA18" s="125">
        <f t="shared" si="41"/>
        <v>2045835.2199856234</v>
      </c>
      <c r="KB18" s="125">
        <f t="shared" si="41"/>
        <v>2045835.2199856234</v>
      </c>
      <c r="KC18" s="125">
        <f t="shared" si="41"/>
        <v>2045835.2199856234</v>
      </c>
      <c r="KD18" s="125">
        <f t="shared" si="41"/>
        <v>2045835.2199856234</v>
      </c>
      <c r="KE18" s="125">
        <f t="shared" si="41"/>
        <v>2045835.2199856234</v>
      </c>
    </row>
    <row r="19" spans="1:291" s="102" customFormat="1"/>
    <row r="24" spans="1:291">
      <c r="D24" s="623"/>
    </row>
  </sheetData>
  <mergeCells count="3">
    <mergeCell ref="A2:A7"/>
    <mergeCell ref="A8:A14"/>
    <mergeCell ref="A17:A18"/>
  </mergeCells>
  <conditionalFormatting sqref="C17">
    <cfRule type="cellIs" dxfId="4" priority="1" operator="greaterThan">
      <formula>0.1</formula>
    </cfRule>
  </conditionalFormatting>
  <conditionalFormatting sqref="D3">
    <cfRule type="cellIs" dxfId="3" priority="10" operator="notEqual">
      <formula>$C$3</formula>
    </cfRule>
  </conditionalFormatting>
  <conditionalFormatting sqref="D5">
    <cfRule type="cellIs" dxfId="2" priority="8" operator="notEqual">
      <formula>$C$5</formula>
    </cfRule>
  </conditionalFormatting>
  <conditionalFormatting sqref="D9">
    <cfRule type="cellIs" dxfId="1" priority="9" operator="notEqual">
      <formula>$C$9</formula>
    </cfRule>
  </conditionalFormatting>
  <conditionalFormatting sqref="D11">
    <cfRule type="cellIs" dxfId="0" priority="7" operator="notEqual">
      <formula>$C$11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A5B42-D6A9-4897-95AE-15030F9A7D86}">
  <sheetPr codeName="Sheet9"/>
  <dimension ref="A1:T78"/>
  <sheetViews>
    <sheetView zoomScale="85" zoomScaleNormal="85" workbookViewId="0">
      <selection activeCell="F11" sqref="F11"/>
    </sheetView>
  </sheetViews>
  <sheetFormatPr defaultColWidth="12.28515625" defaultRowHeight="14.45"/>
  <cols>
    <col min="1" max="1" width="36" style="269" bestFit="1" customWidth="1"/>
    <col min="2" max="2" width="15.28515625" style="270" bestFit="1" customWidth="1"/>
    <col min="3" max="3" width="6.140625" style="269" bestFit="1" customWidth="1"/>
    <col min="4" max="4" width="13.7109375" style="269" bestFit="1" customWidth="1"/>
    <col min="5" max="7" width="12.140625" style="269" bestFit="1" customWidth="1"/>
    <col min="8" max="8" width="13.7109375" style="269" bestFit="1" customWidth="1"/>
    <col min="9" max="9" width="12.85546875" style="269" bestFit="1" customWidth="1"/>
    <col min="10" max="10" width="11.140625" style="269" bestFit="1" customWidth="1"/>
    <col min="11" max="11" width="14.5703125" style="269" bestFit="1" customWidth="1"/>
    <col min="12" max="12" width="13.7109375" style="269" bestFit="1" customWidth="1"/>
    <col min="13" max="13" width="14.42578125" style="269" bestFit="1" customWidth="1"/>
    <col min="14" max="14" width="13.5703125" style="269" bestFit="1" customWidth="1"/>
    <col min="15" max="18" width="11.42578125" style="269" bestFit="1" customWidth="1"/>
    <col min="19" max="19" width="13.5703125" style="269" bestFit="1" customWidth="1"/>
    <col min="20" max="16384" width="12.28515625" style="269"/>
  </cols>
  <sheetData>
    <row r="1" spans="1:20">
      <c r="A1"/>
      <c r="B1"/>
    </row>
    <row r="2" spans="1:20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</row>
    <row r="3" spans="1:20">
      <c r="A3" s="541" t="s">
        <v>409</v>
      </c>
      <c r="B3" s="541" t="s">
        <v>410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 spans="1:20">
      <c r="A4" s="541" t="s">
        <v>411</v>
      </c>
      <c r="B4" t="s">
        <v>412</v>
      </c>
      <c r="C4"/>
      <c r="D4" s="346">
        <v>46142</v>
      </c>
      <c r="E4" s="346">
        <v>46112</v>
      </c>
      <c r="F4" s="346">
        <v>46173</v>
      </c>
      <c r="G4" s="346">
        <v>46203</v>
      </c>
      <c r="H4" t="s">
        <v>413</v>
      </c>
      <c r="I4"/>
      <c r="J4"/>
      <c r="K4"/>
      <c r="L4"/>
      <c r="M4"/>
      <c r="N4"/>
      <c r="O4"/>
      <c r="P4"/>
      <c r="Q4"/>
      <c r="R4"/>
      <c r="S4"/>
      <c r="T4"/>
    </row>
    <row r="5" spans="1:20">
      <c r="A5" s="345" t="s">
        <v>412</v>
      </c>
      <c r="B5" s="272"/>
      <c r="C5" s="272"/>
      <c r="D5" s="272"/>
      <c r="E5" s="272"/>
      <c r="F5" s="272"/>
      <c r="G5" s="272"/>
      <c r="H5" s="272"/>
      <c r="I5"/>
      <c r="J5"/>
      <c r="K5"/>
      <c r="L5"/>
      <c r="M5"/>
      <c r="N5"/>
      <c r="O5"/>
      <c r="P5"/>
      <c r="Q5"/>
      <c r="R5"/>
      <c r="S5"/>
      <c r="T5"/>
    </row>
    <row r="6" spans="1:20">
      <c r="A6" s="345" t="s">
        <v>285</v>
      </c>
      <c r="B6" s="272"/>
      <c r="C6" s="272">
        <v>0</v>
      </c>
      <c r="D6" s="272">
        <v>657489.71400000015</v>
      </c>
      <c r="E6" s="272"/>
      <c r="F6" s="272"/>
      <c r="G6" s="272"/>
      <c r="H6" s="272">
        <v>657489.71400000015</v>
      </c>
      <c r="I6"/>
      <c r="J6"/>
      <c r="K6"/>
      <c r="L6"/>
      <c r="M6"/>
      <c r="N6"/>
      <c r="O6"/>
      <c r="P6"/>
      <c r="Q6"/>
      <c r="R6"/>
      <c r="S6"/>
      <c r="T6"/>
    </row>
    <row r="7" spans="1:20">
      <c r="A7" s="345" t="s">
        <v>292</v>
      </c>
      <c r="B7" s="272">
        <v>0</v>
      </c>
      <c r="C7" s="272">
        <v>0</v>
      </c>
      <c r="D7" s="272">
        <v>175000</v>
      </c>
      <c r="E7" s="272"/>
      <c r="F7" s="272"/>
      <c r="G7" s="272"/>
      <c r="H7" s="272">
        <v>175000</v>
      </c>
      <c r="I7"/>
      <c r="J7"/>
      <c r="K7"/>
      <c r="L7"/>
      <c r="M7"/>
      <c r="N7"/>
      <c r="O7"/>
      <c r="P7"/>
      <c r="Q7"/>
      <c r="R7"/>
      <c r="S7"/>
      <c r="T7"/>
    </row>
    <row r="8" spans="1:20">
      <c r="A8" s="345" t="s">
        <v>304</v>
      </c>
      <c r="B8" s="272"/>
      <c r="C8" s="272">
        <v>0</v>
      </c>
      <c r="D8" s="272">
        <v>110360</v>
      </c>
      <c r="E8" s="272"/>
      <c r="F8" s="272"/>
      <c r="G8" s="272"/>
      <c r="H8" s="272">
        <v>110360</v>
      </c>
      <c r="I8"/>
      <c r="J8"/>
      <c r="K8"/>
      <c r="L8"/>
      <c r="M8"/>
      <c r="N8"/>
      <c r="O8"/>
      <c r="P8"/>
      <c r="Q8"/>
      <c r="R8"/>
      <c r="S8"/>
      <c r="T8"/>
    </row>
    <row r="9" spans="1:20">
      <c r="A9" s="345" t="s">
        <v>313</v>
      </c>
      <c r="B9" s="272"/>
      <c r="C9" s="272">
        <v>0</v>
      </c>
      <c r="D9" s="272">
        <v>93088.322856574421</v>
      </c>
      <c r="E9" s="272">
        <v>22452.684047808514</v>
      </c>
      <c r="F9" s="272">
        <v>40414.831286055327</v>
      </c>
      <c r="G9" s="272">
        <v>4490.5368095617032</v>
      </c>
      <c r="H9" s="272">
        <v>160446.37499999997</v>
      </c>
      <c r="I9"/>
      <c r="J9"/>
      <c r="K9"/>
      <c r="L9"/>
      <c r="M9"/>
      <c r="N9"/>
      <c r="O9"/>
      <c r="P9"/>
      <c r="Q9"/>
      <c r="R9"/>
      <c r="S9"/>
      <c r="T9"/>
    </row>
    <row r="10" spans="1:20">
      <c r="A10" s="345" t="s">
        <v>329</v>
      </c>
      <c r="B10" s="272"/>
      <c r="C10" s="272">
        <v>0</v>
      </c>
      <c r="D10" s="272">
        <v>61250</v>
      </c>
      <c r="E10" s="272"/>
      <c r="F10" s="272"/>
      <c r="G10" s="272"/>
      <c r="H10" s="272">
        <v>61250</v>
      </c>
      <c r="I10"/>
      <c r="J10"/>
      <c r="K10"/>
      <c r="L10"/>
      <c r="M10"/>
      <c r="N10"/>
      <c r="O10"/>
      <c r="P10"/>
      <c r="Q10"/>
      <c r="R10"/>
      <c r="S10"/>
      <c r="T10"/>
    </row>
    <row r="11" spans="1:20">
      <c r="A11" s="345" t="s">
        <v>334</v>
      </c>
      <c r="B11" s="272"/>
      <c r="C11" s="272">
        <v>0</v>
      </c>
      <c r="D11" s="272">
        <v>56154.437667766586</v>
      </c>
      <c r="E11" s="272">
        <v>269627.88264887419</v>
      </c>
      <c r="F11" s="272">
        <v>101077.98780197985</v>
      </c>
      <c r="G11" s="272">
        <v>11230.887533553318</v>
      </c>
      <c r="H11" s="272">
        <v>438091.19565217395</v>
      </c>
      <c r="I11"/>
      <c r="J11"/>
      <c r="K11"/>
      <c r="L11"/>
      <c r="M11"/>
      <c r="N11"/>
      <c r="O11"/>
      <c r="P11"/>
      <c r="Q11"/>
      <c r="R11"/>
      <c r="S11"/>
      <c r="T11"/>
    </row>
    <row r="12" spans="1:20">
      <c r="A12" s="345" t="s">
        <v>339</v>
      </c>
      <c r="B12" s="272">
        <v>0</v>
      </c>
      <c r="C12" s="272">
        <v>0</v>
      </c>
      <c r="D12" s="272">
        <v>37500</v>
      </c>
      <c r="E12" s="272"/>
      <c r="F12" s="272"/>
      <c r="G12" s="272"/>
      <c r="H12" s="272">
        <v>37500</v>
      </c>
      <c r="I12"/>
      <c r="J12"/>
      <c r="K12"/>
      <c r="L12"/>
      <c r="M12"/>
      <c r="N12"/>
      <c r="O12"/>
      <c r="P12"/>
      <c r="Q12"/>
      <c r="R12"/>
      <c r="S12"/>
      <c r="T12"/>
    </row>
    <row r="13" spans="1:20">
      <c r="A13" s="345" t="s">
        <v>345</v>
      </c>
      <c r="B13" s="272"/>
      <c r="C13" s="272">
        <v>0</v>
      </c>
      <c r="D13" s="272">
        <v>48208.333333333343</v>
      </c>
      <c r="E13" s="272">
        <v>48208.333333333343</v>
      </c>
      <c r="F13" s="272">
        <v>86775.000000000015</v>
      </c>
      <c r="G13" s="272">
        <v>9641.6666666666697</v>
      </c>
      <c r="H13" s="272">
        <v>192833.33333333334</v>
      </c>
      <c r="I13"/>
      <c r="J13"/>
      <c r="K13"/>
      <c r="L13"/>
      <c r="M13"/>
      <c r="N13"/>
      <c r="O13"/>
      <c r="P13"/>
      <c r="Q13"/>
      <c r="R13"/>
      <c r="S13"/>
      <c r="T13"/>
    </row>
    <row r="14" spans="1:20">
      <c r="A14" s="345" t="s">
        <v>348</v>
      </c>
      <c r="B14" s="272"/>
      <c r="C14" s="272">
        <v>0</v>
      </c>
      <c r="D14" s="272">
        <v>5991.7118853439188</v>
      </c>
      <c r="E14" s="272">
        <v>5991.7118853439188</v>
      </c>
      <c r="F14" s="272">
        <v>31229.443728786599</v>
      </c>
      <c r="G14" s="272">
        <v>1198.3423770687839</v>
      </c>
      <c r="H14" s="272">
        <v>44411.209876543217</v>
      </c>
      <c r="I14"/>
      <c r="J14"/>
      <c r="K14"/>
      <c r="L14"/>
      <c r="M14"/>
      <c r="N14"/>
      <c r="O14"/>
      <c r="P14"/>
      <c r="Q14"/>
      <c r="R14"/>
      <c r="S14"/>
      <c r="T14"/>
    </row>
    <row r="15" spans="1:20">
      <c r="A15" s="345" t="s">
        <v>352</v>
      </c>
      <c r="B15" s="272"/>
      <c r="C15" s="272">
        <v>0</v>
      </c>
      <c r="D15" s="272"/>
      <c r="E15" s="272"/>
      <c r="F15" s="272">
        <v>21832.611832611834</v>
      </c>
      <c r="G15" s="272">
        <v>77056.27705627706</v>
      </c>
      <c r="H15" s="272">
        <v>98888.888888888891</v>
      </c>
      <c r="I15"/>
      <c r="J15"/>
      <c r="K15"/>
      <c r="L15"/>
      <c r="M15"/>
      <c r="N15"/>
      <c r="O15"/>
      <c r="P15"/>
      <c r="Q15"/>
      <c r="R15"/>
      <c r="S15"/>
      <c r="T15"/>
    </row>
    <row r="16" spans="1:20">
      <c r="A16" s="345" t="s">
        <v>362</v>
      </c>
      <c r="B16" s="272"/>
      <c r="C16" s="272">
        <v>0</v>
      </c>
      <c r="D16" s="272"/>
      <c r="E16" s="272"/>
      <c r="F16" s="272">
        <v>22508.94767912824</v>
      </c>
      <c r="G16" s="272"/>
      <c r="H16" s="272">
        <v>22508.94767912824</v>
      </c>
      <c r="I16"/>
      <c r="J16"/>
      <c r="K16"/>
      <c r="L16"/>
      <c r="M16"/>
      <c r="N16"/>
      <c r="O16"/>
      <c r="P16"/>
      <c r="Q16"/>
      <c r="R16"/>
      <c r="S16"/>
      <c r="T16"/>
    </row>
    <row r="17" spans="1:20">
      <c r="A17" s="345" t="s">
        <v>370</v>
      </c>
      <c r="B17" s="272"/>
      <c r="C17" s="272">
        <v>0</v>
      </c>
      <c r="D17" s="272">
        <v>11763.888888888889</v>
      </c>
      <c r="E17" s="272">
        <v>11763.888888888889</v>
      </c>
      <c r="F17" s="272">
        <v>11763.888888888889</v>
      </c>
      <c r="G17" s="272">
        <v>11763.888888888889</v>
      </c>
      <c r="H17" s="272">
        <v>47055.555555555555</v>
      </c>
      <c r="I17"/>
      <c r="J17"/>
      <c r="K17"/>
      <c r="L17"/>
      <c r="M17"/>
      <c r="N17"/>
      <c r="O17"/>
      <c r="P17"/>
      <c r="Q17"/>
      <c r="R17"/>
      <c r="S17"/>
      <c r="T17"/>
    </row>
    <row r="18" spans="1:20">
      <c r="A18" s="345" t="s">
        <v>374</v>
      </c>
      <c r="B18" s="272"/>
      <c r="C18" s="272"/>
      <c r="D18" s="272"/>
      <c r="E18" s="272"/>
      <c r="F18" s="272"/>
      <c r="G18" s="272"/>
      <c r="H18" s="272"/>
      <c r="I18"/>
      <c r="J18"/>
      <c r="K18"/>
      <c r="L18"/>
      <c r="M18"/>
      <c r="N18"/>
      <c r="O18"/>
      <c r="P18"/>
      <c r="Q18"/>
      <c r="R18"/>
      <c r="S18"/>
      <c r="T18"/>
    </row>
    <row r="19" spans="1:20">
      <c r="A19" s="345" t="s">
        <v>359</v>
      </c>
      <c r="B19" s="272"/>
      <c r="C19" s="272"/>
      <c r="D19" s="272"/>
      <c r="E19" s="272"/>
      <c r="F19" s="272"/>
      <c r="G19" s="272"/>
      <c r="H19" s="272"/>
      <c r="I19"/>
      <c r="J19"/>
      <c r="K19"/>
      <c r="L19"/>
      <c r="M19"/>
      <c r="N19"/>
      <c r="O19"/>
      <c r="P19"/>
      <c r="Q19"/>
      <c r="R19"/>
      <c r="S19"/>
      <c r="T19"/>
    </row>
    <row r="20" spans="1:20">
      <c r="A20" s="345" t="s">
        <v>336</v>
      </c>
      <c r="B20" s="272"/>
      <c r="C20" s="272"/>
      <c r="D20" s="272"/>
      <c r="E20" s="272"/>
      <c r="F20" s="272"/>
      <c r="G20" s="272"/>
      <c r="H20" s="272"/>
      <c r="I20"/>
      <c r="J20"/>
      <c r="K20"/>
      <c r="L20"/>
      <c r="M20"/>
      <c r="N20"/>
      <c r="O20"/>
      <c r="P20"/>
      <c r="Q20"/>
      <c r="R20"/>
      <c r="S20"/>
      <c r="T20"/>
    </row>
    <row r="21" spans="1:20">
      <c r="A21" s="345" t="s">
        <v>413</v>
      </c>
      <c r="B21" s="272">
        <v>0</v>
      </c>
      <c r="C21" s="272">
        <v>0</v>
      </c>
      <c r="D21" s="272">
        <v>1256806.4086319073</v>
      </c>
      <c r="E21" s="272">
        <v>358044.50080424891</v>
      </c>
      <c r="F21" s="272">
        <v>315602.71121745079</v>
      </c>
      <c r="G21" s="272">
        <v>115381.59933201643</v>
      </c>
      <c r="H21" s="272">
        <v>2045835.2199856231</v>
      </c>
      <c r="I21"/>
      <c r="J21"/>
      <c r="K21"/>
      <c r="L21"/>
      <c r="M21"/>
      <c r="N21"/>
      <c r="O21"/>
      <c r="P21"/>
      <c r="Q21"/>
      <c r="R21"/>
      <c r="S21"/>
      <c r="T21"/>
    </row>
    <row r="22" spans="1:20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39.75" customHeigh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7" customHeight="1">
      <c r="A39"/>
      <c r="B39"/>
      <c r="C39"/>
      <c r="D39"/>
      <c r="E39"/>
      <c r="F39"/>
      <c r="G39"/>
      <c r="H39"/>
    </row>
    <row r="40" spans="1:20">
      <c r="A40"/>
      <c r="B40"/>
      <c r="C40"/>
      <c r="D40"/>
      <c r="E40"/>
      <c r="F40"/>
      <c r="G40"/>
      <c r="H40"/>
    </row>
    <row r="41" spans="1:20">
      <c r="A41"/>
      <c r="B41"/>
      <c r="C41"/>
      <c r="D41"/>
      <c r="E41"/>
      <c r="F41"/>
      <c r="G41"/>
      <c r="H41"/>
    </row>
    <row r="42" spans="1:20">
      <c r="A42"/>
      <c r="B42"/>
      <c r="C42"/>
      <c r="D42"/>
      <c r="E42"/>
      <c r="F42"/>
      <c r="G42"/>
      <c r="H42"/>
    </row>
    <row r="43" spans="1:20">
      <c r="A43"/>
      <c r="B43"/>
      <c r="C43"/>
      <c r="D43"/>
      <c r="E43"/>
      <c r="F43"/>
      <c r="G43"/>
      <c r="H43"/>
    </row>
    <row r="44" spans="1:20">
      <c r="A44"/>
      <c r="B44"/>
      <c r="C44"/>
      <c r="D44"/>
      <c r="E44"/>
      <c r="F44"/>
      <c r="G44"/>
      <c r="H44"/>
    </row>
    <row r="45" spans="1:20">
      <c r="A45"/>
      <c r="B45"/>
      <c r="C45"/>
      <c r="D45"/>
      <c r="E45"/>
      <c r="F45"/>
      <c r="G45"/>
      <c r="H45"/>
    </row>
    <row r="46" spans="1:20">
      <c r="A46"/>
      <c r="B46"/>
      <c r="C46"/>
      <c r="D46"/>
      <c r="E46"/>
      <c r="F46"/>
      <c r="G46"/>
      <c r="H46"/>
    </row>
    <row r="47" spans="1:20">
      <c r="A47"/>
      <c r="B47"/>
      <c r="C47"/>
      <c r="D47"/>
      <c r="E47"/>
      <c r="F47"/>
      <c r="G47"/>
      <c r="H47"/>
    </row>
    <row r="48" spans="1:20">
      <c r="A48"/>
      <c r="B48"/>
      <c r="C48"/>
      <c r="D48"/>
      <c r="E48"/>
      <c r="F48"/>
      <c r="G48"/>
      <c r="H48"/>
    </row>
    <row r="49" spans="1:8">
      <c r="A49"/>
      <c r="B49"/>
      <c r="C49"/>
      <c r="D49"/>
      <c r="E49"/>
      <c r="F49"/>
      <c r="G49"/>
      <c r="H49"/>
    </row>
    <row r="50" spans="1:8">
      <c r="A50"/>
      <c r="B50"/>
      <c r="C50"/>
      <c r="D50"/>
      <c r="E50"/>
      <c r="F50"/>
      <c r="G50"/>
      <c r="H50"/>
    </row>
    <row r="51" spans="1:8">
      <c r="A51"/>
      <c r="B51"/>
      <c r="C51"/>
      <c r="D51"/>
      <c r="E51"/>
      <c r="F51"/>
      <c r="G51"/>
      <c r="H51"/>
    </row>
    <row r="52" spans="1:8">
      <c r="A52"/>
      <c r="B52"/>
      <c r="C52"/>
      <c r="D52"/>
      <c r="E52"/>
      <c r="F52"/>
      <c r="G52"/>
      <c r="H52"/>
    </row>
    <row r="53" spans="1:8">
      <c r="A53"/>
      <c r="B53"/>
      <c r="C53"/>
      <c r="D53"/>
      <c r="E53"/>
      <c r="F53"/>
      <c r="G53"/>
      <c r="H53"/>
    </row>
    <row r="54" spans="1:8">
      <c r="A54"/>
      <c r="B54"/>
      <c r="C54"/>
      <c r="D54"/>
      <c r="E54"/>
      <c r="F54"/>
      <c r="G54"/>
      <c r="H54"/>
    </row>
    <row r="55" spans="1:8">
      <c r="A55"/>
      <c r="B55"/>
      <c r="C55"/>
      <c r="D55"/>
      <c r="E55"/>
      <c r="F55"/>
      <c r="G55"/>
      <c r="H55"/>
    </row>
    <row r="56" spans="1:8">
      <c r="A56"/>
      <c r="B56"/>
      <c r="C56"/>
      <c r="D56"/>
      <c r="E56"/>
      <c r="F56"/>
      <c r="G56"/>
      <c r="H56"/>
    </row>
    <row r="57" spans="1:8">
      <c r="A57"/>
      <c r="B57"/>
      <c r="C57"/>
      <c r="D57"/>
      <c r="E57"/>
      <c r="F57"/>
      <c r="G57"/>
      <c r="H57"/>
    </row>
    <row r="58" spans="1:8">
      <c r="A58"/>
      <c r="B58"/>
      <c r="C58"/>
      <c r="D58"/>
      <c r="E58"/>
      <c r="F58"/>
      <c r="G58"/>
      <c r="H58"/>
    </row>
    <row r="59" spans="1:8">
      <c r="A59"/>
      <c r="B59"/>
      <c r="C59"/>
      <c r="D59"/>
      <c r="E59"/>
      <c r="F59"/>
      <c r="G59"/>
      <c r="H59"/>
    </row>
    <row r="60" spans="1:8">
      <c r="A60"/>
      <c r="B60"/>
      <c r="C60"/>
      <c r="D60"/>
      <c r="E60"/>
      <c r="F60"/>
      <c r="G60"/>
      <c r="H60"/>
    </row>
    <row r="61" spans="1:8">
      <c r="A61"/>
      <c r="B61"/>
      <c r="C61"/>
      <c r="D61"/>
      <c r="E61"/>
      <c r="F61"/>
      <c r="G61"/>
      <c r="H61"/>
    </row>
    <row r="62" spans="1:8">
      <c r="A62"/>
      <c r="B62"/>
      <c r="C62"/>
      <c r="D62"/>
      <c r="E62"/>
      <c r="F62"/>
      <c r="G62"/>
      <c r="H62"/>
    </row>
    <row r="63" spans="1:8">
      <c r="A63"/>
      <c r="B63"/>
      <c r="C63"/>
      <c r="D63"/>
      <c r="E63"/>
      <c r="F63"/>
      <c r="G63"/>
      <c r="H63"/>
    </row>
    <row r="64" spans="1:8">
      <c r="A64"/>
      <c r="B64"/>
      <c r="C64"/>
      <c r="D64"/>
      <c r="E64"/>
      <c r="F64"/>
      <c r="G64"/>
      <c r="H64"/>
    </row>
    <row r="65" spans="1:8">
      <c r="A65"/>
      <c r="B65"/>
      <c r="C65"/>
      <c r="D65"/>
      <c r="E65"/>
      <c r="F65"/>
      <c r="G65"/>
      <c r="H65"/>
    </row>
    <row r="66" spans="1:8">
      <c r="A66"/>
      <c r="B66"/>
      <c r="C66"/>
      <c r="D66"/>
      <c r="E66"/>
      <c r="F66"/>
      <c r="G66"/>
      <c r="H66"/>
    </row>
    <row r="67" spans="1:8">
      <c r="A67"/>
      <c r="B67"/>
      <c r="C67"/>
      <c r="D67"/>
      <c r="E67"/>
      <c r="F67"/>
      <c r="G67"/>
      <c r="H67"/>
    </row>
    <row r="68" spans="1:8">
      <c r="A68"/>
      <c r="B68"/>
      <c r="C68"/>
      <c r="D68"/>
      <c r="E68"/>
      <c r="F68"/>
      <c r="G68"/>
      <c r="H68"/>
    </row>
    <row r="69" spans="1:8">
      <c r="A69"/>
      <c r="B69"/>
      <c r="C69"/>
      <c r="D69"/>
      <c r="E69"/>
      <c r="F69"/>
      <c r="G69"/>
      <c r="H69"/>
    </row>
    <row r="70" spans="1:8">
      <c r="A70"/>
      <c r="B70"/>
      <c r="C70"/>
      <c r="D70"/>
      <c r="E70"/>
      <c r="F70"/>
      <c r="G70"/>
      <c r="H70"/>
    </row>
    <row r="71" spans="1:8">
      <c r="A71"/>
      <c r="B71"/>
      <c r="C71"/>
      <c r="D71"/>
      <c r="E71"/>
      <c r="F71"/>
      <c r="G71"/>
      <c r="H71"/>
    </row>
    <row r="72" spans="1:8">
      <c r="A72"/>
      <c r="B72"/>
      <c r="C72"/>
      <c r="D72"/>
      <c r="E72"/>
      <c r="F72"/>
      <c r="G72"/>
      <c r="H72"/>
    </row>
    <row r="73" spans="1:8">
      <c r="A73"/>
      <c r="B73"/>
      <c r="C73"/>
      <c r="D73"/>
      <c r="E73"/>
      <c r="F73"/>
      <c r="G73"/>
      <c r="H73"/>
    </row>
    <row r="74" spans="1:8">
      <c r="A74"/>
      <c r="B74"/>
      <c r="C74"/>
      <c r="D74"/>
      <c r="E74"/>
      <c r="F74"/>
      <c r="G74"/>
      <c r="H74"/>
    </row>
    <row r="75" spans="1:8">
      <c r="A75"/>
      <c r="B75"/>
      <c r="C75"/>
      <c r="D75"/>
      <c r="E75"/>
      <c r="F75"/>
      <c r="G75"/>
      <c r="H75"/>
    </row>
    <row r="76" spans="1:8">
      <c r="A76"/>
      <c r="B76"/>
      <c r="C76"/>
      <c r="D76"/>
      <c r="E76"/>
      <c r="F76"/>
      <c r="G76"/>
      <c r="H76"/>
    </row>
    <row r="77" spans="1:8">
      <c r="A77"/>
      <c r="B77"/>
      <c r="C77"/>
      <c r="D77"/>
      <c r="E77"/>
      <c r="F77"/>
      <c r="G77"/>
      <c r="H77"/>
    </row>
    <row r="78" spans="1:8">
      <c r="A78"/>
      <c r="B78"/>
      <c r="C78"/>
      <c r="D78"/>
      <c r="E78"/>
      <c r="F78"/>
      <c r="G78"/>
      <c r="H7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7A91-6500-4A7A-AAE9-3BB3B95D5C7F}">
  <sheetPr codeName="Sheet10"/>
  <dimension ref="A3:I25"/>
  <sheetViews>
    <sheetView zoomScale="85" zoomScaleNormal="85" workbookViewId="0">
      <selection activeCell="O18" sqref="O18"/>
    </sheetView>
  </sheetViews>
  <sheetFormatPr defaultColWidth="8.42578125" defaultRowHeight="14.45"/>
  <cols>
    <col min="1" max="1" width="21" bestFit="1" customWidth="1"/>
    <col min="2" max="2" width="15.28515625" style="308" bestFit="1" customWidth="1"/>
    <col min="3" max="3" width="6.140625" style="308" bestFit="1" customWidth="1"/>
    <col min="4" max="4" width="13.7109375" style="308" bestFit="1" customWidth="1"/>
    <col min="5" max="6" width="12.140625" style="308" bestFit="1" customWidth="1"/>
    <col min="7" max="7" width="11.140625" style="308" bestFit="1" customWidth="1"/>
    <col min="8" max="8" width="13.7109375" style="308" bestFit="1" customWidth="1"/>
    <col min="9" max="9" width="11.85546875" style="308" bestFit="1" customWidth="1"/>
    <col min="10" max="10" width="11.140625" bestFit="1" customWidth="1"/>
    <col min="11" max="11" width="14.5703125" bestFit="1" customWidth="1"/>
    <col min="12" max="12" width="13.7109375" bestFit="1" customWidth="1"/>
    <col min="13" max="13" width="14" bestFit="1" customWidth="1"/>
    <col min="14" max="14" width="13.5703125" bestFit="1" customWidth="1"/>
    <col min="15" max="15" width="11.5703125" bestFit="1" customWidth="1"/>
    <col min="16" max="16" width="10.42578125" bestFit="1" customWidth="1"/>
    <col min="17" max="18" width="11.5703125" bestFit="1" customWidth="1"/>
    <col min="19" max="19" width="13.42578125" bestFit="1" customWidth="1"/>
  </cols>
  <sheetData>
    <row r="3" spans="1:9">
      <c r="A3" s="541" t="s">
        <v>414</v>
      </c>
      <c r="B3" s="541" t="s">
        <v>410</v>
      </c>
      <c r="C3"/>
      <c r="D3"/>
      <c r="E3"/>
      <c r="F3"/>
      <c r="G3"/>
      <c r="H3"/>
      <c r="I3"/>
    </row>
    <row r="4" spans="1:9">
      <c r="A4" s="541" t="s">
        <v>411</v>
      </c>
      <c r="B4" t="s">
        <v>412</v>
      </c>
      <c r="C4"/>
      <c r="D4" s="346">
        <v>46142</v>
      </c>
      <c r="E4" s="346">
        <v>46112</v>
      </c>
      <c r="F4" s="346">
        <v>46173</v>
      </c>
      <c r="G4" s="346">
        <v>46203</v>
      </c>
      <c r="H4" t="s">
        <v>413</v>
      </c>
      <c r="I4"/>
    </row>
    <row r="5" spans="1:9">
      <c r="A5" s="345" t="s">
        <v>412</v>
      </c>
      <c r="B5" s="347"/>
      <c r="C5" s="347"/>
      <c r="D5" s="347"/>
      <c r="E5" s="347"/>
      <c r="F5" s="347"/>
      <c r="G5" s="347"/>
      <c r="H5" s="347"/>
      <c r="I5"/>
    </row>
    <row r="6" spans="1:9">
      <c r="A6" s="345" t="s">
        <v>285</v>
      </c>
      <c r="B6" s="347"/>
      <c r="C6" s="347"/>
      <c r="D6" s="347">
        <v>552500</v>
      </c>
      <c r="E6" s="347"/>
      <c r="F6" s="347"/>
      <c r="G6" s="347"/>
      <c r="H6" s="347">
        <v>552500</v>
      </c>
      <c r="I6"/>
    </row>
    <row r="7" spans="1:9">
      <c r="A7" s="345" t="s">
        <v>292</v>
      </c>
      <c r="B7" s="347"/>
      <c r="C7" s="347"/>
      <c r="D7" s="347">
        <v>136000</v>
      </c>
      <c r="E7" s="347"/>
      <c r="F7" s="347"/>
      <c r="G7" s="347"/>
      <c r="H7" s="347">
        <v>136000</v>
      </c>
      <c r="I7"/>
    </row>
    <row r="8" spans="1:9">
      <c r="A8" s="345" t="s">
        <v>304</v>
      </c>
      <c r="B8" s="347"/>
      <c r="C8" s="347"/>
      <c r="D8" s="347">
        <v>88288</v>
      </c>
      <c r="E8" s="347"/>
      <c r="F8" s="347"/>
      <c r="G8" s="347"/>
      <c r="H8" s="347">
        <v>88288</v>
      </c>
      <c r="I8"/>
    </row>
    <row r="9" spans="1:9">
      <c r="A9" s="345" t="s">
        <v>313</v>
      </c>
      <c r="B9" s="347"/>
      <c r="C9" s="347"/>
      <c r="D9" s="347">
        <v>73800.508750000008</v>
      </c>
      <c r="E9" s="347">
        <v>17800.508750000001</v>
      </c>
      <c r="F9" s="347">
        <v>32040.91575</v>
      </c>
      <c r="G9" s="347">
        <v>3560.1017500000003</v>
      </c>
      <c r="H9" s="347">
        <v>127202.03500000002</v>
      </c>
      <c r="I9"/>
    </row>
    <row r="10" spans="1:9">
      <c r="A10" s="345" t="s">
        <v>329</v>
      </c>
      <c r="B10" s="347"/>
      <c r="C10" s="347"/>
      <c r="D10" s="347">
        <v>49500</v>
      </c>
      <c r="E10" s="347"/>
      <c r="F10" s="347"/>
      <c r="G10" s="347"/>
      <c r="H10" s="347">
        <v>49500</v>
      </c>
      <c r="I10"/>
    </row>
    <row r="11" spans="1:9">
      <c r="A11" s="345" t="s">
        <v>334</v>
      </c>
      <c r="B11" s="347"/>
      <c r="C11" s="347"/>
      <c r="D11" s="347">
        <v>24475.503260869562</v>
      </c>
      <c r="E11" s="347">
        <v>117520.15326086956</v>
      </c>
      <c r="F11" s="347">
        <v>44055.905869565213</v>
      </c>
      <c r="G11" s="347">
        <v>4895.1006521739127</v>
      </c>
      <c r="H11" s="347">
        <v>190946.66304347824</v>
      </c>
      <c r="I11"/>
    </row>
    <row r="12" spans="1:9">
      <c r="A12" s="345" t="s">
        <v>339</v>
      </c>
      <c r="B12" s="347"/>
      <c r="C12" s="347"/>
      <c r="D12" s="347">
        <v>45000</v>
      </c>
      <c r="E12" s="347"/>
      <c r="F12" s="347"/>
      <c r="G12" s="347"/>
      <c r="H12" s="347">
        <v>45000</v>
      </c>
      <c r="I12"/>
    </row>
    <row r="13" spans="1:9">
      <c r="A13" s="345" t="s">
        <v>345</v>
      </c>
      <c r="B13" s="347"/>
      <c r="C13" s="347"/>
      <c r="D13" s="347">
        <v>36879.375</v>
      </c>
      <c r="E13" s="347">
        <v>36879.375</v>
      </c>
      <c r="F13" s="347">
        <v>66382.875</v>
      </c>
      <c r="G13" s="347">
        <v>7375.875</v>
      </c>
      <c r="H13" s="347">
        <v>147517.5</v>
      </c>
      <c r="I13"/>
    </row>
    <row r="14" spans="1:9">
      <c r="A14" s="345" t="s">
        <v>348</v>
      </c>
      <c r="B14" s="347"/>
      <c r="C14" s="347"/>
      <c r="D14" s="347">
        <v>4923.6438888888897</v>
      </c>
      <c r="E14" s="347">
        <v>4923.6438888888897</v>
      </c>
      <c r="F14" s="347">
        <v>25662.559000000005</v>
      </c>
      <c r="G14" s="347">
        <v>984.72877777777796</v>
      </c>
      <c r="H14" s="347">
        <v>36494.575555555559</v>
      </c>
      <c r="I14"/>
    </row>
    <row r="15" spans="1:9">
      <c r="A15" s="345" t="s">
        <v>352</v>
      </c>
      <c r="B15" s="347"/>
      <c r="C15" s="347">
        <v>0</v>
      </c>
      <c r="D15" s="347"/>
      <c r="E15" s="347"/>
      <c r="F15" s="347">
        <v>17000</v>
      </c>
      <c r="G15" s="347">
        <v>60000</v>
      </c>
      <c r="H15" s="347">
        <v>77000</v>
      </c>
      <c r="I15"/>
    </row>
    <row r="16" spans="1:9">
      <c r="A16" s="345" t="s">
        <v>362</v>
      </c>
      <c r="B16" s="347"/>
      <c r="C16" s="347"/>
      <c r="D16" s="347"/>
      <c r="E16" s="347"/>
      <c r="F16" s="347">
        <v>25572.940249820298</v>
      </c>
      <c r="G16" s="347"/>
      <c r="H16" s="347">
        <v>25572.940249820298</v>
      </c>
      <c r="I16"/>
    </row>
    <row r="17" spans="1:9">
      <c r="A17" s="345" t="s">
        <v>370</v>
      </c>
      <c r="B17" s="347"/>
      <c r="C17" s="347"/>
      <c r="D17" s="347">
        <v>1837.5</v>
      </c>
      <c r="E17" s="347">
        <v>1837.5</v>
      </c>
      <c r="F17" s="347">
        <v>1837.5</v>
      </c>
      <c r="G17" s="347">
        <v>1837.5</v>
      </c>
      <c r="H17" s="347">
        <v>7350</v>
      </c>
      <c r="I17"/>
    </row>
    <row r="18" spans="1:9">
      <c r="A18" s="345" t="s">
        <v>374</v>
      </c>
      <c r="B18" s="347"/>
      <c r="C18" s="347"/>
      <c r="D18" s="347"/>
      <c r="E18" s="347"/>
      <c r="F18" s="347"/>
      <c r="G18" s="347"/>
      <c r="H18" s="347"/>
      <c r="I18"/>
    </row>
    <row r="19" spans="1:9">
      <c r="A19" s="345" t="s">
        <v>359</v>
      </c>
      <c r="B19" s="347"/>
      <c r="C19" s="347">
        <v>0</v>
      </c>
      <c r="D19" s="347"/>
      <c r="E19" s="347"/>
      <c r="F19" s="347"/>
      <c r="G19" s="347"/>
      <c r="H19" s="347">
        <v>0</v>
      </c>
      <c r="I19"/>
    </row>
    <row r="20" spans="1:9">
      <c r="A20" s="345" t="s">
        <v>336</v>
      </c>
      <c r="B20" s="347"/>
      <c r="C20" s="347"/>
      <c r="D20" s="347"/>
      <c r="E20" s="347"/>
      <c r="F20" s="347"/>
      <c r="G20" s="347"/>
      <c r="H20" s="347"/>
      <c r="I20"/>
    </row>
    <row r="21" spans="1:9">
      <c r="A21" s="345" t="s">
        <v>413</v>
      </c>
      <c r="B21" s="347"/>
      <c r="C21" s="347">
        <v>0</v>
      </c>
      <c r="D21" s="347">
        <v>1013204.5308997585</v>
      </c>
      <c r="E21" s="347">
        <v>178961.18089975844</v>
      </c>
      <c r="F21" s="347">
        <v>212552.69586938553</v>
      </c>
      <c r="G21" s="347">
        <v>78653.306179951687</v>
      </c>
      <c r="H21" s="347">
        <v>1483371.7138488539</v>
      </c>
      <c r="I21"/>
    </row>
    <row r="22" spans="1:9">
      <c r="B22"/>
      <c r="C22"/>
      <c r="D22"/>
      <c r="E22"/>
      <c r="F22"/>
      <c r="G22"/>
      <c r="H22"/>
      <c r="I22"/>
    </row>
    <row r="23" spans="1:9">
      <c r="B23"/>
      <c r="C23"/>
      <c r="D23"/>
      <c r="E23"/>
      <c r="F23"/>
      <c r="G23"/>
      <c r="H23"/>
      <c r="I23"/>
    </row>
    <row r="24" spans="1:9">
      <c r="B24"/>
      <c r="C24"/>
      <c r="D24"/>
      <c r="E24"/>
      <c r="F24"/>
      <c r="G24"/>
      <c r="H24"/>
      <c r="I24"/>
    </row>
    <row r="25" spans="1:9">
      <c r="B25"/>
      <c r="C25"/>
      <c r="D25"/>
      <c r="E25"/>
      <c r="F25"/>
      <c r="G25"/>
      <c r="H25"/>
      <c r="I25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61A95-C342-4651-B36E-1D4501FB87A8}">
  <sheetPr codeName="Sheet4"/>
  <dimension ref="C1:M168"/>
  <sheetViews>
    <sheetView showGridLines="0" zoomScale="85" zoomScaleNormal="85" workbookViewId="0">
      <selection activeCell="I2" sqref="I2:K12"/>
    </sheetView>
  </sheetViews>
  <sheetFormatPr defaultColWidth="9.42578125" defaultRowHeight="12.6"/>
  <cols>
    <col min="1" max="2" width="9.42578125" style="9"/>
    <col min="3" max="3" width="13.42578125" style="9" bestFit="1" customWidth="1"/>
    <col min="4" max="4" width="18.42578125" style="9" customWidth="1"/>
    <col min="5" max="5" width="9.42578125" style="9"/>
    <col min="6" max="6" width="12.28515625" style="9" bestFit="1" customWidth="1"/>
    <col min="7" max="7" width="1.42578125" style="9" customWidth="1"/>
    <col min="8" max="8" width="11.42578125" style="9" bestFit="1" customWidth="1"/>
    <col min="9" max="9" width="24.5703125" style="9" customWidth="1"/>
    <col min="10" max="10" width="9.42578125" style="9"/>
    <col min="11" max="11" width="18.42578125" style="9" customWidth="1"/>
    <col min="12" max="12" width="9.42578125" style="9"/>
    <col min="13" max="13" width="30.42578125" style="9" bestFit="1" customWidth="1"/>
    <col min="14" max="16384" width="9.42578125" style="9"/>
  </cols>
  <sheetData>
    <row r="1" spans="3:13" ht="13.5" thickBot="1">
      <c r="M1" s="661" t="s">
        <v>415</v>
      </c>
    </row>
    <row r="2" spans="3:13" ht="12.95" thickBot="1">
      <c r="C2" s="19" t="s">
        <v>416</v>
      </c>
      <c r="F2" s="19" t="s">
        <v>417</v>
      </c>
      <c r="I2" s="660" t="s">
        <v>418</v>
      </c>
      <c r="K2" s="660" t="s">
        <v>419</v>
      </c>
      <c r="M2" s="604" t="str">
        <f>[1]!Table1[[#This Row],[Supplier]]</f>
        <v>Aarden Solar</v>
      </c>
    </row>
    <row r="3" spans="3:13">
      <c r="C3" s="15">
        <v>46102</v>
      </c>
      <c r="D3" s="9" t="s">
        <v>420</v>
      </c>
      <c r="F3" s="17" t="s">
        <v>421</v>
      </c>
      <c r="I3" s="17" t="s">
        <v>422</v>
      </c>
      <c r="K3" s="17" t="s">
        <v>6</v>
      </c>
      <c r="M3" s="604" t="str">
        <f>[1]!Table1[[#This Row],[Supplier]]</f>
        <v>Accuenergy</v>
      </c>
    </row>
    <row r="4" spans="3:13">
      <c r="C4" s="15">
        <v>46115</v>
      </c>
      <c r="D4" s="9" t="s">
        <v>423</v>
      </c>
      <c r="F4" s="17" t="s">
        <v>424</v>
      </c>
      <c r="I4" s="17" t="s">
        <v>135</v>
      </c>
      <c r="K4" s="17" t="s">
        <v>425</v>
      </c>
      <c r="M4" s="604" t="str">
        <f>[1]!Table1[[#This Row],[Supplier]]</f>
        <v>ACES Africa</v>
      </c>
    </row>
    <row r="5" spans="3:13">
      <c r="C5" s="15">
        <v>46118</v>
      </c>
      <c r="D5" s="9" t="s">
        <v>426</v>
      </c>
      <c r="F5" s="17" t="s">
        <v>427</v>
      </c>
      <c r="I5" s="17" t="s">
        <v>428</v>
      </c>
      <c r="K5" s="17" t="s">
        <v>429</v>
      </c>
      <c r="M5" s="604" t="str">
        <f>[1]!Table1[[#This Row],[Supplier]]</f>
        <v>Active Rope, ATS Africa</v>
      </c>
    </row>
    <row r="6" spans="3:13" ht="12.95" thickBot="1">
      <c r="C6" s="15">
        <v>46139</v>
      </c>
      <c r="D6" s="9" t="s">
        <v>430</v>
      </c>
      <c r="F6" s="18" t="s">
        <v>431</v>
      </c>
      <c r="I6" s="17" t="s">
        <v>432</v>
      </c>
      <c r="K6" s="17" t="s">
        <v>433</v>
      </c>
      <c r="M6" s="604" t="str">
        <f>[1]!Table1[[#This Row],[Supplier]]</f>
        <v>ADHOC Architectural Documentation</v>
      </c>
    </row>
    <row r="7" spans="3:13">
      <c r="C7" s="15">
        <v>46143</v>
      </c>
      <c r="D7" s="9" t="s">
        <v>434</v>
      </c>
      <c r="I7" s="17" t="s">
        <v>435</v>
      </c>
      <c r="K7" s="17" t="s">
        <v>132</v>
      </c>
      <c r="M7" s="604" t="str">
        <f>[1]!Table1[[#This Row],[Supplier]]</f>
        <v>Alifab Aluminium Fabricators</v>
      </c>
    </row>
    <row r="8" spans="3:13">
      <c r="C8" s="15">
        <v>46189</v>
      </c>
      <c r="D8" s="9" t="s">
        <v>436</v>
      </c>
      <c r="I8" s="17" t="s">
        <v>245</v>
      </c>
      <c r="K8" s="17" t="s">
        <v>437</v>
      </c>
      <c r="M8" s="604" t="str">
        <f>[1]!Table1[[#This Row],[Supplier]]</f>
        <v>Apex Inverters</v>
      </c>
    </row>
    <row r="9" spans="3:13">
      <c r="C9" s="15">
        <v>46243</v>
      </c>
      <c r="D9" s="9" t="s">
        <v>438</v>
      </c>
      <c r="I9" s="17" t="s">
        <v>439</v>
      </c>
      <c r="K9" s="17" t="s">
        <v>440</v>
      </c>
      <c r="M9" s="604" t="str">
        <f>[1]!Table1[[#This Row],[Supplier]]</f>
        <v>Ascend Rope Access</v>
      </c>
    </row>
    <row r="10" spans="3:13">
      <c r="C10" s="15">
        <v>46244</v>
      </c>
      <c r="D10" s="9" t="s">
        <v>441</v>
      </c>
      <c r="I10" s="17" t="s">
        <v>442</v>
      </c>
      <c r="K10" s="17" t="s">
        <v>121</v>
      </c>
      <c r="M10" s="604" t="str">
        <f>[1]!Table1[[#This Row],[Supplier]]</f>
        <v>Barrier Projects</v>
      </c>
    </row>
    <row r="11" spans="3:13">
      <c r="C11" s="15">
        <v>46289</v>
      </c>
      <c r="D11" s="9" t="s">
        <v>443</v>
      </c>
      <c r="I11" s="17" t="s">
        <v>444</v>
      </c>
      <c r="K11" s="17" t="s">
        <v>445</v>
      </c>
      <c r="M11" s="604" t="str">
        <f>[1]!Table1[[#This Row],[Supplier]]</f>
        <v>BDL Solar Solutions</v>
      </c>
    </row>
    <row r="12" spans="3:13" ht="12.95" thickBot="1">
      <c r="C12" s="15">
        <v>46372</v>
      </c>
      <c r="D12" s="9" t="s">
        <v>446</v>
      </c>
      <c r="I12" s="18" t="s">
        <v>447</v>
      </c>
      <c r="K12" s="18"/>
      <c r="M12" s="604" t="str">
        <f>[1]!Table1[[#This Row],[Supplier]]</f>
        <v>Bolt &amp; Nut Centre</v>
      </c>
    </row>
    <row r="13" spans="3:13">
      <c r="C13" s="15">
        <v>46381</v>
      </c>
      <c r="D13" s="9" t="s">
        <v>448</v>
      </c>
      <c r="F13" s="20"/>
      <c r="H13" s="9" t="s">
        <v>449</v>
      </c>
      <c r="M13" s="604" t="str">
        <f>[1]!Table1[[#This Row],[Supplier]]</f>
        <v>Brice &amp; Co.</v>
      </c>
    </row>
    <row r="14" spans="3:13">
      <c r="C14" s="15">
        <v>46382</v>
      </c>
      <c r="D14" s="9" t="s">
        <v>450</v>
      </c>
      <c r="M14" s="604" t="str">
        <f>[1]!Table1[[#This Row],[Supplier]]</f>
        <v>Bundu Power</v>
      </c>
    </row>
    <row r="15" spans="3:13">
      <c r="C15" s="15">
        <v>46370</v>
      </c>
      <c r="D15" s="9" t="s">
        <v>451</v>
      </c>
      <c r="M15" s="604" t="str">
        <f>[1]!Table1[[#This Row],[Supplier]]</f>
        <v>Caracal Engineering</v>
      </c>
    </row>
    <row r="16" spans="3:13">
      <c r="C16" s="15">
        <v>46371</v>
      </c>
      <c r="D16" s="9" t="s">
        <v>451</v>
      </c>
      <c r="M16" s="604" t="str">
        <f>[1]!Table1[[#This Row],[Supplier]]</f>
        <v>Cosmic Sun</v>
      </c>
    </row>
    <row r="17" spans="3:13">
      <c r="C17" s="15">
        <v>46373</v>
      </c>
      <c r="D17" s="9" t="s">
        <v>451</v>
      </c>
      <c r="M17" s="604" t="str">
        <f>[1]!Table1[[#This Row],[Supplier]]</f>
        <v>De Kock &amp; Cronje MV Switchgear</v>
      </c>
    </row>
    <row r="18" spans="3:13">
      <c r="C18" s="15">
        <v>46374</v>
      </c>
      <c r="D18" s="9" t="s">
        <v>451</v>
      </c>
      <c r="M18" s="604" t="str">
        <f>[1]!Table1[[#This Row],[Supplier]]</f>
        <v>Dock-Land Suppliers</v>
      </c>
    </row>
    <row r="19" spans="3:13">
      <c r="C19" s="15">
        <v>46375</v>
      </c>
      <c r="D19" s="9" t="s">
        <v>451</v>
      </c>
      <c r="M19" s="604" t="str">
        <f>[1]!Table1[[#This Row],[Supplier]]</f>
        <v>E&amp;M Plant and Transport</v>
      </c>
    </row>
    <row r="20" spans="3:13">
      <c r="C20" s="15">
        <v>46376</v>
      </c>
      <c r="D20" s="9" t="s">
        <v>451</v>
      </c>
      <c r="M20" s="604" t="str">
        <f>[1]!Table1[[#This Row],[Supplier]]</f>
        <v>Eastern Switchgear</v>
      </c>
    </row>
    <row r="21" spans="3:13">
      <c r="C21" s="15">
        <v>46377</v>
      </c>
      <c r="D21" s="9" t="s">
        <v>451</v>
      </c>
      <c r="M21" s="604" t="str">
        <f>[1]!Table1[[#This Row],[Supplier]]</f>
        <v>ELUM Energy</v>
      </c>
    </row>
    <row r="22" spans="3:13">
      <c r="C22" s="15">
        <v>46378</v>
      </c>
      <c r="D22" s="9" t="s">
        <v>451</v>
      </c>
      <c r="M22" s="604" t="str">
        <f>[1]!Table1[[#This Row],[Supplier]]</f>
        <v>Emerce Africa</v>
      </c>
    </row>
    <row r="23" spans="3:13">
      <c r="C23" s="15">
        <v>46379</v>
      </c>
      <c r="D23" s="9" t="s">
        <v>451</v>
      </c>
      <c r="M23" s="604" t="str">
        <f>[1]!Table1[[#This Row],[Supplier]]</f>
        <v>Frontline Electrical</v>
      </c>
    </row>
    <row r="24" spans="3:13">
      <c r="C24" s="15">
        <v>46380</v>
      </c>
      <c r="D24" s="9" t="s">
        <v>451</v>
      </c>
      <c r="M24" s="604" t="str">
        <f>[1]!Table1[[#This Row],[Supplier]]</f>
        <v>Grunlite Energy</v>
      </c>
    </row>
    <row r="25" spans="3:13">
      <c r="C25" s="15">
        <v>46383</v>
      </c>
      <c r="D25" s="9" t="s">
        <v>451</v>
      </c>
      <c r="M25" s="604" t="str">
        <f>[1]!Table1[[#This Row],[Supplier]]</f>
        <v>Happy Solar</v>
      </c>
    </row>
    <row r="26" spans="3:13">
      <c r="C26" s="15">
        <v>46384</v>
      </c>
      <c r="D26" s="9" t="s">
        <v>451</v>
      </c>
      <c r="M26" s="604" t="str">
        <f>[1]!Table1[[#This Row],[Supplier]]</f>
        <v>Herholdts</v>
      </c>
    </row>
    <row r="27" spans="3:13">
      <c r="C27" s="15">
        <v>46385</v>
      </c>
      <c r="D27" s="9" t="s">
        <v>451</v>
      </c>
      <c r="M27" s="604" t="str">
        <f>[1]!Table1[[#This Row],[Supplier]]</f>
        <v>Higeco</v>
      </c>
    </row>
    <row r="28" spans="3:13">
      <c r="C28" s="15">
        <v>46386</v>
      </c>
      <c r="D28" s="9" t="s">
        <v>451</v>
      </c>
      <c r="M28" s="604" t="str">
        <f>[1]!Table1[[#This Row],[Supplier]]</f>
        <v>HiSafe (Pty) Ltd</v>
      </c>
    </row>
    <row r="29" spans="3:13">
      <c r="C29" s="15">
        <v>46387</v>
      </c>
      <c r="D29" s="9" t="s">
        <v>451</v>
      </c>
      <c r="M29" s="604" t="str">
        <f>[1]!Table1[[#This Row],[Supplier]]</f>
        <v>Infantry Security Solutions (Pty) Ltd</v>
      </c>
    </row>
    <row r="30" spans="3:13">
      <c r="C30" s="15">
        <v>46388</v>
      </c>
      <c r="D30" s="9" t="s">
        <v>451</v>
      </c>
      <c r="M30" s="604" t="str">
        <f>[1]!Table1[[#This Row],[Supplier]]</f>
        <v>Intellicomms</v>
      </c>
    </row>
    <row r="31" spans="3:13">
      <c r="C31" s="15">
        <v>46389</v>
      </c>
      <c r="D31" s="9" t="s">
        <v>451</v>
      </c>
      <c r="M31" s="604" t="str">
        <f>[1]!Table1[[#This Row],[Supplier]]</f>
        <v>JA Electrical</v>
      </c>
    </row>
    <row r="32" spans="3:13">
      <c r="C32" s="15">
        <v>46390</v>
      </c>
      <c r="D32" s="9" t="s">
        <v>451</v>
      </c>
      <c r="M32" s="604" t="str">
        <f>[1]!Table1[[#This Row],[Supplier]]</f>
        <v>Jinko</v>
      </c>
    </row>
    <row r="33" spans="3:13">
      <c r="C33" s="15">
        <v>46391</v>
      </c>
      <c r="D33" s="9" t="s">
        <v>451</v>
      </c>
      <c r="M33" s="604" t="str">
        <f>[1]!Table1[[#This Row],[Supplier]]</f>
        <v>Kathea</v>
      </c>
    </row>
    <row r="34" spans="3:13">
      <c r="C34" s="15">
        <v>46392</v>
      </c>
      <c r="D34" s="9" t="s">
        <v>451</v>
      </c>
      <c r="M34" s="604" t="str">
        <f>[1]!Table1[[#This Row],[Supplier]]</f>
        <v>Krannich Solar Energy</v>
      </c>
    </row>
    <row r="35" spans="3:13">
      <c r="C35" s="15">
        <v>46393</v>
      </c>
      <c r="D35" s="9" t="s">
        <v>451</v>
      </c>
      <c r="M35" s="604" t="str">
        <f>[1]!Table1[[#This Row],[Supplier]]</f>
        <v>L&amp;B Consulting Engineering</v>
      </c>
    </row>
    <row r="36" spans="3:13">
      <c r="C36" s="15">
        <v>46394</v>
      </c>
      <c r="D36" s="9" t="s">
        <v>451</v>
      </c>
      <c r="M36" s="604" t="str">
        <f>[1]!Table1[[#This Row],[Supplier]]</f>
        <v>Leading Edge Energy</v>
      </c>
    </row>
    <row r="37" spans="3:13">
      <c r="C37" s="15">
        <v>46395</v>
      </c>
      <c r="D37" s="9" t="s">
        <v>451</v>
      </c>
      <c r="M37" s="604" t="str">
        <f>[1]!Table1[[#This Row],[Supplier]]</f>
        <v>Letaba Logistics</v>
      </c>
    </row>
    <row r="38" spans="3:13">
      <c r="C38" s="15">
        <v>46396</v>
      </c>
      <c r="D38" s="9" t="s">
        <v>451</v>
      </c>
      <c r="M38" s="604" t="str">
        <f>[1]!Table1[[#This Row],[Supplier]]</f>
        <v>Lintels for Africa</v>
      </c>
    </row>
    <row r="39" spans="3:13">
      <c r="C39" s="15">
        <v>46397</v>
      </c>
      <c r="D39" s="9" t="s">
        <v>451</v>
      </c>
      <c r="M39" s="604" t="str">
        <f>[1]!Table1[[#This Row],[Supplier]]</f>
        <v>LMS Electrical</v>
      </c>
    </row>
    <row r="40" spans="3:13">
      <c r="C40" s="15">
        <v>46398</v>
      </c>
      <c r="D40" s="9" t="s">
        <v>451</v>
      </c>
      <c r="M40" s="604" t="str">
        <f>[1]!Table1[[#This Row],[Supplier]]</f>
        <v>Luken Solar</v>
      </c>
    </row>
    <row r="41" spans="3:13">
      <c r="C41" s="15">
        <v>46399</v>
      </c>
      <c r="D41" s="9" t="s">
        <v>451</v>
      </c>
      <c r="M41" s="604" t="str">
        <f>[1]!Table1[[#This Row],[Supplier]]</f>
        <v>Lumax Energy</v>
      </c>
    </row>
    <row r="42" spans="3:13">
      <c r="C42" s="15">
        <v>46400</v>
      </c>
      <c r="D42" s="9" t="s">
        <v>451</v>
      </c>
      <c r="M42" s="604" t="str">
        <f>[1]!Table1[[#This Row],[Supplier]]</f>
        <v xml:space="preserve">Matthews Group </v>
      </c>
    </row>
    <row r="43" spans="3:13">
      <c r="C43" s="15">
        <v>46401</v>
      </c>
      <c r="D43" s="9" t="s">
        <v>451</v>
      </c>
      <c r="M43" s="604" t="str">
        <f>[1]!Table1[[#This Row],[Supplier]]</f>
        <v>Mkholo's Projects</v>
      </c>
    </row>
    <row r="44" spans="3:13">
      <c r="C44" s="15">
        <v>46402</v>
      </c>
      <c r="D44" s="9" t="s">
        <v>451</v>
      </c>
      <c r="M44" s="604" t="str">
        <f>[1]!Table1[[#This Row],[Supplier]]</f>
        <v>Modern Eco Energy</v>
      </c>
    </row>
    <row r="45" spans="3:13">
      <c r="C45" s="15"/>
      <c r="M45" s="604" t="str">
        <f>[1]!Table1[[#This Row],[Supplier]]</f>
        <v>MSA</v>
      </c>
    </row>
    <row r="46" spans="3:13">
      <c r="C46" s="15"/>
      <c r="M46" s="604" t="str">
        <f>[1]!Table1[[#This Row],[Supplier]]</f>
        <v>New Way</v>
      </c>
    </row>
    <row r="47" spans="3:13">
      <c r="C47" s="15"/>
      <c r="M47" s="604" t="str">
        <f>[1]!Table1[[#This Row],[Supplier]]</f>
        <v>NOSA</v>
      </c>
    </row>
    <row r="48" spans="3:13">
      <c r="C48" s="15"/>
      <c r="M48" s="604" t="str">
        <f>[1]!Table1[[#This Row],[Supplier]]</f>
        <v>OKHUSELEKO Consulting</v>
      </c>
    </row>
    <row r="49" spans="3:13">
      <c r="C49" s="15"/>
      <c r="M49" s="604" t="str">
        <f>[1]!Table1[[#This Row],[Supplier]]</f>
        <v>OKUSHA Engineering CC</v>
      </c>
    </row>
    <row r="50" spans="3:13">
      <c r="C50" s="15"/>
      <c r="M50" s="604" t="str">
        <f>[1]!Table1[[#This Row],[Supplier]]</f>
        <v>Otto Wireless</v>
      </c>
    </row>
    <row r="51" spans="3:13">
      <c r="C51" s="15"/>
      <c r="M51" s="604" t="str">
        <f>[1]!Table1[[#This Row],[Supplier]]</f>
        <v>Plumbryt Service</v>
      </c>
    </row>
    <row r="52" spans="3:13">
      <c r="C52" s="15"/>
      <c r="M52" s="604" t="str">
        <f>[1]!Table1[[#This Row],[Supplier]]</f>
        <v>Powewize</v>
      </c>
    </row>
    <row r="53" spans="3:13">
      <c r="C53" s="15"/>
      <c r="M53" s="604" t="str">
        <f>[1]!Table1[[#This Row],[Supplier]]</f>
        <v>RayTech Solar Solutions</v>
      </c>
    </row>
    <row r="54" spans="3:13">
      <c r="C54" s="15"/>
      <c r="M54" s="604" t="str">
        <f>[1]!Table1[[#This Row],[Supplier]]</f>
        <v>Rubicon</v>
      </c>
    </row>
    <row r="55" spans="3:13">
      <c r="C55" s="15"/>
      <c r="M55" s="604" t="str">
        <f>[1]!Table1[[#This Row],[Supplier]]</f>
        <v>Sales Hire Ablutions</v>
      </c>
    </row>
    <row r="56" spans="3:13">
      <c r="C56" s="15"/>
      <c r="M56" s="604" t="str">
        <f>[1]!Table1[[#This Row],[Supplier]]</f>
        <v>Schletter Solar</v>
      </c>
    </row>
    <row r="57" spans="3:13">
      <c r="C57" s="15"/>
      <c r="M57" s="604" t="str">
        <f>[1]!Table1[[#This Row],[Supplier]]</f>
        <v>Security Fencing and Alarms CC</v>
      </c>
    </row>
    <row r="58" spans="3:13">
      <c r="C58" s="15"/>
      <c r="M58" s="604" t="str">
        <f>[1]!Table1[[#This Row],[Supplier]]</f>
        <v>Segen Solar</v>
      </c>
    </row>
    <row r="59" spans="3:13">
      <c r="C59" s="15"/>
      <c r="M59" s="604" t="str">
        <f>[1]!Table1[[#This Row],[Supplier]]</f>
        <v>SIAAC South Africa (Pty) Ltd</v>
      </c>
    </row>
    <row r="60" spans="3:13" ht="12.95" thickBot="1">
      <c r="C60" s="16"/>
      <c r="M60" s="604" t="str">
        <f>[1]!Table1[[#This Row],[Supplier]]</f>
        <v>Solar Europe</v>
      </c>
    </row>
    <row r="61" spans="3:13">
      <c r="M61" s="604" t="str">
        <f>[1]!Table1[[#This Row],[Supplier]]</f>
        <v>Supply Chain Optimisers</v>
      </c>
    </row>
    <row r="62" spans="3:13">
      <c r="M62" s="604" t="str">
        <f>[1]!Table1[[#This Row],[Supplier]]</f>
        <v>Swart Security</v>
      </c>
    </row>
    <row r="63" spans="3:13">
      <c r="M63" s="604" t="str">
        <f>[1]!Table1[[#This Row],[Supplier]]</f>
        <v>Switchboard Group</v>
      </c>
    </row>
    <row r="64" spans="3:13">
      <c r="M64" s="604" t="str">
        <f>[1]!Table1[[#This Row],[Supplier]]</f>
        <v>The Aircon Specialist</v>
      </c>
    </row>
    <row r="65" spans="13:13">
      <c r="M65" s="604" t="str">
        <f>[1]!Table1[[#This Row],[Supplier]]</f>
        <v>The Engineering Hub</v>
      </c>
    </row>
    <row r="66" spans="13:13">
      <c r="M66" s="604" t="str">
        <f>[1]!Table1[[#This Row],[Supplier]]</f>
        <v>Thula Moya</v>
      </c>
    </row>
    <row r="67" spans="13:13">
      <c r="M67" s="604" t="str">
        <f>[1]!Table1[[#This Row],[Supplier]]</f>
        <v>TISOL Engineering</v>
      </c>
    </row>
    <row r="68" spans="13:13">
      <c r="M68" s="604" t="str">
        <f>[1]!Table1[[#This Row],[Supplier]]</f>
        <v>Uccio Projects</v>
      </c>
    </row>
    <row r="69" spans="13:13">
      <c r="M69" s="604" t="str">
        <f>[1]!Table1[[#This Row],[Supplier]]</f>
        <v>Voltex</v>
      </c>
    </row>
    <row r="70" spans="13:13">
      <c r="M70" s="604" t="str">
        <f>[1]!Table1[[#This Row],[Supplier]]</f>
        <v>ABB Switchgear</v>
      </c>
    </row>
    <row r="71" spans="13:13">
      <c r="M71" s="604" t="str">
        <f>[1]!Table1[[#This Row],[Supplier]]</f>
        <v>Fuducia Construction</v>
      </c>
    </row>
    <row r="72" spans="13:13">
      <c r="M72" s="604" t="str">
        <f>[1]!Table1[[#This Row],[Supplier]]</f>
        <v>Logivest</v>
      </c>
    </row>
    <row r="73" spans="13:13">
      <c r="M73" s="604" t="e">
        <f>[1]!Table1[[#This Row],[Supplier]]</f>
        <v>#VALUE!</v>
      </c>
    </row>
    <row r="74" spans="13:13">
      <c r="M74" s="604" t="e">
        <f>[1]!Table1[[#This Row],[Supplier]]</f>
        <v>#VALUE!</v>
      </c>
    </row>
    <row r="75" spans="13:13">
      <c r="M75" s="604" t="e">
        <f>[1]!Table1[[#This Row],[Supplier]]</f>
        <v>#VALUE!</v>
      </c>
    </row>
    <row r="76" spans="13:13">
      <c r="M76" s="604" t="e">
        <f>[1]!Table1[[#This Row],[Supplier]]</f>
        <v>#VALUE!</v>
      </c>
    </row>
    <row r="77" spans="13:13">
      <c r="M77" s="604" t="e">
        <f>[1]!Table1[[#This Row],[Supplier]]</f>
        <v>#VALUE!</v>
      </c>
    </row>
    <row r="78" spans="13:13">
      <c r="M78" s="604" t="e">
        <f>[1]!Table1[[#This Row],[Supplier]]</f>
        <v>#VALUE!</v>
      </c>
    </row>
    <row r="79" spans="13:13">
      <c r="M79" s="604" t="e">
        <f>[1]!Table1[[#This Row],[Supplier]]</f>
        <v>#VALUE!</v>
      </c>
    </row>
    <row r="80" spans="13:13">
      <c r="M80" s="604" t="e">
        <f>[1]!Table1[[#This Row],[Supplier]]</f>
        <v>#VALUE!</v>
      </c>
    </row>
    <row r="81" spans="13:13">
      <c r="M81" s="604" t="e">
        <f>[1]!Table1[[#This Row],[Supplier]]</f>
        <v>#VALUE!</v>
      </c>
    </row>
    <row r="82" spans="13:13">
      <c r="M82" s="604" t="e">
        <f>[1]!Table1[[#This Row],[Supplier]]</f>
        <v>#VALUE!</v>
      </c>
    </row>
    <row r="83" spans="13:13">
      <c r="M83" s="604" t="e">
        <f>[1]!Table1[[#This Row],[Supplier]]</f>
        <v>#VALUE!</v>
      </c>
    </row>
    <row r="84" spans="13:13">
      <c r="M84" s="604" t="e">
        <f>[1]!Table1[[#This Row],[Supplier]]</f>
        <v>#VALUE!</v>
      </c>
    </row>
    <row r="85" spans="13:13">
      <c r="M85" s="604" t="e">
        <f>[1]!Table1[[#This Row],[Supplier]]</f>
        <v>#VALUE!</v>
      </c>
    </row>
    <row r="86" spans="13:13">
      <c r="M86" s="604" t="e">
        <f>[1]!Table1[[#This Row],[Supplier]]</f>
        <v>#VALUE!</v>
      </c>
    </row>
    <row r="87" spans="13:13">
      <c r="M87" s="604" t="e">
        <f>[1]!Table1[[#This Row],[Supplier]]</f>
        <v>#VALUE!</v>
      </c>
    </row>
    <row r="88" spans="13:13">
      <c r="M88" s="604" t="e">
        <f>[1]!Table1[[#This Row],[Supplier]]</f>
        <v>#VALUE!</v>
      </c>
    </row>
    <row r="89" spans="13:13">
      <c r="M89" s="604" t="e">
        <f>[1]!Table1[[#This Row],[Supplier]]</f>
        <v>#VALUE!</v>
      </c>
    </row>
    <row r="90" spans="13:13">
      <c r="M90" s="604" t="e">
        <f>[1]!Table1[[#This Row],[Supplier]]</f>
        <v>#VALUE!</v>
      </c>
    </row>
    <row r="91" spans="13:13">
      <c r="M91" s="604" t="e">
        <f>[1]!Table1[[#This Row],[Supplier]]</f>
        <v>#VALUE!</v>
      </c>
    </row>
    <row r="92" spans="13:13">
      <c r="M92" s="604" t="e">
        <f>[1]!Table1[[#This Row],[Supplier]]</f>
        <v>#VALUE!</v>
      </c>
    </row>
    <row r="93" spans="13:13">
      <c r="M93" s="604" t="e">
        <f>[1]!Table1[[#This Row],[Supplier]]</f>
        <v>#VALUE!</v>
      </c>
    </row>
    <row r="94" spans="13:13">
      <c r="M94" s="604" t="e">
        <f>[1]!Table1[[#This Row],[Supplier]]</f>
        <v>#VALUE!</v>
      </c>
    </row>
    <row r="95" spans="13:13">
      <c r="M95" s="604" t="e">
        <f>[1]!Table1[[#This Row],[Supplier]]</f>
        <v>#VALUE!</v>
      </c>
    </row>
    <row r="96" spans="13:13">
      <c r="M96" s="604" t="e">
        <f>[1]!Table1[[#This Row],[Supplier]]</f>
        <v>#VALUE!</v>
      </c>
    </row>
    <row r="97" spans="13:13">
      <c r="M97" s="604" t="e">
        <f>[1]!Table1[[#This Row],[Supplier]]</f>
        <v>#VALUE!</v>
      </c>
    </row>
    <row r="98" spans="13:13">
      <c r="M98" s="604" t="e">
        <f>[1]!Table1[[#This Row],[Supplier]]</f>
        <v>#VALUE!</v>
      </c>
    </row>
    <row r="99" spans="13:13">
      <c r="M99" s="604" t="e">
        <f>[1]!Table1[[#This Row],[Supplier]]</f>
        <v>#VALUE!</v>
      </c>
    </row>
    <row r="100" spans="13:13">
      <c r="M100" s="604" t="e">
        <f>[1]!Table1[[#This Row],[Supplier]]</f>
        <v>#VALUE!</v>
      </c>
    </row>
    <row r="101" spans="13:13">
      <c r="M101" s="604" t="e">
        <f>[1]!Table1[[#This Row],[Supplier]]</f>
        <v>#VALUE!</v>
      </c>
    </row>
    <row r="102" spans="13:13">
      <c r="M102" s="604" t="e">
        <f>[1]!Table1[[#This Row],[Supplier]]</f>
        <v>#VALUE!</v>
      </c>
    </row>
    <row r="103" spans="13:13">
      <c r="M103" s="604" t="e">
        <f>[1]!Table1[[#This Row],[Supplier]]</f>
        <v>#VALUE!</v>
      </c>
    </row>
    <row r="104" spans="13:13">
      <c r="M104" s="604" t="e">
        <f>[1]!Table1[[#This Row],[Supplier]]</f>
        <v>#VALUE!</v>
      </c>
    </row>
    <row r="105" spans="13:13">
      <c r="M105" s="604" t="e">
        <f>[1]!Table1[[#This Row],[Supplier]]</f>
        <v>#VALUE!</v>
      </c>
    </row>
    <row r="106" spans="13:13">
      <c r="M106" s="604" t="e">
        <f>[1]!Table1[[#This Row],[Supplier]]</f>
        <v>#VALUE!</v>
      </c>
    </row>
    <row r="107" spans="13:13">
      <c r="M107" s="604" t="e">
        <f>[1]!Table1[[#This Row],[Supplier]]</f>
        <v>#VALUE!</v>
      </c>
    </row>
    <row r="108" spans="13:13">
      <c r="M108" s="604" t="e">
        <f>[1]!Table1[[#This Row],[Supplier]]</f>
        <v>#VALUE!</v>
      </c>
    </row>
    <row r="109" spans="13:13">
      <c r="M109" s="604" t="e">
        <f>[1]!Table1[[#This Row],[Supplier]]</f>
        <v>#VALUE!</v>
      </c>
    </row>
    <row r="110" spans="13:13">
      <c r="M110" s="604" t="e">
        <f>[1]!Table1[[#This Row],[Supplier]]</f>
        <v>#VALUE!</v>
      </c>
    </row>
    <row r="111" spans="13:13">
      <c r="M111" s="604" t="e">
        <f>[1]!Table1[[#This Row],[Supplier]]</f>
        <v>#VALUE!</v>
      </c>
    </row>
    <row r="112" spans="13:13">
      <c r="M112" s="604" t="e">
        <f>[1]!Table1[[#This Row],[Supplier]]</f>
        <v>#VALUE!</v>
      </c>
    </row>
    <row r="113" spans="13:13">
      <c r="M113" s="604" t="e">
        <f>[1]!Table1[[#This Row],[Supplier]]</f>
        <v>#VALUE!</v>
      </c>
    </row>
    <row r="114" spans="13:13">
      <c r="M114" s="604" t="e">
        <f>[1]!Table1[[#This Row],[Supplier]]</f>
        <v>#VALUE!</v>
      </c>
    </row>
    <row r="115" spans="13:13">
      <c r="M115" s="604" t="e">
        <f>[1]!Table1[[#This Row],[Supplier]]</f>
        <v>#VALUE!</v>
      </c>
    </row>
    <row r="116" spans="13:13">
      <c r="M116" s="604" t="e">
        <f>[1]!Table1[[#This Row],[Supplier]]</f>
        <v>#VALUE!</v>
      </c>
    </row>
    <row r="117" spans="13:13">
      <c r="M117" s="604" t="e">
        <f>[1]!Table1[[#This Row],[Supplier]]</f>
        <v>#VALUE!</v>
      </c>
    </row>
    <row r="118" spans="13:13">
      <c r="M118" s="604" t="e">
        <f>[1]!Table1[[#This Row],[Supplier]]</f>
        <v>#VALUE!</v>
      </c>
    </row>
    <row r="119" spans="13:13">
      <c r="M119" s="604" t="e">
        <f>[1]!Table1[[#This Row],[Supplier]]</f>
        <v>#VALUE!</v>
      </c>
    </row>
    <row r="120" spans="13:13">
      <c r="M120" s="604" t="e">
        <f>[1]!Table1[[#This Row],[Supplier]]</f>
        <v>#VALUE!</v>
      </c>
    </row>
    <row r="121" spans="13:13">
      <c r="M121" s="604" t="e">
        <f>[1]!Table1[[#This Row],[Supplier]]</f>
        <v>#VALUE!</v>
      </c>
    </row>
    <row r="122" spans="13:13">
      <c r="M122" s="604" t="e">
        <f>[1]!Table1[[#This Row],[Supplier]]</f>
        <v>#VALUE!</v>
      </c>
    </row>
    <row r="123" spans="13:13">
      <c r="M123" s="604" t="e">
        <f>[1]!Table1[[#This Row],[Supplier]]</f>
        <v>#VALUE!</v>
      </c>
    </row>
    <row r="124" spans="13:13">
      <c r="M124" s="604" t="e">
        <f>[1]!Table1[[#This Row],[Supplier]]</f>
        <v>#VALUE!</v>
      </c>
    </row>
    <row r="125" spans="13:13">
      <c r="M125" s="604" t="e">
        <f>[1]!Table1[[#This Row],[Supplier]]</f>
        <v>#VALUE!</v>
      </c>
    </row>
    <row r="126" spans="13:13">
      <c r="M126" s="604" t="e">
        <f>[1]!Table1[[#This Row],[Supplier]]</f>
        <v>#VALUE!</v>
      </c>
    </row>
    <row r="127" spans="13:13">
      <c r="M127" s="604" t="e">
        <f>[1]!Table1[[#This Row],[Supplier]]</f>
        <v>#VALUE!</v>
      </c>
    </row>
    <row r="128" spans="13:13">
      <c r="M128" s="604" t="e">
        <f>[1]!Table1[[#This Row],[Supplier]]</f>
        <v>#VALUE!</v>
      </c>
    </row>
    <row r="129" spans="13:13">
      <c r="M129" s="604" t="e">
        <f>[1]!Table1[[#This Row],[Supplier]]</f>
        <v>#VALUE!</v>
      </c>
    </row>
    <row r="130" spans="13:13">
      <c r="M130" s="604" t="e">
        <f>[1]!Table1[[#This Row],[Supplier]]</f>
        <v>#VALUE!</v>
      </c>
    </row>
    <row r="131" spans="13:13">
      <c r="M131" s="604" t="e">
        <f>[1]!Table1[[#This Row],[Supplier]]</f>
        <v>#VALUE!</v>
      </c>
    </row>
    <row r="132" spans="13:13">
      <c r="M132" s="604" t="e">
        <f>[1]!Table1[[#This Row],[Supplier]]</f>
        <v>#VALUE!</v>
      </c>
    </row>
    <row r="133" spans="13:13">
      <c r="M133" s="604" t="e">
        <f>[1]!Table1[[#This Row],[Supplier]]</f>
        <v>#VALUE!</v>
      </c>
    </row>
    <row r="134" spans="13:13">
      <c r="M134" s="604" t="e">
        <f>[1]!Table1[[#This Row],[Supplier]]</f>
        <v>#VALUE!</v>
      </c>
    </row>
    <row r="135" spans="13:13">
      <c r="M135" s="604" t="e">
        <f>[1]!Table1[[#This Row],[Supplier]]</f>
        <v>#VALUE!</v>
      </c>
    </row>
    <row r="136" spans="13:13">
      <c r="M136" s="604" t="e">
        <f>[1]!Table1[[#This Row],[Supplier]]</f>
        <v>#VALUE!</v>
      </c>
    </row>
    <row r="137" spans="13:13">
      <c r="M137" s="604" t="e">
        <f>[1]!Table1[[#This Row],[Supplier]]</f>
        <v>#VALUE!</v>
      </c>
    </row>
    <row r="138" spans="13:13">
      <c r="M138" s="604" t="e">
        <f>[1]!Table1[[#This Row],[Supplier]]</f>
        <v>#VALUE!</v>
      </c>
    </row>
    <row r="139" spans="13:13">
      <c r="M139" s="604" t="e">
        <f>[1]!Table1[[#This Row],[Supplier]]</f>
        <v>#VALUE!</v>
      </c>
    </row>
    <row r="140" spans="13:13">
      <c r="M140" s="604" t="e">
        <f>[1]!Table1[[#This Row],[Supplier]]</f>
        <v>#VALUE!</v>
      </c>
    </row>
    <row r="141" spans="13:13">
      <c r="M141" s="604" t="e">
        <f>[1]!Table1[[#This Row],[Supplier]]</f>
        <v>#VALUE!</v>
      </c>
    </row>
    <row r="142" spans="13:13">
      <c r="M142" s="604" t="e">
        <f>[1]!Table1[[#This Row],[Supplier]]</f>
        <v>#VALUE!</v>
      </c>
    </row>
    <row r="143" spans="13:13">
      <c r="M143" s="604" t="e">
        <f>[1]!Table1[[#This Row],[Supplier]]</f>
        <v>#VALUE!</v>
      </c>
    </row>
    <row r="144" spans="13:13">
      <c r="M144" s="604" t="e">
        <f>[1]!Table1[[#This Row],[Supplier]]</f>
        <v>#VALUE!</v>
      </c>
    </row>
    <row r="145" spans="13:13">
      <c r="M145" s="604" t="e">
        <f>[1]!Table1[[#This Row],[Supplier]]</f>
        <v>#VALUE!</v>
      </c>
    </row>
    <row r="146" spans="13:13">
      <c r="M146" s="604" t="e">
        <f>[1]!Table1[[#This Row],[Supplier]]</f>
        <v>#VALUE!</v>
      </c>
    </row>
    <row r="147" spans="13:13">
      <c r="M147" s="604" t="e">
        <f>[1]!Table1[[#This Row],[Supplier]]</f>
        <v>#VALUE!</v>
      </c>
    </row>
    <row r="148" spans="13:13">
      <c r="M148" s="604" t="e">
        <f>[1]!Table1[[#This Row],[Supplier]]</f>
        <v>#VALUE!</v>
      </c>
    </row>
    <row r="149" spans="13:13">
      <c r="M149" s="604" t="e">
        <f>[1]!Table1[[#This Row],[Supplier]]</f>
        <v>#VALUE!</v>
      </c>
    </row>
    <row r="150" spans="13:13">
      <c r="M150" s="604" t="e">
        <f>[1]!Table1[[#This Row],[Supplier]]</f>
        <v>#VALUE!</v>
      </c>
    </row>
    <row r="151" spans="13:13">
      <c r="M151" s="604" t="e">
        <f>[1]!Table1[[#This Row],[Supplier]]</f>
        <v>#VALUE!</v>
      </c>
    </row>
    <row r="152" spans="13:13">
      <c r="M152" s="604" t="e">
        <f>[1]!Table1[[#This Row],[Supplier]]</f>
        <v>#VALUE!</v>
      </c>
    </row>
    <row r="153" spans="13:13">
      <c r="M153" s="604" t="e">
        <f>[1]!Table1[[#This Row],[Supplier]]</f>
        <v>#VALUE!</v>
      </c>
    </row>
    <row r="154" spans="13:13">
      <c r="M154" s="604" t="e">
        <f>[1]!Table1[[#This Row],[Supplier]]</f>
        <v>#VALUE!</v>
      </c>
    </row>
    <row r="155" spans="13:13">
      <c r="M155" s="604" t="e">
        <f>[1]!Table1[[#This Row],[Supplier]]</f>
        <v>#VALUE!</v>
      </c>
    </row>
    <row r="156" spans="13:13">
      <c r="M156" s="604" t="e">
        <f>[1]!Table1[[#This Row],[Supplier]]</f>
        <v>#VALUE!</v>
      </c>
    </row>
    <row r="157" spans="13:13">
      <c r="M157" s="604" t="e">
        <f>[1]!Table1[[#This Row],[Supplier]]</f>
        <v>#VALUE!</v>
      </c>
    </row>
    <row r="158" spans="13:13">
      <c r="M158" s="604" t="e">
        <f>[1]!Table1[[#This Row],[Supplier]]</f>
        <v>#VALUE!</v>
      </c>
    </row>
    <row r="159" spans="13:13">
      <c r="M159" s="604" t="e">
        <f>[1]!Table1[[#This Row],[Supplier]]</f>
        <v>#VALUE!</v>
      </c>
    </row>
    <row r="160" spans="13:13">
      <c r="M160" s="604" t="e">
        <f>[1]!Table1[[#This Row],[Supplier]]</f>
        <v>#VALUE!</v>
      </c>
    </row>
    <row r="161" spans="13:13">
      <c r="M161" s="604" t="e">
        <f>[1]!Table1[[#This Row],[Supplier]]</f>
        <v>#VALUE!</v>
      </c>
    </row>
    <row r="162" spans="13:13">
      <c r="M162" s="604" t="e">
        <f>[1]!Table1[[#This Row],[Supplier]]</f>
        <v>#VALUE!</v>
      </c>
    </row>
    <row r="163" spans="13:13">
      <c r="M163" s="604" t="e">
        <f>[1]!Table1[[#This Row],[Supplier]]</f>
        <v>#VALUE!</v>
      </c>
    </row>
    <row r="164" spans="13:13">
      <c r="M164" s="604" t="e">
        <f>[1]!Table1[[#This Row],[Supplier]]</f>
        <v>#VALUE!</v>
      </c>
    </row>
    <row r="165" spans="13:13">
      <c r="M165" s="604" t="e">
        <f>[1]!Table1[[#This Row],[Supplier]]</f>
        <v>#VALUE!</v>
      </c>
    </row>
    <row r="166" spans="13:13">
      <c r="M166" s="604" t="e">
        <f>[1]!Table1[[#This Row],[Supplier]]</f>
        <v>#VALUE!</v>
      </c>
    </row>
    <row r="167" spans="13:13">
      <c r="M167" s="604" t="e">
        <f>[1]!Table1[[#This Row],[Supplier]]</f>
        <v>#VALUE!</v>
      </c>
    </row>
    <row r="168" spans="13:13">
      <c r="M168" s="604" t="e">
        <f>[1]!Table1[[#This Row],[Supplier]]</f>
        <v>#VALUE!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b964f2b-203c-4425-a556-91316bb05fea">
      <Terms xmlns="http://schemas.microsoft.com/office/infopath/2007/PartnerControls"/>
    </lcf76f155ced4ddcb4097134ff3c332f>
    <TaxCatchAll xmlns="9acfecf2-4047-4d7b-9ec8-592b51a52bf7" xsi:nil="true"/>
    <SharedWithUsers xmlns="9acfecf2-4047-4d7b-9ec8-592b51a52bf7">
      <UserInfo>
        <DisplayName/>
        <AccountId xsi:nil="true"/>
        <AccountType/>
      </UserInfo>
    </SharedWithUsers>
    <MediaLengthInSeconds xmlns="ab964f2b-203c-4425-a556-91316bb05fe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01A7A2CB3848438BEF7C742AC9BBA4" ma:contentTypeVersion="16" ma:contentTypeDescription="Create a new document." ma:contentTypeScope="" ma:versionID="d63a6a98b3cb4d9ccbbcdb9082732f74">
  <xsd:schema xmlns:xsd="http://www.w3.org/2001/XMLSchema" xmlns:xs="http://www.w3.org/2001/XMLSchema" xmlns:p="http://schemas.microsoft.com/office/2006/metadata/properties" xmlns:ns2="ab964f2b-203c-4425-a556-91316bb05fea" xmlns:ns3="9acfecf2-4047-4d7b-9ec8-592b51a52bf7" targetNamespace="http://schemas.microsoft.com/office/2006/metadata/properties" ma:root="true" ma:fieldsID="91a399be7264fcd1f43398a584b8930d" ns2:_="" ns3:_="">
    <xsd:import namespace="ab964f2b-203c-4425-a556-91316bb05fea"/>
    <xsd:import namespace="9acfecf2-4047-4d7b-9ec8-592b51a52b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964f2b-203c-4425-a556-91316bb05f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5" nillable="true" ma:displayName="Location" ma:description="" ma:indexed="true" ma:internalName="MediaServiceLocatio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f597de54-f70c-44af-b8aa-2d36c772a4d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fecf2-4047-4d7b-9ec8-592b51a52bf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b5f8267b-561c-49f6-b75c-fd0ea9472e33}" ma:internalName="TaxCatchAll" ma:showField="CatchAllData" ma:web="9acfecf2-4047-4d7b-9ec8-592b51a52b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088B6EC-AA67-4846-869D-E07A6DA6BBC3}"/>
</file>

<file path=customXml/itemProps2.xml><?xml version="1.0" encoding="utf-8"?>
<ds:datastoreItem xmlns:ds="http://schemas.openxmlformats.org/officeDocument/2006/customXml" ds:itemID="{596D8D9F-A71B-48E1-9A82-1FF17E3012C0}"/>
</file>

<file path=customXml/itemProps3.xml><?xml version="1.0" encoding="utf-8"?>
<ds:datastoreItem xmlns:ds="http://schemas.openxmlformats.org/officeDocument/2006/customXml" ds:itemID="{9653AF06-D45D-4DB6-98D3-8538F5CCA2DD}"/>
</file>

<file path=docMetadata/LabelInfo.xml><?xml version="1.0" encoding="utf-8"?>
<clbl:labelList xmlns:clbl="http://schemas.microsoft.com/office/2020/mipLabelMetadata">
  <clbl:label id="{d6319480-d61b-4f33-adac-b7bc740c2fad}" enabled="0" method="" siteId="{d6319480-d61b-4f33-adac-b7bc740c2fa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Simon Muller</dc:creator>
  <cp:keywords/>
  <dc:description/>
  <cp:lastModifiedBy>Tasneema van Harte</cp:lastModifiedBy>
  <cp:revision/>
  <dcterms:created xsi:type="dcterms:W3CDTF">2020-08-09T08:25:30Z</dcterms:created>
  <dcterms:modified xsi:type="dcterms:W3CDTF">2026-03-03T06:41:32Z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0x0101006401A7A2CB3848438BEF7C742AC9BBA4</vt:lpwstr>
  </property>
  <property fmtid="{D5CDD505-2E9C-101B-9397-08002B2CF9AE}" pid="3" name="MediaServiceImageTags">
    <vt:lpwstr/>
  </property>
  <property fmtid="{D5CDD505-2E9C-101B-9397-08002B2CF9AE}" pid="4" name="Order">
    <vt:r8>125051900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