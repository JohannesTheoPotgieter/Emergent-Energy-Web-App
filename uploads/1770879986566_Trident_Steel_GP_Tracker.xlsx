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" documentId="13_ncr:1_{F975EBD5-B1CF-4608-BD43-94D2A8A5E877}" xr6:coauthVersionLast="47" xr6:coauthVersionMax="47" xr10:uidLastSave="{703AF6B4-8D99-4D24-A30C-8D559D2B2C15}"/>
  <bookViews>
    <workbookView xWindow="6705" yWindow="-16320" windowWidth="29040" windowHeight="15720" tabRatio="797" firstSheet="4" activeTab="4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22" r:id="rId17"/>
    <pivotCache cacheId="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" i="4" l="1"/>
  <c r="F27" i="5"/>
  <c r="F17" i="5"/>
  <c r="P26" i="5" l="1"/>
  <c r="L9" i="6" s="1"/>
  <c r="C4" i="16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D17" i="6" s="1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N16" i="3"/>
  <c r="L16" i="3"/>
  <c r="L12" i="3"/>
  <c r="F5" i="3"/>
  <c r="D5" i="5"/>
  <c r="N10" i="3"/>
  <c r="L10" i="3"/>
  <c r="V26" i="4"/>
  <c r="V14" i="4"/>
  <c r="U175" i="4"/>
  <c r="L1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17" i="6"/>
  <c r="N11" i="6"/>
  <c r="M17" i="6"/>
  <c r="F86" i="2"/>
  <c r="J76" i="2"/>
  <c r="S71" i="2"/>
  <c r="I88" i="2"/>
  <c r="P1" i="6"/>
  <c r="O11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17" i="6"/>
  <c r="U11" i="6"/>
  <c r="J6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17" i="6"/>
  <c r="AB11" i="6"/>
  <c r="AA11" i="6"/>
  <c r="AA17" i="6"/>
  <c r="Q6" i="6"/>
  <c r="AD1" i="6"/>
  <c r="AC17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11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17" i="6"/>
  <c r="AI11" i="6"/>
  <c r="AI5" i="6"/>
  <c r="X6" i="6"/>
  <c r="AK1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17" i="6"/>
  <c r="AL11" i="6"/>
  <c r="AL5" i="6"/>
  <c r="AA6" i="6"/>
  <c r="AN1" i="6"/>
  <c r="AM17" i="6"/>
  <c r="AM11" i="6"/>
  <c r="AB6" i="6"/>
  <c r="AO1" i="6"/>
  <c r="AN11" i="6"/>
  <c r="AM5" i="6"/>
  <c r="AC6" i="6"/>
  <c r="AN17" i="6"/>
  <c r="AP1" i="6"/>
  <c r="AO17" i="6"/>
  <c r="AN5" i="6"/>
  <c r="AD6" i="6"/>
  <c r="AO5" i="6"/>
  <c r="AQ1" i="6"/>
  <c r="AP11" i="6"/>
  <c r="AO11" i="6"/>
  <c r="AE6" i="6"/>
  <c r="AR1" i="6"/>
  <c r="AQ11" i="6"/>
  <c r="AQ17" i="6"/>
  <c r="AQ5" i="6"/>
  <c r="AP5" i="6"/>
  <c r="AP17" i="6"/>
  <c r="AF6" i="6"/>
  <c r="AS1" i="6"/>
  <c r="AR17" i="6"/>
  <c r="AR11" i="6"/>
  <c r="AR5" i="6"/>
  <c r="AG6" i="6"/>
  <c r="AT1" i="6"/>
  <c r="AS5" i="6"/>
  <c r="AH6" i="6"/>
  <c r="AU1" i="6"/>
  <c r="AS11" i="6"/>
  <c r="AS17" i="6"/>
  <c r="AI6" i="6"/>
  <c r="AT17" i="6"/>
  <c r="AT5" i="6"/>
  <c r="AT11" i="6"/>
  <c r="AV1" i="6"/>
  <c r="AU17" i="6"/>
  <c r="AU11" i="6"/>
  <c r="AJ6" i="6"/>
  <c r="AW1" i="6"/>
  <c r="AV17" i="6"/>
  <c r="AV11" i="6"/>
  <c r="AV5" i="6"/>
  <c r="AU5" i="6"/>
  <c r="AK6" i="6"/>
  <c r="AX1" i="6"/>
  <c r="AW17" i="6"/>
  <c r="AW11" i="6"/>
  <c r="AW5" i="6"/>
  <c r="AL6" i="6"/>
  <c r="AY1" i="6"/>
  <c r="AX17" i="6"/>
  <c r="AM6" i="6"/>
  <c r="AZ1" i="6"/>
  <c r="AY17" i="6"/>
  <c r="AY11" i="6"/>
  <c r="AY5" i="6"/>
  <c r="AX5" i="6"/>
  <c r="AX11" i="6"/>
  <c r="AN6" i="6"/>
  <c r="BA1" i="6"/>
  <c r="AZ17" i="6"/>
  <c r="AZ11" i="6"/>
  <c r="AZ5" i="6"/>
  <c r="AO6" i="6"/>
  <c r="BB1" i="6"/>
  <c r="BA17" i="6"/>
  <c r="BA11" i="6"/>
  <c r="BA5" i="6"/>
  <c r="AP6" i="6"/>
  <c r="BC1" i="6"/>
  <c r="AQ6" i="6"/>
  <c r="BD1" i="6"/>
  <c r="BC17" i="6"/>
  <c r="BB5" i="6"/>
  <c r="BB11" i="6"/>
  <c r="BB17" i="6"/>
  <c r="AR6" i="6"/>
  <c r="BC5" i="6"/>
  <c r="BC11" i="6"/>
  <c r="BE1" i="6"/>
  <c r="AS6" i="6"/>
  <c r="BD5" i="6"/>
  <c r="BD11" i="6"/>
  <c r="BD17" i="6"/>
  <c r="BF1" i="6"/>
  <c r="BE17" i="6"/>
  <c r="BE11" i="6"/>
  <c r="BE5" i="6"/>
  <c r="AT6" i="6"/>
  <c r="BG1" i="6"/>
  <c r="BF17" i="6"/>
  <c r="BF11" i="6"/>
  <c r="AU6" i="6"/>
  <c r="BH1" i="6"/>
  <c r="BG17" i="6"/>
  <c r="BG11" i="6"/>
  <c r="BG5" i="6"/>
  <c r="BF5" i="6"/>
  <c r="AV6" i="6"/>
  <c r="BI1" i="6"/>
  <c r="BH17" i="6"/>
  <c r="BH11" i="6"/>
  <c r="BH5" i="6"/>
  <c r="AW6" i="6"/>
  <c r="BJ1" i="6"/>
  <c r="BI17" i="6"/>
  <c r="BI11" i="6"/>
  <c r="BI5" i="6"/>
  <c r="AX6" i="6"/>
  <c r="BK1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A6" i="6"/>
  <c r="BN1" i="6"/>
  <c r="BM17" i="6"/>
  <c r="BB6" i="6"/>
  <c r="BM5" i="6"/>
  <c r="BO1" i="6"/>
  <c r="BN17" i="6"/>
  <c r="BM11" i="6"/>
  <c r="BC6" i="6"/>
  <c r="BP1" i="6"/>
  <c r="BO17" i="6"/>
  <c r="BO11" i="6"/>
  <c r="BO5" i="6"/>
  <c r="BN5" i="6"/>
  <c r="BN11" i="6"/>
  <c r="BD6" i="6"/>
  <c r="BQ1" i="6"/>
  <c r="BP17" i="6"/>
  <c r="BE6" i="6"/>
  <c r="BP5" i="6"/>
  <c r="BP11" i="6"/>
  <c r="BR1" i="6"/>
  <c r="BQ17" i="6"/>
  <c r="BQ11" i="6"/>
  <c r="BQ5" i="6"/>
  <c r="BF6" i="6"/>
  <c r="BS1" i="6"/>
  <c r="BR17" i="6"/>
  <c r="BR11" i="6"/>
  <c r="BR5" i="6"/>
  <c r="BG6" i="6"/>
  <c r="BT1" i="6"/>
  <c r="BS17" i="6"/>
  <c r="BH6" i="6"/>
  <c r="BU1" i="6"/>
  <c r="BT5" i="6"/>
  <c r="BT17" i="6"/>
  <c r="BT11" i="6"/>
  <c r="BS5" i="6"/>
  <c r="BS11" i="6"/>
  <c r="BI6" i="6"/>
  <c r="BV1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17" i="6"/>
  <c r="BX11" i="6"/>
  <c r="BM6" i="6"/>
  <c r="BZ1" i="6"/>
  <c r="BY17" i="6"/>
  <c r="BY11" i="6"/>
  <c r="BX5" i="6"/>
  <c r="BN6" i="6"/>
  <c r="BY5" i="6"/>
  <c r="CA1" i="6"/>
  <c r="BZ17" i="6"/>
  <c r="BZ5" i="6"/>
  <c r="BO6" i="6"/>
  <c r="BZ11" i="6"/>
  <c r="CB1" i="6"/>
  <c r="CA17" i="6"/>
  <c r="CA5" i="6"/>
  <c r="BP6" i="6"/>
  <c r="CA11" i="6"/>
  <c r="CC1" i="6"/>
  <c r="CB17" i="6"/>
  <c r="CB11" i="6"/>
  <c r="CB5" i="6"/>
  <c r="BQ6" i="6"/>
  <c r="CD1" i="6"/>
  <c r="CC17" i="6"/>
  <c r="BR6" i="6"/>
  <c r="CC5" i="6"/>
  <c r="CC11" i="6"/>
  <c r="CE1" i="6"/>
  <c r="CD17" i="6"/>
  <c r="CD11" i="6"/>
  <c r="CD5" i="6"/>
  <c r="BS6" i="6"/>
  <c r="CF1" i="6"/>
  <c r="CE17" i="6"/>
  <c r="CE11" i="6"/>
  <c r="BT6" i="6"/>
  <c r="CG1" i="6"/>
  <c r="CF17" i="6"/>
  <c r="CF11" i="6"/>
  <c r="CE5" i="6"/>
  <c r="BU6" i="6"/>
  <c r="CH1" i="6"/>
  <c r="CG17" i="6"/>
  <c r="CG11" i="6"/>
  <c r="CG5" i="6"/>
  <c r="CF5" i="6"/>
  <c r="BV6" i="6"/>
  <c r="CI1" i="6"/>
  <c r="CH11" i="6"/>
  <c r="CH17" i="6"/>
  <c r="BW6" i="6"/>
  <c r="CH5" i="6"/>
  <c r="CJ1" i="6"/>
  <c r="CI17" i="6"/>
  <c r="BX6" i="6"/>
  <c r="CK1" i="6"/>
  <c r="CJ17" i="6"/>
  <c r="CJ11" i="6"/>
  <c r="CJ5" i="6"/>
  <c r="CI5" i="6"/>
  <c r="CI11" i="6"/>
  <c r="BY6" i="6"/>
  <c r="CL1" i="6"/>
  <c r="CK17" i="6"/>
  <c r="CK11" i="6"/>
  <c r="CK5" i="6"/>
  <c r="BZ6" i="6"/>
  <c r="CM1" i="6"/>
  <c r="CL17" i="6"/>
  <c r="CL11" i="6"/>
  <c r="CL5" i="6"/>
  <c r="CA6" i="6"/>
  <c r="CN1" i="6"/>
  <c r="CM17" i="6"/>
  <c r="CM11" i="6"/>
  <c r="CM5" i="6"/>
  <c r="CB6" i="6"/>
  <c r="CO1" i="6"/>
  <c r="CN17" i="6"/>
  <c r="CC6" i="6"/>
  <c r="CP1" i="6"/>
  <c r="CO17" i="6"/>
  <c r="CO11" i="6"/>
  <c r="CN5" i="6"/>
  <c r="CN11" i="6"/>
  <c r="CD6" i="6"/>
  <c r="CP17" i="6"/>
  <c r="CP11" i="6"/>
  <c r="CP5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/>
  <c r="CO9" i="6" l="1"/>
  <c r="BF9" i="6"/>
  <c r="BJ9" i="6"/>
  <c r="AS9" i="6"/>
  <c r="AC9" i="6"/>
  <c r="BR9" i="6"/>
  <c r="AL9" i="6"/>
  <c r="AJ9" i="6"/>
  <c r="Y9" i="6"/>
  <c r="V9" i="6"/>
  <c r="BK9" i="6"/>
  <c r="BS9" i="6"/>
  <c r="BH9" i="6"/>
  <c r="AQ9" i="6"/>
  <c r="AA9" i="6"/>
  <c r="AN9" i="6"/>
  <c r="BI9" i="6"/>
  <c r="AX9" i="6"/>
  <c r="CA9" i="6"/>
  <c r="AH9" i="6"/>
  <c r="X9" i="6"/>
  <c r="J9" i="6"/>
  <c r="CM9" i="6"/>
  <c r="CE9" i="6"/>
  <c r="AT9" i="6"/>
  <c r="CP9" i="6"/>
  <c r="CF9" i="6"/>
  <c r="BG9" i="6"/>
  <c r="BD9" i="6"/>
  <c r="AY9" i="6"/>
  <c r="AD9" i="6"/>
  <c r="O9" i="6"/>
  <c r="U9" i="6"/>
  <c r="BQ9" i="6"/>
  <c r="BA9" i="6"/>
  <c r="S9" i="6"/>
  <c r="CJ9" i="6"/>
  <c r="AI9" i="6"/>
  <c r="AF9" i="6"/>
  <c r="F9" i="6"/>
  <c r="F10" i="6" s="1"/>
  <c r="BT9" i="6"/>
  <c r="BM9" i="6"/>
  <c r="BC9" i="6"/>
  <c r="Z9" i="6"/>
  <c r="CL9" i="6"/>
  <c r="CG9" i="6"/>
  <c r="CD9" i="6"/>
  <c r="BZ9" i="6"/>
  <c r="AO9" i="6"/>
  <c r="AG9" i="6"/>
  <c r="AB9" i="6"/>
  <c r="W9" i="6"/>
  <c r="P9" i="6"/>
  <c r="CH9" i="6"/>
  <c r="BN9" i="6"/>
  <c r="AU9" i="6"/>
  <c r="AM9" i="6"/>
  <c r="AE9" i="6"/>
  <c r="M9" i="6"/>
  <c r="G9" i="6"/>
  <c r="G10" i="6" s="1"/>
  <c r="BW9" i="6"/>
  <c r="BO9" i="6"/>
  <c r="AV9" i="6"/>
  <c r="AK9" i="6"/>
  <c r="H9" i="6"/>
  <c r="CI9" i="6"/>
  <c r="BP9" i="6"/>
  <c r="AZ9" i="6"/>
  <c r="AR9" i="6"/>
  <c r="I9" i="6"/>
  <c r="T9" i="6"/>
  <c r="BY9" i="6"/>
  <c r="CN9" i="6"/>
  <c r="BE9" i="6"/>
  <c r="BB9" i="6"/>
  <c r="R9" i="6"/>
  <c r="K9" i="6"/>
  <c r="CB9" i="6"/>
  <c r="BX9" i="6"/>
  <c r="BU9" i="6"/>
  <c r="BL9" i="6"/>
  <c r="CK9" i="6"/>
  <c r="CC9" i="6"/>
  <c r="AW9" i="6"/>
  <c r="AP9" i="6"/>
  <c r="Q9" i="6"/>
  <c r="N9" i="6"/>
  <c r="D11" i="6"/>
  <c r="C17" i="6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CP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BV3" i="6"/>
  <c r="F30" i="5"/>
  <c r="J5" i="3"/>
  <c r="L23" i="3"/>
  <c r="L5" i="3" s="1"/>
  <c r="N23" i="3"/>
  <c r="N5" i="3" s="1"/>
  <c r="F12" i="6"/>
  <c r="H10" i="6" l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D9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G4" i="6"/>
  <c r="H4" i="6" s="1"/>
  <c r="D3" i="6"/>
  <c r="F4" i="5"/>
  <c r="C9" i="6" s="1"/>
  <c r="F56" i="5"/>
  <c r="G7" i="6"/>
  <c r="F5" i="5"/>
  <c r="H25" i="3"/>
  <c r="F14" i="6"/>
  <c r="G12" i="6"/>
  <c r="J25" i="3"/>
  <c r="D18" i="6" l="1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F55" i="5" l="1"/>
  <c r="I7" i="6"/>
  <c r="J4" i="6"/>
  <c r="H14" i="6"/>
  <c r="I12" i="6"/>
  <c r="J7" i="6" l="1"/>
  <c r="K4" i="6"/>
  <c r="I14" i="6"/>
  <c r="J12" i="6"/>
  <c r="L4" i="6" l="1"/>
  <c r="K7" i="6"/>
  <c r="K12" i="6"/>
  <c r="J14" i="6"/>
  <c r="L7" i="6" l="1"/>
  <c r="M4" i="6"/>
  <c r="K14" i="6"/>
  <c r="L12" i="6"/>
  <c r="M7" i="6" l="1"/>
  <c r="N4" i="6"/>
  <c r="M12" i="6"/>
  <c r="L14" i="6"/>
  <c r="N7" i="6" l="1"/>
  <c r="O4" i="6"/>
  <c r="M14" i="6"/>
  <c r="N12" i="6"/>
  <c r="O7" i="6" l="1"/>
  <c r="P4" i="6"/>
  <c r="O12" i="6"/>
  <c r="N14" i="6"/>
  <c r="Q4" i="6" l="1"/>
  <c r="P7" i="6"/>
  <c r="O14" i="6"/>
  <c r="P12" i="6"/>
  <c r="Q7" i="6" l="1"/>
  <c r="R4" i="6"/>
  <c r="P14" i="6"/>
  <c r="Q12" i="6"/>
  <c r="S4" i="6" l="1"/>
  <c r="R7" i="6"/>
  <c r="R12" i="6"/>
  <c r="Q14" i="6"/>
  <c r="T4" i="6" l="1"/>
  <c r="S7" i="6"/>
  <c r="S12" i="6"/>
  <c r="R14" i="6"/>
  <c r="T7" i="6" l="1"/>
  <c r="U4" i="6"/>
  <c r="S14" i="6"/>
  <c r="T12" i="6"/>
  <c r="V4" i="6" l="1"/>
  <c r="U7" i="6"/>
  <c r="T14" i="6"/>
  <c r="U12" i="6"/>
  <c r="V7" i="6" l="1"/>
  <c r="W4" i="6"/>
  <c r="U14" i="6"/>
  <c r="V12" i="6"/>
  <c r="X4" i="6" l="1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N12" i="6"/>
  <c r="CM14" i="6"/>
  <c r="CO7" i="6" l="1"/>
  <c r="CP4" i="6"/>
  <c r="CP7" i="6" s="1"/>
  <c r="CO12" i="6"/>
  <c r="CN14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<sst xmlns="http://schemas.openxmlformats.org/spreadsheetml/2006/main" count="1100" uniqueCount="693">
  <si>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</si>
  <si>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</si>
  <si>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</si>
  <si>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</si>
  <si>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</si>
  <si>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</si>
  <si>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</si>
  <si>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</si>
  <si>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</si>
  <si>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</si>
  <si>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</si>
  <si>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</si>
  <si>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</si>
  <si>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</si>
  <si>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</si>
  <si>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</si>
  <si>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</si>
  <si>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</si>
  <si>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</si>
  <si>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</si>
  <si>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</si>
  <si>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</si>
  <si>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</si>
  <si>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</si>
  <si>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</si>
  <si>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</si>
  <si>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</si>
  <si>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</si>
  <si>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</si>
  <si>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</si>
  <si>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</si>
  <si>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</si>
  <si>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</si>
  <si>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</si>
  <si>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</si>
  <si>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</si>
  <si>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</si>
  <si>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</si>
  <si>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</si>
  <si>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</si>
  <si>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</si>
  <si>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</si>
  <si>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</si>
  <si>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</si>
  <si>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</si>
  <si>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</si>
  <si>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</si>
  <si>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</si>
  <si>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</si>
  <si>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</si>
  <si>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</si>
  <si>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</si>
  <si>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</si>
  <si>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</si>
  <si>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</si>
  <si>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</si>
  <si>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</si>
  <si>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</si>
  <si>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</si>
  <si>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</si>
  <si>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</si>
  <si>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</si>
  <si>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</si>
  <si>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</si>
  <si>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</si>
  <si>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</si>
  <si>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</si>
  <si>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</si>
  <si>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</si>
  <si>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</si>
  <si>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</si>
  <si>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</si>
  <si>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</si>
  <si>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</si>
  <si>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</si>
  <si>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</si>
  <si>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</si>
  <si>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</si>
  <si>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</si>
  <si>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</si>
  <si>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</si>
  <si>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</si>
  <si>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</si>
  <si>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</si>
  <si>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</si>
  <si>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</si>
  <si>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</si>
  <si>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</si>
  <si>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</si>
  <si>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</si>
  <si>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</si>
  <si>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</si>
  <si>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</si>
  <si>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</si>
  <si>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</si>
  <si>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</si>
  <si>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</si>
  <si>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</si>
  <si>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</si>
  <si>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</si>
  <si>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</si>
  <si>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</si>
  <si>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</si>
  <si>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What is required next? Johannes mentioned SSEG approval</t>
  </si>
  <si>
    <t>PROJECT DEVELOPER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</si>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</sst>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[$-1C09]dd\ mmmm\ yyyy;@"/>
    <numFmt numFmtId="173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167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0" borderId="38" xfId="3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0" fillId="2" borderId="0" xfId="3" applyFont="1" applyFill="1"/>
    <xf numFmtId="172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80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80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67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7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7" fontId="54" fillId="13" borderId="92" xfId="3" applyFont="1" applyFill="1" applyBorder="1" applyAlignment="1" applyProtection="1">
      <alignment horizontal="center"/>
      <protection locked="0"/>
    </xf>
    <xf numFmtId="167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7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8" fontId="5" fillId="0" borderId="17" xfId="0" applyNumberFormat="1" applyFont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68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70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7" fontId="6" fillId="13" borderId="78" xfId="3" applyFont="1" applyFill="1" applyBorder="1" applyAlignment="1" applyProtection="1">
      <alignment horizontal="center"/>
      <protection locked="0"/>
    </xf>
    <xf numFmtId="167" fontId="6" fillId="13" borderId="77" xfId="3" applyFont="1" applyFill="1" applyBorder="1" applyAlignment="1" applyProtection="1">
      <alignment horizontal="center"/>
      <protection locked="0"/>
    </xf>
    <xf numFmtId="167" fontId="6" fillId="13" borderId="92" xfId="3" applyFont="1" applyFill="1" applyBorder="1" applyAlignment="1" applyProtection="1">
      <alignment horizontal="center"/>
      <protection locked="0"/>
    </xf>
    <xf numFmtId="167" fontId="6" fillId="13" borderId="79" xfId="3" applyFont="1" applyFill="1" applyBorder="1" applyAlignment="1" applyProtection="1">
      <alignment horizontal="center"/>
      <protection locked="0"/>
    </xf>
    <xf numFmtId="167" fontId="6" fillId="10" borderId="80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7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8" fontId="5" fillId="6" borderId="1" xfId="0" applyNumberFormat="1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7" fontId="6" fillId="13" borderId="3" xfId="0" applyNumberFormat="1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3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>
      <alignment vertical="center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D6C1C66-C500-491C-8424-E0537C30767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E5FE8E-6455-495A-9108-7F4FC7130A4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334364-8A2B-4F68-88C7-2C7020B21A9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4DD686-F0D9-4A27-96C1-75D01A55C3B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C78EF3-DC59-40BB-B35B-081EFB9EDF2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99907A-E18B-4890-B064-106A8146B0D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6A6A356-A34A-49D1-B030-10AEE543CBB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E15BAB8-B9FA-4160-947E-082B602F273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E7058B2-D931-4E72-91BA-4458031E257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B46B05-5497-41A2-97B0-999385510F1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15223112.492693435</c:v>
                </c:pt>
                <c:pt idx="66">
                  <c:v>15223112.492693435</c:v>
                </c:pt>
                <c:pt idx="67">
                  <c:v>15223112.492693435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2862567.5472825672</c:v>
                </c:pt>
                <c:pt idx="66">
                  <c:v>2862567.5472825672</c:v>
                </c:pt>
                <c:pt idx="67">
                  <c:v>2862567.5472825672</c:v>
                </c:pt>
                <c:pt idx="68">
                  <c:v>3663783.9942664318</c:v>
                </c:pt>
                <c:pt idx="69">
                  <c:v>3663783.9942664318</c:v>
                </c:pt>
                <c:pt idx="70">
                  <c:v>3663783.9942664318</c:v>
                </c:pt>
                <c:pt idx="71">
                  <c:v>3663783.9942664318</c:v>
                </c:pt>
                <c:pt idx="72">
                  <c:v>3663783.9942664318</c:v>
                </c:pt>
                <c:pt idx="73">
                  <c:v>3663783.9942664318</c:v>
                </c:pt>
                <c:pt idx="74">
                  <c:v>3663783.9942664318</c:v>
                </c:pt>
                <c:pt idx="75">
                  <c:v>3663783.9942664318</c:v>
                </c:pt>
                <c:pt idx="76">
                  <c:v>3663783.9942664318</c:v>
                </c:pt>
                <c:pt idx="77">
                  <c:v>3663783.9942664318</c:v>
                </c:pt>
                <c:pt idx="78">
                  <c:v>3663783.9942664318</c:v>
                </c:pt>
                <c:pt idx="79">
                  <c:v>3663783.9942664318</c:v>
                </c:pt>
                <c:pt idx="80">
                  <c:v>3663783.9942664318</c:v>
                </c:pt>
                <c:pt idx="81">
                  <c:v>3663783.9942664318</c:v>
                </c:pt>
                <c:pt idx="82">
                  <c:v>3663783.9942664318</c:v>
                </c:pt>
                <c:pt idx="83">
                  <c:v>3663783.9942664318</c:v>
                </c:pt>
                <c:pt idx="84">
                  <c:v>3663783.9942664318</c:v>
                </c:pt>
                <c:pt idx="85">
                  <c:v>3663783.9942664318</c:v>
                </c:pt>
                <c:pt idx="86">
                  <c:v>3663783.9942664318</c:v>
                </c:pt>
                <c:pt idx="87">
                  <c:v>3663783.9942664318</c:v>
                </c:pt>
                <c:pt idx="88">
                  <c:v>3663783.9942664318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15223112.492693434</c:v>
                </c:pt>
                <c:pt idx="66">
                  <c:v>15223112.492693434</c:v>
                </c:pt>
                <c:pt idx="67">
                  <c:v>15223112.492693434</c:v>
                </c:pt>
                <c:pt idx="68">
                  <c:v>16024328.939677298</c:v>
                </c:pt>
                <c:pt idx="69">
                  <c:v>16024328.939677298</c:v>
                </c:pt>
                <c:pt idx="70">
                  <c:v>16024328.939677298</c:v>
                </c:pt>
                <c:pt idx="71">
                  <c:v>16024328.939677298</c:v>
                </c:pt>
                <c:pt idx="72">
                  <c:v>16024328.939677298</c:v>
                </c:pt>
                <c:pt idx="73">
                  <c:v>16024328.939677298</c:v>
                </c:pt>
                <c:pt idx="74">
                  <c:v>16024328.939677298</c:v>
                </c:pt>
                <c:pt idx="75">
                  <c:v>16024328.939677298</c:v>
                </c:pt>
                <c:pt idx="76">
                  <c:v>16024328.939677298</c:v>
                </c:pt>
                <c:pt idx="77">
                  <c:v>16024328.939677298</c:v>
                </c:pt>
                <c:pt idx="78">
                  <c:v>16024328.939677298</c:v>
                </c:pt>
                <c:pt idx="79">
                  <c:v>16024328.939677298</c:v>
                </c:pt>
                <c:pt idx="80">
                  <c:v>16024328.939677298</c:v>
                </c:pt>
                <c:pt idx="81">
                  <c:v>16024328.939677298</c:v>
                </c:pt>
                <c:pt idx="82">
                  <c:v>16024328.939677298</c:v>
                </c:pt>
                <c:pt idx="83">
                  <c:v>16024328.939677298</c:v>
                </c:pt>
                <c:pt idx="84">
                  <c:v>16024328.939677298</c:v>
                </c:pt>
                <c:pt idx="85">
                  <c:v>16024328.939677298</c:v>
                </c:pt>
                <c:pt idx="86">
                  <c:v>16024328.939677298</c:v>
                </c:pt>
                <c:pt idx="87">
                  <c:v>16024328.939677298</c:v>
                </c:pt>
                <c:pt idx="88">
                  <c:v>16024328.939677298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423778.25094746798</c:v>
                </c:pt>
                <c:pt idx="66">
                  <c:v>423778.25094746798</c:v>
                </c:pt>
                <c:pt idx="67">
                  <c:v>423778.25094746798</c:v>
                </c:pt>
                <c:pt idx="68">
                  <c:v>1224994.6979313325</c:v>
                </c:pt>
                <c:pt idx="69">
                  <c:v>1224994.6979313325</c:v>
                </c:pt>
                <c:pt idx="70">
                  <c:v>1224994.6979313325</c:v>
                </c:pt>
                <c:pt idx="71">
                  <c:v>1224994.6979313325</c:v>
                </c:pt>
                <c:pt idx="72">
                  <c:v>1224994.6979313325</c:v>
                </c:pt>
                <c:pt idx="73">
                  <c:v>1224994.6979313325</c:v>
                </c:pt>
                <c:pt idx="74">
                  <c:v>1224994.6979313325</c:v>
                </c:pt>
                <c:pt idx="75">
                  <c:v>1224994.6979313325</c:v>
                </c:pt>
                <c:pt idx="76">
                  <c:v>1224994.6979313325</c:v>
                </c:pt>
                <c:pt idx="77">
                  <c:v>1224994.6979313325</c:v>
                </c:pt>
                <c:pt idx="78">
                  <c:v>1224994.6979313325</c:v>
                </c:pt>
                <c:pt idx="79">
                  <c:v>1224994.6979313325</c:v>
                </c:pt>
                <c:pt idx="80">
                  <c:v>1224994.6979313325</c:v>
                </c:pt>
                <c:pt idx="81">
                  <c:v>1224994.6979313325</c:v>
                </c:pt>
                <c:pt idx="82">
                  <c:v>1224994.6979313325</c:v>
                </c:pt>
                <c:pt idx="83">
                  <c:v>1224994.6979313325</c:v>
                </c:pt>
                <c:pt idx="84">
                  <c:v>1224994.6979313325</c:v>
                </c:pt>
                <c:pt idx="85">
                  <c:v>1224994.6979313325</c:v>
                </c:pt>
                <c:pt idx="86">
                  <c:v>1224994.6979313325</c:v>
                </c:pt>
                <c:pt idx="87">
                  <c:v>1224994.6979313325</c:v>
                </c:pt>
                <c:pt idx="88">
                  <c:v>1224994.6979313325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143580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142534722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5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d v="2026-01-31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s v="SSEG Additional Tests - Cosmic Sun"/>
    <m/>
    <m/>
    <n v="17160"/>
    <s v="PO4584-TSG-20260127 - RV Approved"/>
    <s v="Cosmic Sun: CS_TRS_999"/>
    <x v="11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3">
        <item m="1" x="44"/>
        <item m="1" x="50"/>
        <item m="1" x="45"/>
        <item m="1" x="48"/>
        <item m="1" x="46"/>
        <item x="0"/>
        <item m="1" x="51"/>
        <item m="1" x="47"/>
        <item m="1" x="49"/>
        <item m="1" x="43"/>
        <item m="1" x="42"/>
        <item m="1" x="41"/>
        <item m="1" x="40"/>
        <item m="1" x="39"/>
        <item m="1" x="24"/>
        <item m="1" x="23"/>
        <item x="2"/>
        <item m="1" x="21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25"/>
        <item m="1" x="35"/>
        <item m="1" x="36"/>
        <item m="1" x="37"/>
        <item m="1" x="38"/>
        <item m="1" x="22"/>
        <item m="1" x="20"/>
        <item m="1" x="19"/>
        <item x="1"/>
        <item x="6"/>
        <item x="5"/>
        <item m="1" x="18"/>
        <item x="9"/>
        <item x="8"/>
        <item x="3"/>
        <item x="10"/>
        <item m="1" x="17"/>
        <item m="1" x="16"/>
        <item m="1" x="13"/>
        <item m="1" x="15"/>
        <item m="1" x="12"/>
        <item m="1" x="14"/>
        <item x="4"/>
        <item x="7"/>
        <item x="11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3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>
      <x v="51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8.86328125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22" t="s">
        <v>57</v>
      </c>
      <c r="E47" s="922"/>
      <c r="F47" s="923"/>
      <c r="G47" s="67"/>
      <c r="I47" s="68"/>
      <c r="J47" s="68"/>
    </row>
    <row r="48" spans="1:49" ht="13.9" thickBot="1">
      <c r="C48" s="69">
        <v>44014</v>
      </c>
      <c r="D48" s="924"/>
      <c r="E48" s="924"/>
      <c r="F48" s="92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927" t="s">
        <v>58</v>
      </c>
      <c r="C2" s="927"/>
      <c r="D2" s="927"/>
      <c r="E2" s="927"/>
      <c r="H2" s="928" t="s">
        <v>59</v>
      </c>
      <c r="I2" s="929"/>
      <c r="J2" s="929"/>
      <c r="K2" s="929"/>
      <c r="L2" s="929"/>
      <c r="M2" s="929"/>
      <c r="N2" s="929"/>
      <c r="O2" s="930"/>
    </row>
    <row r="3" spans="2:15">
      <c r="B3" s="882"/>
      <c r="H3" s="931"/>
      <c r="I3" s="932"/>
      <c r="J3" s="932"/>
      <c r="K3" s="932"/>
      <c r="L3" s="932"/>
      <c r="M3" s="932"/>
      <c r="N3" s="932"/>
      <c r="O3" s="933"/>
    </row>
    <row r="4" spans="2:15">
      <c r="B4" s="883" t="s">
        <v>60</v>
      </c>
      <c r="C4" s="884" t="str">
        <f>'Project Plan'!E2</f>
        <v>Trident Steel GP</v>
      </c>
      <c r="H4" s="931"/>
      <c r="I4" s="932"/>
      <c r="J4" s="932"/>
      <c r="K4" s="932"/>
      <c r="L4" s="932"/>
      <c r="M4" s="932"/>
      <c r="N4" s="932"/>
      <c r="O4" s="933"/>
    </row>
    <row r="5" spans="2:15">
      <c r="B5" s="883" t="s">
        <v>61</v>
      </c>
      <c r="C5" s="884" t="s">
        <v>62</v>
      </c>
      <c r="H5" s="931"/>
      <c r="I5" s="932"/>
      <c r="J5" s="932"/>
      <c r="K5" s="932"/>
      <c r="L5" s="932"/>
      <c r="M5" s="932"/>
      <c r="N5" s="932"/>
      <c r="O5" s="933"/>
    </row>
    <row r="6" spans="2:15">
      <c r="B6" s="883" t="s">
        <v>63</v>
      </c>
      <c r="C6" s="884" t="s">
        <v>64</v>
      </c>
      <c r="H6" s="931"/>
      <c r="I6" s="932"/>
      <c r="J6" s="932"/>
      <c r="K6" s="932"/>
      <c r="L6" s="932"/>
      <c r="M6" s="932"/>
      <c r="N6" s="932"/>
      <c r="O6" s="933"/>
    </row>
    <row r="7" spans="2:15">
      <c r="B7" s="883" t="s">
        <v>65</v>
      </c>
      <c r="C7" s="884" t="s">
        <v>66</v>
      </c>
      <c r="H7" s="931"/>
      <c r="I7" s="932"/>
      <c r="J7" s="932"/>
      <c r="K7" s="932"/>
      <c r="L7" s="932"/>
      <c r="M7" s="932"/>
      <c r="N7" s="932"/>
      <c r="O7" s="933"/>
    </row>
    <row r="8" spans="2:15">
      <c r="B8" s="882"/>
      <c r="H8" s="931"/>
      <c r="I8" s="932"/>
      <c r="J8" s="932"/>
      <c r="K8" s="932"/>
      <c r="L8" s="932"/>
      <c r="M8" s="932"/>
      <c r="N8" s="932"/>
      <c r="O8" s="933"/>
    </row>
    <row r="9" spans="2:15">
      <c r="B9" s="937" t="s">
        <v>67</v>
      </c>
      <c r="C9" s="937"/>
      <c r="D9" s="937"/>
      <c r="E9" s="937"/>
      <c r="H9" s="931"/>
      <c r="I9" s="932"/>
      <c r="J9" s="932"/>
      <c r="K9" s="932"/>
      <c r="L9" s="932"/>
      <c r="M9" s="932"/>
      <c r="N9" s="932"/>
      <c r="O9" s="933"/>
    </row>
    <row r="10" spans="2:15" ht="14.65" thickBot="1">
      <c r="B10" s="937" t="s">
        <v>68</v>
      </c>
      <c r="C10" s="937"/>
      <c r="D10" s="937"/>
      <c r="E10" s="937"/>
      <c r="H10" s="934"/>
      <c r="I10" s="935"/>
      <c r="J10" s="935"/>
      <c r="K10" s="935"/>
      <c r="L10" s="935"/>
      <c r="M10" s="935"/>
      <c r="N10" s="935"/>
      <c r="O10" s="936"/>
    </row>
    <row r="11" spans="2:15">
      <c r="B11" s="885" t="s">
        <v>69</v>
      </c>
      <c r="C11" s="926" t="s">
        <v>70</v>
      </c>
      <c r="D11" s="926"/>
      <c r="E11" s="926"/>
    </row>
    <row r="12" spans="2:15">
      <c r="B12" s="885" t="s">
        <v>71</v>
      </c>
      <c r="C12" s="926" t="s">
        <v>70</v>
      </c>
      <c r="D12" s="926"/>
      <c r="E12" s="926"/>
    </row>
    <row r="13" spans="2:15">
      <c r="B13" s="885" t="s">
        <v>72</v>
      </c>
      <c r="C13" s="926" t="s">
        <v>70</v>
      </c>
      <c r="D13" s="926"/>
      <c r="E13" s="926"/>
    </row>
    <row r="14" spans="2:15">
      <c r="B14" s="885" t="s">
        <v>73</v>
      </c>
      <c r="C14" s="926" t="s">
        <v>74</v>
      </c>
      <c r="D14" s="926"/>
      <c r="E14" s="926"/>
    </row>
    <row r="15" spans="2:15">
      <c r="B15" s="885" t="s">
        <v>75</v>
      </c>
      <c r="C15" s="926" t="s">
        <v>76</v>
      </c>
      <c r="D15" s="926"/>
      <c r="E15" s="926"/>
    </row>
    <row r="16" spans="2:15" ht="15" customHeight="1">
      <c r="B16" s="885" t="s">
        <v>77</v>
      </c>
      <c r="C16" s="926" t="s">
        <v>78</v>
      </c>
      <c r="D16" s="926"/>
      <c r="E16" s="926"/>
    </row>
    <row r="17" spans="2:5">
      <c r="B17" s="882"/>
    </row>
    <row r="18" spans="2:5">
      <c r="B18" s="938" t="s">
        <v>79</v>
      </c>
      <c r="C18" s="938"/>
      <c r="D18" s="938"/>
      <c r="E18" s="938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265625" bestFit="1" customWidth="1"/>
    <col min="5" max="5" width="10.3984375" customWidth="1"/>
    <col min="6" max="6" width="33.73046875" customWidth="1"/>
  </cols>
  <sheetData>
    <row r="1" spans="2:10" ht="14.65" thickBot="1"/>
    <row r="2" spans="2:10" ht="15" thickTop="1" thickBot="1">
      <c r="B2" s="939" t="s">
        <v>87</v>
      </c>
      <c r="C2" s="940"/>
      <c r="D2" s="940"/>
      <c r="E2" s="940"/>
      <c r="F2" s="941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939" t="s">
        <v>97</v>
      </c>
      <c r="C16" s="940"/>
      <c r="D16" s="940"/>
      <c r="E16" s="940"/>
      <c r="F16" s="941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zoomScale="85" zoomScaleNormal="85" workbookViewId="0">
      <selection activeCell="O3" sqref="O3"/>
    </sheetView>
  </sheetViews>
  <sheetFormatPr defaultColWidth="8.3984375" defaultRowHeight="13.5"/>
  <cols>
    <col min="1" max="1" width="1.3984375" style="114" customWidth="1"/>
    <col min="2" max="2" width="6.3984375" style="191" bestFit="1" customWidth="1"/>
    <col min="3" max="3" width="50.59765625" style="24" bestFit="1" customWidth="1"/>
    <col min="4" max="4" width="3.3984375" style="114" customWidth="1"/>
    <col min="5" max="5" width="14.59765625" style="24" customWidth="1"/>
    <col min="6" max="6" width="10.3984375" style="188" customWidth="1"/>
    <col min="7" max="7" width="13.59765625" style="64" customWidth="1"/>
    <col min="8" max="8" width="5" style="114" customWidth="1"/>
    <col min="9" max="9" width="13.3984375" style="114" customWidth="1"/>
    <col min="10" max="10" width="11.3984375" style="115" customWidth="1"/>
    <col min="11" max="11" width="14.59765625" style="114" customWidth="1"/>
    <col min="12" max="12" width="2.3984375" style="114" customWidth="1"/>
    <col min="13" max="13" width="12.59765625" style="114" customWidth="1"/>
    <col min="14" max="14" width="11.3984375" style="114" bestFit="1" customWidth="1"/>
    <col min="15" max="15" width="67.1328125" style="114" bestFit="1" customWidth="1"/>
    <col min="16" max="16" width="1.3984375" style="114" customWidth="1"/>
    <col min="17" max="17" width="5.59765625" style="3" customWidth="1"/>
    <col min="18" max="18" width="8.3984375" style="114"/>
    <col min="19" max="19" width="11.59765625" style="114" bestFit="1" customWidth="1"/>
    <col min="20" max="25" width="8.3984375" style="114"/>
    <col min="26" max="16384" width="8.398437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46064</v>
      </c>
      <c r="O1" s="599">
        <f ca="1">TODAY()</f>
        <v>46064</v>
      </c>
      <c r="Q1" s="3"/>
    </row>
    <row r="2" spans="2:28" ht="13.9">
      <c r="B2" s="223"/>
      <c r="C2" s="224" t="s">
        <v>0</v>
      </c>
      <c r="D2" s="225"/>
      <c r="E2" s="945" t="s">
        <v>101</v>
      </c>
      <c r="F2" s="945"/>
      <c r="G2" s="945"/>
      <c r="H2" s="945"/>
      <c r="N2" s="600">
        <v>0</v>
      </c>
      <c r="O2" s="600">
        <v>1</v>
      </c>
    </row>
    <row r="3" spans="2:28" s="114" customFormat="1" ht="13.9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O3" s="890" t="s">
        <v>103</v>
      </c>
      <c r="Q3" s="3"/>
    </row>
    <row r="4" spans="2:28" s="114" customFormat="1" ht="13.9">
      <c r="B4" s="226"/>
      <c r="C4" s="227" t="s">
        <v>104</v>
      </c>
      <c r="D4" s="225"/>
      <c r="E4" s="946" t="s">
        <v>66</v>
      </c>
      <c r="F4" s="946"/>
      <c r="G4" s="946"/>
      <c r="H4" s="946"/>
      <c r="J4" s="115"/>
      <c r="Q4" s="3"/>
    </row>
    <row r="5" spans="2:28" s="114" customFormat="1" ht="13.9">
      <c r="B5" s="226"/>
      <c r="C5" s="227" t="s">
        <v>105</v>
      </c>
      <c r="D5" s="225"/>
      <c r="E5" s="946" t="s">
        <v>106</v>
      </c>
      <c r="F5" s="946"/>
      <c r="G5" s="946"/>
      <c r="H5" s="946"/>
      <c r="J5" s="115"/>
      <c r="Q5" s="3"/>
    </row>
    <row r="6" spans="2:28" ht="13.9">
      <c r="B6" s="231"/>
      <c r="C6" s="232" t="s">
        <v>107</v>
      </c>
      <c r="D6" s="225"/>
      <c r="E6" s="947">
        <v>16024328.9396773</v>
      </c>
      <c r="F6" s="947"/>
      <c r="G6" s="947"/>
      <c r="H6" s="947"/>
    </row>
    <row r="7" spans="2:28" s="114" customFormat="1" ht="13.9">
      <c r="B7" s="187"/>
      <c r="C7" s="116" t="s">
        <v>108</v>
      </c>
      <c r="E7" s="609" t="s">
        <v>54</v>
      </c>
      <c r="F7" s="188"/>
      <c r="G7" s="233"/>
      <c r="J7" s="115"/>
      <c r="Q7" s="3"/>
    </row>
    <row r="8" spans="2:28" ht="30" customHeight="1">
      <c r="B8" s="942" t="s">
        <v>109</v>
      </c>
      <c r="C8" s="943" t="s">
        <v>110</v>
      </c>
      <c r="D8" s="262"/>
      <c r="E8" s="944" t="s">
        <v>111</v>
      </c>
      <c r="F8" s="284" t="s">
        <v>112</v>
      </c>
      <c r="G8" s="944" t="s">
        <v>113</v>
      </c>
      <c r="H8" s="285"/>
      <c r="I8" s="944" t="s">
        <v>114</v>
      </c>
      <c r="J8" s="284" t="s">
        <v>112</v>
      </c>
      <c r="K8" s="944" t="s">
        <v>115</v>
      </c>
      <c r="M8" s="637" t="s">
        <v>89</v>
      </c>
      <c r="N8" s="881" t="s">
        <v>116</v>
      </c>
      <c r="O8" s="948" t="s">
        <v>117</v>
      </c>
      <c r="Z8" s="114"/>
      <c r="AA8" s="114"/>
      <c r="AB8" s="114"/>
    </row>
    <row r="9" spans="2:28" ht="13.9">
      <c r="B9" s="942"/>
      <c r="C9" s="943"/>
      <c r="D9" s="262"/>
      <c r="E9" s="944"/>
      <c r="F9" s="128">
        <f>G78-E19</f>
        <v>53</v>
      </c>
      <c r="G9" s="944"/>
      <c r="H9" s="285"/>
      <c r="I9" s="944"/>
      <c r="J9" s="129">
        <f>K78-I19</f>
        <v>85</v>
      </c>
      <c r="K9" s="944"/>
      <c r="M9" s="482">
        <f>AVERAGE(M11,M18,M22,M47,M63,M76,M86,M82,M27)</f>
        <v>1</v>
      </c>
      <c r="N9" s="482">
        <f>AVERAGE(N11,N18,N22,N47,N63,N76,N86,N82,N27)</f>
        <v>1</v>
      </c>
      <c r="O9" s="948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 ht="13.9">
      <c r="B11" s="291">
        <v>1</v>
      </c>
      <c r="C11" s="292" t="s">
        <v>118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 ht="13.9">
      <c r="B12" s="295" t="s">
        <v>119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 ht="13.9">
      <c r="B13" s="295" t="s">
        <v>120</v>
      </c>
      <c r="C13" s="296" t="s">
        <v>121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 ht="13.9">
      <c r="B14" s="295" t="s">
        <v>122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 ht="13.9">
      <c r="B15" s="295" t="s">
        <v>123</v>
      </c>
      <c r="C15" s="296" t="s">
        <v>124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 ht="13.9">
      <c r="B16" s="295" t="s">
        <v>125</v>
      </c>
      <c r="C16" s="296" t="s">
        <v>126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 ht="13.9">
      <c r="B18" s="291">
        <v>2</v>
      </c>
      <c r="C18" s="292" t="s">
        <v>127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5" t="s">
        <v>128</v>
      </c>
      <c r="C19" s="296" t="s">
        <v>129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13.9">
      <c r="B20" s="295" t="s">
        <v>130</v>
      </c>
      <c r="C20" s="296" t="s">
        <v>131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 ht="13.9">
      <c r="B22" s="291">
        <v>3</v>
      </c>
      <c r="C22" s="292" t="s">
        <v>132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 ht="13.9">
      <c r="B23" s="295" t="s">
        <v>133</v>
      </c>
      <c r="C23" s="296" t="s">
        <v>134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5" t="s">
        <v>135</v>
      </c>
      <c r="C24" s="296" t="s">
        <v>136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5" t="s">
        <v>137</v>
      </c>
      <c r="C25" s="296" t="s">
        <v>138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 ht="13.9">
      <c r="B27" s="291">
        <v>4</v>
      </c>
      <c r="C27" s="292" t="s">
        <v>139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 ht="13.9">
      <c r="B28" s="295" t="s">
        <v>140</v>
      </c>
      <c r="C28" s="296" t="s">
        <v>141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 ht="13.9">
      <c r="B29" s="295" t="s">
        <v>142</v>
      </c>
      <c r="C29" s="296" t="s">
        <v>143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5" t="s">
        <v>144</v>
      </c>
      <c r="C30" s="296" t="s">
        <v>145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5" t="s">
        <v>146</v>
      </c>
      <c r="C31" s="296" t="s">
        <v>147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5" t="s">
        <v>148</v>
      </c>
      <c r="C32" s="296" t="s">
        <v>149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13.9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13.9">
      <c r="B34" s="295" t="s">
        <v>152</v>
      </c>
      <c r="C34" s="296" t="s">
        <v>153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13.9">
      <c r="B35" s="295" t="s">
        <v>154</v>
      </c>
      <c r="C35" s="296" t="s">
        <v>155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5" t="s">
        <v>156</v>
      </c>
      <c r="C36" s="296" t="s">
        <v>157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13.9">
      <c r="B37" s="295" t="s">
        <v>158</v>
      </c>
      <c r="C37" s="296" t="s">
        <v>159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13.9">
      <c r="B38" s="295" t="s">
        <v>160</v>
      </c>
      <c r="C38" s="296" t="s">
        <v>161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13.9">
      <c r="B39" s="295" t="s">
        <v>162</v>
      </c>
      <c r="C39" s="296" t="s">
        <v>163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5" t="s">
        <v>164</v>
      </c>
      <c r="C40" s="296" t="s">
        <v>165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13.9">
      <c r="B41" s="295" t="s">
        <v>166</v>
      </c>
      <c r="C41" s="296" t="s">
        <v>167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13.9">
      <c r="B42" s="295" t="s">
        <v>168</v>
      </c>
      <c r="C42" s="741" t="s">
        <v>169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13.9">
      <c r="B43" s="295" t="s">
        <v>170</v>
      </c>
      <c r="C43" s="741" t="s">
        <v>171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13.9">
      <c r="B44" s="295" t="s">
        <v>172</v>
      </c>
      <c r="C44" s="759" t="s">
        <v>173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 ht="13.9">
      <c r="B45" s="295" t="s">
        <v>174</v>
      </c>
      <c r="C45" s="759" t="s">
        <v>175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 ht="13.9">
      <c r="B47" s="291">
        <v>5</v>
      </c>
      <c r="C47" s="292" t="s">
        <v>176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 ht="13.9">
      <c r="B48" s="295" t="s">
        <v>177</v>
      </c>
      <c r="C48" s="296" t="s">
        <v>178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179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5" t="s">
        <v>180</v>
      </c>
      <c r="C49" s="296" t="s">
        <v>181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5" t="s">
        <v>182</v>
      </c>
      <c r="C50" s="296" t="s">
        <v>183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5" t="s">
        <v>184</v>
      </c>
      <c r="C51" s="296" t="s">
        <v>185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13.9">
      <c r="B52" s="295" t="s">
        <v>186</v>
      </c>
      <c r="C52" s="296" t="s">
        <v>187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13.9">
      <c r="B53" s="295" t="s">
        <v>188</v>
      </c>
      <c r="C53" s="296" t="s">
        <v>189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190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 ht="13.9">
      <c r="B55" s="291">
        <v>6</v>
      </c>
      <c r="C55" s="292" t="s">
        <v>191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 ht="13.9">
      <c r="B56" s="295" t="s">
        <v>192</v>
      </c>
      <c r="C56" s="296" t="s">
        <v>178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 ht="13.9">
      <c r="B57" s="295" t="s">
        <v>193</v>
      </c>
      <c r="C57" s="296" t="s">
        <v>181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13.9">
      <c r="B58" s="295" t="s">
        <v>194</v>
      </c>
      <c r="C58" s="296" t="s">
        <v>195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 ht="13.9">
      <c r="B59" s="295" t="s">
        <v>196</v>
      </c>
      <c r="C59" s="296" t="s">
        <v>197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 ht="13.9">
      <c r="B60" s="295" t="s">
        <v>198</v>
      </c>
      <c r="C60" s="296" t="s">
        <v>199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 ht="13.9">
      <c r="B61" s="295" t="s">
        <v>200</v>
      </c>
      <c r="C61" s="296" t="s">
        <v>201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202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 ht="13.9">
      <c r="B63" s="291">
        <v>7</v>
      </c>
      <c r="C63" s="292" t="s">
        <v>203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 ht="13.9">
      <c r="B64" s="295" t="s">
        <v>204</v>
      </c>
      <c r="C64" s="296" t="s">
        <v>205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 ht="13.9">
      <c r="B65" s="295" t="s">
        <v>206</v>
      </c>
      <c r="C65" s="296" t="s">
        <v>207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208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 ht="13.9">
      <c r="B66" s="295" t="s">
        <v>209</v>
      </c>
      <c r="C66" s="296" t="s">
        <v>210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 ht="13.9">
      <c r="B67" s="295" t="s">
        <v>211</v>
      </c>
      <c r="C67" s="296" t="s">
        <v>212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 ht="13.9">
      <c r="B68" s="295" t="s">
        <v>213</v>
      </c>
      <c r="C68" s="296" t="s">
        <v>214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208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 ht="13.9">
      <c r="B69" s="295" t="s">
        <v>215</v>
      </c>
      <c r="C69" s="296" t="s">
        <v>216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 ht="13.9">
      <c r="B70" s="295" t="s">
        <v>217</v>
      </c>
      <c r="C70" s="296" t="s">
        <v>218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219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 ht="13.9">
      <c r="B71" s="295" t="s">
        <v>220</v>
      </c>
      <c r="C71" s="296" t="s">
        <v>221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219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 ht="13.9">
      <c r="B72" s="295" t="s">
        <v>222</v>
      </c>
      <c r="C72" s="296" t="s">
        <v>223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224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 ht="13.9">
      <c r="B73" s="295" t="s">
        <v>225</v>
      </c>
      <c r="C73" s="296" t="s">
        <v>226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224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 ht="13.9">
      <c r="B74" s="295" t="s">
        <v>227</v>
      </c>
      <c r="C74" s="296" t="s">
        <v>228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 ht="13.9">
      <c r="B76" s="291">
        <v>8</v>
      </c>
      <c r="C76" s="292" t="s">
        <v>229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 ht="13.9">
      <c r="B77" s="295" t="s">
        <v>230</v>
      </c>
      <c r="C77" s="290" t="s">
        <v>231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 ht="13.9">
      <c r="B78" s="295" t="s">
        <v>232</v>
      </c>
      <c r="C78" s="290" t="s">
        <v>233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 ht="13.9">
      <c r="B79" s="295" t="s">
        <v>234</v>
      </c>
      <c r="C79" s="290" t="s">
        <v>235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 ht="13.9">
      <c r="B80" s="295" t="s">
        <v>236</v>
      </c>
      <c r="C80" s="290" t="s">
        <v>237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 ht="13.9">
      <c r="B82" s="291">
        <v>9</v>
      </c>
      <c r="C82" s="292" t="s">
        <v>238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 ht="13.9">
      <c r="B83" s="295" t="s">
        <v>239</v>
      </c>
      <c r="C83" s="290" t="s">
        <v>240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 ht="13.9">
      <c r="B84" s="295" t="s">
        <v>241</v>
      </c>
      <c r="C84" s="290" t="s">
        <v>242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 ht="13.9">
      <c r="B86" s="291">
        <v>10</v>
      </c>
      <c r="C86" s="292" t="s">
        <v>243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 ht="13.9">
      <c r="B87" s="295" t="s">
        <v>244</v>
      </c>
      <c r="C87" s="290" t="s">
        <v>245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 ht="13.9">
      <c r="B88" s="295" t="s">
        <v>246</v>
      </c>
      <c r="C88" s="290" t="s">
        <v>247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 ht="13.9">
      <c r="B89" s="295" t="s">
        <v>248</v>
      </c>
      <c r="C89" s="290" t="s">
        <v>249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 ht="13.9">
      <c r="B90" s="295" t="s">
        <v>250</v>
      </c>
      <c r="C90" s="290" t="s">
        <v>251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 ht="13.9">
      <c r="B91" s="295" t="s">
        <v>252</v>
      </c>
      <c r="C91" s="290" t="s">
        <v>253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 ht="13.9">
      <c r="B92" s="295" t="s">
        <v>254</v>
      </c>
      <c r="C92" s="290" t="s">
        <v>255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abSelected="1" topLeftCell="B1" zoomScaleNormal="100" workbookViewId="0">
      <selection activeCell="O20" sqref="O20"/>
    </sheetView>
  </sheetViews>
  <sheetFormatPr defaultColWidth="8.3984375" defaultRowHeight="14.25"/>
  <cols>
    <col min="1" max="1" width="5.59765625" style="93" customWidth="1"/>
    <col min="2" max="2" width="5.59765625" style="133" customWidth="1"/>
    <col min="3" max="3" width="33.3984375" style="131" customWidth="1"/>
    <col min="4" max="4" width="23.3984375" style="131" customWidth="1"/>
    <col min="5" max="5" width="6.59765625" style="131" customWidth="1"/>
    <col min="6" max="6" width="16.3984375" style="131" customWidth="1"/>
    <col min="7" max="7" width="4.3984375" style="131" customWidth="1"/>
    <col min="8" max="8" width="15.3984375" style="131" customWidth="1"/>
    <col min="9" max="9" width="1.3984375" style="131" customWidth="1"/>
    <col min="10" max="10" width="3.3984375" style="93" customWidth="1"/>
    <col min="11" max="11" width="1.3984375" style="222" customWidth="1"/>
    <col min="12" max="12" width="29.3984375" style="93" customWidth="1"/>
    <col min="13" max="13" width="1.3984375" style="131" customWidth="1"/>
    <col min="14" max="14" width="29.3984375" style="131" customWidth="1"/>
    <col min="15" max="15" width="1.3984375" style="93" customWidth="1"/>
    <col min="16" max="16" width="16.86328125" style="131" customWidth="1"/>
    <col min="17" max="17" width="5.59765625" style="131" customWidth="1"/>
    <col min="18" max="18" width="112.1328125" style="131" bestFit="1" customWidth="1"/>
    <col min="19" max="19" width="4.3984375" style="131" customWidth="1"/>
    <col min="20" max="20" width="14.3984375" style="131" customWidth="1"/>
    <col min="21" max="21" width="10.398437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31"/>
    <col min="29" max="29" width="12.59765625" style="131" bestFit="1" customWidth="1"/>
    <col min="30" max="16384" width="8.398437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256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257</v>
      </c>
      <c r="F3" s="127" t="s">
        <v>258</v>
      </c>
      <c r="J3" s="144"/>
      <c r="L3" s="622" t="s">
        <v>259</v>
      </c>
      <c r="N3" s="622" t="s">
        <v>260</v>
      </c>
      <c r="S3" s="144"/>
    </row>
    <row r="4" spans="1:21" s="93" customFormat="1" ht="13.15">
      <c r="B4" s="472">
        <v>1</v>
      </c>
      <c r="C4" s="473" t="s">
        <v>261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262</v>
      </c>
      <c r="Q4" s="132"/>
      <c r="S4" s="144"/>
    </row>
    <row r="5" spans="1:21" s="93" customFormat="1" ht="15" customHeight="1">
      <c r="B5" s="472">
        <v>2</v>
      </c>
      <c r="C5" s="473" t="s">
        <v>263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264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265</v>
      </c>
      <c r="S6" s="144"/>
    </row>
    <row r="7" spans="1:21" s="93" customFormat="1" ht="15" customHeight="1" thickBot="1">
      <c r="B7" s="472">
        <v>4</v>
      </c>
      <c r="C7" s="473" t="s">
        <v>266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267</v>
      </c>
      <c r="J10" s="144"/>
      <c r="S10" s="144"/>
      <c r="U10" s="130"/>
    </row>
    <row r="11" spans="1:21" s="93" customFormat="1" ht="26.25">
      <c r="B11" s="134" t="s">
        <v>109</v>
      </c>
      <c r="C11" s="135" t="s">
        <v>268</v>
      </c>
      <c r="D11" s="136"/>
      <c r="E11" s="134" t="s">
        <v>269</v>
      </c>
      <c r="F11" s="134" t="s">
        <v>270</v>
      </c>
      <c r="H11" s="477" t="s">
        <v>271</v>
      </c>
      <c r="J11" s="144"/>
      <c r="L11" s="186" t="s">
        <v>272</v>
      </c>
      <c r="M11" s="137"/>
      <c r="N11" s="186" t="s">
        <v>273</v>
      </c>
      <c r="O11" s="131"/>
      <c r="P11" s="186" t="s">
        <v>274</v>
      </c>
      <c r="R11" s="544" t="s">
        <v>275</v>
      </c>
      <c r="S11" s="144"/>
      <c r="U11" s="130"/>
    </row>
    <row r="12" spans="1:21" s="93" customFormat="1" ht="13.15">
      <c r="B12" s="472">
        <v>1</v>
      </c>
      <c r="C12" s="949" t="s">
        <v>276</v>
      </c>
      <c r="D12" s="950"/>
      <c r="E12" s="138">
        <v>0.35</v>
      </c>
      <c r="F12" s="139">
        <f t="shared" ref="F12:F17" si="0">$D$4*E12 / 2</f>
        <v>2804257.5644435273</v>
      </c>
      <c r="G12" s="140"/>
      <c r="H12" s="141">
        <v>45614</v>
      </c>
      <c r="J12" s="144"/>
      <c r="L12" s="492" t="s">
        <v>277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3.15">
      <c r="B13" s="157">
        <v>2</v>
      </c>
      <c r="C13" s="951" t="s">
        <v>278</v>
      </c>
      <c r="D13" s="952"/>
      <c r="E13" s="138">
        <v>0.2</v>
      </c>
      <c r="F13" s="139">
        <f t="shared" si="0"/>
        <v>1602432.89396773</v>
      </c>
      <c r="G13" s="475"/>
      <c r="H13" s="141">
        <f>'Project Plan'!E13+7</f>
        <v>45611</v>
      </c>
      <c r="J13" s="144"/>
      <c r="L13" s="492" t="s">
        <v>279</v>
      </c>
      <c r="N13" s="141">
        <v>45695</v>
      </c>
      <c r="O13" s="131"/>
      <c r="P13" s="762">
        <f>N13+7</f>
        <v>45702</v>
      </c>
      <c r="R13" s="545" t="s">
        <v>280</v>
      </c>
      <c r="S13" s="144"/>
      <c r="U13" s="130"/>
    </row>
    <row r="14" spans="1:21" s="93" customFormat="1" ht="13.15">
      <c r="B14" s="472">
        <v>3</v>
      </c>
      <c r="C14" s="949" t="s">
        <v>281</v>
      </c>
      <c r="D14" s="950"/>
      <c r="E14" s="138">
        <v>0.3</v>
      </c>
      <c r="F14" s="139">
        <f t="shared" si="0"/>
        <v>2403649.340951595</v>
      </c>
      <c r="G14" s="475"/>
      <c r="H14" s="141">
        <f>P14</f>
        <v>45693</v>
      </c>
      <c r="J14" s="144"/>
      <c r="L14" s="492" t="s">
        <v>282</v>
      </c>
      <c r="N14" s="141">
        <v>45687</v>
      </c>
      <c r="O14" s="131"/>
      <c r="P14" s="762">
        <v>45693</v>
      </c>
      <c r="R14" s="545" t="s">
        <v>283</v>
      </c>
      <c r="S14" s="144"/>
      <c r="U14" s="130"/>
    </row>
    <row r="15" spans="1:21" s="93" customFormat="1" ht="13.15">
      <c r="B15" s="472">
        <v>4</v>
      </c>
      <c r="C15" s="949" t="s">
        <v>284</v>
      </c>
      <c r="D15" s="950"/>
      <c r="E15" s="138">
        <v>0.1</v>
      </c>
      <c r="F15" s="139">
        <f t="shared" si="0"/>
        <v>801216.446983865</v>
      </c>
      <c r="G15" s="475"/>
      <c r="H15" s="141">
        <f>P15</f>
        <v>45772</v>
      </c>
      <c r="J15" s="144"/>
      <c r="L15" s="777" t="s">
        <v>285</v>
      </c>
      <c r="M15" s="131"/>
      <c r="N15" s="778">
        <v>45715</v>
      </c>
      <c r="O15" s="131"/>
      <c r="P15" s="762">
        <v>45772</v>
      </c>
      <c r="R15" s="545" t="s">
        <v>286</v>
      </c>
      <c r="S15" s="144"/>
      <c r="U15" s="130"/>
    </row>
    <row r="16" spans="1:21" s="93" customFormat="1" ht="13.15">
      <c r="B16" s="472">
        <v>5</v>
      </c>
      <c r="C16" s="951" t="s">
        <v>287</v>
      </c>
      <c r="D16" s="952"/>
      <c r="E16" s="888">
        <v>2.5000000000000001E-2</v>
      </c>
      <c r="F16" s="139">
        <f t="shared" si="0"/>
        <v>200304.11174596625</v>
      </c>
      <c r="G16" s="475"/>
      <c r="H16" s="141">
        <f>P16</f>
        <v>46081</v>
      </c>
      <c r="J16" s="144"/>
      <c r="L16" s="777" t="s">
        <v>285</v>
      </c>
      <c r="N16" s="778">
        <v>45715</v>
      </c>
      <c r="O16" s="131"/>
      <c r="P16" s="727">
        <v>46081</v>
      </c>
      <c r="R16" s="545" t="s">
        <v>288</v>
      </c>
      <c r="S16" s="144"/>
      <c r="U16" s="130"/>
    </row>
    <row r="17" spans="2:21" s="93" customFormat="1" ht="13.15">
      <c r="B17" s="472">
        <v>6</v>
      </c>
      <c r="C17" s="951" t="s">
        <v>287</v>
      </c>
      <c r="D17" s="952"/>
      <c r="E17" s="888">
        <v>2.5000000000000001E-2</v>
      </c>
      <c r="F17" s="139">
        <f t="shared" si="0"/>
        <v>200304.11174596625</v>
      </c>
      <c r="G17" s="475"/>
      <c r="H17" s="141">
        <v>46081</v>
      </c>
      <c r="J17" s="144"/>
      <c r="L17" s="142" t="s">
        <v>285</v>
      </c>
      <c r="M17" s="140"/>
      <c r="N17" s="142">
        <v>45715</v>
      </c>
      <c r="O17" s="131"/>
      <c r="P17" s="142">
        <v>46081</v>
      </c>
      <c r="R17" s="545"/>
      <c r="S17" s="144"/>
      <c r="U17" s="130"/>
    </row>
    <row r="18" spans="2:21" s="93" customFormat="1" ht="13.15">
      <c r="B18" s="472">
        <v>7</v>
      </c>
      <c r="C18" s="949" t="s">
        <v>289</v>
      </c>
      <c r="D18" s="950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3.15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.25">
      <c r="B21" s="134" t="s">
        <v>109</v>
      </c>
      <c r="C21" s="135" t="s">
        <v>290</v>
      </c>
      <c r="D21" s="136"/>
      <c r="E21" s="134" t="s">
        <v>269</v>
      </c>
      <c r="F21" s="134" t="s">
        <v>270</v>
      </c>
      <c r="H21" s="477" t="s">
        <v>271</v>
      </c>
      <c r="J21" s="144"/>
      <c r="L21" s="186" t="s">
        <v>272</v>
      </c>
      <c r="M21" s="137"/>
      <c r="N21" s="186" t="s">
        <v>273</v>
      </c>
      <c r="O21" s="131"/>
      <c r="P21" s="186" t="s">
        <v>274</v>
      </c>
      <c r="R21" s="544" t="s">
        <v>275</v>
      </c>
      <c r="S21" s="144"/>
    </row>
    <row r="22" spans="2:21" s="93" customFormat="1" ht="13.15">
      <c r="B22" s="472">
        <v>1</v>
      </c>
      <c r="C22" s="949" t="s">
        <v>276</v>
      </c>
      <c r="D22" s="950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291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2.75">
      <c r="B23" s="157">
        <v>2</v>
      </c>
      <c r="C23" s="951" t="s">
        <v>278</v>
      </c>
      <c r="D23" s="952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292</v>
      </c>
      <c r="N23" s="141">
        <v>45695</v>
      </c>
      <c r="O23" s="131"/>
      <c r="P23" s="762">
        <f>N23+7</f>
        <v>45702</v>
      </c>
      <c r="R23" s="545" t="s">
        <v>280</v>
      </c>
      <c r="S23" s="144"/>
    </row>
    <row r="24" spans="2:21" s="93" customFormat="1" ht="12.75">
      <c r="B24" s="472">
        <v>3</v>
      </c>
      <c r="C24" s="949" t="s">
        <v>281</v>
      </c>
      <c r="D24" s="950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293</v>
      </c>
      <c r="N24" s="141">
        <v>45687</v>
      </c>
      <c r="O24" s="131"/>
      <c r="P24" s="762">
        <f>P14</f>
        <v>45693</v>
      </c>
      <c r="R24" s="545" t="s">
        <v>283</v>
      </c>
      <c r="S24" s="144"/>
    </row>
    <row r="25" spans="2:21" s="93" customFormat="1" ht="12.75">
      <c r="B25" s="472">
        <v>4</v>
      </c>
      <c r="C25" s="949" t="s">
        <v>284</v>
      </c>
      <c r="D25" s="950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294</v>
      </c>
      <c r="M25" s="131"/>
      <c r="N25" s="778">
        <v>45715</v>
      </c>
      <c r="O25" s="131"/>
      <c r="P25" s="762">
        <v>45964</v>
      </c>
      <c r="R25" s="545" t="s">
        <v>286</v>
      </c>
      <c r="S25" s="144"/>
    </row>
    <row r="26" spans="2:21" s="93" customFormat="1" ht="12.75">
      <c r="B26" s="472">
        <v>5</v>
      </c>
      <c r="C26" s="951" t="s">
        <v>54</v>
      </c>
      <c r="D26" s="952"/>
      <c r="E26" s="888">
        <v>2.5000000000000001E-2</v>
      </c>
      <c r="F26" s="139">
        <f>$D$4*E26 / 2</f>
        <v>200304.11174596625</v>
      </c>
      <c r="G26" s="475"/>
      <c r="H26" s="141">
        <f>H16</f>
        <v>46081</v>
      </c>
      <c r="J26" s="144"/>
      <c r="L26" s="777" t="s">
        <v>294</v>
      </c>
      <c r="N26" s="778">
        <v>45715</v>
      </c>
      <c r="O26" s="131"/>
      <c r="P26" s="727">
        <f>P16</f>
        <v>46081</v>
      </c>
      <c r="R26" s="545" t="s">
        <v>288</v>
      </c>
      <c r="S26" s="144"/>
    </row>
    <row r="27" spans="2:21" s="93" customFormat="1" ht="12.75">
      <c r="B27" s="472">
        <v>6</v>
      </c>
      <c r="C27" s="951" t="s">
        <v>287</v>
      </c>
      <c r="D27" s="952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294</v>
      </c>
      <c r="N27" s="778">
        <v>45715</v>
      </c>
      <c r="O27" s="131"/>
      <c r="P27" s="727">
        <v>46081</v>
      </c>
      <c r="R27" s="545"/>
      <c r="S27" s="144"/>
    </row>
    <row r="28" spans="2:21" s="93" customFormat="1" ht="12.75">
      <c r="B28" s="472">
        <v>7</v>
      </c>
      <c r="C28" s="949" t="s">
        <v>289</v>
      </c>
      <c r="D28" s="950"/>
      <c r="E28" s="138">
        <v>0</v>
      </c>
      <c r="F28" s="139">
        <f t="shared" ref="F28" si="1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3.15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295</v>
      </c>
      <c r="C32" s="148" t="s">
        <v>296</v>
      </c>
      <c r="D32" s="148"/>
      <c r="F32" s="149"/>
    </row>
    <row r="33" spans="2:6" s="93" customFormat="1" ht="12.75">
      <c r="C33" s="150" t="s">
        <v>297</v>
      </c>
      <c r="D33" s="151"/>
      <c r="F33" s="152"/>
    </row>
    <row r="34" spans="2:6" s="93" customFormat="1" ht="12.75">
      <c r="C34" s="150" t="s">
        <v>298</v>
      </c>
      <c r="D34" s="151"/>
    </row>
    <row r="35" spans="2:6" s="93" customFormat="1" ht="12.75">
      <c r="C35" s="153" t="s">
        <v>299</v>
      </c>
      <c r="D35" s="154"/>
    </row>
    <row r="36" spans="2:6" s="93" customFormat="1" ht="12.75">
      <c r="C36" s="155" t="s">
        <v>300</v>
      </c>
      <c r="D36" s="151"/>
    </row>
    <row r="37" spans="2:6" s="93" customFormat="1" ht="12.75">
      <c r="B37" s="119"/>
      <c r="C37" s="155" t="s">
        <v>301</v>
      </c>
      <c r="D37" s="151"/>
    </row>
    <row r="38" spans="2:6" s="93" customFormat="1" ht="12.75">
      <c r="B38" s="119"/>
      <c r="C38" s="93" t="s">
        <v>302</v>
      </c>
    </row>
    <row r="39" spans="2:6" s="93" customFormat="1" ht="27.75" customHeight="1">
      <c r="B39" s="119"/>
      <c r="C39" s="156" t="s">
        <v>303</v>
      </c>
      <c r="D39" s="156"/>
      <c r="F39" s="152"/>
    </row>
    <row r="40" spans="2:6" s="93" customFormat="1" ht="12.75">
      <c r="B40" s="119"/>
      <c r="F40" s="149"/>
    </row>
    <row r="41" spans="2:6" s="93" customFormat="1" ht="12.75">
      <c r="B41" s="119"/>
      <c r="F41" s="149"/>
    </row>
    <row r="42" spans="2:6" s="93" customFormat="1" ht="12.75">
      <c r="B42" s="119"/>
      <c r="F42" s="149"/>
    </row>
    <row r="43" spans="2:6" s="93" customFormat="1" ht="12.75">
      <c r="B43" s="119"/>
      <c r="F43" s="149"/>
    </row>
    <row r="44" spans="2:6" s="93" customFormat="1" ht="12.75">
      <c r="B44" s="119"/>
    </row>
    <row r="45" spans="2:6" s="93" customFormat="1" ht="12.75">
      <c r="B45" s="119"/>
    </row>
    <row r="46" spans="2:6" s="93" customFormat="1" ht="12.75">
      <c r="B46" s="119"/>
    </row>
    <row r="47" spans="2:6" s="93" customFormat="1" ht="12.75" hidden="1" customHeight="1">
      <c r="B47" s="119"/>
    </row>
    <row r="48" spans="2:6" s="93" customFormat="1" ht="12.75" hidden="1" customHeight="1">
      <c r="B48" s="119"/>
    </row>
    <row r="49" spans="2:6" s="93" customFormat="1" ht="13.5" hidden="1" customHeight="1">
      <c r="B49" s="134" t="s">
        <v>109</v>
      </c>
      <c r="C49" s="135" t="s">
        <v>304</v>
      </c>
      <c r="D49" s="136"/>
      <c r="E49" s="134" t="s">
        <v>269</v>
      </c>
      <c r="F49" s="134" t="s">
        <v>270</v>
      </c>
    </row>
    <row r="50" spans="2:6" s="93" customFormat="1" ht="12.75" hidden="1" customHeight="1">
      <c r="B50" s="157">
        <v>1</v>
      </c>
      <c r="C50" s="158" t="s">
        <v>305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281</v>
      </c>
      <c r="D51" s="158"/>
      <c r="E51" s="138">
        <v>0.3</v>
      </c>
      <c r="F51" s="139">
        <f t="shared" ref="F51:F54" si="2">$F$56*E51</f>
        <v>4807298.68190319</v>
      </c>
    </row>
    <row r="52" spans="2:6" s="93" customFormat="1" ht="12.75" hidden="1" customHeight="1">
      <c r="B52" s="157">
        <v>3</v>
      </c>
      <c r="C52" s="158" t="s">
        <v>278</v>
      </c>
      <c r="D52" s="158"/>
      <c r="E52" s="138">
        <v>0.2</v>
      </c>
      <c r="F52" s="139">
        <f t="shared" si="2"/>
        <v>3204865.7879354605</v>
      </c>
    </row>
    <row r="53" spans="2:6" s="93" customFormat="1" ht="12.75" hidden="1" customHeight="1">
      <c r="B53" s="157">
        <v>4</v>
      </c>
      <c r="C53" s="158" t="s">
        <v>306</v>
      </c>
      <c r="D53" s="158"/>
      <c r="E53" s="138">
        <v>0.1</v>
      </c>
      <c r="F53" s="139">
        <f t="shared" si="2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2"/>
        <v>801216.44698386511</v>
      </c>
    </row>
    <row r="55" spans="2:6" s="93" customFormat="1" ht="13.5" hidden="1" customHeight="1" thickBot="1">
      <c r="B55" s="163"/>
      <c r="C55" s="164" t="s">
        <v>307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2.75">
      <c r="B58" s="119"/>
    </row>
    <row r="59" spans="2:6" s="93" customFormat="1" ht="12.75">
      <c r="B59" s="119"/>
    </row>
    <row r="60" spans="2:6" s="93" customFormat="1" ht="12.75">
      <c r="B60" s="119"/>
    </row>
    <row r="61" spans="2:6" s="93" customFormat="1" ht="12.75">
      <c r="B61" s="119"/>
    </row>
    <row r="62" spans="2:6" s="93" customFormat="1" ht="12.75">
      <c r="B62" s="119"/>
    </row>
    <row r="63" spans="2:6" s="93" customFormat="1" ht="12.75">
      <c r="B63" s="119"/>
    </row>
    <row r="64" spans="2:6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  <row r="219" spans="2:2" s="93" customFormat="1" ht="12.75">
      <c r="B219" s="119"/>
    </row>
    <row r="220" spans="2:2" s="93" customFormat="1" ht="12.75">
      <c r="B220" s="119"/>
    </row>
    <row r="221" spans="2:2" s="93" customFormat="1" ht="12.75">
      <c r="B221" s="119"/>
    </row>
    <row r="222" spans="2:2" s="93" customFormat="1" ht="12.75">
      <c r="B222" s="119"/>
    </row>
    <row r="223" spans="2:2" s="93" customFormat="1" ht="12.75">
      <c r="B223" s="119"/>
    </row>
    <row r="224" spans="2:2" s="93" customFormat="1" ht="12.75">
      <c r="B224" s="119"/>
    </row>
    <row r="225" spans="2:2" s="93" customFormat="1" ht="12.75">
      <c r="B225" s="119"/>
    </row>
    <row r="226" spans="2:2" s="93" customFormat="1" ht="12.75">
      <c r="B226" s="119"/>
    </row>
    <row r="227" spans="2:2" s="93" customFormat="1" ht="12.75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12:D12"/>
    <mergeCell ref="C18:D18"/>
    <mergeCell ref="C13:D13"/>
    <mergeCell ref="C14:D14"/>
    <mergeCell ref="C15:D15"/>
    <mergeCell ref="C16:D16"/>
    <mergeCell ref="C17:D17"/>
    <mergeCell ref="C25:D25"/>
    <mergeCell ref="C28:D28"/>
    <mergeCell ref="C22:D22"/>
    <mergeCell ref="C23:D23"/>
    <mergeCell ref="C24:D24"/>
    <mergeCell ref="C26:D26"/>
    <mergeCell ref="C27:D2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308</v>
      </c>
      <c r="F2" s="83" t="s">
        <v>309</v>
      </c>
    </row>
    <row r="3" spans="3:8">
      <c r="C3" s="79">
        <v>45292</v>
      </c>
      <c r="D3" s="73" t="s">
        <v>310</v>
      </c>
      <c r="F3" s="81" t="s">
        <v>311</v>
      </c>
    </row>
    <row r="4" spans="3:8">
      <c r="C4" s="79">
        <v>45372</v>
      </c>
      <c r="D4" s="73" t="s">
        <v>312</v>
      </c>
      <c r="F4" s="81" t="s">
        <v>313</v>
      </c>
    </row>
    <row r="5" spans="3:8">
      <c r="C5" s="79">
        <v>45380</v>
      </c>
      <c r="D5" s="73" t="s">
        <v>314</v>
      </c>
      <c r="F5" s="81" t="s">
        <v>315</v>
      </c>
    </row>
    <row r="6" spans="3:8" ht="13.15" thickBot="1">
      <c r="C6" s="79">
        <v>45383</v>
      </c>
      <c r="D6" s="73" t="s">
        <v>316</v>
      </c>
      <c r="F6" s="82" t="s">
        <v>317</v>
      </c>
    </row>
    <row r="7" spans="3:8">
      <c r="C7" s="79">
        <v>45413</v>
      </c>
      <c r="D7" s="73" t="s">
        <v>318</v>
      </c>
    </row>
    <row r="8" spans="3:8">
      <c r="C8" s="79">
        <v>45460</v>
      </c>
      <c r="D8" s="73" t="s">
        <v>319</v>
      </c>
    </row>
    <row r="9" spans="3:8">
      <c r="C9" s="79">
        <v>45513</v>
      </c>
      <c r="D9" s="73" t="s">
        <v>320</v>
      </c>
    </row>
    <row r="10" spans="3:8">
      <c r="C10" s="79">
        <v>45559</v>
      </c>
      <c r="D10" s="73" t="s">
        <v>321</v>
      </c>
    </row>
    <row r="11" spans="3:8">
      <c r="C11" s="79">
        <v>45642</v>
      </c>
      <c r="D11" s="73" t="s">
        <v>322</v>
      </c>
    </row>
    <row r="12" spans="3:8">
      <c r="C12" s="79">
        <v>45651</v>
      </c>
      <c r="D12" s="73" t="s">
        <v>323</v>
      </c>
    </row>
    <row r="13" spans="3:8">
      <c r="C13" s="79">
        <v>45652</v>
      </c>
      <c r="D13" s="73" t="s">
        <v>324</v>
      </c>
      <c r="F13" s="85"/>
      <c r="H13" s="73" t="s">
        <v>325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H13" sqref="H13"/>
      <selection pane="bottomLeft" activeCell="N14" sqref="N14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1.3984375" style="24" customWidth="1"/>
    <col min="10" max="10" width="18.3984375" style="24" customWidth="1"/>
    <col min="11" max="11" width="3.3984375" style="24" customWidth="1"/>
    <col min="12" max="12" width="21.59765625" style="24" customWidth="1"/>
    <col min="13" max="13" width="2" style="24" customWidth="1"/>
    <col min="14" max="14" width="24.3984375" style="24" customWidth="1"/>
    <col min="15" max="15" width="2" style="24" customWidth="1"/>
    <col min="16" max="16" width="53.3984375" style="24" customWidth="1"/>
    <col min="17" max="16384" width="8.398437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 ht="13.9">
      <c r="A2" s="262"/>
      <c r="B2" s="266" t="s">
        <v>326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25" thickBot="1">
      <c r="A4" s="262"/>
      <c r="B4" s="953"/>
      <c r="C4" s="953"/>
      <c r="D4" s="953"/>
      <c r="E4" s="639"/>
      <c r="F4" s="267" t="s">
        <v>327</v>
      </c>
      <c r="G4" s="262"/>
      <c r="H4" s="267" t="s">
        <v>257</v>
      </c>
      <c r="I4" s="262"/>
      <c r="J4" s="267" t="s">
        <v>258</v>
      </c>
      <c r="K4" s="262"/>
      <c r="L4" s="268" t="s">
        <v>328</v>
      </c>
      <c r="M4" s="114"/>
      <c r="N4" s="268" t="s">
        <v>329</v>
      </c>
      <c r="O4" s="114"/>
      <c r="P4" s="114"/>
    </row>
    <row r="5" spans="1:16" ht="14.25" thickBot="1">
      <c r="A5" s="262"/>
      <c r="B5" s="954" t="s">
        <v>330</v>
      </c>
      <c r="C5" s="954"/>
      <c r="D5" s="954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6.65" thickBot="1">
      <c r="A7" s="262"/>
      <c r="B7" s="272" t="s">
        <v>109</v>
      </c>
      <c r="C7" s="273"/>
      <c r="D7" s="272" t="s">
        <v>331</v>
      </c>
      <c r="E7" s="273"/>
      <c r="F7" s="274" t="s">
        <v>332</v>
      </c>
      <c r="G7" s="275"/>
      <c r="H7" s="274" t="s">
        <v>333</v>
      </c>
      <c r="I7" s="275"/>
      <c r="J7" s="274" t="s">
        <v>334</v>
      </c>
      <c r="K7" s="275"/>
      <c r="L7" s="274" t="s">
        <v>335</v>
      </c>
      <c r="M7" s="192"/>
      <c r="N7" s="274" t="s">
        <v>335</v>
      </c>
      <c r="O7" s="192"/>
      <c r="P7" s="117" t="s">
        <v>336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 ht="13.9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 ht="13.9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 ht="13.9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 ht="13.9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 ht="13.9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 ht="13.9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 ht="13.9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 ht="13.9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 ht="13.9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 ht="13.9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 ht="13.9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 ht="13.9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 ht="13.9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337</v>
      </c>
    </row>
    <row r="22" spans="1:16" ht="13.9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 ht="13.9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338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 ht="13.9">
      <c r="A27" s="609" t="s">
        <v>339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A167" activePane="bottomLeft" state="frozen"/>
      <selection activeCell="H13" sqref="H13"/>
      <selection pane="bottomLeft" activeCell="V182" sqref="V182"/>
    </sheetView>
  </sheetViews>
  <sheetFormatPr defaultColWidth="9.3984375" defaultRowHeight="13.5"/>
  <cols>
    <col min="1" max="1" width="2.3984375" style="114" hidden="1" customWidth="1"/>
    <col min="2" max="2" width="6.3984375" style="24" hidden="1" customWidth="1"/>
    <col min="3" max="3" width="20.3984375" style="24" hidden="1" customWidth="1"/>
    <col min="4" max="4" width="29.3984375" style="24" hidden="1" customWidth="1"/>
    <col min="5" max="5" width="8.3984375" style="70" hidden="1" customWidth="1"/>
    <col min="6" max="6" width="14.3984375" style="64" hidden="1" customWidth="1"/>
    <col min="7" max="7" width="16.3984375" style="24" hidden="1" customWidth="1"/>
    <col min="8" max="8" width="14" style="24" hidden="1" customWidth="1"/>
    <col min="9" max="9" width="18" style="443" hidden="1" customWidth="1"/>
    <col min="10" max="10" width="17.3984375" style="443" customWidth="1"/>
    <col min="11" max="11" width="5.59765625" style="114" customWidth="1"/>
    <col min="12" max="12" width="5.59765625" style="24" customWidth="1"/>
    <col min="13" max="13" width="24.3984375" style="24" customWidth="1"/>
    <col min="14" max="14" width="45.3984375" style="24" bestFit="1" customWidth="1"/>
    <col min="15" max="15" width="16.3984375" style="70" bestFit="1" customWidth="1"/>
    <col min="16" max="16" width="19.59765625" style="64" customWidth="1"/>
    <col min="17" max="17" width="16.1328125" style="444" bestFit="1" customWidth="1"/>
    <col min="18" max="18" width="38.59765625" style="65" bestFit="1" customWidth="1"/>
    <col min="19" max="19" width="28.59765625" style="451" customWidth="1"/>
    <col min="20" max="20" width="16.59765625" style="65" customWidth="1"/>
    <col min="21" max="21" width="17.3984375" style="65" bestFit="1" customWidth="1"/>
    <col min="22" max="22" width="15.3984375" style="65" bestFit="1" customWidth="1"/>
    <col min="23" max="23" width="21.59765625" style="463" customWidth="1"/>
    <col min="24" max="24" width="16.86328125" style="24" bestFit="1" customWidth="1"/>
    <col min="25" max="25" width="88.86328125" style="114" bestFit="1" customWidth="1"/>
    <col min="26" max="26" width="29.3984375" style="114" bestFit="1" customWidth="1"/>
    <col min="27" max="27" width="22.3984375" style="114" customWidth="1"/>
    <col min="28" max="28" width="2.3984375" style="114" customWidth="1"/>
    <col min="29" max="29" width="31.3984375" style="114" bestFit="1" customWidth="1"/>
    <col min="30" max="30" width="35.59765625" style="114" bestFit="1" customWidth="1"/>
    <col min="31" max="31" width="23.86328125" style="114" customWidth="1"/>
    <col min="32" max="32" width="13.59765625" style="114" bestFit="1" customWidth="1"/>
    <col min="33" max="42" width="9.3984375" style="114"/>
    <col min="43" max="16384" width="9.398437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14" t="s">
        <v>340</v>
      </c>
      <c r="C2" s="914"/>
      <c r="D2" s="914"/>
      <c r="E2" s="914"/>
      <c r="F2" s="914"/>
      <c r="G2" s="914"/>
      <c r="H2" s="914"/>
      <c r="I2" s="306">
        <f>SUM(I6:I174)</f>
        <v>13780793.746280435</v>
      </c>
      <c r="J2" s="306">
        <f>SUM(J6:J174)</f>
        <v>16024328.939677272</v>
      </c>
      <c r="L2" s="915" t="s">
        <v>341</v>
      </c>
      <c r="M2" s="915"/>
      <c r="N2" s="915"/>
      <c r="O2" s="915"/>
      <c r="P2" s="915"/>
      <c r="Q2" s="915"/>
      <c r="R2" s="114"/>
      <c r="S2" s="908" t="s">
        <v>342</v>
      </c>
      <c r="T2" s="908"/>
      <c r="U2" s="908"/>
      <c r="V2" s="908"/>
      <c r="W2" s="908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" thickBot="1">
      <c r="A4" s="168"/>
      <c r="B4" s="307" t="s">
        <v>343</v>
      </c>
      <c r="C4" s="308" t="s">
        <v>344</v>
      </c>
      <c r="D4" s="308" t="s">
        <v>345</v>
      </c>
      <c r="E4" s="308" t="s">
        <v>346</v>
      </c>
      <c r="F4" s="308" t="s">
        <v>347</v>
      </c>
      <c r="G4" s="309" t="s">
        <v>348</v>
      </c>
      <c r="H4" s="310" t="s">
        <v>349</v>
      </c>
      <c r="I4" s="311" t="s">
        <v>350</v>
      </c>
      <c r="J4" s="311" t="str">
        <f>IF(J2-'Revenue Tracking'!D4&gt;=0, "Total Revenue", "ERROR on REV" )</f>
        <v>ERROR on REV</v>
      </c>
      <c r="K4" s="168"/>
      <c r="L4" s="307" t="s">
        <v>343</v>
      </c>
      <c r="M4" s="308" t="s">
        <v>351</v>
      </c>
      <c r="N4" s="308" t="s">
        <v>345</v>
      </c>
      <c r="O4" s="308" t="s">
        <v>346</v>
      </c>
      <c r="P4" s="308" t="s">
        <v>347</v>
      </c>
      <c r="Q4" s="546" t="s">
        <v>352</v>
      </c>
      <c r="R4" s="113" t="s">
        <v>353</v>
      </c>
      <c r="S4" s="113" t="s">
        <v>272</v>
      </c>
      <c r="T4" s="517" t="s">
        <v>273</v>
      </c>
      <c r="U4" s="518" t="s">
        <v>354</v>
      </c>
      <c r="V4" s="519" t="s">
        <v>355</v>
      </c>
      <c r="W4" s="517" t="s">
        <v>356</v>
      </c>
      <c r="X4" s="465" t="s">
        <v>350</v>
      </c>
      <c r="Y4" s="113" t="s">
        <v>357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358</v>
      </c>
      <c r="D6" s="342" t="s">
        <v>359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898">
        <f>SUM(G6:G12)</f>
        <v>4370925.6320000002</v>
      </c>
      <c r="J6" s="898">
        <v>4699920.0344086001</v>
      </c>
      <c r="K6" s="570"/>
      <c r="L6" s="341">
        <v>1</v>
      </c>
      <c r="M6" s="650" t="s">
        <v>360</v>
      </c>
      <c r="N6" s="342" t="s">
        <v>361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362</v>
      </c>
      <c r="T6" s="726">
        <v>45657</v>
      </c>
      <c r="U6" s="747">
        <v>2349960.0172043</v>
      </c>
      <c r="V6" s="894">
        <f>J6-SUM(U6:U12)</f>
        <v>0</v>
      </c>
      <c r="W6" s="726">
        <v>45695</v>
      </c>
      <c r="X6" s="897">
        <f>SUM(Q6:Q12)</f>
        <v>4255658.9399999995</v>
      </c>
      <c r="Y6" s="201" t="s">
        <v>363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898"/>
      <c r="J7" s="898"/>
      <c r="K7" s="350"/>
      <c r="L7" s="386">
        <v>1</v>
      </c>
      <c r="M7" s="388" t="s">
        <v>360</v>
      </c>
      <c r="N7" s="572" t="s">
        <v>364</v>
      </c>
      <c r="O7" s="721">
        <v>1602</v>
      </c>
      <c r="P7" s="703"/>
      <c r="Q7" s="390">
        <f>P6*O7</f>
        <v>2127375.9</v>
      </c>
      <c r="R7" s="211"/>
      <c r="S7" s="532" t="s">
        <v>365</v>
      </c>
      <c r="T7" s="734">
        <v>45657</v>
      </c>
      <c r="U7" s="748">
        <v>2349960.0172043</v>
      </c>
      <c r="V7" s="894"/>
      <c r="W7" s="746">
        <v>45708</v>
      </c>
      <c r="X7" s="897"/>
      <c r="Y7" s="202"/>
      <c r="Z7" s="172" t="s">
        <v>366</v>
      </c>
      <c r="AA7" s="173" t="s">
        <v>367</v>
      </c>
      <c r="AB7" s="24"/>
      <c r="AC7" s="24"/>
    </row>
    <row r="8" spans="1:42" ht="15" customHeight="1" thickBot="1">
      <c r="B8" s="386">
        <v>1</v>
      </c>
      <c r="C8" s="572"/>
      <c r="D8" s="388" t="s">
        <v>368</v>
      </c>
      <c r="E8" s="640"/>
      <c r="F8" s="530"/>
      <c r="G8" s="575">
        <v>60000</v>
      </c>
      <c r="H8" s="349">
        <f>H6</f>
        <v>45637</v>
      </c>
      <c r="I8" s="898"/>
      <c r="J8" s="898"/>
      <c r="K8" s="350"/>
      <c r="L8" s="386">
        <v>1</v>
      </c>
      <c r="M8" s="388" t="s">
        <v>360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894"/>
      <c r="W8" s="458"/>
      <c r="X8" s="897"/>
      <c r="Y8" s="202"/>
      <c r="Z8" s="174" t="s">
        <v>369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898"/>
      <c r="J9" s="898"/>
      <c r="K9" s="350"/>
      <c r="L9" s="386">
        <v>1</v>
      </c>
      <c r="M9" s="388" t="s">
        <v>360</v>
      </c>
      <c r="N9" s="574"/>
      <c r="O9" s="721"/>
      <c r="P9" s="530"/>
      <c r="Q9" s="390"/>
      <c r="R9" s="211"/>
      <c r="S9" s="532"/>
      <c r="T9" s="734"/>
      <c r="U9" s="833">
        <v>0</v>
      </c>
      <c r="V9" s="894"/>
      <c r="W9" s="458"/>
      <c r="X9" s="897"/>
      <c r="Y9" s="202"/>
      <c r="Z9" s="174" t="s">
        <v>370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898"/>
      <c r="J10" s="898"/>
      <c r="K10" s="350"/>
      <c r="L10" s="386">
        <v>1</v>
      </c>
      <c r="M10" s="388" t="s">
        <v>360</v>
      </c>
      <c r="N10" s="388" t="s">
        <v>371</v>
      </c>
      <c r="O10" s="640"/>
      <c r="P10" s="530"/>
      <c r="Q10" s="575">
        <v>685.71</v>
      </c>
      <c r="R10" s="211"/>
      <c r="S10" s="532" t="s">
        <v>372</v>
      </c>
      <c r="T10" s="734">
        <v>45808</v>
      </c>
      <c r="U10" s="833">
        <v>0</v>
      </c>
      <c r="V10" s="894"/>
      <c r="W10" s="784">
        <v>45835</v>
      </c>
      <c r="X10" s="897"/>
      <c r="Y10" s="202" t="s">
        <v>373</v>
      </c>
      <c r="Z10" s="174" t="s">
        <v>374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898"/>
      <c r="J11" s="898"/>
      <c r="K11" s="350"/>
      <c r="L11" s="557">
        <v>1</v>
      </c>
      <c r="M11" s="388" t="s">
        <v>360</v>
      </c>
      <c r="N11" s="566"/>
      <c r="O11" s="874"/>
      <c r="P11" s="873"/>
      <c r="Q11" s="875"/>
      <c r="R11" s="484"/>
      <c r="S11" s="724"/>
      <c r="T11" s="728"/>
      <c r="U11" s="876"/>
      <c r="V11" s="894"/>
      <c r="W11" s="785">
        <v>45930</v>
      </c>
      <c r="X11" s="897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898"/>
      <c r="J12" s="898"/>
      <c r="K12" s="352"/>
      <c r="L12" s="392">
        <v>1</v>
      </c>
      <c r="M12" s="652" t="s">
        <v>360</v>
      </c>
      <c r="N12" s="576"/>
      <c r="O12" s="577"/>
      <c r="P12" s="487"/>
      <c r="Q12" s="413">
        <v>221.43</v>
      </c>
      <c r="R12" s="216"/>
      <c r="S12" s="724" t="s">
        <v>375</v>
      </c>
      <c r="T12" s="728">
        <v>45869</v>
      </c>
      <c r="U12" s="834">
        <v>0</v>
      </c>
      <c r="V12" s="894"/>
      <c r="W12" s="858">
        <v>45899</v>
      </c>
      <c r="X12" s="897"/>
      <c r="Y12" s="203"/>
      <c r="Z12" s="174" t="s">
        <v>376</v>
      </c>
      <c r="AA12" s="175">
        <f>C106</f>
        <v>468640</v>
      </c>
      <c r="AC12" s="636">
        <f>AA12/140000</f>
        <v>3.3474285714285714</v>
      </c>
      <c r="AF12" s="636"/>
    </row>
    <row r="13" spans="1:42" ht="14.2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377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378</v>
      </c>
      <c r="D14" s="396" t="s">
        <v>379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11">
        <f>SUM(G14:G19)</f>
        <v>3000818</v>
      </c>
      <c r="J14" s="911">
        <v>3226686.02150538</v>
      </c>
      <c r="K14" s="363"/>
      <c r="L14" s="357">
        <v>2</v>
      </c>
      <c r="M14" s="653" t="s">
        <v>380</v>
      </c>
      <c r="N14" s="396" t="s">
        <v>379</v>
      </c>
      <c r="O14" s="488">
        <v>18</v>
      </c>
      <c r="P14" s="578">
        <v>18950</v>
      </c>
      <c r="Q14" s="361">
        <f>O14*P14</f>
        <v>341100</v>
      </c>
      <c r="R14" s="912" t="s">
        <v>381</v>
      </c>
      <c r="S14" s="579" t="s">
        <v>382</v>
      </c>
      <c r="T14" s="733">
        <v>45716</v>
      </c>
      <c r="U14" s="749">
        <v>354646.00634633988</v>
      </c>
      <c r="V14" s="909">
        <f>J14-SUM(U14:U19)</f>
        <v>0</v>
      </c>
      <c r="W14" s="812">
        <v>45744</v>
      </c>
      <c r="X14" s="906">
        <f>SUM(Q14:Q19)</f>
        <v>3159240</v>
      </c>
      <c r="Y14" s="754" t="s">
        <v>383</v>
      </c>
      <c r="Z14" s="174" t="s">
        <v>384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11"/>
      <c r="J15" s="911"/>
      <c r="K15" s="371"/>
      <c r="L15" s="397">
        <v>2</v>
      </c>
      <c r="M15" s="654" t="s">
        <v>380</v>
      </c>
      <c r="N15" s="398" t="s">
        <v>385</v>
      </c>
      <c r="O15" s="580">
        <v>54</v>
      </c>
      <c r="P15" s="581">
        <v>15710</v>
      </c>
      <c r="Q15" s="399">
        <f>O15*P15</f>
        <v>848340</v>
      </c>
      <c r="R15" s="913"/>
      <c r="S15" s="579" t="s">
        <v>382</v>
      </c>
      <c r="T15" s="733">
        <v>45716</v>
      </c>
      <c r="U15" s="766">
        <v>882029.88280226919</v>
      </c>
      <c r="V15" s="909"/>
      <c r="W15" s="813">
        <f>W14</f>
        <v>45744</v>
      </c>
      <c r="X15" s="906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11"/>
      <c r="J16" s="911"/>
      <c r="K16" s="371"/>
      <c r="L16" s="397">
        <v>2</v>
      </c>
      <c r="M16" s="654" t="s">
        <v>380</v>
      </c>
      <c r="N16" s="398" t="s">
        <v>386</v>
      </c>
      <c r="O16" s="580">
        <v>825</v>
      </c>
      <c r="P16" s="581">
        <v>1160</v>
      </c>
      <c r="Q16" s="399">
        <f>O16*P16</f>
        <v>957000</v>
      </c>
      <c r="R16" s="916" t="s">
        <v>387</v>
      </c>
      <c r="S16" s="579" t="s">
        <v>388</v>
      </c>
      <c r="T16" s="733">
        <v>45688</v>
      </c>
      <c r="U16" s="766">
        <v>995005.06617838552</v>
      </c>
      <c r="V16" s="909"/>
      <c r="W16" s="740">
        <v>45715</v>
      </c>
      <c r="X16" s="906"/>
      <c r="Y16" s="757"/>
      <c r="Z16" s="174" t="s">
        <v>389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390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11"/>
      <c r="J17" s="911"/>
      <c r="K17" s="371"/>
      <c r="L17" s="397">
        <v>2</v>
      </c>
      <c r="M17" s="654" t="s">
        <v>380</v>
      </c>
      <c r="N17" s="398" t="s">
        <v>391</v>
      </c>
      <c r="O17" s="580">
        <v>825</v>
      </c>
      <c r="P17" s="581">
        <v>1160</v>
      </c>
      <c r="Q17" s="399">
        <f>O17*P17</f>
        <v>957000</v>
      </c>
      <c r="R17" s="913"/>
      <c r="S17" s="534" t="s">
        <v>388</v>
      </c>
      <c r="T17" s="733">
        <v>45688</v>
      </c>
      <c r="U17" s="766">
        <v>995005.06617838552</v>
      </c>
      <c r="V17" s="909"/>
      <c r="W17" s="740">
        <v>45715</v>
      </c>
      <c r="X17" s="906"/>
      <c r="Y17" s="757" t="s">
        <v>392</v>
      </c>
      <c r="Z17" s="174" t="s">
        <v>393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11"/>
      <c r="J18" s="911"/>
      <c r="K18" s="371"/>
      <c r="L18" s="397">
        <v>2</v>
      </c>
      <c r="M18" s="654" t="s">
        <v>380</v>
      </c>
      <c r="N18" s="398" t="s">
        <v>394</v>
      </c>
      <c r="O18" s="580">
        <v>60</v>
      </c>
      <c r="P18" s="581"/>
      <c r="Q18" s="399">
        <v>55800</v>
      </c>
      <c r="R18" s="867" t="s">
        <v>395</v>
      </c>
      <c r="S18" s="626" t="s">
        <v>396</v>
      </c>
      <c r="T18" s="866">
        <v>45900</v>
      </c>
      <c r="U18" s="782">
        <v>0</v>
      </c>
      <c r="V18" s="909"/>
      <c r="W18" s="774">
        <v>45930</v>
      </c>
      <c r="X18" s="906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11"/>
      <c r="J19" s="911"/>
      <c r="K19" s="379"/>
      <c r="L19" s="582">
        <v>2</v>
      </c>
      <c r="M19" s="655" t="s">
        <v>380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09"/>
      <c r="W19" s="460"/>
      <c r="X19" s="906"/>
      <c r="Y19" s="205"/>
      <c r="Z19" s="174" t="s">
        <v>397</v>
      </c>
      <c r="AA19" s="176">
        <v>0</v>
      </c>
    </row>
    <row r="20" spans="1:42" ht="14.2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307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398</v>
      </c>
      <c r="D21" s="407" t="s">
        <v>399</v>
      </c>
      <c r="E21" s="343"/>
      <c r="F21" s="673"/>
      <c r="G21" s="344">
        <v>656096</v>
      </c>
      <c r="H21" s="345">
        <f>'Project Plan'!E19+30</f>
        <v>45693</v>
      </c>
      <c r="I21" s="898">
        <f>SUM(G21:G24)</f>
        <v>656096</v>
      </c>
      <c r="J21" s="898">
        <v>705479.56989247305</v>
      </c>
      <c r="K21" s="346"/>
      <c r="L21" s="341">
        <v>3</v>
      </c>
      <c r="M21" s="656" t="s">
        <v>400</v>
      </c>
      <c r="N21" s="407" t="s">
        <v>399</v>
      </c>
      <c r="O21" s="343"/>
      <c r="P21" s="673"/>
      <c r="Q21" s="344">
        <v>346295</v>
      </c>
      <c r="R21" s="215" t="s">
        <v>401</v>
      </c>
      <c r="S21" s="523" t="s">
        <v>402</v>
      </c>
      <c r="T21" s="751">
        <v>45688</v>
      </c>
      <c r="U21" s="747">
        <v>705479.56989247305</v>
      </c>
      <c r="V21" s="894">
        <f>J21-SUM(U21:U24)</f>
        <v>0</v>
      </c>
      <c r="W21" s="779">
        <v>45714</v>
      </c>
      <c r="X21" s="897">
        <f>SUM(Q21:Q24)</f>
        <v>385343</v>
      </c>
      <c r="Y21" s="201"/>
      <c r="Z21" s="174" t="s">
        <v>403</v>
      </c>
      <c r="AA21" s="177">
        <f>+AA20*0.85</f>
        <v>3546382.3116956521</v>
      </c>
      <c r="AC21" s="178" t="s">
        <v>404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898"/>
      <c r="J22" s="898"/>
      <c r="K22" s="350"/>
      <c r="L22" s="386">
        <v>3</v>
      </c>
      <c r="M22" s="657" t="s">
        <v>400</v>
      </c>
      <c r="N22" s="409" t="s">
        <v>405</v>
      </c>
      <c r="O22" s="391"/>
      <c r="P22" s="410"/>
      <c r="Q22" s="390">
        <v>0</v>
      </c>
      <c r="R22" s="211"/>
      <c r="S22" s="449"/>
      <c r="T22" s="500"/>
      <c r="U22" s="748">
        <v>0</v>
      </c>
      <c r="V22" s="894"/>
      <c r="W22" s="458"/>
      <c r="X22" s="897"/>
      <c r="Y22" s="202"/>
      <c r="Z22" s="180" t="s">
        <v>406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898"/>
      <c r="J23" s="898"/>
      <c r="K23" s="350"/>
      <c r="L23" s="386">
        <v>3</v>
      </c>
      <c r="M23" s="657" t="s">
        <v>400</v>
      </c>
      <c r="N23" s="409" t="s">
        <v>407</v>
      </c>
      <c r="O23" s="391"/>
      <c r="P23" s="410"/>
      <c r="Q23" s="390">
        <v>39048</v>
      </c>
      <c r="R23" s="211" t="s">
        <v>408</v>
      </c>
      <c r="S23" s="532" t="s">
        <v>409</v>
      </c>
      <c r="T23" s="734">
        <v>45777</v>
      </c>
      <c r="U23" s="509"/>
      <c r="V23" s="894"/>
      <c r="W23" s="784">
        <v>45777</v>
      </c>
      <c r="X23" s="897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898"/>
      <c r="J24" s="898"/>
      <c r="K24" s="352"/>
      <c r="L24" s="392">
        <v>3</v>
      </c>
      <c r="M24" s="658" t="s">
        <v>400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894"/>
      <c r="W24" s="459"/>
      <c r="X24" s="897"/>
      <c r="Y24" s="203"/>
      <c r="Z24" s="181" t="s">
        <v>258</v>
      </c>
      <c r="AA24" s="182" t="s">
        <v>410</v>
      </c>
      <c r="AO24" s="24"/>
      <c r="AP24" s="24"/>
    </row>
    <row r="25" spans="1:42" ht="14.2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369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370</v>
      </c>
      <c r="D26" s="358" t="s">
        <v>411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11">
        <f>SUM(G26:G38)</f>
        <v>1512771.2</v>
      </c>
      <c r="J26" s="911">
        <v>1626635.6989247301</v>
      </c>
      <c r="K26" s="363"/>
      <c r="L26" s="357">
        <v>4</v>
      </c>
      <c r="M26" s="659" t="s">
        <v>412</v>
      </c>
      <c r="N26" s="358" t="s">
        <v>411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365</v>
      </c>
      <c r="T26" s="733">
        <v>45657</v>
      </c>
      <c r="U26" s="749">
        <v>542107.78446558013</v>
      </c>
      <c r="V26" s="910">
        <f>J26-SUM(U26:U38)</f>
        <v>2.779155969619751E-3</v>
      </c>
      <c r="W26" s="775">
        <v>45708</v>
      </c>
      <c r="X26" s="906">
        <f>SUM(Q26:Q38)</f>
        <v>1702752.5</v>
      </c>
      <c r="Y26" s="204" t="s">
        <v>363</v>
      </c>
      <c r="Z26" s="183" t="s">
        <v>370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11"/>
      <c r="J27" s="911"/>
      <c r="K27" s="371"/>
      <c r="L27" s="364">
        <v>4</v>
      </c>
      <c r="M27" s="660" t="s">
        <v>412</v>
      </c>
      <c r="N27" s="618" t="s">
        <v>413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10"/>
      <c r="W27" s="454"/>
      <c r="X27" s="906"/>
      <c r="Y27" s="620"/>
      <c r="Z27" s="183" t="s">
        <v>374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414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11"/>
      <c r="J28" s="911"/>
      <c r="K28" s="371"/>
      <c r="L28" s="364">
        <v>4</v>
      </c>
      <c r="M28" s="660" t="s">
        <v>412</v>
      </c>
      <c r="N28" s="618" t="s">
        <v>415</v>
      </c>
      <c r="O28" s="690">
        <v>484867.78</v>
      </c>
      <c r="P28" s="674">
        <f>P105</f>
        <v>0.3</v>
      </c>
      <c r="Q28" s="369">
        <f>$O$28*P28</f>
        <v>145460.334</v>
      </c>
      <c r="R28" s="916" t="s">
        <v>416</v>
      </c>
      <c r="S28" s="534" t="s">
        <v>417</v>
      </c>
      <c r="T28" s="733">
        <f>T105</f>
        <v>45688</v>
      </c>
      <c r="U28" s="767">
        <v>290003.51882912021</v>
      </c>
      <c r="V28" s="910"/>
      <c r="W28" s="740">
        <f t="shared" ref="W28:W29" si="3">W105</f>
        <v>45666</v>
      </c>
      <c r="X28" s="906"/>
      <c r="Y28" s="620"/>
      <c r="Z28" s="183" t="s">
        <v>376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" customHeight="1" thickBot="1">
      <c r="B29" s="397">
        <v>4</v>
      </c>
      <c r="C29" s="618"/>
      <c r="D29" s="618"/>
      <c r="E29" s="645"/>
      <c r="F29" s="581"/>
      <c r="G29" s="369"/>
      <c r="H29" s="370"/>
      <c r="I29" s="911"/>
      <c r="J29" s="911"/>
      <c r="K29" s="371"/>
      <c r="L29" s="364">
        <v>4</v>
      </c>
      <c r="M29" s="660" t="s">
        <v>412</v>
      </c>
      <c r="N29" s="618" t="s">
        <v>418</v>
      </c>
      <c r="O29" s="645"/>
      <c r="P29" s="674">
        <f>P106</f>
        <v>0.2</v>
      </c>
      <c r="Q29" s="369">
        <f t="shared" ref="Q29:Q32" si="4">$O$28*P29</f>
        <v>96973.556000000011</v>
      </c>
      <c r="R29" s="918"/>
      <c r="S29" s="534" t="s">
        <v>419</v>
      </c>
      <c r="T29" s="733">
        <f>T106</f>
        <v>45716</v>
      </c>
      <c r="U29" s="767">
        <v>193335.67921941346</v>
      </c>
      <c r="V29" s="910"/>
      <c r="W29" s="740">
        <f t="shared" si="3"/>
        <v>45708</v>
      </c>
      <c r="X29" s="906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11"/>
      <c r="J30" s="911"/>
      <c r="K30" s="371"/>
      <c r="L30" s="364">
        <v>4</v>
      </c>
      <c r="M30" s="660" t="s">
        <v>412</v>
      </c>
      <c r="N30" s="618" t="s">
        <v>420</v>
      </c>
      <c r="O30" s="645"/>
      <c r="P30" s="674">
        <f>P63</f>
        <v>0.3</v>
      </c>
      <c r="Q30" s="369">
        <f t="shared" si="4"/>
        <v>145460.334</v>
      </c>
      <c r="R30" s="918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10"/>
      <c r="W30" s="740">
        <f>W107</f>
        <v>45757</v>
      </c>
      <c r="X30" s="906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11"/>
      <c r="J31" s="911"/>
      <c r="K31" s="371"/>
      <c r="L31" s="364">
        <v>4</v>
      </c>
      <c r="M31" s="660" t="s">
        <v>412</v>
      </c>
      <c r="N31" s="618" t="s">
        <v>421</v>
      </c>
      <c r="O31" s="645"/>
      <c r="P31" s="674">
        <f>P108</f>
        <v>0.15</v>
      </c>
      <c r="Q31" s="369">
        <f t="shared" si="4"/>
        <v>72730.167000000001</v>
      </c>
      <c r="R31" s="918"/>
      <c r="S31" s="534" t="str">
        <f>S108</f>
        <v>Cosmic Sun CS_TRS_009</v>
      </c>
      <c r="T31" s="733">
        <f>T108</f>
        <v>45777</v>
      </c>
      <c r="U31" s="767">
        <v>159642.90774837055</v>
      </c>
      <c r="V31" s="910"/>
      <c r="W31" s="740">
        <f>W108</f>
        <v>45764</v>
      </c>
      <c r="X31" s="906"/>
      <c r="Y31" s="620"/>
      <c r="Z31" s="183" t="s">
        <v>422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423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11"/>
      <c r="J32" s="911"/>
      <c r="K32" s="371"/>
      <c r="L32" s="364">
        <v>4</v>
      </c>
      <c r="M32" s="660" t="s">
        <v>412</v>
      </c>
      <c r="N32" s="643" t="s">
        <v>424</v>
      </c>
      <c r="O32" s="587"/>
      <c r="P32" s="674">
        <f>P109</f>
        <v>0.05</v>
      </c>
      <c r="Q32" s="369">
        <f t="shared" si="4"/>
        <v>24243.389000000003</v>
      </c>
      <c r="R32" s="918"/>
      <c r="S32" s="534" t="s">
        <v>425</v>
      </c>
      <c r="T32" s="733">
        <f>T109</f>
        <v>45838</v>
      </c>
      <c r="U32" s="850">
        <v>23159.65591612352</v>
      </c>
      <c r="V32" s="910"/>
      <c r="W32" s="740">
        <f>W109</f>
        <v>45890</v>
      </c>
      <c r="X32" s="906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11"/>
      <c r="J33" s="911"/>
      <c r="K33" s="371"/>
      <c r="L33" s="364">
        <v>4</v>
      </c>
      <c r="M33" s="660" t="s">
        <v>412</v>
      </c>
      <c r="N33" s="803" t="s">
        <v>426</v>
      </c>
      <c r="O33" s="805"/>
      <c r="P33" s="804"/>
      <c r="Q33" s="403"/>
      <c r="R33" s="918"/>
      <c r="S33" s="626"/>
      <c r="T33" s="810"/>
      <c r="U33" s="771"/>
      <c r="V33" s="910"/>
      <c r="W33" s="461"/>
      <c r="X33" s="906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11"/>
      <c r="J34" s="911"/>
      <c r="K34" s="371"/>
      <c r="L34" s="364">
        <v>4</v>
      </c>
      <c r="M34" s="660" t="s">
        <v>412</v>
      </c>
      <c r="N34" s="791" t="s">
        <v>427</v>
      </c>
      <c r="O34" s="809">
        <v>606084.72</v>
      </c>
      <c r="P34" s="804">
        <f>P111</f>
        <v>0.3</v>
      </c>
      <c r="Q34" s="403">
        <f>O34*P34</f>
        <v>181825.416</v>
      </c>
      <c r="R34" s="918"/>
      <c r="S34" s="626" t="s">
        <v>417</v>
      </c>
      <c r="T34" s="811">
        <f>T111</f>
        <v>45688</v>
      </c>
      <c r="U34" s="771"/>
      <c r="V34" s="910"/>
      <c r="W34" s="772">
        <f>W105</f>
        <v>45666</v>
      </c>
      <c r="X34" s="906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11"/>
      <c r="J35" s="911"/>
      <c r="K35" s="371"/>
      <c r="L35" s="364">
        <v>4</v>
      </c>
      <c r="M35" s="660" t="s">
        <v>412</v>
      </c>
      <c r="N35" s="791" t="s">
        <v>418</v>
      </c>
      <c r="O35" s="587"/>
      <c r="P35" s="804">
        <f>P112</f>
        <v>0.2</v>
      </c>
      <c r="Q35" s="403">
        <f>O34*P35</f>
        <v>121216.944</v>
      </c>
      <c r="R35" s="918"/>
      <c r="S35" s="626" t="s">
        <v>419</v>
      </c>
      <c r="T35" s="811">
        <f>T112</f>
        <v>45716</v>
      </c>
      <c r="U35" s="771"/>
      <c r="V35" s="910"/>
      <c r="W35" s="772">
        <f>W112</f>
        <v>45708</v>
      </c>
      <c r="X35" s="906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11"/>
      <c r="J36" s="911"/>
      <c r="K36" s="371"/>
      <c r="L36" s="364">
        <v>4</v>
      </c>
      <c r="M36" s="660" t="s">
        <v>412</v>
      </c>
      <c r="N36" s="791" t="s">
        <v>284</v>
      </c>
      <c r="O36" s="587"/>
      <c r="P36" s="804">
        <f>P113</f>
        <v>0.3</v>
      </c>
      <c r="Q36" s="403">
        <f>O34*P36</f>
        <v>181825.416</v>
      </c>
      <c r="R36" s="918"/>
      <c r="S36" s="626" t="s">
        <v>428</v>
      </c>
      <c r="T36" s="811">
        <v>45777</v>
      </c>
      <c r="U36" s="782">
        <v>173697.41793797971</v>
      </c>
      <c r="V36" s="910"/>
      <c r="W36" s="772">
        <f>W113</f>
        <v>45785</v>
      </c>
      <c r="X36" s="906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11"/>
      <c r="J37" s="911"/>
      <c r="K37" s="371"/>
      <c r="L37" s="364">
        <v>4</v>
      </c>
      <c r="M37" s="660" t="s">
        <v>412</v>
      </c>
      <c r="N37" s="791" t="s">
        <v>429</v>
      </c>
      <c r="O37" s="587"/>
      <c r="P37" s="804">
        <f>P114</f>
        <v>0.15</v>
      </c>
      <c r="Q37" s="403">
        <f>O34*P37</f>
        <v>90912.707999999999</v>
      </c>
      <c r="R37" s="918"/>
      <c r="S37" s="626" t="s">
        <v>428</v>
      </c>
      <c r="T37" s="811">
        <v>45777</v>
      </c>
      <c r="U37" s="782">
        <v>86848.708968989857</v>
      </c>
      <c r="V37" s="910"/>
      <c r="W37" s="772">
        <v>45785</v>
      </c>
      <c r="X37" s="906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430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11"/>
      <c r="J38" s="911"/>
      <c r="K38" s="379"/>
      <c r="L38" s="372">
        <v>4</v>
      </c>
      <c r="M38" s="661" t="s">
        <v>412</v>
      </c>
      <c r="N38" s="405" t="s">
        <v>424</v>
      </c>
      <c r="O38" s="707"/>
      <c r="P38" s="675">
        <f>P115</f>
        <v>0.05</v>
      </c>
      <c r="Q38" s="588">
        <f>O34*P38</f>
        <v>30304.236000000001</v>
      </c>
      <c r="R38" s="917"/>
      <c r="S38" s="626" t="s">
        <v>431</v>
      </c>
      <c r="T38" s="827">
        <v>45838</v>
      </c>
      <c r="U38" s="851">
        <v>28949.569656329953</v>
      </c>
      <c r="V38" s="910"/>
      <c r="W38" s="824">
        <f>W115</f>
        <v>45890</v>
      </c>
      <c r="X38" s="906"/>
      <c r="Y38" s="205"/>
      <c r="Z38" s="183" t="s">
        <v>397</v>
      </c>
      <c r="AA38" s="184">
        <v>0</v>
      </c>
      <c r="AO38" s="24"/>
      <c r="AP38" s="24"/>
    </row>
    <row r="39" spans="1:42" ht="14.2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307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432</v>
      </c>
      <c r="D40" s="407" t="s">
        <v>433</v>
      </c>
      <c r="E40" s="343"/>
      <c r="F40" s="436"/>
      <c r="G40" s="344">
        <v>4300</v>
      </c>
      <c r="H40" s="345">
        <f>H14</f>
        <v>45637</v>
      </c>
      <c r="I40" s="898">
        <f>SUM(G40:G55)</f>
        <v>550800</v>
      </c>
      <c r="J40" s="898">
        <f>516989.247311828+75268.8172043011</f>
        <v>592258.06451612909</v>
      </c>
      <c r="K40" s="346"/>
      <c r="L40" s="341">
        <v>5</v>
      </c>
      <c r="M40" s="656" t="s">
        <v>434</v>
      </c>
      <c r="N40" s="407" t="s">
        <v>435</v>
      </c>
      <c r="O40" s="343">
        <v>2</v>
      </c>
      <c r="P40" s="673">
        <v>1740</v>
      </c>
      <c r="Q40" s="344">
        <f>P40*O40</f>
        <v>3480</v>
      </c>
      <c r="R40" s="215" t="s">
        <v>381</v>
      </c>
      <c r="S40" s="523" t="s">
        <v>382</v>
      </c>
      <c r="T40" s="751">
        <v>45716</v>
      </c>
      <c r="U40" s="747">
        <v>5722.9894158392699</v>
      </c>
      <c r="V40" s="894">
        <f>J40-SUM(U40:U55)</f>
        <v>-2.561857458204031E-3</v>
      </c>
      <c r="W40" s="779">
        <v>45744</v>
      </c>
      <c r="X40" s="897">
        <f>SUM(Q40:Q55)</f>
        <v>419582.98</v>
      </c>
      <c r="Y40" s="201"/>
      <c r="Z40" s="616" t="s">
        <v>406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436</v>
      </c>
      <c r="E41" s="391"/>
      <c r="F41" s="649"/>
      <c r="G41" s="390">
        <v>64000</v>
      </c>
      <c r="H41" s="349">
        <f>H42</f>
        <v>45637</v>
      </c>
      <c r="I41" s="898"/>
      <c r="J41" s="898"/>
      <c r="K41" s="350"/>
      <c r="L41" s="347">
        <v>5</v>
      </c>
      <c r="M41" s="662" t="s">
        <v>434</v>
      </c>
      <c r="N41" s="348" t="s">
        <v>437</v>
      </c>
      <c r="O41" s="646"/>
      <c r="P41" s="647"/>
      <c r="Q41" s="390">
        <v>21463</v>
      </c>
      <c r="R41" s="218" t="s">
        <v>438</v>
      </c>
      <c r="S41" s="523" t="s">
        <v>439</v>
      </c>
      <c r="T41" s="751">
        <v>45688</v>
      </c>
      <c r="U41" s="748">
        <v>31475.095899314234</v>
      </c>
      <c r="V41" s="894"/>
      <c r="W41" s="780">
        <v>45715</v>
      </c>
      <c r="X41" s="897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440</v>
      </c>
      <c r="E42" s="646"/>
      <c r="F42" s="647"/>
      <c r="G42" s="390">
        <v>162500</v>
      </c>
      <c r="H42" s="349">
        <f>H43</f>
        <v>45637</v>
      </c>
      <c r="I42" s="898"/>
      <c r="J42" s="898"/>
      <c r="K42" s="350"/>
      <c r="L42" s="347">
        <v>5</v>
      </c>
      <c r="M42" s="662" t="s">
        <v>434</v>
      </c>
      <c r="N42" s="348" t="s">
        <v>441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442</v>
      </c>
      <c r="T42" s="751">
        <v>45688</v>
      </c>
      <c r="U42" s="748">
        <f>43800.8742636499</f>
        <v>43800.874263649901</v>
      </c>
      <c r="V42" s="894"/>
      <c r="W42" s="835">
        <v>45688</v>
      </c>
      <c r="X42" s="897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443</v>
      </c>
      <c r="E43" s="565"/>
      <c r="F43" s="437"/>
      <c r="G43" s="390">
        <v>250000</v>
      </c>
      <c r="H43" s="349">
        <f>H14</f>
        <v>45637</v>
      </c>
      <c r="I43" s="898"/>
      <c r="J43" s="898"/>
      <c r="K43" s="350"/>
      <c r="L43" s="386">
        <v>5</v>
      </c>
      <c r="M43" s="662" t="s">
        <v>434</v>
      </c>
      <c r="N43" s="348" t="s">
        <v>444</v>
      </c>
      <c r="O43" s="646"/>
      <c r="P43" s="647"/>
      <c r="Q43" s="390">
        <v>40101</v>
      </c>
      <c r="R43" s="919" t="s">
        <v>445</v>
      </c>
      <c r="S43" s="532" t="s">
        <v>446</v>
      </c>
      <c r="T43" s="751">
        <v>45716</v>
      </c>
      <c r="U43" s="748">
        <v>62163.262020658112</v>
      </c>
      <c r="V43" s="894"/>
      <c r="W43" s="784">
        <v>45722</v>
      </c>
      <c r="X43" s="897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898"/>
      <c r="J44" s="898"/>
      <c r="K44" s="350"/>
      <c r="L44" s="386">
        <v>5</v>
      </c>
      <c r="M44" s="662" t="s">
        <v>434</v>
      </c>
      <c r="N44" s="348" t="s">
        <v>447</v>
      </c>
      <c r="O44" s="646"/>
      <c r="P44" s="647"/>
      <c r="Q44" s="390">
        <v>40101</v>
      </c>
      <c r="R44" s="901"/>
      <c r="S44" s="532" t="s">
        <v>448</v>
      </c>
      <c r="T44" s="751">
        <v>45747</v>
      </c>
      <c r="U44" s="748">
        <v>62163.262020658112</v>
      </c>
      <c r="V44" s="894"/>
      <c r="W44" s="785">
        <v>45750</v>
      </c>
      <c r="X44" s="897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449</v>
      </c>
      <c r="E45" s="565">
        <v>2</v>
      </c>
      <c r="F45" s="437"/>
      <c r="G45" s="390">
        <v>70000</v>
      </c>
      <c r="H45" s="349">
        <f>H43</f>
        <v>45637</v>
      </c>
      <c r="I45" s="898"/>
      <c r="J45" s="898"/>
      <c r="K45" s="350"/>
      <c r="L45" s="386">
        <v>5</v>
      </c>
      <c r="M45" s="662" t="s">
        <v>434</v>
      </c>
      <c r="N45" s="388" t="s">
        <v>450</v>
      </c>
      <c r="O45" s="565"/>
      <c r="P45" s="437"/>
      <c r="Q45" s="390">
        <v>61210</v>
      </c>
      <c r="R45" s="218" t="s">
        <v>381</v>
      </c>
      <c r="S45" s="532" t="s">
        <v>382</v>
      </c>
      <c r="T45" s="751">
        <v>45716</v>
      </c>
      <c r="U45" s="748">
        <v>125742.7913056097</v>
      </c>
      <c r="V45" s="894"/>
      <c r="W45" s="784">
        <v>45744</v>
      </c>
      <c r="X45" s="897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898"/>
      <c r="J46" s="898"/>
      <c r="K46" s="350"/>
      <c r="L46" s="386">
        <v>5</v>
      </c>
      <c r="M46" s="662" t="s">
        <v>434</v>
      </c>
      <c r="N46" s="566" t="s">
        <v>451</v>
      </c>
      <c r="O46" s="723"/>
      <c r="P46" s="567"/>
      <c r="Q46" s="562">
        <v>1460</v>
      </c>
      <c r="R46" s="218" t="s">
        <v>452</v>
      </c>
      <c r="S46" s="724" t="s">
        <v>453</v>
      </c>
      <c r="T46" s="751">
        <v>45716</v>
      </c>
      <c r="U46" s="748">
        <v>2401.0242951509581</v>
      </c>
      <c r="V46" s="894"/>
      <c r="W46" s="785">
        <v>45744</v>
      </c>
      <c r="X46" s="897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898"/>
      <c r="J47" s="898"/>
      <c r="K47" s="350"/>
      <c r="L47" s="386">
        <v>5</v>
      </c>
      <c r="M47" s="662" t="s">
        <v>434</v>
      </c>
      <c r="N47" s="566" t="s">
        <v>454</v>
      </c>
      <c r="O47" s="723"/>
      <c r="P47" s="561"/>
      <c r="Q47" s="562">
        <v>18571.36</v>
      </c>
      <c r="R47" s="218"/>
      <c r="S47" s="724" t="s">
        <v>455</v>
      </c>
      <c r="T47" s="745">
        <v>45716</v>
      </c>
      <c r="U47" s="748">
        <v>30541.292160270343</v>
      </c>
      <c r="V47" s="894"/>
      <c r="W47" s="781">
        <v>45715</v>
      </c>
      <c r="X47" s="897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898"/>
      <c r="J48" s="898"/>
      <c r="K48" s="350"/>
      <c r="L48" s="386">
        <v>5</v>
      </c>
      <c r="M48" s="662" t="s">
        <v>434</v>
      </c>
      <c r="N48" s="566" t="s">
        <v>456</v>
      </c>
      <c r="O48" s="723"/>
      <c r="P48" s="561"/>
      <c r="Q48" s="562">
        <v>559.63</v>
      </c>
      <c r="R48" s="218"/>
      <c r="S48" s="724" t="s">
        <v>457</v>
      </c>
      <c r="T48" s="745">
        <v>45747</v>
      </c>
      <c r="U48" s="748">
        <v>0</v>
      </c>
      <c r="V48" s="894"/>
      <c r="W48" s="785">
        <v>45777</v>
      </c>
      <c r="X48" s="897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898"/>
      <c r="J49" s="898"/>
      <c r="K49" s="350"/>
      <c r="L49" s="386">
        <v>5</v>
      </c>
      <c r="M49" s="662" t="s">
        <v>434</v>
      </c>
      <c r="N49" s="566" t="s">
        <v>458</v>
      </c>
      <c r="O49" s="723"/>
      <c r="P49" s="561"/>
      <c r="Q49" s="562">
        <v>18571.36</v>
      </c>
      <c r="R49" s="218" t="s">
        <v>459</v>
      </c>
      <c r="S49" s="724" t="s">
        <v>460</v>
      </c>
      <c r="T49" s="751">
        <v>45747</v>
      </c>
      <c r="U49" s="748">
        <v>0</v>
      </c>
      <c r="V49" s="894"/>
      <c r="W49" s="785">
        <v>45729</v>
      </c>
      <c r="X49" s="897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898"/>
      <c r="J50" s="898"/>
      <c r="K50" s="350"/>
      <c r="L50" s="386">
        <v>5</v>
      </c>
      <c r="M50" s="662" t="s">
        <v>434</v>
      </c>
      <c r="N50" s="566" t="s">
        <v>461</v>
      </c>
      <c r="O50" s="723"/>
      <c r="P50" s="561"/>
      <c r="Q50" s="562">
        <v>559.63</v>
      </c>
      <c r="R50" s="832"/>
      <c r="S50" s="724" t="s">
        <v>462</v>
      </c>
      <c r="T50" s="751">
        <v>45808</v>
      </c>
      <c r="U50" s="748">
        <v>822.17993473261731</v>
      </c>
      <c r="V50" s="894"/>
      <c r="W50" s="785"/>
      <c r="X50" s="897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898"/>
      <c r="J51" s="898"/>
      <c r="K51" s="350"/>
      <c r="L51" s="386">
        <v>5</v>
      </c>
      <c r="M51" s="662" t="s">
        <v>434</v>
      </c>
      <c r="N51" s="566" t="s">
        <v>463</v>
      </c>
      <c r="O51" s="723"/>
      <c r="P51" s="567"/>
      <c r="Q51" s="562">
        <f>47235/2</f>
        <v>23617.5</v>
      </c>
      <c r="R51" s="920" t="s">
        <v>464</v>
      </c>
      <c r="S51" s="724" t="s">
        <v>465</v>
      </c>
      <c r="T51" s="788">
        <v>45747</v>
      </c>
      <c r="U51" s="748">
        <v>36619.658047253019</v>
      </c>
      <c r="V51" s="894"/>
      <c r="W51" s="785">
        <v>45744</v>
      </c>
      <c r="X51" s="897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898"/>
      <c r="J52" s="898"/>
      <c r="K52" s="350"/>
      <c r="L52" s="386">
        <v>5</v>
      </c>
      <c r="M52" s="662" t="s">
        <v>434</v>
      </c>
      <c r="N52" s="566" t="s">
        <v>466</v>
      </c>
      <c r="O52" s="723"/>
      <c r="P52" s="567"/>
      <c r="Q52" s="562">
        <f>47235/2</f>
        <v>23617.5</v>
      </c>
      <c r="R52" s="921"/>
      <c r="S52" s="724" t="s">
        <v>467</v>
      </c>
      <c r="T52" s="751">
        <v>45747</v>
      </c>
      <c r="U52" s="748">
        <v>36611.078047253017</v>
      </c>
      <c r="V52" s="894"/>
      <c r="W52" s="785">
        <v>45750</v>
      </c>
      <c r="X52" s="897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898"/>
      <c r="J53" s="898"/>
      <c r="K53" s="350"/>
      <c r="L53" s="386">
        <v>5</v>
      </c>
      <c r="M53" s="662" t="s">
        <v>434</v>
      </c>
      <c r="N53" s="566" t="s">
        <v>468</v>
      </c>
      <c r="O53" s="601">
        <v>1</v>
      </c>
      <c r="P53" s="701">
        <v>97750</v>
      </c>
      <c r="Q53" s="562">
        <f>O53*P53</f>
        <v>97750</v>
      </c>
      <c r="R53" s="218" t="s">
        <v>469</v>
      </c>
      <c r="S53" s="724" t="s">
        <v>470</v>
      </c>
      <c r="T53" s="751">
        <v>45808</v>
      </c>
      <c r="U53" s="833">
        <v>121579.44869952172</v>
      </c>
      <c r="V53" s="894"/>
      <c r="W53" s="784">
        <v>45835</v>
      </c>
      <c r="X53" s="897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898"/>
      <c r="J54" s="898"/>
      <c r="K54" s="350"/>
      <c r="L54" s="386">
        <v>5</v>
      </c>
      <c r="M54" s="662" t="s">
        <v>434</v>
      </c>
      <c r="N54" s="566" t="s">
        <v>471</v>
      </c>
      <c r="O54" s="601">
        <v>4</v>
      </c>
      <c r="P54" s="701">
        <v>5550</v>
      </c>
      <c r="Q54" s="562">
        <f>O54*P54</f>
        <v>22200</v>
      </c>
      <c r="R54" s="218" t="s">
        <v>472</v>
      </c>
      <c r="S54" s="724" t="s">
        <v>473</v>
      </c>
      <c r="T54" s="751">
        <v>45808</v>
      </c>
      <c r="U54" s="833">
        <v>32615.110968075522</v>
      </c>
      <c r="V54" s="894"/>
      <c r="W54" s="784">
        <v>45835</v>
      </c>
      <c r="X54" s="897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898"/>
      <c r="J55" s="898"/>
      <c r="K55" s="352"/>
      <c r="L55" s="392">
        <v>5</v>
      </c>
      <c r="M55" s="658" t="s">
        <v>434</v>
      </c>
      <c r="N55" s="393" t="s">
        <v>474</v>
      </c>
      <c r="O55" s="394"/>
      <c r="P55" s="713"/>
      <c r="Q55" s="413">
        <v>16453</v>
      </c>
      <c r="R55" s="725" t="s">
        <v>475</v>
      </c>
      <c r="S55" s="724" t="s">
        <v>476</v>
      </c>
      <c r="T55" s="728">
        <v>45838</v>
      </c>
      <c r="U55" s="852">
        <v>0</v>
      </c>
      <c r="V55" s="894"/>
      <c r="W55" s="858">
        <v>45849</v>
      </c>
      <c r="X55" s="897"/>
      <c r="Y55" s="203"/>
      <c r="AA55" s="636">
        <f>AA43-AA39</f>
        <v>-526856.88999999966</v>
      </c>
    </row>
    <row r="56" spans="1:42" ht="14.2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369</v>
      </c>
      <c r="D57" s="359" t="s">
        <v>477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11">
        <f>SUM(G57:G71)</f>
        <v>978811.01782608707</v>
      </c>
      <c r="J57" s="911">
        <v>1619207.63908368</v>
      </c>
      <c r="K57" s="363"/>
      <c r="L57" s="357">
        <v>6</v>
      </c>
      <c r="M57" s="665" t="s">
        <v>478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07">
        <f>J57-SUM(U57:U71)</f>
        <v>1.3183329720050097E-3</v>
      </c>
      <c r="W57" s="641"/>
      <c r="X57" s="906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11"/>
      <c r="J58" s="911"/>
      <c r="K58" s="371"/>
      <c r="L58" s="364">
        <v>6</v>
      </c>
      <c r="M58" s="663" t="s">
        <v>478</v>
      </c>
      <c r="N58" s="697" t="s">
        <v>479</v>
      </c>
      <c r="O58" s="716"/>
      <c r="P58" s="714"/>
      <c r="Q58" s="714">
        <v>14956</v>
      </c>
      <c r="R58" s="715" t="s">
        <v>480</v>
      </c>
      <c r="S58" s="534" t="s">
        <v>481</v>
      </c>
      <c r="T58" s="753">
        <v>45716</v>
      </c>
      <c r="U58" s="767">
        <v>15836.642766224404</v>
      </c>
      <c r="V58" s="907"/>
      <c r="W58" s="739">
        <v>45701</v>
      </c>
      <c r="X58" s="906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11"/>
      <c r="J59" s="911"/>
      <c r="K59" s="371"/>
      <c r="L59" s="364">
        <v>6</v>
      </c>
      <c r="M59" s="663" t="s">
        <v>478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07"/>
      <c r="W59" s="700"/>
      <c r="X59" s="906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11"/>
      <c r="J60" s="911"/>
      <c r="K60" s="371"/>
      <c r="L60" s="364">
        <v>6</v>
      </c>
      <c r="M60" s="663" t="s">
        <v>478</v>
      </c>
      <c r="N60" s="697" t="s">
        <v>482</v>
      </c>
      <c r="O60" s="698"/>
      <c r="P60" s="699"/>
      <c r="Q60" s="714">
        <v>126142</v>
      </c>
      <c r="R60" s="219" t="s">
        <v>483</v>
      </c>
      <c r="S60" s="534" t="s">
        <v>484</v>
      </c>
      <c r="T60" s="753">
        <v>45716</v>
      </c>
      <c r="U60" s="767">
        <v>93925.81338974851</v>
      </c>
      <c r="V60" s="907"/>
      <c r="W60" s="739">
        <v>45708</v>
      </c>
      <c r="X60" s="906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11"/>
      <c r="J61" s="911"/>
      <c r="K61" s="371"/>
      <c r="L61" s="364">
        <v>6</v>
      </c>
      <c r="M61" s="663" t="s">
        <v>478</v>
      </c>
      <c r="N61" s="697" t="s">
        <v>415</v>
      </c>
      <c r="O61" s="698">
        <v>616919.5</v>
      </c>
      <c r="P61" s="699">
        <f>P105</f>
        <v>0.3</v>
      </c>
      <c r="Q61" s="369">
        <f>$O$61*P61</f>
        <v>185075.85</v>
      </c>
      <c r="R61" s="916" t="s">
        <v>416</v>
      </c>
      <c r="S61" s="534" t="s">
        <v>417</v>
      </c>
      <c r="T61" s="753">
        <v>45688</v>
      </c>
      <c r="U61" s="766">
        <v>480584.15055997926</v>
      </c>
      <c r="V61" s="907"/>
      <c r="W61" s="739">
        <v>45666</v>
      </c>
      <c r="X61" s="906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127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11"/>
      <c r="J62" s="911"/>
      <c r="K62" s="371"/>
      <c r="L62" s="364">
        <v>6</v>
      </c>
      <c r="M62" s="663" t="s">
        <v>478</v>
      </c>
      <c r="N62" s="366" t="s">
        <v>418</v>
      </c>
      <c r="O62" s="367"/>
      <c r="P62" s="699">
        <f>P106</f>
        <v>0.2</v>
      </c>
      <c r="Q62" s="369">
        <f>$O$61*P62</f>
        <v>123383.90000000001</v>
      </c>
      <c r="R62" s="918"/>
      <c r="S62" s="534" t="s">
        <v>419</v>
      </c>
      <c r="T62" s="753">
        <f t="shared" ref="T62:T63" si="10">T106</f>
        <v>45716</v>
      </c>
      <c r="U62" s="766">
        <v>293960.29458554141</v>
      </c>
      <c r="V62" s="907"/>
      <c r="W62" s="739">
        <f t="shared" ref="W62:W63" si="11">W106</f>
        <v>45708</v>
      </c>
      <c r="X62" s="906"/>
      <c r="Y62" s="197"/>
    </row>
    <row r="63" spans="1:42" ht="14.25" customHeight="1" thickBot="1">
      <c r="B63" s="364">
        <v>6</v>
      </c>
      <c r="C63" s="590"/>
      <c r="D63" s="366" t="s">
        <v>485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11"/>
      <c r="J63" s="911"/>
      <c r="K63" s="371"/>
      <c r="L63" s="364">
        <v>6</v>
      </c>
      <c r="M63" s="664" t="s">
        <v>478</v>
      </c>
      <c r="N63" s="366" t="s">
        <v>420</v>
      </c>
      <c r="O63" s="367"/>
      <c r="P63" s="699">
        <f>P107</f>
        <v>0.3</v>
      </c>
      <c r="Q63" s="369">
        <f>$O$61*P63</f>
        <v>185075.85</v>
      </c>
      <c r="R63" s="918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07"/>
      <c r="W63" s="739">
        <f t="shared" si="11"/>
        <v>45757</v>
      </c>
      <c r="X63" s="906"/>
      <c r="Y63" s="197"/>
    </row>
    <row r="64" spans="1:42" ht="14.25" customHeight="1" thickBot="1">
      <c r="B64" s="364">
        <v>6</v>
      </c>
      <c r="C64" s="590"/>
      <c r="D64" s="366" t="s">
        <v>486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11"/>
      <c r="J64" s="911"/>
      <c r="K64" s="371"/>
      <c r="L64" s="364">
        <v>6</v>
      </c>
      <c r="M64" s="664" t="s">
        <v>478</v>
      </c>
      <c r="N64" s="366" t="s">
        <v>421</v>
      </c>
      <c r="O64" s="367"/>
      <c r="P64" s="699">
        <f>P108</f>
        <v>0.15</v>
      </c>
      <c r="Q64" s="369">
        <f>$O$61*P64</f>
        <v>92537.925000000003</v>
      </c>
      <c r="R64" s="918"/>
      <c r="S64" s="534" t="str">
        <f>S108</f>
        <v>Cosmic Sun CS_TRS_009</v>
      </c>
      <c r="T64" s="753">
        <f>T108</f>
        <v>45777</v>
      </c>
      <c r="U64" s="766">
        <v>97986.765214807878</v>
      </c>
      <c r="V64" s="907"/>
      <c r="W64" s="739">
        <f>W108</f>
        <v>45764</v>
      </c>
      <c r="X64" s="906"/>
      <c r="Y64" s="197"/>
    </row>
    <row r="65" spans="1:42" ht="14.25" customHeight="1" thickBot="1">
      <c r="B65" s="364">
        <v>6</v>
      </c>
      <c r="C65" s="365"/>
      <c r="D65" s="366" t="s">
        <v>487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11"/>
      <c r="J65" s="911"/>
      <c r="K65" s="371"/>
      <c r="L65" s="364">
        <v>6</v>
      </c>
      <c r="M65" s="664" t="s">
        <v>478</v>
      </c>
      <c r="N65" s="366" t="s">
        <v>424</v>
      </c>
      <c r="O65" s="367"/>
      <c r="P65" s="699">
        <f>P109</f>
        <v>0.05</v>
      </c>
      <c r="Q65" s="369">
        <f>$O$61*P65</f>
        <v>30845.975000000002</v>
      </c>
      <c r="R65" s="918"/>
      <c r="S65" s="534" t="s">
        <v>425</v>
      </c>
      <c r="T65" s="753">
        <f>T109</f>
        <v>45838</v>
      </c>
      <c r="U65" s="850">
        <v>32662.255071602627</v>
      </c>
      <c r="V65" s="907"/>
      <c r="W65" s="739">
        <f>W109</f>
        <v>45890</v>
      </c>
      <c r="X65" s="906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11"/>
      <c r="J66" s="911"/>
      <c r="K66" s="371"/>
      <c r="L66" s="364">
        <v>6</v>
      </c>
      <c r="M66" s="664" t="s">
        <v>478</v>
      </c>
      <c r="N66" s="419" t="s">
        <v>426</v>
      </c>
      <c r="O66" s="763"/>
      <c r="P66" s="796"/>
      <c r="Q66" s="403"/>
      <c r="R66" s="918"/>
      <c r="S66" s="533"/>
      <c r="T66" s="503"/>
      <c r="U66" s="771"/>
      <c r="V66" s="907"/>
      <c r="W66" s="700"/>
      <c r="X66" s="906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11"/>
      <c r="J67" s="911"/>
      <c r="K67" s="371"/>
      <c r="L67" s="364">
        <v>6</v>
      </c>
      <c r="M67" s="664" t="s">
        <v>478</v>
      </c>
      <c r="N67" s="419" t="s">
        <v>427</v>
      </c>
      <c r="O67" s="806">
        <v>771149.37</v>
      </c>
      <c r="P67" s="796">
        <f>P111</f>
        <v>0.3</v>
      </c>
      <c r="Q67" s="403">
        <f>O67*P67</f>
        <v>231344.81099999999</v>
      </c>
      <c r="R67" s="918"/>
      <c r="S67" s="626" t="s">
        <v>417</v>
      </c>
      <c r="T67" s="758">
        <f>T111</f>
        <v>45688</v>
      </c>
      <c r="U67" s="771"/>
      <c r="V67" s="907"/>
      <c r="W67" s="739">
        <f>W111</f>
        <v>45666</v>
      </c>
      <c r="X67" s="906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11"/>
      <c r="J68" s="911"/>
      <c r="K68" s="371"/>
      <c r="L68" s="364">
        <v>6</v>
      </c>
      <c r="M68" s="664" t="s">
        <v>478</v>
      </c>
      <c r="N68" s="419" t="s">
        <v>418</v>
      </c>
      <c r="O68" s="763"/>
      <c r="P68" s="796">
        <f>P112</f>
        <v>0.2</v>
      </c>
      <c r="Q68" s="403">
        <f>O67*P68</f>
        <v>154229.87400000001</v>
      </c>
      <c r="R68" s="918"/>
      <c r="S68" s="626" t="s">
        <v>419</v>
      </c>
      <c r="T68" s="758">
        <f>T112</f>
        <v>45716</v>
      </c>
      <c r="U68" s="771"/>
      <c r="V68" s="907"/>
      <c r="W68" s="739">
        <f t="shared" ref="W68:W69" si="12">W112</f>
        <v>45708</v>
      </c>
      <c r="X68" s="906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11"/>
      <c r="J69" s="911"/>
      <c r="K69" s="371"/>
      <c r="L69" s="364">
        <v>6</v>
      </c>
      <c r="M69" s="664" t="s">
        <v>478</v>
      </c>
      <c r="N69" s="419" t="s">
        <v>284</v>
      </c>
      <c r="O69" s="763"/>
      <c r="P69" s="796">
        <f>P113</f>
        <v>0.3</v>
      </c>
      <c r="Q69" s="403">
        <f>O67*P69</f>
        <v>231344.81099999999</v>
      </c>
      <c r="R69" s="918"/>
      <c r="S69" s="626" t="s">
        <v>428</v>
      </c>
      <c r="T69" s="758">
        <f>T113</f>
        <v>45777</v>
      </c>
      <c r="U69" s="782">
        <v>244966.91144869631</v>
      </c>
      <c r="V69" s="907"/>
      <c r="W69" s="739">
        <f t="shared" si="12"/>
        <v>45785</v>
      </c>
      <c r="X69" s="906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11"/>
      <c r="J70" s="911"/>
      <c r="K70" s="371"/>
      <c r="L70" s="364">
        <v>6</v>
      </c>
      <c r="M70" s="664" t="s">
        <v>478</v>
      </c>
      <c r="N70" s="419" t="s">
        <v>429</v>
      </c>
      <c r="O70" s="763"/>
      <c r="P70" s="795">
        <f>P114</f>
        <v>0.15</v>
      </c>
      <c r="Q70" s="403">
        <f>O67*P70</f>
        <v>115672.40549999999</v>
      </c>
      <c r="R70" s="918"/>
      <c r="S70" s="626" t="s">
        <v>428</v>
      </c>
      <c r="T70" s="758">
        <f>T114</f>
        <v>45777</v>
      </c>
      <c r="U70" s="782">
        <v>122483.45572434815</v>
      </c>
      <c r="V70" s="907"/>
      <c r="W70" s="739">
        <v>45785</v>
      </c>
      <c r="X70" s="906"/>
      <c r="Y70" s="207"/>
    </row>
    <row r="71" spans="1:42" ht="15" customHeight="1" thickBot="1">
      <c r="B71" s="372">
        <v>6</v>
      </c>
      <c r="C71" s="591"/>
      <c r="D71" s="374" t="s">
        <v>488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11"/>
      <c r="J71" s="911"/>
      <c r="K71" s="379"/>
      <c r="L71" s="372">
        <v>6</v>
      </c>
      <c r="M71" s="666" t="s">
        <v>478</v>
      </c>
      <c r="N71" s="374" t="s">
        <v>424</v>
      </c>
      <c r="O71" s="375"/>
      <c r="P71" s="376">
        <f>P115</f>
        <v>0.05</v>
      </c>
      <c r="Q71" s="377">
        <f>O67*P71</f>
        <v>38557.468500000003</v>
      </c>
      <c r="R71" s="917"/>
      <c r="S71" s="828" t="s">
        <v>431</v>
      </c>
      <c r="T71" s="818">
        <v>45838</v>
      </c>
      <c r="U71" s="851">
        <v>40827.818574782723</v>
      </c>
      <c r="V71" s="907"/>
      <c r="W71" s="824">
        <f>W115</f>
        <v>45890</v>
      </c>
      <c r="X71" s="906"/>
      <c r="Y71" s="205"/>
    </row>
    <row r="72" spans="1:42" ht="14.2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489</v>
      </c>
      <c r="D73" s="549"/>
      <c r="E73" s="550"/>
      <c r="F73" s="551"/>
      <c r="G73" s="552"/>
      <c r="H73" s="553"/>
      <c r="I73" s="898">
        <f>SUM(G73:G80)</f>
        <v>0</v>
      </c>
      <c r="J73" s="898">
        <v>0</v>
      </c>
      <c r="K73" s="346"/>
      <c r="L73" s="548">
        <v>7</v>
      </c>
      <c r="M73" s="384" t="s">
        <v>489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894">
        <f>J73-SUM(U73:U80)</f>
        <v>0</v>
      </c>
      <c r="W73" s="554"/>
      <c r="X73" s="897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898"/>
      <c r="J74" s="898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894"/>
      <c r="W74" s="564"/>
      <c r="X74" s="897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898"/>
      <c r="J75" s="898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894"/>
      <c r="W75" s="564"/>
      <c r="X75" s="897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898"/>
      <c r="J76" s="898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894"/>
      <c r="W76" s="564"/>
      <c r="X76" s="897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898"/>
      <c r="J77" s="898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894"/>
      <c r="W77" s="564"/>
      <c r="X77" s="897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898"/>
      <c r="J78" s="898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894"/>
      <c r="W78" s="564"/>
      <c r="X78" s="897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898"/>
      <c r="J79" s="898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894"/>
      <c r="W79" s="564"/>
      <c r="X79" s="897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898"/>
      <c r="J80" s="898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894"/>
      <c r="W80" s="459"/>
      <c r="X80" s="897"/>
      <c r="Y80" s="203"/>
    </row>
    <row r="81" spans="1:42" ht="14.2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490</v>
      </c>
      <c r="D82" s="416" t="s">
        <v>491</v>
      </c>
      <c r="E82" s="706"/>
      <c r="F82" s="704"/>
      <c r="G82" s="417">
        <v>100000</v>
      </c>
      <c r="H82" s="418" t="e">
        <f>H71</f>
        <v>#REF!</v>
      </c>
      <c r="I82" s="911">
        <f>SUM(G82:G103)</f>
        <v>608000</v>
      </c>
      <c r="J82" s="911">
        <f>277419.35483871+368421.052631579</f>
        <v>645840.40747028892</v>
      </c>
      <c r="K82" s="363"/>
      <c r="L82" s="415">
        <v>8</v>
      </c>
      <c r="M82" s="659" t="s">
        <v>492</v>
      </c>
      <c r="N82" s="416" t="s">
        <v>493</v>
      </c>
      <c r="O82" s="709"/>
      <c r="P82" s="704"/>
      <c r="Q82" s="417">
        <v>99</v>
      </c>
      <c r="R82" s="761" t="s">
        <v>494</v>
      </c>
      <c r="S82" s="534" t="s">
        <v>495</v>
      </c>
      <c r="T82" s="825">
        <v>45808</v>
      </c>
      <c r="U82" s="836">
        <v>132.70615630593156</v>
      </c>
      <c r="V82" s="907">
        <f>J82-SUM(U82:U103)</f>
        <v>3.1841852469369769E-3</v>
      </c>
      <c r="W82" s="847">
        <v>45835</v>
      </c>
      <c r="X82" s="906">
        <f>SUM(Q82:Q103)</f>
        <v>492321.82</v>
      </c>
      <c r="Y82" s="208" t="s">
        <v>496</v>
      </c>
    </row>
    <row r="83" spans="1:42" ht="14.25" customHeight="1" thickBot="1">
      <c r="B83" s="401">
        <v>8</v>
      </c>
      <c r="C83" s="402"/>
      <c r="D83" s="419" t="s">
        <v>497</v>
      </c>
      <c r="E83" s="645"/>
      <c r="F83" s="705"/>
      <c r="G83" s="403">
        <v>250000</v>
      </c>
      <c r="H83" s="404" t="e">
        <f>H82</f>
        <v>#REF!</v>
      </c>
      <c r="I83" s="911"/>
      <c r="J83" s="911"/>
      <c r="K83" s="371"/>
      <c r="L83" s="401">
        <v>8</v>
      </c>
      <c r="M83" s="669" t="s">
        <v>492</v>
      </c>
      <c r="N83" s="419" t="s">
        <v>498</v>
      </c>
      <c r="O83" s="752"/>
      <c r="P83" s="705"/>
      <c r="Q83" s="403">
        <v>1500</v>
      </c>
      <c r="R83" s="219" t="s">
        <v>499</v>
      </c>
      <c r="S83" s="534" t="s">
        <v>500</v>
      </c>
      <c r="T83" s="758">
        <v>45808</v>
      </c>
      <c r="U83" s="837">
        <v>2010.6993379686598</v>
      </c>
      <c r="V83" s="907"/>
      <c r="W83" s="772">
        <v>45806</v>
      </c>
      <c r="X83" s="906"/>
      <c r="Y83" s="207"/>
    </row>
    <row r="84" spans="1:42" ht="14.25" customHeight="1" thickBot="1">
      <c r="B84" s="401">
        <v>8</v>
      </c>
      <c r="C84" s="402"/>
      <c r="D84" s="419" t="s">
        <v>501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11"/>
      <c r="J84" s="911"/>
      <c r="K84" s="371"/>
      <c r="L84" s="401">
        <v>8</v>
      </c>
      <c r="M84" s="669" t="s">
        <v>492</v>
      </c>
      <c r="N84" s="419" t="s">
        <v>502</v>
      </c>
      <c r="O84" s="752">
        <v>171800</v>
      </c>
      <c r="P84" s="794">
        <v>0.5</v>
      </c>
      <c r="Q84" s="403">
        <f>O84*P84</f>
        <v>85900</v>
      </c>
      <c r="R84" s="219" t="s">
        <v>503</v>
      </c>
      <c r="S84" s="626" t="s">
        <v>504</v>
      </c>
      <c r="T84" s="758">
        <v>45777</v>
      </c>
      <c r="U84" s="766">
        <v>172789.30223232287</v>
      </c>
      <c r="V84" s="907"/>
      <c r="W84" s="772">
        <v>45785</v>
      </c>
      <c r="X84" s="906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11"/>
      <c r="J85" s="911"/>
      <c r="K85" s="371"/>
      <c r="L85" s="401">
        <v>8</v>
      </c>
      <c r="M85" s="669" t="s">
        <v>492</v>
      </c>
      <c r="N85" s="419"/>
      <c r="O85" s="752"/>
      <c r="P85" s="859">
        <v>0.5</v>
      </c>
      <c r="Q85" s="860">
        <f>O84*P85</f>
        <v>85900</v>
      </c>
      <c r="R85" s="219"/>
      <c r="S85" s="626" t="s">
        <v>504</v>
      </c>
      <c r="T85" s="758">
        <v>45777</v>
      </c>
      <c r="U85" s="766">
        <v>172789.30223232287</v>
      </c>
      <c r="V85" s="907"/>
      <c r="W85" s="772">
        <v>45827</v>
      </c>
      <c r="X85" s="906"/>
      <c r="Y85" s="207"/>
    </row>
    <row r="86" spans="1:42" ht="14.25" customHeight="1" thickBot="1">
      <c r="B86" s="401">
        <v>8</v>
      </c>
      <c r="C86" s="402"/>
      <c r="D86" s="419" t="s">
        <v>505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11"/>
      <c r="J86" s="911"/>
      <c r="K86" s="371"/>
      <c r="L86" s="401">
        <v>8</v>
      </c>
      <c r="M86" s="669" t="s">
        <v>492</v>
      </c>
      <c r="N86" s="419" t="s">
        <v>506</v>
      </c>
      <c r="O86" s="752"/>
      <c r="P86" s="705"/>
      <c r="Q86" s="403">
        <v>16800</v>
      </c>
      <c r="R86" s="219" t="s">
        <v>507</v>
      </c>
      <c r="S86" s="626" t="s">
        <v>508</v>
      </c>
      <c r="T86" s="758">
        <v>45716</v>
      </c>
      <c r="U86" s="766">
        <v>39344.387220710938</v>
      </c>
      <c r="V86" s="907"/>
      <c r="W86" s="772">
        <v>45820</v>
      </c>
      <c r="X86" s="906"/>
      <c r="Y86" s="207"/>
    </row>
    <row r="87" spans="1:42" ht="14.25" customHeight="1" thickBot="1">
      <c r="B87" s="401">
        <v>8</v>
      </c>
      <c r="C87" s="402"/>
      <c r="D87" s="419" t="s">
        <v>509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11"/>
      <c r="J87" s="911"/>
      <c r="K87" s="371"/>
      <c r="L87" s="401">
        <v>8</v>
      </c>
      <c r="M87" s="669" t="s">
        <v>492</v>
      </c>
      <c r="N87" s="419" t="s">
        <v>510</v>
      </c>
      <c r="O87" s="752">
        <f>120/5.7</f>
        <v>21.052631578947366</v>
      </c>
      <c r="P87" s="705">
        <v>2974.66</v>
      </c>
      <c r="Q87" s="403">
        <v>62467.86</v>
      </c>
      <c r="R87" s="916" t="s">
        <v>511</v>
      </c>
      <c r="S87" s="626" t="s">
        <v>512</v>
      </c>
      <c r="T87" s="758">
        <v>45747</v>
      </c>
      <c r="U87" s="766">
        <v>39459.629818039692</v>
      </c>
      <c r="V87" s="907"/>
      <c r="W87" s="786">
        <v>45729</v>
      </c>
      <c r="X87" s="906"/>
      <c r="Y87" s="207" t="s">
        <v>513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11"/>
      <c r="J88" s="911"/>
      <c r="K88" s="371"/>
      <c r="L88" s="401">
        <v>8</v>
      </c>
      <c r="M88" s="669" t="s">
        <v>492</v>
      </c>
      <c r="N88" s="419" t="s">
        <v>514</v>
      </c>
      <c r="O88" s="645">
        <v>23</v>
      </c>
      <c r="P88" s="705">
        <v>94.8</v>
      </c>
      <c r="Q88" s="776">
        <f>P88*O88</f>
        <v>2180.4</v>
      </c>
      <c r="R88" s="918"/>
      <c r="S88" s="626" t="s">
        <v>512</v>
      </c>
      <c r="T88" s="758">
        <f>T87</f>
        <v>45747</v>
      </c>
      <c r="U88" s="766">
        <v>1377.3126989663765</v>
      </c>
      <c r="V88" s="907"/>
      <c r="W88" s="786">
        <f>W87</f>
        <v>45729</v>
      </c>
      <c r="X88" s="906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11"/>
      <c r="J89" s="911"/>
      <c r="K89" s="371"/>
      <c r="L89" s="401">
        <v>8</v>
      </c>
      <c r="M89" s="669" t="s">
        <v>492</v>
      </c>
      <c r="N89" s="419" t="s">
        <v>515</v>
      </c>
      <c r="O89" s="645"/>
      <c r="P89" s="705"/>
      <c r="Q89" s="403">
        <v>5175</v>
      </c>
      <c r="R89" s="913"/>
      <c r="S89" s="626" t="s">
        <v>512</v>
      </c>
      <c r="T89" s="758">
        <f>T88</f>
        <v>45747</v>
      </c>
      <c r="U89" s="766">
        <v>3268.9383677999444</v>
      </c>
      <c r="V89" s="907"/>
      <c r="W89" s="786">
        <f>W87</f>
        <v>45729</v>
      </c>
      <c r="X89" s="906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11"/>
      <c r="J90" s="911"/>
      <c r="K90" s="371"/>
      <c r="L90" s="401">
        <v>8</v>
      </c>
      <c r="M90" s="669" t="s">
        <v>492</v>
      </c>
      <c r="N90" s="419" t="s">
        <v>516</v>
      </c>
      <c r="O90" s="645"/>
      <c r="P90" s="705"/>
      <c r="Q90" s="403">
        <v>10519</v>
      </c>
      <c r="R90" s="219" t="s">
        <v>517</v>
      </c>
      <c r="S90" s="626" t="s">
        <v>518</v>
      </c>
      <c r="T90" s="758">
        <v>45838</v>
      </c>
      <c r="U90" s="850">
        <v>0</v>
      </c>
      <c r="V90" s="907"/>
      <c r="W90" s="772">
        <v>45841</v>
      </c>
      <c r="X90" s="906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11"/>
      <c r="J91" s="911"/>
      <c r="K91" s="371"/>
      <c r="L91" s="401">
        <v>8</v>
      </c>
      <c r="M91" s="669" t="s">
        <v>492</v>
      </c>
      <c r="N91" s="419" t="s">
        <v>519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07"/>
      <c r="W91" s="461"/>
      <c r="X91" s="906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11"/>
      <c r="J92" s="911"/>
      <c r="K92" s="371"/>
      <c r="L92" s="401">
        <v>8</v>
      </c>
      <c r="M92" s="669" t="s">
        <v>492</v>
      </c>
      <c r="N92" s="419" t="s">
        <v>520</v>
      </c>
      <c r="O92" s="645"/>
      <c r="P92" s="705"/>
      <c r="Q92" s="403">
        <v>1100</v>
      </c>
      <c r="R92" s="219" t="s">
        <v>521</v>
      </c>
      <c r="S92" s="626" t="s">
        <v>522</v>
      </c>
      <c r="T92" s="758">
        <v>45808</v>
      </c>
      <c r="U92" s="766">
        <v>0</v>
      </c>
      <c r="V92" s="907"/>
      <c r="W92" s="772">
        <v>45827</v>
      </c>
      <c r="X92" s="906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11"/>
      <c r="J93" s="911"/>
      <c r="K93" s="371"/>
      <c r="L93" s="401">
        <v>8</v>
      </c>
      <c r="M93" s="669" t="s">
        <v>492</v>
      </c>
      <c r="N93" s="419" t="s">
        <v>523</v>
      </c>
      <c r="O93" s="645"/>
      <c r="P93" s="705"/>
      <c r="Q93" s="403">
        <v>12000</v>
      </c>
      <c r="R93" s="219" t="s">
        <v>524</v>
      </c>
      <c r="S93" s="626" t="s">
        <v>525</v>
      </c>
      <c r="T93" s="758">
        <v>45688</v>
      </c>
      <c r="U93" s="766">
        <v>8098.8322427598778</v>
      </c>
      <c r="V93" s="907"/>
      <c r="W93" s="774">
        <v>45708</v>
      </c>
      <c r="X93" s="906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11"/>
      <c r="J94" s="911"/>
      <c r="K94" s="371"/>
      <c r="L94" s="401">
        <v>8</v>
      </c>
      <c r="M94" s="669" t="s">
        <v>492</v>
      </c>
      <c r="N94" s="419" t="s">
        <v>526</v>
      </c>
      <c r="O94" s="763">
        <v>0.5</v>
      </c>
      <c r="P94" s="705">
        <v>47900</v>
      </c>
      <c r="Q94" s="403">
        <f>O94*P94</f>
        <v>23950</v>
      </c>
      <c r="R94" s="916" t="s">
        <v>527</v>
      </c>
      <c r="S94" s="626" t="s">
        <v>528</v>
      </c>
      <c r="T94" s="787">
        <v>45747</v>
      </c>
      <c r="U94" s="766">
        <v>0</v>
      </c>
      <c r="V94" s="907"/>
      <c r="W94" s="772">
        <v>45736</v>
      </c>
      <c r="X94" s="906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11"/>
      <c r="J95" s="911"/>
      <c r="K95" s="371"/>
      <c r="L95" s="401">
        <v>8</v>
      </c>
      <c r="M95" s="669" t="s">
        <v>492</v>
      </c>
      <c r="N95" s="419" t="s">
        <v>529</v>
      </c>
      <c r="O95" s="763">
        <v>0.5</v>
      </c>
      <c r="P95" s="705"/>
      <c r="Q95" s="403">
        <f>P94*O95</f>
        <v>23950</v>
      </c>
      <c r="R95" s="913"/>
      <c r="S95" s="626" t="s">
        <v>528</v>
      </c>
      <c r="T95" s="787">
        <v>45747</v>
      </c>
      <c r="U95" s="766">
        <v>0</v>
      </c>
      <c r="V95" s="907"/>
      <c r="W95" s="772">
        <v>45876</v>
      </c>
      <c r="X95" s="906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11"/>
      <c r="J96" s="911"/>
      <c r="K96" s="371"/>
      <c r="L96" s="401">
        <v>8</v>
      </c>
      <c r="M96" s="669" t="s">
        <v>492</v>
      </c>
      <c r="N96" s="419" t="s">
        <v>530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07"/>
      <c r="W96" s="461"/>
      <c r="X96" s="906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11"/>
      <c r="J97" s="911"/>
      <c r="K97" s="371"/>
      <c r="L97" s="401">
        <v>8</v>
      </c>
      <c r="M97" s="669" t="s">
        <v>492</v>
      </c>
      <c r="N97" s="419" t="s">
        <v>531</v>
      </c>
      <c r="O97" s="763">
        <v>0.6</v>
      </c>
      <c r="P97" s="705">
        <v>106215.56</v>
      </c>
      <c r="Q97" s="403">
        <f>O97*P97</f>
        <v>63729.335999999996</v>
      </c>
      <c r="R97" s="916" t="s">
        <v>532</v>
      </c>
      <c r="S97" s="626" t="s">
        <v>533</v>
      </c>
      <c r="T97" s="758">
        <v>45716</v>
      </c>
      <c r="U97" s="782">
        <v>41161.591621423409</v>
      </c>
      <c r="V97" s="907"/>
      <c r="W97" s="772">
        <v>45708</v>
      </c>
      <c r="X97" s="906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11"/>
      <c r="J98" s="911"/>
      <c r="K98" s="371"/>
      <c r="L98" s="401">
        <v>8</v>
      </c>
      <c r="M98" s="669" t="s">
        <v>492</v>
      </c>
      <c r="N98" s="419"/>
      <c r="O98" s="763">
        <v>0.4</v>
      </c>
      <c r="P98" s="705"/>
      <c r="Q98" s="403">
        <f>O98*P97</f>
        <v>42486.224000000002</v>
      </c>
      <c r="R98" s="913"/>
      <c r="S98" s="626" t="s">
        <v>534</v>
      </c>
      <c r="T98" s="758">
        <v>45747</v>
      </c>
      <c r="U98" s="782">
        <v>26939.091736530012</v>
      </c>
      <c r="V98" s="907"/>
      <c r="W98" s="772">
        <v>45750</v>
      </c>
      <c r="X98" s="906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11"/>
      <c r="J99" s="911"/>
      <c r="K99" s="371"/>
      <c r="L99" s="401">
        <v>8</v>
      </c>
      <c r="M99" s="669" t="s">
        <v>492</v>
      </c>
      <c r="N99" s="419" t="s">
        <v>535</v>
      </c>
      <c r="O99" s="763">
        <v>0.75</v>
      </c>
      <c r="P99" s="705">
        <v>44655</v>
      </c>
      <c r="Q99" s="403">
        <f>O99*P99</f>
        <v>33491.25</v>
      </c>
      <c r="R99" s="916" t="s">
        <v>536</v>
      </c>
      <c r="S99" s="626" t="s">
        <v>537</v>
      </c>
      <c r="T99" s="758">
        <v>45777</v>
      </c>
      <c r="U99" s="766">
        <v>39856.732746080124</v>
      </c>
      <c r="V99" s="907"/>
      <c r="W99" s="772">
        <v>45757</v>
      </c>
      <c r="X99" s="906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11"/>
      <c r="J100" s="911"/>
      <c r="K100" s="371"/>
      <c r="L100" s="401">
        <v>8</v>
      </c>
      <c r="M100" s="669" t="s">
        <v>492</v>
      </c>
      <c r="N100" s="419"/>
      <c r="O100" s="763">
        <v>0.25</v>
      </c>
      <c r="P100" s="705"/>
      <c r="Q100" s="403">
        <f>O100*P99</f>
        <v>11163.75</v>
      </c>
      <c r="R100" s="913"/>
      <c r="S100" s="626" t="s">
        <v>537</v>
      </c>
      <c r="T100" s="758">
        <v>45777</v>
      </c>
      <c r="U100" s="766">
        <v>13285.577582026706</v>
      </c>
      <c r="V100" s="907"/>
      <c r="W100" s="786">
        <v>45792</v>
      </c>
      <c r="X100" s="906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11"/>
      <c r="J101" s="911"/>
      <c r="K101" s="371"/>
      <c r="L101" s="401">
        <v>8</v>
      </c>
      <c r="M101" s="669" t="s">
        <v>492</v>
      </c>
      <c r="N101" s="419" t="s">
        <v>538</v>
      </c>
      <c r="O101" s="645"/>
      <c r="P101" s="705"/>
      <c r="Q101" s="403">
        <v>3500</v>
      </c>
      <c r="R101" s="219" t="s">
        <v>539</v>
      </c>
      <c r="S101" s="626" t="s">
        <v>540</v>
      </c>
      <c r="T101" s="758">
        <v>45808</v>
      </c>
      <c r="U101" s="837">
        <v>76733.911788593541</v>
      </c>
      <c r="V101" s="907"/>
      <c r="W101" s="772">
        <v>45820</v>
      </c>
      <c r="X101" s="906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11"/>
      <c r="J102" s="911"/>
      <c r="K102" s="371"/>
      <c r="L102" s="401">
        <v>8</v>
      </c>
      <c r="M102" s="669" t="s">
        <v>492</v>
      </c>
      <c r="N102" s="419" t="s">
        <v>541</v>
      </c>
      <c r="O102" s="645">
        <v>50</v>
      </c>
      <c r="P102" s="705">
        <v>94.8</v>
      </c>
      <c r="Q102" s="403">
        <f>O102*P102</f>
        <v>4740</v>
      </c>
      <c r="R102" s="916" t="s">
        <v>542</v>
      </c>
      <c r="S102" s="626" t="s">
        <v>543</v>
      </c>
      <c r="T102" s="758">
        <v>45808</v>
      </c>
      <c r="U102" s="838">
        <v>6353.8099079809645</v>
      </c>
      <c r="V102" s="907"/>
      <c r="W102" s="772">
        <v>45806</v>
      </c>
      <c r="X102" s="906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11"/>
      <c r="J103" s="911"/>
      <c r="K103" s="379"/>
      <c r="L103" s="372">
        <v>8</v>
      </c>
      <c r="M103" s="666" t="s">
        <v>492</v>
      </c>
      <c r="N103" s="419" t="s">
        <v>544</v>
      </c>
      <c r="O103" s="645">
        <v>1</v>
      </c>
      <c r="P103" s="705">
        <v>1670</v>
      </c>
      <c r="Q103" s="377">
        <f>O103*P103</f>
        <v>1670</v>
      </c>
      <c r="R103" s="917"/>
      <c r="S103" s="826" t="s">
        <v>543</v>
      </c>
      <c r="T103" s="818">
        <v>45808</v>
      </c>
      <c r="U103" s="839">
        <v>2238.5785962717746</v>
      </c>
      <c r="V103" s="907"/>
      <c r="W103" s="824">
        <v>45806</v>
      </c>
      <c r="X103" s="906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545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546</v>
      </c>
      <c r="D105" s="407" t="s">
        <v>477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04">
        <f>SUM(G105:G115)</f>
        <v>1003132</v>
      </c>
      <c r="J105" s="898">
        <f>509391.304347826+1168086.95652174</f>
        <v>1677478.2608695659</v>
      </c>
      <c r="K105" s="350"/>
      <c r="L105" s="386">
        <v>9</v>
      </c>
      <c r="M105" s="657" t="s">
        <v>547</v>
      </c>
      <c r="N105" s="407" t="s">
        <v>415</v>
      </c>
      <c r="O105" s="692">
        <v>912222.22</v>
      </c>
      <c r="P105" s="408">
        <v>0.3</v>
      </c>
      <c r="Q105" s="344">
        <f>$O$105*P105</f>
        <v>273666.66599999997</v>
      </c>
      <c r="R105" s="899" t="s">
        <v>416</v>
      </c>
      <c r="S105" s="536" t="s">
        <v>417</v>
      </c>
      <c r="T105" s="732">
        <v>45688</v>
      </c>
      <c r="U105" s="768">
        <v>503243.47826086974</v>
      </c>
      <c r="V105" s="891">
        <f>J105-SUM(U105:U115)</f>
        <v>0</v>
      </c>
      <c r="W105" s="738">
        <v>45666</v>
      </c>
      <c r="X105" s="896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127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04"/>
      <c r="J106" s="898"/>
      <c r="K106" s="350"/>
      <c r="L106" s="386">
        <v>9</v>
      </c>
      <c r="M106" s="657" t="s">
        <v>547</v>
      </c>
      <c r="N106" s="409" t="s">
        <v>418</v>
      </c>
      <c r="O106" s="391"/>
      <c r="P106" s="410">
        <v>0.2</v>
      </c>
      <c r="Q106" s="390">
        <f>$O$105*P106</f>
        <v>182444.44400000002</v>
      </c>
      <c r="R106" s="900"/>
      <c r="S106" s="523" t="s">
        <v>419</v>
      </c>
      <c r="T106" s="751">
        <v>45716</v>
      </c>
      <c r="U106" s="783">
        <v>335495.6521739132</v>
      </c>
      <c r="V106" s="891"/>
      <c r="W106" s="773">
        <v>45708</v>
      </c>
      <c r="X106" s="896"/>
      <c r="Y106" s="202"/>
    </row>
    <row r="107" spans="1:42" ht="15" customHeight="1" thickBot="1">
      <c r="B107" s="386">
        <v>9</v>
      </c>
      <c r="C107" s="688">
        <v>1074640</v>
      </c>
      <c r="D107" s="409" t="s">
        <v>485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04"/>
      <c r="J107" s="898"/>
      <c r="K107" s="350"/>
      <c r="L107" s="386">
        <v>9</v>
      </c>
      <c r="M107" s="657" t="s">
        <v>547</v>
      </c>
      <c r="N107" s="409" t="s">
        <v>420</v>
      </c>
      <c r="O107" s="391"/>
      <c r="P107" s="410">
        <v>0.3</v>
      </c>
      <c r="Q107" s="390">
        <f>$O$105*P107</f>
        <v>273666.66599999997</v>
      </c>
      <c r="R107" s="900"/>
      <c r="S107" s="523" t="s">
        <v>548</v>
      </c>
      <c r="T107" s="751">
        <v>45747</v>
      </c>
      <c r="U107" s="783">
        <v>223663.76757108516</v>
      </c>
      <c r="V107" s="891"/>
      <c r="W107" s="773">
        <v>45757</v>
      </c>
      <c r="X107" s="896"/>
      <c r="Y107" s="202"/>
    </row>
    <row r="108" spans="1:42" ht="15" customHeight="1" thickBot="1">
      <c r="B108" s="386">
        <v>9</v>
      </c>
      <c r="C108" s="421"/>
      <c r="D108" s="409" t="s">
        <v>486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04"/>
      <c r="J108" s="898"/>
      <c r="K108" s="350"/>
      <c r="L108" s="386">
        <v>9</v>
      </c>
      <c r="M108" s="657" t="s">
        <v>547</v>
      </c>
      <c r="N108" s="409" t="s">
        <v>421</v>
      </c>
      <c r="O108" s="391"/>
      <c r="P108" s="410">
        <v>0.15</v>
      </c>
      <c r="Q108" s="390">
        <f>$O$105*P108</f>
        <v>136833.33299999998</v>
      </c>
      <c r="R108" s="900"/>
      <c r="S108" s="532" t="s">
        <v>549</v>
      </c>
      <c r="T108" s="734">
        <v>45777</v>
      </c>
      <c r="U108" s="816">
        <v>111831.88378554258</v>
      </c>
      <c r="V108" s="891"/>
      <c r="W108" s="773">
        <v>45764</v>
      </c>
      <c r="X108" s="896"/>
      <c r="Y108" s="202"/>
    </row>
    <row r="109" spans="1:42" ht="15" customHeight="1" thickBot="1">
      <c r="B109" s="557">
        <v>9</v>
      </c>
      <c r="C109" s="648"/>
      <c r="D109" s="559" t="s">
        <v>487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04"/>
      <c r="J109" s="898"/>
      <c r="K109" s="350"/>
      <c r="L109" s="386">
        <v>9</v>
      </c>
      <c r="M109" s="657" t="s">
        <v>547</v>
      </c>
      <c r="N109" s="409" t="s">
        <v>424</v>
      </c>
      <c r="O109" s="560"/>
      <c r="P109" s="561">
        <v>0.05</v>
      </c>
      <c r="Q109" s="562">
        <f>$O$105*P109</f>
        <v>45611.111000000004</v>
      </c>
      <c r="R109" s="901"/>
      <c r="S109" s="532" t="s">
        <v>425</v>
      </c>
      <c r="T109" s="728">
        <v>45838</v>
      </c>
      <c r="U109" s="853">
        <v>37277.294595180865</v>
      </c>
      <c r="V109" s="891"/>
      <c r="W109" s="773">
        <f>W115</f>
        <v>45890</v>
      </c>
      <c r="X109" s="896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04"/>
      <c r="J110" s="898"/>
      <c r="K110" s="350"/>
      <c r="L110" s="386">
        <v>9</v>
      </c>
      <c r="M110" s="657" t="s">
        <v>547</v>
      </c>
      <c r="N110" s="802" t="s">
        <v>426</v>
      </c>
      <c r="O110" s="560"/>
      <c r="P110" s="561"/>
      <c r="Q110" s="800"/>
      <c r="R110" s="789"/>
      <c r="S110" s="532"/>
      <c r="T110" s="504"/>
      <c r="U110" s="684"/>
      <c r="V110" s="891"/>
      <c r="W110" s="798"/>
      <c r="X110" s="896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04"/>
      <c r="J111" s="898"/>
      <c r="K111" s="350"/>
      <c r="L111" s="386">
        <v>9</v>
      </c>
      <c r="M111" s="657" t="s">
        <v>547</v>
      </c>
      <c r="N111" s="559" t="s">
        <v>427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417</v>
      </c>
      <c r="T111" s="728">
        <v>45688</v>
      </c>
      <c r="U111" s="684"/>
      <c r="V111" s="891"/>
      <c r="W111" s="780">
        <v>45666</v>
      </c>
      <c r="X111" s="897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04"/>
      <c r="J112" s="898"/>
      <c r="K112" s="350"/>
      <c r="L112" s="386">
        <v>9</v>
      </c>
      <c r="M112" s="657" t="s">
        <v>547</v>
      </c>
      <c r="N112" s="559" t="s">
        <v>418</v>
      </c>
      <c r="O112" s="560"/>
      <c r="P112" s="561">
        <v>0.2</v>
      </c>
      <c r="Q112" s="800">
        <f>O111*P112</f>
        <v>228055.55600000001</v>
      </c>
      <c r="R112" s="789"/>
      <c r="S112" s="532" t="s">
        <v>419</v>
      </c>
      <c r="T112" s="728">
        <v>45716</v>
      </c>
      <c r="U112" s="684"/>
      <c r="V112" s="891"/>
      <c r="W112" s="784">
        <v>45708</v>
      </c>
      <c r="X112" s="897"/>
      <c r="Y112" s="485"/>
    </row>
    <row r="113" spans="1:42" ht="15.6" customHeight="1" thickBot="1">
      <c r="B113" s="557"/>
      <c r="C113" s="648"/>
      <c r="D113" s="559"/>
      <c r="E113" s="560"/>
      <c r="F113" s="561"/>
      <c r="G113" s="562"/>
      <c r="H113" s="797"/>
      <c r="I113" s="904"/>
      <c r="J113" s="898"/>
      <c r="K113" s="350"/>
      <c r="L113" s="386">
        <v>9</v>
      </c>
      <c r="M113" s="657" t="s">
        <v>547</v>
      </c>
      <c r="N113" s="559" t="s">
        <v>284</v>
      </c>
      <c r="O113" s="560"/>
      <c r="P113" s="561">
        <v>0.3</v>
      </c>
      <c r="Q113" s="800">
        <f>O111*P113</f>
        <v>342083.33399999997</v>
      </c>
      <c r="R113" s="789"/>
      <c r="S113" s="532" t="s">
        <v>428</v>
      </c>
      <c r="T113" s="728">
        <v>45777</v>
      </c>
      <c r="U113" s="817">
        <v>279579.71068978455</v>
      </c>
      <c r="V113" s="891"/>
      <c r="W113" s="784">
        <v>45785</v>
      </c>
      <c r="X113" s="897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04"/>
      <c r="J114" s="898"/>
      <c r="K114" s="350"/>
      <c r="L114" s="386">
        <v>9</v>
      </c>
      <c r="M114" s="657" t="s">
        <v>547</v>
      </c>
      <c r="N114" s="559" t="s">
        <v>429</v>
      </c>
      <c r="O114" s="560"/>
      <c r="P114" s="561">
        <v>0.15</v>
      </c>
      <c r="Q114" s="800">
        <f>O111*P114</f>
        <v>171041.66699999999</v>
      </c>
      <c r="R114" s="789"/>
      <c r="S114" s="532" t="s">
        <v>428</v>
      </c>
      <c r="T114" s="728">
        <v>45777</v>
      </c>
      <c r="U114" s="817">
        <v>139789.85534489228</v>
      </c>
      <c r="V114" s="891"/>
      <c r="W114" s="784">
        <v>45785</v>
      </c>
      <c r="X114" s="897"/>
      <c r="Y114" s="485"/>
    </row>
    <row r="115" spans="1:42" ht="15" customHeight="1" thickBot="1">
      <c r="B115" s="392">
        <v>9</v>
      </c>
      <c r="C115" s="677"/>
      <c r="D115" s="411" t="s">
        <v>488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04"/>
      <c r="J115" s="898"/>
      <c r="K115" s="486"/>
      <c r="L115" s="681">
        <v>9</v>
      </c>
      <c r="M115" s="682" t="s">
        <v>547</v>
      </c>
      <c r="N115" s="411" t="s">
        <v>424</v>
      </c>
      <c r="O115" s="395"/>
      <c r="P115" s="412">
        <v>0.05</v>
      </c>
      <c r="Q115" s="683">
        <f>O111*P115</f>
        <v>57013.889000000003</v>
      </c>
      <c r="R115" s="687"/>
      <c r="S115" s="829" t="s">
        <v>431</v>
      </c>
      <c r="T115" s="830">
        <v>45838</v>
      </c>
      <c r="U115" s="854">
        <v>46596.618448297428</v>
      </c>
      <c r="V115" s="891"/>
      <c r="W115" s="678">
        <v>45890</v>
      </c>
      <c r="X115" s="896"/>
      <c r="Y115" s="203"/>
    </row>
    <row r="116" spans="1:42" ht="14.2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550</v>
      </c>
      <c r="D117" s="322" t="s">
        <v>393</v>
      </c>
      <c r="E117" s="323"/>
      <c r="F117" s="423"/>
      <c r="G117" s="424">
        <v>32400</v>
      </c>
      <c r="H117" s="325">
        <f>H106</f>
        <v>45663</v>
      </c>
      <c r="I117" s="902">
        <f>SUM(G117:G137)</f>
        <v>234820.18</v>
      </c>
      <c r="J117" s="902">
        <f>9239.13043478261+35217.3913043478+56404.8913043478+73173.9130434783+81204</f>
        <v>255239.32608695651</v>
      </c>
      <c r="K117" s="425"/>
      <c r="L117" s="321">
        <v>10</v>
      </c>
      <c r="M117" s="670" t="s">
        <v>551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892">
        <f>J117-SUM(U117:U137)</f>
        <v>2.5339913263451308E-3</v>
      </c>
      <c r="W117" s="628"/>
      <c r="X117" s="905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377</v>
      </c>
      <c r="E118" s="431"/>
      <c r="F118" s="432"/>
      <c r="G118" s="324">
        <v>8500</v>
      </c>
      <c r="H118" s="327" t="e">
        <f>H108</f>
        <v>#REF!</v>
      </c>
      <c r="I118" s="902"/>
      <c r="J118" s="902"/>
      <c r="K118" s="328"/>
      <c r="L118" s="426">
        <v>10</v>
      </c>
      <c r="M118" s="671" t="s">
        <v>551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892"/>
      <c r="W118" s="462"/>
      <c r="X118" s="905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02"/>
      <c r="J119" s="902"/>
      <c r="K119" s="328"/>
      <c r="L119" s="426">
        <v>10</v>
      </c>
      <c r="M119" s="671" t="s">
        <v>551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892"/>
      <c r="W119" s="462"/>
      <c r="X119" s="905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02"/>
      <c r="J120" s="902"/>
      <c r="K120" s="328"/>
      <c r="L120" s="426">
        <v>10</v>
      </c>
      <c r="M120" s="671" t="s">
        <v>551</v>
      </c>
      <c r="N120" s="329" t="s">
        <v>552</v>
      </c>
      <c r="O120" s="431"/>
      <c r="P120" s="432"/>
      <c r="Q120" s="324">
        <v>1950</v>
      </c>
      <c r="R120" s="212" t="s">
        <v>553</v>
      </c>
      <c r="S120" s="730" t="s">
        <v>554</v>
      </c>
      <c r="T120" s="731">
        <v>45688</v>
      </c>
      <c r="U120" s="769">
        <v>1151.6421071534203</v>
      </c>
      <c r="V120" s="892"/>
      <c r="W120" s="760">
        <v>45687</v>
      </c>
      <c r="X120" s="905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02"/>
      <c r="J121" s="902"/>
      <c r="K121" s="328"/>
      <c r="L121" s="426">
        <v>10</v>
      </c>
      <c r="M121" s="671" t="s">
        <v>551</v>
      </c>
      <c r="N121" s="329" t="s">
        <v>555</v>
      </c>
      <c r="O121" s="431"/>
      <c r="P121" s="432"/>
      <c r="Q121" s="324">
        <v>650</v>
      </c>
      <c r="R121" s="212" t="s">
        <v>556</v>
      </c>
      <c r="S121" s="730" t="s">
        <v>557</v>
      </c>
      <c r="T121" s="731">
        <v>45777</v>
      </c>
      <c r="U121" s="769">
        <v>0</v>
      </c>
      <c r="V121" s="892"/>
      <c r="W121" s="760">
        <v>45764</v>
      </c>
      <c r="X121" s="905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02"/>
      <c r="J122" s="902"/>
      <c r="K122" s="328"/>
      <c r="L122" s="426">
        <v>10</v>
      </c>
      <c r="M122" s="671" t="s">
        <v>551</v>
      </c>
      <c r="N122" s="329" t="s">
        <v>558</v>
      </c>
      <c r="O122" s="431"/>
      <c r="P122" s="432"/>
      <c r="Q122" s="324">
        <v>27600</v>
      </c>
      <c r="R122" s="212" t="s">
        <v>559</v>
      </c>
      <c r="S122" s="730" t="s">
        <v>560</v>
      </c>
      <c r="T122" s="731">
        <v>45688</v>
      </c>
      <c r="U122" s="769">
        <v>16300.16520894072</v>
      </c>
      <c r="V122" s="892"/>
      <c r="W122" s="760">
        <v>45695</v>
      </c>
      <c r="X122" s="905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02"/>
      <c r="J123" s="902"/>
      <c r="K123" s="328"/>
      <c r="L123" s="426">
        <v>10</v>
      </c>
      <c r="M123" s="671" t="s">
        <v>551</v>
      </c>
      <c r="N123" s="329" t="s">
        <v>561</v>
      </c>
      <c r="O123" s="431"/>
      <c r="P123" s="432"/>
      <c r="Q123" s="324">
        <v>31500</v>
      </c>
      <c r="R123" s="212" t="s">
        <v>562</v>
      </c>
      <c r="S123" s="730" t="s">
        <v>563</v>
      </c>
      <c r="T123" s="731">
        <v>45747</v>
      </c>
      <c r="U123" s="840">
        <v>18947.608634174179</v>
      </c>
      <c r="V123" s="892"/>
      <c r="W123" s="760">
        <v>45729</v>
      </c>
      <c r="X123" s="905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02"/>
      <c r="J124" s="902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892"/>
      <c r="W124" s="760"/>
      <c r="X124" s="905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389</v>
      </c>
      <c r="E125" s="431"/>
      <c r="F125" s="432"/>
      <c r="G125" s="324">
        <v>51892.5</v>
      </c>
      <c r="H125" s="327" t="e">
        <f>H118</f>
        <v>#REF!</v>
      </c>
      <c r="I125" s="902"/>
      <c r="J125" s="902"/>
      <c r="K125" s="328"/>
      <c r="L125" s="426">
        <v>10</v>
      </c>
      <c r="M125" s="671" t="s">
        <v>551</v>
      </c>
      <c r="N125" s="329" t="s">
        <v>564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417</v>
      </c>
      <c r="T125" s="731">
        <v>45688</v>
      </c>
      <c r="U125" s="769">
        <v>64249.227279545361</v>
      </c>
      <c r="V125" s="892"/>
      <c r="W125" s="737">
        <v>45666</v>
      </c>
      <c r="X125" s="905"/>
      <c r="Y125" s="198"/>
    </row>
    <row r="126" spans="1:42" ht="15" customHeight="1" thickBot="1">
      <c r="B126" s="426">
        <v>10</v>
      </c>
      <c r="C126" s="427"/>
      <c r="D126" s="427" t="s">
        <v>565</v>
      </c>
      <c r="E126" s="428"/>
      <c r="F126" s="429"/>
      <c r="G126" s="430">
        <v>74707.679999999993</v>
      </c>
      <c r="H126" s="327" t="e">
        <f>H118</f>
        <v>#REF!</v>
      </c>
      <c r="I126" s="902"/>
      <c r="J126" s="902"/>
      <c r="K126" s="328"/>
      <c r="L126" s="426">
        <v>10</v>
      </c>
      <c r="M126" s="671" t="s">
        <v>551</v>
      </c>
      <c r="N126" s="427" t="s">
        <v>418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419</v>
      </c>
      <c r="T126" s="731">
        <f>T106</f>
        <v>45716</v>
      </c>
      <c r="U126" s="769">
        <v>45331.253513459706</v>
      </c>
      <c r="V126" s="892"/>
      <c r="W126" s="737">
        <f>W106</f>
        <v>45708</v>
      </c>
      <c r="X126" s="905"/>
      <c r="Y126" s="209"/>
    </row>
    <row r="127" spans="1:42" ht="15" customHeight="1" thickBot="1">
      <c r="B127" s="426">
        <v>10</v>
      </c>
      <c r="C127" s="427"/>
      <c r="D127" s="427" t="s">
        <v>566</v>
      </c>
      <c r="E127" s="428"/>
      <c r="F127" s="429"/>
      <c r="G127" s="430">
        <v>67320</v>
      </c>
      <c r="H127" s="327" t="e">
        <f>H126</f>
        <v>#REF!</v>
      </c>
      <c r="I127" s="902"/>
      <c r="J127" s="902"/>
      <c r="K127" s="328"/>
      <c r="L127" s="426">
        <v>10</v>
      </c>
      <c r="M127" s="671" t="s">
        <v>551</v>
      </c>
      <c r="N127" s="427" t="s">
        <v>420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892"/>
      <c r="W127" s="737">
        <f>W107</f>
        <v>45757</v>
      </c>
      <c r="X127" s="905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02"/>
      <c r="J128" s="902"/>
      <c r="K128" s="328"/>
      <c r="L128" s="426">
        <v>10</v>
      </c>
      <c r="M128" s="671" t="s">
        <v>551</v>
      </c>
      <c r="N128" s="427" t="s">
        <v>421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892"/>
      <c r="W128" s="737">
        <f>W108</f>
        <v>45764</v>
      </c>
      <c r="X128" s="905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02"/>
      <c r="J129" s="902"/>
      <c r="K129" s="328"/>
      <c r="L129" s="426">
        <v>10</v>
      </c>
      <c r="M129" s="671" t="s">
        <v>551</v>
      </c>
      <c r="N129" s="427" t="s">
        <v>424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425</v>
      </c>
      <c r="T129" s="731">
        <f>T109</f>
        <v>45838</v>
      </c>
      <c r="U129" s="855">
        <v>4847.2461138480458</v>
      </c>
      <c r="V129" s="892"/>
      <c r="W129" s="737">
        <f>W109</f>
        <v>45890</v>
      </c>
      <c r="X129" s="905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02"/>
      <c r="J130" s="902"/>
      <c r="K130" s="328"/>
      <c r="L130" s="426">
        <v>10</v>
      </c>
      <c r="M130" s="671" t="s">
        <v>551</v>
      </c>
      <c r="N130" s="427" t="s">
        <v>426</v>
      </c>
      <c r="O130" s="428"/>
      <c r="P130" s="711"/>
      <c r="Q130" s="324"/>
      <c r="R130" s="221"/>
      <c r="S130" s="450"/>
      <c r="T130" s="499"/>
      <c r="U130" s="540"/>
      <c r="V130" s="892"/>
      <c r="W130" s="455"/>
      <c r="X130" s="905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02"/>
      <c r="J131" s="902"/>
      <c r="K131" s="328"/>
      <c r="L131" s="426">
        <v>10</v>
      </c>
      <c r="M131" s="671" t="s">
        <v>551</v>
      </c>
      <c r="N131" s="427" t="s">
        <v>427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417</v>
      </c>
      <c r="T131" s="731">
        <f>T111</f>
        <v>45688</v>
      </c>
      <c r="U131" s="540"/>
      <c r="V131" s="892"/>
      <c r="W131" s="737">
        <f>W111</f>
        <v>45666</v>
      </c>
      <c r="X131" s="905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02"/>
      <c r="J132" s="902"/>
      <c r="K132" s="328"/>
      <c r="L132" s="426">
        <v>10</v>
      </c>
      <c r="M132" s="671" t="s">
        <v>551</v>
      </c>
      <c r="N132" s="427" t="s">
        <v>418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419</v>
      </c>
      <c r="T132" s="731">
        <f>T112</f>
        <v>45716</v>
      </c>
      <c r="U132" s="540"/>
      <c r="V132" s="892"/>
      <c r="W132" s="737">
        <f>W112</f>
        <v>45708</v>
      </c>
      <c r="X132" s="905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02"/>
      <c r="J133" s="902"/>
      <c r="K133" s="328"/>
      <c r="L133" s="426">
        <v>10</v>
      </c>
      <c r="M133" s="671" t="s">
        <v>551</v>
      </c>
      <c r="N133" s="427" t="s">
        <v>284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428</v>
      </c>
      <c r="T133" s="731">
        <v>45777</v>
      </c>
      <c r="U133" s="769">
        <v>36354.345402726794</v>
      </c>
      <c r="V133" s="892"/>
      <c r="W133" s="737">
        <f>W113</f>
        <v>45785</v>
      </c>
      <c r="X133" s="905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02"/>
      <c r="J134" s="902"/>
      <c r="K134" s="328"/>
      <c r="L134" s="426">
        <v>10</v>
      </c>
      <c r="M134" s="671" t="s">
        <v>551</v>
      </c>
      <c r="N134" s="427" t="s">
        <v>429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428</v>
      </c>
      <c r="T134" s="731">
        <v>45777</v>
      </c>
      <c r="U134" s="769">
        <v>18177.172701363397</v>
      </c>
      <c r="V134" s="892"/>
      <c r="W134" s="737">
        <f>W114</f>
        <v>45785</v>
      </c>
      <c r="X134" s="905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02"/>
      <c r="J135" s="902"/>
      <c r="K135" s="328"/>
      <c r="L135" s="426">
        <v>10</v>
      </c>
      <c r="M135" s="671" t="s">
        <v>551</v>
      </c>
      <c r="N135" s="427" t="s">
        <v>424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431</v>
      </c>
      <c r="T135" s="731">
        <f>T115</f>
        <v>45838</v>
      </c>
      <c r="U135" s="855">
        <v>6059.0575671211336</v>
      </c>
      <c r="V135" s="892"/>
      <c r="W135" s="737">
        <f>W115</f>
        <v>45890</v>
      </c>
      <c r="X135" s="905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02"/>
      <c r="J136" s="902"/>
      <c r="K136" s="328"/>
      <c r="L136" s="426">
        <v>10</v>
      </c>
      <c r="M136" s="671" t="s">
        <v>551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892"/>
      <c r="W136" s="462"/>
      <c r="X136" s="905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02"/>
      <c r="J137" s="902"/>
      <c r="K137" s="333"/>
      <c r="L137" s="330">
        <v>10</v>
      </c>
      <c r="M137" s="672" t="s">
        <v>551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892"/>
      <c r="W137" s="456"/>
      <c r="X137" s="905"/>
      <c r="Y137" s="199"/>
    </row>
    <row r="138" spans="1:42" ht="14.2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567</v>
      </c>
      <c r="D139" s="471" t="s">
        <v>568</v>
      </c>
      <c r="E139" s="343"/>
      <c r="F139" s="436"/>
      <c r="G139" s="344">
        <v>30000</v>
      </c>
      <c r="H139" s="345">
        <f>H142</f>
        <v>45663</v>
      </c>
      <c r="I139" s="898">
        <f>SUM(G139:G144)</f>
        <v>167000</v>
      </c>
      <c r="J139" s="898">
        <v>181521.73913043499</v>
      </c>
      <c r="K139" s="346"/>
      <c r="L139" s="341">
        <v>11</v>
      </c>
      <c r="M139" s="471" t="s">
        <v>569</v>
      </c>
      <c r="N139" s="471" t="s">
        <v>568</v>
      </c>
      <c r="O139" s="343"/>
      <c r="P139" s="436"/>
      <c r="Q139" s="344">
        <v>17500</v>
      </c>
      <c r="R139" s="215"/>
      <c r="S139" s="523" t="s">
        <v>570</v>
      </c>
      <c r="T139" s="751">
        <v>45808</v>
      </c>
      <c r="U139" s="841">
        <v>26373.592941969204</v>
      </c>
      <c r="V139" s="893">
        <f>J139-SUM(U139:U144)</f>
        <v>1.6731558134779334E-3</v>
      </c>
      <c r="W139" s="779">
        <v>45813</v>
      </c>
      <c r="X139" s="897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898"/>
      <c r="J140" s="898"/>
      <c r="K140" s="350"/>
      <c r="L140" s="347">
        <v>11</v>
      </c>
      <c r="M140" s="819" t="s">
        <v>569</v>
      </c>
      <c r="N140" s="819" t="s">
        <v>571</v>
      </c>
      <c r="O140" s="820"/>
      <c r="P140" s="821"/>
      <c r="Q140" s="822">
        <f>4294.78/2</f>
        <v>2147.39</v>
      </c>
      <c r="R140" s="218"/>
      <c r="S140" s="523" t="s">
        <v>570</v>
      </c>
      <c r="T140" s="751">
        <v>45808</v>
      </c>
      <c r="U140" s="842">
        <v>3236.2508427231569</v>
      </c>
      <c r="V140" s="893"/>
      <c r="W140" s="780">
        <f>W139</f>
        <v>45813</v>
      </c>
      <c r="X140" s="897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572</v>
      </c>
      <c r="E141" s="389"/>
      <c r="F141" s="437"/>
      <c r="G141" s="390">
        <v>50000</v>
      </c>
      <c r="H141" s="349">
        <f>'Project Plan'!E19</f>
        <v>45663</v>
      </c>
      <c r="I141" s="898"/>
      <c r="J141" s="898"/>
      <c r="K141" s="350"/>
      <c r="L141" s="386">
        <v>11</v>
      </c>
      <c r="M141" s="572" t="s">
        <v>569</v>
      </c>
      <c r="N141" s="388" t="s">
        <v>572</v>
      </c>
      <c r="O141" s="389"/>
      <c r="P141" s="437"/>
      <c r="Q141" s="390">
        <v>0</v>
      </c>
      <c r="R141" s="211"/>
      <c r="S141" s="532" t="s">
        <v>573</v>
      </c>
      <c r="T141" s="745">
        <v>45657</v>
      </c>
      <c r="U141" s="833">
        <v>0</v>
      </c>
      <c r="V141" s="893"/>
      <c r="W141" s="746">
        <v>45394</v>
      </c>
      <c r="X141" s="897"/>
      <c r="Y141" s="202"/>
    </row>
    <row r="142" spans="1:42" ht="15" customHeight="1" thickBot="1">
      <c r="B142" s="386">
        <v>11</v>
      </c>
      <c r="C142" s="388"/>
      <c r="D142" s="388" t="s">
        <v>574</v>
      </c>
      <c r="E142" s="389"/>
      <c r="F142" s="437"/>
      <c r="G142" s="390">
        <v>80000</v>
      </c>
      <c r="H142" s="349">
        <f>H141</f>
        <v>45663</v>
      </c>
      <c r="I142" s="898"/>
      <c r="J142" s="898"/>
      <c r="K142" s="350"/>
      <c r="L142" s="386">
        <v>11</v>
      </c>
      <c r="M142" s="572" t="s">
        <v>569</v>
      </c>
      <c r="N142" s="388" t="s">
        <v>574</v>
      </c>
      <c r="O142" s="389"/>
      <c r="P142" s="437"/>
      <c r="Q142" s="390">
        <v>79700</v>
      </c>
      <c r="R142" s="211" t="s">
        <v>575</v>
      </c>
      <c r="S142" s="532" t="s">
        <v>576</v>
      </c>
      <c r="T142" s="751">
        <v>45777</v>
      </c>
      <c r="U142" s="833">
        <v>111937.31615210755</v>
      </c>
      <c r="V142" s="893"/>
      <c r="W142" s="784">
        <v>45841</v>
      </c>
      <c r="X142" s="897"/>
      <c r="Y142" s="202"/>
    </row>
    <row r="143" spans="1:42" ht="14.25" customHeight="1" thickBot="1">
      <c r="B143" s="386">
        <v>11</v>
      </c>
      <c r="C143" s="388"/>
      <c r="D143" s="388" t="s">
        <v>577</v>
      </c>
      <c r="E143" s="389"/>
      <c r="F143" s="437"/>
      <c r="G143" s="390">
        <v>7000</v>
      </c>
      <c r="H143" s="349">
        <f>H142</f>
        <v>45663</v>
      </c>
      <c r="I143" s="898"/>
      <c r="J143" s="898"/>
      <c r="K143" s="350"/>
      <c r="L143" s="386">
        <v>11</v>
      </c>
      <c r="M143" s="572" t="s">
        <v>569</v>
      </c>
      <c r="N143" s="388" t="s">
        <v>578</v>
      </c>
      <c r="O143" s="389"/>
      <c r="P143" s="437"/>
      <c r="Q143" s="390">
        <v>5100</v>
      </c>
      <c r="R143" s="211" t="s">
        <v>579</v>
      </c>
      <c r="S143" s="532" t="s">
        <v>580</v>
      </c>
      <c r="T143" s="751">
        <v>45688</v>
      </c>
      <c r="U143" s="833">
        <v>5746.4982592502702</v>
      </c>
      <c r="V143" s="893"/>
      <c r="W143" s="784">
        <v>45722</v>
      </c>
      <c r="X143" s="897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898"/>
      <c r="J144" s="898"/>
      <c r="K144" s="352"/>
      <c r="L144" s="392">
        <v>11</v>
      </c>
      <c r="M144" s="652" t="s">
        <v>569</v>
      </c>
      <c r="N144" s="393" t="s">
        <v>581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582</v>
      </c>
      <c r="T144" s="728">
        <v>45808</v>
      </c>
      <c r="U144" s="834">
        <v>34228.079261228988</v>
      </c>
      <c r="V144" s="893"/>
      <c r="W144" s="843">
        <f>T144</f>
        <v>45808</v>
      </c>
      <c r="X144" s="897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25" thickBot="1">
      <c r="B146" s="321">
        <v>12</v>
      </c>
      <c r="C146" s="322" t="s">
        <v>583</v>
      </c>
      <c r="D146" s="322"/>
      <c r="E146" s="323"/>
      <c r="F146" s="614"/>
      <c r="G146" s="424"/>
      <c r="H146" s="325"/>
      <c r="I146" s="902">
        <f>SUM(G146:G146)</f>
        <v>0</v>
      </c>
      <c r="J146" s="902">
        <v>0</v>
      </c>
      <c r="K146" s="903"/>
      <c r="L146" s="321">
        <v>12</v>
      </c>
      <c r="M146" s="322" t="s">
        <v>583</v>
      </c>
      <c r="N146" s="322" t="s">
        <v>584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895">
        <f>SUM(Q146:Q147)</f>
        <v>0</v>
      </c>
      <c r="Y146" s="196"/>
    </row>
    <row r="147" spans="1:42" ht="15" customHeight="1" thickBot="1">
      <c r="B147" s="330">
        <v>12</v>
      </c>
      <c r="C147" s="433" t="s">
        <v>583</v>
      </c>
      <c r="D147" s="433"/>
      <c r="E147" s="434"/>
      <c r="F147" s="621"/>
      <c r="G147" s="331"/>
      <c r="H147" s="332"/>
      <c r="I147" s="902"/>
      <c r="J147" s="902"/>
      <c r="K147" s="903"/>
      <c r="L147" s="330">
        <v>12</v>
      </c>
      <c r="M147" s="433" t="s">
        <v>583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895"/>
      <c r="Y147" s="199"/>
    </row>
    <row r="148" spans="1:42" ht="14.2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585</v>
      </c>
      <c r="D149" s="471" t="s">
        <v>586</v>
      </c>
      <c r="E149" s="343"/>
      <c r="F149" s="436"/>
      <c r="G149" s="344">
        <v>167999.67645434785</v>
      </c>
      <c r="H149" s="345">
        <f>'Project Plan'!K91+30</f>
        <v>45945</v>
      </c>
      <c r="I149" s="898">
        <f>SUM(G149:G155)</f>
        <v>664894.71645434783</v>
      </c>
      <c r="J149" s="898">
        <v>755562.17778903199</v>
      </c>
      <c r="K149" s="346"/>
      <c r="L149" s="341">
        <v>13</v>
      </c>
      <c r="M149" s="471" t="s">
        <v>587</v>
      </c>
      <c r="N149" s="471" t="s">
        <v>586</v>
      </c>
      <c r="O149" s="343"/>
      <c r="P149" s="344"/>
      <c r="Q149" s="344">
        <f>'Revenue Tracking'!D4*1.25%</f>
        <v>200304.11174596625</v>
      </c>
      <c r="R149" s="215"/>
      <c r="S149" s="523" t="s">
        <v>588</v>
      </c>
      <c r="T149" s="751">
        <v>45808</v>
      </c>
      <c r="U149" s="841">
        <v>755562.17778903199</v>
      </c>
      <c r="V149" s="894">
        <f>J149-SUM(U149:U155)</f>
        <v>0</v>
      </c>
      <c r="W149" s="844">
        <v>45808</v>
      </c>
      <c r="X149" s="897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589</v>
      </c>
      <c r="E150" s="389"/>
      <c r="F150" s="437"/>
      <c r="G150" s="390">
        <v>74800</v>
      </c>
      <c r="H150" s="349">
        <f>H149</f>
        <v>45945</v>
      </c>
      <c r="I150" s="898"/>
      <c r="J150" s="898"/>
      <c r="K150" s="350"/>
      <c r="L150" s="386">
        <v>13</v>
      </c>
      <c r="M150" s="572" t="s">
        <v>587</v>
      </c>
      <c r="N150" s="388"/>
      <c r="O150" s="389"/>
      <c r="P150" s="390"/>
      <c r="Q150" s="390">
        <v>-200304.11</v>
      </c>
      <c r="R150" s="211"/>
      <c r="S150" s="880" t="s">
        <v>590</v>
      </c>
      <c r="T150" s="845">
        <v>45900</v>
      </c>
      <c r="U150" s="833">
        <v>0</v>
      </c>
      <c r="V150" s="894"/>
      <c r="W150" s="845">
        <v>45900</v>
      </c>
      <c r="X150" s="897"/>
      <c r="Y150" s="202"/>
    </row>
    <row r="151" spans="1:42" ht="15.75" customHeight="1" thickBot="1">
      <c r="B151" s="386">
        <v>13</v>
      </c>
      <c r="C151" s="388"/>
      <c r="D151" s="388" t="s">
        <v>591</v>
      </c>
      <c r="E151" s="389"/>
      <c r="F151" s="437"/>
      <c r="G151" s="390">
        <v>254320</v>
      </c>
      <c r="H151" s="349">
        <f>H149</f>
        <v>45945</v>
      </c>
      <c r="I151" s="898"/>
      <c r="J151" s="898"/>
      <c r="K151" s="350"/>
      <c r="L151" s="386">
        <v>13</v>
      </c>
      <c r="M151" s="572" t="s">
        <v>587</v>
      </c>
      <c r="N151" s="388" t="s">
        <v>592</v>
      </c>
      <c r="O151" s="389"/>
      <c r="P151" s="390"/>
      <c r="Q151" s="390">
        <v>165600</v>
      </c>
      <c r="R151" s="211"/>
      <c r="S151" s="880" t="s">
        <v>593</v>
      </c>
      <c r="T151" s="845">
        <v>45900</v>
      </c>
      <c r="U151" s="833">
        <v>0</v>
      </c>
      <c r="V151" s="894"/>
      <c r="W151" s="845">
        <v>45900</v>
      </c>
      <c r="X151" s="897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594</v>
      </c>
      <c r="E152" s="389"/>
      <c r="F152" s="437"/>
      <c r="G152" s="390">
        <v>97240</v>
      </c>
      <c r="H152" s="349">
        <f>H149</f>
        <v>45945</v>
      </c>
      <c r="I152" s="898"/>
      <c r="J152" s="898"/>
      <c r="K152" s="350"/>
      <c r="L152" s="386">
        <v>13</v>
      </c>
      <c r="M152" s="572" t="s">
        <v>587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894"/>
      <c r="W152" s="845">
        <v>45808</v>
      </c>
      <c r="X152" s="897"/>
      <c r="Y152" s="485"/>
    </row>
    <row r="153" spans="1:42" ht="15.75" customHeight="1" thickBot="1">
      <c r="B153" s="386">
        <v>13</v>
      </c>
      <c r="C153" s="388"/>
      <c r="D153" s="388" t="s">
        <v>595</v>
      </c>
      <c r="E153" s="389"/>
      <c r="F153" s="437"/>
      <c r="G153" s="390">
        <v>70535.039999999994</v>
      </c>
      <c r="H153" s="349">
        <f>H149</f>
        <v>45945</v>
      </c>
      <c r="I153" s="898"/>
      <c r="J153" s="898"/>
      <c r="K153" s="350"/>
      <c r="L153" s="386">
        <v>13</v>
      </c>
      <c r="M153" s="572" t="s">
        <v>587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894"/>
      <c r="W153" s="845">
        <v>45808</v>
      </c>
      <c r="X153" s="897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898"/>
      <c r="J154" s="898"/>
      <c r="K154" s="350"/>
      <c r="L154" s="386">
        <v>13</v>
      </c>
      <c r="M154" s="572" t="s">
        <v>587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894"/>
      <c r="W154" s="500"/>
      <c r="X154" s="897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898"/>
      <c r="J155" s="898"/>
      <c r="K155" s="486"/>
      <c r="L155" s="392">
        <v>13</v>
      </c>
      <c r="M155" s="652" t="s">
        <v>587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894"/>
      <c r="W155" s="459"/>
      <c r="X155" s="897"/>
      <c r="Y155" s="203"/>
    </row>
    <row r="156" spans="1:42" ht="14.2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596</v>
      </c>
      <c r="D157" s="322" t="s">
        <v>597</v>
      </c>
      <c r="E157" s="323"/>
      <c r="F157" s="423"/>
      <c r="G157" s="424">
        <v>32725</v>
      </c>
      <c r="H157" s="325">
        <f>H149</f>
        <v>45945</v>
      </c>
      <c r="I157" s="902">
        <f>SUM(G157:G166)</f>
        <v>32725</v>
      </c>
      <c r="J157" s="902">
        <v>38500</v>
      </c>
      <c r="K157" s="425"/>
      <c r="L157" s="321">
        <v>14</v>
      </c>
      <c r="M157" s="670" t="s">
        <v>598</v>
      </c>
      <c r="N157" s="322" t="s">
        <v>571</v>
      </c>
      <c r="O157" s="323"/>
      <c r="P157" s="423"/>
      <c r="Q157" s="424">
        <v>7446.43</v>
      </c>
      <c r="R157" s="210"/>
      <c r="S157" s="742" t="s">
        <v>599</v>
      </c>
      <c r="T157" s="743">
        <v>45657</v>
      </c>
      <c r="U157" s="750">
        <v>8076.5179765965195</v>
      </c>
      <c r="V157" s="892">
        <f>J157-SUM(U157:U166)</f>
        <v>4.9991545965895057E-3</v>
      </c>
      <c r="W157" s="744">
        <v>45666</v>
      </c>
      <c r="X157" s="905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02"/>
      <c r="J158" s="902"/>
      <c r="K158" s="328"/>
      <c r="L158" s="326">
        <v>14</v>
      </c>
      <c r="M158" s="671" t="s">
        <v>598</v>
      </c>
      <c r="N158" s="329"/>
      <c r="O158" s="431"/>
      <c r="P158" s="432"/>
      <c r="Q158" s="324">
        <v>2931</v>
      </c>
      <c r="R158" s="212"/>
      <c r="S158" s="764" t="s">
        <v>599</v>
      </c>
      <c r="T158" s="765">
        <v>45688</v>
      </c>
      <c r="U158" s="770">
        <v>3343.2703956426249</v>
      </c>
      <c r="V158" s="892"/>
      <c r="W158" s="765">
        <v>45695</v>
      </c>
      <c r="X158" s="905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02"/>
      <c r="J159" s="902"/>
      <c r="K159" s="328"/>
      <c r="L159" s="326">
        <v>14</v>
      </c>
      <c r="M159" s="671" t="s">
        <v>598</v>
      </c>
      <c r="N159" s="329"/>
      <c r="O159" s="431"/>
      <c r="P159" s="432"/>
      <c r="Q159" s="324">
        <v>12977.95</v>
      </c>
      <c r="R159" s="212"/>
      <c r="S159" s="764" t="s">
        <v>599</v>
      </c>
      <c r="T159" s="765">
        <v>45716</v>
      </c>
      <c r="U159" s="770">
        <v>9543.7984984037721</v>
      </c>
      <c r="V159" s="892"/>
      <c r="W159" s="765">
        <v>45722</v>
      </c>
      <c r="X159" s="905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02"/>
      <c r="J160" s="902"/>
      <c r="K160" s="328"/>
      <c r="L160" s="326">
        <v>14</v>
      </c>
      <c r="M160" s="671" t="s">
        <v>598</v>
      </c>
      <c r="N160" s="329"/>
      <c r="O160" s="431"/>
      <c r="P160" s="432"/>
      <c r="Q160" s="324">
        <v>3958.29</v>
      </c>
      <c r="R160" s="212"/>
      <c r="S160" s="764" t="s">
        <v>599</v>
      </c>
      <c r="T160" s="765">
        <v>45747</v>
      </c>
      <c r="U160" s="770">
        <v>4057.1696327506424</v>
      </c>
      <c r="V160" s="892"/>
      <c r="W160" s="765">
        <f t="shared" ref="W160" si="16">T160+7</f>
        <v>45754</v>
      </c>
      <c r="X160" s="905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02"/>
      <c r="J161" s="902"/>
      <c r="K161" s="328"/>
      <c r="L161" s="326">
        <v>14</v>
      </c>
      <c r="M161" s="671" t="s">
        <v>598</v>
      </c>
      <c r="N161" s="602"/>
      <c r="O161" s="603"/>
      <c r="P161" s="604"/>
      <c r="Q161" s="605">
        <v>1491.59</v>
      </c>
      <c r="R161" s="607"/>
      <c r="S161" s="814" t="s">
        <v>599</v>
      </c>
      <c r="T161" s="765">
        <v>45777</v>
      </c>
      <c r="U161" s="770">
        <v>1505.0667981295369</v>
      </c>
      <c r="V161" s="892"/>
      <c r="W161" s="815">
        <v>45785</v>
      </c>
      <c r="X161" s="905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02"/>
      <c r="J162" s="902"/>
      <c r="K162" s="328"/>
      <c r="L162" s="326">
        <v>14</v>
      </c>
      <c r="M162" s="671" t="s">
        <v>598</v>
      </c>
      <c r="N162" s="602"/>
      <c r="O162" s="603"/>
      <c r="P162" s="604"/>
      <c r="Q162" s="605">
        <v>1352.79</v>
      </c>
      <c r="R162" s="607"/>
      <c r="S162" s="848" t="s">
        <v>599</v>
      </c>
      <c r="T162" s="731">
        <v>45808</v>
      </c>
      <c r="U162" s="846">
        <v>1495.2011092913194</v>
      </c>
      <c r="V162" s="892"/>
      <c r="W162" s="831">
        <v>45817</v>
      </c>
      <c r="X162" s="905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02"/>
      <c r="J163" s="902"/>
      <c r="K163" s="328"/>
      <c r="L163" s="326">
        <v>14</v>
      </c>
      <c r="M163" s="671" t="s">
        <v>598</v>
      </c>
      <c r="N163" s="602"/>
      <c r="O163" s="603"/>
      <c r="P163" s="604"/>
      <c r="Q163" s="605">
        <v>194.68</v>
      </c>
      <c r="R163" s="607"/>
      <c r="S163" s="848" t="s">
        <v>599</v>
      </c>
      <c r="T163" s="731">
        <v>45838</v>
      </c>
      <c r="U163" s="856">
        <v>239.05988409940696</v>
      </c>
      <c r="V163" s="892"/>
      <c r="W163" s="831">
        <v>45842</v>
      </c>
      <c r="X163" s="905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02"/>
      <c r="J164" s="902"/>
      <c r="K164" s="328"/>
      <c r="L164" s="326">
        <v>14</v>
      </c>
      <c r="M164" s="671" t="s">
        <v>598</v>
      </c>
      <c r="N164" s="602"/>
      <c r="O164" s="603"/>
      <c r="P164" s="604"/>
      <c r="Q164" s="605">
        <v>2331.4</v>
      </c>
      <c r="R164" s="607"/>
      <c r="S164" s="848" t="s">
        <v>599</v>
      </c>
      <c r="T164" s="831">
        <v>45869</v>
      </c>
      <c r="U164" s="856">
        <v>2704.8742877996197</v>
      </c>
      <c r="V164" s="892"/>
      <c r="W164" s="869">
        <v>45876</v>
      </c>
      <c r="X164" s="905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02"/>
      <c r="J165" s="902"/>
      <c r="K165" s="328"/>
      <c r="L165" s="326">
        <v>14</v>
      </c>
      <c r="M165" s="671" t="s">
        <v>598</v>
      </c>
      <c r="N165" s="602"/>
      <c r="O165" s="603"/>
      <c r="P165" s="604"/>
      <c r="Q165" s="605">
        <v>4368.24</v>
      </c>
      <c r="R165" s="607"/>
      <c r="S165" s="877" t="s">
        <v>599</v>
      </c>
      <c r="T165" s="878">
        <v>45900</v>
      </c>
      <c r="U165" s="856">
        <v>7535.0364181319565</v>
      </c>
      <c r="V165" s="892"/>
      <c r="W165" s="879">
        <f>T165+7</f>
        <v>45907</v>
      </c>
      <c r="X165" s="905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02"/>
      <c r="J166" s="902"/>
      <c r="K166" s="333"/>
      <c r="L166" s="330">
        <v>14</v>
      </c>
      <c r="M166" s="672" t="s">
        <v>598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892"/>
      <c r="W166" s="456"/>
      <c r="X166" s="905"/>
      <c r="Y166" s="199"/>
    </row>
    <row r="167" spans="1:42" ht="14.2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25" thickBot="1">
      <c r="B168" s="341">
        <v>15</v>
      </c>
      <c r="C168" s="342" t="s">
        <v>600</v>
      </c>
      <c r="D168" s="342"/>
      <c r="E168" s="343"/>
      <c r="F168" s="436"/>
      <c r="G168" s="344"/>
      <c r="H168" s="345"/>
      <c r="I168" s="898">
        <f>SUM(G168:G173)</f>
        <v>0</v>
      </c>
      <c r="J168" s="898">
        <v>0</v>
      </c>
      <c r="K168" s="346"/>
      <c r="L168" s="341">
        <v>15</v>
      </c>
      <c r="M168" s="471" t="s">
        <v>601</v>
      </c>
      <c r="N168" s="342" t="s">
        <v>602</v>
      </c>
      <c r="O168" s="343"/>
      <c r="P168" s="436"/>
      <c r="Q168" s="344">
        <v>4500</v>
      </c>
      <c r="R168" s="215" t="s">
        <v>603</v>
      </c>
      <c r="S168" s="523" t="s">
        <v>604</v>
      </c>
      <c r="T168" s="751">
        <v>45869</v>
      </c>
      <c r="U168" s="508"/>
      <c r="V168" s="894">
        <f>J168-SUM(U168:U173)</f>
        <v>0</v>
      </c>
      <c r="W168" s="779">
        <v>45862</v>
      </c>
      <c r="X168" s="897">
        <f>SUM(Q168:Q173)</f>
        <v>55898</v>
      </c>
      <c r="Y168" s="201"/>
    </row>
    <row r="169" spans="1:42" ht="14.25" thickBot="1">
      <c r="B169" s="386">
        <v>15</v>
      </c>
      <c r="C169" s="388"/>
      <c r="D169" s="388"/>
      <c r="E169" s="389"/>
      <c r="F169" s="437"/>
      <c r="G169" s="390"/>
      <c r="H169" s="349"/>
      <c r="I169" s="898"/>
      <c r="J169" s="898"/>
      <c r="K169" s="350"/>
      <c r="L169" s="386">
        <v>15</v>
      </c>
      <c r="M169" s="572" t="s">
        <v>601</v>
      </c>
      <c r="N169" s="388" t="s">
        <v>605</v>
      </c>
      <c r="O169" s="389"/>
      <c r="P169" s="437"/>
      <c r="Q169" s="390">
        <v>4347.83</v>
      </c>
      <c r="R169" s="211" t="s">
        <v>606</v>
      </c>
      <c r="S169" s="532" t="s">
        <v>607</v>
      </c>
      <c r="T169" s="734">
        <v>45869</v>
      </c>
      <c r="U169" s="542"/>
      <c r="V169" s="894"/>
      <c r="W169" s="784">
        <v>45862</v>
      </c>
      <c r="X169" s="897"/>
      <c r="Y169" s="202"/>
    </row>
    <row r="170" spans="1:42" ht="14.25" thickBot="1">
      <c r="B170" s="386">
        <v>15</v>
      </c>
      <c r="C170" s="388"/>
      <c r="D170" s="388"/>
      <c r="E170" s="389"/>
      <c r="F170" s="437"/>
      <c r="G170" s="390"/>
      <c r="H170" s="349"/>
      <c r="I170" s="898"/>
      <c r="J170" s="898"/>
      <c r="K170" s="350"/>
      <c r="L170" s="386">
        <v>15</v>
      </c>
      <c r="M170" s="572" t="s">
        <v>601</v>
      </c>
      <c r="N170" s="388" t="s">
        <v>608</v>
      </c>
      <c r="O170" s="389"/>
      <c r="P170" s="437"/>
      <c r="Q170" s="390">
        <v>5305</v>
      </c>
      <c r="R170" s="211" t="s">
        <v>609</v>
      </c>
      <c r="S170" s="532" t="s">
        <v>610</v>
      </c>
      <c r="T170" s="734">
        <v>45869</v>
      </c>
      <c r="U170" s="542"/>
      <c r="V170" s="894"/>
      <c r="W170" s="784">
        <v>45855</v>
      </c>
      <c r="X170" s="897"/>
      <c r="Y170" s="202"/>
    </row>
    <row r="171" spans="1:42" ht="13.9">
      <c r="B171" s="557"/>
      <c r="C171" s="566"/>
      <c r="D171" s="566"/>
      <c r="E171" s="601"/>
      <c r="F171" s="567"/>
      <c r="G171" s="562"/>
      <c r="H171" s="563"/>
      <c r="I171" s="898"/>
      <c r="J171" s="898"/>
      <c r="K171" s="350"/>
      <c r="L171" s="557">
        <v>15</v>
      </c>
      <c r="M171" s="572" t="s">
        <v>601</v>
      </c>
      <c r="N171" s="566" t="s">
        <v>611</v>
      </c>
      <c r="O171" s="601"/>
      <c r="P171" s="567"/>
      <c r="Q171" s="562">
        <v>17160</v>
      </c>
      <c r="R171" s="484" t="s">
        <v>612</v>
      </c>
      <c r="S171" s="724" t="s">
        <v>613</v>
      </c>
      <c r="T171" s="889">
        <v>46053</v>
      </c>
      <c r="U171" s="861"/>
      <c r="V171" s="894"/>
      <c r="W171" s="785">
        <f>T171+5</f>
        <v>46058</v>
      </c>
      <c r="X171" s="897"/>
      <c r="Y171" s="485"/>
    </row>
    <row r="172" spans="1:42" ht="14.25" thickBot="1">
      <c r="B172" s="557"/>
      <c r="C172" s="566"/>
      <c r="D172" s="566"/>
      <c r="E172" s="601"/>
      <c r="F172" s="567"/>
      <c r="G172" s="562"/>
      <c r="H172" s="563"/>
      <c r="I172" s="898"/>
      <c r="J172" s="898"/>
      <c r="K172" s="350"/>
      <c r="L172" s="557">
        <v>15</v>
      </c>
      <c r="M172" s="572" t="s">
        <v>601</v>
      </c>
      <c r="N172" s="566" t="s">
        <v>614</v>
      </c>
      <c r="O172" s="601"/>
      <c r="P172" s="567"/>
      <c r="Q172" s="562">
        <v>19085.169999999998</v>
      </c>
      <c r="R172" s="484"/>
      <c r="S172" s="724" t="s">
        <v>615</v>
      </c>
      <c r="T172" s="728">
        <v>45869</v>
      </c>
      <c r="U172" s="861"/>
      <c r="V172" s="894"/>
      <c r="W172" s="785">
        <v>45862</v>
      </c>
      <c r="X172" s="897"/>
      <c r="Y172" s="485"/>
    </row>
    <row r="173" spans="1:42" ht="14.25" thickBot="1">
      <c r="B173" s="392">
        <v>15</v>
      </c>
      <c r="C173" s="393"/>
      <c r="D173" s="393"/>
      <c r="E173" s="394"/>
      <c r="F173" s="438"/>
      <c r="G173" s="413"/>
      <c r="H173" s="351"/>
      <c r="I173" s="898"/>
      <c r="J173" s="898"/>
      <c r="K173" s="352"/>
      <c r="L173" s="392">
        <v>15</v>
      </c>
      <c r="M173" s="652" t="s">
        <v>601</v>
      </c>
      <c r="N173" s="393" t="s">
        <v>616</v>
      </c>
      <c r="O173" s="394"/>
      <c r="P173" s="438"/>
      <c r="Q173" s="413">
        <v>5500</v>
      </c>
      <c r="R173" s="216" t="s">
        <v>617</v>
      </c>
      <c r="S173" s="829" t="s">
        <v>618</v>
      </c>
      <c r="T173" s="830">
        <v>45900</v>
      </c>
      <c r="U173" s="543"/>
      <c r="V173" s="894"/>
      <c r="W173" s="858">
        <v>45899</v>
      </c>
      <c r="X173" s="897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619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J26:J38"/>
    <mergeCell ref="J40:J55"/>
    <mergeCell ref="J57:J71"/>
    <mergeCell ref="R61:R71"/>
    <mergeCell ref="R28:R38"/>
    <mergeCell ref="X57:X71"/>
    <mergeCell ref="V57:V71"/>
    <mergeCell ref="R43:R44"/>
    <mergeCell ref="R51:R52"/>
    <mergeCell ref="R16:R17"/>
    <mergeCell ref="X73:X80"/>
    <mergeCell ref="X82:X103"/>
    <mergeCell ref="R99:R100"/>
    <mergeCell ref="R102:R103"/>
    <mergeCell ref="R97:R98"/>
    <mergeCell ref="R94:R95"/>
    <mergeCell ref="R87:R89"/>
    <mergeCell ref="B2:H2"/>
    <mergeCell ref="L2:Q2"/>
    <mergeCell ref="I6:I12"/>
    <mergeCell ref="I14:I19"/>
    <mergeCell ref="I21:I24"/>
    <mergeCell ref="J6:J12"/>
    <mergeCell ref="J14:J19"/>
    <mergeCell ref="J21:J24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X6:X12"/>
    <mergeCell ref="X14:X19"/>
    <mergeCell ref="X21:X24"/>
    <mergeCell ref="X26:X38"/>
    <mergeCell ref="X40:X5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I149:I155"/>
    <mergeCell ref="J105:J115"/>
    <mergeCell ref="R105:R109"/>
    <mergeCell ref="I146:I147"/>
    <mergeCell ref="J146:J147"/>
    <mergeCell ref="K146:K147"/>
    <mergeCell ref="I105:I115"/>
    <mergeCell ref="V105:V115"/>
    <mergeCell ref="V117:V137"/>
    <mergeCell ref="V139:V144"/>
    <mergeCell ref="V149:V155"/>
    <mergeCell ref="X146:X147"/>
    <mergeCell ref="X105:X1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9"/>
  <sheetViews>
    <sheetView zoomScale="85" zoomScaleNormal="85" workbookViewId="0">
      <pane xSplit="5" ySplit="15" topLeftCell="V16" activePane="bottomRight" state="frozen"/>
      <selection pane="topRight" activeCell="H13" sqref="H13"/>
      <selection pane="bottomLeft" activeCell="H13" sqref="H13"/>
      <selection pane="bottomRight" activeCell="F9" sqref="F9:CP9"/>
    </sheetView>
  </sheetViews>
  <sheetFormatPr defaultColWidth="9.3984375" defaultRowHeight="14.25"/>
  <cols>
    <col min="1" max="1" width="9.3984375" customWidth="1"/>
    <col min="2" max="2" width="34.59765625" customWidth="1"/>
    <col min="3" max="3" width="18" customWidth="1"/>
    <col min="4" max="4" width="21.3984375" customWidth="1"/>
    <col min="5" max="5" width="4.3984375" customWidth="1"/>
    <col min="6" max="6" width="21.59765625" bestFit="1" customWidth="1"/>
    <col min="7" max="10" width="24.3984375" bestFit="1" customWidth="1"/>
    <col min="11" max="94" width="15.3984375" bestFit="1" customWidth="1"/>
    <col min="95" max="95" width="9.3984375" style="238"/>
  </cols>
  <sheetData>
    <row r="1" spans="1:572">
      <c r="D1" s="234" t="s">
        <v>620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si="2"/>
        <v>46216</v>
      </c>
    </row>
    <row r="2" spans="1:572" s="238" customFormat="1">
      <c r="A2" s="955" t="s">
        <v>257</v>
      </c>
      <c r="B2" s="239"/>
      <c r="C2" s="240" t="s">
        <v>355</v>
      </c>
      <c r="D2" s="240" t="s">
        <v>355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6"/>
      <c r="B3" s="242" t="s">
        <v>261</v>
      </c>
      <c r="C3" s="243">
        <f>'Revenue Tracking'!D4</f>
        <v>16024328.9396773</v>
      </c>
      <c r="D3" s="243">
        <f>SUM(F3:CP3)</f>
        <v>16024328.9396773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0</v>
      </c>
      <c r="BT3" s="245">
        <f>SUMIFS('Revenue Tracking'!$F$12:$F$28, 'Revenue Tracking'!$H$12:$H$28, "&gt;="&amp;BT1,'Revenue Tracking'!$H$12:$H$28, "&lt;"&amp;BU1)</f>
        <v>0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801216.446983865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</row>
    <row r="4" spans="1:572">
      <c r="A4" s="956"/>
      <c r="B4" s="242" t="s">
        <v>621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3">H4+I3</f>
        <v>8813380.9168225154</v>
      </c>
      <c r="J4" s="245">
        <f t="shared" si="3"/>
        <v>8813380.9168225154</v>
      </c>
      <c r="K4" s="245">
        <f t="shared" si="3"/>
        <v>8813380.9168225154</v>
      </c>
      <c r="L4" s="245">
        <f t="shared" si="3"/>
        <v>8813380.9168225154</v>
      </c>
      <c r="M4" s="245">
        <f t="shared" si="3"/>
        <v>8813380.9168225154</v>
      </c>
      <c r="N4" s="245">
        <f t="shared" si="3"/>
        <v>8813380.9168225154</v>
      </c>
      <c r="O4" s="245">
        <f t="shared" si="3"/>
        <v>8813380.9168225154</v>
      </c>
      <c r="P4" s="245">
        <f t="shared" si="3"/>
        <v>8813380.9168225154</v>
      </c>
      <c r="Q4" s="245">
        <f t="shared" si="3"/>
        <v>8813380.9168225154</v>
      </c>
      <c r="R4" s="245">
        <f t="shared" si="3"/>
        <v>8813380.9168225154</v>
      </c>
      <c r="S4" s="245">
        <f t="shared" si="3"/>
        <v>13620679.598725706</v>
      </c>
      <c r="T4" s="245">
        <f t="shared" si="3"/>
        <v>13620679.598725706</v>
      </c>
      <c r="U4" s="245">
        <f t="shared" si="3"/>
        <v>13620679.598725706</v>
      </c>
      <c r="V4" s="245">
        <f t="shared" si="3"/>
        <v>13620679.598725706</v>
      </c>
      <c r="W4" s="245">
        <f t="shared" si="3"/>
        <v>14421896.045709571</v>
      </c>
      <c r="X4" s="245">
        <f t="shared" si="3"/>
        <v>14421896.045709571</v>
      </c>
      <c r="Y4" s="245">
        <f t="shared" si="3"/>
        <v>14421896.045709571</v>
      </c>
      <c r="Z4" s="245">
        <f t="shared" si="3"/>
        <v>14421896.045709571</v>
      </c>
      <c r="AA4" s="245">
        <f t="shared" si="3"/>
        <v>14421896.045709571</v>
      </c>
      <c r="AB4" s="245">
        <f t="shared" si="3"/>
        <v>14421896.045709571</v>
      </c>
      <c r="AC4" s="245">
        <f t="shared" si="3"/>
        <v>14421896.045709571</v>
      </c>
      <c r="AD4" s="245">
        <f t="shared" si="3"/>
        <v>15223112.492693435</v>
      </c>
      <c r="AE4" s="245">
        <f t="shared" si="3"/>
        <v>15223112.492693435</v>
      </c>
      <c r="AF4" s="245">
        <f t="shared" si="3"/>
        <v>15223112.492693435</v>
      </c>
      <c r="AG4" s="245">
        <f t="shared" si="3"/>
        <v>15223112.492693435</v>
      </c>
      <c r="AH4" s="245">
        <f t="shared" si="3"/>
        <v>15223112.492693435</v>
      </c>
      <c r="AI4" s="245">
        <f t="shared" si="3"/>
        <v>15223112.492693435</v>
      </c>
      <c r="AJ4" s="245">
        <f t="shared" si="3"/>
        <v>15223112.492693435</v>
      </c>
      <c r="AK4" s="245">
        <f t="shared" si="3"/>
        <v>15223112.492693435</v>
      </c>
      <c r="AL4" s="245">
        <f t="shared" si="3"/>
        <v>15223112.492693435</v>
      </c>
      <c r="AM4" s="245">
        <f t="shared" si="3"/>
        <v>15223112.492693435</v>
      </c>
      <c r="AN4" s="245">
        <f t="shared" si="3"/>
        <v>15223112.492693435</v>
      </c>
      <c r="AO4" s="245">
        <f t="shared" si="3"/>
        <v>15223112.492693435</v>
      </c>
      <c r="AP4" s="245">
        <f t="shared" si="3"/>
        <v>15223112.492693435</v>
      </c>
      <c r="AQ4" s="245">
        <f t="shared" si="3"/>
        <v>15223112.492693435</v>
      </c>
      <c r="AR4" s="245">
        <f t="shared" si="3"/>
        <v>15223112.492693435</v>
      </c>
      <c r="AS4" s="245">
        <f t="shared" si="3"/>
        <v>15223112.492693435</v>
      </c>
      <c r="AT4" s="245">
        <f t="shared" si="3"/>
        <v>15223112.492693435</v>
      </c>
      <c r="AU4" s="245">
        <f t="shared" si="3"/>
        <v>15223112.492693435</v>
      </c>
      <c r="AV4" s="245">
        <f t="shared" si="3"/>
        <v>15223112.492693435</v>
      </c>
      <c r="AW4" s="245">
        <f t="shared" si="3"/>
        <v>15223112.492693435</v>
      </c>
      <c r="AX4" s="245">
        <f t="shared" si="3"/>
        <v>15223112.492693435</v>
      </c>
      <c r="AY4" s="245">
        <f t="shared" si="3"/>
        <v>15223112.492693435</v>
      </c>
      <c r="AZ4" s="245">
        <f t="shared" si="3"/>
        <v>15223112.492693435</v>
      </c>
      <c r="BA4" s="245">
        <f t="shared" si="3"/>
        <v>15223112.492693435</v>
      </c>
      <c r="BB4" s="245">
        <f t="shared" si="3"/>
        <v>15223112.492693435</v>
      </c>
      <c r="BC4" s="245">
        <f t="shared" si="3"/>
        <v>15223112.492693435</v>
      </c>
      <c r="BD4" s="245">
        <f t="shared" si="3"/>
        <v>15223112.492693435</v>
      </c>
      <c r="BE4" s="245">
        <f t="shared" si="3"/>
        <v>15223112.492693435</v>
      </c>
      <c r="BF4" s="245">
        <f t="shared" si="3"/>
        <v>15223112.492693435</v>
      </c>
      <c r="BG4" s="245">
        <f t="shared" si="3"/>
        <v>15223112.492693435</v>
      </c>
      <c r="BH4" s="245">
        <f t="shared" si="3"/>
        <v>15223112.492693435</v>
      </c>
      <c r="BI4" s="245">
        <f t="shared" si="3"/>
        <v>15223112.492693435</v>
      </c>
      <c r="BJ4" s="245">
        <f t="shared" si="3"/>
        <v>15223112.492693435</v>
      </c>
      <c r="BK4" s="245">
        <f t="shared" si="3"/>
        <v>15223112.492693435</v>
      </c>
      <c r="BL4" s="245">
        <f t="shared" si="3"/>
        <v>15223112.492693435</v>
      </c>
      <c r="BM4" s="245">
        <f t="shared" si="3"/>
        <v>15223112.492693435</v>
      </c>
      <c r="BN4" s="245">
        <f t="shared" si="3"/>
        <v>15223112.492693435</v>
      </c>
      <c r="BO4" s="245">
        <f t="shared" si="3"/>
        <v>15223112.492693435</v>
      </c>
      <c r="BP4" s="245">
        <f t="shared" si="3"/>
        <v>15223112.492693435</v>
      </c>
      <c r="BQ4" s="245">
        <f t="shared" si="3"/>
        <v>15223112.492693435</v>
      </c>
      <c r="BR4" s="245">
        <f t="shared" si="3"/>
        <v>15223112.492693435</v>
      </c>
      <c r="BS4" s="245">
        <f t="shared" si="3"/>
        <v>15223112.492693435</v>
      </c>
      <c r="BT4" s="245">
        <f t="shared" si="3"/>
        <v>15223112.492693435</v>
      </c>
      <c r="BU4" s="245">
        <f t="shared" ref="BU4:CJ4" si="4">BT4+BU3</f>
        <v>15223112.492693435</v>
      </c>
      <c r="BV4" s="245">
        <f t="shared" si="4"/>
        <v>16024328.9396773</v>
      </c>
      <c r="BW4" s="245">
        <f t="shared" si="4"/>
        <v>16024328.9396773</v>
      </c>
      <c r="BX4" s="245">
        <f t="shared" si="4"/>
        <v>16024328.9396773</v>
      </c>
      <c r="BY4" s="245">
        <f t="shared" si="4"/>
        <v>16024328.9396773</v>
      </c>
      <c r="BZ4" s="245">
        <f t="shared" si="4"/>
        <v>16024328.9396773</v>
      </c>
      <c r="CA4" s="245">
        <f t="shared" si="4"/>
        <v>16024328.9396773</v>
      </c>
      <c r="CB4" s="245">
        <f t="shared" si="4"/>
        <v>16024328.9396773</v>
      </c>
      <c r="CC4" s="245">
        <f t="shared" si="4"/>
        <v>16024328.9396773</v>
      </c>
      <c r="CD4" s="245">
        <f t="shared" si="4"/>
        <v>16024328.9396773</v>
      </c>
      <c r="CE4" s="245">
        <f t="shared" si="4"/>
        <v>16024328.9396773</v>
      </c>
      <c r="CF4" s="245">
        <f t="shared" si="4"/>
        <v>16024328.9396773</v>
      </c>
      <c r="CG4" s="245">
        <f t="shared" si="4"/>
        <v>16024328.9396773</v>
      </c>
      <c r="CH4" s="245">
        <f t="shared" si="4"/>
        <v>16024328.9396773</v>
      </c>
      <c r="CI4" s="245">
        <f t="shared" si="4"/>
        <v>16024328.9396773</v>
      </c>
      <c r="CJ4" s="245">
        <f t="shared" si="4"/>
        <v>16024328.9396773</v>
      </c>
      <c r="CK4" s="245">
        <f t="shared" ref="CK4" si="5">CJ4+CK3</f>
        <v>16024328.9396773</v>
      </c>
      <c r="CL4" s="245">
        <f t="shared" ref="CL4" si="6">CK4+CL3</f>
        <v>16024328.9396773</v>
      </c>
      <c r="CM4" s="245">
        <f t="shared" ref="CM4" si="7">CL4+CM3</f>
        <v>16024328.9396773</v>
      </c>
      <c r="CN4" s="245">
        <f t="shared" ref="CN4" si="8">CM4+CN3</f>
        <v>16024328.9396773</v>
      </c>
      <c r="CO4" s="245">
        <f t="shared" ref="CO4" si="9">CN4+CO3</f>
        <v>16024328.9396773</v>
      </c>
      <c r="CP4" s="245">
        <f t="shared" ref="CP4" si="10">CO4+CP3</f>
        <v>16024328.9396773</v>
      </c>
    </row>
    <row r="5" spans="1:572" s="250" customFormat="1">
      <c r="A5" s="956"/>
      <c r="B5" s="246" t="s">
        <v>263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38"/>
      <c r="CR5" s="249"/>
      <c r="CS5" s="249"/>
    </row>
    <row r="6" spans="1:572" s="250" customFormat="1">
      <c r="A6" s="956"/>
      <c r="B6" s="246" t="s">
        <v>622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7922543.6320000002</v>
      </c>
      <c r="L6" s="248">
        <f t="shared" si="11"/>
        <v>7922543.6320000002</v>
      </c>
      <c r="M6" s="248">
        <f t="shared" si="11"/>
        <v>8532372.252869565</v>
      </c>
      <c r="N6" s="248">
        <f t="shared" si="11"/>
        <v>8837286.5633043479</v>
      </c>
      <c r="O6" s="248">
        <f t="shared" si="11"/>
        <v>9494058.0289565213</v>
      </c>
      <c r="P6" s="248">
        <f t="shared" si="11"/>
        <v>9494058.0289565213</v>
      </c>
      <c r="Q6" s="248">
        <f t="shared" si="11"/>
        <v>9494058.0289565213</v>
      </c>
      <c r="R6" s="248">
        <f t="shared" si="11"/>
        <v>9494058.0289565213</v>
      </c>
      <c r="S6" s="248">
        <f t="shared" si="11"/>
        <v>10150154.028956521</v>
      </c>
      <c r="T6" s="248">
        <f t="shared" si="11"/>
        <v>11657754.028956521</v>
      </c>
      <c r="U6" s="248">
        <f t="shared" si="11"/>
        <v>11657754.028956521</v>
      </c>
      <c r="V6" s="248">
        <f t="shared" si="11"/>
        <v>11662925.228956521</v>
      </c>
      <c r="W6" s="248">
        <f t="shared" si="11"/>
        <v>11662925.228956521</v>
      </c>
      <c r="X6" s="248">
        <f t="shared" si="11"/>
        <v>11662925.228956521</v>
      </c>
      <c r="Y6" s="248">
        <f t="shared" si="11"/>
        <v>11662925.228956521</v>
      </c>
      <c r="Z6" s="248">
        <f t="shared" si="11"/>
        <v>11662925.228956521</v>
      </c>
      <c r="AA6" s="248">
        <f t="shared" si="11"/>
        <v>11662925.228956521</v>
      </c>
      <c r="AB6" s="248">
        <f t="shared" si="11"/>
        <v>11662925.228956521</v>
      </c>
      <c r="AC6" s="248">
        <f t="shared" si="11"/>
        <v>11662925.228956521</v>
      </c>
      <c r="AD6" s="248">
        <f t="shared" si="11"/>
        <v>11662925.228956521</v>
      </c>
      <c r="AE6" s="248">
        <f t="shared" si="11"/>
        <v>11662925.228956521</v>
      </c>
      <c r="AF6" s="248">
        <f t="shared" si="11"/>
        <v>11662925.228956521</v>
      </c>
      <c r="AG6" s="248">
        <f t="shared" si="11"/>
        <v>11662925.228956521</v>
      </c>
      <c r="AH6" s="248">
        <f t="shared" si="11"/>
        <v>11662925.228956521</v>
      </c>
      <c r="AI6" s="248">
        <f t="shared" si="11"/>
        <v>11662925.228956521</v>
      </c>
      <c r="AJ6" s="248">
        <f t="shared" si="11"/>
        <v>11662925.228956521</v>
      </c>
      <c r="AK6" s="248">
        <f t="shared" si="11"/>
        <v>11662925.228956521</v>
      </c>
      <c r="AL6" s="248">
        <f t="shared" si="11"/>
        <v>11662925.228956521</v>
      </c>
      <c r="AM6" s="248">
        <f t="shared" si="11"/>
        <v>11662925.228956521</v>
      </c>
      <c r="AN6" s="248">
        <f t="shared" si="11"/>
        <v>11662925.228956521</v>
      </c>
      <c r="AO6" s="248">
        <f t="shared" si="11"/>
        <v>11662925.228956521</v>
      </c>
      <c r="AP6" s="248">
        <f t="shared" si="11"/>
        <v>11662925.228956521</v>
      </c>
      <c r="AQ6" s="248">
        <f t="shared" si="11"/>
        <v>11662925.228956521</v>
      </c>
      <c r="AR6" s="248">
        <f t="shared" si="11"/>
        <v>11662925.228956521</v>
      </c>
      <c r="AS6" s="248">
        <f t="shared" si="11"/>
        <v>11662925.228956521</v>
      </c>
      <c r="AT6" s="248">
        <f t="shared" si="11"/>
        <v>11662925.228956521</v>
      </c>
      <c r="AU6" s="248">
        <f t="shared" si="11"/>
        <v>11662925.228956521</v>
      </c>
      <c r="AV6" s="248">
        <f t="shared" si="11"/>
        <v>11662925.228956521</v>
      </c>
      <c r="AW6" s="248">
        <f t="shared" si="11"/>
        <v>11662925.228956521</v>
      </c>
      <c r="AX6" s="248">
        <f t="shared" si="11"/>
        <v>11662925.228956521</v>
      </c>
      <c r="AY6" s="248">
        <f t="shared" si="11"/>
        <v>11662925.228956521</v>
      </c>
      <c r="AZ6" s="248">
        <f t="shared" si="11"/>
        <v>11662925.228956521</v>
      </c>
      <c r="BA6" s="248">
        <f t="shared" si="11"/>
        <v>11662925.228956521</v>
      </c>
      <c r="BB6" s="248">
        <f t="shared" si="11"/>
        <v>11662925.228956521</v>
      </c>
      <c r="BC6" s="248">
        <f t="shared" si="11"/>
        <v>12360544.945410868</v>
      </c>
      <c r="BD6" s="248">
        <f t="shared" si="11"/>
        <v>12360544.945410868</v>
      </c>
      <c r="BE6" s="248">
        <f t="shared" si="11"/>
        <v>12360544.945410868</v>
      </c>
      <c r="BF6" s="248">
        <f t="shared" si="11"/>
        <v>12360544.945410868</v>
      </c>
      <c r="BG6" s="248">
        <f t="shared" si="11"/>
        <v>12360544.945410868</v>
      </c>
      <c r="BH6" s="248">
        <f t="shared" si="11"/>
        <v>12360544.945410868</v>
      </c>
      <c r="BI6" s="248">
        <f t="shared" si="11"/>
        <v>12360544.945410868</v>
      </c>
      <c r="BJ6" s="248">
        <f t="shared" si="11"/>
        <v>12360544.945410868</v>
      </c>
      <c r="BK6" s="248">
        <f t="shared" si="11"/>
        <v>12360544.945410868</v>
      </c>
      <c r="BL6" s="248">
        <f t="shared" si="11"/>
        <v>12360544.945410868</v>
      </c>
      <c r="BM6" s="248">
        <f t="shared" si="11"/>
        <v>12360544.945410868</v>
      </c>
      <c r="BN6" s="248">
        <f t="shared" si="11"/>
        <v>12360544.945410868</v>
      </c>
      <c r="BO6" s="248">
        <f t="shared" si="11"/>
        <v>12360544.945410868</v>
      </c>
      <c r="BP6" s="248">
        <f t="shared" si="11"/>
        <v>12360544.945410868</v>
      </c>
      <c r="BQ6" s="248">
        <f t="shared" si="11"/>
        <v>12360544.945410868</v>
      </c>
      <c r="BR6" s="248">
        <f t="shared" si="11"/>
        <v>12360544.945410868</v>
      </c>
      <c r="BS6" s="248">
        <f t="shared" si="11"/>
        <v>12360544.945410868</v>
      </c>
      <c r="BT6" s="248">
        <f t="shared" si="11"/>
        <v>12360544.945410868</v>
      </c>
      <c r="BU6" s="248">
        <f t="shared" ref="BU6:CJ6" si="12">BT6+BU5</f>
        <v>12360544.945410868</v>
      </c>
      <c r="BV6" s="248">
        <f t="shared" si="12"/>
        <v>12360544.945410868</v>
      </c>
      <c r="BW6" s="248">
        <f t="shared" si="12"/>
        <v>12360544.945410868</v>
      </c>
      <c r="BX6" s="248">
        <f t="shared" si="12"/>
        <v>12360544.945410868</v>
      </c>
      <c r="BY6" s="248">
        <f t="shared" si="12"/>
        <v>12360544.945410868</v>
      </c>
      <c r="BZ6" s="248">
        <f t="shared" si="12"/>
        <v>12360544.945410868</v>
      </c>
      <c r="CA6" s="248">
        <f t="shared" si="12"/>
        <v>12360544.945410868</v>
      </c>
      <c r="CB6" s="248">
        <f t="shared" si="12"/>
        <v>12360544.945410868</v>
      </c>
      <c r="CC6" s="248">
        <f t="shared" si="12"/>
        <v>12360544.945410868</v>
      </c>
      <c r="CD6" s="248">
        <f t="shared" si="12"/>
        <v>12360544.945410868</v>
      </c>
      <c r="CE6" s="248">
        <f t="shared" si="12"/>
        <v>12360544.945410868</v>
      </c>
      <c r="CF6" s="248">
        <f t="shared" si="12"/>
        <v>12360544.945410868</v>
      </c>
      <c r="CG6" s="248">
        <f t="shared" si="12"/>
        <v>12360544.945410868</v>
      </c>
      <c r="CH6" s="248">
        <f t="shared" si="12"/>
        <v>12360544.945410868</v>
      </c>
      <c r="CI6" s="248">
        <f t="shared" si="12"/>
        <v>12360544.945410868</v>
      </c>
      <c r="CJ6" s="248">
        <f t="shared" si="12"/>
        <v>12360544.945410868</v>
      </c>
      <c r="CK6" s="248">
        <f t="shared" ref="CK6" si="13">CJ6+CK5</f>
        <v>12360544.945410868</v>
      </c>
      <c r="CL6" s="248">
        <f t="shared" ref="CL6" si="14">CK6+CL5</f>
        <v>12360544.945410868</v>
      </c>
      <c r="CM6" s="248">
        <f t="shared" ref="CM6" si="15">CL6+CM5</f>
        <v>12360544.945410868</v>
      </c>
      <c r="CN6" s="248">
        <f t="shared" ref="CN6" si="16">CM6+CN5</f>
        <v>12360544.945410868</v>
      </c>
      <c r="CO6" s="248">
        <f t="shared" ref="CO6" si="17">CN6+CO5</f>
        <v>12360544.945410868</v>
      </c>
      <c r="CP6" s="248">
        <f t="shared" ref="CP6" si="18">CO6+CP5</f>
        <v>12360544.945410868</v>
      </c>
      <c r="CQ6" s="238"/>
      <c r="CR6" s="249"/>
    </row>
    <row r="7" spans="1:572">
      <c r="A7" s="956"/>
      <c r="B7" s="251" t="s">
        <v>623</v>
      </c>
      <c r="C7" s="252"/>
      <c r="D7" s="252"/>
      <c r="E7" s="253"/>
      <c r="F7" s="254">
        <f t="shared" ref="F7:H7" si="19">F4-F6</f>
        <v>0</v>
      </c>
      <c r="G7" s="254">
        <f t="shared" si="19"/>
        <v>1602432.89396773</v>
      </c>
      <c r="H7" s="254">
        <f t="shared" si="19"/>
        <v>8813380.9168225154</v>
      </c>
      <c r="I7" s="254">
        <f t="shared" ref="I7:BT7" si="20">I4-I6</f>
        <v>8813380.9168225154</v>
      </c>
      <c r="J7" s="254">
        <f t="shared" si="20"/>
        <v>8813380.9168225154</v>
      </c>
      <c r="K7" s="254">
        <f t="shared" si="20"/>
        <v>890837.28482251521</v>
      </c>
      <c r="L7" s="254">
        <f t="shared" si="20"/>
        <v>890837.28482251521</v>
      </c>
      <c r="M7" s="254">
        <f t="shared" si="20"/>
        <v>281008.66395295039</v>
      </c>
      <c r="N7" s="254">
        <f t="shared" si="20"/>
        <v>-23905.646481832489</v>
      </c>
      <c r="O7" s="254">
        <f t="shared" si="20"/>
        <v>-680677.11213400587</v>
      </c>
      <c r="P7" s="254">
        <f t="shared" si="20"/>
        <v>-680677.11213400587</v>
      </c>
      <c r="Q7" s="254">
        <f t="shared" si="20"/>
        <v>-680677.11213400587</v>
      </c>
      <c r="R7" s="254">
        <f t="shared" si="20"/>
        <v>-680677.11213400587</v>
      </c>
      <c r="S7" s="254">
        <f t="shared" si="20"/>
        <v>3470525.569769185</v>
      </c>
      <c r="T7" s="254">
        <f t="shared" si="20"/>
        <v>1962925.569769185</v>
      </c>
      <c r="U7" s="254">
        <f t="shared" si="20"/>
        <v>1962925.569769185</v>
      </c>
      <c r="V7" s="254">
        <f t="shared" si="20"/>
        <v>1957754.3697691858</v>
      </c>
      <c r="W7" s="254">
        <f t="shared" si="20"/>
        <v>2758970.8167530503</v>
      </c>
      <c r="X7" s="254">
        <f t="shared" si="20"/>
        <v>2758970.8167530503</v>
      </c>
      <c r="Y7" s="254">
        <f t="shared" si="20"/>
        <v>2758970.8167530503</v>
      </c>
      <c r="Z7" s="254">
        <f t="shared" si="20"/>
        <v>2758970.8167530503</v>
      </c>
      <c r="AA7" s="254">
        <f t="shared" si="20"/>
        <v>2758970.8167530503</v>
      </c>
      <c r="AB7" s="254">
        <f t="shared" si="20"/>
        <v>2758970.8167530503</v>
      </c>
      <c r="AC7" s="254">
        <f t="shared" si="20"/>
        <v>2758970.8167530503</v>
      </c>
      <c r="AD7" s="254">
        <f t="shared" si="20"/>
        <v>3560187.2637369148</v>
      </c>
      <c r="AE7" s="254">
        <f t="shared" si="20"/>
        <v>3560187.2637369148</v>
      </c>
      <c r="AF7" s="254">
        <f t="shared" si="20"/>
        <v>3560187.2637369148</v>
      </c>
      <c r="AG7" s="254">
        <f t="shared" si="20"/>
        <v>3560187.2637369148</v>
      </c>
      <c r="AH7" s="254">
        <f t="shared" si="20"/>
        <v>3560187.2637369148</v>
      </c>
      <c r="AI7" s="254">
        <f t="shared" si="20"/>
        <v>3560187.2637369148</v>
      </c>
      <c r="AJ7" s="254">
        <f t="shared" si="20"/>
        <v>3560187.2637369148</v>
      </c>
      <c r="AK7" s="254">
        <f t="shared" si="20"/>
        <v>3560187.2637369148</v>
      </c>
      <c r="AL7" s="254">
        <f t="shared" si="20"/>
        <v>3560187.2637369148</v>
      </c>
      <c r="AM7" s="254">
        <f t="shared" si="20"/>
        <v>3560187.2637369148</v>
      </c>
      <c r="AN7" s="254">
        <f t="shared" si="20"/>
        <v>3560187.2637369148</v>
      </c>
      <c r="AO7" s="254">
        <f t="shared" si="20"/>
        <v>3560187.2637369148</v>
      </c>
      <c r="AP7" s="254">
        <f t="shared" si="20"/>
        <v>3560187.2637369148</v>
      </c>
      <c r="AQ7" s="254">
        <f t="shared" si="20"/>
        <v>3560187.2637369148</v>
      </c>
      <c r="AR7" s="254">
        <f t="shared" si="20"/>
        <v>3560187.2637369148</v>
      </c>
      <c r="AS7" s="254">
        <f t="shared" si="20"/>
        <v>3560187.2637369148</v>
      </c>
      <c r="AT7" s="254">
        <f t="shared" si="20"/>
        <v>3560187.2637369148</v>
      </c>
      <c r="AU7" s="254">
        <f t="shared" si="20"/>
        <v>3560187.2637369148</v>
      </c>
      <c r="AV7" s="254">
        <f t="shared" si="20"/>
        <v>3560187.2637369148</v>
      </c>
      <c r="AW7" s="254">
        <f t="shared" si="20"/>
        <v>3560187.2637369148</v>
      </c>
      <c r="AX7" s="254">
        <f t="shared" si="20"/>
        <v>3560187.2637369148</v>
      </c>
      <c r="AY7" s="254">
        <f t="shared" si="20"/>
        <v>3560187.2637369148</v>
      </c>
      <c r="AZ7" s="254">
        <f t="shared" si="20"/>
        <v>3560187.2637369148</v>
      </c>
      <c r="BA7" s="254">
        <f t="shared" si="20"/>
        <v>3560187.2637369148</v>
      </c>
      <c r="BB7" s="254">
        <f t="shared" si="20"/>
        <v>3560187.2637369148</v>
      </c>
      <c r="BC7" s="254">
        <f t="shared" si="20"/>
        <v>2862567.5472825672</v>
      </c>
      <c r="BD7" s="254">
        <f t="shared" si="20"/>
        <v>2862567.5472825672</v>
      </c>
      <c r="BE7" s="254">
        <f t="shared" si="20"/>
        <v>2862567.5472825672</v>
      </c>
      <c r="BF7" s="254">
        <f t="shared" si="20"/>
        <v>2862567.5472825672</v>
      </c>
      <c r="BG7" s="254">
        <f t="shared" si="20"/>
        <v>2862567.5472825672</v>
      </c>
      <c r="BH7" s="254">
        <f t="shared" si="20"/>
        <v>2862567.5472825672</v>
      </c>
      <c r="BI7" s="254">
        <f t="shared" si="20"/>
        <v>2862567.5472825672</v>
      </c>
      <c r="BJ7" s="254">
        <f t="shared" si="20"/>
        <v>2862567.5472825672</v>
      </c>
      <c r="BK7" s="254">
        <f t="shared" si="20"/>
        <v>2862567.5472825672</v>
      </c>
      <c r="BL7" s="254">
        <f t="shared" si="20"/>
        <v>2862567.5472825672</v>
      </c>
      <c r="BM7" s="254">
        <f t="shared" si="20"/>
        <v>2862567.5472825672</v>
      </c>
      <c r="BN7" s="254">
        <f t="shared" si="20"/>
        <v>2862567.5472825672</v>
      </c>
      <c r="BO7" s="254">
        <f t="shared" si="20"/>
        <v>2862567.5472825672</v>
      </c>
      <c r="BP7" s="254">
        <f t="shared" si="20"/>
        <v>2862567.5472825672</v>
      </c>
      <c r="BQ7" s="254">
        <f t="shared" si="20"/>
        <v>2862567.5472825672</v>
      </c>
      <c r="BR7" s="254">
        <f t="shared" si="20"/>
        <v>2862567.5472825672</v>
      </c>
      <c r="BS7" s="254">
        <f t="shared" si="20"/>
        <v>2862567.5472825672</v>
      </c>
      <c r="BT7" s="254">
        <f t="shared" si="20"/>
        <v>2862567.5472825672</v>
      </c>
      <c r="BU7" s="254">
        <f t="shared" ref="BU7:CJ7" si="21">BU4-BU6</f>
        <v>2862567.5472825672</v>
      </c>
      <c r="BV7" s="254">
        <f t="shared" si="21"/>
        <v>3663783.9942664318</v>
      </c>
      <c r="BW7" s="254">
        <f t="shared" si="21"/>
        <v>3663783.9942664318</v>
      </c>
      <c r="BX7" s="254">
        <f t="shared" si="21"/>
        <v>3663783.9942664318</v>
      </c>
      <c r="BY7" s="254">
        <f t="shared" si="21"/>
        <v>3663783.9942664318</v>
      </c>
      <c r="BZ7" s="254">
        <f t="shared" si="21"/>
        <v>3663783.9942664318</v>
      </c>
      <c r="CA7" s="254">
        <f t="shared" si="21"/>
        <v>3663783.9942664318</v>
      </c>
      <c r="CB7" s="254">
        <f t="shared" si="21"/>
        <v>3663783.9942664318</v>
      </c>
      <c r="CC7" s="254">
        <f t="shared" si="21"/>
        <v>3663783.9942664318</v>
      </c>
      <c r="CD7" s="254">
        <f t="shared" si="21"/>
        <v>3663783.9942664318</v>
      </c>
      <c r="CE7" s="254">
        <f t="shared" si="21"/>
        <v>3663783.9942664318</v>
      </c>
      <c r="CF7" s="254">
        <f t="shared" si="21"/>
        <v>3663783.9942664318</v>
      </c>
      <c r="CG7" s="254">
        <f t="shared" si="21"/>
        <v>3663783.9942664318</v>
      </c>
      <c r="CH7" s="254">
        <f t="shared" si="21"/>
        <v>3663783.9942664318</v>
      </c>
      <c r="CI7" s="254">
        <f t="shared" si="21"/>
        <v>3663783.9942664318</v>
      </c>
      <c r="CJ7" s="254">
        <f t="shared" si="21"/>
        <v>3663783.9942664318</v>
      </c>
      <c r="CK7" s="254">
        <f t="shared" ref="CK7:CP7" si="22">CK4-CK6</f>
        <v>3663783.9942664318</v>
      </c>
      <c r="CL7" s="254">
        <f t="shared" si="22"/>
        <v>3663783.9942664318</v>
      </c>
      <c r="CM7" s="254">
        <f t="shared" si="22"/>
        <v>3663783.9942664318</v>
      </c>
      <c r="CN7" s="254">
        <f t="shared" si="22"/>
        <v>3663783.9942664318</v>
      </c>
      <c r="CO7" s="254">
        <f t="shared" si="22"/>
        <v>3663783.9942664318</v>
      </c>
      <c r="CP7" s="254">
        <f t="shared" si="22"/>
        <v>3663783.9942664318</v>
      </c>
    </row>
    <row r="8" spans="1:572" s="238" customFormat="1">
      <c r="A8" s="955" t="s">
        <v>258</v>
      </c>
      <c r="B8" s="239"/>
      <c r="C8" s="240" t="s">
        <v>355</v>
      </c>
      <c r="D8" s="240" t="s">
        <v>355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6"/>
      <c r="B9" s="256" t="s">
        <v>624</v>
      </c>
      <c r="C9" s="257">
        <f>'Revenue Tracking'!F4</f>
        <v>16024328.939677302</v>
      </c>
      <c r="D9" s="257">
        <f>SUM(F9:CP9)</f>
        <v>16024328.939677298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0</v>
      </c>
      <c r="BT9" s="258">
        <f>SUMIFS('Revenue Tracking'!$F$12:$F$28, 'Revenue Tracking'!$P12:$P$28, "&gt;="&amp;BT1,'Revenue Tracking'!$P$12:$P$28, "&lt;"&amp;BU1)</f>
        <v>0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801216.446983865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</row>
    <row r="10" spans="1:572">
      <c r="A10" s="956"/>
      <c r="B10" s="256" t="s">
        <v>625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5608515.1288870545</v>
      </c>
      <c r="M10" s="258">
        <f t="shared" si="23"/>
        <v>5608515.1288870545</v>
      </c>
      <c r="N10" s="258">
        <f t="shared" si="23"/>
        <v>5608515.1288870545</v>
      </c>
      <c r="O10" s="258">
        <f t="shared" si="23"/>
        <v>5608515.1288870545</v>
      </c>
      <c r="P10" s="258">
        <f t="shared" si="23"/>
        <v>5608515.1288870545</v>
      </c>
      <c r="Q10" s="258">
        <f t="shared" si="23"/>
        <v>5608515.1288870545</v>
      </c>
      <c r="R10" s="258">
        <f t="shared" si="23"/>
        <v>5608515.1288870545</v>
      </c>
      <c r="S10" s="258">
        <f t="shared" si="23"/>
        <v>10415813.810790244</v>
      </c>
      <c r="T10" s="258">
        <f t="shared" si="23"/>
        <v>13620679.598725704</v>
      </c>
      <c r="U10" s="258">
        <f t="shared" si="23"/>
        <v>13620679.598725704</v>
      </c>
      <c r="V10" s="258">
        <f t="shared" si="23"/>
        <v>13620679.598725704</v>
      </c>
      <c r="W10" s="258">
        <f t="shared" si="23"/>
        <v>13620679.598725704</v>
      </c>
      <c r="X10" s="258">
        <f t="shared" si="23"/>
        <v>13620679.598725704</v>
      </c>
      <c r="Y10" s="258">
        <f t="shared" si="23"/>
        <v>13620679.598725704</v>
      </c>
      <c r="Z10" s="258">
        <f t="shared" si="23"/>
        <v>13620679.598725704</v>
      </c>
      <c r="AA10" s="258">
        <f t="shared" si="23"/>
        <v>13620679.598725704</v>
      </c>
      <c r="AB10" s="258">
        <f t="shared" si="23"/>
        <v>13620679.598725704</v>
      </c>
      <c r="AC10" s="258">
        <f t="shared" si="23"/>
        <v>13620679.598725704</v>
      </c>
      <c r="AD10" s="258">
        <f t="shared" si="23"/>
        <v>14421896.045709569</v>
      </c>
      <c r="AE10" s="258">
        <f t="shared" si="23"/>
        <v>14421896.045709569</v>
      </c>
      <c r="AF10" s="258">
        <f t="shared" si="23"/>
        <v>14421896.045709569</v>
      </c>
      <c r="AG10" s="258">
        <f t="shared" si="23"/>
        <v>14421896.045709569</v>
      </c>
      <c r="AH10" s="258">
        <f t="shared" si="23"/>
        <v>14421896.045709569</v>
      </c>
      <c r="AI10" s="258">
        <f t="shared" si="23"/>
        <v>14421896.045709569</v>
      </c>
      <c r="AJ10" s="258">
        <f t="shared" si="23"/>
        <v>14421896.045709569</v>
      </c>
      <c r="AK10" s="258">
        <f t="shared" si="23"/>
        <v>14421896.045709569</v>
      </c>
      <c r="AL10" s="258">
        <f t="shared" si="23"/>
        <v>14421896.045709569</v>
      </c>
      <c r="AM10" s="258">
        <f t="shared" si="23"/>
        <v>14421896.045709569</v>
      </c>
      <c r="AN10" s="258">
        <f t="shared" si="23"/>
        <v>14421896.045709569</v>
      </c>
      <c r="AO10" s="258">
        <f t="shared" si="23"/>
        <v>14421896.045709569</v>
      </c>
      <c r="AP10" s="258">
        <f t="shared" si="23"/>
        <v>14421896.045709569</v>
      </c>
      <c r="AQ10" s="258">
        <f t="shared" si="23"/>
        <v>14421896.045709569</v>
      </c>
      <c r="AR10" s="258">
        <f t="shared" si="23"/>
        <v>14421896.045709569</v>
      </c>
      <c r="AS10" s="258">
        <f t="shared" si="23"/>
        <v>14421896.045709569</v>
      </c>
      <c r="AT10" s="258">
        <f t="shared" si="23"/>
        <v>14421896.045709569</v>
      </c>
      <c r="AU10" s="258">
        <f t="shared" si="23"/>
        <v>14421896.045709569</v>
      </c>
      <c r="AV10" s="258">
        <f t="shared" si="23"/>
        <v>14421896.045709569</v>
      </c>
      <c r="AW10" s="258">
        <f t="shared" si="23"/>
        <v>14421896.045709569</v>
      </c>
      <c r="AX10" s="258">
        <f t="shared" si="23"/>
        <v>14421896.045709569</v>
      </c>
      <c r="AY10" s="258">
        <f t="shared" si="23"/>
        <v>14421896.045709569</v>
      </c>
      <c r="AZ10" s="258">
        <f t="shared" si="23"/>
        <v>14421896.045709569</v>
      </c>
      <c r="BA10" s="258">
        <f t="shared" si="23"/>
        <v>14421896.045709569</v>
      </c>
      <c r="BB10" s="258">
        <f t="shared" si="23"/>
        <v>14421896.045709569</v>
      </c>
      <c r="BC10" s="258">
        <f t="shared" si="23"/>
        <v>14421896.045709569</v>
      </c>
      <c r="BD10" s="258">
        <f t="shared" si="23"/>
        <v>14421896.045709569</v>
      </c>
      <c r="BE10" s="258">
        <f t="shared" si="23"/>
        <v>14421896.045709569</v>
      </c>
      <c r="BF10" s="258">
        <f t="shared" si="23"/>
        <v>15223112.492693434</v>
      </c>
      <c r="BG10" s="258">
        <f t="shared" si="23"/>
        <v>15223112.492693434</v>
      </c>
      <c r="BH10" s="258">
        <f t="shared" si="23"/>
        <v>15223112.492693434</v>
      </c>
      <c r="BI10" s="258">
        <f t="shared" si="23"/>
        <v>15223112.492693434</v>
      </c>
      <c r="BJ10" s="258">
        <f t="shared" si="23"/>
        <v>15223112.492693434</v>
      </c>
      <c r="BK10" s="258">
        <f t="shared" si="23"/>
        <v>15223112.492693434</v>
      </c>
      <c r="BL10" s="258">
        <f t="shared" si="23"/>
        <v>15223112.492693434</v>
      </c>
      <c r="BM10" s="258">
        <f t="shared" si="23"/>
        <v>15223112.492693434</v>
      </c>
      <c r="BN10" s="258">
        <f t="shared" si="23"/>
        <v>15223112.492693434</v>
      </c>
      <c r="BO10" s="258">
        <f t="shared" si="23"/>
        <v>15223112.492693434</v>
      </c>
      <c r="BP10" s="258">
        <f t="shared" si="23"/>
        <v>15223112.492693434</v>
      </c>
      <c r="BQ10" s="258">
        <f t="shared" si="23"/>
        <v>15223112.492693434</v>
      </c>
      <c r="BR10" s="258">
        <f t="shared" si="23"/>
        <v>15223112.492693434</v>
      </c>
      <c r="BS10" s="258">
        <f t="shared" si="23"/>
        <v>15223112.492693434</v>
      </c>
      <c r="BT10" s="258">
        <f t="shared" si="23"/>
        <v>15223112.492693434</v>
      </c>
      <c r="BU10" s="258">
        <f t="shared" ref="BU10:CJ10" si="24">BT10+BU9</f>
        <v>15223112.492693434</v>
      </c>
      <c r="BV10" s="258">
        <f t="shared" si="24"/>
        <v>16024328.939677298</v>
      </c>
      <c r="BW10" s="258">
        <f t="shared" si="24"/>
        <v>16024328.939677298</v>
      </c>
      <c r="BX10" s="258">
        <f t="shared" si="24"/>
        <v>16024328.939677298</v>
      </c>
      <c r="BY10" s="258">
        <f t="shared" si="24"/>
        <v>16024328.939677298</v>
      </c>
      <c r="BZ10" s="258">
        <f t="shared" si="24"/>
        <v>16024328.939677298</v>
      </c>
      <c r="CA10" s="258">
        <f t="shared" si="24"/>
        <v>16024328.939677298</v>
      </c>
      <c r="CB10" s="258">
        <f t="shared" si="24"/>
        <v>16024328.939677298</v>
      </c>
      <c r="CC10" s="258">
        <f t="shared" si="24"/>
        <v>16024328.939677298</v>
      </c>
      <c r="CD10" s="258">
        <f t="shared" si="24"/>
        <v>16024328.939677298</v>
      </c>
      <c r="CE10" s="258">
        <f t="shared" si="24"/>
        <v>16024328.939677298</v>
      </c>
      <c r="CF10" s="258">
        <f t="shared" si="24"/>
        <v>16024328.939677298</v>
      </c>
      <c r="CG10" s="258">
        <f t="shared" si="24"/>
        <v>16024328.939677298</v>
      </c>
      <c r="CH10" s="258">
        <f t="shared" si="24"/>
        <v>16024328.939677298</v>
      </c>
      <c r="CI10" s="258">
        <f t="shared" si="24"/>
        <v>16024328.939677298</v>
      </c>
      <c r="CJ10" s="258">
        <f t="shared" si="24"/>
        <v>16024328.939677298</v>
      </c>
      <c r="CK10" s="258">
        <f t="shared" ref="CK10" si="25">CJ10+CK9</f>
        <v>16024328.939677298</v>
      </c>
      <c r="CL10" s="258">
        <f t="shared" ref="CL10" si="26">CK10+CL9</f>
        <v>16024328.939677298</v>
      </c>
      <c r="CM10" s="258">
        <f t="shared" ref="CM10" si="27">CL10+CM9</f>
        <v>16024328.939677298</v>
      </c>
      <c r="CN10" s="258">
        <f t="shared" ref="CN10" si="28">CM10+CN9</f>
        <v>16024328.939677298</v>
      </c>
      <c r="CO10" s="258">
        <f t="shared" ref="CO10" si="29">CN10+CO9</f>
        <v>16024328.939677298</v>
      </c>
      <c r="CP10" s="258">
        <f t="shared" ref="CP10" si="30">CO10+CP9</f>
        <v>16024328.939677298</v>
      </c>
    </row>
    <row r="11" spans="1:572" s="250" customFormat="1">
      <c r="A11" s="956"/>
      <c r="B11" s="259" t="s">
        <v>626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38"/>
      <c r="CR11" s="249"/>
      <c r="CS11" s="249"/>
    </row>
    <row r="12" spans="1:572" s="250" customFormat="1">
      <c r="A12" s="956"/>
      <c r="B12" s="259" t="s">
        <v>627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1475691.8409999998</v>
      </c>
      <c r="P12" s="261">
        <f t="shared" si="31"/>
        <v>1475691.8409999998</v>
      </c>
      <c r="Q12" s="261">
        <f t="shared" si="31"/>
        <v>1475691.8409999998</v>
      </c>
      <c r="R12" s="261">
        <f t="shared" si="31"/>
        <v>1507509.8409999998</v>
      </c>
      <c r="S12" s="261">
        <f t="shared" si="31"/>
        <v>3665416.7409999995</v>
      </c>
      <c r="T12" s="261">
        <f t="shared" si="31"/>
        <v>3680372.7409999995</v>
      </c>
      <c r="U12" s="261">
        <f t="shared" si="31"/>
        <v>7600250.2509999992</v>
      </c>
      <c r="V12" s="261">
        <f t="shared" si="31"/>
        <v>9900579.6109999996</v>
      </c>
      <c r="W12" s="261">
        <f t="shared" si="31"/>
        <v>9958758.5609999988</v>
      </c>
      <c r="X12" s="261">
        <f t="shared" si="31"/>
        <v>10078653.180999998</v>
      </c>
      <c r="Y12" s="261">
        <f t="shared" si="31"/>
        <v>10102603.180999998</v>
      </c>
      <c r="Z12" s="261">
        <f t="shared" si="31"/>
        <v>11381810.680999998</v>
      </c>
      <c r="AA12" s="261">
        <f t="shared" si="31"/>
        <v>11488015.404999997</v>
      </c>
      <c r="AB12" s="261">
        <f t="shared" si="31"/>
        <v>12178018.461999997</v>
      </c>
      <c r="AC12" s="261">
        <f t="shared" si="31"/>
        <v>12504945.220499998</v>
      </c>
      <c r="AD12" s="261">
        <f t="shared" si="31"/>
        <v>12504945.220499998</v>
      </c>
      <c r="AE12" s="261">
        <f t="shared" si="31"/>
        <v>12544552.850499999</v>
      </c>
      <c r="AF12" s="261">
        <f t="shared" si="31"/>
        <v>13855482.281499999</v>
      </c>
      <c r="AG12" s="261">
        <f t="shared" si="31"/>
        <v>13866646.031499999</v>
      </c>
      <c r="AH12" s="261">
        <f t="shared" si="31"/>
        <v>13866646.031499999</v>
      </c>
      <c r="AI12" s="261">
        <f t="shared" si="31"/>
        <v>14090860.143245965</v>
      </c>
      <c r="AJ12" s="261">
        <f t="shared" si="31"/>
        <v>14110507.533245966</v>
      </c>
      <c r="AK12" s="261">
        <f t="shared" si="31"/>
        <v>14132160.323245965</v>
      </c>
      <c r="AL12" s="261">
        <f t="shared" si="31"/>
        <v>14219160.323245965</v>
      </c>
      <c r="AM12" s="261">
        <f t="shared" si="31"/>
        <v>14339895.033245966</v>
      </c>
      <c r="AN12" s="261">
        <f t="shared" si="31"/>
        <v>14430308.713245966</v>
      </c>
      <c r="AO12" s="261">
        <f t="shared" si="31"/>
        <v>14446761.713245966</v>
      </c>
      <c r="AP12" s="261">
        <f t="shared" si="31"/>
        <v>14452066.713245966</v>
      </c>
      <c r="AQ12" s="261">
        <f t="shared" si="31"/>
        <v>14479999.713245966</v>
      </c>
      <c r="AR12" s="261">
        <f t="shared" si="31"/>
        <v>14479999.713245966</v>
      </c>
      <c r="AS12" s="261">
        <f t="shared" si="31"/>
        <v>14506281.113245966</v>
      </c>
      <c r="AT12" s="261">
        <f t="shared" si="31"/>
        <v>14506281.113245966</v>
      </c>
      <c r="AU12" s="261">
        <f t="shared" si="31"/>
        <v>14750988.681745965</v>
      </c>
      <c r="AV12" s="261">
        <f t="shared" si="31"/>
        <v>14722006.001745965</v>
      </c>
      <c r="AW12" s="261">
        <f t="shared" si="31"/>
        <v>14726374.241745966</v>
      </c>
      <c r="AX12" s="261">
        <f t="shared" si="31"/>
        <v>14726374.241745966</v>
      </c>
      <c r="AY12" s="261">
        <f t="shared" si="31"/>
        <v>14726374.241745966</v>
      </c>
      <c r="AZ12" s="261">
        <f t="shared" si="31"/>
        <v>14726374.241745966</v>
      </c>
      <c r="BA12" s="261">
        <f t="shared" si="31"/>
        <v>14782174.241745966</v>
      </c>
      <c r="BB12" s="261">
        <f t="shared" si="31"/>
        <v>14782174.241745966</v>
      </c>
      <c r="BC12" s="261">
        <f t="shared" si="31"/>
        <v>14782174.241745966</v>
      </c>
      <c r="BD12" s="261">
        <f t="shared" si="31"/>
        <v>14782174.241745966</v>
      </c>
      <c r="BE12" s="261">
        <f t="shared" si="31"/>
        <v>14782174.241745966</v>
      </c>
      <c r="BF12" s="261">
        <f t="shared" si="31"/>
        <v>14782174.241745966</v>
      </c>
      <c r="BG12" s="261">
        <f t="shared" si="31"/>
        <v>14782174.241745966</v>
      </c>
      <c r="BH12" s="261">
        <f t="shared" si="31"/>
        <v>14782174.241745966</v>
      </c>
      <c r="BI12" s="261">
        <f t="shared" si="31"/>
        <v>14782174.241745966</v>
      </c>
      <c r="BJ12" s="261">
        <f t="shared" si="31"/>
        <v>14782174.241745966</v>
      </c>
      <c r="BK12" s="261">
        <f t="shared" si="31"/>
        <v>14782174.241745966</v>
      </c>
      <c r="BL12" s="261">
        <f t="shared" si="31"/>
        <v>14782174.241745966</v>
      </c>
      <c r="BM12" s="261">
        <f t="shared" si="31"/>
        <v>14782174.241745966</v>
      </c>
      <c r="BN12" s="261">
        <f t="shared" si="31"/>
        <v>14782174.241745966</v>
      </c>
      <c r="BO12" s="261">
        <f t="shared" si="31"/>
        <v>14782174.241745966</v>
      </c>
      <c r="BP12" s="261">
        <f t="shared" si="31"/>
        <v>14782174.241745966</v>
      </c>
      <c r="BQ12" s="261">
        <f t="shared" si="31"/>
        <v>14782174.241745966</v>
      </c>
      <c r="BR12" s="261">
        <f t="shared" si="31"/>
        <v>14782174.241745966</v>
      </c>
      <c r="BS12" s="261">
        <f t="shared" si="31"/>
        <v>14799334.241745966</v>
      </c>
      <c r="BT12" s="261">
        <f t="shared" si="31"/>
        <v>14799334.241745966</v>
      </c>
      <c r="BU12" s="261">
        <f t="shared" ref="BU12:CJ12" si="32">BT12+BU11</f>
        <v>14799334.241745966</v>
      </c>
      <c r="BV12" s="261">
        <f t="shared" si="32"/>
        <v>14799334.241745966</v>
      </c>
      <c r="BW12" s="261">
        <f t="shared" si="32"/>
        <v>14799334.241745966</v>
      </c>
      <c r="BX12" s="261">
        <f t="shared" si="32"/>
        <v>14799334.241745966</v>
      </c>
      <c r="BY12" s="261">
        <f t="shared" si="32"/>
        <v>14799334.241745966</v>
      </c>
      <c r="BZ12" s="261">
        <f t="shared" si="32"/>
        <v>14799334.241745966</v>
      </c>
      <c r="CA12" s="261">
        <f t="shared" si="32"/>
        <v>14799334.241745966</v>
      </c>
      <c r="CB12" s="261">
        <f t="shared" si="32"/>
        <v>14799334.241745966</v>
      </c>
      <c r="CC12" s="261">
        <f t="shared" si="32"/>
        <v>14799334.241745966</v>
      </c>
      <c r="CD12" s="261">
        <f t="shared" si="32"/>
        <v>14799334.241745966</v>
      </c>
      <c r="CE12" s="261">
        <f t="shared" si="32"/>
        <v>14799334.241745966</v>
      </c>
      <c r="CF12" s="261">
        <f t="shared" si="32"/>
        <v>14799334.241745966</v>
      </c>
      <c r="CG12" s="261">
        <f t="shared" si="32"/>
        <v>14799334.241745966</v>
      </c>
      <c r="CH12" s="261">
        <f t="shared" si="32"/>
        <v>14799334.241745966</v>
      </c>
      <c r="CI12" s="261">
        <f t="shared" si="32"/>
        <v>14799334.241745966</v>
      </c>
      <c r="CJ12" s="261">
        <f t="shared" si="32"/>
        <v>14799334.241745966</v>
      </c>
      <c r="CK12" s="261">
        <f t="shared" ref="CK12" si="33">CJ12+CK11</f>
        <v>14799334.241745966</v>
      </c>
      <c r="CL12" s="261">
        <f t="shared" ref="CL12" si="34">CK12+CL11</f>
        <v>14799334.241745966</v>
      </c>
      <c r="CM12" s="261">
        <f t="shared" ref="CM12" si="35">CL12+CM11</f>
        <v>14799334.241745966</v>
      </c>
      <c r="CN12" s="261">
        <f t="shared" ref="CN12" si="36">CM12+CN11</f>
        <v>14799334.241745966</v>
      </c>
      <c r="CO12" s="261">
        <f t="shared" ref="CO12" si="37">CN12+CO11</f>
        <v>14799334.241745966</v>
      </c>
      <c r="CP12" s="261">
        <f t="shared" ref="CP12" si="38">CO12+CP11</f>
        <v>14799334.241745966</v>
      </c>
      <c r="CQ12" s="238"/>
      <c r="CR12" s="249"/>
    </row>
    <row r="13" spans="1:572" s="238" customFormat="1">
      <c r="A13" s="956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6"/>
      <c r="B14" s="251" t="s">
        <v>628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5608515.1288870545</v>
      </c>
      <c r="M14" s="254">
        <f t="shared" si="40"/>
        <v>5608515.1288870545</v>
      </c>
      <c r="N14" s="254">
        <f t="shared" si="40"/>
        <v>5608515.1288870545</v>
      </c>
      <c r="O14" s="254">
        <f t="shared" si="40"/>
        <v>4132823.2878870545</v>
      </c>
      <c r="P14" s="254">
        <f t="shared" si="40"/>
        <v>4132823.2878870545</v>
      </c>
      <c r="Q14" s="254">
        <f t="shared" si="40"/>
        <v>4132823.2878870545</v>
      </c>
      <c r="R14" s="254">
        <f t="shared" si="40"/>
        <v>4101005.2878870545</v>
      </c>
      <c r="S14" s="254">
        <f t="shared" si="40"/>
        <v>6750397.069790245</v>
      </c>
      <c r="T14" s="254">
        <f t="shared" si="40"/>
        <v>9940306.857725706</v>
      </c>
      <c r="U14" s="254">
        <f t="shared" si="40"/>
        <v>6020429.3477257052</v>
      </c>
      <c r="V14" s="254">
        <f t="shared" si="40"/>
        <v>3720099.9877257049</v>
      </c>
      <c r="W14" s="254">
        <f t="shared" si="40"/>
        <v>3661921.0377257057</v>
      </c>
      <c r="X14" s="254">
        <f t="shared" si="40"/>
        <v>3542026.4177257065</v>
      </c>
      <c r="Y14" s="254">
        <f t="shared" si="40"/>
        <v>3518076.4177257065</v>
      </c>
      <c r="Z14" s="254">
        <f t="shared" si="40"/>
        <v>2238868.9177257065</v>
      </c>
      <c r="AA14" s="254">
        <f t="shared" si="40"/>
        <v>2132664.193725707</v>
      </c>
      <c r="AB14" s="254">
        <f t="shared" si="40"/>
        <v>1442661.136725707</v>
      </c>
      <c r="AC14" s="254">
        <f t="shared" si="40"/>
        <v>1115734.3782257065</v>
      </c>
      <c r="AD14" s="254">
        <f t="shared" si="40"/>
        <v>1916950.825209571</v>
      </c>
      <c r="AE14" s="254">
        <f t="shared" si="40"/>
        <v>1877343.1952095702</v>
      </c>
      <c r="AF14" s="254">
        <f t="shared" si="40"/>
        <v>566413.76420957036</v>
      </c>
      <c r="AG14" s="254">
        <f t="shared" si="40"/>
        <v>555250.01420957036</v>
      </c>
      <c r="AH14" s="254">
        <f t="shared" si="40"/>
        <v>555250.01420957036</v>
      </c>
      <c r="AI14" s="254">
        <f t="shared" si="40"/>
        <v>331035.90246360376</v>
      </c>
      <c r="AJ14" s="254">
        <f t="shared" si="40"/>
        <v>311388.51246360317</v>
      </c>
      <c r="AK14" s="254">
        <f t="shared" si="40"/>
        <v>289735.72246360406</v>
      </c>
      <c r="AL14" s="254">
        <f t="shared" si="40"/>
        <v>202735.72246360406</v>
      </c>
      <c r="AM14" s="254">
        <f t="shared" si="40"/>
        <v>82001.012463603169</v>
      </c>
      <c r="AN14" s="254">
        <f t="shared" si="40"/>
        <v>-8412.6675363965333</v>
      </c>
      <c r="AO14" s="254">
        <f t="shared" si="40"/>
        <v>-24865.667536396533</v>
      </c>
      <c r="AP14" s="254">
        <f t="shared" si="40"/>
        <v>-30170.667536396533</v>
      </c>
      <c r="AQ14" s="254">
        <f t="shared" si="40"/>
        <v>-58103.667536396533</v>
      </c>
      <c r="AR14" s="254">
        <f t="shared" si="40"/>
        <v>-58103.667536396533</v>
      </c>
      <c r="AS14" s="254">
        <f t="shared" si="40"/>
        <v>-84385.067536396906</v>
      </c>
      <c r="AT14" s="254">
        <f t="shared" si="40"/>
        <v>-84385.067536396906</v>
      </c>
      <c r="AU14" s="254">
        <f t="shared" si="40"/>
        <v>-329092.63603639603</v>
      </c>
      <c r="AV14" s="254">
        <f t="shared" si="40"/>
        <v>-300109.95603639632</v>
      </c>
      <c r="AW14" s="254">
        <f t="shared" si="40"/>
        <v>-304478.19603639655</v>
      </c>
      <c r="AX14" s="254">
        <f t="shared" si="40"/>
        <v>-304478.19603639655</v>
      </c>
      <c r="AY14" s="254">
        <f t="shared" si="40"/>
        <v>-304478.19603639655</v>
      </c>
      <c r="AZ14" s="254">
        <f t="shared" si="40"/>
        <v>-304478.19603639655</v>
      </c>
      <c r="BA14" s="254">
        <f t="shared" si="40"/>
        <v>-360278.19603639655</v>
      </c>
      <c r="BB14" s="254">
        <f t="shared" si="40"/>
        <v>-360278.19603639655</v>
      </c>
      <c r="BC14" s="254">
        <f t="shared" si="40"/>
        <v>-360278.19603639655</v>
      </c>
      <c r="BD14" s="254">
        <f t="shared" si="40"/>
        <v>-360278.19603639655</v>
      </c>
      <c r="BE14" s="254">
        <f t="shared" si="40"/>
        <v>-360278.19603639655</v>
      </c>
      <c r="BF14" s="254">
        <f t="shared" si="40"/>
        <v>440938.25094746798</v>
      </c>
      <c r="BG14" s="254">
        <f t="shared" si="40"/>
        <v>440938.25094746798</v>
      </c>
      <c r="BH14" s="254">
        <f t="shared" si="40"/>
        <v>440938.25094746798</v>
      </c>
      <c r="BI14" s="254">
        <f t="shared" si="40"/>
        <v>440938.25094746798</v>
      </c>
      <c r="BJ14" s="254">
        <f t="shared" si="40"/>
        <v>440938.25094746798</v>
      </c>
      <c r="BK14" s="254">
        <f t="shared" si="40"/>
        <v>440938.25094746798</v>
      </c>
      <c r="BL14" s="254">
        <f t="shared" si="40"/>
        <v>440938.25094746798</v>
      </c>
      <c r="BM14" s="254">
        <f t="shared" si="40"/>
        <v>440938.25094746798</v>
      </c>
      <c r="BN14" s="254">
        <f t="shared" si="40"/>
        <v>440938.25094746798</v>
      </c>
      <c r="BO14" s="254">
        <f t="shared" si="40"/>
        <v>440938.25094746798</v>
      </c>
      <c r="BP14" s="254">
        <f t="shared" si="40"/>
        <v>440938.25094746798</v>
      </c>
      <c r="BQ14" s="254">
        <f t="shared" si="40"/>
        <v>440938.25094746798</v>
      </c>
      <c r="BR14" s="254">
        <f t="shared" si="40"/>
        <v>440938.25094746798</v>
      </c>
      <c r="BS14" s="254">
        <f t="shared" si="40"/>
        <v>423778.25094746798</v>
      </c>
      <c r="BT14" s="254">
        <f t="shared" si="40"/>
        <v>423778.25094746798</v>
      </c>
      <c r="BU14" s="254">
        <f t="shared" ref="BU14:CJ14" si="41">BU10-BU12</f>
        <v>423778.25094746798</v>
      </c>
      <c r="BV14" s="254">
        <f t="shared" si="41"/>
        <v>1224994.6979313325</v>
      </c>
      <c r="BW14" s="254">
        <f t="shared" si="41"/>
        <v>1224994.6979313325</v>
      </c>
      <c r="BX14" s="254">
        <f t="shared" si="41"/>
        <v>1224994.6979313325</v>
      </c>
      <c r="BY14" s="254">
        <f t="shared" si="41"/>
        <v>1224994.6979313325</v>
      </c>
      <c r="BZ14" s="254">
        <f t="shared" si="41"/>
        <v>1224994.6979313325</v>
      </c>
      <c r="CA14" s="254">
        <f t="shared" si="41"/>
        <v>1224994.6979313325</v>
      </c>
      <c r="CB14" s="254">
        <f t="shared" si="41"/>
        <v>1224994.6979313325</v>
      </c>
      <c r="CC14" s="254">
        <f t="shared" si="41"/>
        <v>1224994.6979313325</v>
      </c>
      <c r="CD14" s="254">
        <f t="shared" si="41"/>
        <v>1224994.6979313325</v>
      </c>
      <c r="CE14" s="254">
        <f t="shared" si="41"/>
        <v>1224994.6979313325</v>
      </c>
      <c r="CF14" s="254">
        <f t="shared" si="41"/>
        <v>1224994.6979313325</v>
      </c>
      <c r="CG14" s="254">
        <f t="shared" si="41"/>
        <v>1224994.6979313325</v>
      </c>
      <c r="CH14" s="254">
        <f t="shared" si="41"/>
        <v>1224994.6979313325</v>
      </c>
      <c r="CI14" s="254">
        <f t="shared" si="41"/>
        <v>1224994.6979313325</v>
      </c>
      <c r="CJ14" s="254">
        <f t="shared" si="41"/>
        <v>1224994.6979313325</v>
      </c>
      <c r="CK14" s="254">
        <f t="shared" ref="CK14:CP14" si="42">CK10-CK12</f>
        <v>1224994.6979313325</v>
      </c>
      <c r="CL14" s="254">
        <f t="shared" si="42"/>
        <v>1224994.6979313325</v>
      </c>
      <c r="CM14" s="254">
        <f t="shared" si="42"/>
        <v>1224994.6979313325</v>
      </c>
      <c r="CN14" s="254">
        <f t="shared" si="42"/>
        <v>1224994.6979313325</v>
      </c>
      <c r="CO14" s="254">
        <f t="shared" si="42"/>
        <v>1224994.6979313325</v>
      </c>
      <c r="CP14" s="254">
        <f t="shared" si="42"/>
        <v>1224994.6979313325</v>
      </c>
    </row>
    <row r="15" spans="1:572" s="238" customFormat="1"/>
    <row r="16" spans="1:572" s="238" customFormat="1">
      <c r="C16" s="240" t="s">
        <v>355</v>
      </c>
      <c r="D16" s="240" t="s">
        <v>355</v>
      </c>
    </row>
    <row r="17" spans="1:95">
      <c r="A17" s="957"/>
      <c r="B17" s="242" t="s">
        <v>629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</row>
    <row r="18" spans="1:95">
      <c r="A18" s="957"/>
      <c r="B18" s="242" t="s">
        <v>630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5250104.3368507773</v>
      </c>
      <c r="O18" s="261">
        <f t="shared" si="43"/>
        <v>5250104.3368507773</v>
      </c>
      <c r="P18" s="261">
        <f t="shared" si="43"/>
        <v>5250104.3368507773</v>
      </c>
      <c r="Q18" s="261">
        <f t="shared" si="43"/>
        <v>5250104.3368507773</v>
      </c>
      <c r="R18" s="261">
        <f t="shared" si="43"/>
        <v>9393590.7924062461</v>
      </c>
      <c r="S18" s="261">
        <f t="shared" si="43"/>
        <v>9393590.7924062461</v>
      </c>
      <c r="T18" s="261">
        <f t="shared" si="43"/>
        <v>9393590.7924062461</v>
      </c>
      <c r="U18" s="261">
        <f t="shared" si="43"/>
        <v>9393590.7924062461</v>
      </c>
      <c r="V18" s="261">
        <f t="shared" si="43"/>
        <v>11924773.153741222</v>
      </c>
      <c r="W18" s="261">
        <f t="shared" si="43"/>
        <v>11924773.153741222</v>
      </c>
      <c r="X18" s="261">
        <f t="shared" si="43"/>
        <v>11924773.153741222</v>
      </c>
      <c r="Y18" s="261">
        <f t="shared" si="43"/>
        <v>11924773.153741222</v>
      </c>
      <c r="Z18" s="261">
        <f t="shared" si="43"/>
        <v>11924773.153741222</v>
      </c>
      <c r="AA18" s="261">
        <f t="shared" si="43"/>
        <v>12732024.520832103</v>
      </c>
      <c r="AB18" s="261">
        <f t="shared" si="43"/>
        <v>12732024.520832103</v>
      </c>
      <c r="AC18" s="261">
        <f t="shared" si="43"/>
        <v>12732024.520832103</v>
      </c>
      <c r="AD18" s="261">
        <f t="shared" si="43"/>
        <v>12732024.520832103</v>
      </c>
      <c r="AE18" s="261">
        <f t="shared" si="43"/>
        <v>14730088.691884138</v>
      </c>
      <c r="AF18" s="261">
        <f t="shared" si="43"/>
        <v>14730088.691884138</v>
      </c>
      <c r="AG18" s="261">
        <f t="shared" si="43"/>
        <v>14730088.691884138</v>
      </c>
      <c r="AH18" s="261">
        <f t="shared" si="43"/>
        <v>14730088.691884138</v>
      </c>
      <c r="AI18" s="261">
        <f t="shared" si="43"/>
        <v>15793470.439217834</v>
      </c>
      <c r="AJ18" s="261">
        <f t="shared" si="43"/>
        <v>15793470.439217834</v>
      </c>
      <c r="AK18" s="261">
        <f t="shared" si="43"/>
        <v>15793470.439217834</v>
      </c>
      <c r="AL18" s="261">
        <f t="shared" si="43"/>
        <v>15793470.439217834</v>
      </c>
      <c r="AM18" s="261">
        <f t="shared" si="43"/>
        <v>15793470.439217834</v>
      </c>
      <c r="AN18" s="261">
        <f t="shared" si="43"/>
        <v>16014089.01504522</v>
      </c>
      <c r="AO18" s="261">
        <f t="shared" si="43"/>
        <v>16014089.01504522</v>
      </c>
      <c r="AP18" s="261">
        <f t="shared" si="43"/>
        <v>16014089.01504522</v>
      </c>
      <c r="AQ18" s="261">
        <f t="shared" si="43"/>
        <v>16014089.01504522</v>
      </c>
      <c r="AR18" s="261">
        <f t="shared" si="43"/>
        <v>16016793.889333019</v>
      </c>
      <c r="AS18" s="261">
        <f t="shared" si="43"/>
        <v>16016793.889333019</v>
      </c>
      <c r="AT18" s="261">
        <f t="shared" si="43"/>
        <v>16016793.889333019</v>
      </c>
      <c r="AU18" s="261">
        <f t="shared" si="43"/>
        <v>16016793.889333019</v>
      </c>
      <c r="AV18" s="261">
        <f t="shared" si="43"/>
        <v>16024328.925751152</v>
      </c>
      <c r="AW18" s="261">
        <f t="shared" si="43"/>
        <v>16024328.925751152</v>
      </c>
      <c r="AX18" s="261">
        <f t="shared" si="43"/>
        <v>16024328.925751152</v>
      </c>
      <c r="AY18" s="261">
        <f t="shared" si="43"/>
        <v>16024328.925751152</v>
      </c>
      <c r="AZ18" s="261">
        <f t="shared" si="43"/>
        <v>16024328.925751152</v>
      </c>
      <c r="BA18" s="261">
        <f t="shared" si="43"/>
        <v>16024328.925751152</v>
      </c>
      <c r="BB18" s="261">
        <f t="shared" si="43"/>
        <v>16024328.925751152</v>
      </c>
      <c r="BC18" s="261">
        <f t="shared" si="43"/>
        <v>16024328.925751152</v>
      </c>
      <c r="BD18" s="261">
        <f t="shared" si="43"/>
        <v>16024328.925751152</v>
      </c>
      <c r="BE18" s="261">
        <f t="shared" si="43"/>
        <v>16024328.925751152</v>
      </c>
      <c r="BF18" s="261">
        <f t="shared" si="43"/>
        <v>16024328.925751152</v>
      </c>
      <c r="BG18" s="261">
        <f t="shared" si="43"/>
        <v>16024328.925751152</v>
      </c>
      <c r="BH18" s="261">
        <f t="shared" si="43"/>
        <v>16024328.925751152</v>
      </c>
      <c r="BI18" s="261">
        <f t="shared" si="43"/>
        <v>16024328.925751152</v>
      </c>
      <c r="BJ18" s="261">
        <f t="shared" si="43"/>
        <v>16024328.925751152</v>
      </c>
      <c r="BK18" s="261">
        <f t="shared" si="43"/>
        <v>16024328.925751152</v>
      </c>
      <c r="BL18" s="261">
        <f t="shared" si="43"/>
        <v>16024328.925751152</v>
      </c>
      <c r="BM18" s="261">
        <f t="shared" si="43"/>
        <v>16024328.925751152</v>
      </c>
      <c r="BN18" s="261">
        <f t="shared" si="43"/>
        <v>16024328.925751152</v>
      </c>
      <c r="BO18" s="261">
        <f t="shared" si="43"/>
        <v>16024328.925751152</v>
      </c>
      <c r="BP18" s="261">
        <f t="shared" si="43"/>
        <v>16024328.925751152</v>
      </c>
      <c r="BQ18" s="261">
        <f t="shared" si="43"/>
        <v>16024328.925751152</v>
      </c>
      <c r="BR18" s="261">
        <f t="shared" si="43"/>
        <v>16024328.925751152</v>
      </c>
      <c r="BS18" s="261">
        <f t="shared" si="43"/>
        <v>16024328.925751152</v>
      </c>
      <c r="BT18" s="261">
        <f t="shared" si="43"/>
        <v>16024328.925751152</v>
      </c>
      <c r="BU18" s="261">
        <f t="shared" ref="BU18:CJ18" si="44">BT18+BU17</f>
        <v>16024328.925751152</v>
      </c>
      <c r="BV18" s="261">
        <f t="shared" si="44"/>
        <v>16024328.925751152</v>
      </c>
      <c r="BW18" s="261">
        <f t="shared" si="44"/>
        <v>16024328.925751152</v>
      </c>
      <c r="BX18" s="261">
        <f t="shared" si="44"/>
        <v>16024328.925751152</v>
      </c>
      <c r="BY18" s="261">
        <f t="shared" si="44"/>
        <v>16024328.925751152</v>
      </c>
      <c r="BZ18" s="261">
        <f t="shared" si="44"/>
        <v>16024328.925751152</v>
      </c>
      <c r="CA18" s="261">
        <f t="shared" si="44"/>
        <v>16024328.925751152</v>
      </c>
      <c r="CB18" s="261">
        <f t="shared" si="44"/>
        <v>16024328.925751152</v>
      </c>
      <c r="CC18" s="261">
        <f t="shared" si="44"/>
        <v>16024328.925751152</v>
      </c>
      <c r="CD18" s="261">
        <f t="shared" si="44"/>
        <v>16024328.925751152</v>
      </c>
      <c r="CE18" s="261">
        <f t="shared" si="44"/>
        <v>16024328.925751152</v>
      </c>
      <c r="CF18" s="261">
        <f t="shared" si="44"/>
        <v>16024328.925751152</v>
      </c>
      <c r="CG18" s="261">
        <f t="shared" si="44"/>
        <v>16024328.925751152</v>
      </c>
      <c r="CH18" s="261">
        <f t="shared" si="44"/>
        <v>16024328.925751152</v>
      </c>
      <c r="CI18" s="261">
        <f t="shared" si="44"/>
        <v>16024328.925751152</v>
      </c>
      <c r="CJ18" s="261">
        <f t="shared" si="44"/>
        <v>16024328.925751152</v>
      </c>
      <c r="CK18" s="261">
        <f t="shared" ref="CK18" si="45">CJ18+CK17</f>
        <v>16024328.925751152</v>
      </c>
      <c r="CL18" s="261">
        <f t="shared" ref="CL18" si="46">CK18+CL17</f>
        <v>16024328.925751152</v>
      </c>
      <c r="CM18" s="261">
        <f t="shared" ref="CM18" si="47">CL18+CM17</f>
        <v>16024328.925751152</v>
      </c>
      <c r="CN18" s="261">
        <f t="shared" ref="CN18" si="48">CM18+CN17</f>
        <v>16024328.925751152</v>
      </c>
      <c r="CO18" s="261">
        <f t="shared" ref="CO18" si="49">CN18+CO17</f>
        <v>16024328.925751152</v>
      </c>
      <c r="CP18" s="261">
        <f t="shared" ref="CP18" si="50">CO18+CP17</f>
        <v>16024328.925751152</v>
      </c>
    </row>
    <row r="19" spans="1:95" s="238" customFormat="1"/>
    <row r="20" spans="1:95">
      <c r="D20" s="613"/>
      <c r="E20" s="238"/>
    </row>
    <row r="21" spans="1:95">
      <c r="E21" s="238"/>
    </row>
    <row r="22" spans="1:95" s="238" customFormat="1"/>
    <row r="24" spans="1:95" s="613" customFormat="1">
      <c r="CQ24" s="735"/>
    </row>
    <row r="29" spans="1:9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13" sqref="N13"/>
    </sheetView>
  </sheetViews>
  <sheetFormatPr defaultColWidth="12.59765625" defaultRowHeight="14.25"/>
  <cols>
    <col min="1" max="1" width="36.86328125" style="489" bestFit="1" customWidth="1"/>
    <col min="2" max="2" width="15.86328125" style="490" bestFit="1" customWidth="1"/>
    <col min="3" max="3" width="6.86328125" style="489" bestFit="1" customWidth="1"/>
    <col min="4" max="6" width="14.59765625" style="489" bestFit="1" customWidth="1"/>
    <col min="7" max="7" width="12.86328125" style="489" bestFit="1" customWidth="1"/>
    <col min="8" max="9" width="14.59765625" style="489" bestFit="1" customWidth="1"/>
    <col min="10" max="10" width="12.86328125" style="489" bestFit="1" customWidth="1"/>
    <col min="11" max="12" width="11.1328125" style="489" bestFit="1" customWidth="1"/>
    <col min="13" max="13" width="15.59765625" style="489" bestFit="1" customWidth="1"/>
    <col min="14" max="14" width="16" style="489" bestFit="1" customWidth="1"/>
    <col min="15" max="15" width="15.3984375" style="489" bestFit="1" customWidth="1"/>
    <col min="16" max="18" width="11.3984375" style="489" bestFit="1" customWidth="1"/>
    <col min="19" max="19" width="13.59765625" style="489" bestFit="1" customWidth="1"/>
    <col min="20" max="16384" width="12.59765625" style="489"/>
  </cols>
  <sheetData>
    <row r="1" spans="1:20">
      <c r="A1" s="514" t="s">
        <v>354</v>
      </c>
      <c r="B1" t="s">
        <v>631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632</v>
      </c>
      <c r="B3" s="514" t="s">
        <v>633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634</v>
      </c>
      <c r="B4"/>
      <c r="C4" t="s">
        <v>635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636</v>
      </c>
      <c r="N4"/>
      <c r="O4"/>
      <c r="P4"/>
      <c r="Q4"/>
      <c r="R4"/>
      <c r="S4"/>
      <c r="T4"/>
    </row>
    <row r="5" spans="1:20">
      <c r="A5" s="515" t="s">
        <v>635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489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583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360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380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400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412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434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478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492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/>
      <c r="O14"/>
      <c r="P14"/>
      <c r="Q14"/>
      <c r="R14"/>
      <c r="S14"/>
      <c r="T14"/>
    </row>
    <row r="15" spans="1:20">
      <c r="A15" s="515" t="s">
        <v>547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551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569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587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598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601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636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L13" sqref="L13"/>
    </sheetView>
  </sheetViews>
  <sheetFormatPr defaultColWidth="8.3984375" defaultRowHeight="14.25"/>
  <cols>
    <col min="1" max="1" width="21.73046875" bestFit="1" customWidth="1"/>
    <col min="2" max="2" width="17.265625" style="611" bestFit="1" customWidth="1"/>
    <col min="3" max="3" width="4.86328125" style="611" bestFit="1" customWidth="1"/>
    <col min="4" max="6" width="14.86328125" style="611" bestFit="1" customWidth="1"/>
    <col min="7" max="7" width="13.265625" style="611" bestFit="1" customWidth="1"/>
    <col min="8" max="8" width="14.86328125" style="611" bestFit="1" customWidth="1"/>
    <col min="9" max="9" width="13.265625" style="611" bestFit="1" customWidth="1"/>
    <col min="10" max="10" width="13.265625" bestFit="1" customWidth="1"/>
    <col min="11" max="11" width="12" bestFit="1" customWidth="1"/>
    <col min="12" max="12" width="12.1328125" bestFit="1" customWidth="1"/>
    <col min="13" max="13" width="12" bestFit="1" customWidth="1"/>
    <col min="14" max="14" width="16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4">
      <c r="A3" s="514" t="s">
        <v>637</v>
      </c>
      <c r="B3" s="514" t="s">
        <v>633</v>
      </c>
      <c r="C3"/>
      <c r="D3"/>
      <c r="E3"/>
      <c r="F3"/>
      <c r="G3"/>
      <c r="H3"/>
      <c r="I3"/>
    </row>
    <row r="4" spans="1:14">
      <c r="A4" s="514" t="s">
        <v>634</v>
      </c>
      <c r="B4" t="s">
        <v>635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s="624">
        <v>46053</v>
      </c>
      <c r="N4" t="s">
        <v>636</v>
      </c>
    </row>
    <row r="5" spans="1:14">
      <c r="A5" s="515" t="s">
        <v>489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</row>
    <row r="6" spans="1:14">
      <c r="A6" s="515" t="s">
        <v>583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>
        <v>0</v>
      </c>
    </row>
    <row r="7" spans="1:14">
      <c r="A7" s="515" t="s">
        <v>635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</row>
    <row r="8" spans="1:14">
      <c r="A8" s="515" t="s">
        <v>360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/>
      <c r="N8" s="625">
        <v>4255658.9399999995</v>
      </c>
    </row>
    <row r="9" spans="1:14">
      <c r="A9" s="515" t="s">
        <v>380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/>
      <c r="N9" s="625">
        <v>3159240</v>
      </c>
    </row>
    <row r="10" spans="1:14">
      <c r="A10" s="515" t="s">
        <v>400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/>
      <c r="N10" s="625">
        <v>385343</v>
      </c>
    </row>
    <row r="11" spans="1:14">
      <c r="A11" s="515" t="s">
        <v>412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/>
      <c r="N11" s="625">
        <v>1702752.5</v>
      </c>
    </row>
    <row r="12" spans="1:14">
      <c r="A12" s="515" t="s">
        <v>434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/>
      <c r="N12" s="625">
        <v>419582.98</v>
      </c>
    </row>
    <row r="13" spans="1:14">
      <c r="A13" s="515" t="s">
        <v>478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/>
      <c r="N13" s="625">
        <v>1529166.87</v>
      </c>
    </row>
    <row r="14" spans="1:14">
      <c r="A14" s="515" t="s">
        <v>492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/>
      <c r="N14" s="625">
        <v>492321.82</v>
      </c>
    </row>
    <row r="15" spans="1:14">
      <c r="A15" s="515" t="s">
        <v>547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/>
      <c r="N15" s="625">
        <v>2052500</v>
      </c>
    </row>
    <row r="16" spans="1:14">
      <c r="A16" s="515" t="s">
        <v>551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/>
      <c r="N16" s="625">
        <v>424330</v>
      </c>
    </row>
    <row r="17" spans="1:14">
      <c r="A17" s="515" t="s">
        <v>569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/>
      <c r="N17" s="625">
        <v>120447.39</v>
      </c>
    </row>
    <row r="18" spans="1:14">
      <c r="A18" s="515" t="s">
        <v>587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/>
      <c r="N18" s="625">
        <v>165600.00174596626</v>
      </c>
    </row>
    <row r="19" spans="1:14">
      <c r="A19" s="515" t="s">
        <v>598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/>
      <c r="N19" s="625">
        <v>37052.370000000003</v>
      </c>
    </row>
    <row r="20" spans="1:14">
      <c r="A20" s="515" t="s">
        <v>601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17160</v>
      </c>
      <c r="N20" s="625">
        <v>55898</v>
      </c>
    </row>
    <row r="21" spans="1:14">
      <c r="A21" s="515" t="s">
        <v>636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17160</v>
      </c>
      <c r="N21" s="625">
        <v>14799893.871745965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1" t="s">
        <v>638</v>
      </c>
    </row>
    <row r="2" spans="1:4">
      <c r="A2" s="959"/>
      <c r="B2" s="959"/>
      <c r="C2" s="959"/>
      <c r="D2" s="71"/>
    </row>
    <row r="3" spans="1:4">
      <c r="A3" s="958" t="s">
        <v>639</v>
      </c>
      <c r="B3" s="958"/>
      <c r="C3" s="958"/>
      <c r="D3" s="112">
        <v>0.32</v>
      </c>
    </row>
    <row r="4" spans="1:4">
      <c r="A4" s="958" t="s">
        <v>640</v>
      </c>
      <c r="B4" s="958"/>
      <c r="C4" s="958"/>
      <c r="D4" s="112">
        <v>0.5</v>
      </c>
    </row>
    <row r="5" spans="1:4">
      <c r="A5" s="958" t="s">
        <v>641</v>
      </c>
      <c r="B5" s="958"/>
      <c r="C5" s="958"/>
      <c r="D5" s="112">
        <v>0.15</v>
      </c>
    </row>
    <row r="6" spans="1:4">
      <c r="A6" s="958" t="s">
        <v>642</v>
      </c>
      <c r="B6" s="958"/>
      <c r="C6" s="95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2.86328125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960" t="s">
        <v>643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</row>
    <row r="4" spans="2:14" ht="13.15">
      <c r="B4" s="92" t="s">
        <v>644</v>
      </c>
      <c r="C4" s="86"/>
      <c r="D4" s="90" t="s">
        <v>645</v>
      </c>
      <c r="E4" s="95"/>
      <c r="F4" s="90" t="s">
        <v>646</v>
      </c>
      <c r="H4" s="90" t="s">
        <v>647</v>
      </c>
      <c r="I4" s="95"/>
      <c r="J4" s="90" t="s">
        <v>648</v>
      </c>
      <c r="L4" s="90" t="s">
        <v>647</v>
      </c>
      <c r="M4" s="90"/>
      <c r="N4" s="90" t="s">
        <v>649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650</v>
      </c>
      <c r="H7" s="99"/>
      <c r="I7" s="95"/>
      <c r="J7" s="107" t="s">
        <v>650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378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 ht="13.15">
      <c r="B10" s="108" t="s">
        <v>378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651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652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653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650</v>
      </c>
      <c r="H15" s="99"/>
      <c r="I15" s="95"/>
      <c r="J15" s="107" t="s">
        <v>650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654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654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650</v>
      </c>
      <c r="H21" s="99"/>
      <c r="I21" s="95"/>
      <c r="J21" s="107" t="s">
        <v>650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655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655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653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650</v>
      </c>
      <c r="H27" s="99"/>
      <c r="I27" s="95"/>
      <c r="J27" s="107" t="s">
        <v>650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656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650</v>
      </c>
      <c r="H34" s="99"/>
      <c r="I34" s="95"/>
      <c r="J34" s="107" t="s">
        <v>650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657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658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663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960" t="s">
        <v>665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  <c r="O2" s="960"/>
    </row>
    <row r="4" spans="2:15" ht="13.15">
      <c r="B4" s="92" t="s">
        <v>644</v>
      </c>
      <c r="C4" s="86"/>
      <c r="D4" s="90" t="s">
        <v>645</v>
      </c>
      <c r="E4" s="95"/>
      <c r="F4" s="95"/>
      <c r="G4" s="90" t="s">
        <v>666</v>
      </c>
      <c r="H4" s="96"/>
      <c r="J4" s="90" t="s">
        <v>647</v>
      </c>
      <c r="L4" s="90" t="s">
        <v>667</v>
      </c>
      <c r="M4" s="96"/>
      <c r="O4" s="90" t="s">
        <v>647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369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 ht="13.15">
      <c r="B7" s="86" t="s">
        <v>370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 ht="13.15">
      <c r="B8" s="86" t="s">
        <v>374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 ht="13.15">
      <c r="B9" s="86" t="s">
        <v>376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377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384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389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393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663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644</v>
      </c>
      <c r="C18" s="86"/>
      <c r="D18" s="90" t="s">
        <v>645</v>
      </c>
      <c r="E18" s="95"/>
      <c r="F18" s="95"/>
      <c r="G18" s="90" t="s">
        <v>668</v>
      </c>
      <c r="H18" s="96"/>
      <c r="J18" s="90" t="s">
        <v>647</v>
      </c>
      <c r="L18" s="90" t="s">
        <v>669</v>
      </c>
      <c r="M18" s="96"/>
      <c r="O18" s="90" t="s">
        <v>647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670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 ht="13.15">
      <c r="B21" s="86" t="s">
        <v>671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 ht="13.15">
      <c r="B22" s="86" t="s">
        <v>672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 ht="13.15">
      <c r="B23" s="86" t="s">
        <v>673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389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674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377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663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5" thickBot="1">
      <c r="B32" s="102" t="s">
        <v>675</v>
      </c>
      <c r="C32" s="103"/>
      <c r="D32" s="103"/>
    </row>
    <row r="33" spans="2:4" ht="13.15" thickTop="1"/>
    <row r="34" spans="2:4">
      <c r="B34" s="88" t="s">
        <v>645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 ht="13.15">
      <c r="B41" s="105"/>
      <c r="C41" s="105"/>
      <c r="D41" s="106"/>
    </row>
    <row r="42" spans="2:4">
      <c r="B42" s="86" t="s">
        <v>676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962" t="str">
        <f>D15</f>
        <v>Trident Steel GP</v>
      </c>
      <c r="C1" s="962"/>
      <c r="D1" s="962"/>
      <c r="E1" s="961" t="s">
        <v>677</v>
      </c>
      <c r="F1" s="961"/>
      <c r="G1" s="961"/>
      <c r="H1" s="961"/>
      <c r="I1" s="961"/>
      <c r="J1" s="961"/>
      <c r="K1" s="77"/>
      <c r="L1" s="77"/>
      <c r="M1" s="77"/>
      <c r="N1" s="77"/>
    </row>
    <row r="2" spans="2:14" ht="6.75" customHeight="1"/>
    <row r="3" spans="2:14">
      <c r="B3" s="72" t="s">
        <v>678</v>
      </c>
      <c r="C3" s="72" t="s">
        <v>679</v>
      </c>
      <c r="D3" s="72" t="s">
        <v>680</v>
      </c>
      <c r="E3" s="78" t="s">
        <v>681</v>
      </c>
      <c r="F3" s="78" t="s">
        <v>682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E9EDC1-441B-4E16-B7BE-57AFD7632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2026-02-11T10:34:54Z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