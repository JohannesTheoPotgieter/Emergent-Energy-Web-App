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17" documentId="13_ncr:1_{DFC80828-CF83-4F91-9EA8-0A631B151EBD}" xr6:coauthVersionLast="47" xr6:coauthVersionMax="47" xr10:uidLastSave="{7EDCE04B-88B7-4C34-91BF-F6EAC6A7A84B}"/>
  <bookViews>
    <workbookView xWindow="6705" yWindow="-16320" windowWidth="29040" windowHeight="15720" tabRatio="690" firstSheet="3" activeTab="6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2" i="18" l="1"/>
  <c r="W109" i="18"/>
  <c r="W183" i="18"/>
  <c r="M56" i="2"/>
  <c r="M47" i="2"/>
  <c r="M42" i="2"/>
  <c r="M33" i="2"/>
  <c r="M23" i="2"/>
  <c r="U166" i="18"/>
  <c r="K48" i="2"/>
  <c r="N48" i="2"/>
  <c r="W181" i="18"/>
  <c r="W177" i="18"/>
  <c r="W76" i="18"/>
  <c r="W41" i="18"/>
  <c r="W72" i="18"/>
  <c r="W38" i="18"/>
  <c r="W135" i="18"/>
  <c r="W132" i="18"/>
  <c r="W73" i="18"/>
  <c r="W39" i="18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/>
  <c r="W28" i="18"/>
  <c r="W9" i="18"/>
  <c r="X174" i="18"/>
  <c r="H23" i="3"/>
  <c r="K28" i="2"/>
  <c r="W42" i="18"/>
  <c r="W75" i="18"/>
  <c r="W136" i="18"/>
  <c r="T136" i="18"/>
  <c r="T133" i="18"/>
  <c r="T42" i="18"/>
  <c r="T75" i="18"/>
  <c r="F13" i="5"/>
  <c r="Q122" i="18"/>
  <c r="O129" i="18"/>
  <c r="W56" i="18"/>
  <c r="Q56" i="18"/>
  <c r="X51" i="18"/>
  <c r="H13" i="3"/>
  <c r="W32" i="18"/>
  <c r="S36" i="18"/>
  <c r="S70" i="18"/>
  <c r="S130" i="18"/>
  <c r="S35" i="18"/>
  <c r="T69" i="18"/>
  <c r="S69" i="18"/>
  <c r="T129" i="18"/>
  <c r="S129" i="18"/>
  <c r="C4" i="19"/>
  <c r="K21" i="2"/>
  <c r="I36" i="2"/>
  <c r="K36" i="2"/>
  <c r="I44" i="2"/>
  <c r="N21" i="2"/>
  <c r="K20" i="2"/>
  <c r="I27" i="2"/>
  <c r="W123" i="18"/>
  <c r="U148" i="18"/>
  <c r="Q98" i="18"/>
  <c r="Q97" i="18"/>
  <c r="W51" i="18"/>
  <c r="S51" i="18"/>
  <c r="S32" i="18"/>
  <c r="O32" i="18"/>
  <c r="Q32" i="18"/>
  <c r="S13" i="18"/>
  <c r="S31" i="18"/>
  <c r="O7" i="18"/>
  <c r="Q7" i="18"/>
  <c r="C7" i="20"/>
  <c r="C4" i="20"/>
  <c r="H124" i="18"/>
  <c r="H123" i="18"/>
  <c r="H116" i="18"/>
  <c r="H80" i="18"/>
  <c r="H115" i="18"/>
  <c r="H114" i="18"/>
  <c r="H138" i="18"/>
  <c r="H113" i="18"/>
  <c r="H43" i="18"/>
  <c r="H110" i="18"/>
  <c r="H40" i="18"/>
  <c r="H107" i="18"/>
  <c r="H37" i="18"/>
  <c r="H106" i="18"/>
  <c r="H36" i="18"/>
  <c r="H35" i="18"/>
  <c r="H97" i="18"/>
  <c r="H64" i="18"/>
  <c r="H31" i="18"/>
  <c r="H21" i="18"/>
  <c r="H13" i="18"/>
  <c r="H129" i="18"/>
  <c r="H69" i="18"/>
  <c r="I26" i="2"/>
  <c r="K26" i="2"/>
  <c r="N26" i="2"/>
  <c r="I24" i="2"/>
  <c r="I38" i="2"/>
  <c r="K38" i="2"/>
  <c r="K19" i="2"/>
  <c r="K18" i="2"/>
  <c r="N19" i="2"/>
  <c r="N18" i="2" s="1"/>
  <c r="I18" i="2"/>
  <c r="J18" i="2"/>
  <c r="M18" i="2"/>
  <c r="W36" i="18"/>
  <c r="W130" i="18"/>
  <c r="W69" i="18"/>
  <c r="W64" i="18"/>
  <c r="Q31" i="18"/>
  <c r="Q13" i="18"/>
  <c r="X13" i="18"/>
  <c r="H10" i="3"/>
  <c r="Q6" i="18"/>
  <c r="I16" i="2"/>
  <c r="K16" i="2"/>
  <c r="N16" i="2"/>
  <c r="I15" i="2"/>
  <c r="K15" i="2"/>
  <c r="I13" i="2"/>
  <c r="K13" i="2"/>
  <c r="K12" i="2"/>
  <c r="N12" i="2"/>
  <c r="E24" i="2"/>
  <c r="E43" i="2"/>
  <c r="G43" i="2"/>
  <c r="J85" i="18"/>
  <c r="V85" i="18"/>
  <c r="J94" i="18"/>
  <c r="T185" i="18"/>
  <c r="T184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/>
  <c r="E27" i="2"/>
  <c r="E31" i="2"/>
  <c r="G31" i="2"/>
  <c r="E31" i="18"/>
  <c r="I151" i="18"/>
  <c r="F20" i="3"/>
  <c r="J174" i="18"/>
  <c r="G161" i="18"/>
  <c r="I161" i="18"/>
  <c r="F22" i="3"/>
  <c r="X145" i="18"/>
  <c r="H19" i="3"/>
  <c r="G128" i="18"/>
  <c r="Z18" i="18"/>
  <c r="G127" i="18"/>
  <c r="G122" i="18"/>
  <c r="Z17" i="18"/>
  <c r="G121" i="18"/>
  <c r="Z16" i="18"/>
  <c r="G105" i="18"/>
  <c r="Z15" i="18"/>
  <c r="G104" i="18"/>
  <c r="Z14" i="18"/>
  <c r="G63" i="18"/>
  <c r="Z12" i="18"/>
  <c r="G51" i="18"/>
  <c r="I51" i="18"/>
  <c r="F13" i="3"/>
  <c r="G32" i="18"/>
  <c r="Z13" i="18"/>
  <c r="G21" i="18"/>
  <c r="I21" i="18"/>
  <c r="F11" i="3"/>
  <c r="G13" i="18"/>
  <c r="I13" i="18"/>
  <c r="F10" i="3"/>
  <c r="G6" i="18"/>
  <c r="I6" i="18"/>
  <c r="F9" i="3"/>
  <c r="Q154" i="18"/>
  <c r="X154" i="18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/>
  <c r="X151" i="18"/>
  <c r="H20" i="3"/>
  <c r="X85" i="18"/>
  <c r="H15" i="3"/>
  <c r="I85" i="18"/>
  <c r="F15" i="3"/>
  <c r="I94" i="18"/>
  <c r="F16" i="3"/>
  <c r="I154" i="18"/>
  <c r="F21" i="3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/>
  <c r="D11" i="7"/>
  <c r="J29" i="9"/>
  <c r="J36" i="9"/>
  <c r="D31" i="9"/>
  <c r="D30" i="9"/>
  <c r="D18" i="9"/>
  <c r="D17" i="9"/>
  <c r="H17" i="9"/>
  <c r="J23" i="9"/>
  <c r="L23" i="9"/>
  <c r="J17" i="9"/>
  <c r="L17" i="9"/>
  <c r="F17" i="9"/>
  <c r="F23" i="9"/>
  <c r="H23" i="9"/>
  <c r="J9" i="9"/>
  <c r="D11" i="9"/>
  <c r="D10" i="9"/>
  <c r="D9" i="9"/>
  <c r="L9" i="9"/>
  <c r="F9" i="9"/>
  <c r="H9" i="9"/>
  <c r="H43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D20" i="7"/>
  <c r="F36" i="9"/>
  <c r="D37" i="9"/>
  <c r="D36" i="9"/>
  <c r="D29" i="9"/>
  <c r="H29" i="9"/>
  <c r="B31" i="9"/>
  <c r="B30" i="9"/>
  <c r="H7" i="7"/>
  <c r="H8" i="7"/>
  <c r="H9" i="7"/>
  <c r="M9" i="7"/>
  <c r="M7" i="7"/>
  <c r="M8" i="7"/>
  <c r="D7" i="7"/>
  <c r="E7" i="7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/>
  <c r="B1" i="10"/>
  <c r="L29" i="9"/>
  <c r="L15" i="7"/>
  <c r="D36" i="7"/>
  <c r="G15" i="7"/>
  <c r="D35" i="7"/>
  <c r="D4" i="5"/>
  <c r="F19" i="5"/>
  <c r="L43" i="9"/>
  <c r="E47" i="5"/>
  <c r="E48" i="5"/>
  <c r="L24" i="1"/>
  <c r="M2" i="1"/>
  <c r="M33" i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O15" i="7"/>
  <c r="E6" i="7"/>
  <c r="E20" i="7"/>
  <c r="D29" i="7"/>
  <c r="J15" i="7"/>
  <c r="F29" i="9"/>
  <c r="O35" i="18"/>
  <c r="O105" i="18"/>
  <c r="O69" i="18"/>
  <c r="I145" i="18"/>
  <c r="F19" i="3"/>
  <c r="E16" i="2"/>
  <c r="G16" i="2"/>
  <c r="E15" i="2"/>
  <c r="G15" i="2"/>
  <c r="G19" i="2"/>
  <c r="G18" i="2"/>
  <c r="F18" i="2"/>
  <c r="E18" i="2"/>
  <c r="E13" i="2"/>
  <c r="E14" i="2"/>
  <c r="G14" i="2"/>
  <c r="Z45" i="18"/>
  <c r="Z46" i="18"/>
  <c r="X21" i="18"/>
  <c r="H11" i="3"/>
  <c r="G3" i="6"/>
  <c r="F3" i="6"/>
  <c r="F4" i="6"/>
  <c r="G9" i="6"/>
  <c r="F9" i="6"/>
  <c r="F10" i="6"/>
  <c r="G10" i="6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N50" i="2" s="1"/>
  <c r="K51" i="2"/>
  <c r="S19" i="2" s="1"/>
  <c r="S23" i="2" s="1"/>
  <c r="S24" i="2" s="1"/>
  <c r="W134" i="18"/>
  <c r="W74" i="18"/>
  <c r="W40" i="18"/>
  <c r="W71" i="18"/>
  <c r="W131" i="18"/>
  <c r="W37" i="18"/>
  <c r="T37" i="18"/>
  <c r="T131" i="18"/>
  <c r="T71" i="18"/>
  <c r="U171" i="18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/>
  <c r="E11" i="2"/>
  <c r="H44" i="18"/>
  <c r="I63" i="18"/>
  <c r="F14" i="3"/>
  <c r="H137" i="18"/>
  <c r="H78" i="18"/>
  <c r="X6" i="18"/>
  <c r="H9" i="3"/>
  <c r="J9" i="3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/>
  <c r="H134" i="18"/>
  <c r="I104" i="18"/>
  <c r="F17" i="3"/>
  <c r="Q139" i="18"/>
  <c r="H74" i="18"/>
  <c r="H77" i="18"/>
  <c r="Q138" i="18"/>
  <c r="X94" i="18"/>
  <c r="U94" i="18"/>
  <c r="Q131" i="18"/>
  <c r="I42" i="2"/>
  <c r="K44" i="2"/>
  <c r="I45" i="2"/>
  <c r="I35" i="2"/>
  <c r="E35" i="2"/>
  <c r="G35" i="2"/>
  <c r="E36" i="2"/>
  <c r="G36" i="2"/>
  <c r="K24" i="2"/>
  <c r="N24" i="2"/>
  <c r="E38" i="2"/>
  <c r="G38" i="2"/>
  <c r="G13" i="2"/>
  <c r="G24" i="2"/>
  <c r="E25" i="2"/>
  <c r="E15" i="5"/>
  <c r="E13" i="5"/>
  <c r="E22" i="5"/>
  <c r="F20" i="5"/>
  <c r="C3" i="6"/>
  <c r="F18" i="5"/>
  <c r="I53" i="2"/>
  <c r="H21" i="3"/>
  <c r="J21" i="3"/>
  <c r="U155" i="18"/>
  <c r="U158" i="18"/>
  <c r="U170" i="18"/>
  <c r="Q43" i="18"/>
  <c r="U168" i="18"/>
  <c r="U169" i="18"/>
  <c r="U167" i="18"/>
  <c r="U154" i="18"/>
  <c r="J2" i="18"/>
  <c r="J4" i="18"/>
  <c r="U172" i="18"/>
  <c r="H70" i="18"/>
  <c r="U61" i="18"/>
  <c r="H22" i="3"/>
  <c r="J22" i="3"/>
  <c r="H130" i="18"/>
  <c r="U60" i="18"/>
  <c r="Q137" i="18"/>
  <c r="Q129" i="18"/>
  <c r="J15" i="3"/>
  <c r="J13" i="3"/>
  <c r="Z22" i="18"/>
  <c r="Z23" i="18"/>
  <c r="Z24" i="18"/>
  <c r="U145" i="18"/>
  <c r="J20" i="3"/>
  <c r="J11" i="3"/>
  <c r="G4" i="6"/>
  <c r="J19" i="3"/>
  <c r="J23" i="3"/>
  <c r="I121" i="18"/>
  <c r="F18" i="3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/>
  <c r="Q114" i="18"/>
  <c r="Q116" i="18"/>
  <c r="Q105" i="18"/>
  <c r="Q110" i="18"/>
  <c r="Q107" i="18"/>
  <c r="N43" i="2"/>
  <c r="U157" i="18"/>
  <c r="U156" i="18"/>
  <c r="U159" i="18"/>
  <c r="Q75" i="18"/>
  <c r="Q70" i="18"/>
  <c r="Q80" i="18"/>
  <c r="Q77" i="18"/>
  <c r="Q78" i="18"/>
  <c r="Q79" i="18"/>
  <c r="G11" i="2"/>
  <c r="F11" i="2"/>
  <c r="H36" i="9"/>
  <c r="D43" i="9"/>
  <c r="G25" i="2"/>
  <c r="G23" i="2"/>
  <c r="E23" i="2"/>
  <c r="J22" i="7"/>
  <c r="E22" i="7"/>
  <c r="O8" i="7"/>
  <c r="O22" i="7"/>
  <c r="E8" i="7"/>
  <c r="M9" i="2"/>
  <c r="I1" i="6"/>
  <c r="H3" i="6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T134" i="18"/>
  <c r="T74" i="18"/>
  <c r="Q112" i="18"/>
  <c r="Q42" i="18"/>
  <c r="Q136" i="18"/>
  <c r="Q133" i="18"/>
  <c r="F22" i="5"/>
  <c r="I57" i="2"/>
  <c r="K57" i="2"/>
  <c r="N57" i="2"/>
  <c r="I39" i="2"/>
  <c r="K39" i="2"/>
  <c r="N39" i="2"/>
  <c r="N44" i="2"/>
  <c r="K42" i="2"/>
  <c r="J42" i="2"/>
  <c r="F5" i="3"/>
  <c r="D5" i="5"/>
  <c r="D6" i="5"/>
  <c r="D7" i="5"/>
  <c r="V51" i="18"/>
  <c r="V161" i="18"/>
  <c r="V145" i="18"/>
  <c r="U96" i="18"/>
  <c r="U100" i="18"/>
  <c r="H16" i="3"/>
  <c r="J16" i="3"/>
  <c r="U102" i="18"/>
  <c r="K54" i="2"/>
  <c r="I58" i="2"/>
  <c r="K35" i="2"/>
  <c r="N35" i="2"/>
  <c r="I2" i="18"/>
  <c r="F25" i="3"/>
  <c r="V154" i="18"/>
  <c r="H4" i="6"/>
  <c r="K25" i="2"/>
  <c r="N25" i="2"/>
  <c r="K27" i="2"/>
  <c r="G44" i="2"/>
  <c r="E42" i="2"/>
  <c r="F48" i="5"/>
  <c r="F4" i="5"/>
  <c r="C9" i="6"/>
  <c r="J11" i="2"/>
  <c r="F23" i="2"/>
  <c r="J1" i="6"/>
  <c r="I9" i="6"/>
  <c r="I3" i="6"/>
  <c r="H9" i="6"/>
  <c r="I5" i="6"/>
  <c r="H5" i="6"/>
  <c r="G5" i="6"/>
  <c r="F5" i="6"/>
  <c r="K45" i="2"/>
  <c r="I40" i="2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/>
  <c r="X104" i="18"/>
  <c r="X63" i="18"/>
  <c r="U75" i="18"/>
  <c r="U73" i="18"/>
  <c r="U39" i="18"/>
  <c r="U112" i="18"/>
  <c r="V94" i="18"/>
  <c r="N27" i="2"/>
  <c r="K40" i="2"/>
  <c r="N40" i="2"/>
  <c r="F6" i="6"/>
  <c r="F44" i="5"/>
  <c r="F45" i="5"/>
  <c r="F46" i="5"/>
  <c r="F43" i="5"/>
  <c r="F42" i="5"/>
  <c r="I33" i="2"/>
  <c r="G42" i="2"/>
  <c r="F42" i="2"/>
  <c r="E40" i="2"/>
  <c r="H10" i="6"/>
  <c r="I10" i="6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I47" i="2"/>
  <c r="K49" i="2"/>
  <c r="N49" i="2" s="1"/>
  <c r="U136" i="18"/>
  <c r="U79" i="18"/>
  <c r="U82" i="18"/>
  <c r="U66" i="18"/>
  <c r="U67" i="18"/>
  <c r="U78" i="18"/>
  <c r="U63" i="18"/>
  <c r="H14" i="3"/>
  <c r="J14" i="3"/>
  <c r="U77" i="18"/>
  <c r="U68" i="18"/>
  <c r="U83" i="18"/>
  <c r="U81" i="18"/>
  <c r="U65" i="18"/>
  <c r="U80" i="18"/>
  <c r="U114" i="18"/>
  <c r="U104" i="18"/>
  <c r="H17" i="3"/>
  <c r="J17" i="3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X2" i="18"/>
  <c r="U138" i="18"/>
  <c r="U140" i="18"/>
  <c r="H18" i="3"/>
  <c r="J18" i="3"/>
  <c r="U121" i="18"/>
  <c r="U141" i="18"/>
  <c r="U128" i="18"/>
  <c r="U127" i="18"/>
  <c r="U142" i="18"/>
  <c r="U143" i="18"/>
  <c r="U137" i="18"/>
  <c r="U139" i="18"/>
  <c r="U133" i="18"/>
  <c r="F47" i="5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/>
  <c r="J4" i="6"/>
  <c r="K33" i="2"/>
  <c r="J33" i="2"/>
  <c r="G6" i="6"/>
  <c r="F7" i="6"/>
  <c r="G40" i="2"/>
  <c r="G33" i="2"/>
  <c r="E33" i="2"/>
  <c r="V121" i="18"/>
  <c r="V31" i="18"/>
  <c r="J12" i="3"/>
  <c r="J5" i="3"/>
  <c r="H5" i="3"/>
  <c r="V104" i="18"/>
  <c r="V63" i="18"/>
  <c r="K10" i="6"/>
  <c r="K5" i="6"/>
  <c r="H6" i="6"/>
  <c r="G7" i="6"/>
  <c r="M1" i="6"/>
  <c r="L9" i="6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/>
  <c r="T145" i="18"/>
  <c r="F5" i="5"/>
  <c r="H25" i="3"/>
  <c r="L3" i="6"/>
  <c r="L4" i="6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/>
  <c r="M5" i="6"/>
  <c r="L10" i="6"/>
  <c r="C11" i="6"/>
  <c r="F6" i="5"/>
  <c r="F7" i="5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M9" i="6"/>
  <c r="M10" i="6"/>
  <c r="E51" i="2"/>
  <c r="G54" i="2"/>
  <c r="E53" i="2"/>
  <c r="E57" i="2"/>
  <c r="J6" i="6"/>
  <c r="I7" i="6"/>
  <c r="T137" i="18"/>
  <c r="G57" i="2"/>
  <c r="G51" i="2"/>
  <c r="E47" i="2"/>
  <c r="P1" i="6"/>
  <c r="O3" i="6"/>
  <c r="O9" i="6"/>
  <c r="O5" i="6"/>
  <c r="N9" i="6"/>
  <c r="N10" i="6"/>
  <c r="E58" i="2"/>
  <c r="G58" i="2"/>
  <c r="E60" i="2"/>
  <c r="G60" i="2"/>
  <c r="E61" i="2"/>
  <c r="G53" i="2"/>
  <c r="F53" i="2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/>
  <c r="K6" i="6"/>
  <c r="J7" i="6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/>
  <c r="R1" i="6"/>
  <c r="Q3" i="6"/>
  <c r="Q5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/>
  <c r="F47" i="2"/>
  <c r="E59" i="2"/>
  <c r="P9" i="6"/>
  <c r="P10" i="6"/>
  <c r="P5" i="6"/>
  <c r="G59" i="2"/>
  <c r="G56" i="2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Q9" i="6"/>
  <c r="Q10" i="6"/>
  <c r="N6" i="6"/>
  <c r="M7" i="6"/>
  <c r="F56" i="2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T1" i="6"/>
  <c r="S5" i="6"/>
  <c r="S9" i="6"/>
  <c r="S3" i="6"/>
  <c r="R3" i="6"/>
  <c r="R4" i="6"/>
  <c r="R9" i="6"/>
  <c r="R10" i="6"/>
  <c r="S10" i="6"/>
  <c r="S4" i="6"/>
  <c r="T9" i="6"/>
  <c r="U1" i="6"/>
  <c r="T5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P6" i="6"/>
  <c r="O7" i="6"/>
  <c r="T10" i="6"/>
  <c r="V1" i="6"/>
  <c r="U9" i="6"/>
  <c r="U10" i="6"/>
  <c r="U3" i="6"/>
  <c r="U5" i="6"/>
  <c r="T3" i="6"/>
  <c r="T4" i="6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W1" i="6"/>
  <c r="V5" i="6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AB35" i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X1" i="6"/>
  <c r="W3" i="6"/>
  <c r="W5" i="6"/>
  <c r="W9" i="6"/>
  <c r="V3" i="6"/>
  <c r="V4" i="6"/>
  <c r="V9" i="6"/>
  <c r="V10" i="6"/>
  <c r="W10" i="6"/>
  <c r="Y1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Y9" i="6"/>
  <c r="Z1" i="6"/>
  <c r="Y5" i="6"/>
  <c r="Y3" i="6"/>
  <c r="X5" i="6"/>
  <c r="X9" i="6"/>
  <c r="X10" i="6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/>
  <c r="Y4" i="6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AA1" i="6"/>
  <c r="Z5" i="6"/>
  <c r="AB1" i="6"/>
  <c r="AA3" i="6"/>
  <c r="AA5" i="6"/>
  <c r="AA9" i="6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/>
  <c r="Z3" i="6"/>
  <c r="Z4" i="6"/>
  <c r="W6" i="6"/>
  <c r="V7" i="6"/>
  <c r="AA10" i="6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/>
  <c r="AB5" i="6"/>
  <c r="AH32" i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/>
  <c r="Y6" i="6"/>
  <c r="X7" i="6"/>
  <c r="AB4" i="6"/>
  <c r="Z6" i="6"/>
  <c r="Y7" i="6"/>
  <c r="AE1" i="6"/>
  <c r="AD9" i="6"/>
  <c r="AD10" i="6"/>
  <c r="AD5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5" i="6"/>
  <c r="AC3" i="6"/>
  <c r="AC4" i="6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/>
  <c r="AE5" i="6"/>
  <c r="AD3" i="6"/>
  <c r="AD4" i="6"/>
  <c r="AA6" i="6"/>
  <c r="Z7" i="6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/>
  <c r="AF3" i="6"/>
  <c r="AG1" i="6"/>
  <c r="AF5" i="6"/>
  <c r="AE3" i="6"/>
  <c r="AE4" i="6"/>
  <c r="AF4" i="6"/>
  <c r="AH1" i="6"/>
  <c r="AG3" i="6"/>
  <c r="AG9" i="6"/>
  <c r="AG10" i="6"/>
  <c r="AG5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AI1" i="6"/>
  <c r="AH9" i="6"/>
  <c r="AH10" i="6"/>
  <c r="AH5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E6" i="6"/>
  <c r="AD7" i="6"/>
  <c r="AJ1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/>
  <c r="AK1" i="6"/>
  <c r="AJ5" i="6"/>
  <c r="AI5" i="6"/>
  <c r="AF6" i="6"/>
  <c r="AE7" i="6"/>
  <c r="AI3" i="6"/>
  <c r="AI4" i="6"/>
  <c r="AI9" i="6"/>
  <c r="AI10" i="6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G6" i="6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3" i="6"/>
  <c r="AJ4" i="6"/>
  <c r="AL1" i="6"/>
  <c r="AK5" i="6"/>
  <c r="AJ9" i="6"/>
  <c r="AJ10" i="6"/>
  <c r="AM1" i="6"/>
  <c r="AL5" i="6"/>
  <c r="AL9" i="6"/>
  <c r="AL3" i="6"/>
  <c r="AK3" i="6"/>
  <c r="AK4" i="6"/>
  <c r="AK9" i="6"/>
  <c r="AK10" i="6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L10" i="6"/>
  <c r="AL4" i="6"/>
  <c r="AI6" i="6"/>
  <c r="AH7" i="6"/>
  <c r="AN1" i="6"/>
  <c r="AM5" i="6"/>
  <c r="AM3" i="6"/>
  <c r="AM9" i="6"/>
  <c r="AM10" i="6"/>
  <c r="AO1" i="6"/>
  <c r="AN5" i="6"/>
  <c r="AN3" i="6"/>
  <c r="AJ6" i="6"/>
  <c r="AI7" i="6"/>
  <c r="AM4" i="6"/>
  <c r="AP1" i="6"/>
  <c r="AO9" i="6"/>
  <c r="AO5" i="6"/>
  <c r="AN4" i="6"/>
  <c r="AK6" i="6"/>
  <c r="AJ7" i="6"/>
  <c r="AN9" i="6"/>
  <c r="AN10" i="6"/>
  <c r="AQ1" i="6"/>
  <c r="AP3" i="6"/>
  <c r="AP5" i="6"/>
  <c r="AO10" i="6"/>
  <c r="AL6" i="6"/>
  <c r="AK7" i="6"/>
  <c r="AO3" i="6"/>
  <c r="AO4" i="6"/>
  <c r="AP4" i="6"/>
  <c r="AM6" i="6"/>
  <c r="AL7" i="6"/>
  <c r="AR1" i="6"/>
  <c r="AQ3" i="6"/>
  <c r="AQ9" i="6"/>
  <c r="AP9" i="6"/>
  <c r="AP10" i="6"/>
  <c r="AQ5" i="6"/>
  <c r="AQ10" i="6"/>
  <c r="AN6" i="6"/>
  <c r="AM7" i="6"/>
  <c r="AS1" i="6"/>
  <c r="AQ4" i="6"/>
  <c r="AT1" i="6"/>
  <c r="AS5" i="6"/>
  <c r="AS3" i="6"/>
  <c r="AO6" i="6"/>
  <c r="AN7" i="6"/>
  <c r="AR9" i="6"/>
  <c r="AR10" i="6"/>
  <c r="AR3" i="6"/>
  <c r="AR4" i="6"/>
  <c r="AR5" i="6"/>
  <c r="AS4" i="6"/>
  <c r="AP6" i="6"/>
  <c r="AO7" i="6"/>
  <c r="AU1" i="6"/>
  <c r="AT5" i="6"/>
  <c r="AT9" i="6"/>
  <c r="AT3" i="6"/>
  <c r="AS9" i="6"/>
  <c r="AS10" i="6"/>
  <c r="AT10" i="6"/>
  <c r="AV1" i="6"/>
  <c r="AU9" i="6"/>
  <c r="AU10" i="6"/>
  <c r="AU5" i="6"/>
  <c r="AU3" i="6"/>
  <c r="AQ6" i="6"/>
  <c r="AP7" i="6"/>
  <c r="AT4" i="6"/>
  <c r="AU4" i="6"/>
  <c r="AR6" i="6"/>
  <c r="AQ7" i="6"/>
  <c r="AW1" i="6"/>
  <c r="AV3" i="6"/>
  <c r="AV5" i="6"/>
  <c r="AX1" i="6"/>
  <c r="AW9" i="6"/>
  <c r="AW5" i="6"/>
  <c r="AV9" i="6"/>
  <c r="AV10" i="6"/>
  <c r="AS6" i="6"/>
  <c r="AR7" i="6"/>
  <c r="AV4" i="6"/>
  <c r="AW10" i="6"/>
  <c r="AT6" i="6"/>
  <c r="AS7" i="6"/>
  <c r="AY1" i="6"/>
  <c r="AX3" i="6"/>
  <c r="AX9" i="6"/>
  <c r="AX10" i="6"/>
  <c r="AX5" i="6"/>
  <c r="AW3" i="6"/>
  <c r="AW4" i="6"/>
  <c r="AX4" i="6"/>
  <c r="AZ1" i="6"/>
  <c r="AU6" i="6"/>
  <c r="AT7" i="6"/>
  <c r="BA1" i="6"/>
  <c r="AZ5" i="6"/>
  <c r="AV6" i="6"/>
  <c r="AU7" i="6"/>
  <c r="AY5" i="6"/>
  <c r="AY3" i="6"/>
  <c r="AY4" i="6"/>
  <c r="AY9" i="6"/>
  <c r="AY10" i="6"/>
  <c r="AW6" i="6"/>
  <c r="AV7" i="6"/>
  <c r="BB1" i="6"/>
  <c r="BA9" i="6"/>
  <c r="AZ3" i="6"/>
  <c r="AZ4" i="6"/>
  <c r="AZ9" i="6"/>
  <c r="AZ10" i="6"/>
  <c r="BA10" i="6"/>
  <c r="BB3" i="6"/>
  <c r="BC1" i="6"/>
  <c r="BB5" i="6"/>
  <c r="BB9" i="6"/>
  <c r="BB10" i="6"/>
  <c r="AX6" i="6"/>
  <c r="AW7" i="6"/>
  <c r="BA5" i="6"/>
  <c r="BA3" i="6"/>
  <c r="BA4" i="6"/>
  <c r="BB4" i="6"/>
  <c r="AY6" i="6"/>
  <c r="AX7" i="6"/>
  <c r="BD1" i="6"/>
  <c r="BC3" i="6"/>
  <c r="BC9" i="6"/>
  <c r="BC10" i="6"/>
  <c r="BC5" i="6"/>
  <c r="BE1" i="6"/>
  <c r="BD5" i="6"/>
  <c r="BD3" i="6"/>
  <c r="AZ6" i="6"/>
  <c r="AY7" i="6"/>
  <c r="BC4" i="6"/>
  <c r="BD4" i="6"/>
  <c r="BA6" i="6"/>
  <c r="AZ7" i="6"/>
  <c r="BF1" i="6"/>
  <c r="BE9" i="6"/>
  <c r="BE3" i="6"/>
  <c r="BD9" i="6"/>
  <c r="BD10" i="6"/>
  <c r="BB6" i="6"/>
  <c r="BA7" i="6"/>
  <c r="BE4" i="6"/>
  <c r="BE10" i="6"/>
  <c r="BE5" i="6"/>
  <c r="BG1" i="6"/>
  <c r="BF3" i="6"/>
  <c r="BF9" i="6"/>
  <c r="BF10" i="6"/>
  <c r="BH1" i="6"/>
  <c r="BF4" i="6"/>
  <c r="BF5" i="6"/>
  <c r="BC6" i="6"/>
  <c r="BB7" i="6"/>
  <c r="BH9" i="6"/>
  <c r="BH3" i="6"/>
  <c r="BI1" i="6"/>
  <c r="BH5" i="6"/>
  <c r="BG3" i="6"/>
  <c r="BG4" i="6"/>
  <c r="BD6" i="6"/>
  <c r="BC7" i="6"/>
  <c r="BG5" i="6"/>
  <c r="BG9" i="6"/>
  <c r="BG10" i="6"/>
  <c r="BH10" i="6"/>
  <c r="BH4" i="6"/>
  <c r="BE6" i="6"/>
  <c r="BD7" i="6"/>
  <c r="BJ1" i="6"/>
  <c r="BI9" i="6"/>
  <c r="BI10" i="6"/>
  <c r="BI3" i="6"/>
  <c r="BI5" i="6"/>
  <c r="BK1" i="6"/>
  <c r="BJ3" i="6"/>
  <c r="BJ5" i="6"/>
  <c r="BF6" i="6"/>
  <c r="BE7" i="6"/>
  <c r="BI4" i="6"/>
  <c r="BL1" i="6"/>
  <c r="BK5" i="6"/>
  <c r="BJ9" i="6"/>
  <c r="BJ10" i="6"/>
  <c r="BJ4" i="6"/>
  <c r="BG6" i="6"/>
  <c r="BF7" i="6"/>
  <c r="BM1" i="6"/>
  <c r="BL9" i="6"/>
  <c r="BL3" i="6"/>
  <c r="BL5" i="6"/>
  <c r="BK3" i="6"/>
  <c r="BK4" i="6"/>
  <c r="BK9" i="6"/>
  <c r="BK10" i="6"/>
  <c r="BL10" i="6"/>
  <c r="BH6" i="6"/>
  <c r="BG7" i="6"/>
  <c r="BL4" i="6"/>
  <c r="BI6" i="6"/>
  <c r="BH7" i="6"/>
  <c r="BN1" i="6"/>
  <c r="BM5" i="6"/>
  <c r="BM3" i="6"/>
  <c r="BM9" i="6"/>
  <c r="BM10" i="6"/>
  <c r="BO1" i="6"/>
  <c r="BN9" i="6"/>
  <c r="BN10" i="6"/>
  <c r="BN3" i="6"/>
  <c r="BN5" i="6"/>
  <c r="BM4" i="6"/>
  <c r="BJ6" i="6"/>
  <c r="BI7" i="6"/>
  <c r="BN4" i="6"/>
  <c r="BP1" i="6"/>
  <c r="BO9" i="6"/>
  <c r="BO10" i="6"/>
  <c r="BO5" i="6"/>
  <c r="BK6" i="6"/>
  <c r="BJ7" i="6"/>
  <c r="BQ1" i="6"/>
  <c r="BO3" i="6"/>
  <c r="BO4" i="6"/>
  <c r="BL6" i="6"/>
  <c r="BK7" i="6"/>
  <c r="BM6" i="6"/>
  <c r="BL7" i="6"/>
  <c r="BQ9" i="6"/>
  <c r="BQ3" i="6"/>
  <c r="BQ5" i="6"/>
  <c r="BR1" i="6"/>
  <c r="BP9" i="6"/>
  <c r="BP10" i="6"/>
  <c r="BP5" i="6"/>
  <c r="BP3" i="6"/>
  <c r="BP4" i="6"/>
  <c r="BQ4" i="6"/>
  <c r="BN6" i="6"/>
  <c r="BM7" i="6"/>
  <c r="BQ10" i="6"/>
  <c r="BS1" i="6"/>
  <c r="BR3" i="6"/>
  <c r="BR9" i="6"/>
  <c r="BR5" i="6"/>
  <c r="BS9" i="6"/>
  <c r="BS5" i="6"/>
  <c r="BT1" i="6"/>
  <c r="BS3" i="6"/>
  <c r="BR10" i="6"/>
  <c r="BO6" i="6"/>
  <c r="BN7" i="6"/>
  <c r="BR4" i="6"/>
  <c r="BS4" i="6"/>
  <c r="BP6" i="6"/>
  <c r="BO7" i="6"/>
  <c r="BS10" i="6"/>
  <c r="BU1" i="6"/>
  <c r="BT5" i="6"/>
  <c r="BQ6" i="6"/>
  <c r="BP7" i="6"/>
  <c r="BV1" i="6"/>
  <c r="BU5" i="6"/>
  <c r="BU9" i="6"/>
  <c r="BT3" i="6"/>
  <c r="BT4" i="6"/>
  <c r="BT9" i="6"/>
  <c r="BT10" i="6"/>
  <c r="BU10" i="6"/>
  <c r="BW1" i="6"/>
  <c r="BV3" i="6"/>
  <c r="BV9" i="6"/>
  <c r="BV10" i="6"/>
  <c r="BV5" i="6"/>
  <c r="BU3" i="6"/>
  <c r="BU4" i="6"/>
  <c r="BR6" i="6"/>
  <c r="BQ7" i="6"/>
  <c r="BV4" i="6"/>
  <c r="BS6" i="6"/>
  <c r="BR7" i="6"/>
  <c r="BX1" i="6"/>
  <c r="BW5" i="6"/>
  <c r="BY1" i="6"/>
  <c r="BW9" i="6"/>
  <c r="BW10" i="6"/>
  <c r="BW3" i="6"/>
  <c r="BW4" i="6"/>
  <c r="BT6" i="6"/>
  <c r="BS7" i="6"/>
  <c r="BZ1" i="6"/>
  <c r="BY9" i="6"/>
  <c r="BY3" i="6"/>
  <c r="BY5" i="6"/>
  <c r="BX9" i="6"/>
  <c r="BX10" i="6"/>
  <c r="BU6" i="6"/>
  <c r="BT7" i="6"/>
  <c r="BX5" i="6"/>
  <c r="BX3" i="6"/>
  <c r="BX4" i="6"/>
  <c r="BY10" i="6"/>
  <c r="BY4" i="6"/>
  <c r="BV6" i="6"/>
  <c r="BU7" i="6"/>
  <c r="CA1" i="6"/>
  <c r="BZ9" i="6"/>
  <c r="BZ10" i="6"/>
  <c r="BZ5" i="6"/>
  <c r="CB1" i="6"/>
  <c r="CA9" i="6"/>
  <c r="CA10" i="6"/>
  <c r="CA5" i="6"/>
  <c r="CA3" i="6"/>
  <c r="BZ3" i="6"/>
  <c r="BZ4" i="6"/>
  <c r="BW6" i="6"/>
  <c r="BV7" i="6"/>
  <c r="BX6" i="6"/>
  <c r="BW7" i="6"/>
  <c r="CA4" i="6"/>
  <c r="CC1" i="6"/>
  <c r="CB3" i="6"/>
  <c r="CB5" i="6"/>
  <c r="CD1" i="6"/>
  <c r="CC3" i="6"/>
  <c r="CB9" i="6"/>
  <c r="CB10" i="6"/>
  <c r="CB4" i="6"/>
  <c r="BY6" i="6"/>
  <c r="BX7" i="6"/>
  <c r="BZ6" i="6"/>
  <c r="BY7" i="6"/>
  <c r="CC4" i="6"/>
  <c r="CC5" i="6"/>
  <c r="CE1" i="6"/>
  <c r="CD3" i="6"/>
  <c r="CD9" i="6"/>
  <c r="CD5" i="6"/>
  <c r="CC9" i="6"/>
  <c r="CC10" i="6"/>
  <c r="CE9" i="6"/>
  <c r="CF1" i="6"/>
  <c r="CE3" i="6"/>
  <c r="CE5" i="6"/>
  <c r="CD10" i="6"/>
  <c r="CD4" i="6"/>
  <c r="CA6" i="6"/>
  <c r="BZ7" i="6"/>
  <c r="CE4" i="6"/>
  <c r="CE10" i="6"/>
  <c r="CB6" i="6"/>
  <c r="CA7" i="6"/>
  <c r="CF9" i="6"/>
  <c r="CG1" i="6"/>
  <c r="CF3" i="6"/>
  <c r="CF5" i="6"/>
  <c r="CH1" i="6"/>
  <c r="CG5" i="6"/>
  <c r="CC6" i="6"/>
  <c r="CB7" i="6"/>
  <c r="CF10" i="6"/>
  <c r="CF4" i="6"/>
  <c r="CD6" i="6"/>
  <c r="CC7" i="6"/>
  <c r="CI1" i="6"/>
  <c r="CH9" i="6"/>
  <c r="CH5" i="6"/>
  <c r="CG3" i="6"/>
  <c r="CG4" i="6"/>
  <c r="CG9" i="6"/>
  <c r="CG10" i="6"/>
  <c r="CH10" i="6"/>
  <c r="CJ1" i="6"/>
  <c r="CH3" i="6"/>
  <c r="CH4" i="6"/>
  <c r="CE6" i="6"/>
  <c r="CD7" i="6"/>
  <c r="CK1" i="6"/>
  <c r="CJ9" i="6"/>
  <c r="CJ3" i="6"/>
  <c r="CJ5" i="6"/>
  <c r="CF6" i="6"/>
  <c r="CE7" i="6"/>
  <c r="CI3" i="6"/>
  <c r="CI4" i="6"/>
  <c r="CI9" i="6"/>
  <c r="CI10" i="6"/>
  <c r="CI5" i="6"/>
  <c r="CJ4" i="6"/>
  <c r="CL1" i="6"/>
  <c r="CK9" i="6"/>
  <c r="CG6" i="6"/>
  <c r="CF7" i="6"/>
  <c r="CJ10" i="6"/>
  <c r="CL5" i="6"/>
  <c r="CM1" i="6"/>
  <c r="CK10" i="6"/>
  <c r="CK3" i="6"/>
  <c r="CK4" i="6"/>
  <c r="CH6" i="6"/>
  <c r="CG7" i="6"/>
  <c r="CK5" i="6"/>
  <c r="CN1" i="6"/>
  <c r="CM5" i="6"/>
  <c r="CI6" i="6"/>
  <c r="CH7" i="6"/>
  <c r="CL3" i="6"/>
  <c r="CL4" i="6"/>
  <c r="CL9" i="6"/>
  <c r="CL10" i="6"/>
  <c r="CO1" i="6"/>
  <c r="CN9" i="6"/>
  <c r="CN3" i="6"/>
  <c r="CN5" i="6"/>
  <c r="CJ6" i="6"/>
  <c r="CI7" i="6"/>
  <c r="CM9" i="6"/>
  <c r="CM10" i="6"/>
  <c r="CN10" i="6"/>
  <c r="CM3" i="6"/>
  <c r="CM4" i="6"/>
  <c r="CN4" i="6"/>
  <c r="CK6" i="6"/>
  <c r="CJ7" i="6"/>
  <c r="CP1" i="6"/>
  <c r="CO3" i="6"/>
  <c r="CO9" i="6"/>
  <c r="CO10" i="6"/>
  <c r="CO5" i="6"/>
  <c r="CO4" i="6"/>
  <c r="CP9" i="6"/>
  <c r="CP10" i="6"/>
  <c r="CQ1" i="6"/>
  <c r="CP3" i="6"/>
  <c r="CP5" i="6"/>
  <c r="CL6" i="6"/>
  <c r="CK7" i="6"/>
  <c r="CP4" i="6"/>
  <c r="CM6" i="6"/>
  <c r="CL7" i="6"/>
  <c r="CR1" i="6"/>
  <c r="CQ3" i="6"/>
  <c r="CQ9" i="6"/>
  <c r="CQ10" i="6"/>
  <c r="CQ5" i="6"/>
  <c r="CS1" i="6"/>
  <c r="CR5" i="6"/>
  <c r="CN6" i="6"/>
  <c r="CM7" i="6"/>
  <c r="CQ4" i="6"/>
  <c r="CO6" i="6"/>
  <c r="CN7" i="6"/>
  <c r="CT1" i="6"/>
  <c r="CS9" i="6"/>
  <c r="CS3" i="6"/>
  <c r="CS5" i="6"/>
  <c r="CR3" i="6"/>
  <c r="CR4" i="6"/>
  <c r="CR9" i="6"/>
  <c r="CR10" i="6"/>
  <c r="CS4" i="6"/>
  <c r="CU1" i="6"/>
  <c r="CT9" i="6"/>
  <c r="CT5" i="6"/>
  <c r="CP6" i="6"/>
  <c r="CO7" i="6"/>
  <c r="CS10" i="6"/>
  <c r="CT10" i="6"/>
  <c r="CQ6" i="6"/>
  <c r="CP7" i="6"/>
  <c r="CV1" i="6"/>
  <c r="CT3" i="6"/>
  <c r="CT4" i="6"/>
  <c r="CW1" i="6"/>
  <c r="CV9" i="6"/>
  <c r="CV3" i="6"/>
  <c r="CV5" i="6"/>
  <c r="CU9" i="6"/>
  <c r="CU10" i="6"/>
  <c r="CV10" i="6"/>
  <c r="CU5" i="6"/>
  <c r="CU3" i="6"/>
  <c r="CU4" i="6"/>
  <c r="CR6" i="6"/>
  <c r="CQ7" i="6"/>
  <c r="CV4" i="6"/>
  <c r="CX1" i="6"/>
  <c r="CS6" i="6"/>
  <c r="CR7" i="6"/>
  <c r="CT6" i="6"/>
  <c r="CS7" i="6"/>
  <c r="CY1" i="6"/>
  <c r="CX3" i="6"/>
  <c r="CX5" i="6"/>
  <c r="CX9" i="6"/>
  <c r="CW5" i="6"/>
  <c r="CW3" i="6"/>
  <c r="CW4" i="6"/>
  <c r="CW9" i="6"/>
  <c r="CW10" i="6"/>
  <c r="CX10" i="6"/>
  <c r="CX4" i="6"/>
  <c r="CY3" i="6"/>
  <c r="CY9" i="6"/>
  <c r="CY10" i="6"/>
  <c r="CZ1" i="6"/>
  <c r="CU6" i="6"/>
  <c r="CT7" i="6"/>
  <c r="DA1" i="6"/>
  <c r="CZ5" i="6"/>
  <c r="CZ3" i="6"/>
  <c r="CV6" i="6"/>
  <c r="CU7" i="6"/>
  <c r="CY5" i="6"/>
  <c r="CY4" i="6"/>
  <c r="CW6" i="6"/>
  <c r="CV7" i="6"/>
  <c r="DB1" i="6"/>
  <c r="CZ9" i="6"/>
  <c r="CZ10" i="6"/>
  <c r="CZ4" i="6"/>
  <c r="DC1" i="6"/>
  <c r="DA3" i="6"/>
  <c r="DA4" i="6"/>
  <c r="DA9" i="6"/>
  <c r="DA10" i="6"/>
  <c r="CX6" i="6"/>
  <c r="CW7" i="6"/>
  <c r="DA5" i="6"/>
  <c r="DD1" i="6"/>
  <c r="DC9" i="6"/>
  <c r="DC5" i="6"/>
  <c r="CY6" i="6"/>
  <c r="CX7" i="6"/>
  <c r="DB5" i="6"/>
  <c r="DB9" i="6"/>
  <c r="DB10" i="6"/>
  <c r="DB3" i="6"/>
  <c r="DB4" i="6"/>
  <c r="DC10" i="6"/>
  <c r="DE1" i="6"/>
  <c r="DD5" i="6"/>
  <c r="DD9" i="6"/>
  <c r="DD10" i="6"/>
  <c r="CZ6" i="6"/>
  <c r="CY7" i="6"/>
  <c r="DC3" i="6"/>
  <c r="DC4" i="6"/>
  <c r="DF1" i="6"/>
  <c r="DE9" i="6"/>
  <c r="DE10" i="6"/>
  <c r="DE3" i="6"/>
  <c r="DA6" i="6"/>
  <c r="CZ7" i="6"/>
  <c r="DD3" i="6"/>
  <c r="DD4" i="6"/>
  <c r="DE4" i="6"/>
  <c r="DG1" i="6"/>
  <c r="DF9" i="6"/>
  <c r="DF10" i="6"/>
  <c r="DB6" i="6"/>
  <c r="DA7" i="6"/>
  <c r="DE5" i="6"/>
  <c r="DF3" i="6"/>
  <c r="DF4" i="6"/>
  <c r="DC6" i="6"/>
  <c r="DB7" i="6"/>
  <c r="DF5" i="6"/>
  <c r="DH1" i="6"/>
  <c r="DG9" i="6"/>
  <c r="DG10" i="6"/>
  <c r="DG3" i="6"/>
  <c r="DG5" i="6"/>
  <c r="DG4" i="6"/>
  <c r="DI1" i="6"/>
  <c r="DD6" i="6"/>
  <c r="DC7" i="6"/>
  <c r="DE6" i="6"/>
  <c r="DD7" i="6"/>
  <c r="DJ1" i="6"/>
  <c r="DI9" i="6"/>
  <c r="DI5" i="6"/>
  <c r="DI3" i="6"/>
  <c r="DH5" i="6"/>
  <c r="DH9" i="6"/>
  <c r="DH10" i="6"/>
  <c r="DH3" i="6"/>
  <c r="DH4" i="6"/>
  <c r="DI10" i="6"/>
  <c r="DF6" i="6"/>
  <c r="DE7" i="6"/>
  <c r="DI4" i="6"/>
  <c r="DK1" i="6"/>
  <c r="DJ5" i="6"/>
  <c r="DG6" i="6"/>
  <c r="DF7" i="6"/>
  <c r="DL1" i="6"/>
  <c r="DK5" i="6"/>
  <c r="DJ9" i="6"/>
  <c r="DJ10" i="6"/>
  <c r="DJ3" i="6"/>
  <c r="DJ4" i="6"/>
  <c r="DM1" i="6"/>
  <c r="DL9" i="6"/>
  <c r="DL5" i="6"/>
  <c r="DK9" i="6"/>
  <c r="DK10" i="6"/>
  <c r="DK3" i="6"/>
  <c r="DK4" i="6"/>
  <c r="DH6" i="6"/>
  <c r="DG7" i="6"/>
  <c r="DL10" i="6"/>
  <c r="DI6" i="6"/>
  <c r="DH7" i="6"/>
  <c r="DM3" i="6"/>
  <c r="DN1" i="6"/>
  <c r="DM9" i="6"/>
  <c r="DM5" i="6"/>
  <c r="DL3" i="6"/>
  <c r="DL4" i="6"/>
  <c r="DM10" i="6"/>
  <c r="DJ6" i="6"/>
  <c r="DI7" i="6"/>
  <c r="DM4" i="6"/>
  <c r="DO1" i="6"/>
  <c r="DK6" i="6"/>
  <c r="DJ7" i="6"/>
  <c r="DP1" i="6"/>
  <c r="DO3" i="6"/>
  <c r="DO9" i="6"/>
  <c r="DO5" i="6"/>
  <c r="DN5" i="6"/>
  <c r="DN9" i="6"/>
  <c r="DN10" i="6"/>
  <c r="DN3" i="6"/>
  <c r="DN4" i="6"/>
  <c r="DO4" i="6"/>
  <c r="DO10" i="6"/>
  <c r="DQ1" i="6"/>
  <c r="DP9" i="6"/>
  <c r="DP5" i="6"/>
  <c r="DL6" i="6"/>
  <c r="DK7" i="6"/>
  <c r="DM6" i="6"/>
  <c r="DL7" i="6"/>
  <c r="DR1" i="6"/>
  <c r="DQ9" i="6"/>
  <c r="DQ5" i="6"/>
  <c r="DP3" i="6"/>
  <c r="DP4" i="6"/>
  <c r="DP10" i="6"/>
  <c r="DS1" i="6"/>
  <c r="DR3" i="6"/>
  <c r="DR5" i="6"/>
  <c r="DQ3" i="6"/>
  <c r="DQ4" i="6"/>
  <c r="DN6" i="6"/>
  <c r="DM7" i="6"/>
  <c r="DQ10" i="6"/>
  <c r="DR4" i="6"/>
  <c r="DO6" i="6"/>
  <c r="DN7" i="6"/>
  <c r="DT1" i="6"/>
  <c r="DS3" i="6"/>
  <c r="DS9" i="6"/>
  <c r="DR9" i="6"/>
  <c r="DR10" i="6"/>
  <c r="DS10" i="6"/>
  <c r="DU1" i="6"/>
  <c r="DS5" i="6"/>
  <c r="DP6" i="6"/>
  <c r="DO7" i="6"/>
  <c r="DS4" i="6"/>
  <c r="DV1" i="6"/>
  <c r="DU5" i="6"/>
  <c r="DT5" i="6"/>
  <c r="DT3" i="6"/>
  <c r="DT4" i="6"/>
  <c r="DT9" i="6"/>
  <c r="DT10" i="6"/>
  <c r="DQ6" i="6"/>
  <c r="DP7" i="6"/>
  <c r="DR6" i="6"/>
  <c r="DQ7" i="6"/>
  <c r="DW1" i="6"/>
  <c r="DU9" i="6"/>
  <c r="DU10" i="6"/>
  <c r="DU3" i="6"/>
  <c r="DU4" i="6"/>
  <c r="DX1" i="6"/>
  <c r="DW9" i="6"/>
  <c r="DW3" i="6"/>
  <c r="DW5" i="6"/>
  <c r="DV3" i="6"/>
  <c r="DV4" i="6"/>
  <c r="DV5" i="6"/>
  <c r="DV9" i="6"/>
  <c r="DV10" i="6"/>
  <c r="DS6" i="6"/>
  <c r="DR7" i="6"/>
  <c r="DW10" i="6"/>
  <c r="DW4" i="6"/>
  <c r="DT6" i="6"/>
  <c r="DS7" i="6"/>
  <c r="DY1" i="6"/>
  <c r="DZ1" i="6"/>
  <c r="DX3" i="6"/>
  <c r="DX4" i="6"/>
  <c r="DX9" i="6"/>
  <c r="DX10" i="6"/>
  <c r="DX5" i="6"/>
  <c r="DU6" i="6"/>
  <c r="DT7" i="6"/>
  <c r="EA1" i="6"/>
  <c r="DZ9" i="6"/>
  <c r="DZ5" i="6"/>
  <c r="DZ3" i="6"/>
  <c r="DV6" i="6"/>
  <c r="DU7" i="6"/>
  <c r="DY5" i="6"/>
  <c r="DY3" i="6"/>
  <c r="DY4" i="6"/>
  <c r="DY9" i="6"/>
  <c r="DY10" i="6"/>
  <c r="DZ10" i="6"/>
  <c r="DZ4" i="6"/>
  <c r="DW6" i="6"/>
  <c r="DV7" i="6"/>
  <c r="EA5" i="6"/>
  <c r="EB1" i="6"/>
  <c r="EA3" i="6"/>
  <c r="EA9" i="6"/>
  <c r="EA10" i="6"/>
  <c r="EA4" i="6"/>
  <c r="EC1" i="6"/>
  <c r="EB9" i="6"/>
  <c r="EB10" i="6"/>
  <c r="EB5" i="6"/>
  <c r="EB3" i="6"/>
  <c r="DX6" i="6"/>
  <c r="DW7" i="6"/>
  <c r="DY6" i="6"/>
  <c r="DX7" i="6"/>
  <c r="EC9" i="6"/>
  <c r="EC10" i="6"/>
  <c r="ED1" i="6"/>
  <c r="EC5" i="6"/>
  <c r="EC3" i="6"/>
  <c r="EB4" i="6"/>
  <c r="EC4" i="6"/>
  <c r="EE1" i="6"/>
  <c r="ED3" i="6"/>
  <c r="DZ6" i="6"/>
  <c r="DY7" i="6"/>
  <c r="EF1" i="6"/>
  <c r="EE9" i="6"/>
  <c r="EE5" i="6"/>
  <c r="ED4" i="6"/>
  <c r="EA6" i="6"/>
  <c r="DZ7" i="6"/>
  <c r="ED9" i="6"/>
  <c r="ED10" i="6"/>
  <c r="ED5" i="6"/>
  <c r="EG1" i="6"/>
  <c r="EF3" i="6"/>
  <c r="EF5" i="6"/>
  <c r="EE10" i="6"/>
  <c r="EE3" i="6"/>
  <c r="EE4" i="6"/>
  <c r="EB6" i="6"/>
  <c r="EA7" i="6"/>
  <c r="EH1" i="6"/>
  <c r="EG5" i="6"/>
  <c r="EC6" i="6"/>
  <c r="EB7" i="6"/>
  <c r="EF9" i="6"/>
  <c r="EF10" i="6"/>
  <c r="EF4" i="6"/>
  <c r="ED6" i="6"/>
  <c r="EC7" i="6"/>
  <c r="EI1" i="6"/>
  <c r="EG3" i="6"/>
  <c r="EG4" i="6"/>
  <c r="EG9" i="6"/>
  <c r="EG10" i="6"/>
  <c r="EJ1" i="6"/>
  <c r="EI3" i="6"/>
  <c r="EI9" i="6"/>
  <c r="EI5" i="6"/>
  <c r="EH5" i="6"/>
  <c r="EH3" i="6"/>
  <c r="EH4" i="6"/>
  <c r="EH9" i="6"/>
  <c r="EH10" i="6"/>
  <c r="EE6" i="6"/>
  <c r="ED7" i="6"/>
  <c r="EI10" i="6"/>
  <c r="EI4" i="6"/>
  <c r="EF6" i="6"/>
  <c r="EE7" i="6"/>
  <c r="EK1" i="6"/>
  <c r="EJ3" i="6"/>
  <c r="EJ9" i="6"/>
  <c r="EJ10" i="6"/>
  <c r="EJ5" i="6"/>
  <c r="EG6" i="6"/>
  <c r="EF7" i="6"/>
  <c r="EJ4" i="6"/>
  <c r="EL1" i="6"/>
  <c r="EK9" i="6"/>
  <c r="EK10" i="6"/>
  <c r="EK5" i="6"/>
  <c r="EM1" i="6"/>
  <c r="EL9" i="6"/>
  <c r="EL10" i="6"/>
  <c r="EL5" i="6"/>
  <c r="EK3" i="6"/>
  <c r="EK4" i="6"/>
  <c r="EH6" i="6"/>
  <c r="EG7" i="6"/>
  <c r="EI6" i="6"/>
  <c r="EH7" i="6"/>
  <c r="EN1" i="6"/>
  <c r="EM3" i="6"/>
  <c r="EM5" i="6"/>
  <c r="EM9" i="6"/>
  <c r="EM10" i="6"/>
  <c r="EL3" i="6"/>
  <c r="EL4" i="6"/>
  <c r="EM4" i="6"/>
  <c r="EO1" i="6"/>
  <c r="EN5" i="6"/>
  <c r="EJ6" i="6"/>
  <c r="EI7" i="6"/>
  <c r="EK6" i="6"/>
  <c r="EJ7" i="6"/>
  <c r="EP1" i="6"/>
  <c r="EO9" i="6"/>
  <c r="EO5" i="6"/>
  <c r="EO3" i="6"/>
  <c r="EN3" i="6"/>
  <c r="EN4" i="6"/>
  <c r="EN9" i="6"/>
  <c r="EN10" i="6"/>
  <c r="EO4" i="6"/>
  <c r="EO10" i="6"/>
  <c r="EL6" i="6"/>
  <c r="EK7" i="6"/>
  <c r="EQ1" i="6"/>
  <c r="ER1" i="6"/>
  <c r="EQ3" i="6"/>
  <c r="EQ5" i="6"/>
  <c r="EQ9" i="6"/>
  <c r="EP9" i="6"/>
  <c r="EP10" i="6"/>
  <c r="EP5" i="6"/>
  <c r="EP3" i="6"/>
  <c r="EP4" i="6"/>
  <c r="EM6" i="6"/>
  <c r="EL7" i="6"/>
  <c r="EQ10" i="6"/>
  <c r="EQ4" i="6"/>
  <c r="EN6" i="6"/>
  <c r="EM7" i="6"/>
  <c r="ES1" i="6"/>
  <c r="ER9" i="6"/>
  <c r="ER5" i="6"/>
  <c r="ER10" i="6"/>
  <c r="ET1" i="6"/>
  <c r="ER3" i="6"/>
  <c r="ER4" i="6"/>
  <c r="EO6" i="6"/>
  <c r="EN7" i="6"/>
  <c r="EP6" i="6"/>
  <c r="EO7" i="6"/>
  <c r="EU1" i="6"/>
  <c r="ET9" i="6"/>
  <c r="ET5" i="6"/>
  <c r="ET3" i="6"/>
  <c r="ES5" i="6"/>
  <c r="ES9" i="6"/>
  <c r="ES10" i="6"/>
  <c r="ES3" i="6"/>
  <c r="ES4" i="6"/>
  <c r="ET10" i="6"/>
  <c r="EV1" i="6"/>
  <c r="EU3" i="6"/>
  <c r="EU9" i="6"/>
  <c r="EU10" i="6"/>
  <c r="EU5" i="6"/>
  <c r="EQ6" i="6"/>
  <c r="EP7" i="6"/>
  <c r="ET4" i="6"/>
  <c r="EU4" i="6"/>
  <c r="ER6" i="6"/>
  <c r="EQ7" i="6"/>
  <c r="EW1" i="6"/>
  <c r="EX1" i="6"/>
  <c r="EW3" i="6"/>
  <c r="EV5" i="6"/>
  <c r="EV9" i="6"/>
  <c r="EV10" i="6"/>
  <c r="EV3" i="6"/>
  <c r="EV4" i="6"/>
  <c r="ES6" i="6"/>
  <c r="ER7" i="6"/>
  <c r="EW4" i="6"/>
  <c r="ET6" i="6"/>
  <c r="ES7" i="6"/>
  <c r="EW9" i="6"/>
  <c r="EW10" i="6"/>
  <c r="EW5" i="6"/>
  <c r="EY1" i="6"/>
  <c r="EX3" i="6"/>
  <c r="EX9" i="6"/>
  <c r="EX10" i="6"/>
  <c r="EZ1" i="6"/>
  <c r="EY5" i="6"/>
  <c r="EY3" i="6"/>
  <c r="EU6" i="6"/>
  <c r="ET7" i="6"/>
  <c r="EX4" i="6"/>
  <c r="EX5" i="6"/>
  <c r="FA1" i="6"/>
  <c r="EZ3" i="6"/>
  <c r="EZ9" i="6"/>
  <c r="EZ5" i="6"/>
  <c r="EV6" i="6"/>
  <c r="EU7" i="6"/>
  <c r="EY4" i="6"/>
  <c r="EY9" i="6"/>
  <c r="EY10" i="6"/>
  <c r="EZ10" i="6"/>
  <c r="EZ4" i="6"/>
  <c r="EW6" i="6"/>
  <c r="EV7" i="6"/>
  <c r="FB1" i="6"/>
  <c r="FA9" i="6"/>
  <c r="FA5" i="6"/>
  <c r="FA10" i="6"/>
  <c r="EX6" i="6"/>
  <c r="EW7" i="6"/>
  <c r="FC1" i="6"/>
  <c r="FB9" i="6"/>
  <c r="FB3" i="6"/>
  <c r="FB5" i="6"/>
  <c r="FA3" i="6"/>
  <c r="FA4" i="6"/>
  <c r="FB10" i="6"/>
  <c r="FB4" i="6"/>
  <c r="FD1" i="6"/>
  <c r="FC5" i="6"/>
  <c r="EY6" i="6"/>
  <c r="EX7" i="6"/>
  <c r="EZ6" i="6"/>
  <c r="EY7" i="6"/>
  <c r="FE1" i="6"/>
  <c r="FD9" i="6"/>
  <c r="FD3" i="6"/>
  <c r="FD5" i="6"/>
  <c r="FC9" i="6"/>
  <c r="FC10" i="6"/>
  <c r="FD10" i="6"/>
  <c r="FC3" i="6"/>
  <c r="FC4" i="6"/>
  <c r="FD4" i="6"/>
  <c r="FF1" i="6"/>
  <c r="FE3" i="6"/>
  <c r="FE5" i="6"/>
  <c r="FA6" i="6"/>
  <c r="EZ7" i="6"/>
  <c r="FB6" i="6"/>
  <c r="FA7" i="6"/>
  <c r="FG1" i="6"/>
  <c r="FE9" i="6"/>
  <c r="FE10" i="6"/>
  <c r="FE4" i="6"/>
  <c r="FH1" i="6"/>
  <c r="FG9" i="6"/>
  <c r="FG3" i="6"/>
  <c r="FG5" i="6"/>
  <c r="FF5" i="6"/>
  <c r="FF9" i="6"/>
  <c r="FF10" i="6"/>
  <c r="FG10" i="6"/>
  <c r="FF3" i="6"/>
  <c r="FF4" i="6"/>
  <c r="FC6" i="6"/>
  <c r="FB7" i="6"/>
  <c r="FG4" i="6"/>
  <c r="FI1" i="6"/>
  <c r="FH9" i="6"/>
  <c r="FH10" i="6"/>
  <c r="FH3" i="6"/>
  <c r="FH5" i="6"/>
  <c r="FD6" i="6"/>
  <c r="FC7" i="6"/>
  <c r="FE6" i="6"/>
  <c r="FD7" i="6"/>
  <c r="FJ1" i="6"/>
  <c r="FH4" i="6"/>
  <c r="FK1" i="6"/>
  <c r="FJ9" i="6"/>
  <c r="FI5" i="6"/>
  <c r="FI9" i="6"/>
  <c r="FI10" i="6"/>
  <c r="FI3" i="6"/>
  <c r="FI4" i="6"/>
  <c r="FF6" i="6"/>
  <c r="FE7" i="6"/>
  <c r="FJ5" i="6"/>
  <c r="FJ10" i="6"/>
  <c r="FL1" i="6"/>
  <c r="FK3" i="6"/>
  <c r="FK5" i="6"/>
  <c r="FJ3" i="6"/>
  <c r="FJ4" i="6"/>
  <c r="FG6" i="6"/>
  <c r="FF7" i="6"/>
  <c r="FK4" i="6"/>
  <c r="FM1" i="6"/>
  <c r="FL9" i="6"/>
  <c r="FL3" i="6"/>
  <c r="FL5" i="6"/>
  <c r="FK9" i="6"/>
  <c r="FK10" i="6"/>
  <c r="FL10" i="6"/>
  <c r="FH6" i="6"/>
  <c r="FG7" i="6"/>
  <c r="FI6" i="6"/>
  <c r="FH7" i="6"/>
  <c r="FN1" i="6"/>
  <c r="FM3" i="6"/>
  <c r="FL4" i="6"/>
  <c r="FM5" i="6"/>
  <c r="FJ6" i="6"/>
  <c r="FI7" i="6"/>
  <c r="FM4" i="6"/>
  <c r="FO1" i="6"/>
  <c r="FM9" i="6"/>
  <c r="FM10" i="6"/>
  <c r="FP1" i="6"/>
  <c r="FO9" i="6"/>
  <c r="FN5" i="6"/>
  <c r="FN9" i="6"/>
  <c r="FN10" i="6"/>
  <c r="FN3" i="6"/>
  <c r="FN4" i="6"/>
  <c r="FK6" i="6"/>
  <c r="FJ7" i="6"/>
  <c r="FO10" i="6"/>
  <c r="FL6" i="6"/>
  <c r="FK7" i="6"/>
  <c r="FO5" i="6"/>
  <c r="FO3" i="6"/>
  <c r="FO4" i="6"/>
  <c r="FQ1" i="6"/>
  <c r="FP9" i="6"/>
  <c r="FP10" i="6"/>
  <c r="FP3" i="6"/>
  <c r="FP5" i="6"/>
  <c r="FP4" i="6"/>
  <c r="FR1" i="6"/>
  <c r="FQ5" i="6"/>
  <c r="FM6" i="6"/>
  <c r="FL7" i="6"/>
  <c r="FN6" i="6"/>
  <c r="FM7" i="6"/>
  <c r="FS1" i="6"/>
  <c r="FR9" i="6"/>
  <c r="FR3" i="6"/>
  <c r="FR5" i="6"/>
  <c r="FQ9" i="6"/>
  <c r="FQ10" i="6"/>
  <c r="FR10" i="6"/>
  <c r="FQ3" i="6"/>
  <c r="FQ4" i="6"/>
  <c r="FR4" i="6"/>
  <c r="FT1" i="6"/>
  <c r="FS3" i="6"/>
  <c r="FO6" i="6"/>
  <c r="FN7" i="6"/>
  <c r="FU1" i="6"/>
  <c r="FT3" i="6"/>
  <c r="FS9" i="6"/>
  <c r="FS10" i="6"/>
  <c r="FS4" i="6"/>
  <c r="FP6" i="6"/>
  <c r="FO7" i="6"/>
  <c r="FS5" i="6"/>
  <c r="FQ6" i="6"/>
  <c r="FP7" i="6"/>
  <c r="FT4" i="6"/>
  <c r="FT9" i="6"/>
  <c r="FT10" i="6"/>
  <c r="FT5" i="6"/>
  <c r="FU9" i="6"/>
  <c r="FU3" i="6"/>
  <c r="FV1" i="6"/>
  <c r="FU5" i="6"/>
  <c r="FU10" i="6"/>
  <c r="FU4" i="6"/>
  <c r="FR6" i="6"/>
  <c r="FQ7" i="6"/>
  <c r="FW1" i="6"/>
  <c r="FV9" i="6"/>
  <c r="FV10" i="6"/>
  <c r="FV3" i="6"/>
  <c r="FV5" i="6"/>
  <c r="FW9" i="6"/>
  <c r="FW10" i="6"/>
  <c r="FX1" i="6"/>
  <c r="FS6" i="6"/>
  <c r="FR7" i="6"/>
  <c r="FV4" i="6"/>
  <c r="FT6" i="6"/>
  <c r="FS7" i="6"/>
  <c r="FY1" i="6"/>
  <c r="FX3" i="6"/>
  <c r="FX9" i="6"/>
  <c r="FX10" i="6"/>
  <c r="FX5" i="6"/>
  <c r="FW5" i="6"/>
  <c r="FW3" i="6"/>
  <c r="FW4" i="6"/>
  <c r="FX4" i="6"/>
  <c r="FZ1" i="6"/>
  <c r="FY3" i="6"/>
  <c r="FY9" i="6"/>
  <c r="FY10" i="6"/>
  <c r="FY5" i="6"/>
  <c r="FU6" i="6"/>
  <c r="FT7" i="6"/>
  <c r="FY4" i="6"/>
  <c r="FV6" i="6"/>
  <c r="FU7" i="6"/>
  <c r="GA1" i="6"/>
  <c r="FZ3" i="6"/>
  <c r="FZ9" i="6"/>
  <c r="FZ10" i="6"/>
  <c r="FZ5" i="6"/>
  <c r="GB1" i="6"/>
  <c r="GA5" i="6"/>
  <c r="FW6" i="6"/>
  <c r="FV7" i="6"/>
  <c r="FZ4" i="6"/>
  <c r="FX6" i="6"/>
  <c r="FW7" i="6"/>
  <c r="GC1" i="6"/>
  <c r="GA9" i="6"/>
  <c r="GA10" i="6"/>
  <c r="GA3" i="6"/>
  <c r="GA4" i="6"/>
  <c r="FY6" i="6"/>
  <c r="FX7" i="6"/>
  <c r="GD1" i="6"/>
  <c r="GC5" i="6"/>
  <c r="GB5" i="6"/>
  <c r="GB9" i="6"/>
  <c r="GB10" i="6"/>
  <c r="GB3" i="6"/>
  <c r="GB4" i="6"/>
  <c r="GE1" i="6"/>
  <c r="GD3" i="6"/>
  <c r="GD5" i="6"/>
  <c r="GC9" i="6"/>
  <c r="GC10" i="6"/>
  <c r="GC3" i="6"/>
  <c r="GC4" i="6"/>
  <c r="FZ6" i="6"/>
  <c r="FY7" i="6"/>
  <c r="GA6" i="6"/>
  <c r="FZ7" i="6"/>
  <c r="GF1" i="6"/>
  <c r="GD9" i="6"/>
  <c r="GD10" i="6"/>
  <c r="GD4" i="6"/>
  <c r="GG1" i="6"/>
  <c r="GF3" i="6"/>
  <c r="GF9" i="6"/>
  <c r="GF5" i="6"/>
  <c r="GE9" i="6"/>
  <c r="GE10" i="6"/>
  <c r="GF10" i="6"/>
  <c r="GE5" i="6"/>
  <c r="GE3" i="6"/>
  <c r="GE4" i="6"/>
  <c r="GB6" i="6"/>
  <c r="GA7" i="6"/>
  <c r="GF4" i="6"/>
  <c r="GC6" i="6"/>
  <c r="GB7" i="6"/>
  <c r="GH1" i="6"/>
  <c r="GG9" i="6"/>
  <c r="GG10" i="6"/>
  <c r="GG3" i="6"/>
  <c r="GG5" i="6"/>
  <c r="GI1" i="6"/>
  <c r="GH5" i="6"/>
  <c r="GD6" i="6"/>
  <c r="GC7" i="6"/>
  <c r="GG4" i="6"/>
  <c r="GE6" i="6"/>
  <c r="GD7" i="6"/>
  <c r="GJ1" i="6"/>
  <c r="GI3" i="6"/>
  <c r="GI5" i="6"/>
  <c r="GH3" i="6"/>
  <c r="GH4" i="6"/>
  <c r="GH9" i="6"/>
  <c r="GH10" i="6"/>
  <c r="GI4" i="6"/>
  <c r="GK1" i="6"/>
  <c r="GJ3" i="6"/>
  <c r="GJ9" i="6"/>
  <c r="GJ5" i="6"/>
  <c r="GI9" i="6"/>
  <c r="GI10" i="6"/>
  <c r="GF6" i="6"/>
  <c r="GE7" i="6"/>
  <c r="GJ10" i="6"/>
  <c r="GJ4" i="6"/>
  <c r="GG6" i="6"/>
  <c r="GF7" i="6"/>
  <c r="GL1" i="6"/>
  <c r="GK9" i="6"/>
  <c r="GK10" i="6"/>
  <c r="GK5" i="6"/>
  <c r="GM1" i="6"/>
  <c r="GL5" i="6"/>
  <c r="GK3" i="6"/>
  <c r="GK4" i="6"/>
  <c r="GH6" i="6"/>
  <c r="GG7" i="6"/>
  <c r="GI6" i="6"/>
  <c r="GH7" i="6"/>
  <c r="GN1" i="6"/>
  <c r="GM9" i="6"/>
  <c r="GM5" i="6"/>
  <c r="GL3" i="6"/>
  <c r="GL4" i="6"/>
  <c r="GL9" i="6"/>
  <c r="GL10" i="6"/>
  <c r="GM10" i="6"/>
  <c r="GO1" i="6"/>
  <c r="GN9" i="6"/>
  <c r="GN10" i="6"/>
  <c r="GN3" i="6"/>
  <c r="GN5" i="6"/>
  <c r="GM3" i="6"/>
  <c r="GM4" i="6"/>
  <c r="GJ6" i="6"/>
  <c r="GI7" i="6"/>
  <c r="GN4" i="6"/>
  <c r="GK6" i="6"/>
  <c r="GJ7" i="6"/>
  <c r="GP1" i="6"/>
  <c r="GO5" i="6"/>
  <c r="GQ1" i="6"/>
  <c r="GP3" i="6"/>
  <c r="GO3" i="6"/>
  <c r="GO4" i="6"/>
  <c r="GO9" i="6"/>
  <c r="GO10" i="6"/>
  <c r="GL6" i="6"/>
  <c r="GK7" i="6"/>
  <c r="GP4" i="6"/>
  <c r="GM6" i="6"/>
  <c r="GL7" i="6"/>
  <c r="GR1" i="6"/>
  <c r="GQ9" i="6"/>
  <c r="GQ5" i="6"/>
  <c r="GP5" i="6"/>
  <c r="GP9" i="6"/>
  <c r="GP10" i="6"/>
  <c r="GQ10" i="6"/>
  <c r="GS1" i="6"/>
  <c r="GR3" i="6"/>
  <c r="GR9" i="6"/>
  <c r="GR10" i="6"/>
  <c r="GQ3" i="6"/>
  <c r="GQ4" i="6"/>
  <c r="GN6" i="6"/>
  <c r="GM7" i="6"/>
  <c r="GR4" i="6"/>
  <c r="GT1" i="6"/>
  <c r="GO6" i="6"/>
  <c r="GN7" i="6"/>
  <c r="GR5" i="6"/>
  <c r="GP6" i="6"/>
  <c r="GO7" i="6"/>
  <c r="GU1" i="6"/>
  <c r="GT9" i="6"/>
  <c r="GS5" i="6"/>
  <c r="GS3" i="6"/>
  <c r="GS4" i="6"/>
  <c r="GS9" i="6"/>
  <c r="GS10" i="6"/>
  <c r="GT10" i="6"/>
  <c r="GV1" i="6"/>
  <c r="GU5" i="6"/>
  <c r="GT5" i="6"/>
  <c r="GT3" i="6"/>
  <c r="GT4" i="6"/>
  <c r="GQ6" i="6"/>
  <c r="GP7" i="6"/>
  <c r="GR6" i="6"/>
  <c r="GQ7" i="6"/>
  <c r="GW1" i="6"/>
  <c r="GV3" i="6"/>
  <c r="GV5" i="6"/>
  <c r="GV9" i="6"/>
  <c r="GU3" i="6"/>
  <c r="GU4" i="6"/>
  <c r="GU9" i="6"/>
  <c r="GU10" i="6"/>
  <c r="GV10" i="6"/>
  <c r="GV4" i="6"/>
  <c r="GX1" i="6"/>
  <c r="GW9" i="6"/>
  <c r="GW10" i="6"/>
  <c r="GW5" i="6"/>
  <c r="GS6" i="6"/>
  <c r="GR7" i="6"/>
  <c r="GT6" i="6"/>
  <c r="GS7" i="6"/>
  <c r="GY1" i="6"/>
  <c r="GX3" i="6"/>
  <c r="GX9" i="6"/>
  <c r="GX10" i="6"/>
  <c r="GX5" i="6"/>
  <c r="GW3" i="6"/>
  <c r="GW4" i="6"/>
  <c r="GX4" i="6"/>
  <c r="GZ1" i="6"/>
  <c r="GU6" i="6"/>
  <c r="GT7" i="6"/>
  <c r="GV6" i="6"/>
  <c r="GU7" i="6"/>
  <c r="HA1" i="6"/>
  <c r="GZ3" i="6"/>
  <c r="GZ9" i="6"/>
  <c r="GZ5" i="6"/>
  <c r="GY5" i="6"/>
  <c r="GY9" i="6"/>
  <c r="GY10" i="6"/>
  <c r="GY3" i="6"/>
  <c r="GY4" i="6"/>
  <c r="GZ10" i="6"/>
  <c r="GZ4" i="6"/>
  <c r="GW6" i="6"/>
  <c r="GV7" i="6"/>
  <c r="HB1" i="6"/>
  <c r="HA5" i="6"/>
  <c r="HC1" i="6"/>
  <c r="HB3" i="6"/>
  <c r="HB9" i="6"/>
  <c r="HB5" i="6"/>
  <c r="HA3" i="6"/>
  <c r="HA4" i="6"/>
  <c r="HA9" i="6"/>
  <c r="HA10" i="6"/>
  <c r="GX6" i="6"/>
  <c r="GW7" i="6"/>
  <c r="HB10" i="6"/>
  <c r="HB4" i="6"/>
  <c r="GY6" i="6"/>
  <c r="GX7" i="6"/>
  <c r="HD1" i="6"/>
  <c r="HC5" i="6"/>
  <c r="HE1" i="6"/>
  <c r="HD3" i="6"/>
  <c r="HC9" i="6"/>
  <c r="HC10" i="6"/>
  <c r="HC3" i="6"/>
  <c r="HC4" i="6"/>
  <c r="GZ6" i="6"/>
  <c r="GY7" i="6"/>
  <c r="HD4" i="6"/>
  <c r="HD9" i="6"/>
  <c r="HD10" i="6"/>
  <c r="HD5" i="6"/>
  <c r="HF1" i="6"/>
  <c r="HA6" i="6"/>
  <c r="GZ7" i="6"/>
  <c r="HF9" i="6"/>
  <c r="HF3" i="6"/>
  <c r="HG1" i="6"/>
  <c r="HE5" i="6"/>
  <c r="HE9" i="6"/>
  <c r="HE10" i="6"/>
  <c r="HE3" i="6"/>
  <c r="HE4" i="6"/>
  <c r="HB6" i="6"/>
  <c r="HA7" i="6"/>
  <c r="HF10" i="6"/>
  <c r="HF4" i="6"/>
  <c r="HC6" i="6"/>
  <c r="HB7" i="6"/>
  <c r="HH1" i="6"/>
  <c r="HG5" i="6"/>
  <c r="HG3" i="6"/>
  <c r="HG9" i="6"/>
  <c r="HF5" i="6"/>
  <c r="HG10" i="6"/>
  <c r="HI1" i="6"/>
  <c r="HH3" i="6"/>
  <c r="HH9" i="6"/>
  <c r="HH10" i="6"/>
  <c r="HH5" i="6"/>
  <c r="HD6" i="6"/>
  <c r="HC7" i="6"/>
  <c r="HG4" i="6"/>
  <c r="HH4" i="6"/>
  <c r="HE6" i="6"/>
  <c r="HD7" i="6"/>
  <c r="HJ1" i="6"/>
  <c r="HI9" i="6"/>
  <c r="HI10" i="6"/>
  <c r="HI5" i="6"/>
  <c r="HI3" i="6"/>
  <c r="HK1" i="6"/>
  <c r="HJ3" i="6"/>
  <c r="HJ5" i="6"/>
  <c r="HF6" i="6"/>
  <c r="HE7" i="6"/>
  <c r="HI4" i="6"/>
  <c r="HJ4" i="6"/>
  <c r="HG6" i="6"/>
  <c r="HF7" i="6"/>
  <c r="HL1" i="6"/>
  <c r="HK9" i="6"/>
  <c r="HK5" i="6"/>
  <c r="HJ9" i="6"/>
  <c r="HJ10" i="6"/>
  <c r="HK10" i="6"/>
  <c r="HM1" i="6"/>
  <c r="HL3" i="6"/>
  <c r="HL5" i="6"/>
  <c r="HL9" i="6"/>
  <c r="HL10" i="6"/>
  <c r="HK3" i="6"/>
  <c r="HK4" i="6"/>
  <c r="HH6" i="6"/>
  <c r="HG7" i="6"/>
  <c r="HL4" i="6"/>
  <c r="HI6" i="6"/>
  <c r="HH7" i="6"/>
  <c r="HN1" i="6"/>
  <c r="HN9" i="6"/>
  <c r="HO1" i="6"/>
  <c r="HN5" i="6"/>
  <c r="HM5" i="6"/>
  <c r="HM9" i="6"/>
  <c r="HM10" i="6"/>
  <c r="HM3" i="6"/>
  <c r="HM4" i="6"/>
  <c r="HJ6" i="6"/>
  <c r="HI7" i="6"/>
  <c r="HK6" i="6"/>
  <c r="HJ7" i="6"/>
  <c r="HN10" i="6"/>
  <c r="HP1" i="6"/>
  <c r="HO5" i="6"/>
  <c r="HN3" i="6"/>
  <c r="HN4" i="6"/>
  <c r="HL6" i="6"/>
  <c r="HK7" i="6"/>
  <c r="HQ1" i="6"/>
  <c r="HP5" i="6"/>
  <c r="HO9" i="6"/>
  <c r="HO10" i="6"/>
  <c r="HO3" i="6"/>
  <c r="HO4" i="6"/>
  <c r="HQ3" i="6"/>
  <c r="HR1" i="6"/>
  <c r="HP9" i="6"/>
  <c r="HP10" i="6"/>
  <c r="HP3" i="6"/>
  <c r="HP4" i="6"/>
  <c r="HM6" i="6"/>
  <c r="HL7" i="6"/>
  <c r="HQ4" i="6"/>
  <c r="HN6" i="6"/>
  <c r="HM7" i="6"/>
  <c r="HS1" i="6"/>
  <c r="HR9" i="6"/>
  <c r="HR5" i="6"/>
  <c r="HQ5" i="6"/>
  <c r="HQ9" i="6"/>
  <c r="HQ10" i="6"/>
  <c r="HR10" i="6"/>
  <c r="HO6" i="6"/>
  <c r="HN7" i="6"/>
  <c r="HS9" i="6"/>
  <c r="HT1" i="6"/>
  <c r="HS5" i="6"/>
  <c r="HR3" i="6"/>
  <c r="HR4" i="6"/>
  <c r="HS10" i="6"/>
  <c r="HU1" i="6"/>
  <c r="HT5" i="6"/>
  <c r="HT9" i="6"/>
  <c r="HT10" i="6"/>
  <c r="HT3" i="6"/>
  <c r="HS3" i="6"/>
  <c r="HS4" i="6"/>
  <c r="HP6" i="6"/>
  <c r="HO7" i="6"/>
  <c r="HT4" i="6"/>
  <c r="HQ6" i="6"/>
  <c r="HP7" i="6"/>
  <c r="HV1" i="6"/>
  <c r="HU3" i="6"/>
  <c r="HU5" i="6"/>
  <c r="HU9" i="6"/>
  <c r="HU10" i="6"/>
  <c r="HW1" i="6"/>
  <c r="HV9" i="6"/>
  <c r="HV10" i="6"/>
  <c r="HV5" i="6"/>
  <c r="HV3" i="6"/>
  <c r="HR6" i="6"/>
  <c r="HQ7" i="6"/>
  <c r="HU4" i="6"/>
  <c r="HV4" i="6"/>
  <c r="HS6" i="6"/>
  <c r="HR7" i="6"/>
  <c r="HW9" i="6"/>
  <c r="HW10" i="6"/>
  <c r="HX1" i="6"/>
  <c r="HW3" i="6"/>
  <c r="HW5" i="6"/>
  <c r="HY1" i="6"/>
  <c r="HX3" i="6"/>
  <c r="HT6" i="6"/>
  <c r="HS7" i="6"/>
  <c r="HW4" i="6"/>
  <c r="HX5" i="6"/>
  <c r="HX9" i="6"/>
  <c r="HX10" i="6"/>
  <c r="HX4" i="6"/>
  <c r="HU6" i="6"/>
  <c r="HT7" i="6"/>
  <c r="HZ1" i="6"/>
  <c r="IA1" i="6"/>
  <c r="HY9" i="6"/>
  <c r="HY10" i="6"/>
  <c r="HV6" i="6"/>
  <c r="HU7" i="6"/>
  <c r="HY5" i="6"/>
  <c r="HY3" i="6"/>
  <c r="HY4" i="6"/>
  <c r="IA9" i="6"/>
  <c r="IB1" i="6"/>
  <c r="IA5" i="6"/>
  <c r="HW6" i="6"/>
  <c r="HV7" i="6"/>
  <c r="HZ3" i="6"/>
  <c r="HZ4" i="6"/>
  <c r="HZ5" i="6"/>
  <c r="HZ9" i="6"/>
  <c r="HZ10" i="6"/>
  <c r="IA10" i="6"/>
  <c r="IC1" i="6"/>
  <c r="IB3" i="6"/>
  <c r="IB5" i="6"/>
  <c r="IB9" i="6"/>
  <c r="IB10" i="6"/>
  <c r="HX6" i="6"/>
  <c r="HW7" i="6"/>
  <c r="IA3" i="6"/>
  <c r="IA4" i="6"/>
  <c r="IB4" i="6"/>
  <c r="HY6" i="6"/>
  <c r="HX7" i="6"/>
  <c r="ID1" i="6"/>
  <c r="IC5" i="6"/>
  <c r="IE1" i="6"/>
  <c r="ID5" i="6"/>
  <c r="IC3" i="6"/>
  <c r="IC4" i="6"/>
  <c r="IC9" i="6"/>
  <c r="IC10" i="6"/>
  <c r="HZ6" i="6"/>
  <c r="HY7" i="6"/>
  <c r="ID3" i="6"/>
  <c r="ID4" i="6"/>
  <c r="IA6" i="6"/>
  <c r="HZ7" i="6"/>
  <c r="ID9" i="6"/>
  <c r="ID10" i="6"/>
  <c r="IF1" i="6"/>
  <c r="IE5" i="6"/>
  <c r="IE9" i="6"/>
  <c r="IE10" i="6"/>
  <c r="IE3" i="6"/>
  <c r="IE4" i="6"/>
  <c r="IB6" i="6"/>
  <c r="IA7" i="6"/>
  <c r="IG1" i="6"/>
  <c r="IF9" i="6"/>
  <c r="IF10" i="6"/>
  <c r="IH1" i="6"/>
  <c r="IG3" i="6"/>
  <c r="IC6" i="6"/>
  <c r="IB7" i="6"/>
  <c r="IF5" i="6"/>
  <c r="IF3" i="6"/>
  <c r="IF4" i="6"/>
  <c r="IG4" i="6"/>
  <c r="ID6" i="6"/>
  <c r="IC7" i="6"/>
  <c r="II1" i="6"/>
  <c r="IH9" i="6"/>
  <c r="IH3" i="6"/>
  <c r="IH5" i="6"/>
  <c r="IG5" i="6"/>
  <c r="IG9" i="6"/>
  <c r="IG10" i="6"/>
  <c r="IH10" i="6"/>
  <c r="IJ1" i="6"/>
  <c r="IE6" i="6"/>
  <c r="ID7" i="6"/>
  <c r="IH4" i="6"/>
  <c r="IK1" i="6"/>
  <c r="IJ3" i="6"/>
  <c r="IJ5" i="6"/>
  <c r="IJ9" i="6"/>
  <c r="IF6" i="6"/>
  <c r="IE7" i="6"/>
  <c r="II5" i="6"/>
  <c r="II9" i="6"/>
  <c r="II10" i="6"/>
  <c r="II3" i="6"/>
  <c r="II4" i="6"/>
  <c r="IJ10" i="6"/>
  <c r="IJ4" i="6"/>
  <c r="IG6" i="6"/>
  <c r="IF7" i="6"/>
  <c r="IL1" i="6"/>
  <c r="IM1" i="6"/>
  <c r="IL9" i="6"/>
  <c r="IL3" i="6"/>
  <c r="IL5" i="6"/>
  <c r="IK3" i="6"/>
  <c r="IK4" i="6"/>
  <c r="IH6" i="6"/>
  <c r="IG7" i="6"/>
  <c r="IK5" i="6"/>
  <c r="IK9" i="6"/>
  <c r="IK10" i="6"/>
  <c r="IL10" i="6"/>
  <c r="IL4" i="6"/>
  <c r="II6" i="6"/>
  <c r="IH7" i="6"/>
  <c r="IN1" i="6"/>
  <c r="IM5" i="6"/>
  <c r="IO1" i="6"/>
  <c r="IM9" i="6"/>
  <c r="IM10" i="6"/>
  <c r="IM3" i="6"/>
  <c r="IM4" i="6"/>
  <c r="IJ6" i="6"/>
  <c r="II7" i="6"/>
  <c r="IK6" i="6"/>
  <c r="IJ7" i="6"/>
  <c r="IP1" i="6"/>
  <c r="IO3" i="6"/>
  <c r="IO5" i="6"/>
  <c r="IN5" i="6"/>
  <c r="IN9" i="6"/>
  <c r="IN10" i="6"/>
  <c r="IN3" i="6"/>
  <c r="IN4" i="6"/>
  <c r="IO4" i="6"/>
  <c r="IQ1" i="6"/>
  <c r="IP5" i="6"/>
  <c r="IP3" i="6"/>
  <c r="IO9" i="6"/>
  <c r="IO10" i="6"/>
  <c r="IL6" i="6"/>
  <c r="IK7" i="6"/>
  <c r="IM6" i="6"/>
  <c r="IL7" i="6"/>
  <c r="IR1" i="6"/>
  <c r="IQ9" i="6"/>
  <c r="IQ5" i="6"/>
  <c r="IQ3" i="6"/>
  <c r="IP9" i="6"/>
  <c r="IP10" i="6"/>
  <c r="IQ10" i="6"/>
  <c r="IP4" i="6"/>
  <c r="IQ4" i="6"/>
  <c r="IS1" i="6"/>
  <c r="IR3" i="6"/>
  <c r="IR5" i="6"/>
  <c r="IR9" i="6"/>
  <c r="IR10" i="6"/>
  <c r="IN6" i="6"/>
  <c r="IM7" i="6"/>
  <c r="IO6" i="6"/>
  <c r="IN7" i="6"/>
  <c r="IT1" i="6"/>
  <c r="IS3" i="6"/>
  <c r="IS9" i="6"/>
  <c r="IS10" i="6"/>
  <c r="IS5" i="6"/>
  <c r="IR4" i="6"/>
  <c r="IS4" i="6"/>
  <c r="IU1" i="6"/>
  <c r="IT3" i="6"/>
  <c r="IP6" i="6"/>
  <c r="IO7" i="6"/>
  <c r="IT5" i="6"/>
  <c r="IQ6" i="6"/>
  <c r="IP7" i="6"/>
  <c r="IV1" i="6"/>
  <c r="IU9" i="6"/>
  <c r="IU5" i="6"/>
  <c r="IT9" i="6"/>
  <c r="IT10" i="6"/>
  <c r="IT4" i="6"/>
  <c r="IU10" i="6"/>
  <c r="IW1" i="6"/>
  <c r="IV9" i="6"/>
  <c r="IV10" i="6"/>
  <c r="IV3" i="6"/>
  <c r="IU3" i="6"/>
  <c r="IU4" i="6"/>
  <c r="IR6" i="6"/>
  <c r="IQ7" i="6"/>
  <c r="IV4" i="6"/>
  <c r="IS6" i="6"/>
  <c r="IR7" i="6"/>
  <c r="IV5" i="6"/>
  <c r="IX1" i="6"/>
  <c r="IW3" i="6"/>
  <c r="IW9" i="6"/>
  <c r="IW10" i="6"/>
  <c r="IW5" i="6"/>
  <c r="IT6" i="6"/>
  <c r="IS7" i="6"/>
  <c r="IY1" i="6"/>
  <c r="IW4" i="6"/>
  <c r="IY9" i="6"/>
  <c r="IZ1" i="6"/>
  <c r="IY5" i="6"/>
  <c r="IY3" i="6"/>
  <c r="IX5" i="6"/>
  <c r="IX9" i="6"/>
  <c r="IX10" i="6"/>
  <c r="IX3" i="6"/>
  <c r="IX4" i="6"/>
  <c r="IU6" i="6"/>
  <c r="IT7" i="6"/>
  <c r="IY4" i="6"/>
  <c r="IV6" i="6"/>
  <c r="IU7" i="6"/>
  <c r="IY10" i="6"/>
  <c r="JA1" i="6"/>
  <c r="IZ5" i="6"/>
  <c r="IZ9" i="6"/>
  <c r="IZ3" i="6"/>
  <c r="IZ4" i="6"/>
  <c r="IW6" i="6"/>
  <c r="IV7" i="6"/>
  <c r="JB1" i="6"/>
  <c r="IZ10" i="6"/>
  <c r="JC1" i="6"/>
  <c r="JB5" i="6"/>
  <c r="JB3" i="6"/>
  <c r="JA5" i="6"/>
  <c r="JA3" i="6"/>
  <c r="JA4" i="6"/>
  <c r="JA9" i="6"/>
  <c r="JA10" i="6"/>
  <c r="IX6" i="6"/>
  <c r="IW7" i="6"/>
  <c r="JB4" i="6"/>
  <c r="IY6" i="6"/>
  <c r="IX7" i="6"/>
  <c r="JD1" i="6"/>
  <c r="JC5" i="6"/>
  <c r="JC9" i="6"/>
  <c r="JB9" i="6"/>
  <c r="JB10" i="6"/>
  <c r="JC10" i="6"/>
  <c r="JE1" i="6"/>
  <c r="JC3" i="6"/>
  <c r="JC4" i="6"/>
  <c r="IZ6" i="6"/>
  <c r="IY7" i="6"/>
  <c r="JF1" i="6"/>
  <c r="JE5" i="6"/>
  <c r="JA6" i="6"/>
  <c r="IZ7" i="6"/>
  <c r="JD9" i="6"/>
  <c r="JD10" i="6"/>
  <c r="JD5" i="6"/>
  <c r="JD3" i="6"/>
  <c r="JD4" i="6"/>
  <c r="JB6" i="6"/>
  <c r="JA7" i="6"/>
  <c r="JG1" i="6"/>
  <c r="JF5" i="6"/>
  <c r="JE9" i="6"/>
  <c r="JE10" i="6"/>
  <c r="JE3" i="6"/>
  <c r="JE4" i="6"/>
  <c r="JH1" i="6"/>
  <c r="JG9" i="6"/>
  <c r="JF3" i="6"/>
  <c r="JF4" i="6"/>
  <c r="JF9" i="6"/>
  <c r="JF10" i="6"/>
  <c r="JG10" i="6"/>
  <c r="JC6" i="6"/>
  <c r="JB7" i="6"/>
  <c r="JI1" i="6"/>
  <c r="JH3" i="6"/>
  <c r="JH9" i="6"/>
  <c r="JH10" i="6"/>
  <c r="JH5" i="6"/>
  <c r="JG5" i="6"/>
  <c r="JG3" i="6"/>
  <c r="JG4" i="6"/>
  <c r="JD6" i="6"/>
  <c r="JC7" i="6"/>
  <c r="JH4" i="6"/>
  <c r="JE6" i="6"/>
  <c r="JD7" i="6"/>
  <c r="JJ1" i="6"/>
  <c r="JI5" i="6"/>
  <c r="JI3" i="6"/>
  <c r="JK1" i="6"/>
  <c r="JJ3" i="6"/>
  <c r="JI9" i="6"/>
  <c r="JI10" i="6"/>
  <c r="JF6" i="6"/>
  <c r="JE7" i="6"/>
  <c r="JI4" i="6"/>
  <c r="JJ4" i="6"/>
  <c r="JG6" i="6"/>
  <c r="JF7" i="6"/>
  <c r="JL1" i="6"/>
  <c r="JK5" i="6"/>
  <c r="JJ9" i="6"/>
  <c r="JJ10" i="6"/>
  <c r="JJ5" i="6"/>
  <c r="JM1" i="6"/>
  <c r="JL3" i="6"/>
  <c r="JL9" i="6"/>
  <c r="JL5" i="6"/>
  <c r="JK3" i="6"/>
  <c r="JK4" i="6"/>
  <c r="JK9" i="6"/>
  <c r="JK10" i="6"/>
  <c r="JH6" i="6"/>
  <c r="JG7" i="6"/>
  <c r="JL10" i="6"/>
  <c r="JL4" i="6"/>
  <c r="JI6" i="6"/>
  <c r="JH7" i="6"/>
  <c r="JN1" i="6"/>
  <c r="JN3" i="6"/>
  <c r="JO1" i="6"/>
  <c r="JN9" i="6"/>
  <c r="JN5" i="6"/>
  <c r="JM5" i="6"/>
  <c r="JM9" i="6"/>
  <c r="JM10" i="6"/>
  <c r="JM3" i="6"/>
  <c r="JM4" i="6"/>
  <c r="JJ6" i="6"/>
  <c r="JI7" i="6"/>
  <c r="JN4" i="6"/>
  <c r="JK6" i="6"/>
  <c r="JJ7" i="6"/>
  <c r="JP1" i="6"/>
  <c r="JN10" i="6"/>
  <c r="JL6" i="6"/>
  <c r="JK7" i="6"/>
  <c r="JO3" i="6"/>
  <c r="JO4" i="6"/>
  <c r="JQ1" i="6"/>
  <c r="JP3" i="6"/>
  <c r="JO5" i="6"/>
  <c r="JO9" i="6"/>
  <c r="JO10" i="6"/>
  <c r="JP4" i="6"/>
  <c r="JP5" i="6"/>
  <c r="JR1" i="6"/>
  <c r="JQ3" i="6"/>
  <c r="JQ5" i="6"/>
  <c r="JQ9" i="6"/>
  <c r="JP9" i="6"/>
  <c r="JP10" i="6"/>
  <c r="JM6" i="6"/>
  <c r="JL7" i="6"/>
  <c r="JQ10" i="6"/>
  <c r="JS1" i="6"/>
  <c r="JR3" i="6"/>
  <c r="JN6" i="6"/>
  <c r="JM7" i="6"/>
  <c r="JQ4" i="6"/>
  <c r="JR4" i="6"/>
  <c r="JO6" i="6"/>
  <c r="JN7" i="6"/>
  <c r="JR9" i="6"/>
  <c r="JR10" i="6"/>
  <c r="JR5" i="6"/>
  <c r="JT1" i="6"/>
  <c r="JS5" i="6"/>
  <c r="JS9" i="6"/>
  <c r="JU1" i="6"/>
  <c r="JS3" i="6"/>
  <c r="JS4" i="6"/>
  <c r="JS10" i="6"/>
  <c r="JP6" i="6"/>
  <c r="JO7" i="6"/>
  <c r="JQ6" i="6"/>
  <c r="JP7" i="6"/>
  <c r="JV1" i="6"/>
  <c r="JU5" i="6"/>
  <c r="JT5" i="6"/>
  <c r="JT9" i="6"/>
  <c r="JT10" i="6"/>
  <c r="JT3" i="6"/>
  <c r="JT4" i="6"/>
  <c r="JW1" i="6"/>
  <c r="JU9" i="6"/>
  <c r="JU10" i="6"/>
  <c r="JU3" i="6"/>
  <c r="JU4" i="6"/>
  <c r="JR6" i="6"/>
  <c r="JQ7" i="6"/>
  <c r="JX1" i="6"/>
  <c r="JW9" i="6"/>
  <c r="JV5" i="6"/>
  <c r="JV9" i="6"/>
  <c r="JV10" i="6"/>
  <c r="JW10" i="6"/>
  <c r="JV3" i="6"/>
  <c r="JV4" i="6"/>
  <c r="JS6" i="6"/>
  <c r="JR7" i="6"/>
  <c r="JY1" i="6"/>
  <c r="JX5" i="6"/>
  <c r="JX9" i="6"/>
  <c r="JX10" i="6"/>
  <c r="JX3" i="6"/>
  <c r="JT6" i="6"/>
  <c r="JS7" i="6"/>
  <c r="JW3" i="6"/>
  <c r="JW4" i="6"/>
  <c r="JW5" i="6"/>
  <c r="JX4" i="6"/>
  <c r="JU6" i="6"/>
  <c r="JT7" i="6"/>
  <c r="JZ1" i="6"/>
  <c r="JY5" i="6"/>
  <c r="JY9" i="6"/>
  <c r="JY10" i="6"/>
  <c r="KA1" i="6"/>
  <c r="JZ3" i="6"/>
  <c r="JY3" i="6"/>
  <c r="JY4" i="6"/>
  <c r="JV6" i="6"/>
  <c r="JU7" i="6"/>
  <c r="JZ4" i="6"/>
  <c r="JW6" i="6"/>
  <c r="JV7" i="6"/>
  <c r="KB1" i="6"/>
  <c r="KA3" i="6"/>
  <c r="KA9" i="6"/>
  <c r="KA5" i="6"/>
  <c r="JZ5" i="6"/>
  <c r="JZ9" i="6"/>
  <c r="JZ10" i="6"/>
  <c r="KA10" i="6"/>
  <c r="JX6" i="6"/>
  <c r="JW7" i="6"/>
  <c r="KC1" i="6"/>
  <c r="KA4" i="6"/>
  <c r="KD1" i="6"/>
  <c r="KC5" i="6"/>
  <c r="JY6" i="6"/>
  <c r="JX7" i="6"/>
  <c r="KB5" i="6"/>
  <c r="KB9" i="6"/>
  <c r="KB10" i="6"/>
  <c r="KB3" i="6"/>
  <c r="KB4" i="6"/>
  <c r="JZ6" i="6"/>
  <c r="JY7" i="6"/>
  <c r="KE1" i="6"/>
  <c r="KD9" i="6"/>
  <c r="KD5" i="6"/>
  <c r="KC9" i="6"/>
  <c r="KC10" i="6"/>
  <c r="KC3" i="6"/>
  <c r="KC4" i="6"/>
  <c r="KD10" i="6"/>
  <c r="KF1" i="6"/>
  <c r="KE3" i="6"/>
  <c r="KE9" i="6"/>
  <c r="KE10" i="6"/>
  <c r="KE5" i="6"/>
  <c r="KD3" i="6"/>
  <c r="KD4" i="6"/>
  <c r="KA6" i="6"/>
  <c r="JZ7" i="6"/>
  <c r="KE4" i="6"/>
  <c r="KB6" i="6"/>
  <c r="KA7" i="6"/>
  <c r="KG1" i="6"/>
  <c r="KF5" i="6"/>
  <c r="KF9" i="6"/>
  <c r="KF10" i="6"/>
  <c r="KF3" i="6"/>
  <c r="KH1" i="6"/>
  <c r="KG3" i="6"/>
  <c r="KG5" i="6"/>
  <c r="KG9" i="6"/>
  <c r="KG10" i="6"/>
  <c r="KC6" i="6"/>
  <c r="KB7" i="6"/>
  <c r="KF4" i="6"/>
  <c r="KD6" i="6"/>
  <c r="KC7" i="6"/>
  <c r="KI1" i="6"/>
  <c r="KH9" i="6"/>
  <c r="KH10" i="6"/>
  <c r="KH5" i="6"/>
  <c r="KH3" i="6"/>
  <c r="KG4" i="6"/>
  <c r="KH4" i="6"/>
  <c r="KJ1" i="6"/>
  <c r="KI5" i="6"/>
  <c r="KE6" i="6"/>
  <c r="KD7" i="6"/>
  <c r="KF6" i="6"/>
  <c r="KE7" i="6"/>
  <c r="KK1" i="6"/>
  <c r="KJ3" i="6"/>
  <c r="KI9" i="6"/>
  <c r="KI10" i="6"/>
  <c r="KI3" i="6"/>
  <c r="KI4" i="6"/>
  <c r="KJ4" i="6"/>
  <c r="KL1" i="6"/>
  <c r="KK9" i="6"/>
  <c r="KK5" i="6"/>
  <c r="KK3" i="6"/>
  <c r="KJ5" i="6"/>
  <c r="KJ9" i="6"/>
  <c r="KJ10" i="6"/>
  <c r="KK10" i="6"/>
  <c r="KG6" i="6"/>
  <c r="KF7" i="6"/>
  <c r="KH6" i="6"/>
  <c r="KG7" i="6"/>
  <c r="KM1" i="6"/>
  <c r="KL9" i="6"/>
  <c r="KL10" i="6"/>
  <c r="KL3" i="6"/>
  <c r="KL5" i="6"/>
  <c r="KK4" i="6"/>
  <c r="KN1" i="6"/>
  <c r="KM9" i="6"/>
  <c r="KM10" i="6"/>
  <c r="KM5" i="6"/>
  <c r="KI6" i="6"/>
  <c r="KH7" i="6"/>
  <c r="KL4" i="6"/>
  <c r="KJ6" i="6"/>
  <c r="KI7" i="6"/>
  <c r="KO1" i="6"/>
  <c r="KN3" i="6"/>
  <c r="KN5" i="6"/>
  <c r="KN9" i="6"/>
  <c r="KN10" i="6"/>
  <c r="KM3" i="6"/>
  <c r="KM4" i="6"/>
  <c r="KN4" i="6"/>
  <c r="KP1" i="6"/>
  <c r="KO5" i="6"/>
  <c r="KO9" i="6"/>
  <c r="KO10" i="6"/>
  <c r="KK6" i="6"/>
  <c r="KJ7" i="6"/>
  <c r="KL6" i="6"/>
  <c r="KK7" i="6"/>
  <c r="KQ1" i="6"/>
  <c r="KP5" i="6"/>
  <c r="KO3" i="6"/>
  <c r="KO4" i="6"/>
  <c r="KR1" i="6"/>
  <c r="KQ9" i="6"/>
  <c r="KQ3" i="6"/>
  <c r="KQ5" i="6"/>
  <c r="KP3" i="6"/>
  <c r="KP4" i="6"/>
  <c r="KP9" i="6"/>
  <c r="KP10" i="6"/>
  <c r="KM6" i="6"/>
  <c r="KL7" i="6"/>
  <c r="KQ10" i="6"/>
  <c r="KQ4" i="6"/>
  <c r="KN6" i="6"/>
  <c r="KM7" i="6"/>
  <c r="KS1" i="6"/>
  <c r="KR3" i="6"/>
  <c r="KR5" i="6"/>
  <c r="KR4" i="6"/>
  <c r="KT1" i="6"/>
  <c r="KR9" i="6"/>
  <c r="KR10" i="6"/>
  <c r="KO6" i="6"/>
  <c r="KN7" i="6"/>
  <c r="KP6" i="6"/>
  <c r="KO7" i="6"/>
  <c r="KU1" i="6"/>
  <c r="KT5" i="6"/>
  <c r="KS3" i="6"/>
  <c r="KS4" i="6"/>
  <c r="KS5" i="6"/>
  <c r="KS9" i="6"/>
  <c r="KS10" i="6"/>
  <c r="KQ6" i="6"/>
  <c r="KP7" i="6"/>
  <c r="KV1" i="6"/>
  <c r="KT3" i="6"/>
  <c r="KT4" i="6"/>
  <c r="KT9" i="6"/>
  <c r="KT10" i="6"/>
  <c r="KW1" i="6"/>
  <c r="KV9" i="6"/>
  <c r="KV3" i="6"/>
  <c r="KV5" i="6"/>
  <c r="KU9" i="6"/>
  <c r="KU10" i="6"/>
  <c r="KU5" i="6"/>
  <c r="KU3" i="6"/>
  <c r="KU4" i="6"/>
  <c r="KR6" i="6"/>
  <c r="KQ7" i="6"/>
  <c r="KV10" i="6"/>
  <c r="KV4" i="6"/>
  <c r="KX1" i="6"/>
  <c r="KW9" i="6"/>
  <c r="KW10" i="6"/>
  <c r="KW5" i="6"/>
  <c r="KW3" i="6"/>
  <c r="KS6" i="6"/>
  <c r="KR7" i="6"/>
  <c r="KT6" i="6"/>
  <c r="KS7" i="6"/>
  <c r="KY1" i="6"/>
  <c r="KW4" i="6"/>
  <c r="KZ1" i="6"/>
  <c r="KX5" i="6"/>
  <c r="KX9" i="6"/>
  <c r="KX10" i="6"/>
  <c r="KX3" i="6"/>
  <c r="KX4" i="6"/>
  <c r="KU6" i="6"/>
  <c r="KT7" i="6"/>
  <c r="LA1" i="6"/>
  <c r="KZ3" i="6"/>
  <c r="KZ5" i="6"/>
  <c r="KZ9" i="6"/>
  <c r="KY5" i="6"/>
  <c r="KY9" i="6"/>
  <c r="KY10" i="6"/>
  <c r="KY3" i="6"/>
  <c r="KY4" i="6"/>
  <c r="KV6" i="6"/>
  <c r="KU7" i="6"/>
  <c r="KZ10" i="6"/>
  <c r="KW6" i="6"/>
  <c r="KV7" i="6"/>
  <c r="KZ4" i="6"/>
  <c r="LB1" i="6"/>
  <c r="LA3" i="6"/>
  <c r="LA9" i="6"/>
  <c r="LA10" i="6"/>
  <c r="LC1" i="6"/>
  <c r="LB5" i="6"/>
  <c r="LA5" i="6"/>
  <c r="LA4" i="6"/>
  <c r="KX6" i="6"/>
  <c r="KW7" i="6"/>
  <c r="LD1" i="6"/>
  <c r="LC5" i="6"/>
  <c r="LB9" i="6"/>
  <c r="LB10" i="6"/>
  <c r="LB3" i="6"/>
  <c r="LB4" i="6"/>
  <c r="KY6" i="6"/>
  <c r="KX7" i="6"/>
  <c r="LD3" i="6"/>
  <c r="LD9" i="6"/>
  <c r="LD5" i="6"/>
  <c r="D5" i="6"/>
  <c r="LC9" i="6"/>
  <c r="LC10" i="6"/>
  <c r="LC3" i="6"/>
  <c r="LC4" i="6"/>
  <c r="KZ6" i="6"/>
  <c r="KY7" i="6"/>
  <c r="D3" i="6"/>
  <c r="D9" i="6"/>
  <c r="LD4" i="6"/>
  <c r="LD10" i="6"/>
  <c r="LA6" i="6"/>
  <c r="KZ7" i="6"/>
  <c r="LB6" i="6"/>
  <c r="LA7" i="6"/>
  <c r="LC6" i="6"/>
  <c r="LB7" i="6"/>
  <c r="LD6" i="6"/>
  <c r="LD7" i="6"/>
  <c r="LC7" i="6"/>
  <c r="K23" i="2" l="1"/>
  <c r="J23" i="2" s="1"/>
  <c r="K58" i="2"/>
  <c r="N58" i="2"/>
  <c r="N54" i="2"/>
  <c r="N53" i="2" s="1"/>
  <c r="K53" i="2"/>
  <c r="J53" i="2" s="1"/>
  <c r="J9" i="2"/>
  <c r="N51" i="2"/>
  <c r="N47" i="2" s="1"/>
  <c r="N42" i="2"/>
  <c r="K47" i="2"/>
  <c r="J47" i="2" s="1"/>
  <c r="I59" i="2"/>
  <c r="N23" i="2"/>
  <c r="N33" i="2"/>
  <c r="N11" i="2"/>
  <c r="W114" i="18" l="1"/>
  <c r="I60" i="2"/>
  <c r="W116" i="18"/>
  <c r="W115" i="18"/>
  <c r="W113" i="18"/>
  <c r="W77" i="18"/>
  <c r="W43" i="18"/>
  <c r="W137" i="18"/>
  <c r="K59" i="2"/>
  <c r="W46" i="18" l="1"/>
  <c r="W140" i="18"/>
  <c r="W80" i="18"/>
  <c r="T116" i="18"/>
  <c r="W78" i="18"/>
  <c r="W138" i="18"/>
  <c r="W44" i="18"/>
  <c r="L11" i="6" s="1"/>
  <c r="T114" i="18"/>
  <c r="W139" i="18"/>
  <c r="IH11" i="6" s="1"/>
  <c r="T115" i="18"/>
  <c r="W79" i="18"/>
  <c r="W45" i="18"/>
  <c r="K60" i="2"/>
  <c r="I61" i="2" s="1"/>
  <c r="N59" i="2"/>
  <c r="GC11" i="6"/>
  <c r="GI11" i="6"/>
  <c r="DM11" i="6"/>
  <c r="FC11" i="6"/>
  <c r="HT11" i="6"/>
  <c r="EM11" i="6"/>
  <c r="AU11" i="6"/>
  <c r="HY11" i="6"/>
  <c r="II11" i="6"/>
  <c r="KK11" i="6"/>
  <c r="EC11" i="6"/>
  <c r="N11" i="6"/>
  <c r="EL11" i="6"/>
  <c r="KI11" i="6"/>
  <c r="KQ11" i="6"/>
  <c r="CK11" i="6"/>
  <c r="JS11" i="6"/>
  <c r="KD11" i="6"/>
  <c r="IS11" i="6"/>
  <c r="DF11" i="6"/>
  <c r="EZ11" i="6"/>
  <c r="IC11" i="6"/>
  <c r="FU11" i="6"/>
  <c r="GJ11" i="6"/>
  <c r="HI11" i="6"/>
  <c r="DO11" i="6"/>
  <c r="AM11" i="6"/>
  <c r="EV11" i="6"/>
  <c r="BA11" i="6"/>
  <c r="BN11" i="6"/>
  <c r="HP11" i="6"/>
  <c r="BK11" i="6"/>
  <c r="CV11" i="6"/>
  <c r="EJ11" i="6"/>
  <c r="JE11" i="6"/>
  <c r="JR11" i="6"/>
  <c r="JC11" i="6"/>
  <c r="CP11" i="6"/>
  <c r="HZ11" i="6"/>
  <c r="BL11" i="6"/>
  <c r="BQ11" i="6"/>
  <c r="CG11" i="6"/>
  <c r="JF11" i="6"/>
  <c r="EI11" i="6"/>
  <c r="IE11" i="6"/>
  <c r="F11" i="6"/>
  <c r="KO11" i="6"/>
  <c r="DS11" i="6"/>
  <c r="HN11" i="6"/>
  <c r="HR11" i="6"/>
  <c r="HQ11" i="6"/>
  <c r="I11" i="6"/>
  <c r="GT11" i="6"/>
  <c r="GX11" i="6"/>
  <c r="IQ11" i="6"/>
  <c r="GP11" i="6"/>
  <c r="IO11" i="6" l="1"/>
  <c r="EE11" i="6"/>
  <c r="EG11" i="6"/>
  <c r="FB11" i="6"/>
  <c r="ET11" i="6"/>
  <c r="JM11" i="6"/>
  <c r="FW11" i="6"/>
  <c r="FT11" i="6"/>
  <c r="IL11" i="6"/>
  <c r="ED11" i="6"/>
  <c r="GG11" i="6"/>
  <c r="DX11" i="6"/>
  <c r="FS11" i="6"/>
  <c r="HV11" i="6"/>
  <c r="GU11" i="6"/>
  <c r="CF11" i="6"/>
  <c r="CU11" i="6"/>
  <c r="KC11" i="6"/>
  <c r="AB11" i="6"/>
  <c r="IN11" i="6"/>
  <c r="KH11" i="6"/>
  <c r="K61" i="2"/>
  <c r="N61" i="2"/>
  <c r="I62" i="2"/>
  <c r="I56" i="2"/>
  <c r="CM11" i="6"/>
  <c r="JG11" i="6"/>
  <c r="EA11" i="6"/>
  <c r="DG11" i="6"/>
  <c r="FN11" i="6"/>
  <c r="CN11" i="6"/>
  <c r="GS11" i="6"/>
  <c r="DY11" i="6"/>
  <c r="FL11" i="6"/>
  <c r="DV11" i="6"/>
  <c r="DN11" i="6"/>
  <c r="HM11" i="6"/>
  <c r="IT11" i="6"/>
  <c r="AQ11" i="6"/>
  <c r="CC11" i="6"/>
  <c r="JZ11" i="6"/>
  <c r="H11" i="6"/>
  <c r="HO11" i="6"/>
  <c r="JK11" i="6"/>
  <c r="N60" i="2"/>
  <c r="BG11" i="6"/>
  <c r="DL11" i="6"/>
  <c r="DC11" i="6"/>
  <c r="BZ11" i="6"/>
  <c r="EU11" i="6"/>
  <c r="X11" i="6"/>
  <c r="FF11" i="6"/>
  <c r="DI11" i="6"/>
  <c r="CX11" i="6"/>
  <c r="CH11" i="6"/>
  <c r="AR11" i="6"/>
  <c r="FI11" i="6"/>
  <c r="KN11" i="6"/>
  <c r="U11" i="6"/>
  <c r="BJ11" i="6"/>
  <c r="JN11" i="6"/>
  <c r="KL11" i="6"/>
  <c r="GO11" i="6"/>
  <c r="HJ11" i="6"/>
  <c r="BF11" i="6"/>
  <c r="CS11" i="6"/>
  <c r="EX11" i="6"/>
  <c r="J11" i="6"/>
  <c r="EN11" i="6"/>
  <c r="IJ11" i="6"/>
  <c r="KV11" i="6"/>
  <c r="DD11" i="6"/>
  <c r="CT11" i="6"/>
  <c r="AW11" i="6"/>
  <c r="IA11" i="6"/>
  <c r="FE11" i="6"/>
  <c r="KF11" i="6"/>
  <c r="LD11" i="6"/>
  <c r="AN11" i="6"/>
  <c r="IY11" i="6"/>
  <c r="GF11" i="6"/>
  <c r="FZ11" i="6"/>
  <c r="GY11" i="6"/>
  <c r="M11" i="6"/>
  <c r="AX11" i="6"/>
  <c r="HW11" i="6"/>
  <c r="DA11" i="6"/>
  <c r="GQ11" i="6"/>
  <c r="BC11" i="6"/>
  <c r="BV11" i="6"/>
  <c r="T139" i="18"/>
  <c r="T45" i="18"/>
  <c r="T79" i="18"/>
  <c r="BP11" i="6"/>
  <c r="EK11" i="6"/>
  <c r="FY11" i="6"/>
  <c r="KY11" i="6"/>
  <c r="G11" i="6"/>
  <c r="FJ11" i="6"/>
  <c r="GD11" i="6"/>
  <c r="JJ11" i="6"/>
  <c r="AJ11" i="6"/>
  <c r="KT11" i="6"/>
  <c r="EP11" i="6"/>
  <c r="HH11" i="6"/>
  <c r="AI11" i="6"/>
  <c r="IW11" i="6"/>
  <c r="CQ11" i="6"/>
  <c r="AG11" i="6"/>
  <c r="IP11" i="6"/>
  <c r="BO11" i="6"/>
  <c r="KE11" i="6"/>
  <c r="DW11" i="6"/>
  <c r="T78" i="18"/>
  <c r="T44" i="18"/>
  <c r="Q11" i="6"/>
  <c r="DJ11" i="6"/>
  <c r="JW11" i="6"/>
  <c r="LC11" i="6"/>
  <c r="HE11" i="6"/>
  <c r="KZ11" i="6"/>
  <c r="CJ11" i="6"/>
  <c r="JY11" i="6"/>
  <c r="JP11" i="6"/>
  <c r="ER11" i="6"/>
  <c r="AO11" i="6"/>
  <c r="JA11" i="6"/>
  <c r="CY11" i="6"/>
  <c r="FG11" i="6"/>
  <c r="AV11" i="6"/>
  <c r="FH11" i="6"/>
  <c r="EW11" i="6"/>
  <c r="IG11" i="6"/>
  <c r="BI11" i="6"/>
  <c r="JI11" i="6"/>
  <c r="AA11" i="6"/>
  <c r="FO11" i="6"/>
  <c r="GE11" i="6"/>
  <c r="BS11" i="6"/>
  <c r="KP11" i="6"/>
  <c r="EQ11" i="6"/>
  <c r="KR11" i="6"/>
  <c r="O11" i="6"/>
  <c r="BR11" i="6"/>
  <c r="EH11" i="6"/>
  <c r="DH11" i="6"/>
  <c r="JO11" i="6"/>
  <c r="AH11" i="6"/>
  <c r="AD11" i="6"/>
  <c r="IK11" i="6"/>
  <c r="HK11" i="6"/>
  <c r="GA11" i="6"/>
  <c r="HA11" i="6"/>
  <c r="R11" i="6"/>
  <c r="KM11" i="6"/>
  <c r="T11" i="6"/>
  <c r="FV11" i="6"/>
  <c r="BE11" i="6"/>
  <c r="HU11" i="6"/>
  <c r="DZ11" i="6"/>
  <c r="KG11" i="6"/>
  <c r="KJ11" i="6"/>
  <c r="BM11" i="6"/>
  <c r="T140" i="18"/>
  <c r="T46" i="18"/>
  <c r="T80" i="18"/>
  <c r="EB11" i="6"/>
  <c r="CR11" i="6"/>
  <c r="AL11" i="6"/>
  <c r="DR11" i="6"/>
  <c r="IZ11" i="6"/>
  <c r="IR11" i="6"/>
  <c r="DB11" i="6"/>
  <c r="HG11" i="6"/>
  <c r="DU11" i="6"/>
  <c r="GZ11" i="6"/>
  <c r="P11" i="6"/>
  <c r="KB11" i="6"/>
  <c r="BX11" i="6"/>
  <c r="FA11" i="6"/>
  <c r="BB11" i="6"/>
  <c r="GM11" i="6"/>
  <c r="CZ11" i="6"/>
  <c r="KA11" i="6"/>
  <c r="GR11" i="6"/>
  <c r="AY11" i="6"/>
  <c r="V11" i="6"/>
  <c r="DQ11" i="6"/>
  <c r="IX11" i="6"/>
  <c r="AZ11" i="6"/>
  <c r="DK11" i="6"/>
  <c r="FP11" i="6"/>
  <c r="KX11" i="6"/>
  <c r="LA11" i="6"/>
  <c r="GW11" i="6"/>
  <c r="CB11" i="6"/>
  <c r="ES11" i="6"/>
  <c r="KS11" i="6"/>
  <c r="HD11" i="6"/>
  <c r="JB11" i="6"/>
  <c r="BT11" i="6"/>
  <c r="CD11" i="6"/>
  <c r="GV11" i="6"/>
  <c r="JU11" i="6"/>
  <c r="AP11" i="6"/>
  <c r="CA11" i="6"/>
  <c r="AS11" i="6"/>
  <c r="HX11" i="6"/>
  <c r="LB11" i="6"/>
  <c r="CW11" i="6"/>
  <c r="JX11" i="6"/>
  <c r="ID11" i="6"/>
  <c r="Z11" i="6"/>
  <c r="KU11" i="6"/>
  <c r="HB11" i="6"/>
  <c r="BH11" i="6"/>
  <c r="FD11" i="6"/>
  <c r="S11" i="6"/>
  <c r="JQ11" i="6"/>
  <c r="GK11" i="6"/>
  <c r="DT11" i="6"/>
  <c r="AE11" i="6"/>
  <c r="GB11" i="6"/>
  <c r="BY11" i="6"/>
  <c r="JD11" i="6"/>
  <c r="GN11" i="6"/>
  <c r="AF11" i="6"/>
  <c r="CI11" i="6"/>
  <c r="BW11" i="6"/>
  <c r="EF11" i="6"/>
  <c r="HL11" i="6"/>
  <c r="Y11" i="6"/>
  <c r="FQ11" i="6"/>
  <c r="AK11" i="6"/>
  <c r="CE11" i="6"/>
  <c r="AC11" i="6"/>
  <c r="FK11" i="6"/>
  <c r="CO11" i="6"/>
  <c r="K11" i="6"/>
  <c r="FM11" i="6"/>
  <c r="HC11" i="6"/>
  <c r="BD11" i="6"/>
  <c r="IM11" i="6"/>
  <c r="EO11" i="6"/>
  <c r="FX11" i="6"/>
  <c r="JT11" i="6"/>
  <c r="FR11" i="6"/>
  <c r="HF11" i="6"/>
  <c r="IV11" i="6"/>
  <c r="HS11" i="6"/>
  <c r="IF11" i="6"/>
  <c r="CL11" i="6"/>
  <c r="DE11" i="6"/>
  <c r="JV11" i="6"/>
  <c r="GL11" i="6"/>
  <c r="IB11" i="6"/>
  <c r="EY11" i="6"/>
  <c r="JH11" i="6"/>
  <c r="JL11" i="6"/>
  <c r="AT11" i="6"/>
  <c r="DP11" i="6"/>
  <c r="W11" i="6"/>
  <c r="KW11" i="6"/>
  <c r="BU11" i="6"/>
  <c r="IU11" i="6"/>
  <c r="GH11" i="6"/>
  <c r="F12" i="6"/>
  <c r="D11" i="6" l="1"/>
  <c r="AC17" i="6"/>
  <c r="BN17" i="6"/>
  <c r="BV17" i="6"/>
  <c r="CV17" i="6"/>
  <c r="DL17" i="6"/>
  <c r="DO17" i="6"/>
  <c r="ED17" i="6"/>
  <c r="EP17" i="6"/>
  <c r="FA17" i="6"/>
  <c r="FK17" i="6"/>
  <c r="FT17" i="6"/>
  <c r="FY17" i="6"/>
  <c r="GA17" i="6"/>
  <c r="GI17" i="6"/>
  <c r="GY17" i="6"/>
  <c r="JI17" i="6"/>
  <c r="JU17" i="6"/>
  <c r="KB17" i="6"/>
  <c r="KW17" i="6"/>
  <c r="GG17" i="6"/>
  <c r="S17" i="6"/>
  <c r="AO17" i="6"/>
  <c r="BS17" i="6"/>
  <c r="DJ17" i="6"/>
  <c r="EC17" i="6"/>
  <c r="EG17" i="6"/>
  <c r="EK17" i="6"/>
  <c r="FC17" i="6"/>
  <c r="GQ17" i="6"/>
  <c r="GS17" i="6"/>
  <c r="HF17" i="6"/>
  <c r="HO17" i="6"/>
  <c r="HQ17" i="6"/>
  <c r="IG17" i="6"/>
  <c r="II17" i="6"/>
  <c r="IM17" i="6"/>
  <c r="IS17" i="6"/>
  <c r="IU17" i="6"/>
  <c r="JD17" i="6"/>
  <c r="JT17" i="6"/>
  <c r="JX17" i="6"/>
  <c r="JY17" i="6"/>
  <c r="KA17" i="6"/>
  <c r="KI17" i="6"/>
  <c r="KX17" i="6"/>
  <c r="GC17" i="6"/>
  <c r="HU17" i="6"/>
  <c r="IE17" i="6"/>
  <c r="IL17" i="6"/>
  <c r="JC17" i="6"/>
  <c r="AH17" i="6"/>
  <c r="AU17" i="6"/>
  <c r="AW17" i="6"/>
  <c r="AX17" i="6"/>
  <c r="BB17" i="6"/>
  <c r="BG17" i="6"/>
  <c r="BI17" i="6"/>
  <c r="BJ17" i="6"/>
  <c r="BO17" i="6"/>
  <c r="CA17" i="6"/>
  <c r="CM17" i="6"/>
  <c r="CO17" i="6"/>
  <c r="EZ17" i="6"/>
  <c r="GE17" i="6"/>
  <c r="IV17" i="6"/>
  <c r="M17" i="6"/>
  <c r="DC17" i="6"/>
  <c r="EU17" i="6"/>
  <c r="GP17" i="6"/>
  <c r="GV17" i="6"/>
  <c r="IB17" i="6"/>
  <c r="IO17" i="6"/>
  <c r="JB17" i="6"/>
  <c r="JH17" i="6"/>
  <c r="KL17" i="6"/>
  <c r="KT17" i="6"/>
  <c r="J17" i="6"/>
  <c r="Q17" i="6"/>
  <c r="AA17" i="6"/>
  <c r="BU17" i="6"/>
  <c r="DI17" i="6"/>
  <c r="EM17" i="6"/>
  <c r="FV17" i="6"/>
  <c r="GN17" i="6"/>
  <c r="GR17" i="6"/>
  <c r="HG17" i="6"/>
  <c r="HL17" i="6"/>
  <c r="HT17" i="6"/>
  <c r="IA17" i="6"/>
  <c r="JW17" i="6"/>
  <c r="KK17" i="6"/>
  <c r="N17" i="6"/>
  <c r="W17" i="6"/>
  <c r="X17" i="6"/>
  <c r="AJ17" i="6"/>
  <c r="AN17" i="6"/>
  <c r="AS17" i="6"/>
  <c r="AZ17" i="6"/>
  <c r="BR17" i="6"/>
  <c r="CS17" i="6"/>
  <c r="CZ17" i="6"/>
  <c r="DM17" i="6"/>
  <c r="FE17" i="6"/>
  <c r="FN17" i="6"/>
  <c r="FS17" i="6"/>
  <c r="GK17" i="6"/>
  <c r="HD17" i="6"/>
  <c r="AQ17" i="6"/>
  <c r="AY17" i="6"/>
  <c r="BL17" i="6"/>
  <c r="CY17" i="6"/>
  <c r="DD17" i="6"/>
  <c r="DQ17" i="6"/>
  <c r="EB17" i="6"/>
  <c r="EH17" i="6"/>
  <c r="FP17" i="6"/>
  <c r="HN17" i="6"/>
  <c r="KM17" i="6"/>
  <c r="KV17" i="6"/>
  <c r="IH17" i="6"/>
  <c r="P17" i="6"/>
  <c r="T17" i="6"/>
  <c r="Z17" i="6"/>
  <c r="AR17" i="6"/>
  <c r="AT17" i="6"/>
  <c r="BT17" i="6"/>
  <c r="CQ17" i="6"/>
  <c r="EF17" i="6"/>
  <c r="HA17" i="6"/>
  <c r="HK17" i="6"/>
  <c r="BQ17" i="6"/>
  <c r="CU17" i="6"/>
  <c r="FJ17" i="6"/>
  <c r="FL17" i="6"/>
  <c r="FQ17" i="6"/>
  <c r="GJ17" i="6"/>
  <c r="HE17" i="6"/>
  <c r="HI17" i="6"/>
  <c r="HR17" i="6"/>
  <c r="JE17" i="6"/>
  <c r="JV17" i="6"/>
  <c r="IW17" i="6"/>
  <c r="G17" i="6"/>
  <c r="V17" i="6"/>
  <c r="AG17" i="6"/>
  <c r="AV17" i="6"/>
  <c r="BM17" i="6"/>
  <c r="CW17" i="6"/>
  <c r="DF17" i="6"/>
  <c r="DU17" i="6"/>
  <c r="GL17" i="6"/>
  <c r="GU17" i="6"/>
  <c r="GZ17" i="6"/>
  <c r="HM17" i="6"/>
  <c r="IT17" i="6"/>
  <c r="KS17" i="6"/>
  <c r="I17" i="6"/>
  <c r="CP17" i="6"/>
  <c r="CR17" i="6"/>
  <c r="FO17" i="6"/>
  <c r="GO17" i="6"/>
  <c r="HC17" i="6"/>
  <c r="HH17" i="6"/>
  <c r="HW17" i="6"/>
  <c r="IF17" i="6"/>
  <c r="IJ17" i="6"/>
  <c r="IR17" i="6"/>
  <c r="JA17" i="6"/>
  <c r="JL17" i="6"/>
  <c r="JS17" i="6"/>
  <c r="KJ17" i="6"/>
  <c r="KR17" i="6"/>
  <c r="O17" i="6"/>
  <c r="AK17" i="6"/>
  <c r="AM17" i="6"/>
  <c r="BF17" i="6"/>
  <c r="CH17" i="6"/>
  <c r="CJ17" i="6"/>
  <c r="CL17" i="6"/>
  <c r="EY17" i="6"/>
  <c r="FB17" i="6"/>
  <c r="FD17" i="6"/>
  <c r="FI17" i="6"/>
  <c r="GX17" i="6"/>
  <c r="HZ17" i="6"/>
  <c r="IX17" i="6"/>
  <c r="LC17" i="6"/>
  <c r="L17" i="6"/>
  <c r="R17" i="6"/>
  <c r="DX17" i="6"/>
  <c r="DZ17" i="6"/>
  <c r="EE17" i="6"/>
  <c r="EQ17" i="6"/>
  <c r="ER17" i="6"/>
  <c r="ET17" i="6"/>
  <c r="EX17" i="6"/>
  <c r="FF17" i="6"/>
  <c r="GB17" i="6"/>
  <c r="HB17" i="6"/>
  <c r="HJ17" i="6"/>
  <c r="IN17" i="6"/>
  <c r="H17" i="6"/>
  <c r="BC17" i="6"/>
  <c r="CE17" i="6"/>
  <c r="CF17" i="6"/>
  <c r="DN17" i="6"/>
  <c r="DS17" i="6"/>
  <c r="DW17" i="6"/>
  <c r="EO17" i="6"/>
  <c r="FX17" i="6"/>
  <c r="HV17" i="6"/>
  <c r="ID17" i="6"/>
  <c r="JM17" i="6"/>
  <c r="JZ17" i="6"/>
  <c r="KO17" i="6"/>
  <c r="KZ17" i="6"/>
  <c r="F17" i="6"/>
  <c r="AI17" i="6"/>
  <c r="BK17" i="6"/>
  <c r="CI17" i="6"/>
  <c r="DV17" i="6"/>
  <c r="GD17" i="6"/>
  <c r="HX17" i="6"/>
  <c r="IQ17" i="6"/>
  <c r="KC17" i="6"/>
  <c r="KE17" i="6"/>
  <c r="KH17" i="6"/>
  <c r="LA17" i="6"/>
  <c r="LB17" i="6"/>
  <c r="DP17" i="6"/>
  <c r="HY17" i="6"/>
  <c r="JO17" i="6"/>
  <c r="JP17" i="6"/>
  <c r="DY17" i="6"/>
  <c r="EA17" i="6"/>
  <c r="EV17" i="6"/>
  <c r="GH17" i="6"/>
  <c r="GW17" i="6"/>
  <c r="JG17" i="6"/>
  <c r="BW17" i="6"/>
  <c r="CB17" i="6"/>
  <c r="DG17" i="6"/>
  <c r="GT17" i="6"/>
  <c r="FW17" i="6"/>
  <c r="HP17" i="6"/>
  <c r="LD17" i="6"/>
  <c r="CG17" i="6"/>
  <c r="CT17" i="6"/>
  <c r="CX17" i="6"/>
  <c r="EI17" i="6"/>
  <c r="EN17" i="6"/>
  <c r="KD17" i="6"/>
  <c r="BD17" i="6"/>
  <c r="CD17" i="6"/>
  <c r="EJ17" i="6"/>
  <c r="JQ17" i="6"/>
  <c r="U17" i="6"/>
  <c r="AP17" i="6"/>
  <c r="BA17" i="6"/>
  <c r="BE17" i="6"/>
  <c r="JR17" i="6"/>
  <c r="AL17" i="6"/>
  <c r="CC17" i="6"/>
  <c r="DK17" i="6"/>
  <c r="GF17" i="6"/>
  <c r="IY17" i="6"/>
  <c r="IZ17" i="6"/>
  <c r="BZ17" i="6"/>
  <c r="IP17" i="6"/>
  <c r="BY17" i="6"/>
  <c r="EW17" i="6"/>
  <c r="JN17" i="6"/>
  <c r="FM17" i="6"/>
  <c r="JK17" i="6"/>
  <c r="KQ17" i="6"/>
  <c r="BX17" i="6"/>
  <c r="KF17" i="6"/>
  <c r="DE17" i="6"/>
  <c r="HS17" i="6"/>
  <c r="KN17" i="6"/>
  <c r="AF17" i="6"/>
  <c r="FU17" i="6"/>
  <c r="K17" i="6"/>
  <c r="AE17" i="6"/>
  <c r="BP17" i="6"/>
  <c r="DB17" i="6"/>
  <c r="AB17" i="6"/>
  <c r="DA17" i="6"/>
  <c r="DT17" i="6"/>
  <c r="Y17" i="6"/>
  <c r="AD17" i="6"/>
  <c r="BH17" i="6"/>
  <c r="CN17" i="6"/>
  <c r="FR17" i="6"/>
  <c r="CK17" i="6"/>
  <c r="DR17" i="6"/>
  <c r="EL17" i="6"/>
  <c r="FG17" i="6"/>
  <c r="GM17" i="6"/>
  <c r="JF17" i="6"/>
  <c r="FH17" i="6"/>
  <c r="IC17" i="6"/>
  <c r="KY17" i="6"/>
  <c r="ES17" i="6"/>
  <c r="FZ17" i="6"/>
  <c r="JJ17" i="6"/>
  <c r="KP17" i="6"/>
  <c r="DH17" i="6"/>
  <c r="IK17" i="6"/>
  <c r="KU17" i="6"/>
  <c r="KG17" i="6"/>
  <c r="K62" i="2"/>
  <c r="K56" i="2" s="1"/>
  <c r="J56" i="2" s="1"/>
  <c r="N62" i="2"/>
  <c r="N56" i="2" s="1"/>
  <c r="N9" i="2" s="1"/>
  <c r="G12" i="6"/>
  <c r="F14" i="6"/>
  <c r="D17" i="6" l="1"/>
  <c r="F18" i="6"/>
  <c r="G14" i="6"/>
  <c r="H12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I12" i="6"/>
  <c r="H14" i="6"/>
  <c r="D18" i="6" l="1"/>
  <c r="C18" i="6" s="1"/>
  <c r="J12" i="6"/>
  <c r="I14" i="6"/>
  <c r="J14" i="6" l="1"/>
  <c r="K12" i="6"/>
  <c r="K14" i="6" l="1"/>
  <c r="L12" i="6"/>
  <c r="L14" i="6" l="1"/>
  <c r="M12" i="6"/>
  <c r="M14" i="6" l="1"/>
  <c r="N12" i="6"/>
  <c r="O12" i="6" l="1"/>
  <c r="N14" i="6"/>
  <c r="O14" i="6" l="1"/>
  <c r="P12" i="6"/>
  <c r="Q12" i="6" l="1"/>
  <c r="P14" i="6"/>
  <c r="R12" i="6" l="1"/>
  <c r="Q14" i="6"/>
  <c r="R14" i="6" l="1"/>
  <c r="S12" i="6"/>
  <c r="S14" i="6" l="1"/>
  <c r="T12" i="6"/>
  <c r="U12" i="6" l="1"/>
  <c r="T14" i="6"/>
  <c r="U14" i="6" l="1"/>
  <c r="V12" i="6"/>
  <c r="V14" i="6" l="1"/>
  <c r="W12" i="6"/>
  <c r="X12" i="6" l="1"/>
  <c r="W14" i="6"/>
  <c r="Y12" i="6" l="1"/>
  <c r="X14" i="6"/>
  <c r="Z12" i="6" l="1"/>
  <c r="Y14" i="6"/>
  <c r="AA12" i="6" l="1"/>
  <c r="Z14" i="6"/>
  <c r="AA14" i="6" l="1"/>
  <c r="AB12" i="6"/>
  <c r="AC12" i="6" l="1"/>
  <c r="AB14" i="6"/>
  <c r="AD12" i="6" l="1"/>
  <c r="AC14" i="6"/>
  <c r="AD14" i="6" l="1"/>
  <c r="AE12" i="6"/>
  <c r="AE14" i="6" l="1"/>
  <c r="AF12" i="6"/>
  <c r="AG12" i="6" l="1"/>
  <c r="AF14" i="6"/>
  <c r="AG14" i="6" l="1"/>
  <c r="AH12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U14" i="6" l="1"/>
  <c r="AV12" i="6"/>
  <c r="AW12" i="6" l="1"/>
  <c r="AV14" i="6"/>
  <c r="AX12" i="6" l="1"/>
  <c r="AW14" i="6"/>
  <c r="AY12" i="6" l="1"/>
  <c r="AX14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F14" i="6" l="1"/>
  <c r="BG12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M14" i="6" l="1"/>
  <c r="BN12" i="6"/>
  <c r="BN14" i="6" l="1"/>
  <c r="BO12" i="6"/>
  <c r="BP12" i="6" l="1"/>
  <c r="BO14" i="6"/>
  <c r="BQ12" i="6" l="1"/>
  <c r="BP14" i="6"/>
  <c r="BQ14" i="6" l="1"/>
  <c r="BR12" i="6"/>
  <c r="BS12" i="6" l="1"/>
  <c r="BR14" i="6"/>
  <c r="BT12" i="6" l="1"/>
  <c r="BS14" i="6"/>
  <c r="BT14" i="6" l="1"/>
  <c r="BU12" i="6"/>
  <c r="BU14" i="6" l="1"/>
  <c r="BV12" i="6"/>
  <c r="BW12" i="6" l="1"/>
  <c r="BV14" i="6"/>
  <c r="BW14" i="6" l="1"/>
  <c r="BX12" i="6"/>
  <c r="BY12" i="6" l="1"/>
  <c r="BX14" i="6"/>
  <c r="BZ12" i="6" l="1"/>
  <c r="BY14" i="6"/>
  <c r="BZ14" i="6" l="1"/>
  <c r="CA12" i="6"/>
  <c r="CA14" i="6" l="1"/>
  <c r="CB12" i="6"/>
  <c r="CC12" i="6" l="1"/>
  <c r="CB14" i="6"/>
  <c r="CD12" i="6" l="1"/>
  <c r="CC14" i="6"/>
  <c r="CE12" i="6" l="1"/>
  <c r="CD14" i="6"/>
  <c r="CF12" i="6" l="1"/>
  <c r="CE14" i="6"/>
  <c r="CG12" i="6" l="1"/>
  <c r="CF14" i="6"/>
  <c r="CG14" i="6" l="1"/>
  <c r="CH12" i="6"/>
  <c r="CI12" i="6" l="1"/>
  <c r="CH14" i="6"/>
  <c r="CI14" i="6" l="1"/>
  <c r="CJ12" i="6"/>
  <c r="CJ14" i="6" l="1"/>
  <c r="CK12" i="6"/>
  <c r="CL12" i="6" l="1"/>
  <c r="CK14" i="6"/>
  <c r="CL14" i="6" l="1"/>
  <c r="CM12" i="6"/>
  <c r="CN12" i="6" l="1"/>
  <c r="CM14" i="6"/>
  <c r="CO12" i="6" l="1"/>
  <c r="CN14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W14" i="6" l="1"/>
  <c r="CX12" i="6"/>
  <c r="CX14" i="6" l="1"/>
  <c r="CY12" i="6"/>
  <c r="CY14" i="6" l="1"/>
  <c r="CZ12" i="6"/>
  <c r="CZ14" i="6" l="1"/>
  <c r="DA12" i="6"/>
  <c r="DB12" i="6" l="1"/>
  <c r="DA14" i="6"/>
  <c r="DB14" i="6" l="1"/>
  <c r="DC12" i="6"/>
  <c r="DD12" i="6" l="1"/>
  <c r="DC14" i="6"/>
  <c r="DE12" i="6" l="1"/>
  <c r="DD14" i="6"/>
  <c r="DE14" i="6" l="1"/>
  <c r="DF12" i="6"/>
  <c r="DG12" i="6" l="1"/>
  <c r="DF14" i="6"/>
  <c r="DH12" i="6" l="1"/>
  <c r="DG14" i="6"/>
  <c r="DH14" i="6" l="1"/>
  <c r="DI12" i="6"/>
  <c r="DJ12" i="6" l="1"/>
  <c r="DI14" i="6"/>
  <c r="DK12" i="6" l="1"/>
  <c r="DJ14" i="6"/>
  <c r="DK14" i="6" l="1"/>
  <c r="DL12" i="6"/>
  <c r="DL14" i="6" l="1"/>
  <c r="DM12" i="6"/>
  <c r="DN12" i="6" l="1"/>
  <c r="DM14" i="6"/>
  <c r="DO12" i="6" l="1"/>
  <c r="DN14" i="6"/>
  <c r="DO14" i="6" l="1"/>
  <c r="DP12" i="6"/>
  <c r="DP14" i="6" l="1"/>
  <c r="DQ12" i="6"/>
  <c r="DR12" i="6" l="1"/>
  <c r="DQ14" i="6"/>
  <c r="DR14" i="6" l="1"/>
  <c r="DS12" i="6"/>
  <c r="DT12" i="6" l="1"/>
  <c r="DS14" i="6"/>
  <c r="DT14" i="6" l="1"/>
  <c r="DU12" i="6"/>
  <c r="DU14" i="6" l="1"/>
  <c r="DV12" i="6"/>
  <c r="DV14" i="6" l="1"/>
  <c r="DW12" i="6"/>
  <c r="DW14" i="6" l="1"/>
  <c r="DX12" i="6"/>
  <c r="DY12" i="6" l="1"/>
  <c r="DX14" i="6"/>
  <c r="DY14" i="6" l="1"/>
  <c r="DZ12" i="6"/>
  <c r="DZ14" i="6" l="1"/>
  <c r="EA12" i="6"/>
  <c r="EA14" i="6" l="1"/>
  <c r="EB12" i="6"/>
  <c r="EC12" i="6" l="1"/>
  <c r="EB14" i="6"/>
  <c r="EC14" i="6" l="1"/>
  <c r="ED12" i="6"/>
  <c r="EE12" i="6" l="1"/>
  <c r="ED14" i="6"/>
  <c r="EF12" i="6" l="1"/>
  <c r="EE14" i="6"/>
  <c r="EG12" i="6" l="1"/>
  <c r="EF14" i="6"/>
  <c r="EG14" i="6" l="1"/>
  <c r="EH12" i="6"/>
  <c r="EH14" i="6" l="1"/>
  <c r="EI12" i="6"/>
  <c r="EI14" i="6" l="1"/>
  <c r="EJ12" i="6"/>
  <c r="EK12" i="6" l="1"/>
  <c r="EJ14" i="6"/>
  <c r="EL12" i="6" l="1"/>
  <c r="EK14" i="6"/>
  <c r="EM12" i="6" l="1"/>
  <c r="EL14" i="6"/>
  <c r="EM14" i="6" l="1"/>
  <c r="EN12" i="6"/>
  <c r="EN14" i="6" l="1"/>
  <c r="EO12" i="6"/>
  <c r="EP12" i="6" l="1"/>
  <c r="EO14" i="6"/>
  <c r="EP14" i="6" l="1"/>
  <c r="EQ12" i="6"/>
  <c r="EQ14" i="6" l="1"/>
  <c r="ER12" i="6"/>
  <c r="ER14" i="6" l="1"/>
  <c r="ES12" i="6"/>
  <c r="ES14" i="6" l="1"/>
  <c r="ET12" i="6"/>
  <c r="EU12" i="6" l="1"/>
  <c r="ET14" i="6"/>
  <c r="EV12" i="6" l="1"/>
  <c r="EU14" i="6"/>
  <c r="EW12" i="6" l="1"/>
  <c r="EV14" i="6"/>
  <c r="EW14" i="6" l="1"/>
  <c r="EX12" i="6"/>
  <c r="EX14" i="6" l="1"/>
  <c r="EY12" i="6"/>
  <c r="EZ12" i="6" l="1"/>
  <c r="EY14" i="6"/>
  <c r="EZ14" i="6" l="1"/>
  <c r="FA12" i="6"/>
  <c r="FA14" i="6" l="1"/>
  <c r="FB12" i="6"/>
  <c r="FC12" i="6" l="1"/>
  <c r="FB14" i="6"/>
  <c r="FC14" i="6" l="1"/>
  <c r="FD12" i="6"/>
  <c r="FD14" i="6" l="1"/>
  <c r="FE12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Q12" i="6" l="1"/>
  <c r="FP14" i="6"/>
  <c r="FQ14" i="6" l="1"/>
  <c r="FR12" i="6"/>
  <c r="FS12" i="6" l="1"/>
  <c r="FR14" i="6"/>
  <c r="FT12" i="6" l="1"/>
  <c r="FS14" i="6"/>
  <c r="FU12" i="6" l="1"/>
  <c r="FT14" i="6"/>
  <c r="FU14" i="6" l="1"/>
  <c r="FV12" i="6"/>
  <c r="FV14" i="6" l="1"/>
  <c r="FW12" i="6"/>
  <c r="FW14" i="6" l="1"/>
  <c r="FX12" i="6"/>
  <c r="FX14" i="6" l="1"/>
  <c r="FY12" i="6"/>
  <c r="FZ12" i="6" l="1"/>
  <c r="FY14" i="6"/>
  <c r="GA12" i="6" l="1"/>
  <c r="FZ14" i="6"/>
  <c r="GA14" i="6" l="1"/>
  <c r="GB12" i="6"/>
  <c r="GC12" i="6" l="1"/>
  <c r="GB14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I14" i="6" l="1"/>
  <c r="GJ12" i="6"/>
  <c r="GJ14" i="6" l="1"/>
  <c r="GK12" i="6"/>
  <c r="GL12" i="6" l="1"/>
  <c r="GK14" i="6"/>
  <c r="GL14" i="6" l="1"/>
  <c r="GM12" i="6"/>
  <c r="GN12" i="6" l="1"/>
  <c r="GM14" i="6"/>
  <c r="GN14" i="6" l="1"/>
  <c r="GO12" i="6"/>
  <c r="GO14" i="6" l="1"/>
  <c r="GP12" i="6"/>
  <c r="GQ12" i="6" l="1"/>
  <c r="GP14" i="6"/>
  <c r="GQ14" i="6" l="1"/>
  <c r="GR12" i="6"/>
  <c r="GR14" i="6" l="1"/>
  <c r="GS12" i="6"/>
  <c r="GT12" i="6" l="1"/>
  <c r="GS14" i="6"/>
  <c r="GT14" i="6" l="1"/>
  <c r="GU12" i="6"/>
  <c r="GU14" i="6" l="1"/>
  <c r="GV12" i="6"/>
  <c r="GV14" i="6" l="1"/>
  <c r="GW12" i="6"/>
  <c r="GX12" i="6" l="1"/>
  <c r="GW14" i="6"/>
  <c r="GY12" i="6" l="1"/>
  <c r="GX14" i="6"/>
  <c r="GY14" i="6" l="1"/>
  <c r="GZ12" i="6"/>
  <c r="HA12" i="6" l="1"/>
  <c r="GZ14" i="6"/>
  <c r="HB12" i="6" l="1"/>
  <c r="HA14" i="6"/>
  <c r="HC12" i="6" l="1"/>
  <c r="HB14" i="6"/>
  <c r="HD12" i="6" l="1"/>
  <c r="HC14" i="6"/>
  <c r="HE12" i="6" l="1"/>
  <c r="HD14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L12" i="6" l="1"/>
  <c r="HK14" i="6"/>
  <c r="HM12" i="6" l="1"/>
  <c r="HL14" i="6"/>
  <c r="HM14" i="6" l="1"/>
  <c r="HN12" i="6"/>
  <c r="HO12" i="6" l="1"/>
  <c r="HN14" i="6"/>
  <c r="HO14" i="6" l="1"/>
  <c r="HP12" i="6"/>
  <c r="HP14" i="6" l="1"/>
  <c r="HQ12" i="6"/>
  <c r="HQ14" i="6" l="1"/>
  <c r="HR12" i="6"/>
  <c r="HR14" i="6" l="1"/>
  <c r="HS12" i="6"/>
  <c r="HT12" i="6" l="1"/>
  <c r="HS14" i="6"/>
  <c r="HU12" i="6" l="1"/>
  <c r="HT14" i="6"/>
  <c r="HU14" i="6" l="1"/>
  <c r="HV12" i="6"/>
  <c r="HW12" i="6" l="1"/>
  <c r="HV14" i="6"/>
  <c r="HX12" i="6" l="1"/>
  <c r="HW14" i="6"/>
  <c r="HY12" i="6" l="1"/>
  <c r="HX14" i="6"/>
  <c r="HY14" i="6" l="1"/>
  <c r="HZ12" i="6"/>
  <c r="HZ14" i="6" l="1"/>
  <c r="IA12" i="6"/>
  <c r="IB12" i="6" l="1"/>
  <c r="IA14" i="6"/>
  <c r="IC12" i="6" l="1"/>
  <c r="IB14" i="6"/>
  <c r="IC14" i="6" l="1"/>
  <c r="ID12" i="6"/>
  <c r="IE12" i="6" l="1"/>
  <c r="ID14" i="6"/>
  <c r="IF12" i="6" l="1"/>
  <c r="IE14" i="6"/>
  <c r="IF14" i="6" l="1"/>
  <c r="IG12" i="6"/>
  <c r="IG14" i="6" l="1"/>
  <c r="IH12" i="6"/>
  <c r="II12" i="6" l="1"/>
  <c r="IH14" i="6"/>
  <c r="II14" i="6" l="1"/>
  <c r="IJ12" i="6"/>
  <c r="IK12" i="6" l="1"/>
  <c r="IJ14" i="6"/>
  <c r="IK14" i="6" l="1"/>
  <c r="IL12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Y14" i="6" l="1"/>
  <c r="IZ12" i="6"/>
  <c r="JA12" i="6" l="1"/>
  <c r="IZ14" i="6"/>
  <c r="JA14" i="6" l="1"/>
  <c r="JB12" i="6"/>
  <c r="JC12" i="6" l="1"/>
  <c r="JB14" i="6"/>
  <c r="JD12" i="6" l="1"/>
  <c r="JC14" i="6"/>
  <c r="JE12" i="6" l="1"/>
  <c r="JD14" i="6"/>
  <c r="JE14" i="6" l="1"/>
  <c r="JF12" i="6"/>
  <c r="JF14" i="6" l="1"/>
  <c r="JG12" i="6"/>
  <c r="JH12" i="6" l="1"/>
  <c r="JG14" i="6"/>
  <c r="JI12" i="6" l="1"/>
  <c r="JH14" i="6"/>
  <c r="JI14" i="6" l="1"/>
  <c r="JJ12" i="6"/>
  <c r="JK12" i="6" l="1"/>
  <c r="JJ14" i="6"/>
  <c r="JK14" i="6" l="1"/>
  <c r="JL12" i="6"/>
  <c r="JM12" i="6" l="1"/>
  <c r="JL14" i="6"/>
  <c r="JN12" i="6" l="1"/>
  <c r="JM14" i="6"/>
  <c r="JN14" i="6" l="1"/>
  <c r="JO12" i="6"/>
  <c r="JO14" i="6" l="1"/>
  <c r="JP12" i="6"/>
  <c r="JQ12" i="6" l="1"/>
  <c r="JP14" i="6"/>
  <c r="JQ14" i="6" l="1"/>
  <c r="JR12" i="6"/>
  <c r="JS12" i="6" l="1"/>
  <c r="JR14" i="6"/>
  <c r="JT12" i="6" l="1"/>
  <c r="JS14" i="6"/>
  <c r="JU12" i="6" l="1"/>
  <c r="JT14" i="6"/>
  <c r="JU14" i="6" l="1"/>
  <c r="JV12" i="6"/>
  <c r="JW12" i="6" l="1"/>
  <c r="JV14" i="6"/>
  <c r="JX12" i="6" l="1"/>
  <c r="JW14" i="6"/>
  <c r="JY12" i="6" l="1"/>
  <c r="JX14" i="6"/>
  <c r="JZ12" i="6" l="1"/>
  <c r="JY14" i="6"/>
  <c r="JZ14" i="6" l="1"/>
  <c r="KA12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I14" i="6" l="1"/>
  <c r="KJ12" i="6"/>
  <c r="KJ14" i="6" l="1"/>
  <c r="KK12" i="6"/>
  <c r="KK14" i="6" l="1"/>
  <c r="KL12" i="6"/>
  <c r="KM12" i="6" l="1"/>
  <c r="KL14" i="6"/>
  <c r="KN12" i="6" l="1"/>
  <c r="KM14" i="6"/>
  <c r="KN14" i="6" l="1"/>
  <c r="KO12" i="6"/>
  <c r="KP12" i="6" l="1"/>
  <c r="KO14" i="6"/>
  <c r="KP14" i="6" l="1"/>
  <c r="KQ12" i="6"/>
  <c r="KQ14" i="6" l="1"/>
  <c r="KR12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Y14" i="6" l="1"/>
  <c r="KZ12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<sst xmlns="http://schemas.openxmlformats.org/spreadsheetml/2006/main" count="1033" uniqueCount="599">
  <si>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</si>
  <si>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</si>
  <si>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</si>
  <si>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</si>
  <si>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</si>
  <si>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</si>
  <si>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</si>
  <si>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</si>
  <si>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</si>
  <si>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</si>
  <si>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</si>
  <si>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</si>
  <si>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</si>
  <si>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</si>
  <si>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</si>
  <si>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</si>
  <si>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</si>
  <si>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</si>
  <si>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</si>
  <si>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</si>
  <si>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</si>
  <si>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</si>
  <si>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</si>
  <si>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</si>
  <si>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</si>
  <si>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</si>
  <si>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</si>
  <si>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</si>
  <si>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</si>
  <si>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</si>
  <si>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</si>
  <si>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</si>
  <si>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</si>
  <si>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</si>
  <si>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</si>
  <si>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</si>
  <si>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</si>
  <si>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</si>
  <si>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</si>
  <si>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</si>
  <si>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</si>
  <si>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</si>
  <si>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</si>
  <si>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</si>
  <si>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</si>
  <si>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</si>
  <si>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</si>
  <si>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</si>
  <si>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</si>
  <si>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</si>
  <si>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</si>
  <si>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</si>
  <si>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</si>
  <si>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</si>
  <si>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</si>
  <si>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</si>
  <si>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</si>
  <si>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</si>
  <si>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</si>
  <si>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</si>
  <si>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</si>
  <si>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</si>
  <si>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</si>
  <si>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</si>
  <si>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</si>
  <si>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</si>
  <si>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</si>
  <si>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</si>
  <si>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</si>
  <si>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</si>
  <si>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</si>
  <si>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</si>
  <si>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</si>
  <si>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</si>
  <si>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</si>
  <si>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</si>
  <si>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</si>
  <si>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</si>
  <si>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</si>
  <si>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</si>
  <si>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</si>
  <si>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</si>
  <si>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</si>
  <si>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</si>
  <si>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</si>
  <si>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</si>
  <si>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</si>
  <si>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</si>
  <si>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</si>
  <si>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</si>
  <si>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</si>
  <si>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</si>
  <si>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</si>
  <si>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</si>
  <si>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</si>
  <si>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</si>
  <si>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</si>
  <si>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</si>
  <si>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</si>
  <si>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</si>
  <si>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</si>
  <si>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</si>
  <si>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</si>
  <si>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</si>
  <si>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</si>
  <si>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</si>
  <si>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</si>
  <si>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</si>
  <si>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</si>
  <si>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</si>
  <si>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</si>
  <si>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</si>
  <si>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</si>
  <si>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</si>
  <si>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</si>
  <si>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</si>
  <si>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</si>
  <si>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</si>
  <si>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</si>
  <si>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</si>
  <si>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</si>
  <si>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</si>
  <si>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</si>
  <si>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</si>
  <si>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</si>
  <si>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</si>
  <si>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</si>
  <si>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</si>
  <si>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</si>
  <si>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</si>
  <si>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</si>
  <si>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</si>
  <si>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</si>
  <si>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</si>
  <si>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</si>
  <si>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</si>
  <si>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</si>
  <si>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</si>
  <si>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</si>
  <si>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</si>
  <si>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</si>
  <si>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</si>
  <si>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</si>
  <si>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</si>
  <si>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</si>
  <si>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</si>
  <si>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</si>
  <si>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</si>
  <si>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</si>
  <si>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</si>
  <si>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</si>
  <si>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</si>
  <si>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</si>
  <si>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</si>
  <si>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</si>
  <si>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</si>
  <si>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</si>
  <si>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</si>
  <si>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</si>
  <si>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</si>
  <si>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</si>
  <si>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</si>
  <si>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</si>
  <si>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</si>
  <si>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</si>
  <si>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</si>
  <si>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</si>
  <si>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</si>
  <si>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</si>
  <si>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</si>
  <si>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</si>
  <si>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</si>
  <si>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</si>
  <si>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Seshego Circle</t>
  </si>
  <si>
    <t>Kios</t>
  </si>
  <si>
    <t>PROJECT SIZE (kWp)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</si>
  <si>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</si>
  <si>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</si>
  <si>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</si>
  <si>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</si>
  <si>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</si>
  <si>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</si>
  <si>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</si>
  <si>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</si>
  <si>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</si>
  <si>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</si>
  <si>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</si>
  <si>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</si>
  <si>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</si>
  <si>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</si>
  <si>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</si>
  <si>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</si>
  <si>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</si>
  <si>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</si>
  <si>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</si>
  <si>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</si>
  <si>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</si>
  <si>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</si>
  <si>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</si>
  <si>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</si>
  <si>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</si>
  <si>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</si>
  <si>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</si>
  <si>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</si>
  <si>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</si>
  <si>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</si>
  <si>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</si>
  <si>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</si>
  <si>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</si>
  <si>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</si>
  <si>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</si>
  <si>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</si>
  <si>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</si>
  <si>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</si>
  <si>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</si>
  <si>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</si>
  <si>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</si>
  <si>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</si>
  <si>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</si>
  <si>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</si>
  <si>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</si>
  <si>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</si>
  <si>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</si>
  <si>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</si>
  <si>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</si>
  <si>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</si>
  <si>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</si>
  <si>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</si>
  <si>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</si>
  <si>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</si>
  <si>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</si>
  <si>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</si>
  <si>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</si>
  <si>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</si>
  <si>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</si>
  <si>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</si>
  <si>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</si>
  <si>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</si>
  <si>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</si>
  <si>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</si>
  <si>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</si>
  <si>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</si>
  <si>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</si>
  <si>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</si>
  <si>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</si>
  <si>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</si>
  <si>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</si>
  <si>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</si>
  <si>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</si>
  <si>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</si>
  <si>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</si>
  <si>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</si>
  <si>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6.3</t>
  </si>
  <si>
    <t>Commissioning - Tie In 2</t>
  </si>
  <si>
    <t>6.4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</si>
  <si>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</si>
  <si>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</si>
  <si>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</si>
  <si>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</si>
  <si>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</si>
  <si>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</si>
  <si>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</si>
  <si>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</si>
  <si>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</si>
  <si>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</si>
  <si>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</si>
  <si>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</si>
  <si>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</si>
  <si>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</si>
  <si>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</si>
  <si>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</si>
  <si>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</si>
  <si>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</si>
  <si>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</si>
  <si>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</si>
  <si>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</si>
  <si>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</si>
  <si>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</si>
  <si>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</si>
  <si>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</si>
  <si>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</si>
  <si>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</si>
  <si>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</si>
  <si>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</si>
  <si>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</si>
  <si>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</si>
  <si>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</si>
  <si>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</si>
  <si>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</si>
  <si>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</si>
  <si>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</si>
  <si>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</si>
  <si>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</si>
  <si>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</si>
  <si>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</si>
  <si>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</si>
  <si>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</si>
  <si>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</si>
  <si>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</si>
  <si>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</si>
  <si>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</si>
  <si>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</si>
  <si>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</si>
  <si>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</si>
  <si>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</si>
  <si>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</si>
  <si>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</si>
  <si>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</si>
  <si>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</si>
  <si>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</si>
  <si>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</si>
  <si>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</si>
  <si>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</si>
  <si>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</si>
  <si>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</si>
  <si>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</si>
  <si>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</si>
  <si>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</si>
  <si>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</si>
  <si>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</si>
  <si>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</si>
  <si>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</si>
  <si>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</si>
  <si>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</si>
  <si>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</si>
  <si>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</si>
  <si>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</si>
  <si>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</si>
  <si>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</si>
  <si>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</si>
  <si>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</si>
  <si>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</si>
  <si>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</si>
  <si>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</si>
  <si>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</si>
  <si>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</si>
  <si>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</si>
  <si>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</si>
  <si>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</si>
  <si>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</si>
  <si>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</si>
  <si>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</si>
  <si>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</si>
  <si>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</si>
  <si>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</si>
  <si>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</si>
  <si>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</si>
  <si>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</si>
  <si>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</si>
  <si>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</si>
  <si>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</si>
  <si>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</si>
  <si>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</si>
  <si>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</si>
  <si>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</si>
  <si>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</si>
  <si>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</si>
  <si>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</si>
  <si>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</si>
  <si>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</si>
  <si>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</si>
  <si>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</si>
  <si>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</si>
  <si>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</si>
  <si>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</si>
  <si>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</si>
  <si>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</si>
  <si>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</si>
  <si>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</si>
  <si>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</si>
  <si>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</si>
  <si>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</si>
  <si>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</si>
  <si>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</si>
  <si>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</si>
  <si>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</si>
  <si>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</si>
  <si>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</si>
  <si>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</si>
  <si>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</si>
  <si>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</si>
  <si>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</si>
  <si>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</si>
  <si>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</si>
  <si>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</si>
  <si>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</si>
  <si>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</si>
  <si>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</si>
  <si>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</si>
  <si>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</si>
  <si>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</si>
  <si>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</si>
  <si>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</si>
  <si>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XS Clamps - K2</t>
  </si>
  <si>
    <t>PO4616-DSHC-20260211 - RV Approved</t>
  </si>
  <si>
    <t>K2 Systems - SAI1382026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</si>
  <si>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</si>
  <si>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</si>
  <si>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</si>
  <si>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</si>
  <si>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</si>
  <si>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</si>
  <si>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</si>
  <si>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</si>
  <si>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</si>
  <si>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</si>
  <si>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</si>
  <si>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</si>
  <si>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</si>
  <si>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</si>
  <si>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</si>
  <si>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</si>
  <si>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</si>
  <si>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</si>
  <si>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</si>
  <si>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</si>
  <si>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</si>
  <si>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</si>
  <si>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</si>
  <si>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</si>
  <si>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</si>
  <si>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</si>
  <si>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</si>
  <si>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</si>
  <si>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</si>
  <si>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</si>
  <si>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</si>
  <si>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</si>
  <si>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</si>
  <si>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</si>
  <si>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</si>
  <si>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</si>
  <si>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</si>
  <si>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</si>
  <si>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</si>
  <si>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</si>
  <si>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</si>
  <si>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</si>
  <si>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</si>
  <si>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</si>
  <si>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</si>
  <si>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</si>
  <si>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</si>
  <si>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</si>
  <si>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</si>
  <si>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</si>
  <si>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</si>
  <si>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</si>
  <si>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</si>
  <si>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</si>
  <si>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</si>
  <si>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</si>
  <si>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</si>
  <si>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</si>
  <si>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</si>
  <si>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</si>
  <si>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</si>
  <si>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</si>
  <si>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</si>
  <si>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</si>
  <si>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</si>
  <si>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</si>
  <si>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</si>
  <si>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</si>
  <si>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</si>
  <si>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</si>
  <si>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</si>
  <si>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</si>
  <si>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</si>
  <si>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</si>
  <si>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</si>
  <si>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</si>
  <si>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</si>
  <si>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</si>
  <si>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</si>
  <si>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</si>
  <si>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</si>
  <si>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</si>
  <si>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</si>
  <si>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</si>
  <si>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</si>
  <si>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</si>
  <si>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</si>
  <si>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</si>
  <si>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</si>
  <si>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</si>
  <si>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</si>
  <si>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</si>
  <si>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</si>
  <si>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</si>
  <si>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</si>
  <si>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</si>
  <si>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</si>
  <si>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</si>
  <si>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</si>
  <si>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</si>
  <si>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</si>
  <si>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</si>
  <si>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</si>
  <si>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</si>
  <si>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</si>
  <si>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</si>
  <si>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</si>
  <si>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</si>
  <si>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</si>
  <si>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</si>
  <si>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</si>
  <si>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</si>
  <si>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</si>
  <si>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</si>
  <si>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</si>
  <si>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</si>
  <si>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</si>
  <si>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</si>
  <si>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</si>
  <si>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</si>
  <si>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Supply &amp; Install AC Cable with Kiosks</t>
  </si>
  <si>
    <t>PO4626-DSHC-20260217 -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</si>
  <si>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</si>
  <si>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</si>
  <si>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</si>
  <si>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</si>
  <si>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</si>
  <si>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</si>
  <si>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</si>
  <si>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</si>
  <si>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</si>
  <si>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</si>
  <si>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</si>
  <si>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</si>
  <si>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</si>
  <si>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</si>
  <si>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</si>
  <si>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</si>
  <si>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</si>
  <si>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</si>
  <si>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</si>
  <si>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</si>
  <si>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</si>
  <si>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</si>
  <si>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</si>
  <si>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</si>
  <si>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</si>
  <si>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</si>
  <si>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</si>
  <si>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</si>
  <si>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</si>
  <si>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</si>
  <si>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</si>
  <si>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</si>
  <si>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</si>
  <si>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</si>
  <si>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</si>
  <si>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</si>
  <si>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</si>
  <si>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</si>
  <si>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</si>
  <si>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</si>
  <si>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</si>
  <si>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</si>
  <si>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</si>
  <si>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</si>
  <si>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</si>
  <si>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</si>
  <si>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</si>
  <si>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</si>
  <si>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</si>
  <si>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</si>
  <si>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</si>
  <si>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</si>
  <si>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</si>
  <si>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</si>
  <si>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</si>
  <si>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</si>
  <si>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</si>
  <si>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</si>
  <si>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</si>
  <si>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</si>
  <si>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</si>
  <si>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</si>
  <si>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</si>
  <si>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</si>
  <si>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</si>
  <si>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</si>
  <si>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</si>
  <si>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</si>
  <si>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</si>
  <si>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</si>
  <si>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</si>
  <si>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</si>
  <si>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</si>
  <si>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</si>
  <si>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</si>
  <si>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</si>
  <si>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</si>
  <si>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</si>
  <si>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Scheduled</t>
  </si>
  <si>
    <t xml:space="preserve">At Risk </t>
  </si>
  <si>
    <t>Busy with Kiosk Install
AC Tie-in 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</si>
</sst>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32" fillId="0" borderId="2" xfId="0" applyFont="1" applyFill="1" applyBorder="1" applyAlignment="1">
      <alignment horizontal="center"/>
    </xf>
    <xf numFmtId="0" fontId="5" fillId="0" borderId="2" xfId="0" applyFont="1" applyFill="1" applyBorder="1"/>
    <xf numFmtId="0" fontId="6" fillId="0" borderId="0" xfId="0" applyFont="1" applyFill="1"/>
    <xf numFmtId="15" fontId="21" fillId="0" borderId="2" xfId="0" applyNumberFormat="1" applyFont="1" applyFill="1" applyBorder="1" applyAlignment="1">
      <alignment horizontal="center" wrapText="1"/>
    </xf>
    <xf numFmtId="0" fontId="21" fillId="0" borderId="2" xfId="0" applyFont="1" applyFill="1" applyBorder="1" applyAlignment="1">
      <alignment horizontal="center" wrapText="1"/>
    </xf>
    <xf numFmtId="167" fontId="6" fillId="0" borderId="0" xfId="0" applyNumberFormat="1" applyFont="1" applyFill="1" applyAlignment="1">
      <alignment horizontal="center"/>
    </xf>
    <xf numFmtId="0" fontId="6" fillId="0" borderId="0" xfId="0" applyFont="1" applyFill="1" applyProtection="1">
      <protection locked="0"/>
    </xf>
    <xf numFmtId="0" fontId="33" fillId="0" borderId="2" xfId="0" applyFont="1" applyFill="1" applyBorder="1" applyProtection="1">
      <protection locked="0"/>
    </xf>
    <xf numFmtId="0" fontId="21" fillId="0" borderId="0" xfId="0" applyFont="1" applyFill="1" applyProtection="1">
      <protection locked="0"/>
    </xf>
    <xf numFmtId="16" fontId="33" fillId="7" borderId="2" xfId="0" applyNumberFormat="1" applyFont="1" applyFill="1" applyBorder="1" applyAlignment="1" applyProtection="1">
      <alignment horizontal="left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6222600.4680000003</c:v>
                </c:pt>
                <c:pt idx="55">
                  <c:v>6602046.8230000008</c:v>
                </c:pt>
                <c:pt idx="56">
                  <c:v>6602046.8230000008</c:v>
                </c:pt>
                <c:pt idx="57">
                  <c:v>6690934.8280000007</c:v>
                </c:pt>
                <c:pt idx="58">
                  <c:v>6690934.8280000007</c:v>
                </c:pt>
                <c:pt idx="59">
                  <c:v>6869735.8480000002</c:v>
                </c:pt>
                <c:pt idx="60">
                  <c:v>7135864.7779999999</c:v>
                </c:pt>
                <c:pt idx="61">
                  <c:v>7135864.7779999999</c:v>
                </c:pt>
                <c:pt idx="62">
                  <c:v>7433357.1679999996</c:v>
                </c:pt>
                <c:pt idx="63">
                  <c:v>7518507.6779999994</c:v>
                </c:pt>
                <c:pt idx="64">
                  <c:v>7518507.6779999994</c:v>
                </c:pt>
                <c:pt idx="65">
                  <c:v>7518507.6779999994</c:v>
                </c:pt>
                <c:pt idx="66">
                  <c:v>7658861.9823272396</c:v>
                </c:pt>
                <c:pt idx="67">
                  <c:v>7658861.9823272396</c:v>
                </c:pt>
                <c:pt idx="68">
                  <c:v>7658861.9823272396</c:v>
                </c:pt>
                <c:pt idx="69">
                  <c:v>7658861.9823272396</c:v>
                </c:pt>
                <c:pt idx="70">
                  <c:v>7658861.9823272396</c:v>
                </c:pt>
                <c:pt idx="71">
                  <c:v>7658861.9823272396</c:v>
                </c:pt>
                <c:pt idx="72">
                  <c:v>7658861.9823272396</c:v>
                </c:pt>
                <c:pt idx="73">
                  <c:v>7658861.9823272396</c:v>
                </c:pt>
                <c:pt idx="74">
                  <c:v>7658861.9823272396</c:v>
                </c:pt>
                <c:pt idx="75">
                  <c:v>7658861.9823272396</c:v>
                </c:pt>
                <c:pt idx="76">
                  <c:v>7658861.9823272396</c:v>
                </c:pt>
                <c:pt idx="77">
                  <c:v>7658861.9823272396</c:v>
                </c:pt>
                <c:pt idx="78">
                  <c:v>7658861.9823272396</c:v>
                </c:pt>
                <c:pt idx="79">
                  <c:v>7658861.9823272396</c:v>
                </c:pt>
                <c:pt idx="80">
                  <c:v>7658861.9823272396</c:v>
                </c:pt>
                <c:pt idx="81">
                  <c:v>7658861.9823272396</c:v>
                </c:pt>
                <c:pt idx="82">
                  <c:v>7658861.9823272396</c:v>
                </c:pt>
                <c:pt idx="83">
                  <c:v>7658861.9823272396</c:v>
                </c:pt>
                <c:pt idx="84">
                  <c:v>7658861.9823272396</c:v>
                </c:pt>
                <c:pt idx="85">
                  <c:v>7658861.9823272396</c:v>
                </c:pt>
                <c:pt idx="86">
                  <c:v>7658861.9823272396</c:v>
                </c:pt>
                <c:pt idx="87">
                  <c:v>7658861.9823272396</c:v>
                </c:pt>
                <c:pt idx="88">
                  <c:v>7658861.9823272396</c:v>
                </c:pt>
                <c:pt idx="89">
                  <c:v>7658861.9823272396</c:v>
                </c:pt>
                <c:pt idx="90">
                  <c:v>7658861.9823272396</c:v>
                </c:pt>
                <c:pt idx="91">
                  <c:v>7658861.9823272396</c:v>
                </c:pt>
                <c:pt idx="92">
                  <c:v>7658861.9823272396</c:v>
                </c:pt>
                <c:pt idx="93">
                  <c:v>7658861.9823272396</c:v>
                </c:pt>
                <c:pt idx="94">
                  <c:v>7658861.9823272396</c:v>
                </c:pt>
                <c:pt idx="95">
                  <c:v>7658861.9823272396</c:v>
                </c:pt>
                <c:pt idx="96">
                  <c:v>7658861.9823272396</c:v>
                </c:pt>
                <c:pt idx="97">
                  <c:v>7658861.9823272396</c:v>
                </c:pt>
                <c:pt idx="98">
                  <c:v>7658861.9823272396</c:v>
                </c:pt>
                <c:pt idx="99">
                  <c:v>7658861.9823272396</c:v>
                </c:pt>
                <c:pt idx="100">
                  <c:v>7658861.9823272396</c:v>
                </c:pt>
                <c:pt idx="101">
                  <c:v>7658861.9823272396</c:v>
                </c:pt>
                <c:pt idx="102">
                  <c:v>7658861.9823272396</c:v>
                </c:pt>
                <c:pt idx="103">
                  <c:v>7658861.9823272396</c:v>
                </c:pt>
                <c:pt idx="104">
                  <c:v>7658861.9823272396</c:v>
                </c:pt>
                <c:pt idx="105">
                  <c:v>7658861.9823272396</c:v>
                </c:pt>
                <c:pt idx="106">
                  <c:v>7658861.9823272396</c:v>
                </c:pt>
                <c:pt idx="107">
                  <c:v>7658861.9823272396</c:v>
                </c:pt>
                <c:pt idx="108">
                  <c:v>7658861.9823272396</c:v>
                </c:pt>
                <c:pt idx="109">
                  <c:v>7658861.9823272396</c:v>
                </c:pt>
                <c:pt idx="110">
                  <c:v>7658861.9823272396</c:v>
                </c:pt>
                <c:pt idx="111">
                  <c:v>7658861.9823272396</c:v>
                </c:pt>
                <c:pt idx="112">
                  <c:v>7658861.9823272396</c:v>
                </c:pt>
                <c:pt idx="113">
                  <c:v>7658861.9823272396</c:v>
                </c:pt>
                <c:pt idx="114">
                  <c:v>7658861.9823272396</c:v>
                </c:pt>
                <c:pt idx="115">
                  <c:v>7658861.9823272396</c:v>
                </c:pt>
                <c:pt idx="116">
                  <c:v>7658861.9823272396</c:v>
                </c:pt>
                <c:pt idx="117">
                  <c:v>7658861.9823272396</c:v>
                </c:pt>
                <c:pt idx="118">
                  <c:v>7658861.9823272396</c:v>
                </c:pt>
                <c:pt idx="119">
                  <c:v>7658861.9823272396</c:v>
                </c:pt>
                <c:pt idx="120">
                  <c:v>7658861.9823272396</c:v>
                </c:pt>
                <c:pt idx="121">
                  <c:v>7658861.9823272396</c:v>
                </c:pt>
                <c:pt idx="122">
                  <c:v>7658861.9823272396</c:v>
                </c:pt>
                <c:pt idx="123">
                  <c:v>7658861.9823272396</c:v>
                </c:pt>
                <c:pt idx="124">
                  <c:v>7658861.9823272396</c:v>
                </c:pt>
                <c:pt idx="125">
                  <c:v>7658861.9823272396</c:v>
                </c:pt>
                <c:pt idx="126">
                  <c:v>7658861.9823272396</c:v>
                </c:pt>
                <c:pt idx="127">
                  <c:v>7658861.9823272396</c:v>
                </c:pt>
                <c:pt idx="128">
                  <c:v>7658861.9823272396</c:v>
                </c:pt>
                <c:pt idx="129">
                  <c:v>7658861.9823272396</c:v>
                </c:pt>
                <c:pt idx="130">
                  <c:v>7658861.9823272396</c:v>
                </c:pt>
                <c:pt idx="131">
                  <c:v>7658861.9823272396</c:v>
                </c:pt>
                <c:pt idx="132">
                  <c:v>7658861.9823272396</c:v>
                </c:pt>
                <c:pt idx="133">
                  <c:v>7658861.9823272396</c:v>
                </c:pt>
                <c:pt idx="134">
                  <c:v>7658861.9823272396</c:v>
                </c:pt>
                <c:pt idx="135">
                  <c:v>7658861.9823272396</c:v>
                </c:pt>
                <c:pt idx="136">
                  <c:v>7658861.9823272396</c:v>
                </c:pt>
                <c:pt idx="137">
                  <c:v>7658861.9823272396</c:v>
                </c:pt>
                <c:pt idx="138">
                  <c:v>7658861.9823272396</c:v>
                </c:pt>
                <c:pt idx="139">
                  <c:v>7658861.9823272396</c:v>
                </c:pt>
                <c:pt idx="140">
                  <c:v>7658861.9823272396</c:v>
                </c:pt>
                <c:pt idx="141">
                  <c:v>7658861.9823272396</c:v>
                </c:pt>
                <c:pt idx="142">
                  <c:v>7658861.9823272396</c:v>
                </c:pt>
                <c:pt idx="143">
                  <c:v>7658861.9823272396</c:v>
                </c:pt>
                <c:pt idx="144">
                  <c:v>7658861.9823272396</c:v>
                </c:pt>
                <c:pt idx="145">
                  <c:v>7658861.9823272396</c:v>
                </c:pt>
                <c:pt idx="146">
                  <c:v>7658861.9823272396</c:v>
                </c:pt>
                <c:pt idx="147">
                  <c:v>7658861.9823272396</c:v>
                </c:pt>
                <c:pt idx="148">
                  <c:v>7658861.9823272396</c:v>
                </c:pt>
                <c:pt idx="149">
                  <c:v>7658861.9823272396</c:v>
                </c:pt>
                <c:pt idx="150">
                  <c:v>7658861.9823272396</c:v>
                </c:pt>
                <c:pt idx="151">
                  <c:v>7658861.9823272396</c:v>
                </c:pt>
                <c:pt idx="152">
                  <c:v>7658861.9823272396</c:v>
                </c:pt>
                <c:pt idx="153">
                  <c:v>7658861.9823272396</c:v>
                </c:pt>
                <c:pt idx="154">
                  <c:v>7658861.9823272396</c:v>
                </c:pt>
                <c:pt idx="155">
                  <c:v>7658861.9823272396</c:v>
                </c:pt>
                <c:pt idx="156">
                  <c:v>7658861.9823272396</c:v>
                </c:pt>
                <c:pt idx="157">
                  <c:v>7658861.9823272396</c:v>
                </c:pt>
                <c:pt idx="158">
                  <c:v>7658861.9823272396</c:v>
                </c:pt>
                <c:pt idx="159">
                  <c:v>7658861.9823272396</c:v>
                </c:pt>
                <c:pt idx="160">
                  <c:v>7658861.9823272396</c:v>
                </c:pt>
                <c:pt idx="161">
                  <c:v>7658861.9823272396</c:v>
                </c:pt>
                <c:pt idx="162">
                  <c:v>7658861.9823272396</c:v>
                </c:pt>
                <c:pt idx="163">
                  <c:v>7658861.9823272396</c:v>
                </c:pt>
                <c:pt idx="164">
                  <c:v>7658861.9823272396</c:v>
                </c:pt>
                <c:pt idx="165">
                  <c:v>7658861.9823272396</c:v>
                </c:pt>
                <c:pt idx="166">
                  <c:v>7658861.9823272396</c:v>
                </c:pt>
                <c:pt idx="167">
                  <c:v>7658861.9823272396</c:v>
                </c:pt>
                <c:pt idx="168">
                  <c:v>7658861.9823272396</c:v>
                </c:pt>
                <c:pt idx="169">
                  <c:v>7658861.9823272396</c:v>
                </c:pt>
                <c:pt idx="170">
                  <c:v>7658861.9823272396</c:v>
                </c:pt>
                <c:pt idx="171">
                  <c:v>7658861.9823272396</c:v>
                </c:pt>
                <c:pt idx="172">
                  <c:v>7658861.9823272396</c:v>
                </c:pt>
                <c:pt idx="173">
                  <c:v>7658861.9823272396</c:v>
                </c:pt>
                <c:pt idx="174">
                  <c:v>7658861.9823272396</c:v>
                </c:pt>
                <c:pt idx="175">
                  <c:v>7658861.9823272396</c:v>
                </c:pt>
                <c:pt idx="176">
                  <c:v>7658861.9823272396</c:v>
                </c:pt>
                <c:pt idx="177">
                  <c:v>7658861.9823272396</c:v>
                </c:pt>
                <c:pt idx="178">
                  <c:v>7658861.9823272396</c:v>
                </c:pt>
                <c:pt idx="179">
                  <c:v>7658861.9823272396</c:v>
                </c:pt>
                <c:pt idx="180">
                  <c:v>7658861.9823272396</c:v>
                </c:pt>
                <c:pt idx="181">
                  <c:v>7658861.9823272396</c:v>
                </c:pt>
                <c:pt idx="182">
                  <c:v>7658861.9823272396</c:v>
                </c:pt>
                <c:pt idx="183">
                  <c:v>7658861.9823272396</c:v>
                </c:pt>
                <c:pt idx="184">
                  <c:v>7658861.9823272396</c:v>
                </c:pt>
                <c:pt idx="185">
                  <c:v>7658861.9823272396</c:v>
                </c:pt>
                <c:pt idx="186">
                  <c:v>7658861.9823272396</c:v>
                </c:pt>
                <c:pt idx="187">
                  <c:v>7658861.9823272396</c:v>
                </c:pt>
                <c:pt idx="188">
                  <c:v>7658861.9823272396</c:v>
                </c:pt>
                <c:pt idx="189">
                  <c:v>7658861.9823272396</c:v>
                </c:pt>
                <c:pt idx="190">
                  <c:v>7658861.9823272396</c:v>
                </c:pt>
                <c:pt idx="191">
                  <c:v>7658861.9823272396</c:v>
                </c:pt>
                <c:pt idx="192">
                  <c:v>7658861.9823272396</c:v>
                </c:pt>
                <c:pt idx="193">
                  <c:v>7658861.9823272396</c:v>
                </c:pt>
                <c:pt idx="194">
                  <c:v>7658861.9823272396</c:v>
                </c:pt>
                <c:pt idx="195">
                  <c:v>7658861.9823272396</c:v>
                </c:pt>
                <c:pt idx="196">
                  <c:v>7658861.9823272396</c:v>
                </c:pt>
                <c:pt idx="197">
                  <c:v>7658861.9823272396</c:v>
                </c:pt>
                <c:pt idx="198">
                  <c:v>7658861.9823272396</c:v>
                </c:pt>
                <c:pt idx="199">
                  <c:v>7658861.9823272396</c:v>
                </c:pt>
                <c:pt idx="200">
                  <c:v>7658861.9823272396</c:v>
                </c:pt>
                <c:pt idx="201">
                  <c:v>7658861.9823272396</c:v>
                </c:pt>
                <c:pt idx="202">
                  <c:v>7658861.9823272396</c:v>
                </c:pt>
                <c:pt idx="203">
                  <c:v>7658861.9823272396</c:v>
                </c:pt>
                <c:pt idx="204">
                  <c:v>7658861.9823272396</c:v>
                </c:pt>
                <c:pt idx="205">
                  <c:v>7658861.9823272396</c:v>
                </c:pt>
                <c:pt idx="206">
                  <c:v>7658861.9823272396</c:v>
                </c:pt>
                <c:pt idx="207">
                  <c:v>7658861.9823272396</c:v>
                </c:pt>
                <c:pt idx="208">
                  <c:v>7658861.9823272396</c:v>
                </c:pt>
                <c:pt idx="209">
                  <c:v>7658861.9823272396</c:v>
                </c:pt>
                <c:pt idx="210">
                  <c:v>7658861.9823272396</c:v>
                </c:pt>
                <c:pt idx="211">
                  <c:v>7658861.9823272396</c:v>
                </c:pt>
                <c:pt idx="212">
                  <c:v>7658861.9823272396</c:v>
                </c:pt>
                <c:pt idx="213">
                  <c:v>7658861.9823272396</c:v>
                </c:pt>
                <c:pt idx="214">
                  <c:v>7658861.9823272396</c:v>
                </c:pt>
                <c:pt idx="215">
                  <c:v>7658861.9823272396</c:v>
                </c:pt>
                <c:pt idx="216">
                  <c:v>7658861.9823272396</c:v>
                </c:pt>
                <c:pt idx="217">
                  <c:v>7658861.9823272396</c:v>
                </c:pt>
                <c:pt idx="218">
                  <c:v>7658861.9823272396</c:v>
                </c:pt>
                <c:pt idx="219">
                  <c:v>7658861.9823272396</c:v>
                </c:pt>
                <c:pt idx="220">
                  <c:v>7658861.9823272396</c:v>
                </c:pt>
                <c:pt idx="221">
                  <c:v>7658861.9823272396</c:v>
                </c:pt>
                <c:pt idx="222">
                  <c:v>7658861.9823272396</c:v>
                </c:pt>
                <c:pt idx="223">
                  <c:v>7658861.9823272396</c:v>
                </c:pt>
                <c:pt idx="224">
                  <c:v>7658861.9823272396</c:v>
                </c:pt>
                <c:pt idx="225">
                  <c:v>7658861.9823272396</c:v>
                </c:pt>
                <c:pt idx="226">
                  <c:v>7658861.9823272396</c:v>
                </c:pt>
                <c:pt idx="227">
                  <c:v>7658861.9823272396</c:v>
                </c:pt>
                <c:pt idx="228">
                  <c:v>7658861.9823272396</c:v>
                </c:pt>
                <c:pt idx="229">
                  <c:v>7658861.9823272396</c:v>
                </c:pt>
                <c:pt idx="230">
                  <c:v>7658861.9823272396</c:v>
                </c:pt>
                <c:pt idx="231">
                  <c:v>7658861.9823272396</c:v>
                </c:pt>
                <c:pt idx="232">
                  <c:v>7658861.9823272396</c:v>
                </c:pt>
                <c:pt idx="233">
                  <c:v>7658861.9823272396</c:v>
                </c:pt>
                <c:pt idx="234">
                  <c:v>7658861.9823272396</c:v>
                </c:pt>
                <c:pt idx="235">
                  <c:v>7658861.9823272396</c:v>
                </c:pt>
                <c:pt idx="236">
                  <c:v>7658861.9823272396</c:v>
                </c:pt>
                <c:pt idx="237">
                  <c:v>7658861.9823272396</c:v>
                </c:pt>
                <c:pt idx="238">
                  <c:v>7658861.9823272396</c:v>
                </c:pt>
                <c:pt idx="239">
                  <c:v>7658861.9823272396</c:v>
                </c:pt>
                <c:pt idx="240">
                  <c:v>7658861.9823272396</c:v>
                </c:pt>
                <c:pt idx="241">
                  <c:v>7658861.9823272396</c:v>
                </c:pt>
                <c:pt idx="242">
                  <c:v>7658861.9823272396</c:v>
                </c:pt>
                <c:pt idx="243">
                  <c:v>7658861.9823272396</c:v>
                </c:pt>
                <c:pt idx="244">
                  <c:v>7658861.9823272396</c:v>
                </c:pt>
                <c:pt idx="245">
                  <c:v>7658861.9823272396</c:v>
                </c:pt>
                <c:pt idx="246">
                  <c:v>7658861.9823272396</c:v>
                </c:pt>
                <c:pt idx="247">
                  <c:v>7658861.9823272396</c:v>
                </c:pt>
                <c:pt idx="248">
                  <c:v>7658861.9823272396</c:v>
                </c:pt>
                <c:pt idx="249">
                  <c:v>7658861.9823272396</c:v>
                </c:pt>
                <c:pt idx="250">
                  <c:v>7658861.9823272396</c:v>
                </c:pt>
                <c:pt idx="251">
                  <c:v>7658861.9823272396</c:v>
                </c:pt>
                <c:pt idx="252">
                  <c:v>7658861.9823272396</c:v>
                </c:pt>
                <c:pt idx="253">
                  <c:v>7658861.9823272396</c:v>
                </c:pt>
                <c:pt idx="254">
                  <c:v>7658861.9823272396</c:v>
                </c:pt>
                <c:pt idx="255">
                  <c:v>7658861.9823272396</c:v>
                </c:pt>
                <c:pt idx="256">
                  <c:v>7658861.9823272396</c:v>
                </c:pt>
                <c:pt idx="257">
                  <c:v>7658861.9823272396</c:v>
                </c:pt>
                <c:pt idx="258">
                  <c:v>7658861.9823272396</c:v>
                </c:pt>
                <c:pt idx="259">
                  <c:v>7658861.9823272396</c:v>
                </c:pt>
                <c:pt idx="260">
                  <c:v>7658861.9823272396</c:v>
                </c:pt>
                <c:pt idx="261">
                  <c:v>7658861.9823272396</c:v>
                </c:pt>
                <c:pt idx="262">
                  <c:v>7658861.9823272396</c:v>
                </c:pt>
                <c:pt idx="263">
                  <c:v>7658861.9823272396</c:v>
                </c:pt>
                <c:pt idx="264">
                  <c:v>7658861.9823272396</c:v>
                </c:pt>
                <c:pt idx="265">
                  <c:v>7658861.9823272396</c:v>
                </c:pt>
                <c:pt idx="266">
                  <c:v>7658861.9823272396</c:v>
                </c:pt>
                <c:pt idx="267">
                  <c:v>7658861.9823272396</c:v>
                </c:pt>
                <c:pt idx="268">
                  <c:v>7658861.9823272396</c:v>
                </c:pt>
                <c:pt idx="269">
                  <c:v>7658861.9823272396</c:v>
                </c:pt>
                <c:pt idx="270">
                  <c:v>7658861.9823272396</c:v>
                </c:pt>
                <c:pt idx="271">
                  <c:v>7658861.9823272396</c:v>
                </c:pt>
                <c:pt idx="272">
                  <c:v>7658861.9823272396</c:v>
                </c:pt>
                <c:pt idx="273">
                  <c:v>7658861.9823272396</c:v>
                </c:pt>
                <c:pt idx="274">
                  <c:v>7658861.9823272396</c:v>
                </c:pt>
                <c:pt idx="275">
                  <c:v>7658861.9823272396</c:v>
                </c:pt>
                <c:pt idx="276">
                  <c:v>7658861.9823272396</c:v>
                </c:pt>
                <c:pt idx="277">
                  <c:v>7658861.9823272396</c:v>
                </c:pt>
                <c:pt idx="278">
                  <c:v>7658861.9823272396</c:v>
                </c:pt>
                <c:pt idx="279">
                  <c:v>7658861.9823272396</c:v>
                </c:pt>
                <c:pt idx="280">
                  <c:v>7658861.9823272396</c:v>
                </c:pt>
                <c:pt idx="281">
                  <c:v>7658861.9823272396</c:v>
                </c:pt>
                <c:pt idx="282">
                  <c:v>7658861.9823272396</c:v>
                </c:pt>
                <c:pt idx="283">
                  <c:v>7658861.9823272396</c:v>
                </c:pt>
                <c:pt idx="284">
                  <c:v>7658861.9823272396</c:v>
                </c:pt>
                <c:pt idx="285">
                  <c:v>7658861.9823272396</c:v>
                </c:pt>
                <c:pt idx="286">
                  <c:v>7658861.9823272396</c:v>
                </c:pt>
                <c:pt idx="287">
                  <c:v>7658861.9823272396</c:v>
                </c:pt>
                <c:pt idx="288">
                  <c:v>7658861.9823272396</c:v>
                </c:pt>
                <c:pt idx="289">
                  <c:v>7658861.9823272396</c:v>
                </c:pt>
                <c:pt idx="290">
                  <c:v>7658861.9823272396</c:v>
                </c:pt>
                <c:pt idx="291">
                  <c:v>7658861.9823272396</c:v>
                </c:pt>
                <c:pt idx="292">
                  <c:v>7658861.9823272396</c:v>
                </c:pt>
                <c:pt idx="293">
                  <c:v>7658861.9823272396</c:v>
                </c:pt>
                <c:pt idx="294">
                  <c:v>7658861.9823272396</c:v>
                </c:pt>
                <c:pt idx="295">
                  <c:v>7658861.9823272396</c:v>
                </c:pt>
                <c:pt idx="296">
                  <c:v>7658861.9823272396</c:v>
                </c:pt>
                <c:pt idx="297">
                  <c:v>7658861.9823272396</c:v>
                </c:pt>
                <c:pt idx="298">
                  <c:v>7658861.9823272396</c:v>
                </c:pt>
                <c:pt idx="299">
                  <c:v>7658861.9823272396</c:v>
                </c:pt>
                <c:pt idx="300">
                  <c:v>7658861.9823272396</c:v>
                </c:pt>
                <c:pt idx="301">
                  <c:v>7658861.9823272396</c:v>
                </c:pt>
                <c:pt idx="302">
                  <c:v>7658861.9823272396</c:v>
                </c:pt>
                <c:pt idx="303">
                  <c:v>7658861.9823272396</c:v>
                </c:pt>
                <c:pt idx="304">
                  <c:v>7658861.9823272396</c:v>
                </c:pt>
                <c:pt idx="305">
                  <c:v>7658861.9823272396</c:v>
                </c:pt>
                <c:pt idx="306">
                  <c:v>7658861.9823272396</c:v>
                </c:pt>
                <c:pt idx="307">
                  <c:v>7658861.9823272396</c:v>
                </c:pt>
                <c:pt idx="308">
                  <c:v>7658861.9823272396</c:v>
                </c:pt>
                <c:pt idx="309">
                  <c:v>7658861.9823272396</c:v>
                </c:pt>
                <c:pt idx="310">
                  <c:v>7658861.9823272396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2016173.2919999994</c:v>
                </c:pt>
                <c:pt idx="55">
                  <c:v>1636726.936999999</c:v>
                </c:pt>
                <c:pt idx="56">
                  <c:v>1636726.936999999</c:v>
                </c:pt>
                <c:pt idx="57">
                  <c:v>1547838.9319999991</c:v>
                </c:pt>
                <c:pt idx="58">
                  <c:v>1547838.9319999991</c:v>
                </c:pt>
                <c:pt idx="59">
                  <c:v>1369037.9119999995</c:v>
                </c:pt>
                <c:pt idx="60">
                  <c:v>1102908.9819999998</c:v>
                </c:pt>
                <c:pt idx="61">
                  <c:v>3292479.5719999997</c:v>
                </c:pt>
                <c:pt idx="62">
                  <c:v>2994987.182</c:v>
                </c:pt>
                <c:pt idx="63">
                  <c:v>2909836.6720000003</c:v>
                </c:pt>
                <c:pt idx="64">
                  <c:v>2909836.6720000003</c:v>
                </c:pt>
                <c:pt idx="65">
                  <c:v>2909836.6720000003</c:v>
                </c:pt>
                <c:pt idx="66">
                  <c:v>2769482.36767276</c:v>
                </c:pt>
                <c:pt idx="67">
                  <c:v>2769482.36767276</c:v>
                </c:pt>
                <c:pt idx="68">
                  <c:v>2769482.36767276</c:v>
                </c:pt>
                <c:pt idx="69">
                  <c:v>2769482.36767276</c:v>
                </c:pt>
                <c:pt idx="70">
                  <c:v>2769482.36767276</c:v>
                </c:pt>
                <c:pt idx="71">
                  <c:v>2769482.36767276</c:v>
                </c:pt>
                <c:pt idx="72">
                  <c:v>2769482.36767276</c:v>
                </c:pt>
                <c:pt idx="73">
                  <c:v>2769482.36767276</c:v>
                </c:pt>
                <c:pt idx="74">
                  <c:v>2769482.36767276</c:v>
                </c:pt>
                <c:pt idx="75">
                  <c:v>2769482.36767276</c:v>
                </c:pt>
                <c:pt idx="76">
                  <c:v>2769482.36767276</c:v>
                </c:pt>
                <c:pt idx="77">
                  <c:v>2769482.36767276</c:v>
                </c:pt>
                <c:pt idx="78">
                  <c:v>2769482.36767276</c:v>
                </c:pt>
                <c:pt idx="79">
                  <c:v>2769482.36767276</c:v>
                </c:pt>
                <c:pt idx="80">
                  <c:v>2769482.36767276</c:v>
                </c:pt>
                <c:pt idx="81">
                  <c:v>2769482.36767276</c:v>
                </c:pt>
                <c:pt idx="82">
                  <c:v>2769482.36767276</c:v>
                </c:pt>
                <c:pt idx="83">
                  <c:v>2769482.36767276</c:v>
                </c:pt>
                <c:pt idx="84">
                  <c:v>2769482.36767276</c:v>
                </c:pt>
                <c:pt idx="85">
                  <c:v>2769482.36767276</c:v>
                </c:pt>
                <c:pt idx="86">
                  <c:v>2769482.36767276</c:v>
                </c:pt>
                <c:pt idx="87">
                  <c:v>2769482.36767276</c:v>
                </c:pt>
                <c:pt idx="88">
                  <c:v>2769482.36767276</c:v>
                </c:pt>
                <c:pt idx="89">
                  <c:v>2769482.36767276</c:v>
                </c:pt>
                <c:pt idx="90">
                  <c:v>2769482.36767276</c:v>
                </c:pt>
                <c:pt idx="91">
                  <c:v>2769482.36767276</c:v>
                </c:pt>
                <c:pt idx="92">
                  <c:v>2769482.36767276</c:v>
                </c:pt>
                <c:pt idx="93">
                  <c:v>2769482.36767276</c:v>
                </c:pt>
                <c:pt idx="94">
                  <c:v>2769482.36767276</c:v>
                </c:pt>
                <c:pt idx="95">
                  <c:v>2769482.36767276</c:v>
                </c:pt>
                <c:pt idx="96">
                  <c:v>2769482.36767276</c:v>
                </c:pt>
                <c:pt idx="97">
                  <c:v>2769482.36767276</c:v>
                </c:pt>
                <c:pt idx="98">
                  <c:v>2769482.36767276</c:v>
                </c:pt>
                <c:pt idx="99">
                  <c:v>2769482.36767276</c:v>
                </c:pt>
                <c:pt idx="100">
                  <c:v>2769482.36767276</c:v>
                </c:pt>
                <c:pt idx="101">
                  <c:v>2769482.36767276</c:v>
                </c:pt>
                <c:pt idx="102">
                  <c:v>2769482.36767276</c:v>
                </c:pt>
                <c:pt idx="103">
                  <c:v>2769482.36767276</c:v>
                </c:pt>
                <c:pt idx="104">
                  <c:v>2769482.36767276</c:v>
                </c:pt>
                <c:pt idx="105">
                  <c:v>2769482.36767276</c:v>
                </c:pt>
                <c:pt idx="106">
                  <c:v>2769482.36767276</c:v>
                </c:pt>
                <c:pt idx="107">
                  <c:v>2769482.36767276</c:v>
                </c:pt>
                <c:pt idx="108">
                  <c:v>2769482.36767276</c:v>
                </c:pt>
                <c:pt idx="109">
                  <c:v>2769482.36767276</c:v>
                </c:pt>
                <c:pt idx="110">
                  <c:v>2769482.36767276</c:v>
                </c:pt>
                <c:pt idx="111">
                  <c:v>2769482.36767276</c:v>
                </c:pt>
                <c:pt idx="112">
                  <c:v>2769482.36767276</c:v>
                </c:pt>
                <c:pt idx="113">
                  <c:v>2769482.36767276</c:v>
                </c:pt>
                <c:pt idx="114">
                  <c:v>2769482.36767276</c:v>
                </c:pt>
                <c:pt idx="115">
                  <c:v>2769482.36767276</c:v>
                </c:pt>
                <c:pt idx="116">
                  <c:v>2769482.36767276</c:v>
                </c:pt>
                <c:pt idx="117">
                  <c:v>2769482.36767276</c:v>
                </c:pt>
                <c:pt idx="118">
                  <c:v>2769482.36767276</c:v>
                </c:pt>
                <c:pt idx="119">
                  <c:v>2769482.36767276</c:v>
                </c:pt>
                <c:pt idx="120">
                  <c:v>2769482.36767276</c:v>
                </c:pt>
                <c:pt idx="121">
                  <c:v>2769482.36767276</c:v>
                </c:pt>
                <c:pt idx="122">
                  <c:v>2769482.36767276</c:v>
                </c:pt>
                <c:pt idx="123">
                  <c:v>2769482.36767276</c:v>
                </c:pt>
                <c:pt idx="124">
                  <c:v>2769482.36767276</c:v>
                </c:pt>
                <c:pt idx="125">
                  <c:v>2769482.36767276</c:v>
                </c:pt>
                <c:pt idx="126">
                  <c:v>2769482.36767276</c:v>
                </c:pt>
                <c:pt idx="127">
                  <c:v>2769482.36767276</c:v>
                </c:pt>
                <c:pt idx="128">
                  <c:v>2769482.36767276</c:v>
                </c:pt>
                <c:pt idx="129">
                  <c:v>2769482.36767276</c:v>
                </c:pt>
                <c:pt idx="130">
                  <c:v>2769482.36767276</c:v>
                </c:pt>
                <c:pt idx="131">
                  <c:v>2769482.36767276</c:v>
                </c:pt>
                <c:pt idx="132">
                  <c:v>2769482.36767276</c:v>
                </c:pt>
                <c:pt idx="133">
                  <c:v>2769482.36767276</c:v>
                </c:pt>
                <c:pt idx="134">
                  <c:v>2769482.36767276</c:v>
                </c:pt>
                <c:pt idx="135">
                  <c:v>2769482.36767276</c:v>
                </c:pt>
                <c:pt idx="136">
                  <c:v>2769482.36767276</c:v>
                </c:pt>
                <c:pt idx="137">
                  <c:v>2769482.36767276</c:v>
                </c:pt>
                <c:pt idx="138">
                  <c:v>2769482.36767276</c:v>
                </c:pt>
                <c:pt idx="139">
                  <c:v>2769482.36767276</c:v>
                </c:pt>
                <c:pt idx="140">
                  <c:v>2769482.36767276</c:v>
                </c:pt>
                <c:pt idx="141">
                  <c:v>2769482.36767276</c:v>
                </c:pt>
                <c:pt idx="142">
                  <c:v>2769482.36767276</c:v>
                </c:pt>
                <c:pt idx="143">
                  <c:v>2769482.36767276</c:v>
                </c:pt>
                <c:pt idx="144">
                  <c:v>2769482.36767276</c:v>
                </c:pt>
                <c:pt idx="145">
                  <c:v>2769482.36767276</c:v>
                </c:pt>
                <c:pt idx="146">
                  <c:v>2769482.36767276</c:v>
                </c:pt>
                <c:pt idx="147">
                  <c:v>2769482.36767276</c:v>
                </c:pt>
                <c:pt idx="148">
                  <c:v>2769482.36767276</c:v>
                </c:pt>
                <c:pt idx="149">
                  <c:v>2769482.36767276</c:v>
                </c:pt>
                <c:pt idx="150">
                  <c:v>2769482.36767276</c:v>
                </c:pt>
                <c:pt idx="151">
                  <c:v>2769482.36767276</c:v>
                </c:pt>
                <c:pt idx="152">
                  <c:v>2769482.36767276</c:v>
                </c:pt>
                <c:pt idx="153">
                  <c:v>2769482.36767276</c:v>
                </c:pt>
                <c:pt idx="154">
                  <c:v>2769482.36767276</c:v>
                </c:pt>
                <c:pt idx="155">
                  <c:v>2769482.36767276</c:v>
                </c:pt>
                <c:pt idx="156">
                  <c:v>2769482.36767276</c:v>
                </c:pt>
                <c:pt idx="157">
                  <c:v>2769482.36767276</c:v>
                </c:pt>
                <c:pt idx="158">
                  <c:v>2769482.36767276</c:v>
                </c:pt>
                <c:pt idx="159">
                  <c:v>2769482.36767276</c:v>
                </c:pt>
                <c:pt idx="160">
                  <c:v>2769482.36767276</c:v>
                </c:pt>
                <c:pt idx="161">
                  <c:v>2769482.36767276</c:v>
                </c:pt>
                <c:pt idx="162">
                  <c:v>2769482.36767276</c:v>
                </c:pt>
                <c:pt idx="163">
                  <c:v>2769482.36767276</c:v>
                </c:pt>
                <c:pt idx="164">
                  <c:v>2769482.36767276</c:v>
                </c:pt>
                <c:pt idx="165">
                  <c:v>2769482.36767276</c:v>
                </c:pt>
                <c:pt idx="166">
                  <c:v>2769482.36767276</c:v>
                </c:pt>
                <c:pt idx="167">
                  <c:v>2769482.36767276</c:v>
                </c:pt>
                <c:pt idx="168">
                  <c:v>2769482.36767276</c:v>
                </c:pt>
                <c:pt idx="169">
                  <c:v>2769482.36767276</c:v>
                </c:pt>
                <c:pt idx="170">
                  <c:v>2769482.36767276</c:v>
                </c:pt>
                <c:pt idx="171">
                  <c:v>2769482.36767276</c:v>
                </c:pt>
                <c:pt idx="172">
                  <c:v>2769482.36767276</c:v>
                </c:pt>
                <c:pt idx="173">
                  <c:v>2769482.36767276</c:v>
                </c:pt>
                <c:pt idx="174">
                  <c:v>2769482.36767276</c:v>
                </c:pt>
                <c:pt idx="175">
                  <c:v>2769482.36767276</c:v>
                </c:pt>
                <c:pt idx="176">
                  <c:v>2769482.36767276</c:v>
                </c:pt>
                <c:pt idx="177">
                  <c:v>2769482.36767276</c:v>
                </c:pt>
                <c:pt idx="178">
                  <c:v>2769482.36767276</c:v>
                </c:pt>
                <c:pt idx="179">
                  <c:v>2769482.36767276</c:v>
                </c:pt>
                <c:pt idx="180">
                  <c:v>2769482.36767276</c:v>
                </c:pt>
                <c:pt idx="181">
                  <c:v>2769482.36767276</c:v>
                </c:pt>
                <c:pt idx="182">
                  <c:v>2769482.36767276</c:v>
                </c:pt>
                <c:pt idx="183">
                  <c:v>2769482.36767276</c:v>
                </c:pt>
                <c:pt idx="184">
                  <c:v>2769482.36767276</c:v>
                </c:pt>
                <c:pt idx="185">
                  <c:v>2769482.36767276</c:v>
                </c:pt>
                <c:pt idx="186">
                  <c:v>2769482.36767276</c:v>
                </c:pt>
                <c:pt idx="187">
                  <c:v>2769482.36767276</c:v>
                </c:pt>
                <c:pt idx="188">
                  <c:v>2769482.36767276</c:v>
                </c:pt>
                <c:pt idx="189">
                  <c:v>2769482.36767276</c:v>
                </c:pt>
                <c:pt idx="190">
                  <c:v>2769482.36767276</c:v>
                </c:pt>
                <c:pt idx="191">
                  <c:v>2769482.36767276</c:v>
                </c:pt>
                <c:pt idx="192">
                  <c:v>2769482.36767276</c:v>
                </c:pt>
                <c:pt idx="193">
                  <c:v>2769482.36767276</c:v>
                </c:pt>
                <c:pt idx="194">
                  <c:v>2769482.36767276</c:v>
                </c:pt>
                <c:pt idx="195">
                  <c:v>2769482.36767276</c:v>
                </c:pt>
                <c:pt idx="196">
                  <c:v>2769482.36767276</c:v>
                </c:pt>
                <c:pt idx="197">
                  <c:v>2769482.36767276</c:v>
                </c:pt>
                <c:pt idx="198">
                  <c:v>2769482.36767276</c:v>
                </c:pt>
                <c:pt idx="199">
                  <c:v>2769482.36767276</c:v>
                </c:pt>
                <c:pt idx="200">
                  <c:v>2769482.36767276</c:v>
                </c:pt>
                <c:pt idx="201">
                  <c:v>2769482.36767276</c:v>
                </c:pt>
                <c:pt idx="202">
                  <c:v>2769482.36767276</c:v>
                </c:pt>
                <c:pt idx="203">
                  <c:v>2769482.36767276</c:v>
                </c:pt>
                <c:pt idx="204">
                  <c:v>2769482.36767276</c:v>
                </c:pt>
                <c:pt idx="205">
                  <c:v>2769482.36767276</c:v>
                </c:pt>
                <c:pt idx="206">
                  <c:v>2769482.36767276</c:v>
                </c:pt>
                <c:pt idx="207">
                  <c:v>2769482.36767276</c:v>
                </c:pt>
                <c:pt idx="208">
                  <c:v>2769482.36767276</c:v>
                </c:pt>
                <c:pt idx="209">
                  <c:v>2769482.36767276</c:v>
                </c:pt>
                <c:pt idx="210">
                  <c:v>2769482.36767276</c:v>
                </c:pt>
                <c:pt idx="211">
                  <c:v>2769482.36767276</c:v>
                </c:pt>
                <c:pt idx="212">
                  <c:v>2769482.36767276</c:v>
                </c:pt>
                <c:pt idx="213">
                  <c:v>2769482.36767276</c:v>
                </c:pt>
                <c:pt idx="214">
                  <c:v>2769482.36767276</c:v>
                </c:pt>
                <c:pt idx="215">
                  <c:v>2769482.36767276</c:v>
                </c:pt>
                <c:pt idx="216">
                  <c:v>2769482.36767276</c:v>
                </c:pt>
                <c:pt idx="217">
                  <c:v>2769482.36767276</c:v>
                </c:pt>
                <c:pt idx="218">
                  <c:v>2769482.36767276</c:v>
                </c:pt>
                <c:pt idx="219">
                  <c:v>2769482.36767276</c:v>
                </c:pt>
                <c:pt idx="220">
                  <c:v>2769482.36767276</c:v>
                </c:pt>
                <c:pt idx="221">
                  <c:v>2769482.36767276</c:v>
                </c:pt>
                <c:pt idx="222">
                  <c:v>2769482.36767276</c:v>
                </c:pt>
                <c:pt idx="223">
                  <c:v>2769482.36767276</c:v>
                </c:pt>
                <c:pt idx="224">
                  <c:v>2769482.36767276</c:v>
                </c:pt>
                <c:pt idx="225">
                  <c:v>2769482.36767276</c:v>
                </c:pt>
                <c:pt idx="226">
                  <c:v>2769482.36767276</c:v>
                </c:pt>
                <c:pt idx="227">
                  <c:v>2769482.36767276</c:v>
                </c:pt>
                <c:pt idx="228">
                  <c:v>2769482.36767276</c:v>
                </c:pt>
                <c:pt idx="229">
                  <c:v>2769482.36767276</c:v>
                </c:pt>
                <c:pt idx="230">
                  <c:v>2769482.36767276</c:v>
                </c:pt>
                <c:pt idx="231">
                  <c:v>2769482.36767276</c:v>
                </c:pt>
                <c:pt idx="232">
                  <c:v>2769482.36767276</c:v>
                </c:pt>
                <c:pt idx="233">
                  <c:v>2769482.36767276</c:v>
                </c:pt>
                <c:pt idx="234">
                  <c:v>2769482.36767276</c:v>
                </c:pt>
                <c:pt idx="235">
                  <c:v>2769482.36767276</c:v>
                </c:pt>
                <c:pt idx="236">
                  <c:v>2769482.36767276</c:v>
                </c:pt>
                <c:pt idx="237">
                  <c:v>2769482.36767276</c:v>
                </c:pt>
                <c:pt idx="238">
                  <c:v>2769482.36767276</c:v>
                </c:pt>
                <c:pt idx="239">
                  <c:v>2769482.36767276</c:v>
                </c:pt>
                <c:pt idx="240">
                  <c:v>2769482.36767276</c:v>
                </c:pt>
                <c:pt idx="241">
                  <c:v>2769482.36767276</c:v>
                </c:pt>
                <c:pt idx="242">
                  <c:v>2769482.36767276</c:v>
                </c:pt>
                <c:pt idx="243">
                  <c:v>2769482.36767276</c:v>
                </c:pt>
                <c:pt idx="244">
                  <c:v>2769482.36767276</c:v>
                </c:pt>
                <c:pt idx="245">
                  <c:v>2769482.36767276</c:v>
                </c:pt>
                <c:pt idx="246">
                  <c:v>2769482.36767276</c:v>
                </c:pt>
                <c:pt idx="247">
                  <c:v>2769482.36767276</c:v>
                </c:pt>
                <c:pt idx="248">
                  <c:v>2769482.36767276</c:v>
                </c:pt>
                <c:pt idx="249">
                  <c:v>2769482.36767276</c:v>
                </c:pt>
                <c:pt idx="250">
                  <c:v>2769482.36767276</c:v>
                </c:pt>
                <c:pt idx="251">
                  <c:v>2769482.36767276</c:v>
                </c:pt>
                <c:pt idx="252">
                  <c:v>2769482.36767276</c:v>
                </c:pt>
                <c:pt idx="253">
                  <c:v>2769482.36767276</c:v>
                </c:pt>
                <c:pt idx="254">
                  <c:v>2769482.36767276</c:v>
                </c:pt>
                <c:pt idx="255">
                  <c:v>2769482.36767276</c:v>
                </c:pt>
                <c:pt idx="256">
                  <c:v>2769482.36767276</c:v>
                </c:pt>
                <c:pt idx="257">
                  <c:v>2769482.36767276</c:v>
                </c:pt>
                <c:pt idx="258">
                  <c:v>2769482.36767276</c:v>
                </c:pt>
                <c:pt idx="259">
                  <c:v>2769482.36767276</c:v>
                </c:pt>
                <c:pt idx="260">
                  <c:v>2769482.36767276</c:v>
                </c:pt>
                <c:pt idx="261">
                  <c:v>2769482.36767276</c:v>
                </c:pt>
                <c:pt idx="262">
                  <c:v>2769482.36767276</c:v>
                </c:pt>
                <c:pt idx="263">
                  <c:v>2769482.36767276</c:v>
                </c:pt>
                <c:pt idx="264">
                  <c:v>2769482.36767276</c:v>
                </c:pt>
                <c:pt idx="265">
                  <c:v>2769482.36767276</c:v>
                </c:pt>
                <c:pt idx="266">
                  <c:v>2769482.36767276</c:v>
                </c:pt>
                <c:pt idx="267">
                  <c:v>2769482.36767276</c:v>
                </c:pt>
                <c:pt idx="268">
                  <c:v>2769482.36767276</c:v>
                </c:pt>
                <c:pt idx="269">
                  <c:v>2769482.36767276</c:v>
                </c:pt>
                <c:pt idx="270">
                  <c:v>2769482.36767276</c:v>
                </c:pt>
                <c:pt idx="271">
                  <c:v>2769482.36767276</c:v>
                </c:pt>
                <c:pt idx="272">
                  <c:v>2769482.36767276</c:v>
                </c:pt>
                <c:pt idx="273">
                  <c:v>2769482.36767276</c:v>
                </c:pt>
                <c:pt idx="274">
                  <c:v>2769482.36767276</c:v>
                </c:pt>
                <c:pt idx="275">
                  <c:v>2769482.36767276</c:v>
                </c:pt>
                <c:pt idx="276">
                  <c:v>2769482.36767276</c:v>
                </c:pt>
                <c:pt idx="277">
                  <c:v>2769482.36767276</c:v>
                </c:pt>
                <c:pt idx="278">
                  <c:v>2769482.36767276</c:v>
                </c:pt>
                <c:pt idx="279">
                  <c:v>2769482.36767276</c:v>
                </c:pt>
                <c:pt idx="280">
                  <c:v>2769482.36767276</c:v>
                </c:pt>
                <c:pt idx="281">
                  <c:v>2769482.36767276</c:v>
                </c:pt>
                <c:pt idx="282">
                  <c:v>2769482.36767276</c:v>
                </c:pt>
                <c:pt idx="283">
                  <c:v>2769482.36767276</c:v>
                </c:pt>
                <c:pt idx="284">
                  <c:v>2769482.36767276</c:v>
                </c:pt>
                <c:pt idx="285">
                  <c:v>2769482.36767276</c:v>
                </c:pt>
                <c:pt idx="286">
                  <c:v>2769482.36767276</c:v>
                </c:pt>
                <c:pt idx="287">
                  <c:v>2769482.36767276</c:v>
                </c:pt>
                <c:pt idx="288">
                  <c:v>2769482.36767276</c:v>
                </c:pt>
                <c:pt idx="289">
                  <c:v>2769482.36767276</c:v>
                </c:pt>
                <c:pt idx="290">
                  <c:v>2769482.36767276</c:v>
                </c:pt>
                <c:pt idx="291">
                  <c:v>2769482.36767276</c:v>
                </c:pt>
                <c:pt idx="292">
                  <c:v>2769482.36767276</c:v>
                </c:pt>
                <c:pt idx="293">
                  <c:v>2769482.36767276</c:v>
                </c:pt>
                <c:pt idx="294">
                  <c:v>2769482.36767276</c:v>
                </c:pt>
                <c:pt idx="295">
                  <c:v>2769482.36767276</c:v>
                </c:pt>
                <c:pt idx="296">
                  <c:v>2769482.36767276</c:v>
                </c:pt>
                <c:pt idx="297">
                  <c:v>2769482.36767276</c:v>
                </c:pt>
                <c:pt idx="298">
                  <c:v>2769482.36767276</c:v>
                </c:pt>
                <c:pt idx="299">
                  <c:v>2769482.36767276</c:v>
                </c:pt>
                <c:pt idx="300">
                  <c:v>2769482.36767276</c:v>
                </c:pt>
                <c:pt idx="301">
                  <c:v>2769482.36767276</c:v>
                </c:pt>
                <c:pt idx="302">
                  <c:v>2769482.36767276</c:v>
                </c:pt>
                <c:pt idx="303">
                  <c:v>2769482.36767276</c:v>
                </c:pt>
                <c:pt idx="304">
                  <c:v>2769482.36767276</c:v>
                </c:pt>
                <c:pt idx="305">
                  <c:v>2769482.36767276</c:v>
                </c:pt>
                <c:pt idx="306">
                  <c:v>2769482.36767276</c:v>
                </c:pt>
                <c:pt idx="307">
                  <c:v>2769482.36767276</c:v>
                </c:pt>
                <c:pt idx="308">
                  <c:v>2769482.36767276</c:v>
                </c:pt>
                <c:pt idx="309">
                  <c:v>2769482.36767276</c:v>
                </c:pt>
                <c:pt idx="310">
                  <c:v>2769482.36767276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9446307.6960294805</c:v>
                </c:pt>
                <c:pt idx="58">
                  <c:v>9446307.6960294805</c:v>
                </c:pt>
                <c:pt idx="59">
                  <c:v>9446307.6960294805</c:v>
                </c:pt>
                <c:pt idx="60">
                  <c:v>9446307.6960294805</c:v>
                </c:pt>
                <c:pt idx="61">
                  <c:v>9446307.6960294805</c:v>
                </c:pt>
                <c:pt idx="62">
                  <c:v>10428344.337834528</c:v>
                </c:pt>
                <c:pt idx="63">
                  <c:v>10428344.337834528</c:v>
                </c:pt>
                <c:pt idx="64">
                  <c:v>10428344.337834528</c:v>
                </c:pt>
                <c:pt idx="65">
                  <c:v>10428344.337834528</c:v>
                </c:pt>
                <c:pt idx="66">
                  <c:v>10428344.337834528</c:v>
                </c:pt>
                <c:pt idx="67">
                  <c:v>10428344.337834528</c:v>
                </c:pt>
                <c:pt idx="68">
                  <c:v>10428344.337834528</c:v>
                </c:pt>
                <c:pt idx="69">
                  <c:v>10428344.337834528</c:v>
                </c:pt>
                <c:pt idx="70">
                  <c:v>10428344.337834528</c:v>
                </c:pt>
                <c:pt idx="71">
                  <c:v>10428344.337834528</c:v>
                </c:pt>
                <c:pt idx="72">
                  <c:v>10428344.337834528</c:v>
                </c:pt>
                <c:pt idx="73">
                  <c:v>10428344.337834528</c:v>
                </c:pt>
                <c:pt idx="74">
                  <c:v>10428344.337834528</c:v>
                </c:pt>
                <c:pt idx="75">
                  <c:v>10428344.337834528</c:v>
                </c:pt>
                <c:pt idx="76">
                  <c:v>10428344.337834528</c:v>
                </c:pt>
                <c:pt idx="77">
                  <c:v>10428344.337834528</c:v>
                </c:pt>
                <c:pt idx="78">
                  <c:v>10428344.337834528</c:v>
                </c:pt>
                <c:pt idx="79">
                  <c:v>10428344.337834528</c:v>
                </c:pt>
                <c:pt idx="80">
                  <c:v>10428344.337834528</c:v>
                </c:pt>
                <c:pt idx="81">
                  <c:v>10428344.337834528</c:v>
                </c:pt>
                <c:pt idx="82">
                  <c:v>10428344.337834528</c:v>
                </c:pt>
                <c:pt idx="83">
                  <c:v>10428344.337834528</c:v>
                </c:pt>
                <c:pt idx="84">
                  <c:v>10428344.337834528</c:v>
                </c:pt>
                <c:pt idx="85">
                  <c:v>10428344.337834528</c:v>
                </c:pt>
                <c:pt idx="86">
                  <c:v>10428344.337834528</c:v>
                </c:pt>
                <c:pt idx="87">
                  <c:v>10428344.337834528</c:v>
                </c:pt>
                <c:pt idx="88">
                  <c:v>10428344.337834528</c:v>
                </c:pt>
                <c:pt idx="89">
                  <c:v>10428344.337834528</c:v>
                </c:pt>
                <c:pt idx="90">
                  <c:v>10428344.337834528</c:v>
                </c:pt>
                <c:pt idx="91">
                  <c:v>10428344.337834528</c:v>
                </c:pt>
                <c:pt idx="92">
                  <c:v>10428344.337834528</c:v>
                </c:pt>
                <c:pt idx="93">
                  <c:v>10428344.337834528</c:v>
                </c:pt>
                <c:pt idx="94">
                  <c:v>10428344.337834528</c:v>
                </c:pt>
                <c:pt idx="95">
                  <c:v>10428344.337834528</c:v>
                </c:pt>
                <c:pt idx="96">
                  <c:v>10428344.337834528</c:v>
                </c:pt>
                <c:pt idx="97">
                  <c:v>10428344.337834528</c:v>
                </c:pt>
                <c:pt idx="98">
                  <c:v>10428344.337834528</c:v>
                </c:pt>
                <c:pt idx="99">
                  <c:v>10428344.337834528</c:v>
                </c:pt>
                <c:pt idx="100">
                  <c:v>10428344.337834528</c:v>
                </c:pt>
                <c:pt idx="101">
                  <c:v>10428344.337834528</c:v>
                </c:pt>
                <c:pt idx="102">
                  <c:v>10428344.337834528</c:v>
                </c:pt>
                <c:pt idx="103">
                  <c:v>10428344.337834528</c:v>
                </c:pt>
                <c:pt idx="104">
                  <c:v>10428344.337834528</c:v>
                </c:pt>
                <c:pt idx="105">
                  <c:v>10428344.337834528</c:v>
                </c:pt>
                <c:pt idx="106">
                  <c:v>10428344.337834528</c:v>
                </c:pt>
                <c:pt idx="107">
                  <c:v>10428344.337834528</c:v>
                </c:pt>
                <c:pt idx="108">
                  <c:v>10428344.337834528</c:v>
                </c:pt>
                <c:pt idx="109">
                  <c:v>10428344.337834528</c:v>
                </c:pt>
                <c:pt idx="110">
                  <c:v>10428344.337834528</c:v>
                </c:pt>
                <c:pt idx="111">
                  <c:v>10428344.337834528</c:v>
                </c:pt>
                <c:pt idx="112">
                  <c:v>10428344.337834528</c:v>
                </c:pt>
                <c:pt idx="113">
                  <c:v>10428344.337834528</c:v>
                </c:pt>
                <c:pt idx="114">
                  <c:v>10428344.337834528</c:v>
                </c:pt>
                <c:pt idx="115">
                  <c:v>10428344.337834528</c:v>
                </c:pt>
                <c:pt idx="116">
                  <c:v>10428344.337834528</c:v>
                </c:pt>
                <c:pt idx="117">
                  <c:v>10428344.337834528</c:v>
                </c:pt>
                <c:pt idx="118">
                  <c:v>10428344.337834528</c:v>
                </c:pt>
                <c:pt idx="119">
                  <c:v>10428344.337834528</c:v>
                </c:pt>
                <c:pt idx="120">
                  <c:v>10428344.337834528</c:v>
                </c:pt>
                <c:pt idx="121">
                  <c:v>10428344.337834528</c:v>
                </c:pt>
                <c:pt idx="122">
                  <c:v>10428344.337834528</c:v>
                </c:pt>
                <c:pt idx="123">
                  <c:v>10428344.337834528</c:v>
                </c:pt>
                <c:pt idx="124">
                  <c:v>10428344.337834528</c:v>
                </c:pt>
                <c:pt idx="125">
                  <c:v>10428344.337834528</c:v>
                </c:pt>
                <c:pt idx="126">
                  <c:v>10428344.337834528</c:v>
                </c:pt>
                <c:pt idx="127">
                  <c:v>10428344.337834528</c:v>
                </c:pt>
                <c:pt idx="128">
                  <c:v>10428344.337834528</c:v>
                </c:pt>
                <c:pt idx="129">
                  <c:v>10428344.337834528</c:v>
                </c:pt>
                <c:pt idx="130">
                  <c:v>10428344.337834528</c:v>
                </c:pt>
                <c:pt idx="131">
                  <c:v>10428344.337834528</c:v>
                </c:pt>
                <c:pt idx="132">
                  <c:v>10428344.337834528</c:v>
                </c:pt>
                <c:pt idx="133">
                  <c:v>10428344.337834528</c:v>
                </c:pt>
                <c:pt idx="134">
                  <c:v>10428344.337834528</c:v>
                </c:pt>
                <c:pt idx="135">
                  <c:v>10428344.337834528</c:v>
                </c:pt>
                <c:pt idx="136">
                  <c:v>10428344.337834528</c:v>
                </c:pt>
                <c:pt idx="137">
                  <c:v>10428344.337834528</c:v>
                </c:pt>
                <c:pt idx="138">
                  <c:v>10428344.337834528</c:v>
                </c:pt>
                <c:pt idx="139">
                  <c:v>10428344.337834528</c:v>
                </c:pt>
                <c:pt idx="140">
                  <c:v>10428344.337834528</c:v>
                </c:pt>
                <c:pt idx="141">
                  <c:v>10428344.337834528</c:v>
                </c:pt>
                <c:pt idx="142">
                  <c:v>10428344.337834528</c:v>
                </c:pt>
                <c:pt idx="143">
                  <c:v>10428344.337834528</c:v>
                </c:pt>
                <c:pt idx="144">
                  <c:v>10428344.337834528</c:v>
                </c:pt>
                <c:pt idx="145">
                  <c:v>10428344.337834528</c:v>
                </c:pt>
                <c:pt idx="146">
                  <c:v>10428344.337834528</c:v>
                </c:pt>
                <c:pt idx="147">
                  <c:v>10428344.337834528</c:v>
                </c:pt>
                <c:pt idx="148">
                  <c:v>10428344.337834528</c:v>
                </c:pt>
                <c:pt idx="149">
                  <c:v>10428344.337834528</c:v>
                </c:pt>
                <c:pt idx="150">
                  <c:v>10428344.337834528</c:v>
                </c:pt>
                <c:pt idx="151">
                  <c:v>10428344.337834528</c:v>
                </c:pt>
                <c:pt idx="152">
                  <c:v>10428344.337834528</c:v>
                </c:pt>
                <c:pt idx="153">
                  <c:v>10428344.337834528</c:v>
                </c:pt>
                <c:pt idx="154">
                  <c:v>10428344.337834528</c:v>
                </c:pt>
                <c:pt idx="155">
                  <c:v>10428344.337834528</c:v>
                </c:pt>
                <c:pt idx="156">
                  <c:v>10428344.337834528</c:v>
                </c:pt>
                <c:pt idx="157">
                  <c:v>10428344.337834528</c:v>
                </c:pt>
                <c:pt idx="158">
                  <c:v>10428344.337834528</c:v>
                </c:pt>
                <c:pt idx="159">
                  <c:v>10428344.337834528</c:v>
                </c:pt>
                <c:pt idx="160">
                  <c:v>10428344.337834528</c:v>
                </c:pt>
                <c:pt idx="161">
                  <c:v>10428344.337834528</c:v>
                </c:pt>
                <c:pt idx="162">
                  <c:v>10428344.337834528</c:v>
                </c:pt>
                <c:pt idx="163">
                  <c:v>10428344.337834528</c:v>
                </c:pt>
                <c:pt idx="164">
                  <c:v>10428344.337834528</c:v>
                </c:pt>
                <c:pt idx="165">
                  <c:v>10428344.337834528</c:v>
                </c:pt>
                <c:pt idx="166">
                  <c:v>10428344.337834528</c:v>
                </c:pt>
                <c:pt idx="167">
                  <c:v>10428344.337834528</c:v>
                </c:pt>
                <c:pt idx="168">
                  <c:v>10428344.337834528</c:v>
                </c:pt>
                <c:pt idx="169">
                  <c:v>10428344.337834528</c:v>
                </c:pt>
                <c:pt idx="170">
                  <c:v>10428344.337834528</c:v>
                </c:pt>
                <c:pt idx="171">
                  <c:v>10428344.337834528</c:v>
                </c:pt>
                <c:pt idx="172">
                  <c:v>10428344.337834528</c:v>
                </c:pt>
                <c:pt idx="173">
                  <c:v>10428344.337834528</c:v>
                </c:pt>
                <c:pt idx="174">
                  <c:v>10428344.337834528</c:v>
                </c:pt>
                <c:pt idx="175">
                  <c:v>10428344.337834528</c:v>
                </c:pt>
                <c:pt idx="176">
                  <c:v>10428344.337834528</c:v>
                </c:pt>
                <c:pt idx="177">
                  <c:v>10428344.337834528</c:v>
                </c:pt>
                <c:pt idx="178">
                  <c:v>10428344.337834528</c:v>
                </c:pt>
                <c:pt idx="179">
                  <c:v>10428344.337834528</c:v>
                </c:pt>
                <c:pt idx="180">
                  <c:v>10428344.337834528</c:v>
                </c:pt>
                <c:pt idx="181">
                  <c:v>10428344.337834528</c:v>
                </c:pt>
                <c:pt idx="182">
                  <c:v>10428344.337834528</c:v>
                </c:pt>
                <c:pt idx="183">
                  <c:v>10428344.337834528</c:v>
                </c:pt>
                <c:pt idx="184">
                  <c:v>10428344.337834528</c:v>
                </c:pt>
                <c:pt idx="185">
                  <c:v>10428344.337834528</c:v>
                </c:pt>
                <c:pt idx="186">
                  <c:v>10428344.337834528</c:v>
                </c:pt>
                <c:pt idx="187">
                  <c:v>10428344.337834528</c:v>
                </c:pt>
                <c:pt idx="188">
                  <c:v>10428344.337834528</c:v>
                </c:pt>
                <c:pt idx="189">
                  <c:v>10428344.337834528</c:v>
                </c:pt>
                <c:pt idx="190">
                  <c:v>10428344.337834528</c:v>
                </c:pt>
                <c:pt idx="191">
                  <c:v>10428344.337834528</c:v>
                </c:pt>
                <c:pt idx="192">
                  <c:v>10428344.337834528</c:v>
                </c:pt>
                <c:pt idx="193">
                  <c:v>10428344.337834528</c:v>
                </c:pt>
                <c:pt idx="194">
                  <c:v>10428344.337834528</c:v>
                </c:pt>
                <c:pt idx="195">
                  <c:v>10428344.337834528</c:v>
                </c:pt>
                <c:pt idx="196">
                  <c:v>10428344.337834528</c:v>
                </c:pt>
                <c:pt idx="197">
                  <c:v>10428344.337834528</c:v>
                </c:pt>
                <c:pt idx="198">
                  <c:v>10428344.337834528</c:v>
                </c:pt>
                <c:pt idx="199">
                  <c:v>10428344.337834528</c:v>
                </c:pt>
                <c:pt idx="200">
                  <c:v>10428344.337834528</c:v>
                </c:pt>
                <c:pt idx="201">
                  <c:v>10428344.337834528</c:v>
                </c:pt>
                <c:pt idx="202">
                  <c:v>10428344.337834528</c:v>
                </c:pt>
                <c:pt idx="203">
                  <c:v>10428344.337834528</c:v>
                </c:pt>
                <c:pt idx="204">
                  <c:v>10428344.337834528</c:v>
                </c:pt>
                <c:pt idx="205">
                  <c:v>10428344.337834528</c:v>
                </c:pt>
                <c:pt idx="206">
                  <c:v>10428344.337834528</c:v>
                </c:pt>
                <c:pt idx="207">
                  <c:v>10428344.337834528</c:v>
                </c:pt>
                <c:pt idx="208">
                  <c:v>10428344.337834528</c:v>
                </c:pt>
                <c:pt idx="209">
                  <c:v>10428344.337834528</c:v>
                </c:pt>
                <c:pt idx="210">
                  <c:v>10428344.337834528</c:v>
                </c:pt>
                <c:pt idx="211">
                  <c:v>10428344.337834528</c:v>
                </c:pt>
                <c:pt idx="212">
                  <c:v>10428344.337834528</c:v>
                </c:pt>
                <c:pt idx="213">
                  <c:v>10428344.337834528</c:v>
                </c:pt>
                <c:pt idx="214">
                  <c:v>10428344.337834528</c:v>
                </c:pt>
                <c:pt idx="215">
                  <c:v>10428344.337834528</c:v>
                </c:pt>
                <c:pt idx="216">
                  <c:v>10428344.337834528</c:v>
                </c:pt>
                <c:pt idx="217">
                  <c:v>10428344.337834528</c:v>
                </c:pt>
                <c:pt idx="218">
                  <c:v>10428344.337834528</c:v>
                </c:pt>
                <c:pt idx="219">
                  <c:v>10428344.337834528</c:v>
                </c:pt>
                <c:pt idx="220">
                  <c:v>10428344.337834528</c:v>
                </c:pt>
                <c:pt idx="221">
                  <c:v>10428344.337834528</c:v>
                </c:pt>
                <c:pt idx="222">
                  <c:v>10428344.337834528</c:v>
                </c:pt>
                <c:pt idx="223">
                  <c:v>10428344.337834528</c:v>
                </c:pt>
                <c:pt idx="224">
                  <c:v>10428344.337834528</c:v>
                </c:pt>
                <c:pt idx="225">
                  <c:v>10428344.337834528</c:v>
                </c:pt>
                <c:pt idx="226">
                  <c:v>10428344.337834528</c:v>
                </c:pt>
                <c:pt idx="227">
                  <c:v>10428344.337834528</c:v>
                </c:pt>
                <c:pt idx="228">
                  <c:v>10428344.337834528</c:v>
                </c:pt>
                <c:pt idx="229">
                  <c:v>10428344.337834528</c:v>
                </c:pt>
                <c:pt idx="230">
                  <c:v>10428344.337834528</c:v>
                </c:pt>
                <c:pt idx="231">
                  <c:v>10428344.337834528</c:v>
                </c:pt>
                <c:pt idx="232">
                  <c:v>10428344.337834528</c:v>
                </c:pt>
                <c:pt idx="233">
                  <c:v>10428344.337834528</c:v>
                </c:pt>
                <c:pt idx="234">
                  <c:v>10428344.337834528</c:v>
                </c:pt>
                <c:pt idx="235">
                  <c:v>10428344.337834528</c:v>
                </c:pt>
                <c:pt idx="236">
                  <c:v>10428344.337834528</c:v>
                </c:pt>
                <c:pt idx="237">
                  <c:v>10428344.337834528</c:v>
                </c:pt>
                <c:pt idx="238">
                  <c:v>10428344.337834528</c:v>
                </c:pt>
                <c:pt idx="239">
                  <c:v>10428344.337834528</c:v>
                </c:pt>
                <c:pt idx="240">
                  <c:v>10428344.337834528</c:v>
                </c:pt>
                <c:pt idx="241">
                  <c:v>10428344.337834528</c:v>
                </c:pt>
                <c:pt idx="242">
                  <c:v>10428344.337834528</c:v>
                </c:pt>
                <c:pt idx="243">
                  <c:v>10428344.337834528</c:v>
                </c:pt>
                <c:pt idx="244">
                  <c:v>10428344.337834528</c:v>
                </c:pt>
                <c:pt idx="245">
                  <c:v>10428344.337834528</c:v>
                </c:pt>
                <c:pt idx="246">
                  <c:v>10428344.337834528</c:v>
                </c:pt>
                <c:pt idx="247">
                  <c:v>10428344.337834528</c:v>
                </c:pt>
                <c:pt idx="248">
                  <c:v>10428344.337834528</c:v>
                </c:pt>
                <c:pt idx="249">
                  <c:v>10428344.337834528</c:v>
                </c:pt>
                <c:pt idx="250">
                  <c:v>10428344.337834528</c:v>
                </c:pt>
                <c:pt idx="251">
                  <c:v>10428344.337834528</c:v>
                </c:pt>
                <c:pt idx="252">
                  <c:v>10428344.337834528</c:v>
                </c:pt>
                <c:pt idx="253">
                  <c:v>10428344.337834528</c:v>
                </c:pt>
                <c:pt idx="254">
                  <c:v>10428344.337834528</c:v>
                </c:pt>
                <c:pt idx="255">
                  <c:v>10428344.337834528</c:v>
                </c:pt>
                <c:pt idx="256">
                  <c:v>10428344.337834528</c:v>
                </c:pt>
                <c:pt idx="257">
                  <c:v>10428344.337834528</c:v>
                </c:pt>
                <c:pt idx="258">
                  <c:v>10428344.337834528</c:v>
                </c:pt>
                <c:pt idx="259">
                  <c:v>10428344.337834528</c:v>
                </c:pt>
                <c:pt idx="260">
                  <c:v>10428344.337834528</c:v>
                </c:pt>
                <c:pt idx="261">
                  <c:v>10428344.337834528</c:v>
                </c:pt>
                <c:pt idx="262">
                  <c:v>10428344.337834528</c:v>
                </c:pt>
                <c:pt idx="263">
                  <c:v>10428344.337834528</c:v>
                </c:pt>
                <c:pt idx="264">
                  <c:v>10428344.337834528</c:v>
                </c:pt>
                <c:pt idx="265">
                  <c:v>10428344.337834528</c:v>
                </c:pt>
                <c:pt idx="266">
                  <c:v>10428344.337834528</c:v>
                </c:pt>
                <c:pt idx="267">
                  <c:v>10428344.337834528</c:v>
                </c:pt>
                <c:pt idx="268">
                  <c:v>10428344.337834528</c:v>
                </c:pt>
                <c:pt idx="269">
                  <c:v>10428344.337834528</c:v>
                </c:pt>
                <c:pt idx="270">
                  <c:v>10428344.337834528</c:v>
                </c:pt>
                <c:pt idx="271">
                  <c:v>10428344.337834528</c:v>
                </c:pt>
                <c:pt idx="272">
                  <c:v>10428344.337834528</c:v>
                </c:pt>
                <c:pt idx="273">
                  <c:v>10428344.337834528</c:v>
                </c:pt>
                <c:pt idx="274">
                  <c:v>10428344.337834528</c:v>
                </c:pt>
                <c:pt idx="275">
                  <c:v>10428344.337834528</c:v>
                </c:pt>
                <c:pt idx="276">
                  <c:v>10428344.337834528</c:v>
                </c:pt>
                <c:pt idx="277">
                  <c:v>10428344.337834528</c:v>
                </c:pt>
                <c:pt idx="278">
                  <c:v>10428344.337834528</c:v>
                </c:pt>
                <c:pt idx="279">
                  <c:v>10428344.337834528</c:v>
                </c:pt>
                <c:pt idx="280">
                  <c:v>10428344.337834528</c:v>
                </c:pt>
                <c:pt idx="281">
                  <c:v>10428344.337834528</c:v>
                </c:pt>
                <c:pt idx="282">
                  <c:v>10428344.337834528</c:v>
                </c:pt>
                <c:pt idx="283">
                  <c:v>10428344.337834528</c:v>
                </c:pt>
                <c:pt idx="284">
                  <c:v>10428344.337834528</c:v>
                </c:pt>
                <c:pt idx="285">
                  <c:v>10428344.337834528</c:v>
                </c:pt>
                <c:pt idx="286">
                  <c:v>10428344.337834528</c:v>
                </c:pt>
                <c:pt idx="287">
                  <c:v>10428344.337834528</c:v>
                </c:pt>
                <c:pt idx="288">
                  <c:v>10428344.337834528</c:v>
                </c:pt>
                <c:pt idx="289">
                  <c:v>10428344.337834528</c:v>
                </c:pt>
                <c:pt idx="290">
                  <c:v>10428344.337834528</c:v>
                </c:pt>
                <c:pt idx="291">
                  <c:v>10428344.337834528</c:v>
                </c:pt>
                <c:pt idx="292">
                  <c:v>10428344.337834528</c:v>
                </c:pt>
                <c:pt idx="293">
                  <c:v>10428344.337834528</c:v>
                </c:pt>
                <c:pt idx="294">
                  <c:v>10428344.337834528</c:v>
                </c:pt>
                <c:pt idx="295">
                  <c:v>10428344.337834528</c:v>
                </c:pt>
                <c:pt idx="296">
                  <c:v>10428344.337834528</c:v>
                </c:pt>
                <c:pt idx="297">
                  <c:v>10428344.337834528</c:v>
                </c:pt>
                <c:pt idx="298">
                  <c:v>10428344.337834528</c:v>
                </c:pt>
                <c:pt idx="299">
                  <c:v>10428344.337834528</c:v>
                </c:pt>
                <c:pt idx="300">
                  <c:v>10428344.337834528</c:v>
                </c:pt>
                <c:pt idx="301">
                  <c:v>10428344.337834528</c:v>
                </c:pt>
                <c:pt idx="302">
                  <c:v>10428344.337834528</c:v>
                </c:pt>
                <c:pt idx="303">
                  <c:v>10428344.337834528</c:v>
                </c:pt>
                <c:pt idx="304">
                  <c:v>10428344.337834528</c:v>
                </c:pt>
                <c:pt idx="305">
                  <c:v>10428344.337834528</c:v>
                </c:pt>
                <c:pt idx="306">
                  <c:v>10428344.337834528</c:v>
                </c:pt>
                <c:pt idx="307">
                  <c:v>10428344.337834528</c:v>
                </c:pt>
                <c:pt idx="308">
                  <c:v>10428344.337834528</c:v>
                </c:pt>
                <c:pt idx="309">
                  <c:v>10428344.337834528</c:v>
                </c:pt>
                <c:pt idx="310">
                  <c:v>10428344.337834528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2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26562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8" t="s">
        <v>57</v>
      </c>
      <c r="E47" s="738"/>
      <c r="F47" s="739"/>
      <c r="G47" s="67"/>
      <c r="I47" s="68"/>
      <c r="J47" s="68"/>
    </row>
    <row r="48" spans="1:49" ht="13.9" thickBot="1">
      <c r="C48" s="69">
        <v>44014</v>
      </c>
      <c r="D48" s="740"/>
      <c r="E48" s="740"/>
      <c r="F48" s="74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25"/>
  <cols>
    <col min="1" max="1" width="6.1328125" customWidth="1"/>
    <col min="2" max="2" width="21.265625" customWidth="1"/>
    <col min="3" max="3" width="28.59765625" customWidth="1"/>
    <col min="4" max="4" width="15.398437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744" t="s">
        <v>58</v>
      </c>
      <c r="C2" s="744"/>
      <c r="D2" s="744"/>
      <c r="E2" s="744"/>
      <c r="H2" s="745" t="s">
        <v>59</v>
      </c>
      <c r="I2" s="746"/>
      <c r="J2" s="746"/>
      <c r="K2" s="746"/>
      <c r="L2" s="746"/>
      <c r="M2" s="746"/>
      <c r="N2" s="746"/>
      <c r="O2" s="747"/>
    </row>
    <row r="3" spans="2:15">
      <c r="B3" s="646"/>
      <c r="H3" s="748"/>
      <c r="I3" s="749"/>
      <c r="J3" s="749"/>
      <c r="K3" s="749"/>
      <c r="L3" s="749"/>
      <c r="M3" s="749"/>
      <c r="N3" s="749"/>
      <c r="O3" s="750"/>
    </row>
    <row r="4" spans="2:15">
      <c r="B4" s="647" t="s">
        <v>60</v>
      </c>
      <c r="C4" s="648" t="str">
        <f>'Project Plan'!E2</f>
        <v>Seshego Circle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47" t="s">
        <v>61</v>
      </c>
      <c r="C5" s="648" t="s">
        <v>62</v>
      </c>
      <c r="H5" s="748"/>
      <c r="I5" s="749"/>
      <c r="J5" s="749"/>
      <c r="K5" s="749"/>
      <c r="L5" s="749"/>
      <c r="M5" s="749"/>
      <c r="N5" s="749"/>
      <c r="O5" s="750"/>
    </row>
    <row r="6" spans="2:15">
      <c r="B6" s="647" t="s">
        <v>63</v>
      </c>
      <c r="C6" s="648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47" t="s">
        <v>65</v>
      </c>
      <c r="C7" s="648" t="s">
        <v>66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46"/>
      <c r="H8" s="748"/>
      <c r="I8" s="749"/>
      <c r="J8" s="749"/>
      <c r="K8" s="749"/>
      <c r="L8" s="749"/>
      <c r="M8" s="749"/>
      <c r="N8" s="749"/>
      <c r="O8" s="750"/>
    </row>
    <row r="9" spans="2:15">
      <c r="B9" s="754" t="s">
        <v>67</v>
      </c>
      <c r="C9" s="754"/>
      <c r="D9" s="754"/>
      <c r="E9" s="754"/>
      <c r="H9" s="748"/>
      <c r="I9" s="749"/>
      <c r="J9" s="749"/>
      <c r="K9" s="749"/>
      <c r="L9" s="749"/>
      <c r="M9" s="749"/>
      <c r="N9" s="749"/>
      <c r="O9" s="750"/>
    </row>
    <row r="10" spans="2:15" ht="14.65" thickBot="1">
      <c r="B10" s="754" t="s">
        <v>68</v>
      </c>
      <c r="C10" s="754"/>
      <c r="D10" s="754"/>
      <c r="E10" s="754"/>
      <c r="H10" s="751"/>
      <c r="I10" s="752"/>
      <c r="J10" s="752"/>
      <c r="K10" s="752"/>
      <c r="L10" s="752"/>
      <c r="M10" s="752"/>
      <c r="N10" s="752"/>
      <c r="O10" s="753"/>
    </row>
    <row r="11" spans="2:15">
      <c r="B11" s="649" t="s">
        <v>69</v>
      </c>
      <c r="C11" s="742"/>
      <c r="D11" s="742"/>
      <c r="E11" s="742"/>
    </row>
    <row r="12" spans="2:15">
      <c r="B12" s="649" t="s">
        <v>70</v>
      </c>
      <c r="C12" s="742"/>
      <c r="D12" s="742"/>
      <c r="E12" s="742"/>
    </row>
    <row r="13" spans="2:15">
      <c r="B13" s="649" t="s">
        <v>71</v>
      </c>
      <c r="C13" s="742"/>
      <c r="D13" s="742"/>
      <c r="E13" s="742"/>
    </row>
    <row r="14" spans="2:15">
      <c r="B14" s="649" t="s">
        <v>72</v>
      </c>
      <c r="C14" s="742"/>
      <c r="D14" s="742"/>
      <c r="E14" s="742"/>
    </row>
    <row r="15" spans="2:15">
      <c r="B15" s="649" t="s">
        <v>73</v>
      </c>
      <c r="C15" s="742"/>
      <c r="D15" s="742"/>
      <c r="E15" s="742"/>
    </row>
    <row r="16" spans="2:15" ht="15" customHeight="1">
      <c r="B16" s="649" t="s">
        <v>74</v>
      </c>
      <c r="C16" s="742"/>
      <c r="D16" s="742"/>
      <c r="E16" s="742"/>
    </row>
    <row r="17" spans="2:5">
      <c r="B17" s="646"/>
    </row>
    <row r="18" spans="2:5">
      <c r="B18" s="743" t="s">
        <v>75</v>
      </c>
      <c r="C18" s="743"/>
      <c r="D18" s="743"/>
      <c r="E18" s="743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25"/>
  <cols>
    <col min="1" max="1" width="6.1328125" customWidth="1"/>
    <col min="2" max="2" width="21.265625" customWidth="1"/>
    <col min="3" max="3" width="28.59765625" customWidth="1"/>
    <col min="4" max="4" width="15.398437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744" t="s">
        <v>80</v>
      </c>
      <c r="C2" s="744"/>
      <c r="D2" s="744"/>
      <c r="E2" s="744"/>
      <c r="H2" s="745" t="s">
        <v>81</v>
      </c>
      <c r="I2" s="746"/>
      <c r="J2" s="746"/>
      <c r="K2" s="746"/>
      <c r="L2" s="746"/>
      <c r="M2" s="746"/>
      <c r="N2" s="746"/>
      <c r="O2" s="747"/>
    </row>
    <row r="3" spans="2:15">
      <c r="B3" s="646"/>
      <c r="H3" s="748"/>
      <c r="I3" s="749"/>
      <c r="J3" s="749"/>
      <c r="K3" s="749"/>
      <c r="L3" s="749"/>
      <c r="M3" s="749"/>
      <c r="N3" s="749"/>
      <c r="O3" s="750"/>
    </row>
    <row r="4" spans="2:15">
      <c r="B4" s="647" t="s">
        <v>60</v>
      </c>
      <c r="C4" s="648" t="str">
        <f>'Project Plan'!E2</f>
        <v>Seshego Circle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47" t="s">
        <v>82</v>
      </c>
      <c r="C5" s="648"/>
      <c r="H5" s="748"/>
      <c r="I5" s="749"/>
      <c r="J5" s="749"/>
      <c r="K5" s="749"/>
      <c r="L5" s="749"/>
      <c r="M5" s="749"/>
      <c r="N5" s="749"/>
      <c r="O5" s="750"/>
    </row>
    <row r="6" spans="2:15">
      <c r="B6" s="647" t="s">
        <v>63</v>
      </c>
      <c r="C6" s="648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47" t="s">
        <v>83</v>
      </c>
      <c r="C7" s="648" t="str">
        <f>'Project Plan'!E5</f>
        <v>Eon Van Rensburg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47" t="s">
        <v>84</v>
      </c>
      <c r="C8" s="648"/>
      <c r="H8" s="748"/>
      <c r="I8" s="749"/>
      <c r="J8" s="749"/>
      <c r="K8" s="749"/>
      <c r="L8" s="749"/>
      <c r="M8" s="749"/>
      <c r="N8" s="749"/>
      <c r="O8" s="750"/>
    </row>
    <row r="9" spans="2:15">
      <c r="B9" s="646"/>
      <c r="H9" s="748"/>
      <c r="I9" s="749"/>
      <c r="J9" s="749"/>
      <c r="K9" s="749"/>
      <c r="L9" s="749"/>
      <c r="M9" s="749"/>
      <c r="N9" s="749"/>
      <c r="O9" s="750"/>
    </row>
    <row r="10" spans="2:15">
      <c r="B10" s="754" t="s">
        <v>67</v>
      </c>
      <c r="C10" s="754"/>
      <c r="D10" s="754"/>
      <c r="E10" s="754"/>
      <c r="H10" s="748"/>
      <c r="I10" s="749"/>
      <c r="J10" s="749"/>
      <c r="K10" s="749"/>
      <c r="L10" s="749"/>
      <c r="M10" s="749"/>
      <c r="N10" s="749"/>
      <c r="O10" s="750"/>
    </row>
    <row r="11" spans="2:15" ht="14.65" thickBot="1">
      <c r="B11" s="754" t="s">
        <v>68</v>
      </c>
      <c r="C11" s="754"/>
      <c r="D11" s="754"/>
      <c r="E11" s="754"/>
      <c r="H11" s="751"/>
      <c r="I11" s="752"/>
      <c r="J11" s="752"/>
      <c r="K11" s="752"/>
      <c r="L11" s="752"/>
      <c r="M11" s="752"/>
      <c r="N11" s="752"/>
      <c r="O11" s="753"/>
    </row>
    <row r="12" spans="2:15" ht="25.5">
      <c r="B12" s="649" t="s">
        <v>85</v>
      </c>
      <c r="C12" s="742"/>
      <c r="D12" s="742"/>
      <c r="E12" s="742"/>
    </row>
    <row r="13" spans="2:15">
      <c r="B13" s="649" t="s">
        <v>86</v>
      </c>
      <c r="C13" s="742"/>
      <c r="D13" s="742"/>
      <c r="E13" s="742"/>
    </row>
    <row r="14" spans="2:15">
      <c r="B14" s="649" t="s">
        <v>87</v>
      </c>
      <c r="C14" s="742"/>
      <c r="D14" s="742"/>
      <c r="E14" s="742"/>
    </row>
    <row r="15" spans="2:15">
      <c r="B15" s="649" t="s">
        <v>88</v>
      </c>
      <c r="C15" s="742"/>
      <c r="D15" s="742"/>
      <c r="E15" s="742"/>
    </row>
    <row r="16" spans="2:15" ht="25.5">
      <c r="B16" s="649" t="s">
        <v>89</v>
      </c>
      <c r="C16" s="742"/>
      <c r="D16" s="742"/>
      <c r="E16" s="742"/>
    </row>
    <row r="17" spans="2:5">
      <c r="B17" s="649" t="s">
        <v>90</v>
      </c>
      <c r="C17" s="742"/>
      <c r="D17" s="742"/>
      <c r="E17" s="742"/>
    </row>
    <row r="18" spans="2:5">
      <c r="B18" s="649" t="s">
        <v>91</v>
      </c>
      <c r="C18" s="742"/>
      <c r="D18" s="742"/>
      <c r="E18" s="742"/>
    </row>
    <row r="19" spans="2:5">
      <c r="B19" s="649" t="s">
        <v>92</v>
      </c>
      <c r="C19" s="742"/>
      <c r="D19" s="742"/>
      <c r="E19" s="742"/>
    </row>
    <row r="20" spans="2:5">
      <c r="B20" s="649" t="s">
        <v>93</v>
      </c>
      <c r="C20" s="742"/>
      <c r="D20" s="742"/>
      <c r="E20" s="742"/>
    </row>
    <row r="21" spans="2:5">
      <c r="B21" s="649" t="s">
        <v>94</v>
      </c>
      <c r="C21" s="742"/>
      <c r="D21" s="742"/>
      <c r="E21" s="742"/>
    </row>
    <row r="22" spans="2:5" ht="15" customHeight="1">
      <c r="B22" s="649" t="s">
        <v>74</v>
      </c>
      <c r="C22" s="742"/>
      <c r="D22" s="742"/>
      <c r="E22" s="742"/>
    </row>
    <row r="23" spans="2:5">
      <c r="B23" s="646"/>
    </row>
    <row r="24" spans="2:5">
      <c r="B24" s="743" t="s">
        <v>75</v>
      </c>
      <c r="C24" s="743"/>
      <c r="D24" s="743"/>
      <c r="E24" s="743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17.398437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265625" bestFit="1" customWidth="1"/>
    <col min="10" max="10" width="14.265625" customWidth="1"/>
    <col min="11" max="11" width="77.3984375" customWidth="1"/>
  </cols>
  <sheetData>
    <row r="1" spans="2:15">
      <c r="B1" s="755"/>
      <c r="C1" s="756"/>
      <c r="D1" s="756"/>
      <c r="E1" s="756"/>
      <c r="F1" s="757" t="s">
        <v>95</v>
      </c>
      <c r="G1" s="757"/>
      <c r="H1" s="757"/>
      <c r="I1" s="757"/>
      <c r="J1" s="757"/>
      <c r="K1" s="758"/>
      <c r="L1" s="77"/>
      <c r="M1" s="77"/>
      <c r="N1" s="77"/>
      <c r="O1" s="77"/>
    </row>
    <row r="2" spans="2:15" ht="6.75" customHeight="1"/>
    <row r="3" spans="2:15" s="651" customFormat="1" ht="28.5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5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3984375" defaultRowHeight="13.5"/>
  <cols>
    <col min="1" max="1" width="1.3984375" style="24" customWidth="1"/>
    <col min="2" max="2" width="30.59765625" style="24" bestFit="1" customWidth="1"/>
    <col min="3" max="3" width="19.59765625" style="24" customWidth="1"/>
    <col min="4" max="4" width="33" style="24" customWidth="1"/>
    <col min="5" max="5" width="9.59765625" style="24" customWidth="1"/>
    <col min="6" max="6" width="53.3984375" style="24" customWidth="1"/>
    <col min="7" max="16384" width="8.398437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2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 ht="13.9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265625" bestFit="1" customWidth="1"/>
    <col min="5" max="5" width="10.3984375" customWidth="1"/>
    <col min="6" max="6" width="33.73046875" customWidth="1"/>
  </cols>
  <sheetData>
    <row r="1" spans="2:10" ht="14.65" thickBot="1"/>
    <row r="2" spans="2:10" ht="15" thickTop="1" thickBot="1">
      <c r="B2" s="759" t="s">
        <v>163</v>
      </c>
      <c r="C2" s="760"/>
      <c r="D2" s="760"/>
      <c r="E2" s="760"/>
      <c r="F2" s="761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59" t="s">
        <v>170</v>
      </c>
      <c r="C16" s="760"/>
      <c r="D16" s="760"/>
      <c r="E16" s="760"/>
      <c r="F16" s="761"/>
    </row>
    <row r="17" spans="2:6" ht="14.6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abSelected="1" zoomScaleNormal="100" workbookViewId="0">
      <selection activeCell="O4" sqref="O4"/>
    </sheetView>
  </sheetViews>
  <sheetFormatPr defaultColWidth="8.3984375" defaultRowHeight="13.5"/>
  <cols>
    <col min="1" max="1" width="1.3984375" style="112" customWidth="1"/>
    <col min="2" max="2" width="6.3984375" style="172" bestFit="1" customWidth="1"/>
    <col min="3" max="3" width="50.59765625" style="24" customWidth="1"/>
    <col min="4" max="4" width="3.3984375" style="112" customWidth="1"/>
    <col min="5" max="5" width="14.59765625" style="24" customWidth="1"/>
    <col min="6" max="6" width="10.3984375" style="169" customWidth="1"/>
    <col min="7" max="7" width="13.59765625" style="64" customWidth="1"/>
    <col min="8" max="8" width="1.398437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2.59765625" style="112" customWidth="1"/>
    <col min="14" max="14" width="11.3984375" style="112" bestFit="1" customWidth="1"/>
    <col min="15" max="15" width="39.3984375" style="112" bestFit="1" customWidth="1"/>
    <col min="16" max="16" width="1.3984375" style="112" customWidth="1"/>
    <col min="17" max="17" width="5.265625" style="3" customWidth="1"/>
    <col min="18" max="25" width="8.3984375" style="112"/>
    <col min="26" max="16384" width="8.398437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46077</v>
      </c>
      <c r="O1" s="404">
        <f ca="1">TODAY()</f>
        <v>46077</v>
      </c>
      <c r="Q1" s="3"/>
    </row>
    <row r="2" spans="2:28" ht="13.9">
      <c r="B2" s="177"/>
      <c r="C2" s="178" t="s">
        <v>0</v>
      </c>
      <c r="D2" s="179"/>
      <c r="E2" s="727" t="s">
        <v>173</v>
      </c>
      <c r="F2" s="728"/>
      <c r="G2" s="728"/>
      <c r="H2" s="729"/>
      <c r="N2" s="405">
        <v>0</v>
      </c>
      <c r="O2" s="405" t="s">
        <v>174</v>
      </c>
    </row>
    <row r="3" spans="2:28" s="112" customFormat="1" ht="27.75">
      <c r="B3" s="180"/>
      <c r="C3" s="181" t="s">
        <v>175</v>
      </c>
      <c r="D3" s="179"/>
      <c r="E3" s="412">
        <v>1360</v>
      </c>
      <c r="F3" s="182"/>
      <c r="G3" s="183"/>
      <c r="H3" s="184"/>
      <c r="J3" s="113"/>
      <c r="O3" s="723" t="s">
        <v>598</v>
      </c>
      <c r="Q3" s="3"/>
    </row>
    <row r="4" spans="2:28" s="112" customFormat="1" ht="13.9">
      <c r="B4" s="180"/>
      <c r="C4" s="181" t="s">
        <v>176</v>
      </c>
      <c r="D4" s="179"/>
      <c r="E4" s="730" t="s">
        <v>177</v>
      </c>
      <c r="F4" s="731"/>
      <c r="G4" s="731"/>
      <c r="H4" s="732"/>
      <c r="J4" s="641" t="s">
        <v>178</v>
      </c>
      <c r="K4" s="642">
        <v>45961</v>
      </c>
      <c r="Q4" s="3"/>
    </row>
    <row r="5" spans="2:28" s="112" customFormat="1" ht="13.9">
      <c r="B5" s="180"/>
      <c r="C5" s="181" t="s">
        <v>179</v>
      </c>
      <c r="D5" s="179"/>
      <c r="E5" s="730" t="s">
        <v>180</v>
      </c>
      <c r="F5" s="731"/>
      <c r="G5" s="731"/>
      <c r="H5" s="732"/>
      <c r="J5" s="113"/>
      <c r="Q5" s="3"/>
    </row>
    <row r="6" spans="2:28" ht="13.9">
      <c r="B6" s="185"/>
      <c r="C6" s="186" t="s">
        <v>181</v>
      </c>
      <c r="D6" s="179"/>
      <c r="E6" s="733">
        <v>10428344.3461792</v>
      </c>
      <c r="F6" s="734"/>
      <c r="G6" s="734"/>
      <c r="H6" s="735"/>
    </row>
    <row r="7" spans="2:28" s="112" customFormat="1" ht="13.9">
      <c r="B7" s="168"/>
      <c r="C7" s="699" t="s">
        <v>182</v>
      </c>
      <c r="E7" s="698" t="s">
        <v>183</v>
      </c>
      <c r="F7" s="169"/>
      <c r="G7" s="187"/>
      <c r="J7" s="113"/>
      <c r="Q7" s="3"/>
    </row>
    <row r="8" spans="2:28" ht="30" customHeight="1">
      <c r="B8" s="724" t="s">
        <v>184</v>
      </c>
      <c r="C8" s="725" t="s">
        <v>185</v>
      </c>
      <c r="D8" s="216"/>
      <c r="E8" s="726" t="s">
        <v>186</v>
      </c>
      <c r="F8" s="238" t="s">
        <v>187</v>
      </c>
      <c r="G8" s="726" t="s">
        <v>188</v>
      </c>
      <c r="H8" s="239"/>
      <c r="I8" s="726" t="s">
        <v>189</v>
      </c>
      <c r="J8" s="238" t="s">
        <v>187</v>
      </c>
      <c r="K8" s="726" t="s">
        <v>190</v>
      </c>
      <c r="M8" s="411" t="s">
        <v>102</v>
      </c>
      <c r="N8" s="411" t="s">
        <v>102</v>
      </c>
      <c r="O8" s="736" t="s">
        <v>191</v>
      </c>
      <c r="Z8" s="112"/>
      <c r="AA8" s="112"/>
      <c r="AB8" s="112"/>
    </row>
    <row r="9" spans="2:28" ht="13.9">
      <c r="B9" s="724"/>
      <c r="C9" s="725"/>
      <c r="D9" s="216"/>
      <c r="E9" s="726"/>
      <c r="F9" s="126">
        <f>G51-E19</f>
        <v>60</v>
      </c>
      <c r="G9" s="726"/>
      <c r="H9" s="239"/>
      <c r="I9" s="726"/>
      <c r="J9" s="127">
        <f>K51-I19</f>
        <v>142</v>
      </c>
      <c r="K9" s="726"/>
      <c r="M9" s="363">
        <f>AVERAGE(M11,M18,M23,M33,M42,M47,M56,M53)</f>
        <v>0.64254385964912286</v>
      </c>
      <c r="N9" s="363">
        <f ca="1">AVERAGE(N11,N18,N23,N33,N42,N47,N56,N53)</f>
        <v>0.64254385964912286</v>
      </c>
      <c r="O9" s="737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3.9">
      <c r="B11" s="245">
        <v>1</v>
      </c>
      <c r="C11" s="246" t="s">
        <v>192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9" t="s">
        <v>193</v>
      </c>
      <c r="C12" s="250" t="s">
        <v>194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9" t="s">
        <v>195</v>
      </c>
      <c r="C13" s="250" t="s">
        <v>196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9" t="s">
        <v>197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 ht="13.9">
      <c r="B15" s="249" t="s">
        <v>198</v>
      </c>
      <c r="C15" s="250" t="s">
        <v>199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 ht="13.9">
      <c r="B16" s="249" t="s">
        <v>200</v>
      </c>
      <c r="C16" s="250" t="s">
        <v>201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ht="13.9">
      <c r="B18" s="245">
        <v>2</v>
      </c>
      <c r="C18" s="246" t="s">
        <v>202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9" t="s">
        <v>203</v>
      </c>
      <c r="C19" s="250" t="s">
        <v>204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79</v>
      </c>
      <c r="T19" s="121" t="s">
        <v>205</v>
      </c>
      <c r="U19" s="121"/>
      <c r="V19" s="121"/>
      <c r="W19" s="121"/>
      <c r="X19" s="121"/>
      <c r="Z19" s="121"/>
      <c r="AA19" s="121"/>
      <c r="AB19" s="121"/>
    </row>
    <row r="20" spans="2:28" s="112" customFormat="1" ht="13.9">
      <c r="B20" s="249" t="s">
        <v>206</v>
      </c>
      <c r="C20" s="250" t="s">
        <v>207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13.9">
      <c r="B21" s="249" t="s">
        <v>206</v>
      </c>
      <c r="C21" s="250" t="s">
        <v>208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 ht="13.9">
      <c r="B23" s="245">
        <v>3</v>
      </c>
      <c r="C23" s="246" t="s">
        <v>209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154</v>
      </c>
      <c r="K23" s="247">
        <f>MAX(K24:K31)</f>
        <v>46083</v>
      </c>
      <c r="M23" s="362">
        <f>(J24*M24+J25*M25+J26*M26+J27*M27+J31*M31+J28*M28+J29*M29+J30*M30)/SUM(J24:J31)</f>
        <v>0.97368421052631582</v>
      </c>
      <c r="N23" s="362">
        <f ca="1">(J24*N24+J25*N25+J26*N26+J27*N27+J31*N31+J28*N28+J29*N29+J30*N30)/SUM(J24:J31)</f>
        <v>0.97368421052631582</v>
      </c>
      <c r="O23" s="119"/>
      <c r="P23" s="112"/>
      <c r="Q23" s="123"/>
      <c r="R23" s="118"/>
      <c r="S23" s="121">
        <f>S19/5</f>
        <v>15.8</v>
      </c>
      <c r="T23" s="121" t="s">
        <v>210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 ht="13.9">
      <c r="B24" s="249" t="s">
        <v>211</v>
      </c>
      <c r="C24" s="250" t="s">
        <v>212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86.075949367088597</v>
      </c>
      <c r="T24" s="118" t="s">
        <v>213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9" t="s">
        <v>214</v>
      </c>
      <c r="C25" s="250" t="s">
        <v>215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9" t="s">
        <v>216</v>
      </c>
      <c r="C26" s="250" t="s">
        <v>217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9" t="s">
        <v>218</v>
      </c>
      <c r="C27" s="706" t="s">
        <v>219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9" t="s">
        <v>220</v>
      </c>
      <c r="C28" s="250" t="s">
        <v>221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841" customFormat="1" ht="13.9">
      <c r="B29" s="835" t="s">
        <v>222</v>
      </c>
      <c r="C29" s="836" t="s">
        <v>223</v>
      </c>
      <c r="D29" s="837"/>
      <c r="E29" s="838"/>
      <c r="F29" s="839"/>
      <c r="G29" s="838"/>
      <c r="H29" s="840"/>
      <c r="I29" s="838">
        <v>46056</v>
      </c>
      <c r="J29" s="839">
        <v>15</v>
      </c>
      <c r="K29" s="838">
        <f>WORKDAY.INTL(I29,J29,1,Data!$C$3:$C$45)</f>
        <v>46077</v>
      </c>
      <c r="M29" s="717">
        <v>1</v>
      </c>
      <c r="N29" s="717">
        <f ca="1">_xlfn.LET(
  _xlpm.s,VALUE($I29),
  _xlpm.e,VALUE($K29),
  IF(OR(_xlpm.s="",_xlpm.e=""),"", IF(_xlpm.e&lt;=_xlpm.s, IF(TODAY()&gt;=_xlpm.e,1,0), MAX(0,MIN(1,(TODAY()-_xlpm.s)/(_xlpm.e-_xlpm.s)))))
)</f>
        <v>1</v>
      </c>
      <c r="O29" s="842"/>
      <c r="Q29" s="843"/>
      <c r="R29" s="843"/>
      <c r="S29" s="843"/>
      <c r="T29" s="843"/>
      <c r="U29" s="843"/>
      <c r="V29" s="843"/>
      <c r="W29" s="843"/>
      <c r="X29" s="843"/>
      <c r="Y29" s="843"/>
      <c r="Z29" s="843"/>
      <c r="AA29" s="843"/>
      <c r="AB29" s="843"/>
    </row>
    <row r="30" spans="2:28" s="112" customFormat="1" ht="13.9">
      <c r="B30" s="249" t="s">
        <v>224</v>
      </c>
      <c r="C30" s="250" t="s">
        <v>225</v>
      </c>
      <c r="D30" s="216"/>
      <c r="E30" s="251"/>
      <c r="F30" s="252"/>
      <c r="G30" s="251"/>
      <c r="H30" s="239"/>
      <c r="I30" s="251">
        <v>46080</v>
      </c>
      <c r="J30" s="252">
        <v>1</v>
      </c>
      <c r="K30" s="251">
        <f>WORKDAY.INTL(I30,J30,1,Data!$C$3:$C$45)</f>
        <v>46083</v>
      </c>
      <c r="M30" s="255">
        <v>0</v>
      </c>
      <c r="N30" s="255">
        <f t="shared" ca="1" si="1"/>
        <v>0</v>
      </c>
      <c r="O30" s="122" t="s">
        <v>596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9" t="s">
        <v>226</v>
      </c>
      <c r="C31" s="250" t="s">
        <v>227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46080</v>
      </c>
      <c r="J31" s="252">
        <v>1</v>
      </c>
      <c r="K31" s="251">
        <f>WORKDAY.INTL(I31,J31,1,Data!$C$3:$C$45)</f>
        <v>46083</v>
      </c>
      <c r="M31" s="255">
        <v>0</v>
      </c>
      <c r="N31" s="255">
        <f t="shared" ca="1" si="1"/>
        <v>0</v>
      </c>
      <c r="O31" s="122" t="s">
        <v>596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 ht="13.9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 hidden="1">
      <c r="B34" s="249" t="s">
        <v>228</v>
      </c>
      <c r="C34" s="250" t="s">
        <v>229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9" t="s">
        <v>228</v>
      </c>
      <c r="C35" s="250" t="s">
        <v>230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9" t="s">
        <v>231</v>
      </c>
      <c r="C36" s="250" t="s">
        <v>232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9" t="s">
        <v>233</v>
      </c>
      <c r="C37" s="250" t="s">
        <v>234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9" t="s">
        <v>235</v>
      </c>
      <c r="C38" s="250" t="s">
        <v>236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9" t="s">
        <v>237</v>
      </c>
      <c r="C39" s="250" t="s">
        <v>238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9" t="s">
        <v>239</v>
      </c>
      <c r="C40" s="244" t="s">
        <v>240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 ht="13.9">
      <c r="B42" s="245">
        <v>5</v>
      </c>
      <c r="C42" s="246" t="s">
        <v>241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 ht="13.9">
      <c r="B43" s="249" t="s">
        <v>242</v>
      </c>
      <c r="C43" s="250" t="s">
        <v>243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 ht="13.9">
      <c r="B44" s="711" t="s">
        <v>244</v>
      </c>
      <c r="C44" s="706" t="s">
        <v>245</v>
      </c>
      <c r="D44" s="712"/>
      <c r="E44" s="713">
        <f>G36-7</f>
        <v>45951</v>
      </c>
      <c r="F44" s="714">
        <v>20</v>
      </c>
      <c r="G44" s="715">
        <f>WORKDAY.INTL(E44,F44,1,Data!$C$3:$C$45)</f>
        <v>45979</v>
      </c>
      <c r="H44" s="716"/>
      <c r="I44" s="713">
        <f>K36-2</f>
        <v>45965</v>
      </c>
      <c r="J44" s="714">
        <v>12</v>
      </c>
      <c r="K44" s="715">
        <f>WORKDAY.INTL(I44,J44,1,Data!$C$3:$C$45)</f>
        <v>45981</v>
      </c>
      <c r="M44" s="717">
        <v>1</v>
      </c>
      <c r="N44" s="717">
        <f t="shared" ca="1" si="3"/>
        <v>1</v>
      </c>
      <c r="O44" s="705"/>
      <c r="Q44" s="124"/>
      <c r="R44" s="718"/>
      <c r="S44" s="718"/>
      <c r="T44" s="718"/>
      <c r="U44" s="718"/>
      <c r="V44" s="718"/>
      <c r="W44" s="718"/>
      <c r="X44" s="718"/>
      <c r="Y44" s="718"/>
      <c r="Z44" s="718"/>
      <c r="AA44" s="718"/>
      <c r="AB44" s="718"/>
    </row>
    <row r="45" spans="2:28" s="112" customFormat="1" ht="13.9">
      <c r="B45" s="249" t="s">
        <v>244</v>
      </c>
      <c r="C45" s="250" t="s">
        <v>246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 ht="13.9">
      <c r="B47" s="245">
        <v>6</v>
      </c>
      <c r="C47" s="246" t="s">
        <v>247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46080</v>
      </c>
      <c r="J47" s="248">
        <f>K47-I47</f>
        <v>5</v>
      </c>
      <c r="K47" s="247">
        <f>MAX(K49:K51)</f>
        <v>46085</v>
      </c>
      <c r="L47" s="114"/>
      <c r="M47" s="362">
        <f>(J49*M49+J51*M51+J48*M48+J50*M50)/SUM(J48:J51)</f>
        <v>0.16666666666666666</v>
      </c>
      <c r="N47" s="362">
        <f ca="1">(J49*N49+J51*N51+J48*N48+J50*N50)/SUM(J48:J51)</f>
        <v>0.16666666666666666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 ht="13.9">
      <c r="B48" s="249" t="s">
        <v>248</v>
      </c>
      <c r="C48" s="719" t="s">
        <v>249</v>
      </c>
      <c r="D48" s="220"/>
      <c r="E48" s="247"/>
      <c r="F48" s="248"/>
      <c r="G48" s="247"/>
      <c r="H48" s="221"/>
      <c r="I48" s="254">
        <v>46070</v>
      </c>
      <c r="J48" s="252">
        <v>1</v>
      </c>
      <c r="K48" s="254">
        <f>WORKDAY.INTL(I48,J48,1,Data!$C$3:$C$45)</f>
        <v>46071</v>
      </c>
      <c r="L48" s="114"/>
      <c r="M48" s="255">
        <v>1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9" t="s">
        <v>250</v>
      </c>
      <c r="C49" s="244" t="s">
        <v>251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46080</v>
      </c>
      <c r="J49" s="252">
        <v>2</v>
      </c>
      <c r="K49" s="254">
        <f>WORKDAY.INTL(I49,J49,1,Data!$C$3:$C$45)</f>
        <v>46084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844">
        <v>46086</v>
      </c>
      <c r="Y49" s="24"/>
    </row>
    <row r="50" spans="2:28" ht="13.9">
      <c r="B50" s="249" t="s">
        <v>252</v>
      </c>
      <c r="C50" s="244" t="s">
        <v>253</v>
      </c>
      <c r="D50" s="216"/>
      <c r="E50" s="254"/>
      <c r="F50" s="252"/>
      <c r="G50" s="254"/>
      <c r="H50" s="239"/>
      <c r="I50" s="254">
        <v>46080</v>
      </c>
      <c r="J50" s="252">
        <v>2</v>
      </c>
      <c r="K50" s="254">
        <f>WORKDAY.INTL(I50,J50,1,Data!$C$3:$C$45)</f>
        <v>46084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844">
        <v>46086</v>
      </c>
      <c r="Y50" s="24"/>
    </row>
    <row r="51" spans="2:28" ht="13.9">
      <c r="B51" s="249" t="s">
        <v>254</v>
      </c>
      <c r="C51" s="244" t="s">
        <v>255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46084</v>
      </c>
      <c r="J51" s="252">
        <v>1</v>
      </c>
      <c r="K51" s="254">
        <f>WORKDAY.INTL(I51,J51,1,Data!$C$3:$C$45)</f>
        <v>46085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 t="s">
        <v>597</v>
      </c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 ht="13.9">
      <c r="B53" s="245">
        <v>7</v>
      </c>
      <c r="C53" s="246" t="s">
        <v>256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46082</v>
      </c>
      <c r="J53" s="248">
        <f>K53-I53</f>
        <v>1</v>
      </c>
      <c r="K53" s="247">
        <f>MAX(K54)</f>
        <v>46083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ht="13.9">
      <c r="B54" s="249">
        <v>7.1</v>
      </c>
      <c r="C54" s="244" t="s">
        <v>257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46082</v>
      </c>
      <c r="J54" s="252">
        <v>1</v>
      </c>
      <c r="K54" s="254">
        <f>WORKDAY.INTL(I54,J54,1,Data!$C$3:$C$45)</f>
        <v>46083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 ht="13.9">
      <c r="B56" s="245">
        <v>8</v>
      </c>
      <c r="C56" s="246" t="s">
        <v>258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46082</v>
      </c>
      <c r="J56" s="248">
        <f>K56-I56</f>
        <v>16</v>
      </c>
      <c r="K56" s="247">
        <f>MAX(K57:K62)</f>
        <v>46098</v>
      </c>
      <c r="L56" s="114"/>
      <c r="M56" s="362">
        <f>(J57*M57+J58*M58+J59*M59+J60*M60+J61*M61+J62*M62)/SUM(J57:J62)</f>
        <v>0</v>
      </c>
      <c r="N56" s="362">
        <f ca="1">(J57*N57+J58*N58+J59*N59+J60*N60+J61*N61+J62*N62)/SUM(J57:J62)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 ht="13.9">
      <c r="B57" s="249">
        <v>8.1</v>
      </c>
      <c r="C57" s="244" t="s">
        <v>259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46082</v>
      </c>
      <c r="J57" s="252">
        <v>1</v>
      </c>
      <c r="K57" s="254">
        <f>WORKDAY.INTL(I57,J57,1,Data!$C$3:$C$45)</f>
        <v>46083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 ht="13.9">
      <c r="B58" s="249">
        <v>8.1999999999999993</v>
      </c>
      <c r="C58" s="244" t="s">
        <v>260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46083</v>
      </c>
      <c r="J58" s="252">
        <v>5</v>
      </c>
      <c r="K58" s="254">
        <f>WORKDAY.INTL(I58,J58,1,Data!$C$3:$C$45)</f>
        <v>46090</v>
      </c>
      <c r="M58" s="255">
        <v>0</v>
      </c>
      <c r="N58" s="255">
        <f t="shared" ca="1" si="4"/>
        <v>0</v>
      </c>
      <c r="O58" s="122"/>
      <c r="Y58" s="24"/>
    </row>
    <row r="59" spans="2:28" ht="13.9">
      <c r="B59" s="249">
        <v>8.3000000000000007</v>
      </c>
      <c r="C59" s="244" t="s">
        <v>261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46085</v>
      </c>
      <c r="J59" s="252">
        <v>5</v>
      </c>
      <c r="K59" s="254">
        <f>WORKDAY.INTL(I59,J59,1,Data!$C$3:$C$45)</f>
        <v>46092</v>
      </c>
      <c r="M59" s="255">
        <v>0</v>
      </c>
      <c r="N59" s="255">
        <f t="shared" ca="1" si="4"/>
        <v>0</v>
      </c>
      <c r="O59" s="122"/>
      <c r="Y59" s="24"/>
    </row>
    <row r="60" spans="2:28" ht="13.9">
      <c r="B60" s="249">
        <v>8.4</v>
      </c>
      <c r="C60" s="244" t="s">
        <v>262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46090</v>
      </c>
      <c r="J60" s="252">
        <v>1</v>
      </c>
      <c r="K60" s="254">
        <f>WORKDAY.INTL(I60,J60,1,Data!$C$3:$C$45)</f>
        <v>46091</v>
      </c>
      <c r="M60" s="255">
        <v>0</v>
      </c>
      <c r="N60" s="255">
        <f t="shared" ca="1" si="4"/>
        <v>0</v>
      </c>
      <c r="O60" s="122"/>
      <c r="Y60" s="24"/>
    </row>
    <row r="61" spans="2:28" ht="13.9">
      <c r="B61" s="249">
        <v>8.5</v>
      </c>
      <c r="C61" s="244" t="s">
        <v>263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46091</v>
      </c>
      <c r="J61" s="252">
        <v>1</v>
      </c>
      <c r="K61" s="254">
        <f>WORKDAY.INTL(I61,J61,1,Data!$C$3:$C$45)</f>
        <v>46092</v>
      </c>
      <c r="M61" s="255">
        <v>0</v>
      </c>
      <c r="N61" s="255">
        <f t="shared" ca="1" si="4"/>
        <v>0</v>
      </c>
      <c r="O61" s="122"/>
      <c r="Y61" s="24"/>
    </row>
    <row r="62" spans="2:28" ht="13.9">
      <c r="B62" s="249">
        <v>8.6</v>
      </c>
      <c r="C62" s="244" t="s">
        <v>264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46091</v>
      </c>
      <c r="J62" s="252">
        <v>5</v>
      </c>
      <c r="K62" s="254">
        <f>WORKDAY.INTL(I62,J62,1,Data!$C$3:$C$45)</f>
        <v>46098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3984375" defaultRowHeight="14.25"/>
  <cols>
    <col min="1" max="1" width="5.265625" style="93" customWidth="1"/>
    <col min="2" max="2" width="5.265625" style="131" customWidth="1"/>
    <col min="3" max="4" width="23.1328125" style="129" customWidth="1"/>
    <col min="5" max="5" width="6.59765625" style="129" customWidth="1"/>
    <col min="6" max="6" width="16.3984375" style="129" customWidth="1"/>
    <col min="7" max="7" width="4.3984375" style="129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6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6.59765625" style="129" customWidth="1"/>
    <col min="17" max="17" width="5.265625" style="129" customWidth="1"/>
    <col min="18" max="18" width="112.3984375" style="129" bestFit="1" customWidth="1"/>
    <col min="19" max="19" width="4.3984375" style="129" customWidth="1"/>
    <col min="20" max="20" width="14.265625" style="129" customWidth="1"/>
    <col min="21" max="21" width="10.3984375" style="93" bestFit="1" customWidth="1"/>
    <col min="22" max="23" width="8.3984375" style="93"/>
    <col min="24" max="24" width="5.265625" style="93" bestFit="1" customWidth="1"/>
    <col min="25" max="25" width="14.265625" style="93" bestFit="1" customWidth="1"/>
    <col min="26" max="26" width="8.3984375" style="93"/>
    <col min="27" max="27" width="14.265625" style="93" bestFit="1" customWidth="1"/>
    <col min="28" max="28" width="8.3984375" style="129"/>
    <col min="29" max="29" width="12.59765625" style="129" bestFit="1" customWidth="1"/>
    <col min="30" max="16384" width="8.398437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265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15">
      <c r="B3" s="117"/>
      <c r="D3" s="125" t="s">
        <v>266</v>
      </c>
      <c r="F3" s="125" t="s">
        <v>267</v>
      </c>
      <c r="J3" s="142"/>
      <c r="L3" s="409" t="s">
        <v>268</v>
      </c>
      <c r="N3" s="409" t="s">
        <v>269</v>
      </c>
      <c r="S3" s="142"/>
    </row>
    <row r="4" spans="1:21" s="93" customFormat="1" ht="13.15">
      <c r="B4" s="353">
        <v>1</v>
      </c>
      <c r="C4" s="354" t="s">
        <v>270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271</v>
      </c>
      <c r="Q4" s="130"/>
      <c r="S4" s="142"/>
    </row>
    <row r="5" spans="1:21" s="93" customFormat="1" ht="15" customHeight="1">
      <c r="B5" s="353">
        <v>2</v>
      </c>
      <c r="C5" s="354" t="s">
        <v>272</v>
      </c>
      <c r="D5" s="355">
        <f>+'Expenditure Tracking'!F5</f>
        <v>9590676.1310892869</v>
      </c>
      <c r="E5" s="356"/>
      <c r="F5" s="355">
        <f>+'Expenditure Tracking'!H5</f>
        <v>7658861.9823272396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273</v>
      </c>
      <c r="D6" s="355">
        <f>+D4-D5</f>
        <v>837668.21508991346</v>
      </c>
      <c r="E6" s="356"/>
      <c r="F6" s="355">
        <f>+F4-F5</f>
        <v>2769482.36767276</v>
      </c>
      <c r="H6" s="116"/>
      <c r="J6" s="142"/>
      <c r="L6" s="375"/>
      <c r="N6" s="375" t="s">
        <v>274</v>
      </c>
      <c r="S6" s="142"/>
    </row>
    <row r="7" spans="1:21" s="93" customFormat="1" ht="15" customHeight="1" thickBot="1">
      <c r="B7" s="353">
        <v>4</v>
      </c>
      <c r="C7" s="354" t="s">
        <v>275</v>
      </c>
      <c r="D7" s="357">
        <f>+D6/D4</f>
        <v>8.0326098494898995E-2</v>
      </c>
      <c r="E7" s="356"/>
      <c r="F7" s="357">
        <f>+F6/F4</f>
        <v>0.26557258513167148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15">
      <c r="B10" s="128" t="s">
        <v>276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25">
      <c r="B12" s="132" t="s">
        <v>184</v>
      </c>
      <c r="C12" s="133" t="s">
        <v>277</v>
      </c>
      <c r="D12" s="134"/>
      <c r="E12" s="132" t="s">
        <v>278</v>
      </c>
      <c r="F12" s="132" t="s">
        <v>279</v>
      </c>
      <c r="H12" s="358" t="s">
        <v>280</v>
      </c>
      <c r="J12" s="142"/>
      <c r="L12" s="167" t="s">
        <v>281</v>
      </c>
      <c r="M12" s="135"/>
      <c r="N12" s="167" t="s">
        <v>282</v>
      </c>
      <c r="O12" s="129"/>
      <c r="P12" s="167" t="s">
        <v>283</v>
      </c>
      <c r="R12" s="378" t="s">
        <v>284</v>
      </c>
      <c r="S12" s="142"/>
    </row>
    <row r="13" spans="1:21" s="93" customFormat="1" ht="13.15">
      <c r="B13" s="353">
        <v>1</v>
      </c>
      <c r="C13" s="764" t="s">
        <v>285</v>
      </c>
      <c r="D13" s="765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286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15">
      <c r="B14" s="353">
        <v>1</v>
      </c>
      <c r="C14" s="764" t="s">
        <v>285</v>
      </c>
      <c r="D14" s="765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286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75">
      <c r="B15" s="155">
        <v>2</v>
      </c>
      <c r="C15" s="764" t="s">
        <v>287</v>
      </c>
      <c r="D15" s="765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288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75">
      <c r="B16" s="353">
        <v>3</v>
      </c>
      <c r="C16" s="764" t="s">
        <v>289</v>
      </c>
      <c r="D16" s="765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75">
      <c r="B17" s="353">
        <v>4</v>
      </c>
      <c r="C17" s="762" t="s">
        <v>290</v>
      </c>
      <c r="D17" s="763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75">
      <c r="B18" s="353">
        <v>5</v>
      </c>
      <c r="C18" s="762"/>
      <c r="D18" s="763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75">
      <c r="B19" s="353">
        <v>6</v>
      </c>
      <c r="C19" s="762"/>
      <c r="D19" s="763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75">
      <c r="B20" s="353">
        <v>7</v>
      </c>
      <c r="C20" s="764" t="s">
        <v>291</v>
      </c>
      <c r="D20" s="765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15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292</v>
      </c>
      <c r="C24" s="146" t="s">
        <v>293</v>
      </c>
      <c r="D24" s="146"/>
      <c r="F24" s="147"/>
    </row>
    <row r="25" spans="2:19" s="93" customFormat="1" ht="12.75">
      <c r="C25" s="148" t="s">
        <v>294</v>
      </c>
      <c r="D25" s="149"/>
      <c r="F25" s="150"/>
    </row>
    <row r="26" spans="2:19" s="93" customFormat="1" ht="12.75">
      <c r="C26" s="148" t="s">
        <v>295</v>
      </c>
      <c r="D26" s="149"/>
      <c r="L26" s="675"/>
    </row>
    <row r="27" spans="2:19" s="93" customFormat="1" ht="12.75">
      <c r="C27" s="151" t="s">
        <v>296</v>
      </c>
      <c r="D27" s="152"/>
    </row>
    <row r="28" spans="2:19" s="93" customFormat="1" ht="12.75">
      <c r="C28" s="153" t="s">
        <v>297</v>
      </c>
      <c r="D28" s="149"/>
    </row>
    <row r="29" spans="2:19" s="93" customFormat="1" ht="12.75">
      <c r="B29" s="117"/>
      <c r="C29" s="153" t="s">
        <v>298</v>
      </c>
      <c r="D29" s="149"/>
    </row>
    <row r="30" spans="2:19" s="93" customFormat="1" ht="12.75">
      <c r="B30" s="117"/>
      <c r="C30" s="93" t="s">
        <v>299</v>
      </c>
    </row>
    <row r="31" spans="2:19" s="93" customFormat="1" ht="27.75" customHeight="1">
      <c r="B31" s="117"/>
      <c r="C31" s="154" t="s">
        <v>300</v>
      </c>
      <c r="D31" s="154"/>
      <c r="F31" s="150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  <c r="F35" s="14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184</v>
      </c>
      <c r="C41" s="133" t="s">
        <v>277</v>
      </c>
      <c r="D41" s="134"/>
      <c r="E41" s="132" t="s">
        <v>278</v>
      </c>
      <c r="F41" s="132" t="s">
        <v>279</v>
      </c>
    </row>
    <row r="42" spans="2:6" s="93" customFormat="1" ht="12.75" hidden="1" customHeight="1">
      <c r="B42" s="155">
        <v>1</v>
      </c>
      <c r="C42" s="156" t="s">
        <v>301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302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303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304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305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306</v>
      </c>
      <c r="F2" s="83" t="s">
        <v>307</v>
      </c>
    </row>
    <row r="3" spans="3:8">
      <c r="C3" s="79">
        <v>45658</v>
      </c>
      <c r="D3" s="73" t="s">
        <v>308</v>
      </c>
      <c r="F3" s="81" t="s">
        <v>309</v>
      </c>
    </row>
    <row r="4" spans="3:8">
      <c r="C4" s="79">
        <v>45737</v>
      </c>
      <c r="D4" s="73" t="s">
        <v>310</v>
      </c>
      <c r="F4" s="81" t="s">
        <v>311</v>
      </c>
    </row>
    <row r="5" spans="3:8">
      <c r="C5" s="79">
        <v>45765</v>
      </c>
      <c r="D5" s="73" t="s">
        <v>312</v>
      </c>
      <c r="F5" s="81" t="s">
        <v>313</v>
      </c>
    </row>
    <row r="6" spans="3:8" ht="13.15" thickBot="1">
      <c r="C6" s="79">
        <v>45768</v>
      </c>
      <c r="D6" s="73" t="s">
        <v>314</v>
      </c>
      <c r="F6" s="82" t="s">
        <v>315</v>
      </c>
    </row>
    <row r="7" spans="3:8">
      <c r="C7" s="79">
        <v>45774</v>
      </c>
      <c r="D7" s="73" t="s">
        <v>316</v>
      </c>
    </row>
    <row r="8" spans="3:8">
      <c r="C8" s="79">
        <v>45765</v>
      </c>
      <c r="D8" s="73" t="s">
        <v>317</v>
      </c>
    </row>
    <row r="9" spans="3:8">
      <c r="C9" s="79">
        <v>45778</v>
      </c>
      <c r="D9" s="73" t="s">
        <v>318</v>
      </c>
    </row>
    <row r="10" spans="3:8">
      <c r="C10" s="79">
        <v>45824</v>
      </c>
      <c r="D10" s="73" t="s">
        <v>319</v>
      </c>
    </row>
    <row r="11" spans="3:8">
      <c r="C11" s="79">
        <v>45878</v>
      </c>
      <c r="D11" s="73" t="s">
        <v>320</v>
      </c>
    </row>
    <row r="12" spans="3:8">
      <c r="C12" s="79">
        <v>45924</v>
      </c>
      <c r="D12" s="73" t="s">
        <v>321</v>
      </c>
    </row>
    <row r="13" spans="3:8">
      <c r="C13" s="79">
        <v>46007</v>
      </c>
      <c r="D13" s="73" t="s">
        <v>322</v>
      </c>
      <c r="F13" s="85"/>
      <c r="H13" s="73" t="s">
        <v>323</v>
      </c>
    </row>
    <row r="14" spans="3:8">
      <c r="C14" s="79">
        <v>46008</v>
      </c>
      <c r="D14" s="73" t="s">
        <v>324</v>
      </c>
      <c r="F14" s="85"/>
    </row>
    <row r="15" spans="3:8">
      <c r="C15" s="79">
        <v>46009</v>
      </c>
      <c r="D15" s="73" t="s">
        <v>324</v>
      </c>
      <c r="F15" s="85"/>
    </row>
    <row r="16" spans="3:8">
      <c r="C16" s="79">
        <v>46010</v>
      </c>
      <c r="D16" s="73" t="s">
        <v>324</v>
      </c>
      <c r="F16" s="85"/>
    </row>
    <row r="17" spans="3:6">
      <c r="C17" s="79">
        <v>46011</v>
      </c>
      <c r="D17" s="73" t="s">
        <v>324</v>
      </c>
      <c r="F17" s="85"/>
    </row>
    <row r="18" spans="3:6">
      <c r="C18" s="79">
        <v>46012</v>
      </c>
      <c r="D18" s="73" t="s">
        <v>324</v>
      </c>
      <c r="F18" s="85"/>
    </row>
    <row r="19" spans="3:6">
      <c r="C19" s="79">
        <v>46013</v>
      </c>
      <c r="D19" s="73" t="s">
        <v>324</v>
      </c>
      <c r="F19" s="85"/>
    </row>
    <row r="20" spans="3:6">
      <c r="C20" s="79">
        <v>46014</v>
      </c>
      <c r="D20" s="73" t="s">
        <v>324</v>
      </c>
      <c r="F20" s="85"/>
    </row>
    <row r="21" spans="3:6">
      <c r="C21" s="79">
        <v>46015</v>
      </c>
      <c r="D21" s="73" t="s">
        <v>324</v>
      </c>
      <c r="F21" s="85"/>
    </row>
    <row r="22" spans="3:6">
      <c r="C22" s="79">
        <v>46016</v>
      </c>
      <c r="D22" s="73" t="s">
        <v>324</v>
      </c>
      <c r="F22" s="85"/>
    </row>
    <row r="23" spans="3:6">
      <c r="C23" s="79">
        <v>46017</v>
      </c>
      <c r="D23" s="73" t="s">
        <v>324</v>
      </c>
      <c r="F23" s="85"/>
    </row>
    <row r="24" spans="3:6">
      <c r="C24" s="79">
        <v>46018</v>
      </c>
      <c r="D24" s="73" t="s">
        <v>324</v>
      </c>
      <c r="F24" s="85"/>
    </row>
    <row r="25" spans="3:6">
      <c r="C25" s="79">
        <v>46019</v>
      </c>
      <c r="D25" s="73" t="s">
        <v>324</v>
      </c>
      <c r="F25" s="85"/>
    </row>
    <row r="26" spans="3:6">
      <c r="C26" s="79">
        <v>46020</v>
      </c>
      <c r="D26" s="73" t="s">
        <v>324</v>
      </c>
      <c r="F26" s="85"/>
    </row>
    <row r="27" spans="3:6">
      <c r="C27" s="79">
        <v>46021</v>
      </c>
      <c r="D27" s="73" t="s">
        <v>324</v>
      </c>
      <c r="F27" s="85"/>
    </row>
    <row r="28" spans="3:6">
      <c r="C28" s="79">
        <v>46022</v>
      </c>
      <c r="D28" s="73" t="s">
        <v>324</v>
      </c>
      <c r="F28" s="85"/>
    </row>
    <row r="29" spans="3:6">
      <c r="C29" s="79">
        <v>46023</v>
      </c>
      <c r="D29" s="73" t="s">
        <v>324</v>
      </c>
      <c r="F29" s="85"/>
    </row>
    <row r="30" spans="3:6">
      <c r="C30" s="79">
        <v>46024</v>
      </c>
      <c r="D30" s="73" t="s">
        <v>324</v>
      </c>
      <c r="F30" s="85"/>
    </row>
    <row r="31" spans="3:6">
      <c r="C31" s="79">
        <v>46025</v>
      </c>
      <c r="D31" s="73" t="s">
        <v>324</v>
      </c>
      <c r="F31" s="85"/>
    </row>
    <row r="32" spans="3:6">
      <c r="C32" s="79">
        <v>46026</v>
      </c>
      <c r="D32" s="73" t="s">
        <v>324</v>
      </c>
      <c r="F32" s="85"/>
    </row>
    <row r="33" spans="3:6">
      <c r="C33" s="79">
        <v>46027</v>
      </c>
      <c r="D33" s="73" t="s">
        <v>324</v>
      </c>
      <c r="F33" s="85"/>
    </row>
    <row r="34" spans="3:6">
      <c r="C34" s="79">
        <v>46028</v>
      </c>
      <c r="D34" s="73" t="s">
        <v>324</v>
      </c>
      <c r="F34" s="85"/>
    </row>
    <row r="35" spans="3:6">
      <c r="C35" s="79">
        <v>46029</v>
      </c>
      <c r="D35" s="73" t="s">
        <v>324</v>
      </c>
      <c r="F35" s="85"/>
    </row>
    <row r="36" spans="3:6">
      <c r="C36" s="79">
        <v>46030</v>
      </c>
      <c r="D36" s="73" t="s">
        <v>324</v>
      </c>
      <c r="F36" s="85"/>
    </row>
    <row r="37" spans="3:6">
      <c r="C37" s="79">
        <v>46031</v>
      </c>
      <c r="D37" s="73" t="s">
        <v>324</v>
      </c>
      <c r="F37" s="85"/>
    </row>
    <row r="38" spans="3:6">
      <c r="C38" s="79">
        <v>46032</v>
      </c>
      <c r="D38" s="73" t="s">
        <v>324</v>
      </c>
      <c r="F38" s="85"/>
    </row>
    <row r="39" spans="3:6">
      <c r="C39" s="79">
        <v>46033</v>
      </c>
      <c r="D39" s="73" t="s">
        <v>324</v>
      </c>
      <c r="F39" s="85"/>
    </row>
    <row r="40" spans="3:6">
      <c r="C40" s="79">
        <v>46034</v>
      </c>
      <c r="D40" s="73" t="s">
        <v>324</v>
      </c>
      <c r="F40" s="85"/>
    </row>
    <row r="41" spans="3:6">
      <c r="C41" s="79">
        <v>46035</v>
      </c>
      <c r="D41" s="73" t="s">
        <v>324</v>
      </c>
      <c r="F41" s="85"/>
    </row>
    <row r="42" spans="3:6">
      <c r="C42" s="79">
        <v>46036</v>
      </c>
      <c r="D42" s="73" t="s">
        <v>324</v>
      </c>
      <c r="F42" s="85"/>
    </row>
    <row r="43" spans="3:6">
      <c r="C43" s="79">
        <v>46037</v>
      </c>
      <c r="D43" s="73" t="s">
        <v>324</v>
      </c>
      <c r="F43" s="85"/>
    </row>
    <row r="44" spans="3:6">
      <c r="C44" s="79">
        <v>46038</v>
      </c>
      <c r="D44" s="73" t="s">
        <v>324</v>
      </c>
      <c r="F44" s="85"/>
    </row>
    <row r="45" spans="3:6">
      <c r="C45" s="79">
        <v>46016</v>
      </c>
      <c r="D45" s="73" t="s">
        <v>325</v>
      </c>
    </row>
    <row r="46" spans="3:6" ht="13.15" thickBot="1">
      <c r="C46" s="80">
        <v>46017</v>
      </c>
      <c r="D46" s="73" t="s">
        <v>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26562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1328125" style="24" customWidth="1"/>
    <col min="13" max="16384" width="8.398437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3.9">
      <c r="A2" s="216"/>
      <c r="B2" s="220" t="s">
        <v>327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25" thickBot="1">
      <c r="A4" s="216"/>
      <c r="B4" s="766"/>
      <c r="C4" s="766"/>
      <c r="D4" s="766"/>
      <c r="E4" s="413"/>
      <c r="F4" s="221" t="s">
        <v>266</v>
      </c>
      <c r="G4" s="216"/>
      <c r="H4" s="221" t="s">
        <v>267</v>
      </c>
      <c r="I4" s="216"/>
      <c r="J4" s="222" t="s">
        <v>328</v>
      </c>
      <c r="K4" s="112"/>
      <c r="L4" s="112"/>
    </row>
    <row r="5" spans="1:12" ht="14.25" thickBot="1">
      <c r="A5" s="216"/>
      <c r="B5" s="767" t="s">
        <v>329</v>
      </c>
      <c r="C5" s="767"/>
      <c r="D5" s="767"/>
      <c r="E5" s="413"/>
      <c r="F5" s="223">
        <f>SUM(F9:F23)</f>
        <v>9590676.1310892869</v>
      </c>
      <c r="G5" s="218"/>
      <c r="H5" s="223">
        <f>SUM(H9:H23)</f>
        <v>7658861.9823272396</v>
      </c>
      <c r="I5" s="216"/>
      <c r="J5" s="224">
        <f>SUM(J9:J23)</f>
        <v>1931814.1487620459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65" thickBot="1">
      <c r="A7" s="216"/>
      <c r="B7" s="226" t="s">
        <v>184</v>
      </c>
      <c r="C7" s="227"/>
      <c r="D7" s="226" t="s">
        <v>140</v>
      </c>
      <c r="E7" s="227"/>
      <c r="F7" s="228" t="s">
        <v>330</v>
      </c>
      <c r="G7" s="229"/>
      <c r="H7" s="228" t="s">
        <v>331</v>
      </c>
      <c r="I7" s="229"/>
      <c r="J7" s="228" t="s">
        <v>332</v>
      </c>
      <c r="K7" s="173"/>
      <c r="L7" s="115" t="s">
        <v>333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3.9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 ht="13.9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 ht="13.9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 ht="13.9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 ht="13.9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 ht="13.9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 ht="13.9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 ht="13.9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291826</v>
      </c>
      <c r="I16" s="89"/>
      <c r="J16" s="233">
        <f t="shared" si="0"/>
        <v>8174</v>
      </c>
      <c r="K16" s="174"/>
      <c r="L16" s="256"/>
    </row>
    <row r="17" spans="1:12" ht="13.9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 ht="13.9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 ht="13.9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 ht="13.9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 ht="13.9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 ht="13.9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 ht="13.9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465759.79000000004</v>
      </c>
      <c r="I23" s="89"/>
      <c r="J23" s="233">
        <f t="shared" si="0"/>
        <v>-465759.79000000004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334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zoomScale="85" zoomScaleNormal="85" workbookViewId="0">
      <pane ySplit="4" topLeftCell="A150" activePane="bottomLeft" state="frozen"/>
      <selection activeCell="X33" sqref="X33"/>
      <selection pane="bottomLeft" activeCell="R170" sqref="R170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3" style="70" hidden="1" customWidth="1"/>
    <col min="6" max="6" width="16.59765625" style="474" hidden="1" customWidth="1"/>
    <col min="7" max="7" width="17.3984375" style="24" hidden="1" customWidth="1"/>
    <col min="8" max="8" width="17.3984375" style="541" hidden="1" customWidth="1"/>
    <col min="9" max="9" width="22.3984375" style="351" hidden="1" customWidth="1"/>
    <col min="10" max="10" width="22.3984375" style="351" bestFit="1" customWidth="1"/>
    <col min="11" max="12" width="5.265625" style="112" customWidth="1"/>
    <col min="13" max="13" width="25.59765625" style="112" customWidth="1"/>
    <col min="14" max="14" width="73.265625" style="112" bestFit="1" customWidth="1"/>
    <col min="15" max="15" width="15.73046875" style="112" customWidth="1"/>
    <col min="16" max="17" width="17.3984375" style="112" customWidth="1"/>
    <col min="18" max="18" width="40.3984375" style="112" bestFit="1" customWidth="1"/>
    <col min="19" max="19" width="32.3984375" style="112" bestFit="1" customWidth="1"/>
    <col min="20" max="21" width="17.3984375" style="541" customWidth="1"/>
    <col min="22" max="22" width="17.3984375" style="112" customWidth="1"/>
    <col min="23" max="23" width="17.3984375" style="541" customWidth="1"/>
    <col min="24" max="24" width="21.265625" style="112" customWidth="1"/>
    <col min="25" max="25" width="29.3984375" style="112" bestFit="1" customWidth="1"/>
    <col min="26" max="26" width="24.398437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77" t="s">
        <v>335</v>
      </c>
      <c r="C2" s="778"/>
      <c r="D2" s="778"/>
      <c r="E2" s="778"/>
      <c r="F2" s="778"/>
      <c r="G2" s="778"/>
      <c r="H2" s="502"/>
      <c r="I2" s="259">
        <f>SUM(I6:I186)</f>
        <v>9590676.1310892869</v>
      </c>
      <c r="J2" s="259">
        <f>SUM(J6:J186)</f>
        <v>12428344.346179174</v>
      </c>
      <c r="L2" s="779" t="s">
        <v>336</v>
      </c>
      <c r="M2" s="780"/>
      <c r="N2" s="780"/>
      <c r="O2" s="780"/>
      <c r="P2" s="780"/>
      <c r="Q2" s="780"/>
      <c r="R2" s="781" t="s">
        <v>337</v>
      </c>
      <c r="S2" s="782"/>
      <c r="T2" s="782"/>
      <c r="U2" s="782"/>
      <c r="V2" s="782"/>
      <c r="W2" s="783"/>
      <c r="X2" s="478">
        <f>SUM(X6:X186)</f>
        <v>7658861.9823272396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338</v>
      </c>
      <c r="C4" s="261" t="s">
        <v>339</v>
      </c>
      <c r="D4" s="261" t="s">
        <v>340</v>
      </c>
      <c r="E4" s="261" t="s">
        <v>341</v>
      </c>
      <c r="F4" s="465" t="s">
        <v>342</v>
      </c>
      <c r="G4" s="262" t="s">
        <v>343</v>
      </c>
      <c r="H4" s="639" t="s">
        <v>344</v>
      </c>
      <c r="I4" s="263" t="s">
        <v>345</v>
      </c>
      <c r="J4" s="263" t="str">
        <f>IF(J2-'Revenue Tracking'!D4&gt;=0, "Total Revenue", "ERROR on REV" )</f>
        <v>Total Revenue</v>
      </c>
      <c r="K4" s="166"/>
      <c r="L4" s="260" t="s">
        <v>338</v>
      </c>
      <c r="M4" s="261" t="s">
        <v>346</v>
      </c>
      <c r="N4" s="261" t="s">
        <v>340</v>
      </c>
      <c r="O4" s="261" t="s">
        <v>341</v>
      </c>
      <c r="P4" s="465" t="s">
        <v>342</v>
      </c>
      <c r="Q4" s="373" t="s">
        <v>347</v>
      </c>
      <c r="R4" s="614" t="s">
        <v>348</v>
      </c>
      <c r="S4" s="615" t="s">
        <v>281</v>
      </c>
      <c r="T4" s="639" t="s">
        <v>282</v>
      </c>
      <c r="U4" s="640" t="s">
        <v>349</v>
      </c>
      <c r="V4" s="373" t="s">
        <v>350</v>
      </c>
      <c r="W4" s="639" t="s">
        <v>344</v>
      </c>
      <c r="X4" s="480" t="s">
        <v>345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351</v>
      </c>
      <c r="D6" s="283" t="s">
        <v>352</v>
      </c>
      <c r="E6" s="284"/>
      <c r="F6" s="437"/>
      <c r="G6" s="391">
        <f>D187</f>
        <v>2857717.17</v>
      </c>
      <c r="H6" s="565">
        <v>46022</v>
      </c>
      <c r="I6" s="774">
        <f>SUM(G6:G11)</f>
        <v>2857717.17</v>
      </c>
      <c r="J6" s="774">
        <f>F187</f>
        <v>3072814.1612903224</v>
      </c>
      <c r="K6" s="388"/>
      <c r="L6" s="282">
        <v>1</v>
      </c>
      <c r="M6" s="417" t="s">
        <v>353</v>
      </c>
      <c r="N6" s="283" t="s">
        <v>354</v>
      </c>
      <c r="O6" s="638">
        <v>1298</v>
      </c>
      <c r="P6" s="437">
        <v>1150.5</v>
      </c>
      <c r="Q6" s="391">
        <f>O6*P6</f>
        <v>1493349</v>
      </c>
      <c r="R6" s="581"/>
      <c r="S6" s="617" t="s">
        <v>355</v>
      </c>
      <c r="T6" s="662">
        <v>45961</v>
      </c>
      <c r="U6" s="669">
        <v>1729623.9294687072</v>
      </c>
      <c r="V6" s="787">
        <f>J6-SUM(U6:U11)</f>
        <v>0</v>
      </c>
      <c r="W6" s="692">
        <v>46003</v>
      </c>
      <c r="X6" s="784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356</v>
      </c>
      <c r="E7" s="390"/>
      <c r="F7" s="459"/>
      <c r="G7" s="316"/>
      <c r="H7" s="566"/>
      <c r="I7" s="775"/>
      <c r="J7" s="775"/>
      <c r="K7" s="289"/>
      <c r="L7" s="312">
        <v>1</v>
      </c>
      <c r="M7" s="314" t="s">
        <v>353</v>
      </c>
      <c r="N7" s="389" t="s">
        <v>357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358</v>
      </c>
      <c r="T7" s="659">
        <v>45961</v>
      </c>
      <c r="U7" s="669">
        <v>1343190.2318216152</v>
      </c>
      <c r="V7" s="788"/>
      <c r="W7" s="693">
        <v>46009</v>
      </c>
      <c r="X7" s="785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75"/>
      <c r="J8" s="775"/>
      <c r="K8" s="289"/>
      <c r="L8" s="312">
        <v>1</v>
      </c>
      <c r="M8" s="314" t="s">
        <v>353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88"/>
      <c r="W8" s="566"/>
      <c r="X8" s="785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75"/>
      <c r="J9" s="775"/>
      <c r="K9" s="289"/>
      <c r="L9" s="312">
        <v>1</v>
      </c>
      <c r="M9" s="314" t="s">
        <v>353</v>
      </c>
      <c r="N9" s="485" t="s">
        <v>359</v>
      </c>
      <c r="O9" s="544">
        <v>2</v>
      </c>
      <c r="P9" s="444"/>
      <c r="Q9" s="386">
        <v>4136.3999999999996</v>
      </c>
      <c r="R9" s="583" t="s">
        <v>360</v>
      </c>
      <c r="S9" s="619" t="s">
        <v>361</v>
      </c>
      <c r="T9" s="667">
        <v>46053</v>
      </c>
      <c r="U9" s="669">
        <v>0</v>
      </c>
      <c r="V9" s="788"/>
      <c r="W9" s="567">
        <f>T9+60</f>
        <v>46113</v>
      </c>
      <c r="X9" s="785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75"/>
      <c r="J10" s="775"/>
      <c r="K10" s="289"/>
      <c r="L10" s="312">
        <v>1</v>
      </c>
      <c r="M10" s="314" t="s">
        <v>353</v>
      </c>
      <c r="N10" s="485" t="s">
        <v>362</v>
      </c>
      <c r="O10" s="544">
        <v>7</v>
      </c>
      <c r="P10" s="444"/>
      <c r="Q10" s="386">
        <v>10677.4</v>
      </c>
      <c r="R10" s="583"/>
      <c r="S10" s="619" t="s">
        <v>363</v>
      </c>
      <c r="T10" s="667">
        <v>46053</v>
      </c>
      <c r="U10" s="669">
        <v>0</v>
      </c>
      <c r="V10" s="788"/>
      <c r="W10" s="567">
        <v>46097</v>
      </c>
      <c r="X10" s="785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76"/>
      <c r="J11" s="776"/>
      <c r="K11" s="290"/>
      <c r="L11" s="317">
        <v>1</v>
      </c>
      <c r="M11" s="419" t="s">
        <v>353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89"/>
      <c r="W11" s="568"/>
      <c r="X11" s="786"/>
      <c r="Y11" s="598" t="s">
        <v>364</v>
      </c>
      <c r="Z11" s="599" t="s">
        <v>365</v>
      </c>
    </row>
    <row r="12" spans="1:76" ht="14.2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366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367</v>
      </c>
      <c r="E13" s="366">
        <v>11</v>
      </c>
      <c r="F13" s="457"/>
      <c r="G13" s="297">
        <f>D188</f>
        <v>770000</v>
      </c>
      <c r="H13" s="570">
        <f>H6</f>
        <v>46022</v>
      </c>
      <c r="I13" s="768">
        <f>SUM(G13:G19)</f>
        <v>770000</v>
      </c>
      <c r="J13" s="768">
        <f>F188</f>
        <v>827956.98924731184</v>
      </c>
      <c r="K13" s="298"/>
      <c r="L13" s="294">
        <v>2</v>
      </c>
      <c r="M13" s="420" t="s">
        <v>368</v>
      </c>
      <c r="N13" s="320" t="s">
        <v>369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90">
        <f>J13-SUM(U13:U19)</f>
        <v>0</v>
      </c>
      <c r="W13" s="694">
        <f>W6</f>
        <v>46003</v>
      </c>
      <c r="X13" s="771">
        <f>SUM(Q13:Q19)</f>
        <v>757573.93799999997</v>
      </c>
      <c r="Y13" s="600" t="s">
        <v>370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69"/>
      <c r="J14" s="769"/>
      <c r="K14" s="302"/>
      <c r="L14" s="299">
        <v>2</v>
      </c>
      <c r="M14" s="426" t="s">
        <v>368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91"/>
      <c r="W14" s="571"/>
      <c r="X14" s="772"/>
      <c r="Y14" s="600" t="s">
        <v>371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69"/>
      <c r="J15" s="769"/>
      <c r="K15" s="302"/>
      <c r="L15" s="299">
        <v>2</v>
      </c>
      <c r="M15" s="426" t="s">
        <v>368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91"/>
      <c r="W15" s="571"/>
      <c r="X15" s="772"/>
      <c r="Y15" s="600" t="s">
        <v>372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69"/>
      <c r="J16" s="769"/>
      <c r="K16" s="302"/>
      <c r="L16" s="299">
        <v>2</v>
      </c>
      <c r="M16" s="426" t="s">
        <v>368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91"/>
      <c r="W16" s="571"/>
      <c r="X16" s="772"/>
      <c r="Y16" s="600" t="s">
        <v>373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69"/>
      <c r="J17" s="769"/>
      <c r="K17" s="302"/>
      <c r="L17" s="299">
        <v>2</v>
      </c>
      <c r="M17" s="426" t="s">
        <v>368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91"/>
      <c r="W17" s="571"/>
      <c r="X17" s="772"/>
      <c r="Y17" s="600" t="s">
        <v>374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69"/>
      <c r="J18" s="769"/>
      <c r="K18" s="302"/>
      <c r="L18" s="299">
        <v>2</v>
      </c>
      <c r="M18" s="426" t="s">
        <v>368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91"/>
      <c r="W18" s="571"/>
      <c r="X18" s="772"/>
      <c r="Y18" s="600" t="s">
        <v>375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70"/>
      <c r="J19" s="770"/>
      <c r="K19" s="307"/>
      <c r="L19" s="395">
        <v>2</v>
      </c>
      <c r="M19" s="421" t="s">
        <v>368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92"/>
      <c r="W19" s="572"/>
      <c r="X19" s="773"/>
      <c r="Y19" s="600" t="s">
        <v>376</v>
      </c>
      <c r="Z19" s="601">
        <v>0</v>
      </c>
    </row>
    <row r="20" spans="1:26" ht="14.2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377</v>
      </c>
      <c r="D21" s="328" t="s">
        <v>378</v>
      </c>
      <c r="E21" s="284"/>
      <c r="F21" s="437"/>
      <c r="G21" s="285">
        <f>D189</f>
        <v>1105818.21</v>
      </c>
      <c r="H21" s="573">
        <f>E21+30</f>
        <v>30</v>
      </c>
      <c r="I21" s="774">
        <f>SUM(G21:G29)</f>
        <v>1105818.21</v>
      </c>
      <c r="J21" s="774">
        <f>F189</f>
        <v>1189051.8387096773</v>
      </c>
      <c r="K21" s="286"/>
      <c r="L21" s="282">
        <v>3</v>
      </c>
      <c r="M21" s="422" t="s">
        <v>379</v>
      </c>
      <c r="N21" s="328" t="s">
        <v>380</v>
      </c>
      <c r="O21" s="542"/>
      <c r="P21" s="437"/>
      <c r="Q21" s="285">
        <v>40621.449999999997</v>
      </c>
      <c r="R21" s="589" t="s">
        <v>381</v>
      </c>
      <c r="S21" s="625" t="s">
        <v>382</v>
      </c>
      <c r="T21" s="666">
        <v>45961</v>
      </c>
      <c r="U21" s="669">
        <v>142264.21881568199</v>
      </c>
      <c r="V21" s="787">
        <f>J21-SUM(U21:U29)</f>
        <v>0</v>
      </c>
      <c r="W21" s="695">
        <v>46003</v>
      </c>
      <c r="X21" s="784">
        <f>SUM(Q21:Q29)</f>
        <v>365443.07999999996</v>
      </c>
      <c r="Y21" s="600" t="s">
        <v>383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75"/>
      <c r="J22" s="775"/>
      <c r="K22" s="289"/>
      <c r="L22" s="312">
        <v>3</v>
      </c>
      <c r="M22" s="423" t="s">
        <v>379</v>
      </c>
      <c r="N22" s="329"/>
      <c r="O22" s="543"/>
      <c r="P22" s="459"/>
      <c r="Q22" s="316">
        <v>45778.95</v>
      </c>
      <c r="R22" s="582"/>
      <c r="S22" s="618" t="s">
        <v>384</v>
      </c>
      <c r="T22" s="644">
        <v>45961</v>
      </c>
      <c r="U22" s="669">
        <v>160326.78695497487</v>
      </c>
      <c r="V22" s="788"/>
      <c r="W22" s="693">
        <v>46009</v>
      </c>
      <c r="X22" s="785"/>
      <c r="Y22" s="600" t="s">
        <v>305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75"/>
      <c r="J23" s="775"/>
      <c r="K23" s="289"/>
      <c r="L23" s="312">
        <v>3</v>
      </c>
      <c r="M23" s="423" t="s">
        <v>379</v>
      </c>
      <c r="N23" s="329"/>
      <c r="O23" s="543"/>
      <c r="P23" s="459"/>
      <c r="Q23" s="316">
        <v>50931.199999999997</v>
      </c>
      <c r="R23" s="582"/>
      <c r="S23" s="618" t="s">
        <v>385</v>
      </c>
      <c r="T23" s="644">
        <v>45961</v>
      </c>
      <c r="U23" s="669">
        <v>178370.96857313716</v>
      </c>
      <c r="V23" s="788"/>
      <c r="W23" s="693">
        <v>46003</v>
      </c>
      <c r="X23" s="785"/>
      <c r="Y23" s="600" t="s">
        <v>386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75"/>
      <c r="J24" s="775"/>
      <c r="K24" s="289"/>
      <c r="L24" s="312">
        <v>3</v>
      </c>
      <c r="M24" s="423" t="s">
        <v>379</v>
      </c>
      <c r="N24" s="385"/>
      <c r="O24" s="544"/>
      <c r="P24" s="444"/>
      <c r="Q24" s="386">
        <v>202184.62</v>
      </c>
      <c r="R24" s="583"/>
      <c r="S24" s="619" t="s">
        <v>387</v>
      </c>
      <c r="T24" s="667">
        <v>45961</v>
      </c>
      <c r="U24" s="669">
        <v>708089.8643658834</v>
      </c>
      <c r="V24" s="788"/>
      <c r="W24" s="680">
        <v>46003</v>
      </c>
      <c r="X24" s="785"/>
      <c r="Y24" s="605" t="s">
        <v>388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75"/>
      <c r="J25" s="775"/>
      <c r="K25" s="289"/>
      <c r="L25" s="312">
        <v>3</v>
      </c>
      <c r="M25" s="423" t="s">
        <v>379</v>
      </c>
      <c r="N25" s="385" t="s">
        <v>389</v>
      </c>
      <c r="O25" s="544"/>
      <c r="P25" s="444"/>
      <c r="Q25" s="386">
        <v>71394.92</v>
      </c>
      <c r="R25" s="583" t="s">
        <v>390</v>
      </c>
      <c r="S25" s="619" t="s">
        <v>391</v>
      </c>
      <c r="T25" s="667">
        <v>45991</v>
      </c>
      <c r="U25" s="669">
        <v>0</v>
      </c>
      <c r="V25" s="788"/>
      <c r="W25" s="535">
        <v>45989</v>
      </c>
      <c r="X25" s="785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75"/>
      <c r="J26" s="775"/>
      <c r="K26" s="289"/>
      <c r="L26" s="312">
        <v>3</v>
      </c>
      <c r="M26" s="423" t="s">
        <v>379</v>
      </c>
      <c r="N26" s="385"/>
      <c r="O26" s="544"/>
      <c r="P26" s="444"/>
      <c r="Q26" s="386">
        <v>-67046.2</v>
      </c>
      <c r="R26" s="583"/>
      <c r="S26" s="619" t="s">
        <v>392</v>
      </c>
      <c r="T26" s="667">
        <v>46053</v>
      </c>
      <c r="U26" s="669">
        <v>0</v>
      </c>
      <c r="V26" s="788"/>
      <c r="W26" s="680">
        <v>46059</v>
      </c>
      <c r="X26" s="785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75"/>
      <c r="J27" s="775"/>
      <c r="K27" s="289"/>
      <c r="L27" s="312">
        <v>3</v>
      </c>
      <c r="M27" s="423" t="s">
        <v>379</v>
      </c>
      <c r="N27" s="385" t="s">
        <v>393</v>
      </c>
      <c r="O27" s="544"/>
      <c r="P27" s="444"/>
      <c r="Q27" s="386">
        <v>2283.6999999999998</v>
      </c>
      <c r="R27" s="583" t="s">
        <v>394</v>
      </c>
      <c r="S27" s="619" t="s">
        <v>395</v>
      </c>
      <c r="T27" s="667">
        <v>46081</v>
      </c>
      <c r="U27" s="669"/>
      <c r="V27" s="788"/>
      <c r="W27" s="680">
        <v>46059</v>
      </c>
      <c r="X27" s="785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75"/>
      <c r="J28" s="775"/>
      <c r="K28" s="289"/>
      <c r="L28" s="312">
        <v>3</v>
      </c>
      <c r="M28" s="423" t="s">
        <v>379</v>
      </c>
      <c r="N28" s="385" t="s">
        <v>396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88"/>
      <c r="W28" s="567">
        <f>T28</f>
        <v>46081</v>
      </c>
      <c r="X28" s="785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76"/>
      <c r="J29" s="776"/>
      <c r="K29" s="290"/>
      <c r="L29" s="317">
        <v>3</v>
      </c>
      <c r="M29" s="424" t="s">
        <v>379</v>
      </c>
      <c r="N29" s="330" t="s">
        <v>397</v>
      </c>
      <c r="O29" s="545"/>
      <c r="P29" s="460"/>
      <c r="Q29" s="331">
        <v>15556.95</v>
      </c>
      <c r="R29" s="584" t="s">
        <v>398</v>
      </c>
      <c r="S29" s="619" t="s">
        <v>399</v>
      </c>
      <c r="T29" s="703">
        <v>46053</v>
      </c>
      <c r="U29" s="686">
        <v>0</v>
      </c>
      <c r="V29" s="789"/>
      <c r="W29" s="704">
        <v>46045</v>
      </c>
      <c r="X29" s="786"/>
      <c r="Y29" s="606" t="s">
        <v>400</v>
      </c>
      <c r="Z29" s="607" t="s">
        <v>401</v>
      </c>
    </row>
    <row r="30" spans="1:26" ht="14.2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370</v>
      </c>
      <c r="D31" s="295" t="s">
        <v>402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68">
        <f>SUM(G31:G49)</f>
        <v>1117490.1000000001</v>
      </c>
      <c r="J31" s="768">
        <f>F190</f>
        <v>1201602.2580645164</v>
      </c>
      <c r="K31" s="298"/>
      <c r="L31" s="294">
        <v>4</v>
      </c>
      <c r="M31" s="425" t="s">
        <v>403</v>
      </c>
      <c r="N31" s="295" t="s">
        <v>404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90">
        <f>J31-SUM(U31:U49)</f>
        <v>0</v>
      </c>
      <c r="W31" s="696">
        <f>W6</f>
        <v>46003</v>
      </c>
      <c r="X31" s="771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405</v>
      </c>
      <c r="E32" s="394"/>
      <c r="F32" s="453"/>
      <c r="G32" s="634">
        <f>D190-G31</f>
        <v>675888.10000000009</v>
      </c>
      <c r="H32" s="570">
        <v>46022</v>
      </c>
      <c r="I32" s="769"/>
      <c r="J32" s="769"/>
      <c r="K32" s="302"/>
      <c r="L32" s="299">
        <v>4</v>
      </c>
      <c r="M32" s="426" t="s">
        <v>403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91"/>
      <c r="W32" s="696">
        <f>W7</f>
        <v>46009</v>
      </c>
      <c r="X32" s="772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69"/>
      <c r="J33" s="769"/>
      <c r="K33" s="302"/>
      <c r="L33" s="299">
        <v>4</v>
      </c>
      <c r="M33" s="426" t="s">
        <v>403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91"/>
      <c r="W33" s="571"/>
      <c r="X33" s="772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69"/>
      <c r="J34" s="769"/>
      <c r="K34" s="302"/>
      <c r="L34" s="299">
        <v>4</v>
      </c>
      <c r="M34" s="426" t="s">
        <v>403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91"/>
      <c r="W34" s="571"/>
      <c r="X34" s="772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69"/>
      <c r="J35" s="769"/>
      <c r="K35" s="302"/>
      <c r="L35" s="299">
        <v>4</v>
      </c>
      <c r="M35" s="426" t="s">
        <v>403</v>
      </c>
      <c r="N35" s="408" t="s">
        <v>406</v>
      </c>
      <c r="O35" s="559">
        <f>Z31</f>
        <v>169665.2</v>
      </c>
      <c r="P35" s="560">
        <v>0.1</v>
      </c>
      <c r="Q35" s="301">
        <f>$O$35*P35</f>
        <v>16966.52</v>
      </c>
      <c r="R35" s="796"/>
      <c r="S35" s="623" t="str">
        <f>S105</f>
        <v>JA Electrical - Inv 1104</v>
      </c>
      <c r="T35" s="674">
        <f>T105</f>
        <v>45961</v>
      </c>
      <c r="U35" s="684">
        <v>28570.632008815413</v>
      </c>
      <c r="V35" s="791"/>
      <c r="W35" s="689">
        <f t="shared" ref="W35:W37" si="3">W105</f>
        <v>45967</v>
      </c>
      <c r="X35" s="772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69"/>
      <c r="J36" s="769"/>
      <c r="K36" s="302"/>
      <c r="L36" s="299">
        <v>4</v>
      </c>
      <c r="M36" s="426" t="s">
        <v>403</v>
      </c>
      <c r="N36" s="408" t="s">
        <v>202</v>
      </c>
      <c r="O36" s="548"/>
      <c r="P36" s="560">
        <v>0.15</v>
      </c>
      <c r="Q36" s="301">
        <f t="shared" ref="Q36:Q46" si="4">$O$35*P36</f>
        <v>25449.780000000002</v>
      </c>
      <c r="R36" s="797"/>
      <c r="S36" s="623" t="str">
        <f>S106</f>
        <v>JA Electrical - Inv 1105</v>
      </c>
      <c r="T36" s="674">
        <f>T106</f>
        <v>45961</v>
      </c>
      <c r="U36" s="684">
        <v>42855.948013223126</v>
      </c>
      <c r="V36" s="791"/>
      <c r="W36" s="689">
        <f t="shared" si="3"/>
        <v>45967</v>
      </c>
      <c r="X36" s="772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69"/>
      <c r="J37" s="769"/>
      <c r="K37" s="302"/>
      <c r="L37" s="299">
        <v>4</v>
      </c>
      <c r="M37" s="426" t="s">
        <v>403</v>
      </c>
      <c r="N37" s="408" t="s">
        <v>407</v>
      </c>
      <c r="O37" s="548"/>
      <c r="P37" s="560">
        <v>0.1</v>
      </c>
      <c r="Q37" s="301">
        <f t="shared" si="4"/>
        <v>16966.52</v>
      </c>
      <c r="R37" s="797"/>
      <c r="S37" s="623" t="s">
        <v>408</v>
      </c>
      <c r="T37" s="660">
        <f t="shared" ref="T37:T42" si="5">T107</f>
        <v>46022</v>
      </c>
      <c r="U37" s="684">
        <v>28570.632008815413</v>
      </c>
      <c r="V37" s="791"/>
      <c r="W37" s="689">
        <f t="shared" si="3"/>
        <v>46003</v>
      </c>
      <c r="X37" s="772"/>
      <c r="Y37" s="608" t="s">
        <v>409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69"/>
      <c r="J38" s="769"/>
      <c r="K38" s="302"/>
      <c r="L38" s="299">
        <v>4</v>
      </c>
      <c r="M38" s="426" t="s">
        <v>403</v>
      </c>
      <c r="N38" s="408" t="s">
        <v>407</v>
      </c>
      <c r="O38" s="548"/>
      <c r="P38" s="709">
        <f>P108</f>
        <v>7.4999999999999997E-2</v>
      </c>
      <c r="Q38" s="301">
        <f t="shared" si="4"/>
        <v>12724.890000000001</v>
      </c>
      <c r="R38" s="797"/>
      <c r="S38" s="623" t="s">
        <v>410</v>
      </c>
      <c r="T38" s="674">
        <f t="shared" si="5"/>
        <v>46053</v>
      </c>
      <c r="U38" s="684">
        <v>21427.974006611563</v>
      </c>
      <c r="V38" s="791"/>
      <c r="W38" s="689">
        <f>W72</f>
        <v>46066</v>
      </c>
      <c r="X38" s="772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69"/>
      <c r="J39" s="769"/>
      <c r="K39" s="302"/>
      <c r="L39" s="299">
        <v>4</v>
      </c>
      <c r="M39" s="426" t="s">
        <v>403</v>
      </c>
      <c r="N39" s="408" t="s">
        <v>407</v>
      </c>
      <c r="O39" s="548"/>
      <c r="P39" s="709">
        <f>P109</f>
        <v>2.5000000000000001E-2</v>
      </c>
      <c r="Q39" s="301">
        <f t="shared" ref="Q39" si="6">$O$35*P39</f>
        <v>4241.63</v>
      </c>
      <c r="R39" s="797"/>
      <c r="S39" s="623"/>
      <c r="T39" s="523">
        <f t="shared" si="5"/>
        <v>46081</v>
      </c>
      <c r="U39" s="508">
        <f t="shared" si="2"/>
        <v>7142.6580022038534</v>
      </c>
      <c r="V39" s="791"/>
      <c r="W39" s="571">
        <f>W73</f>
        <v>46080</v>
      </c>
      <c r="X39" s="772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69"/>
      <c r="J40" s="769"/>
      <c r="K40" s="302"/>
      <c r="L40" s="299">
        <v>4</v>
      </c>
      <c r="M40" s="426" t="s">
        <v>403</v>
      </c>
      <c r="N40" s="408" t="s">
        <v>411</v>
      </c>
      <c r="O40" s="548"/>
      <c r="P40" s="560">
        <v>0.2</v>
      </c>
      <c r="Q40" s="301">
        <f t="shared" si="4"/>
        <v>33933.040000000001</v>
      </c>
      <c r="R40" s="797"/>
      <c r="S40" s="623" t="s">
        <v>408</v>
      </c>
      <c r="T40" s="660">
        <f t="shared" si="5"/>
        <v>46022</v>
      </c>
      <c r="U40" s="684">
        <v>57141.264017630827</v>
      </c>
      <c r="V40" s="791"/>
      <c r="W40" s="689">
        <f>W110</f>
        <v>46003</v>
      </c>
      <c r="X40" s="772"/>
      <c r="Y40" s="608" t="s">
        <v>412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69"/>
      <c r="J41" s="769"/>
      <c r="K41" s="302"/>
      <c r="L41" s="299">
        <v>4</v>
      </c>
      <c r="M41" s="426" t="s">
        <v>403</v>
      </c>
      <c r="N41" s="408" t="s">
        <v>411</v>
      </c>
      <c r="O41" s="548"/>
      <c r="P41" s="709">
        <f>P111</f>
        <v>2.5000000000000001E-2</v>
      </c>
      <c r="Q41" s="301">
        <f t="shared" si="4"/>
        <v>4241.63</v>
      </c>
      <c r="R41" s="797"/>
      <c r="S41" s="623" t="s">
        <v>410</v>
      </c>
      <c r="T41" s="674">
        <f t="shared" si="5"/>
        <v>46053</v>
      </c>
      <c r="U41" s="684">
        <v>7142.6580022038534</v>
      </c>
      <c r="V41" s="791"/>
      <c r="W41" s="689">
        <f>W76</f>
        <v>46066</v>
      </c>
      <c r="X41" s="772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69"/>
      <c r="J42" s="769"/>
      <c r="K42" s="302"/>
      <c r="L42" s="299">
        <v>4</v>
      </c>
      <c r="M42" s="426" t="s">
        <v>403</v>
      </c>
      <c r="N42" s="408" t="s">
        <v>411</v>
      </c>
      <c r="O42" s="548"/>
      <c r="P42" s="709">
        <f>P112</f>
        <v>2.5000000000000001E-2</v>
      </c>
      <c r="Q42" s="301">
        <f t="shared" si="4"/>
        <v>4241.63</v>
      </c>
      <c r="R42" s="797"/>
      <c r="S42" s="623"/>
      <c r="T42" s="523">
        <f t="shared" si="5"/>
        <v>46081</v>
      </c>
      <c r="U42" s="508">
        <f t="shared" si="2"/>
        <v>7142.6580022038534</v>
      </c>
      <c r="V42" s="791"/>
      <c r="W42" s="571">
        <f>W112</f>
        <v>46080</v>
      </c>
      <c r="X42" s="772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69"/>
      <c r="J43" s="769"/>
      <c r="K43" s="302"/>
      <c r="L43" s="299">
        <v>4</v>
      </c>
      <c r="M43" s="426" t="s">
        <v>403</v>
      </c>
      <c r="N43" s="408" t="s">
        <v>413</v>
      </c>
      <c r="O43" s="548"/>
      <c r="P43" s="560">
        <v>0.1</v>
      </c>
      <c r="Q43" s="301">
        <f t="shared" si="4"/>
        <v>16966.52</v>
      </c>
      <c r="R43" s="797"/>
      <c r="S43" s="623"/>
      <c r="T43" s="523">
        <v>46081</v>
      </c>
      <c r="U43" s="508">
        <f t="shared" si="2"/>
        <v>28570.632008815413</v>
      </c>
      <c r="V43" s="791"/>
      <c r="W43" s="571">
        <f t="shared" ref="W43:W46" si="8">W113</f>
        <v>46092</v>
      </c>
      <c r="X43" s="772"/>
      <c r="Y43" s="608" t="s">
        <v>414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69"/>
      <c r="J44" s="769"/>
      <c r="K44" s="302"/>
      <c r="L44" s="299">
        <v>4</v>
      </c>
      <c r="M44" s="426" t="s">
        <v>403</v>
      </c>
      <c r="N44" s="408" t="s">
        <v>415</v>
      </c>
      <c r="O44" s="548"/>
      <c r="P44" s="560">
        <v>0.1</v>
      </c>
      <c r="Q44" s="301">
        <f t="shared" si="4"/>
        <v>16966.52</v>
      </c>
      <c r="R44" s="797"/>
      <c r="S44" s="623"/>
      <c r="T44" s="523">
        <f t="shared" ref="T44:T46" si="9">T114</f>
        <v>46112</v>
      </c>
      <c r="U44" s="508">
        <f t="shared" si="2"/>
        <v>28570.632008815413</v>
      </c>
      <c r="V44" s="791"/>
      <c r="W44" s="571">
        <f t="shared" si="8"/>
        <v>46097</v>
      </c>
      <c r="X44" s="772"/>
      <c r="Y44" s="608" t="s">
        <v>383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69"/>
      <c r="J45" s="769"/>
      <c r="K45" s="302"/>
      <c r="L45" s="299">
        <v>4</v>
      </c>
      <c r="M45" s="426" t="s">
        <v>403</v>
      </c>
      <c r="N45" s="408" t="s">
        <v>416</v>
      </c>
      <c r="O45" s="548"/>
      <c r="P45" s="560">
        <v>0.05</v>
      </c>
      <c r="Q45" s="301">
        <f t="shared" si="4"/>
        <v>8483.26</v>
      </c>
      <c r="R45" s="797"/>
      <c r="S45" s="623"/>
      <c r="T45" s="523">
        <f t="shared" si="9"/>
        <v>46112</v>
      </c>
      <c r="U45" s="508">
        <f t="shared" si="2"/>
        <v>14285.316004407707</v>
      </c>
      <c r="V45" s="791"/>
      <c r="W45" s="571">
        <f t="shared" si="8"/>
        <v>46097</v>
      </c>
      <c r="X45" s="772"/>
      <c r="Y45" s="608" t="s">
        <v>305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69"/>
      <c r="J46" s="769"/>
      <c r="K46" s="302"/>
      <c r="L46" s="299">
        <v>4</v>
      </c>
      <c r="M46" s="426" t="s">
        <v>403</v>
      </c>
      <c r="N46" s="408" t="s">
        <v>417</v>
      </c>
      <c r="O46" s="548"/>
      <c r="P46" s="560">
        <v>0.05</v>
      </c>
      <c r="Q46" s="301">
        <f t="shared" si="4"/>
        <v>8483.26</v>
      </c>
      <c r="R46" s="798"/>
      <c r="S46" s="623"/>
      <c r="T46" s="523">
        <f t="shared" si="9"/>
        <v>46112</v>
      </c>
      <c r="U46" s="508">
        <f t="shared" si="2"/>
        <v>14285.316004407707</v>
      </c>
      <c r="V46" s="791"/>
      <c r="W46" s="571">
        <f t="shared" si="8"/>
        <v>46120</v>
      </c>
      <c r="X46" s="772"/>
      <c r="Y46" s="611" t="s">
        <v>388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69"/>
      <c r="J47" s="769"/>
      <c r="K47" s="302"/>
      <c r="L47" s="299">
        <v>4</v>
      </c>
      <c r="M47" s="426" t="s">
        <v>403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91"/>
      <c r="W47" s="571"/>
      <c r="X47" s="772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69"/>
      <c r="J48" s="769"/>
      <c r="K48" s="302"/>
      <c r="L48" s="299">
        <v>4</v>
      </c>
      <c r="M48" s="426" t="s">
        <v>403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91"/>
      <c r="W48" s="571"/>
      <c r="X48" s="772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70"/>
      <c r="J49" s="770"/>
      <c r="K49" s="307"/>
      <c r="L49" s="303">
        <v>4</v>
      </c>
      <c r="M49" s="427" t="s">
        <v>403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792"/>
      <c r="W49" s="572"/>
      <c r="X49" s="773"/>
      <c r="Y49" s="482"/>
    </row>
    <row r="50" spans="1:25" ht="13.9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418</v>
      </c>
      <c r="D51" s="328" t="s">
        <v>419</v>
      </c>
      <c r="E51" s="284"/>
      <c r="F51" s="437"/>
      <c r="G51" s="285">
        <f>D192-G52</f>
        <v>34000</v>
      </c>
      <c r="H51" s="573">
        <v>45900</v>
      </c>
      <c r="I51" s="774">
        <f>SUM(G51:G61)</f>
        <v>49000</v>
      </c>
      <c r="J51" s="774">
        <f>F192</f>
        <v>52688.172043010753</v>
      </c>
      <c r="K51" s="286"/>
      <c r="L51" s="282">
        <v>5</v>
      </c>
      <c r="M51" s="422" t="s">
        <v>420</v>
      </c>
      <c r="N51" s="328" t="s">
        <v>421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87">
        <f>J51-SUM(U51:U61)</f>
        <v>4.039382423798088E-3</v>
      </c>
      <c r="W51" s="697">
        <f>W6</f>
        <v>46003</v>
      </c>
      <c r="X51" s="784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422</v>
      </c>
      <c r="E52" s="451"/>
      <c r="F52" s="452"/>
      <c r="G52" s="316">
        <v>15000</v>
      </c>
      <c r="H52" s="566">
        <v>45900</v>
      </c>
      <c r="I52" s="775"/>
      <c r="J52" s="775"/>
      <c r="K52" s="289"/>
      <c r="L52" s="287">
        <v>5</v>
      </c>
      <c r="M52" s="428" t="s">
        <v>420</v>
      </c>
      <c r="N52" s="288" t="s">
        <v>423</v>
      </c>
      <c r="O52" s="550"/>
      <c r="P52" s="452"/>
      <c r="Q52" s="316">
        <v>27301</v>
      </c>
      <c r="R52" s="635" t="s">
        <v>424</v>
      </c>
      <c r="S52" s="618" t="s">
        <v>425</v>
      </c>
      <c r="T52" s="679">
        <v>45961</v>
      </c>
      <c r="U52" s="668">
        <v>9478.9399762657522</v>
      </c>
      <c r="V52" s="788"/>
      <c r="W52" s="693">
        <v>45989</v>
      </c>
      <c r="X52" s="785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75"/>
      <c r="J53" s="775"/>
      <c r="K53" s="289"/>
      <c r="L53" s="287">
        <v>5</v>
      </c>
      <c r="M53" s="428" t="s">
        <v>420</v>
      </c>
      <c r="N53" s="314" t="s">
        <v>162</v>
      </c>
      <c r="O53" s="543"/>
      <c r="P53" s="459"/>
      <c r="Q53" s="316">
        <v>11169</v>
      </c>
      <c r="R53" s="582"/>
      <c r="S53" s="618" t="s">
        <v>426</v>
      </c>
      <c r="T53" s="644">
        <v>45930</v>
      </c>
      <c r="U53" s="668">
        <v>7261.7211113769454</v>
      </c>
      <c r="V53" s="788"/>
      <c r="W53" s="534">
        <v>45900</v>
      </c>
      <c r="X53" s="785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75"/>
      <c r="J54" s="775"/>
      <c r="K54" s="289"/>
      <c r="L54" s="287">
        <v>5</v>
      </c>
      <c r="M54" s="428" t="s">
        <v>420</v>
      </c>
      <c r="N54" s="314" t="s">
        <v>427</v>
      </c>
      <c r="O54" s="543"/>
      <c r="P54" s="459"/>
      <c r="Q54" s="316">
        <v>335.86</v>
      </c>
      <c r="R54" s="582"/>
      <c r="S54" s="619" t="s">
        <v>428</v>
      </c>
      <c r="T54" s="644">
        <v>45991</v>
      </c>
      <c r="U54" s="668">
        <v>0</v>
      </c>
      <c r="V54" s="788"/>
      <c r="W54" s="534">
        <v>46022</v>
      </c>
      <c r="X54" s="785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75"/>
      <c r="J55" s="775"/>
      <c r="K55" s="289"/>
      <c r="L55" s="312">
        <v>5</v>
      </c>
      <c r="M55" s="428" t="s">
        <v>420</v>
      </c>
      <c r="N55" s="314" t="s">
        <v>429</v>
      </c>
      <c r="O55" s="543"/>
      <c r="P55" s="459"/>
      <c r="Q55" s="316">
        <v>44000</v>
      </c>
      <c r="R55" s="582" t="s">
        <v>430</v>
      </c>
      <c r="S55" s="618" t="s">
        <v>431</v>
      </c>
      <c r="T55" s="644">
        <v>45930</v>
      </c>
      <c r="U55" s="668">
        <v>28607.371197115732</v>
      </c>
      <c r="V55" s="788"/>
      <c r="W55" s="534">
        <v>45900</v>
      </c>
      <c r="X55" s="785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75"/>
      <c r="J56" s="775"/>
      <c r="K56" s="289"/>
      <c r="L56" s="312">
        <v>5</v>
      </c>
      <c r="M56" s="428" t="s">
        <v>420</v>
      </c>
      <c r="N56" s="387" t="s">
        <v>432</v>
      </c>
      <c r="O56" s="544"/>
      <c r="P56" s="444"/>
      <c r="Q56" s="386">
        <f>-1*Q55</f>
        <v>-44000</v>
      </c>
      <c r="R56" s="583"/>
      <c r="S56" s="619" t="s">
        <v>433</v>
      </c>
      <c r="T56" s="679">
        <v>45961</v>
      </c>
      <c r="U56" s="668">
        <v>0</v>
      </c>
      <c r="V56" s="788"/>
      <c r="W56" s="680">
        <f>T56</f>
        <v>45961</v>
      </c>
      <c r="X56" s="785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75"/>
      <c r="J57" s="775"/>
      <c r="K57" s="289"/>
      <c r="L57" s="312">
        <v>5</v>
      </c>
      <c r="M57" s="428" t="s">
        <v>420</v>
      </c>
      <c r="N57" s="387" t="s">
        <v>434</v>
      </c>
      <c r="O57" s="544"/>
      <c r="P57" s="444"/>
      <c r="Q57" s="386">
        <v>40000</v>
      </c>
      <c r="R57" s="583" t="s">
        <v>435</v>
      </c>
      <c r="S57" s="619" t="s">
        <v>436</v>
      </c>
      <c r="T57" s="644">
        <v>45991</v>
      </c>
      <c r="U57" s="668">
        <v>0</v>
      </c>
      <c r="V57" s="788"/>
      <c r="W57" s="680">
        <v>46021</v>
      </c>
      <c r="X57" s="785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75"/>
      <c r="J58" s="775"/>
      <c r="K58" s="289"/>
      <c r="L58" s="312">
        <v>5</v>
      </c>
      <c r="M58" s="428" t="s">
        <v>420</v>
      </c>
      <c r="N58" s="387" t="s">
        <v>437</v>
      </c>
      <c r="O58" s="544"/>
      <c r="P58" s="444"/>
      <c r="Q58" s="386">
        <v>285.58999999999997</v>
      </c>
      <c r="R58" s="583"/>
      <c r="S58" s="619" t="s">
        <v>438</v>
      </c>
      <c r="T58" s="644">
        <v>45991</v>
      </c>
      <c r="U58" s="668">
        <v>0</v>
      </c>
      <c r="V58" s="788"/>
      <c r="W58" s="680">
        <v>46021</v>
      </c>
      <c r="X58" s="785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75"/>
      <c r="J59" s="775"/>
      <c r="K59" s="289"/>
      <c r="L59" s="312">
        <v>5</v>
      </c>
      <c r="M59" s="428" t="s">
        <v>420</v>
      </c>
      <c r="N59" s="387" t="s">
        <v>439</v>
      </c>
      <c r="O59" s="544"/>
      <c r="P59" s="444"/>
      <c r="Q59" s="386">
        <v>3575.5</v>
      </c>
      <c r="R59" s="583" t="s">
        <v>440</v>
      </c>
      <c r="S59" s="619" t="s">
        <v>441</v>
      </c>
      <c r="T59" s="644">
        <v>45930</v>
      </c>
      <c r="U59" s="668">
        <v>2324.6739935292567</v>
      </c>
      <c r="V59" s="788"/>
      <c r="W59" s="535">
        <v>45876</v>
      </c>
      <c r="X59" s="785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75"/>
      <c r="J60" s="775"/>
      <c r="K60" s="289"/>
      <c r="L60" s="312">
        <v>5</v>
      </c>
      <c r="M60" s="428" t="s">
        <v>420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88"/>
      <c r="W60" s="567"/>
      <c r="X60" s="785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76"/>
      <c r="J61" s="776"/>
      <c r="K61" s="290"/>
      <c r="L61" s="317">
        <v>5</v>
      </c>
      <c r="M61" s="424" t="s">
        <v>420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89"/>
      <c r="W61" s="568"/>
      <c r="X61" s="786"/>
      <c r="Y61" s="482"/>
    </row>
    <row r="62" spans="1:25" ht="14.2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366</v>
      </c>
      <c r="D63" s="296" t="s">
        <v>442</v>
      </c>
      <c r="E63" s="475"/>
      <c r="F63" s="457"/>
      <c r="G63" s="297">
        <f>D191</f>
        <v>1511034.3</v>
      </c>
      <c r="H63" s="570">
        <v>45900</v>
      </c>
      <c r="I63" s="768">
        <f>SUM(G63:G83)</f>
        <v>1511034.3</v>
      </c>
      <c r="J63" s="768">
        <f>F191</f>
        <v>1624768.0645161292</v>
      </c>
      <c r="K63" s="298"/>
      <c r="L63" s="294">
        <v>6</v>
      </c>
      <c r="M63" s="431" t="s">
        <v>443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90">
        <f>J63-SUM(U63:U83)</f>
        <v>5.3090509027242661E-5</v>
      </c>
      <c r="W63" s="570"/>
      <c r="X63" s="771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69"/>
      <c r="J64" s="769"/>
      <c r="K64" s="302"/>
      <c r="L64" s="299">
        <v>6</v>
      </c>
      <c r="M64" s="429" t="s">
        <v>443</v>
      </c>
      <c r="N64" s="443" t="s">
        <v>154</v>
      </c>
      <c r="O64" s="548"/>
      <c r="P64" s="453"/>
      <c r="Q64" s="322">
        <v>354929.22</v>
      </c>
      <c r="R64" s="587" t="s">
        <v>444</v>
      </c>
      <c r="S64" s="623" t="s">
        <v>445</v>
      </c>
      <c r="T64" s="674">
        <v>45991</v>
      </c>
      <c r="U64" s="684">
        <v>983356.53922919161</v>
      </c>
      <c r="V64" s="791"/>
      <c r="W64" s="676">
        <f>T64+30</f>
        <v>46021</v>
      </c>
      <c r="X64" s="772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69"/>
      <c r="J65" s="769"/>
      <c r="K65" s="302"/>
      <c r="L65" s="299">
        <v>6</v>
      </c>
      <c r="M65" s="429" t="s">
        <v>443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91"/>
      <c r="W65" s="571"/>
      <c r="X65" s="772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69"/>
      <c r="J66" s="769"/>
      <c r="K66" s="302"/>
      <c r="L66" s="299">
        <v>6</v>
      </c>
      <c r="M66" s="429" t="s">
        <v>443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91"/>
      <c r="W66" s="571"/>
      <c r="X66" s="772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69"/>
      <c r="J67" s="769"/>
      <c r="K67" s="302"/>
      <c r="L67" s="299">
        <v>6</v>
      </c>
      <c r="M67" s="429" t="s">
        <v>443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91"/>
      <c r="W67" s="571"/>
      <c r="X67" s="772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69"/>
      <c r="J68" s="769"/>
      <c r="K68" s="302"/>
      <c r="L68" s="299">
        <v>6</v>
      </c>
      <c r="M68" s="429" t="s">
        <v>443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91"/>
      <c r="W68" s="571"/>
      <c r="X68" s="772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69"/>
      <c r="J69" s="769"/>
      <c r="K69" s="302"/>
      <c r="L69" s="299">
        <v>6</v>
      </c>
      <c r="M69" s="429" t="s">
        <v>443</v>
      </c>
      <c r="N69" s="408" t="s">
        <v>406</v>
      </c>
      <c r="O69" s="559">
        <f>Z30</f>
        <v>231508.8</v>
      </c>
      <c r="P69" s="560">
        <v>0.1</v>
      </c>
      <c r="Q69" s="301">
        <f>$O$69*P69</f>
        <v>23150.880000000001</v>
      </c>
      <c r="R69" s="796"/>
      <c r="S69" s="623" t="str">
        <f>S105</f>
        <v>JA Electrical - Inv 1104</v>
      </c>
      <c r="T69" s="674">
        <f>T105</f>
        <v>45961</v>
      </c>
      <c r="U69" s="684">
        <v>64141.152528693783</v>
      </c>
      <c r="V69" s="791"/>
      <c r="W69" s="689">
        <f t="shared" ref="W69:W71" si="12">W105</f>
        <v>45967</v>
      </c>
      <c r="X69" s="772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69"/>
      <c r="J70" s="769"/>
      <c r="K70" s="302"/>
      <c r="L70" s="299">
        <v>6</v>
      </c>
      <c r="M70" s="430" t="s">
        <v>443</v>
      </c>
      <c r="N70" s="408" t="s">
        <v>202</v>
      </c>
      <c r="O70" s="548"/>
      <c r="P70" s="560">
        <v>0.15</v>
      </c>
      <c r="Q70" s="301">
        <f t="shared" ref="Q70:Q80" si="13">$O$69*P70</f>
        <v>34726.32</v>
      </c>
      <c r="R70" s="797"/>
      <c r="S70" s="623" t="str">
        <f>S106</f>
        <v>JA Electrical - Inv 1105</v>
      </c>
      <c r="T70" s="674">
        <f>T106</f>
        <v>45961</v>
      </c>
      <c r="U70" s="684">
        <v>96211.72879304066</v>
      </c>
      <c r="V70" s="791"/>
      <c r="W70" s="689">
        <f t="shared" si="12"/>
        <v>45967</v>
      </c>
      <c r="X70" s="772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69"/>
      <c r="J71" s="769"/>
      <c r="K71" s="302"/>
      <c r="L71" s="299">
        <v>6</v>
      </c>
      <c r="M71" s="430" t="s">
        <v>443</v>
      </c>
      <c r="N71" s="408" t="s">
        <v>407</v>
      </c>
      <c r="O71" s="548"/>
      <c r="P71" s="560">
        <v>0.1</v>
      </c>
      <c r="Q71" s="301">
        <v>23150.78</v>
      </c>
      <c r="R71" s="797"/>
      <c r="S71" s="623" t="s">
        <v>408</v>
      </c>
      <c r="T71" s="660">
        <f>T107</f>
        <v>46022</v>
      </c>
      <c r="U71" s="684">
        <v>64141.287346352467</v>
      </c>
      <c r="V71" s="791"/>
      <c r="W71" s="689">
        <f t="shared" si="12"/>
        <v>46003</v>
      </c>
      <c r="X71" s="772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69"/>
      <c r="J72" s="769"/>
      <c r="K72" s="302"/>
      <c r="L72" s="299" t="s">
        <v>446</v>
      </c>
      <c r="M72" s="430" t="s">
        <v>443</v>
      </c>
      <c r="N72" s="408" t="s">
        <v>407</v>
      </c>
      <c r="O72" s="548"/>
      <c r="P72" s="709">
        <f>P108</f>
        <v>7.4999999999999997E-2</v>
      </c>
      <c r="Q72" s="301">
        <f>$O$69*P72</f>
        <v>17363.16</v>
      </c>
      <c r="R72" s="797"/>
      <c r="S72" s="623" t="s">
        <v>410</v>
      </c>
      <c r="T72" s="674">
        <f>T108</f>
        <v>46053</v>
      </c>
      <c r="U72" s="684">
        <v>48105.880802646541</v>
      </c>
      <c r="V72" s="791"/>
      <c r="W72" s="689">
        <f>W108</f>
        <v>46066</v>
      </c>
      <c r="X72" s="772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69"/>
      <c r="J73" s="769"/>
      <c r="K73" s="302"/>
      <c r="L73" s="299" t="s">
        <v>446</v>
      </c>
      <c r="M73" s="430" t="s">
        <v>443</v>
      </c>
      <c r="N73" s="408" t="s">
        <v>407</v>
      </c>
      <c r="O73" s="548"/>
      <c r="P73" s="709">
        <f>P109</f>
        <v>2.5000000000000001E-2</v>
      </c>
      <c r="Q73" s="301">
        <f>$O$69*P73</f>
        <v>5787.72</v>
      </c>
      <c r="R73" s="797"/>
      <c r="S73" s="623"/>
      <c r="T73" s="523">
        <f>T109</f>
        <v>46081</v>
      </c>
      <c r="U73" s="508">
        <f t="shared" si="11"/>
        <v>16035.293600882182</v>
      </c>
      <c r="V73" s="791"/>
      <c r="W73" s="571">
        <f>W109</f>
        <v>46080</v>
      </c>
      <c r="X73" s="772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69"/>
      <c r="J74" s="769"/>
      <c r="K74" s="302"/>
      <c r="L74" s="299">
        <v>6</v>
      </c>
      <c r="M74" s="430" t="s">
        <v>443</v>
      </c>
      <c r="N74" s="408" t="s">
        <v>411</v>
      </c>
      <c r="O74" s="548"/>
      <c r="P74" s="560">
        <v>0.2</v>
      </c>
      <c r="Q74" s="301">
        <v>46301.66</v>
      </c>
      <c r="R74" s="797"/>
      <c r="S74" s="623" t="s">
        <v>408</v>
      </c>
      <c r="T74" s="660">
        <f>T110</f>
        <v>46022</v>
      </c>
      <c r="U74" s="684">
        <v>128282.07174988119</v>
      </c>
      <c r="V74" s="791"/>
      <c r="W74" s="689">
        <f>W110</f>
        <v>46003</v>
      </c>
      <c r="X74" s="772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69"/>
      <c r="J75" s="769"/>
      <c r="K75" s="302"/>
      <c r="L75" s="299">
        <v>6</v>
      </c>
      <c r="M75" s="430" t="s">
        <v>443</v>
      </c>
      <c r="N75" s="408" t="s">
        <v>411</v>
      </c>
      <c r="O75" s="548"/>
      <c r="P75" s="709">
        <f>P111</f>
        <v>2.5000000000000001E-2</v>
      </c>
      <c r="Q75" s="301">
        <f>$O$69*P75</f>
        <v>5787.72</v>
      </c>
      <c r="R75" s="797"/>
      <c r="S75" s="623"/>
      <c r="T75" s="523">
        <f>T112</f>
        <v>46081</v>
      </c>
      <c r="U75" s="508">
        <f t="shared" si="11"/>
        <v>16035.293600882182</v>
      </c>
      <c r="V75" s="791"/>
      <c r="W75" s="571">
        <f>W112</f>
        <v>46080</v>
      </c>
      <c r="X75" s="772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69"/>
      <c r="J76" s="769"/>
      <c r="K76" s="302"/>
      <c r="L76" s="299">
        <v>6</v>
      </c>
      <c r="M76" s="430" t="s">
        <v>443</v>
      </c>
      <c r="N76" s="408" t="s">
        <v>411</v>
      </c>
      <c r="O76" s="548"/>
      <c r="P76" s="709">
        <f>P112</f>
        <v>2.5000000000000001E-2</v>
      </c>
      <c r="Q76" s="301">
        <f>$O$69*P76</f>
        <v>5787.72</v>
      </c>
      <c r="R76" s="797"/>
      <c r="S76" s="623" t="s">
        <v>410</v>
      </c>
      <c r="T76" s="674">
        <f>T111</f>
        <v>46053</v>
      </c>
      <c r="U76" s="684">
        <v>16035.293600882182</v>
      </c>
      <c r="V76" s="791"/>
      <c r="W76" s="689">
        <f>W111</f>
        <v>46066</v>
      </c>
      <c r="X76" s="772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69"/>
      <c r="J77" s="769"/>
      <c r="K77" s="302"/>
      <c r="L77" s="299">
        <v>6</v>
      </c>
      <c r="M77" s="430" t="s">
        <v>443</v>
      </c>
      <c r="N77" s="408" t="s">
        <v>413</v>
      </c>
      <c r="O77" s="548"/>
      <c r="P77" s="560">
        <v>0.1</v>
      </c>
      <c r="Q77" s="301">
        <f t="shared" si="13"/>
        <v>23150.880000000001</v>
      </c>
      <c r="R77" s="797"/>
      <c r="S77" s="623"/>
      <c r="T77" s="523">
        <v>46081</v>
      </c>
      <c r="U77" s="508">
        <f t="shared" si="11"/>
        <v>64141.174403528727</v>
      </c>
      <c r="V77" s="791"/>
      <c r="W77" s="571">
        <f t="shared" ref="W77:W80" si="15">W113</f>
        <v>46092</v>
      </c>
      <c r="X77" s="772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69"/>
      <c r="J78" s="769"/>
      <c r="K78" s="302"/>
      <c r="L78" s="299">
        <v>6</v>
      </c>
      <c r="M78" s="430" t="s">
        <v>443</v>
      </c>
      <c r="N78" s="408" t="s">
        <v>415</v>
      </c>
      <c r="O78" s="548"/>
      <c r="P78" s="560">
        <v>0.1</v>
      </c>
      <c r="Q78" s="301">
        <f t="shared" si="13"/>
        <v>23150.880000000001</v>
      </c>
      <c r="R78" s="797"/>
      <c r="S78" s="627"/>
      <c r="T78" s="523">
        <f t="shared" ref="T78:T80" si="16">T114</f>
        <v>46112</v>
      </c>
      <c r="U78" s="513">
        <f t="shared" si="11"/>
        <v>64141.174403528727</v>
      </c>
      <c r="V78" s="791"/>
      <c r="W78" s="571">
        <f t="shared" si="15"/>
        <v>46097</v>
      </c>
      <c r="X78" s="772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69"/>
      <c r="J79" s="769"/>
      <c r="K79" s="302"/>
      <c r="L79" s="299">
        <v>6</v>
      </c>
      <c r="M79" s="430" t="s">
        <v>443</v>
      </c>
      <c r="N79" s="408" t="s">
        <v>416</v>
      </c>
      <c r="O79" s="548"/>
      <c r="P79" s="560">
        <v>0.05</v>
      </c>
      <c r="Q79" s="301">
        <f t="shared" si="13"/>
        <v>11575.44</v>
      </c>
      <c r="R79" s="797"/>
      <c r="S79" s="627"/>
      <c r="T79" s="523">
        <f t="shared" si="16"/>
        <v>46112</v>
      </c>
      <c r="U79" s="513">
        <f t="shared" si="11"/>
        <v>32070.587201764363</v>
      </c>
      <c r="V79" s="791"/>
      <c r="W79" s="571">
        <f t="shared" si="15"/>
        <v>46097</v>
      </c>
      <c r="X79" s="772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69"/>
      <c r="J80" s="769"/>
      <c r="K80" s="302"/>
      <c r="L80" s="299">
        <v>6</v>
      </c>
      <c r="M80" s="430" t="s">
        <v>443</v>
      </c>
      <c r="N80" s="408" t="s">
        <v>417</v>
      </c>
      <c r="O80" s="548"/>
      <c r="P80" s="560">
        <v>0.05</v>
      </c>
      <c r="Q80" s="301">
        <f t="shared" si="13"/>
        <v>11575.44</v>
      </c>
      <c r="R80" s="798"/>
      <c r="S80" s="627"/>
      <c r="T80" s="523">
        <f t="shared" si="16"/>
        <v>46112</v>
      </c>
      <c r="U80" s="513">
        <f t="shared" si="11"/>
        <v>32070.587201764363</v>
      </c>
      <c r="V80" s="791"/>
      <c r="W80" s="571">
        <f t="shared" si="15"/>
        <v>46120</v>
      </c>
      <c r="X80" s="772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69"/>
      <c r="J81" s="769"/>
      <c r="K81" s="302"/>
      <c r="L81" s="299">
        <v>6</v>
      </c>
      <c r="M81" s="430" t="s">
        <v>443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91"/>
      <c r="W81" s="574"/>
      <c r="X81" s="772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69"/>
      <c r="J82" s="769"/>
      <c r="K82" s="302"/>
      <c r="L82" s="299">
        <v>6</v>
      </c>
      <c r="M82" s="430" t="s">
        <v>443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91"/>
      <c r="W82" s="574"/>
      <c r="X82" s="772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70"/>
      <c r="J83" s="770"/>
      <c r="K83" s="307"/>
      <c r="L83" s="303">
        <v>6</v>
      </c>
      <c r="M83" s="432" t="s">
        <v>443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792"/>
      <c r="W83" s="572"/>
      <c r="X83" s="773"/>
      <c r="Y83" s="482"/>
    </row>
    <row r="84" spans="1:25" ht="13.9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447</v>
      </c>
      <c r="D85" s="381"/>
      <c r="E85" s="462"/>
      <c r="F85" s="468"/>
      <c r="G85" s="382"/>
      <c r="H85" s="576"/>
      <c r="I85" s="774">
        <f>SUM(G85:G92)</f>
        <v>0</v>
      </c>
      <c r="J85" s="774">
        <f>F196</f>
        <v>0</v>
      </c>
      <c r="K85" s="286"/>
      <c r="L85" s="380">
        <v>7</v>
      </c>
      <c r="M85" s="310" t="s">
        <v>448</v>
      </c>
      <c r="N85" s="381"/>
      <c r="O85" s="553"/>
      <c r="P85" s="468"/>
      <c r="Q85" s="382"/>
      <c r="R85" s="799"/>
      <c r="S85" s="629"/>
      <c r="T85" s="528"/>
      <c r="U85" s="643"/>
      <c r="V85" s="793">
        <f>J85-SUM(U85:U92)</f>
        <v>0</v>
      </c>
      <c r="W85" s="576"/>
      <c r="X85" s="784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75"/>
      <c r="J86" s="775"/>
      <c r="K86" s="289"/>
      <c r="L86" s="383">
        <v>7</v>
      </c>
      <c r="M86" s="384" t="s">
        <v>448</v>
      </c>
      <c r="N86" s="385"/>
      <c r="O86" s="544"/>
      <c r="P86" s="444"/>
      <c r="Q86" s="386"/>
      <c r="R86" s="800"/>
      <c r="S86" s="619"/>
      <c r="T86" s="519"/>
      <c r="U86" s="504"/>
      <c r="V86" s="794"/>
      <c r="W86" s="567"/>
      <c r="X86" s="785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75"/>
      <c r="J87" s="775"/>
      <c r="K87" s="289"/>
      <c r="L87" s="383">
        <v>7</v>
      </c>
      <c r="M87" s="384" t="s">
        <v>448</v>
      </c>
      <c r="N87" s="385"/>
      <c r="O87" s="544"/>
      <c r="P87" s="444"/>
      <c r="Q87" s="386"/>
      <c r="R87" s="583"/>
      <c r="S87" s="619"/>
      <c r="T87" s="519"/>
      <c r="U87" s="504"/>
      <c r="V87" s="794"/>
      <c r="W87" s="567"/>
      <c r="X87" s="785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75"/>
      <c r="J88" s="775"/>
      <c r="K88" s="289"/>
      <c r="L88" s="383">
        <v>7</v>
      </c>
      <c r="M88" s="384" t="s">
        <v>448</v>
      </c>
      <c r="N88" s="385"/>
      <c r="O88" s="406"/>
      <c r="P88" s="444"/>
      <c r="Q88" s="386"/>
      <c r="R88" s="583"/>
      <c r="S88" s="619"/>
      <c r="T88" s="519"/>
      <c r="U88" s="504"/>
      <c r="V88" s="794"/>
      <c r="W88" s="567"/>
      <c r="X88" s="785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75"/>
      <c r="J89" s="775"/>
      <c r="K89" s="289"/>
      <c r="L89" s="383">
        <v>7</v>
      </c>
      <c r="M89" s="384" t="s">
        <v>448</v>
      </c>
      <c r="N89" s="385"/>
      <c r="O89" s="406"/>
      <c r="P89" s="444"/>
      <c r="Q89" s="386"/>
      <c r="R89" s="583"/>
      <c r="S89" s="619"/>
      <c r="T89" s="519"/>
      <c r="U89" s="504"/>
      <c r="V89" s="794"/>
      <c r="W89" s="567"/>
      <c r="X89" s="785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75"/>
      <c r="J90" s="775"/>
      <c r="K90" s="289"/>
      <c r="L90" s="383">
        <v>7</v>
      </c>
      <c r="M90" s="384" t="s">
        <v>448</v>
      </c>
      <c r="N90" s="385"/>
      <c r="O90" s="406"/>
      <c r="P90" s="444"/>
      <c r="Q90" s="386"/>
      <c r="R90" s="583"/>
      <c r="S90" s="619"/>
      <c r="T90" s="519"/>
      <c r="U90" s="504"/>
      <c r="V90" s="794"/>
      <c r="W90" s="567"/>
      <c r="X90" s="785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75"/>
      <c r="J91" s="775"/>
      <c r="K91" s="289"/>
      <c r="L91" s="383">
        <v>7</v>
      </c>
      <c r="M91" s="384" t="s">
        <v>448</v>
      </c>
      <c r="N91" s="385"/>
      <c r="O91" s="544"/>
      <c r="P91" s="444"/>
      <c r="Q91" s="386"/>
      <c r="R91" s="583"/>
      <c r="S91" s="619"/>
      <c r="T91" s="519"/>
      <c r="U91" s="504"/>
      <c r="V91" s="794"/>
      <c r="W91" s="567"/>
      <c r="X91" s="785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76"/>
      <c r="J92" s="776"/>
      <c r="K92" s="290"/>
      <c r="L92" s="317">
        <v>7</v>
      </c>
      <c r="M92" s="338" t="s">
        <v>448</v>
      </c>
      <c r="N92" s="330"/>
      <c r="O92" s="545"/>
      <c r="P92" s="460"/>
      <c r="Q92" s="331"/>
      <c r="R92" s="584"/>
      <c r="S92" s="620"/>
      <c r="T92" s="520"/>
      <c r="U92" s="505"/>
      <c r="V92" s="795"/>
      <c r="W92" s="568"/>
      <c r="X92" s="786"/>
      <c r="Y92" s="482"/>
    </row>
    <row r="93" spans="1:25" ht="13.9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449</v>
      </c>
      <c r="D94" s="334"/>
      <c r="E94" s="463"/>
      <c r="F94" s="416"/>
      <c r="G94" s="335"/>
      <c r="H94" s="570"/>
      <c r="I94" s="768">
        <f>SUM(G94:G102)</f>
        <v>300000</v>
      </c>
      <c r="J94" s="768">
        <f>F194+F195</f>
        <v>322580.6451612903</v>
      </c>
      <c r="K94" s="298"/>
      <c r="L94" s="333">
        <v>8</v>
      </c>
      <c r="M94" s="425" t="s">
        <v>450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1">
        <f>(Q94/$X$94*$J$94)</f>
        <v>0</v>
      </c>
      <c r="V94" s="804">
        <f>J94-SUM(U94:U102)</f>
        <v>3.5152828204445541E-3</v>
      </c>
      <c r="W94" s="570"/>
      <c r="X94" s="771">
        <f>SUM(Q94:Q102)</f>
        <v>291826</v>
      </c>
      <c r="Y94" s="482"/>
    </row>
    <row r="95" spans="1:25" ht="14.25" customHeight="1">
      <c r="B95" s="323">
        <v>8</v>
      </c>
      <c r="C95" s="324"/>
      <c r="D95" s="336" t="s">
        <v>451</v>
      </c>
      <c r="E95" s="415"/>
      <c r="F95" s="461"/>
      <c r="G95" s="325">
        <v>300000</v>
      </c>
      <c r="H95" s="571">
        <v>45900</v>
      </c>
      <c r="I95" s="769"/>
      <c r="J95" s="769"/>
      <c r="K95" s="302"/>
      <c r="L95" s="323">
        <v>8</v>
      </c>
      <c r="M95" s="433" t="s">
        <v>450</v>
      </c>
      <c r="N95" s="336"/>
      <c r="O95" s="415"/>
      <c r="P95" s="461"/>
      <c r="Q95" s="325"/>
      <c r="R95" s="587"/>
      <c r="S95" s="623"/>
      <c r="T95" s="523"/>
      <c r="U95" s="684">
        <v>0</v>
      </c>
      <c r="V95" s="805"/>
      <c r="W95" s="571"/>
      <c r="X95" s="772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69"/>
      <c r="J96" s="769"/>
      <c r="K96" s="302"/>
      <c r="L96" s="323">
        <v>8</v>
      </c>
      <c r="M96" s="433" t="s">
        <v>450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805"/>
      <c r="W96" s="571"/>
      <c r="X96" s="772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69"/>
      <c r="J97" s="769"/>
      <c r="K97" s="302"/>
      <c r="L97" s="323">
        <v>8</v>
      </c>
      <c r="M97" s="433" t="s">
        <v>450</v>
      </c>
      <c r="N97" s="336" t="s">
        <v>452</v>
      </c>
      <c r="O97" s="664">
        <v>232956</v>
      </c>
      <c r="P97" s="665">
        <v>0.75</v>
      </c>
      <c r="Q97" s="325">
        <f>$O$97*P97</f>
        <v>174717</v>
      </c>
      <c r="R97" s="796" t="s">
        <v>453</v>
      </c>
      <c r="S97" s="623" t="s">
        <v>454</v>
      </c>
      <c r="T97" s="671">
        <v>45961</v>
      </c>
      <c r="U97" s="684">
        <v>200089.18963861017</v>
      </c>
      <c r="V97" s="805"/>
      <c r="W97" s="676">
        <v>45946</v>
      </c>
      <c r="X97" s="772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69"/>
      <c r="J98" s="769"/>
      <c r="K98" s="302"/>
      <c r="L98" s="323">
        <v>8</v>
      </c>
      <c r="M98" s="433" t="s">
        <v>450</v>
      </c>
      <c r="N98" s="336"/>
      <c r="O98" s="551"/>
      <c r="P98" s="665">
        <v>0.25</v>
      </c>
      <c r="Q98" s="325">
        <f>$O$97*P98</f>
        <v>58239</v>
      </c>
      <c r="R98" s="798"/>
      <c r="S98" s="623" t="s">
        <v>455</v>
      </c>
      <c r="T98" s="674">
        <v>45961</v>
      </c>
      <c r="U98" s="684">
        <v>66696.396546203396</v>
      </c>
      <c r="V98" s="805"/>
      <c r="W98" s="676">
        <v>46009</v>
      </c>
      <c r="X98" s="772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69"/>
      <c r="J99" s="769"/>
      <c r="K99" s="302"/>
      <c r="L99" s="323">
        <v>8</v>
      </c>
      <c r="M99" s="433" t="s">
        <v>450</v>
      </c>
      <c r="N99" s="336" t="s">
        <v>456</v>
      </c>
      <c r="O99" s="551"/>
      <c r="P99" s="461"/>
      <c r="Q99" s="325">
        <v>48720</v>
      </c>
      <c r="R99" s="587" t="s">
        <v>457</v>
      </c>
      <c r="S99" s="623" t="s">
        <v>458</v>
      </c>
      <c r="T99" s="674">
        <v>46022</v>
      </c>
      <c r="U99" s="684">
        <v>55795.055461193893</v>
      </c>
      <c r="V99" s="805"/>
      <c r="W99" s="689">
        <v>46066</v>
      </c>
      <c r="X99" s="772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69"/>
      <c r="J100" s="769"/>
      <c r="K100" s="302"/>
      <c r="L100" s="323">
        <v>8</v>
      </c>
      <c r="M100" s="433" t="s">
        <v>450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805"/>
      <c r="W100" s="571"/>
      <c r="X100" s="772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69"/>
      <c r="J101" s="769"/>
      <c r="K101" s="302"/>
      <c r="L101" s="323">
        <v>8</v>
      </c>
      <c r="M101" s="433" t="s">
        <v>450</v>
      </c>
      <c r="N101" s="336" t="s">
        <v>459</v>
      </c>
      <c r="O101" s="551"/>
      <c r="P101" s="461"/>
      <c r="Q101" s="325">
        <v>10150</v>
      </c>
      <c r="R101" s="591" t="s">
        <v>460</v>
      </c>
      <c r="S101" s="627" t="s">
        <v>410</v>
      </c>
      <c r="T101" s="710">
        <v>46053</v>
      </c>
      <c r="U101" s="720">
        <v>0</v>
      </c>
      <c r="V101" s="805"/>
      <c r="W101" s="722">
        <v>46066</v>
      </c>
      <c r="X101" s="772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70"/>
      <c r="J102" s="770"/>
      <c r="K102" s="307"/>
      <c r="L102" s="303">
        <v>8</v>
      </c>
      <c r="M102" s="432" t="s">
        <v>450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806"/>
      <c r="W102" s="572"/>
      <c r="X102" s="773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461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462</v>
      </c>
      <c r="D104" s="328" t="s">
        <v>463</v>
      </c>
      <c r="E104" s="315"/>
      <c r="F104" s="437"/>
      <c r="G104" s="613">
        <f>D200</f>
        <v>340042.5</v>
      </c>
      <c r="H104" s="573">
        <v>45900</v>
      </c>
      <c r="I104" s="819">
        <f>SUM(G104:G119)</f>
        <v>1060132.5</v>
      </c>
      <c r="J104" s="774">
        <f>F200+F201</f>
        <v>1204696.0227272727</v>
      </c>
      <c r="K104" s="289"/>
      <c r="L104" s="312">
        <v>9</v>
      </c>
      <c r="M104" s="423" t="s">
        <v>464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87">
        <f>J104-SUM(U104:U119)</f>
        <v>4.0053608827292919E-3</v>
      </c>
      <c r="W104" s="573"/>
      <c r="X104" s="822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465</v>
      </c>
      <c r="E105" s="315"/>
      <c r="F105" s="459"/>
      <c r="G105" s="613">
        <f>D201</f>
        <v>720090</v>
      </c>
      <c r="H105" s="566">
        <v>45900</v>
      </c>
      <c r="I105" s="820"/>
      <c r="J105" s="775"/>
      <c r="K105" s="289"/>
      <c r="L105" s="312">
        <v>9</v>
      </c>
      <c r="M105" s="423" t="s">
        <v>464</v>
      </c>
      <c r="N105" s="329" t="s">
        <v>406</v>
      </c>
      <c r="O105" s="562">
        <f>Z33+Z32</f>
        <v>1105292.2</v>
      </c>
      <c r="P105" s="563">
        <v>0.1</v>
      </c>
      <c r="Q105" s="316">
        <f>$O$105*P105</f>
        <v>110529.22</v>
      </c>
      <c r="R105" s="810"/>
      <c r="S105" s="618" t="s">
        <v>466</v>
      </c>
      <c r="T105" s="667">
        <v>45961</v>
      </c>
      <c r="U105" s="669">
        <v>120469.60227272725</v>
      </c>
      <c r="V105" s="788"/>
      <c r="W105" s="534">
        <v>45967</v>
      </c>
      <c r="X105" s="823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820"/>
      <c r="J106" s="775"/>
      <c r="K106" s="289"/>
      <c r="L106" s="383">
        <v>9</v>
      </c>
      <c r="M106" s="501" t="s">
        <v>464</v>
      </c>
      <c r="N106" s="385" t="s">
        <v>202</v>
      </c>
      <c r="O106" s="544"/>
      <c r="P106" s="561">
        <v>0.15</v>
      </c>
      <c r="Q106" s="316">
        <f t="shared" ref="Q106:Q116" si="19">$O$105*P106</f>
        <v>165793.82999999999</v>
      </c>
      <c r="R106" s="811"/>
      <c r="S106" s="619" t="s">
        <v>467</v>
      </c>
      <c r="T106" s="667">
        <v>45961</v>
      </c>
      <c r="U106" s="669">
        <v>180704.40340909085</v>
      </c>
      <c r="V106" s="788"/>
      <c r="W106" s="535">
        <v>45967</v>
      </c>
      <c r="X106" s="823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820"/>
      <c r="J107" s="775"/>
      <c r="K107" s="289"/>
      <c r="L107" s="383">
        <v>9</v>
      </c>
      <c r="M107" s="501" t="s">
        <v>464</v>
      </c>
      <c r="N107" s="385" t="s">
        <v>407</v>
      </c>
      <c r="O107" s="544"/>
      <c r="P107" s="561">
        <v>0.1</v>
      </c>
      <c r="Q107" s="316">
        <f t="shared" si="19"/>
        <v>110529.22</v>
      </c>
      <c r="R107" s="811"/>
      <c r="S107" s="619" t="s">
        <v>408</v>
      </c>
      <c r="T107" s="702">
        <v>46022</v>
      </c>
      <c r="U107" s="669">
        <v>120469.60227272728</v>
      </c>
      <c r="V107" s="788"/>
      <c r="W107" s="535">
        <v>46003</v>
      </c>
      <c r="X107" s="823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820"/>
      <c r="J108" s="775"/>
      <c r="K108" s="289"/>
      <c r="L108" s="383">
        <v>9</v>
      </c>
      <c r="M108" s="501" t="s">
        <v>464</v>
      </c>
      <c r="N108" s="385" t="s">
        <v>407</v>
      </c>
      <c r="O108" s="544"/>
      <c r="P108" s="708">
        <v>7.4999999999999997E-2</v>
      </c>
      <c r="Q108" s="316">
        <v>82896.92</v>
      </c>
      <c r="R108" s="811"/>
      <c r="S108" s="619" t="s">
        <v>410</v>
      </c>
      <c r="T108" s="667">
        <v>46053</v>
      </c>
      <c r="U108" s="669">
        <v>90352.196336766719</v>
      </c>
      <c r="V108" s="788"/>
      <c r="W108" s="535">
        <v>46066</v>
      </c>
      <c r="X108" s="823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820"/>
      <c r="J109" s="775"/>
      <c r="K109" s="289"/>
      <c r="L109" s="383">
        <v>9</v>
      </c>
      <c r="M109" s="501" t="s">
        <v>464</v>
      </c>
      <c r="N109" s="385" t="s">
        <v>407</v>
      </c>
      <c r="O109" s="544"/>
      <c r="P109" s="708">
        <v>2.5000000000000001E-2</v>
      </c>
      <c r="Q109" s="316">
        <v>27632.31</v>
      </c>
      <c r="R109" s="811"/>
      <c r="S109" s="619"/>
      <c r="T109" s="519">
        <v>46081</v>
      </c>
      <c r="U109" s="504">
        <f t="shared" si="18"/>
        <v>30117.405745370306</v>
      </c>
      <c r="V109" s="788"/>
      <c r="W109" s="567">
        <f>W108+14</f>
        <v>46080</v>
      </c>
      <c r="X109" s="823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820"/>
      <c r="J110" s="775"/>
      <c r="K110" s="289"/>
      <c r="L110" s="383">
        <v>9</v>
      </c>
      <c r="M110" s="501" t="s">
        <v>464</v>
      </c>
      <c r="N110" s="385" t="s">
        <v>411</v>
      </c>
      <c r="O110" s="544"/>
      <c r="P110" s="561">
        <v>0.2</v>
      </c>
      <c r="Q110" s="316">
        <f>$O$105*P110</f>
        <v>221058.44</v>
      </c>
      <c r="R110" s="811"/>
      <c r="S110" s="619" t="s">
        <v>408</v>
      </c>
      <c r="T110" s="702">
        <v>46022</v>
      </c>
      <c r="U110" s="669">
        <v>240939.20454545456</v>
      </c>
      <c r="V110" s="788"/>
      <c r="W110" s="535">
        <v>46003</v>
      </c>
      <c r="X110" s="823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820"/>
      <c r="J111" s="775"/>
      <c r="K111" s="289"/>
      <c r="L111" s="383">
        <v>9</v>
      </c>
      <c r="M111" s="501" t="s">
        <v>464</v>
      </c>
      <c r="N111" s="385" t="s">
        <v>411</v>
      </c>
      <c r="O111" s="544"/>
      <c r="P111" s="708">
        <v>2.5000000000000001E-2</v>
      </c>
      <c r="Q111" s="316">
        <f>$O$105*P111</f>
        <v>27632.305</v>
      </c>
      <c r="R111" s="811"/>
      <c r="S111" s="619" t="s">
        <v>410</v>
      </c>
      <c r="T111" s="667">
        <v>46053</v>
      </c>
      <c r="U111" s="669">
        <v>30117.400295698208</v>
      </c>
      <c r="V111" s="788"/>
      <c r="W111" s="535">
        <v>46066</v>
      </c>
      <c r="X111" s="823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820"/>
      <c r="J112" s="775"/>
      <c r="K112" s="289"/>
      <c r="L112" s="383">
        <v>9</v>
      </c>
      <c r="M112" s="501" t="s">
        <v>464</v>
      </c>
      <c r="N112" s="385" t="s">
        <v>411</v>
      </c>
      <c r="O112" s="544"/>
      <c r="P112" s="708">
        <v>2.5000000000000001E-2</v>
      </c>
      <c r="Q112" s="316">
        <f t="shared" si="19"/>
        <v>27632.305</v>
      </c>
      <c r="R112" s="811"/>
      <c r="S112" s="619"/>
      <c r="T112" s="519">
        <v>46081</v>
      </c>
      <c r="U112" s="504">
        <f t="shared" si="18"/>
        <v>30117.400295698208</v>
      </c>
      <c r="V112" s="788"/>
      <c r="W112" s="567">
        <f>W111+14</f>
        <v>46080</v>
      </c>
      <c r="X112" s="823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820"/>
      <c r="J113" s="775"/>
      <c r="K113" s="289"/>
      <c r="L113" s="383">
        <v>9</v>
      </c>
      <c r="M113" s="501" t="s">
        <v>464</v>
      </c>
      <c r="N113" s="385" t="s">
        <v>413</v>
      </c>
      <c r="O113" s="544"/>
      <c r="P113" s="561">
        <v>0.1</v>
      </c>
      <c r="Q113" s="316">
        <f t="shared" si="19"/>
        <v>110529.22</v>
      </c>
      <c r="R113" s="811"/>
      <c r="S113" s="619"/>
      <c r="T113" s="519">
        <v>46081</v>
      </c>
      <c r="U113" s="504">
        <f t="shared" si="18"/>
        <v>120469.60118279283</v>
      </c>
      <c r="V113" s="788"/>
      <c r="W113" s="567">
        <f>'Project Plan'!K47+7</f>
        <v>46092</v>
      </c>
      <c r="X113" s="823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820"/>
      <c r="J114" s="775"/>
      <c r="K114" s="289"/>
      <c r="L114" s="383">
        <v>9</v>
      </c>
      <c r="M114" s="501" t="s">
        <v>464</v>
      </c>
      <c r="N114" s="385" t="s">
        <v>415</v>
      </c>
      <c r="O114" s="544"/>
      <c r="P114" s="561">
        <v>0.1</v>
      </c>
      <c r="Q114" s="316">
        <f t="shared" si="19"/>
        <v>110529.22</v>
      </c>
      <c r="R114" s="811"/>
      <c r="S114" s="619"/>
      <c r="T114" s="519">
        <f t="shared" si="17"/>
        <v>46112</v>
      </c>
      <c r="U114" s="504">
        <f t="shared" si="18"/>
        <v>120469.60118279283</v>
      </c>
      <c r="V114" s="788"/>
      <c r="W114" s="567">
        <f>'Project Plan'!K58+7</f>
        <v>46097</v>
      </c>
      <c r="X114" s="823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820"/>
      <c r="J115" s="775"/>
      <c r="K115" s="289"/>
      <c r="L115" s="383">
        <v>9</v>
      </c>
      <c r="M115" s="501" t="s">
        <v>464</v>
      </c>
      <c r="N115" s="385" t="s">
        <v>416</v>
      </c>
      <c r="O115" s="544"/>
      <c r="P115" s="561">
        <v>0.05</v>
      </c>
      <c r="Q115" s="316">
        <f t="shared" si="19"/>
        <v>55264.61</v>
      </c>
      <c r="R115" s="811"/>
      <c r="S115" s="619"/>
      <c r="T115" s="519">
        <f t="shared" si="17"/>
        <v>46112</v>
      </c>
      <c r="U115" s="504">
        <f t="shared" si="18"/>
        <v>60234.800591396415</v>
      </c>
      <c r="V115" s="788"/>
      <c r="W115" s="567">
        <f>'Project Plan'!K58+7</f>
        <v>46097</v>
      </c>
      <c r="X115" s="823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820"/>
      <c r="J116" s="775"/>
      <c r="K116" s="289"/>
      <c r="L116" s="383">
        <v>9</v>
      </c>
      <c r="M116" s="501" t="s">
        <v>464</v>
      </c>
      <c r="N116" s="385" t="s">
        <v>417</v>
      </c>
      <c r="O116" s="544"/>
      <c r="P116" s="561">
        <v>0.05</v>
      </c>
      <c r="Q116" s="316">
        <f t="shared" si="19"/>
        <v>55264.61</v>
      </c>
      <c r="R116" s="812"/>
      <c r="S116" s="619"/>
      <c r="T116" s="519">
        <f>IF(W116&gt;1,EOMONTH(W116,-1),"")</f>
        <v>46112</v>
      </c>
      <c r="U116" s="504">
        <f t="shared" si="18"/>
        <v>60234.800591396415</v>
      </c>
      <c r="V116" s="788"/>
      <c r="W116" s="567">
        <f>'Project Plan'!K58+30</f>
        <v>46120</v>
      </c>
      <c r="X116" s="823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820"/>
      <c r="J117" s="775"/>
      <c r="K117" s="289"/>
      <c r="L117" s="383">
        <v>9</v>
      </c>
      <c r="M117" s="501" t="s">
        <v>464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88"/>
      <c r="W117" s="567"/>
      <c r="X117" s="823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820"/>
      <c r="J118" s="775"/>
      <c r="K118" s="289"/>
      <c r="L118" s="383">
        <v>9</v>
      </c>
      <c r="M118" s="501" t="s">
        <v>464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88"/>
      <c r="W118" s="567"/>
      <c r="X118" s="823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821"/>
      <c r="J119" s="776"/>
      <c r="K119" s="365"/>
      <c r="L119" s="317">
        <v>9</v>
      </c>
      <c r="M119" s="441" t="s">
        <v>464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89"/>
      <c r="W119" s="568"/>
      <c r="X119" s="824"/>
      <c r="Y119" s="482"/>
    </row>
    <row r="120" spans="1:25" ht="13.9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468</v>
      </c>
      <c r="D121" s="271" t="s">
        <v>373</v>
      </c>
      <c r="E121" s="272"/>
      <c r="F121" s="470"/>
      <c r="G121" s="339">
        <f>D204</f>
        <v>8500</v>
      </c>
      <c r="H121" s="577">
        <v>45900</v>
      </c>
      <c r="I121" s="813">
        <f>SUM(G121:G143)</f>
        <v>184440.46666666665</v>
      </c>
      <c r="J121" s="813">
        <f>F204+F207+F208+F206</f>
        <v>209591.43939393942</v>
      </c>
      <c r="K121" s="340"/>
      <c r="L121" s="270">
        <v>10</v>
      </c>
      <c r="M121" s="434" t="s">
        <v>469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801">
        <f>J121-SUM(U121:U143)</f>
        <v>-3.4785436873789877E-3</v>
      </c>
      <c r="W121" s="577"/>
      <c r="X121" s="816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374</v>
      </c>
      <c r="E122" s="343"/>
      <c r="F122" s="471"/>
      <c r="G122" s="344">
        <f>D208</f>
        <v>70393.8</v>
      </c>
      <c r="H122" s="578">
        <v>45900</v>
      </c>
      <c r="I122" s="814"/>
      <c r="J122" s="814"/>
      <c r="K122" s="273"/>
      <c r="L122" s="341">
        <v>10</v>
      </c>
      <c r="M122" s="435" t="s">
        <v>469</v>
      </c>
      <c r="N122" s="342" t="s">
        <v>470</v>
      </c>
      <c r="O122" s="557"/>
      <c r="P122" s="471"/>
      <c r="Q122" s="344">
        <f>20700/1.15</f>
        <v>18000</v>
      </c>
      <c r="R122" s="807" t="s">
        <v>471</v>
      </c>
      <c r="S122" s="631" t="s">
        <v>472</v>
      </c>
      <c r="T122" s="663">
        <v>45961</v>
      </c>
      <c r="U122" s="687">
        <v>12469.742943475689</v>
      </c>
      <c r="V122" s="802"/>
      <c r="W122" s="678">
        <v>45946</v>
      </c>
      <c r="X122" s="817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814"/>
      <c r="J123" s="814"/>
      <c r="K123" s="273"/>
      <c r="L123" s="341">
        <v>11</v>
      </c>
      <c r="M123" s="435" t="s">
        <v>469</v>
      </c>
      <c r="N123" s="342" t="s">
        <v>473</v>
      </c>
      <c r="O123" s="557"/>
      <c r="P123" s="471"/>
      <c r="Q123" s="344">
        <v>18000</v>
      </c>
      <c r="R123" s="809"/>
      <c r="S123" s="631" t="s">
        <v>472</v>
      </c>
      <c r="T123" s="677">
        <v>45961</v>
      </c>
      <c r="U123" s="687">
        <v>12469.742943475689</v>
      </c>
      <c r="V123" s="802"/>
      <c r="W123" s="678">
        <f>T123</f>
        <v>45961</v>
      </c>
      <c r="X123" s="817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814"/>
      <c r="J124" s="814"/>
      <c r="K124" s="273"/>
      <c r="L124" s="341">
        <v>12</v>
      </c>
      <c r="M124" s="435" t="s">
        <v>469</v>
      </c>
      <c r="N124" s="342" t="s">
        <v>474</v>
      </c>
      <c r="O124" s="557"/>
      <c r="P124" s="471"/>
      <c r="Q124" s="344">
        <v>60000</v>
      </c>
      <c r="R124" s="595"/>
      <c r="S124" s="631" t="s">
        <v>475</v>
      </c>
      <c r="T124" s="663">
        <v>45991</v>
      </c>
      <c r="U124" s="687">
        <v>38348.821150162417</v>
      </c>
      <c r="V124" s="802"/>
      <c r="W124" s="690">
        <v>45989</v>
      </c>
      <c r="X124" s="817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814"/>
      <c r="J125" s="814"/>
      <c r="K125" s="273"/>
      <c r="L125" s="341">
        <v>12</v>
      </c>
      <c r="M125" s="435" t="s">
        <v>469</v>
      </c>
      <c r="N125" s="342" t="s">
        <v>476</v>
      </c>
      <c r="O125" s="557"/>
      <c r="P125" s="471"/>
      <c r="Q125" s="344">
        <v>10000</v>
      </c>
      <c r="R125" s="595" t="s">
        <v>477</v>
      </c>
      <c r="S125" s="631" t="s">
        <v>478</v>
      </c>
      <c r="T125" s="663">
        <v>46022</v>
      </c>
      <c r="U125" s="687">
        <v>6927.6372583925622</v>
      </c>
      <c r="V125" s="802"/>
      <c r="W125" s="690">
        <v>46003</v>
      </c>
      <c r="X125" s="817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814"/>
      <c r="J126" s="814"/>
      <c r="K126" s="273"/>
      <c r="L126" s="341">
        <v>13</v>
      </c>
      <c r="M126" s="435" t="s">
        <v>469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802"/>
      <c r="W126" s="578"/>
      <c r="X126" s="817"/>
      <c r="Y126" s="482"/>
    </row>
    <row r="127" spans="1:25" ht="14.25" customHeight="1">
      <c r="B127" s="341">
        <v>10</v>
      </c>
      <c r="C127" s="342"/>
      <c r="D127" s="342" t="s">
        <v>479</v>
      </c>
      <c r="E127" s="343"/>
      <c r="F127" s="471"/>
      <c r="G127" s="344">
        <f>D207</f>
        <v>72000</v>
      </c>
      <c r="H127" s="578">
        <v>45900</v>
      </c>
      <c r="I127" s="814"/>
      <c r="J127" s="814"/>
      <c r="K127" s="273"/>
      <c r="L127" s="341">
        <v>10</v>
      </c>
      <c r="M127" s="435" t="s">
        <v>469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802"/>
      <c r="W127" s="578"/>
      <c r="X127" s="817"/>
      <c r="Y127" s="482"/>
    </row>
    <row r="128" spans="1:25" ht="14.25" customHeight="1">
      <c r="B128" s="341">
        <v>10</v>
      </c>
      <c r="C128" s="342"/>
      <c r="D128" s="342" t="s">
        <v>375</v>
      </c>
      <c r="E128" s="343"/>
      <c r="F128" s="471"/>
      <c r="G128" s="344">
        <f>D206</f>
        <v>33546.666666666664</v>
      </c>
      <c r="H128" s="578">
        <v>45900</v>
      </c>
      <c r="I128" s="814"/>
      <c r="J128" s="814"/>
      <c r="K128" s="273"/>
      <c r="L128" s="341">
        <v>10</v>
      </c>
      <c r="M128" s="435" t="s">
        <v>469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802"/>
      <c r="W128" s="578"/>
      <c r="X128" s="817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814"/>
      <c r="J129" s="814"/>
      <c r="K129" s="273"/>
      <c r="L129" s="341">
        <v>10</v>
      </c>
      <c r="M129" s="435" t="s">
        <v>469</v>
      </c>
      <c r="N129" s="342" t="s">
        <v>406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807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802"/>
      <c r="W129" s="537">
        <f t="shared" ref="W129:W140" si="21">W105</f>
        <v>45967</v>
      </c>
      <c r="X129" s="817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814"/>
      <c r="J130" s="814"/>
      <c r="K130" s="273"/>
      <c r="L130" s="341">
        <v>10</v>
      </c>
      <c r="M130" s="435" t="s">
        <v>469</v>
      </c>
      <c r="N130" s="342" t="s">
        <v>202</v>
      </c>
      <c r="O130" s="557"/>
      <c r="P130" s="564">
        <v>0.15</v>
      </c>
      <c r="Q130" s="344">
        <f t="shared" ref="Q130:Q140" si="22">$O$129*P130</f>
        <v>29481.599999999999</v>
      </c>
      <c r="R130" s="808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802"/>
      <c r="W130" s="537">
        <f t="shared" si="21"/>
        <v>45967</v>
      </c>
      <c r="X130" s="817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814"/>
      <c r="J131" s="814"/>
      <c r="K131" s="273"/>
      <c r="L131" s="341">
        <v>10</v>
      </c>
      <c r="M131" s="435" t="s">
        <v>469</v>
      </c>
      <c r="N131" s="342" t="s">
        <v>407</v>
      </c>
      <c r="O131" s="557"/>
      <c r="P131" s="564">
        <v>0.1</v>
      </c>
      <c r="Q131" s="344">
        <f t="shared" si="22"/>
        <v>19654.400000000001</v>
      </c>
      <c r="R131" s="808"/>
      <c r="S131" s="632" t="s">
        <v>408</v>
      </c>
      <c r="T131" s="691">
        <f t="shared" ref="T131:T140" si="23">T107</f>
        <v>46022</v>
      </c>
      <c r="U131" s="687">
        <v>16832.875373135081</v>
      </c>
      <c r="V131" s="802"/>
      <c r="W131" s="537">
        <f t="shared" si="21"/>
        <v>46003</v>
      </c>
      <c r="X131" s="817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814"/>
      <c r="J132" s="814"/>
      <c r="K132" s="273"/>
      <c r="L132" s="341">
        <v>10</v>
      </c>
      <c r="M132" s="435" t="s">
        <v>469</v>
      </c>
      <c r="N132" s="342" t="s">
        <v>407</v>
      </c>
      <c r="O132" s="557"/>
      <c r="P132" s="707">
        <f>P108</f>
        <v>7.4999999999999997E-2</v>
      </c>
      <c r="Q132" s="344">
        <f>O129*P132</f>
        <v>14740.8</v>
      </c>
      <c r="R132" s="808"/>
      <c r="S132" s="632" t="s">
        <v>410</v>
      </c>
      <c r="T132" s="673">
        <f t="shared" si="23"/>
        <v>46053</v>
      </c>
      <c r="U132" s="687">
        <v>16832.875373135081</v>
      </c>
      <c r="V132" s="802"/>
      <c r="W132" s="537">
        <f t="shared" si="21"/>
        <v>46066</v>
      </c>
      <c r="X132" s="817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814"/>
      <c r="J133" s="814"/>
      <c r="K133" s="273"/>
      <c r="L133" s="341">
        <v>10</v>
      </c>
      <c r="M133" s="435" t="s">
        <v>469</v>
      </c>
      <c r="N133" s="342" t="s">
        <v>407</v>
      </c>
      <c r="O133" s="557"/>
      <c r="P133" s="707">
        <f>P109</f>
        <v>2.5000000000000001E-2</v>
      </c>
      <c r="Q133" s="344">
        <f t="shared" si="22"/>
        <v>4913.6000000000004</v>
      </c>
      <c r="R133" s="808"/>
      <c r="S133" s="632"/>
      <c r="T133" s="532">
        <f t="shared" si="23"/>
        <v>46081</v>
      </c>
      <c r="U133" s="516">
        <f t="shared" si="20"/>
        <v>3403.9638432837701</v>
      </c>
      <c r="V133" s="802"/>
      <c r="W133" s="579">
        <f t="shared" si="21"/>
        <v>46080</v>
      </c>
      <c r="X133" s="817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814"/>
      <c r="J134" s="814"/>
      <c r="K134" s="273"/>
      <c r="L134" s="341">
        <v>10</v>
      </c>
      <c r="M134" s="435" t="s">
        <v>469</v>
      </c>
      <c r="N134" s="342" t="s">
        <v>411</v>
      </c>
      <c r="O134" s="557"/>
      <c r="P134" s="564">
        <v>0.2</v>
      </c>
      <c r="Q134" s="344">
        <v>39308.699999999997</v>
      </c>
      <c r="R134" s="808"/>
      <c r="S134" s="632" t="s">
        <v>408</v>
      </c>
      <c r="T134" s="691">
        <f t="shared" si="23"/>
        <v>46022</v>
      </c>
      <c r="U134" s="687">
        <v>27231.641469897571</v>
      </c>
      <c r="V134" s="802"/>
      <c r="W134" s="537">
        <f t="shared" si="21"/>
        <v>46003</v>
      </c>
      <c r="X134" s="817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814"/>
      <c r="J135" s="814"/>
      <c r="K135" s="273"/>
      <c r="L135" s="341">
        <v>10</v>
      </c>
      <c r="M135" s="435" t="s">
        <v>469</v>
      </c>
      <c r="N135" s="342" t="s">
        <v>411</v>
      </c>
      <c r="O135" s="557"/>
      <c r="P135" s="707">
        <f>P111</f>
        <v>2.5000000000000001E-2</v>
      </c>
      <c r="Q135" s="344">
        <f>O129*P135</f>
        <v>4913.6000000000004</v>
      </c>
      <c r="R135" s="808"/>
      <c r="S135" s="632" t="s">
        <v>410</v>
      </c>
      <c r="T135" s="673">
        <f t="shared" si="23"/>
        <v>46053</v>
      </c>
      <c r="U135" s="687">
        <v>16832.875373135081</v>
      </c>
      <c r="V135" s="802"/>
      <c r="W135" s="537">
        <f t="shared" si="21"/>
        <v>46066</v>
      </c>
      <c r="X135" s="817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814"/>
      <c r="J136" s="814"/>
      <c r="K136" s="273"/>
      <c r="L136" s="341">
        <v>10</v>
      </c>
      <c r="M136" s="435" t="s">
        <v>469</v>
      </c>
      <c r="N136" s="342" t="s">
        <v>411</v>
      </c>
      <c r="O136" s="557"/>
      <c r="P136" s="707">
        <f>P112</f>
        <v>2.5000000000000001E-2</v>
      </c>
      <c r="Q136" s="344">
        <f t="shared" si="22"/>
        <v>4913.6000000000004</v>
      </c>
      <c r="R136" s="808"/>
      <c r="S136" s="632"/>
      <c r="T136" s="532">
        <f t="shared" si="23"/>
        <v>46081</v>
      </c>
      <c r="U136" s="516">
        <f t="shared" si="20"/>
        <v>3403.9638432837701</v>
      </c>
      <c r="V136" s="802"/>
      <c r="W136" s="579">
        <f t="shared" si="21"/>
        <v>46080</v>
      </c>
      <c r="X136" s="817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814"/>
      <c r="J137" s="814"/>
      <c r="K137" s="273"/>
      <c r="L137" s="341">
        <v>10</v>
      </c>
      <c r="M137" s="435" t="s">
        <v>469</v>
      </c>
      <c r="N137" s="342" t="s">
        <v>413</v>
      </c>
      <c r="O137" s="557"/>
      <c r="P137" s="564">
        <v>0.1</v>
      </c>
      <c r="Q137" s="344">
        <f t="shared" si="22"/>
        <v>19654.400000000001</v>
      </c>
      <c r="R137" s="808"/>
      <c r="S137" s="632"/>
      <c r="T137" s="532">
        <f t="shared" si="23"/>
        <v>46081</v>
      </c>
      <c r="U137" s="516">
        <f t="shared" si="20"/>
        <v>13615.85537313508</v>
      </c>
      <c r="V137" s="802"/>
      <c r="W137" s="579">
        <f t="shared" si="21"/>
        <v>46092</v>
      </c>
      <c r="X137" s="817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814"/>
      <c r="J138" s="814"/>
      <c r="K138" s="273"/>
      <c r="L138" s="341">
        <v>10</v>
      </c>
      <c r="M138" s="435" t="s">
        <v>469</v>
      </c>
      <c r="N138" s="342" t="s">
        <v>415</v>
      </c>
      <c r="O138" s="557"/>
      <c r="P138" s="564">
        <v>0.1</v>
      </c>
      <c r="Q138" s="344">
        <f t="shared" si="22"/>
        <v>19654.400000000001</v>
      </c>
      <c r="R138" s="808"/>
      <c r="S138" s="632"/>
      <c r="T138" s="532">
        <v>46081</v>
      </c>
      <c r="U138" s="516">
        <f t="shared" si="20"/>
        <v>13615.85537313508</v>
      </c>
      <c r="V138" s="802"/>
      <c r="W138" s="579">
        <f t="shared" si="21"/>
        <v>46097</v>
      </c>
      <c r="X138" s="817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814"/>
      <c r="J139" s="814"/>
      <c r="K139" s="273"/>
      <c r="L139" s="341">
        <v>10</v>
      </c>
      <c r="M139" s="435" t="s">
        <v>469</v>
      </c>
      <c r="N139" s="342" t="s">
        <v>416</v>
      </c>
      <c r="O139" s="557"/>
      <c r="P139" s="564">
        <v>0.05</v>
      </c>
      <c r="Q139" s="344">
        <f t="shared" si="22"/>
        <v>9827.2000000000007</v>
      </c>
      <c r="R139" s="808"/>
      <c r="S139" s="632"/>
      <c r="T139" s="532">
        <f t="shared" si="23"/>
        <v>46112</v>
      </c>
      <c r="U139" s="516">
        <f t="shared" si="20"/>
        <v>6807.9276865675401</v>
      </c>
      <c r="V139" s="802"/>
      <c r="W139" s="579">
        <f t="shared" si="21"/>
        <v>46097</v>
      </c>
      <c r="X139" s="817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814"/>
      <c r="J140" s="814"/>
      <c r="K140" s="273"/>
      <c r="L140" s="341">
        <v>10</v>
      </c>
      <c r="M140" s="435" t="s">
        <v>469</v>
      </c>
      <c r="N140" s="342" t="s">
        <v>417</v>
      </c>
      <c r="O140" s="557"/>
      <c r="P140" s="564">
        <v>0.05</v>
      </c>
      <c r="Q140" s="344">
        <f t="shared" si="22"/>
        <v>9827.2000000000007</v>
      </c>
      <c r="R140" s="809"/>
      <c r="S140" s="632"/>
      <c r="T140" s="532">
        <f t="shared" si="23"/>
        <v>46112</v>
      </c>
      <c r="U140" s="516">
        <f t="shared" si="20"/>
        <v>6807.9276865675401</v>
      </c>
      <c r="V140" s="802"/>
      <c r="W140" s="579">
        <f t="shared" si="21"/>
        <v>46120</v>
      </c>
      <c r="X140" s="817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814"/>
      <c r="J141" s="814"/>
      <c r="K141" s="273"/>
      <c r="L141" s="341">
        <v>10</v>
      </c>
      <c r="M141" s="435" t="s">
        <v>469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802"/>
      <c r="W141" s="579"/>
      <c r="X141" s="817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814"/>
      <c r="J142" s="814"/>
      <c r="K142" s="273"/>
      <c r="L142" s="341">
        <v>10</v>
      </c>
      <c r="M142" s="435" t="s">
        <v>469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802"/>
      <c r="W142" s="579"/>
      <c r="X142" s="817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815"/>
      <c r="J143" s="815"/>
      <c r="K143" s="276"/>
      <c r="L143" s="274">
        <v>10</v>
      </c>
      <c r="M143" s="436" t="s">
        <v>469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803"/>
      <c r="W143" s="580"/>
      <c r="X143" s="818"/>
      <c r="Y143" s="482"/>
    </row>
    <row r="144" spans="1:25" ht="13.9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480</v>
      </c>
      <c r="D145" s="352" t="s">
        <v>481</v>
      </c>
      <c r="E145" s="284"/>
      <c r="F145" s="437"/>
      <c r="G145" s="285">
        <v>34004.250000000007</v>
      </c>
      <c r="H145" s="573">
        <v>45900</v>
      </c>
      <c r="I145" s="774">
        <f>SUM(G145:G149)</f>
        <v>182012.75000000003</v>
      </c>
      <c r="J145" s="774">
        <f>F203</f>
        <v>206832.67045454547</v>
      </c>
      <c r="K145" s="286"/>
      <c r="L145" s="282">
        <v>11</v>
      </c>
      <c r="M145" s="352" t="s">
        <v>482</v>
      </c>
      <c r="N145" s="352" t="s">
        <v>481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87">
        <f>J145-SUM(U145:U149)</f>
        <v>2.1007240866310894E-4</v>
      </c>
      <c r="W145" s="573">
        <v>46112</v>
      </c>
      <c r="X145" s="784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483</v>
      </c>
      <c r="E146" s="315"/>
      <c r="F146" s="459"/>
      <c r="G146" s="316">
        <v>68008.500000000015</v>
      </c>
      <c r="H146" s="534">
        <v>45900</v>
      </c>
      <c r="I146" s="775"/>
      <c r="J146" s="775"/>
      <c r="K146" s="289"/>
      <c r="L146" s="312">
        <v>11</v>
      </c>
      <c r="M146" s="389" t="s">
        <v>482</v>
      </c>
      <c r="N146" s="314" t="s">
        <v>483</v>
      </c>
      <c r="O146" s="315"/>
      <c r="P146" s="459"/>
      <c r="Q146" s="316">
        <v>9019.6</v>
      </c>
      <c r="R146" s="635"/>
      <c r="S146" s="618" t="s">
        <v>484</v>
      </c>
      <c r="T146" s="644">
        <v>45930</v>
      </c>
      <c r="U146" s="669">
        <v>14096.219464915206</v>
      </c>
      <c r="V146" s="788"/>
      <c r="W146" s="534">
        <v>45757</v>
      </c>
      <c r="X146" s="785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75"/>
      <c r="J147" s="775"/>
      <c r="K147" s="289"/>
      <c r="L147" s="312">
        <v>11</v>
      </c>
      <c r="M147" s="389" t="s">
        <v>482</v>
      </c>
      <c r="N147" s="314" t="s">
        <v>485</v>
      </c>
      <c r="O147" s="315"/>
      <c r="P147" s="459"/>
      <c r="Q147" s="316">
        <v>9620</v>
      </c>
      <c r="R147" s="582"/>
      <c r="S147" s="618" t="s">
        <v>486</v>
      </c>
      <c r="T147" s="644">
        <v>45930</v>
      </c>
      <c r="U147" s="669">
        <v>15034.550451514953</v>
      </c>
      <c r="V147" s="788"/>
      <c r="W147" s="534">
        <v>45723</v>
      </c>
      <c r="X147" s="785"/>
      <c r="Y147" s="482"/>
    </row>
    <row r="148" spans="1:25" ht="15" customHeight="1">
      <c r="B148" s="312">
        <v>11</v>
      </c>
      <c r="C148" s="387"/>
      <c r="D148" s="387" t="s">
        <v>487</v>
      </c>
      <c r="E148" s="406"/>
      <c r="F148" s="444"/>
      <c r="G148" s="386">
        <v>80000</v>
      </c>
      <c r="H148" s="567">
        <v>45900</v>
      </c>
      <c r="I148" s="775"/>
      <c r="J148" s="775"/>
      <c r="K148" s="289"/>
      <c r="L148" s="312">
        <v>11</v>
      </c>
      <c r="M148" s="389" t="s">
        <v>482</v>
      </c>
      <c r="N148" s="387" t="s">
        <v>487</v>
      </c>
      <c r="O148" s="406"/>
      <c r="P148" s="444"/>
      <c r="Q148" s="386">
        <v>79700</v>
      </c>
      <c r="R148" s="583" t="s">
        <v>488</v>
      </c>
      <c r="S148" s="619" t="s">
        <v>489</v>
      </c>
      <c r="T148" s="644">
        <v>45930</v>
      </c>
      <c r="U148" s="669">
        <f>124558.593657562-1152.58</f>
        <v>123406.013657562</v>
      </c>
      <c r="V148" s="788"/>
      <c r="W148" s="567">
        <v>45716</v>
      </c>
      <c r="X148" s="785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76"/>
      <c r="J149" s="776"/>
      <c r="K149" s="290"/>
      <c r="L149" s="317">
        <v>11</v>
      </c>
      <c r="M149" s="419" t="s">
        <v>482</v>
      </c>
      <c r="N149" s="318" t="s">
        <v>490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89"/>
      <c r="W149" s="568">
        <v>46142</v>
      </c>
      <c r="X149" s="786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491</v>
      </c>
      <c r="D151" s="271"/>
      <c r="E151" s="272"/>
      <c r="F151" s="470"/>
      <c r="G151" s="339"/>
      <c r="H151" s="577"/>
      <c r="I151" s="813">
        <f>SUM(G151:G152)</f>
        <v>0</v>
      </c>
      <c r="J151" s="813">
        <v>0</v>
      </c>
      <c r="K151" s="825"/>
      <c r="L151" s="270">
        <v>12</v>
      </c>
      <c r="M151" s="271" t="s">
        <v>492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816">
        <f>SUM(Q151:Q152)</f>
        <v>0</v>
      </c>
      <c r="Y151" s="482"/>
    </row>
    <row r="152" spans="1:25" ht="15" customHeight="1" thickBot="1">
      <c r="B152" s="274">
        <v>12</v>
      </c>
      <c r="C152" s="345" t="s">
        <v>491</v>
      </c>
      <c r="D152" s="345"/>
      <c r="E152" s="346"/>
      <c r="F152" s="472"/>
      <c r="G152" s="275"/>
      <c r="H152" s="580"/>
      <c r="I152" s="815"/>
      <c r="J152" s="815"/>
      <c r="K152" s="826"/>
      <c r="L152" s="274">
        <v>12</v>
      </c>
      <c r="M152" s="345" t="s">
        <v>492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818"/>
      <c r="Y152" s="482"/>
    </row>
    <row r="153" spans="1:25" ht="14.2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493</v>
      </c>
      <c r="D154" s="352" t="s">
        <v>494</v>
      </c>
      <c r="E154" s="284"/>
      <c r="F154" s="437"/>
      <c r="G154" s="285">
        <v>110470.56870833333</v>
      </c>
      <c r="H154" s="573">
        <v>45900</v>
      </c>
      <c r="I154" s="774">
        <f>SUM(G154:G158)</f>
        <v>429230.63442261907</v>
      </c>
      <c r="J154" s="774">
        <f>F202</f>
        <v>487762.08457115805</v>
      </c>
      <c r="K154" s="286"/>
      <c r="L154" s="282">
        <v>13</v>
      </c>
      <c r="M154" s="352" t="s">
        <v>495</v>
      </c>
      <c r="N154" s="352" t="s">
        <v>496</v>
      </c>
      <c r="O154" s="542"/>
      <c r="P154" s="437"/>
      <c r="Q154" s="285">
        <f>'Project Plan'!$E$6*1.25%</f>
        <v>130354.30432724001</v>
      </c>
      <c r="R154" s="589"/>
      <c r="S154" s="625"/>
      <c r="T154" s="525">
        <v>46112</v>
      </c>
      <c r="U154" s="511">
        <f t="shared" ref="U154:U159" si="25">(Q154/$X$154*$J$154)</f>
        <v>487762.08457115805</v>
      </c>
      <c r="V154" s="787">
        <f>J154-SUM(U154:U159)</f>
        <v>0</v>
      </c>
      <c r="W154" s="573">
        <v>46142</v>
      </c>
      <c r="X154" s="784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497</v>
      </c>
      <c r="E155" s="315"/>
      <c r="F155" s="459"/>
      <c r="G155" s="316">
        <v>77714.28571428571</v>
      </c>
      <c r="H155" s="566">
        <v>45900</v>
      </c>
      <c r="I155" s="775"/>
      <c r="J155" s="775"/>
      <c r="K155" s="289"/>
      <c r="L155" s="312">
        <v>13</v>
      </c>
      <c r="M155" s="389" t="s">
        <v>495</v>
      </c>
      <c r="N155" s="314" t="s">
        <v>497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88"/>
      <c r="W155" s="566"/>
      <c r="X155" s="785"/>
      <c r="Y155" s="482"/>
    </row>
    <row r="156" spans="1:25" ht="15.75" customHeight="1">
      <c r="B156" s="312">
        <v>13</v>
      </c>
      <c r="C156" s="314"/>
      <c r="D156" s="314" t="s">
        <v>498</v>
      </c>
      <c r="E156" s="315"/>
      <c r="F156" s="459"/>
      <c r="G156" s="316">
        <v>136000</v>
      </c>
      <c r="H156" s="566">
        <v>45900</v>
      </c>
      <c r="I156" s="775"/>
      <c r="J156" s="775"/>
      <c r="K156" s="289"/>
      <c r="L156" s="312">
        <v>13</v>
      </c>
      <c r="M156" s="389" t="s">
        <v>495</v>
      </c>
      <c r="N156" s="314" t="s">
        <v>498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88"/>
      <c r="W156" s="566"/>
      <c r="X156" s="785"/>
      <c r="Y156" s="482"/>
    </row>
    <row r="157" spans="1:25" ht="15.75" customHeight="1">
      <c r="B157" s="312">
        <v>13</v>
      </c>
      <c r="C157" s="314"/>
      <c r="D157" s="314" t="s">
        <v>499</v>
      </c>
      <c r="E157" s="315"/>
      <c r="F157" s="459"/>
      <c r="G157" s="316">
        <v>52000</v>
      </c>
      <c r="H157" s="566">
        <v>45900</v>
      </c>
      <c r="I157" s="775"/>
      <c r="J157" s="775"/>
      <c r="K157" s="289"/>
      <c r="L157" s="312">
        <v>13</v>
      </c>
      <c r="M157" s="389" t="s">
        <v>495</v>
      </c>
      <c r="N157" s="314" t="s">
        <v>499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88"/>
      <c r="W157" s="566"/>
      <c r="X157" s="785"/>
      <c r="Y157" s="482"/>
    </row>
    <row r="158" spans="1:25" ht="15.75" customHeight="1">
      <c r="B158" s="312">
        <v>13</v>
      </c>
      <c r="C158" s="314"/>
      <c r="D158" s="314" t="s">
        <v>500</v>
      </c>
      <c r="E158" s="315"/>
      <c r="F158" s="459"/>
      <c r="G158" s="316">
        <v>53045.780000000006</v>
      </c>
      <c r="H158" s="566">
        <v>45900</v>
      </c>
      <c r="I158" s="775"/>
      <c r="J158" s="775"/>
      <c r="K158" s="289"/>
      <c r="L158" s="312">
        <v>13</v>
      </c>
      <c r="M158" s="389" t="s">
        <v>495</v>
      </c>
      <c r="N158" s="314" t="s">
        <v>500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88"/>
      <c r="W158" s="566"/>
      <c r="X158" s="785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76"/>
      <c r="J159" s="776"/>
      <c r="K159" s="365"/>
      <c r="L159" s="317">
        <v>13</v>
      </c>
      <c r="M159" s="419" t="s">
        <v>495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89"/>
      <c r="W159" s="568"/>
      <c r="X159" s="786"/>
      <c r="Y159" s="482"/>
    </row>
    <row r="160" spans="1:25" ht="14.2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501</v>
      </c>
      <c r="D161" s="271" t="s">
        <v>502</v>
      </c>
      <c r="E161" s="272"/>
      <c r="F161" s="470"/>
      <c r="G161" s="339">
        <f>D213</f>
        <v>23800</v>
      </c>
      <c r="H161" s="537">
        <v>45905</v>
      </c>
      <c r="I161" s="813">
        <f>SUM(G161:G172)</f>
        <v>23800</v>
      </c>
      <c r="J161" s="813">
        <f>F213</f>
        <v>28000</v>
      </c>
      <c r="K161" s="340"/>
      <c r="L161" s="270">
        <v>14</v>
      </c>
      <c r="M161" s="434" t="s">
        <v>503</v>
      </c>
      <c r="N161" s="271" t="s">
        <v>504</v>
      </c>
      <c r="O161" s="556"/>
      <c r="P161" s="470"/>
      <c r="Q161" s="339">
        <v>13986.749999999998</v>
      </c>
      <c r="R161" s="594"/>
      <c r="S161" s="636" t="s">
        <v>505</v>
      </c>
      <c r="T161" s="645">
        <v>45930</v>
      </c>
      <c r="U161" s="670">
        <v>16326.887799201642</v>
      </c>
      <c r="V161" s="801">
        <f>J161-SUM(U161:U172)</f>
        <v>0</v>
      </c>
      <c r="W161" s="537">
        <v>45905</v>
      </c>
      <c r="X161" s="816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814"/>
      <c r="J162" s="814"/>
      <c r="K162" s="273"/>
      <c r="L162" s="341">
        <v>14</v>
      </c>
      <c r="M162" s="435" t="s">
        <v>503</v>
      </c>
      <c r="N162" s="342" t="s">
        <v>504</v>
      </c>
      <c r="O162" s="557"/>
      <c r="P162" s="471"/>
      <c r="Q162" s="344">
        <v>10587.7</v>
      </c>
      <c r="R162" s="596"/>
      <c r="S162" s="630" t="s">
        <v>505</v>
      </c>
      <c r="T162" s="681">
        <v>45961</v>
      </c>
      <c r="U162" s="687">
        <v>3732.1066782460925</v>
      </c>
      <c r="V162" s="802"/>
      <c r="W162" s="682">
        <v>45967</v>
      </c>
      <c r="X162" s="817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814"/>
      <c r="J163" s="814"/>
      <c r="K163" s="273"/>
      <c r="L163" s="341">
        <v>14</v>
      </c>
      <c r="M163" s="435" t="s">
        <v>503</v>
      </c>
      <c r="N163" s="342" t="s">
        <v>504</v>
      </c>
      <c r="O163" s="557"/>
      <c r="P163" s="471"/>
      <c r="Q163" s="344">
        <v>5515.35</v>
      </c>
      <c r="R163" s="596"/>
      <c r="S163" s="630" t="s">
        <v>505</v>
      </c>
      <c r="T163" s="681">
        <v>45991</v>
      </c>
      <c r="U163" s="687">
        <v>3279.4745358867531</v>
      </c>
      <c r="V163" s="802"/>
      <c r="W163" s="682">
        <v>45996</v>
      </c>
      <c r="X163" s="817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814"/>
      <c r="J164" s="814"/>
      <c r="K164" s="273"/>
      <c r="L164" s="341">
        <v>14</v>
      </c>
      <c r="M164" s="435" t="s">
        <v>503</v>
      </c>
      <c r="N164" s="342" t="s">
        <v>504</v>
      </c>
      <c r="O164" s="557"/>
      <c r="P164" s="471"/>
      <c r="Q164" s="344">
        <v>0</v>
      </c>
      <c r="R164" s="596"/>
      <c r="S164" s="630" t="s">
        <v>505</v>
      </c>
      <c r="T164" s="681">
        <v>46022</v>
      </c>
      <c r="U164" s="701">
        <v>0</v>
      </c>
      <c r="V164" s="802"/>
      <c r="W164" s="682">
        <v>46022</v>
      </c>
      <c r="X164" s="817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814"/>
      <c r="J165" s="814"/>
      <c r="K165" s="273"/>
      <c r="L165" s="341">
        <v>14</v>
      </c>
      <c r="M165" s="435" t="s">
        <v>503</v>
      </c>
      <c r="N165" s="342" t="s">
        <v>504</v>
      </c>
      <c r="O165" s="557"/>
      <c r="P165" s="471"/>
      <c r="Q165" s="344">
        <v>0</v>
      </c>
      <c r="R165" s="596"/>
      <c r="S165" s="630" t="s">
        <v>505</v>
      </c>
      <c r="T165" s="681">
        <v>46053</v>
      </c>
      <c r="U165" s="683">
        <v>0</v>
      </c>
      <c r="V165" s="802"/>
      <c r="W165" s="682">
        <v>46058</v>
      </c>
      <c r="X165" s="817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814"/>
      <c r="J166" s="814"/>
      <c r="K166" s="273"/>
      <c r="L166" s="341">
        <v>14</v>
      </c>
      <c r="M166" s="435" t="s">
        <v>503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802"/>
      <c r="W166" s="579">
        <v>46093</v>
      </c>
      <c r="X166" s="817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814"/>
      <c r="J167" s="814"/>
      <c r="K167" s="273"/>
      <c r="L167" s="341">
        <v>14</v>
      </c>
      <c r="M167" s="435" t="s">
        <v>503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802"/>
      <c r="W167" s="579"/>
      <c r="X167" s="817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814"/>
      <c r="J168" s="814"/>
      <c r="K168" s="273"/>
      <c r="L168" s="341">
        <v>14</v>
      </c>
      <c r="M168" s="435" t="s">
        <v>503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802"/>
      <c r="W168" s="579"/>
      <c r="X168" s="817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814"/>
      <c r="J169" s="814"/>
      <c r="K169" s="273"/>
      <c r="L169" s="341">
        <v>14</v>
      </c>
      <c r="M169" s="435" t="s">
        <v>503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802"/>
      <c r="W169" s="579"/>
      <c r="X169" s="817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814"/>
      <c r="J170" s="814"/>
      <c r="K170" s="273"/>
      <c r="L170" s="341">
        <v>14</v>
      </c>
      <c r="M170" s="435" t="s">
        <v>503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802"/>
      <c r="W170" s="579"/>
      <c r="X170" s="817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814"/>
      <c r="J171" s="814"/>
      <c r="K171" s="273"/>
      <c r="L171" s="341">
        <v>14</v>
      </c>
      <c r="M171" s="435" t="s">
        <v>503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802"/>
      <c r="W171" s="579"/>
      <c r="X171" s="817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815"/>
      <c r="J172" s="815"/>
      <c r="K172" s="276"/>
      <c r="L172" s="274">
        <v>14</v>
      </c>
      <c r="M172" s="436" t="s">
        <v>503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803"/>
      <c r="W172" s="580"/>
      <c r="X172" s="818"/>
      <c r="Y172" s="482"/>
    </row>
    <row r="173" spans="1:25" ht="14.2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506</v>
      </c>
      <c r="D174" s="283"/>
      <c r="E174" s="284"/>
      <c r="F174" s="437"/>
      <c r="G174" s="285"/>
      <c r="H174" s="573"/>
      <c r="I174" s="774">
        <f>SUM(G174:G185)</f>
        <v>0</v>
      </c>
      <c r="J174" s="774">
        <f>F210</f>
        <v>2000000</v>
      </c>
      <c r="K174" s="286"/>
      <c r="L174" s="282">
        <v>15</v>
      </c>
      <c r="M174" s="352" t="s">
        <v>507</v>
      </c>
      <c r="N174" s="283"/>
      <c r="O174" s="284"/>
      <c r="P174" s="437"/>
      <c r="Q174" s="285"/>
      <c r="R174" s="589"/>
      <c r="S174" s="625"/>
      <c r="T174" s="525"/>
      <c r="U174" s="511"/>
      <c r="V174" s="787">
        <v>0</v>
      </c>
      <c r="W174" s="573"/>
      <c r="X174" s="784">
        <f>SUM(Q174:Q185)</f>
        <v>465759.79000000004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75"/>
      <c r="J175" s="775"/>
      <c r="K175" s="289"/>
      <c r="L175" s="312">
        <v>15</v>
      </c>
      <c r="M175" s="389" t="s">
        <v>507</v>
      </c>
      <c r="N175" s="314"/>
      <c r="O175" s="543"/>
      <c r="P175" s="459"/>
      <c r="Q175" s="316"/>
      <c r="R175" s="582"/>
      <c r="S175" s="618"/>
      <c r="T175" s="518"/>
      <c r="U175" s="503"/>
      <c r="V175" s="788"/>
      <c r="W175" s="566"/>
      <c r="X175" s="785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75"/>
      <c r="J176" s="775"/>
      <c r="K176" s="289"/>
      <c r="L176" s="312">
        <v>15</v>
      </c>
      <c r="M176" s="389" t="s">
        <v>507</v>
      </c>
      <c r="N176" s="314" t="s">
        <v>508</v>
      </c>
      <c r="O176" s="543"/>
      <c r="P176" s="459"/>
      <c r="Q176" s="316">
        <v>56132.72</v>
      </c>
      <c r="R176" s="582" t="s">
        <v>509</v>
      </c>
      <c r="S176" s="618" t="s">
        <v>510</v>
      </c>
      <c r="T176" s="644">
        <v>46022</v>
      </c>
      <c r="U176" s="503"/>
      <c r="V176" s="788"/>
      <c r="W176" s="534">
        <v>46058</v>
      </c>
      <c r="X176" s="785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75"/>
      <c r="J177" s="775"/>
      <c r="K177" s="289"/>
      <c r="L177" s="312">
        <v>15</v>
      </c>
      <c r="M177" s="389" t="s">
        <v>507</v>
      </c>
      <c r="N177" s="314" t="s">
        <v>511</v>
      </c>
      <c r="O177" s="543"/>
      <c r="P177" s="459"/>
      <c r="Q177" s="316">
        <v>54437.33</v>
      </c>
      <c r="R177" s="582" t="s">
        <v>512</v>
      </c>
      <c r="S177" s="618" t="s">
        <v>410</v>
      </c>
      <c r="T177" s="644">
        <v>46053</v>
      </c>
      <c r="U177" s="503"/>
      <c r="V177" s="788"/>
      <c r="W177" s="534">
        <f>W179</f>
        <v>46066</v>
      </c>
      <c r="X177" s="785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75"/>
      <c r="J178" s="775"/>
      <c r="K178" s="289"/>
      <c r="L178" s="312">
        <v>15</v>
      </c>
      <c r="M178" s="389" t="s">
        <v>507</v>
      </c>
      <c r="N178" s="314"/>
      <c r="O178" s="543"/>
      <c r="P178" s="459"/>
      <c r="Q178" s="316"/>
      <c r="R178" s="582"/>
      <c r="S178" s="618"/>
      <c r="T178" s="644"/>
      <c r="U178" s="503"/>
      <c r="V178" s="788"/>
      <c r="W178" s="566"/>
      <c r="X178" s="785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75"/>
      <c r="J179" s="775"/>
      <c r="K179" s="289"/>
      <c r="L179" s="312">
        <v>15</v>
      </c>
      <c r="M179" s="389" t="s">
        <v>507</v>
      </c>
      <c r="N179" s="314" t="s">
        <v>513</v>
      </c>
      <c r="O179" s="543"/>
      <c r="P179" s="459"/>
      <c r="Q179" s="316">
        <v>95838</v>
      </c>
      <c r="R179" s="582"/>
      <c r="S179" s="618" t="s">
        <v>410</v>
      </c>
      <c r="T179" s="644">
        <v>46053</v>
      </c>
      <c r="U179" s="503"/>
      <c r="V179" s="788"/>
      <c r="W179" s="534">
        <v>46066</v>
      </c>
      <c r="X179" s="785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75"/>
      <c r="J180" s="775"/>
      <c r="K180" s="289"/>
      <c r="L180" s="312">
        <v>15</v>
      </c>
      <c r="M180" s="389" t="s">
        <v>507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88"/>
      <c r="W180" s="566"/>
      <c r="X180" s="785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75"/>
      <c r="J181" s="775"/>
      <c r="K181" s="289"/>
      <c r="L181" s="312">
        <v>15</v>
      </c>
      <c r="M181" s="389" t="s">
        <v>507</v>
      </c>
      <c r="N181" s="314" t="s">
        <v>514</v>
      </c>
      <c r="O181" s="543"/>
      <c r="P181" s="459"/>
      <c r="Q181" s="316">
        <v>21393.95</v>
      </c>
      <c r="R181" s="582" t="s">
        <v>515</v>
      </c>
      <c r="S181" s="618"/>
      <c r="T181" s="518">
        <v>46112</v>
      </c>
      <c r="U181" s="503"/>
      <c r="V181" s="788"/>
      <c r="W181" s="566">
        <f>T181</f>
        <v>46112</v>
      </c>
      <c r="X181" s="785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75"/>
      <c r="J182" s="775"/>
      <c r="K182" s="289"/>
      <c r="L182" s="312">
        <v>15</v>
      </c>
      <c r="M182" s="389" t="s">
        <v>507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88"/>
      <c r="W182" s="566"/>
      <c r="X182" s="785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75"/>
      <c r="J183" s="775"/>
      <c r="K183" s="289"/>
      <c r="L183" s="312">
        <v>15</v>
      </c>
      <c r="M183" s="389" t="s">
        <v>507</v>
      </c>
      <c r="N183" s="314" t="s">
        <v>516</v>
      </c>
      <c r="O183" s="543"/>
      <c r="P183" s="459"/>
      <c r="Q183" s="316">
        <v>237957.79</v>
      </c>
      <c r="R183" s="582" t="s">
        <v>517</v>
      </c>
      <c r="S183" s="618"/>
      <c r="T183" s="518">
        <v>46112</v>
      </c>
      <c r="U183" s="503"/>
      <c r="V183" s="788"/>
      <c r="W183" s="566">
        <f>T183</f>
        <v>46112</v>
      </c>
      <c r="X183" s="785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75"/>
      <c r="J184" s="775"/>
      <c r="K184" s="289"/>
      <c r="L184" s="312">
        <v>15</v>
      </c>
      <c r="M184" s="389" t="s">
        <v>507</v>
      </c>
      <c r="N184" s="314"/>
      <c r="O184" s="543"/>
      <c r="P184" s="459"/>
      <c r="Q184" s="316"/>
      <c r="R184" s="582"/>
      <c r="S184" s="618"/>
      <c r="T184" s="518" t="str">
        <f t="shared" si="27"/>
        <v/>
      </c>
      <c r="U184" s="503"/>
      <c r="V184" s="788"/>
      <c r="W184" s="566"/>
      <c r="X184" s="785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76"/>
      <c r="J185" s="776"/>
      <c r="K185" s="290"/>
      <c r="L185" s="317">
        <v>15</v>
      </c>
      <c r="M185" s="419" t="s">
        <v>507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89"/>
      <c r="W185" s="568"/>
      <c r="X185" s="786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518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519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520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405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442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419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521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522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523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524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525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526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527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528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529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530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531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532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533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534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535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536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523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537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538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I151:I152"/>
    <mergeCell ref="J151:J152"/>
    <mergeCell ref="K151:K152"/>
    <mergeCell ref="X151:X152"/>
    <mergeCell ref="V145:V149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V121:V143"/>
    <mergeCell ref="V94:V102"/>
    <mergeCell ref="V104:V119"/>
    <mergeCell ref="R129:R140"/>
    <mergeCell ref="R105:R116"/>
    <mergeCell ref="R97:R98"/>
    <mergeCell ref="R122:R123"/>
    <mergeCell ref="V51:V61"/>
    <mergeCell ref="V63:V83"/>
    <mergeCell ref="R69:R80"/>
    <mergeCell ref="R85:R86"/>
    <mergeCell ref="R35:R46"/>
    <mergeCell ref="J63:J83"/>
    <mergeCell ref="X63:X83"/>
    <mergeCell ref="I85:I92"/>
    <mergeCell ref="J85:J92"/>
    <mergeCell ref="V85:V92"/>
    <mergeCell ref="X85:X92"/>
    <mergeCell ref="X6:X11"/>
    <mergeCell ref="V6:V11"/>
    <mergeCell ref="V13:V19"/>
    <mergeCell ref="V21:V29"/>
    <mergeCell ref="V31:V49"/>
    <mergeCell ref="X21:X29"/>
    <mergeCell ref="B2:G2"/>
    <mergeCell ref="L2:Q2"/>
    <mergeCell ref="I6:I11"/>
    <mergeCell ref="J6:J11"/>
    <mergeCell ref="R2:W2"/>
    <mergeCell ref="I31:I49"/>
    <mergeCell ref="J31:J49"/>
    <mergeCell ref="X31:X49"/>
    <mergeCell ref="I13:I19"/>
    <mergeCell ref="J13:J19"/>
    <mergeCell ref="X13:X19"/>
    <mergeCell ref="I21:I29"/>
    <mergeCell ref="J21:J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26562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2"/>
  </cols>
  <sheetData>
    <row r="1" spans="1:794">
      <c r="D1" s="188" t="s">
        <v>539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27" t="s">
        <v>540</v>
      </c>
      <c r="B2" s="193"/>
      <c r="C2" s="194" t="s">
        <v>350</v>
      </c>
      <c r="D2" s="194" t="s">
        <v>350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8"/>
      <c r="B3" s="196" t="s">
        <v>270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28"/>
      <c r="B4" s="196" t="s">
        <v>541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28"/>
      <c r="B5" s="200" t="s">
        <v>272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28"/>
      <c r="B6" s="200" t="s">
        <v>542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28"/>
      <c r="B7" s="205" t="s">
        <v>543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27" t="s">
        <v>267</v>
      </c>
      <c r="B8" s="193"/>
      <c r="C8" s="194" t="s">
        <v>350</v>
      </c>
      <c r="D8" s="194" t="s">
        <v>350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8"/>
      <c r="B9" s="210" t="s">
        <v>544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28"/>
      <c r="B10" s="210" t="s">
        <v>545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28"/>
      <c r="B11" s="213" t="s">
        <v>546</v>
      </c>
      <c r="C11" s="214">
        <f>'Revenue Tracking'!F5</f>
        <v>7658861.9823272396</v>
      </c>
      <c r="D11" s="214">
        <f>SUM(F11:LD11)</f>
        <v>7658861.9823272396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-8629.7799999999988</v>
      </c>
      <c r="BI11" s="215">
        <f>SUMIFS('Expenditure Breakdown'!$Q$6:$Q$193, 'Expenditure Breakdown'!$W$6:$W$193, "&gt;="&amp;BI1,'Expenditure Breakdown'!$W$6:$W$193, "&lt;"&amp;BJ1)</f>
        <v>379446.35499999998</v>
      </c>
      <c r="BJ11" s="215">
        <f>SUMIFS('Expenditure Breakdown'!$Q$6:$Q$193, 'Expenditure Breakdown'!$W$6:$W$193, "&gt;="&amp;BJ1,'Expenditure Breakdown'!$W$6:$W$193, "&lt;"&amp;BK1)</f>
        <v>0</v>
      </c>
      <c r="BK11" s="215">
        <f>SUMIFS('Expenditure Breakdown'!$Q$6:$Q$193, 'Expenditure Breakdown'!$W$6:$W$193, "&gt;="&amp;BK1,'Expenditure Breakdown'!$W$6:$W$193, "&lt;"&amp;BL1)</f>
        <v>88888.005000000005</v>
      </c>
      <c r="BL11" s="215">
        <f>SUMIFS('Expenditure Breakdown'!$Q$6:$Q$193, 'Expenditure Breakdown'!$W$6:$W$193, "&gt;="&amp;BL1,'Expenditure Breakdown'!$W$6:$W$193, "&lt;"&amp;BM1)</f>
        <v>0</v>
      </c>
      <c r="BM11" s="215">
        <f>SUMIFS('Expenditure Breakdown'!$Q$6:$Q$193, 'Expenditure Breakdown'!$W$6:$W$193, "&gt;="&amp;BM1,'Expenditure Breakdown'!$W$6:$W$193, "&lt;"&amp;BN1)</f>
        <v>178801.02</v>
      </c>
      <c r="BN11" s="215">
        <f>SUMIFS('Expenditure Breakdown'!$Q$6:$Q$193, 'Expenditure Breakdown'!$W$6:$W$193, "&gt;="&amp;BN1,'Expenditure Breakdown'!$W$6:$W$193, "&lt;"&amp;BO1)</f>
        <v>266128.93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297492.39</v>
      </c>
      <c r="BQ11" s="215">
        <f>SUMIFS('Expenditure Breakdown'!$Q$6:$Q$193, 'Expenditure Breakdown'!$W$6:$W$193, "&gt;="&amp;BQ1,'Expenditure Breakdown'!$W$6:$W$193, "&lt;"&amp;BR1)</f>
        <v>85150.51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140354.30432724001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28"/>
      <c r="B12" s="213" t="s">
        <v>547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6222600.4680000003</v>
      </c>
      <c r="BI12" s="215">
        <f t="shared" si="26"/>
        <v>6602046.8230000008</v>
      </c>
      <c r="BJ12" s="215">
        <f t="shared" si="26"/>
        <v>6602046.8230000008</v>
      </c>
      <c r="BK12" s="215">
        <f t="shared" si="26"/>
        <v>6690934.8280000007</v>
      </c>
      <c r="BL12" s="215">
        <f t="shared" si="26"/>
        <v>6690934.8280000007</v>
      </c>
      <c r="BM12" s="215">
        <f t="shared" si="26"/>
        <v>6869735.8480000002</v>
      </c>
      <c r="BN12" s="215">
        <f t="shared" si="26"/>
        <v>7135864.7779999999</v>
      </c>
      <c r="BO12" s="215">
        <f t="shared" si="26"/>
        <v>7135864.7779999999</v>
      </c>
      <c r="BP12" s="215">
        <f t="shared" si="26"/>
        <v>7433357.1679999996</v>
      </c>
      <c r="BQ12" s="215">
        <f t="shared" si="26"/>
        <v>7518507.6779999994</v>
      </c>
      <c r="BR12" s="215">
        <f t="shared" si="26"/>
        <v>7518507.6779999994</v>
      </c>
      <c r="BS12" s="215">
        <f t="shared" si="26"/>
        <v>7518507.6779999994</v>
      </c>
      <c r="BT12" s="215">
        <f t="shared" si="26"/>
        <v>7658861.9823272396</v>
      </c>
      <c r="BU12" s="215">
        <f t="shared" ref="BU12:EF12" si="27">BT12+BU11</f>
        <v>7658861.9823272396</v>
      </c>
      <c r="BV12" s="215">
        <f t="shared" si="27"/>
        <v>7658861.9823272396</v>
      </c>
      <c r="BW12" s="215">
        <f t="shared" si="27"/>
        <v>7658861.9823272396</v>
      </c>
      <c r="BX12" s="215">
        <f t="shared" si="27"/>
        <v>7658861.9823272396</v>
      </c>
      <c r="BY12" s="215">
        <f t="shared" si="27"/>
        <v>7658861.9823272396</v>
      </c>
      <c r="BZ12" s="215">
        <f t="shared" si="27"/>
        <v>7658861.9823272396</v>
      </c>
      <c r="CA12" s="215">
        <f t="shared" si="27"/>
        <v>7658861.9823272396</v>
      </c>
      <c r="CB12" s="215">
        <f t="shared" si="27"/>
        <v>7658861.9823272396</v>
      </c>
      <c r="CC12" s="215">
        <f t="shared" si="27"/>
        <v>7658861.9823272396</v>
      </c>
      <c r="CD12" s="215">
        <f t="shared" si="27"/>
        <v>7658861.9823272396</v>
      </c>
      <c r="CE12" s="215">
        <f t="shared" si="27"/>
        <v>7658861.9823272396</v>
      </c>
      <c r="CF12" s="215">
        <f t="shared" si="27"/>
        <v>7658861.9823272396</v>
      </c>
      <c r="CG12" s="215">
        <f t="shared" si="27"/>
        <v>7658861.9823272396</v>
      </c>
      <c r="CH12" s="215">
        <f t="shared" si="27"/>
        <v>7658861.9823272396</v>
      </c>
      <c r="CI12" s="215">
        <f t="shared" si="27"/>
        <v>7658861.9823272396</v>
      </c>
      <c r="CJ12" s="215">
        <f t="shared" si="27"/>
        <v>7658861.9823272396</v>
      </c>
      <c r="CK12" s="215">
        <f t="shared" si="27"/>
        <v>7658861.9823272396</v>
      </c>
      <c r="CL12" s="215">
        <f t="shared" si="27"/>
        <v>7658861.9823272396</v>
      </c>
      <c r="CM12" s="215">
        <f t="shared" si="27"/>
        <v>7658861.9823272396</v>
      </c>
      <c r="CN12" s="215">
        <f t="shared" si="27"/>
        <v>7658861.9823272396</v>
      </c>
      <c r="CO12" s="215">
        <f t="shared" si="27"/>
        <v>7658861.9823272396</v>
      </c>
      <c r="CP12" s="215">
        <f t="shared" si="27"/>
        <v>7658861.9823272396</v>
      </c>
      <c r="CQ12" s="215">
        <f t="shared" si="27"/>
        <v>7658861.9823272396</v>
      </c>
      <c r="CR12" s="215">
        <f t="shared" si="27"/>
        <v>7658861.9823272396</v>
      </c>
      <c r="CS12" s="215">
        <f t="shared" si="27"/>
        <v>7658861.9823272396</v>
      </c>
      <c r="CT12" s="215">
        <f t="shared" si="27"/>
        <v>7658861.9823272396</v>
      </c>
      <c r="CU12" s="215">
        <f t="shared" si="27"/>
        <v>7658861.9823272396</v>
      </c>
      <c r="CV12" s="215">
        <f t="shared" si="27"/>
        <v>7658861.9823272396</v>
      </c>
      <c r="CW12" s="215">
        <f t="shared" si="27"/>
        <v>7658861.9823272396</v>
      </c>
      <c r="CX12" s="215">
        <f t="shared" si="27"/>
        <v>7658861.9823272396</v>
      </c>
      <c r="CY12" s="215">
        <f t="shared" si="27"/>
        <v>7658861.9823272396</v>
      </c>
      <c r="CZ12" s="215">
        <f t="shared" si="27"/>
        <v>7658861.9823272396</v>
      </c>
      <c r="DA12" s="215">
        <f t="shared" si="27"/>
        <v>7658861.9823272396</v>
      </c>
      <c r="DB12" s="215">
        <f t="shared" si="27"/>
        <v>7658861.9823272396</v>
      </c>
      <c r="DC12" s="215">
        <f t="shared" si="27"/>
        <v>7658861.9823272396</v>
      </c>
      <c r="DD12" s="215">
        <f t="shared" si="27"/>
        <v>7658861.9823272396</v>
      </c>
      <c r="DE12" s="215">
        <f t="shared" si="27"/>
        <v>7658861.9823272396</v>
      </c>
      <c r="DF12" s="215">
        <f t="shared" si="27"/>
        <v>7658861.9823272396</v>
      </c>
      <c r="DG12" s="215">
        <f t="shared" si="27"/>
        <v>7658861.9823272396</v>
      </c>
      <c r="DH12" s="215">
        <f t="shared" si="27"/>
        <v>7658861.9823272396</v>
      </c>
      <c r="DI12" s="215">
        <f t="shared" si="27"/>
        <v>7658861.9823272396</v>
      </c>
      <c r="DJ12" s="215">
        <f t="shared" si="27"/>
        <v>7658861.9823272396</v>
      </c>
      <c r="DK12" s="215">
        <f t="shared" si="27"/>
        <v>7658861.9823272396</v>
      </c>
      <c r="DL12" s="215">
        <f t="shared" si="27"/>
        <v>7658861.9823272396</v>
      </c>
      <c r="DM12" s="215">
        <f t="shared" si="27"/>
        <v>7658861.9823272396</v>
      </c>
      <c r="DN12" s="215">
        <f t="shared" si="27"/>
        <v>7658861.9823272396</v>
      </c>
      <c r="DO12" s="215">
        <f t="shared" si="27"/>
        <v>7658861.9823272396</v>
      </c>
      <c r="DP12" s="215">
        <f t="shared" si="27"/>
        <v>7658861.9823272396</v>
      </c>
      <c r="DQ12" s="215">
        <f t="shared" si="27"/>
        <v>7658861.9823272396</v>
      </c>
      <c r="DR12" s="215">
        <f t="shared" si="27"/>
        <v>7658861.9823272396</v>
      </c>
      <c r="DS12" s="215">
        <f t="shared" si="27"/>
        <v>7658861.9823272396</v>
      </c>
      <c r="DT12" s="215">
        <f t="shared" si="27"/>
        <v>7658861.9823272396</v>
      </c>
      <c r="DU12" s="215">
        <f t="shared" si="27"/>
        <v>7658861.9823272396</v>
      </c>
      <c r="DV12" s="215">
        <f t="shared" si="27"/>
        <v>7658861.9823272396</v>
      </c>
      <c r="DW12" s="215">
        <f t="shared" si="27"/>
        <v>7658861.9823272396</v>
      </c>
      <c r="DX12" s="215">
        <f t="shared" si="27"/>
        <v>7658861.9823272396</v>
      </c>
      <c r="DY12" s="215">
        <f t="shared" si="27"/>
        <v>7658861.9823272396</v>
      </c>
      <c r="DZ12" s="215">
        <f t="shared" si="27"/>
        <v>7658861.9823272396</v>
      </c>
      <c r="EA12" s="215">
        <f t="shared" si="27"/>
        <v>7658861.9823272396</v>
      </c>
      <c r="EB12" s="215">
        <f t="shared" si="27"/>
        <v>7658861.9823272396</v>
      </c>
      <c r="EC12" s="215">
        <f t="shared" si="27"/>
        <v>7658861.9823272396</v>
      </c>
      <c r="ED12" s="215">
        <f t="shared" si="27"/>
        <v>7658861.9823272396</v>
      </c>
      <c r="EE12" s="215">
        <f t="shared" si="27"/>
        <v>7658861.9823272396</v>
      </c>
      <c r="EF12" s="215">
        <f t="shared" si="27"/>
        <v>7658861.9823272396</v>
      </c>
      <c r="EG12" s="215">
        <f t="shared" ref="EG12:GR12" si="28">EF12+EG11</f>
        <v>7658861.9823272396</v>
      </c>
      <c r="EH12" s="215">
        <f t="shared" si="28"/>
        <v>7658861.9823272396</v>
      </c>
      <c r="EI12" s="215">
        <f t="shared" si="28"/>
        <v>7658861.9823272396</v>
      </c>
      <c r="EJ12" s="215">
        <f t="shared" si="28"/>
        <v>7658861.9823272396</v>
      </c>
      <c r="EK12" s="215">
        <f t="shared" si="28"/>
        <v>7658861.9823272396</v>
      </c>
      <c r="EL12" s="215">
        <f t="shared" si="28"/>
        <v>7658861.9823272396</v>
      </c>
      <c r="EM12" s="215">
        <f t="shared" si="28"/>
        <v>7658861.9823272396</v>
      </c>
      <c r="EN12" s="215">
        <f t="shared" si="28"/>
        <v>7658861.9823272396</v>
      </c>
      <c r="EO12" s="215">
        <f t="shared" si="28"/>
        <v>7658861.9823272396</v>
      </c>
      <c r="EP12" s="215">
        <f t="shared" si="28"/>
        <v>7658861.9823272396</v>
      </c>
      <c r="EQ12" s="215">
        <f t="shared" si="28"/>
        <v>7658861.9823272396</v>
      </c>
      <c r="ER12" s="215">
        <f t="shared" si="28"/>
        <v>7658861.9823272396</v>
      </c>
      <c r="ES12" s="215">
        <f t="shared" si="28"/>
        <v>7658861.9823272396</v>
      </c>
      <c r="ET12" s="215">
        <f t="shared" si="28"/>
        <v>7658861.9823272396</v>
      </c>
      <c r="EU12" s="215">
        <f t="shared" si="28"/>
        <v>7658861.9823272396</v>
      </c>
      <c r="EV12" s="215">
        <f t="shared" si="28"/>
        <v>7658861.9823272396</v>
      </c>
      <c r="EW12" s="215">
        <f t="shared" si="28"/>
        <v>7658861.9823272396</v>
      </c>
      <c r="EX12" s="215">
        <f t="shared" si="28"/>
        <v>7658861.9823272396</v>
      </c>
      <c r="EY12" s="215">
        <f t="shared" si="28"/>
        <v>7658861.9823272396</v>
      </c>
      <c r="EZ12" s="215">
        <f t="shared" si="28"/>
        <v>7658861.9823272396</v>
      </c>
      <c r="FA12" s="215">
        <f t="shared" si="28"/>
        <v>7658861.9823272396</v>
      </c>
      <c r="FB12" s="215">
        <f t="shared" si="28"/>
        <v>7658861.9823272396</v>
      </c>
      <c r="FC12" s="215">
        <f t="shared" si="28"/>
        <v>7658861.9823272396</v>
      </c>
      <c r="FD12" s="215">
        <f t="shared" si="28"/>
        <v>7658861.9823272396</v>
      </c>
      <c r="FE12" s="215">
        <f t="shared" si="28"/>
        <v>7658861.9823272396</v>
      </c>
      <c r="FF12" s="215">
        <f t="shared" si="28"/>
        <v>7658861.9823272396</v>
      </c>
      <c r="FG12" s="215">
        <f t="shared" si="28"/>
        <v>7658861.9823272396</v>
      </c>
      <c r="FH12" s="215">
        <f t="shared" si="28"/>
        <v>7658861.9823272396</v>
      </c>
      <c r="FI12" s="215">
        <f t="shared" si="28"/>
        <v>7658861.9823272396</v>
      </c>
      <c r="FJ12" s="215">
        <f t="shared" si="28"/>
        <v>7658861.9823272396</v>
      </c>
      <c r="FK12" s="215">
        <f t="shared" si="28"/>
        <v>7658861.9823272396</v>
      </c>
      <c r="FL12" s="215">
        <f t="shared" si="28"/>
        <v>7658861.9823272396</v>
      </c>
      <c r="FM12" s="215">
        <f t="shared" si="28"/>
        <v>7658861.9823272396</v>
      </c>
      <c r="FN12" s="215">
        <f t="shared" si="28"/>
        <v>7658861.9823272396</v>
      </c>
      <c r="FO12" s="215">
        <f t="shared" si="28"/>
        <v>7658861.9823272396</v>
      </c>
      <c r="FP12" s="215">
        <f t="shared" si="28"/>
        <v>7658861.9823272396</v>
      </c>
      <c r="FQ12" s="215">
        <f t="shared" si="28"/>
        <v>7658861.9823272396</v>
      </c>
      <c r="FR12" s="215">
        <f t="shared" si="28"/>
        <v>7658861.9823272396</v>
      </c>
      <c r="FS12" s="215">
        <f t="shared" si="28"/>
        <v>7658861.9823272396</v>
      </c>
      <c r="FT12" s="215">
        <f t="shared" si="28"/>
        <v>7658861.9823272396</v>
      </c>
      <c r="FU12" s="215">
        <f t="shared" si="28"/>
        <v>7658861.9823272396</v>
      </c>
      <c r="FV12" s="215">
        <f t="shared" si="28"/>
        <v>7658861.9823272396</v>
      </c>
      <c r="FW12" s="215">
        <f t="shared" si="28"/>
        <v>7658861.9823272396</v>
      </c>
      <c r="FX12" s="215">
        <f t="shared" si="28"/>
        <v>7658861.9823272396</v>
      </c>
      <c r="FY12" s="215">
        <f t="shared" si="28"/>
        <v>7658861.9823272396</v>
      </c>
      <c r="FZ12" s="215">
        <f t="shared" si="28"/>
        <v>7658861.9823272396</v>
      </c>
      <c r="GA12" s="215">
        <f t="shared" si="28"/>
        <v>7658861.9823272396</v>
      </c>
      <c r="GB12" s="215">
        <f t="shared" si="28"/>
        <v>7658861.9823272396</v>
      </c>
      <c r="GC12" s="215">
        <f t="shared" si="28"/>
        <v>7658861.9823272396</v>
      </c>
      <c r="GD12" s="215">
        <f t="shared" si="28"/>
        <v>7658861.9823272396</v>
      </c>
      <c r="GE12" s="215">
        <f t="shared" si="28"/>
        <v>7658861.9823272396</v>
      </c>
      <c r="GF12" s="215">
        <f t="shared" si="28"/>
        <v>7658861.9823272396</v>
      </c>
      <c r="GG12" s="215">
        <f t="shared" si="28"/>
        <v>7658861.9823272396</v>
      </c>
      <c r="GH12" s="215">
        <f t="shared" si="28"/>
        <v>7658861.9823272396</v>
      </c>
      <c r="GI12" s="215">
        <f t="shared" si="28"/>
        <v>7658861.9823272396</v>
      </c>
      <c r="GJ12" s="215">
        <f t="shared" si="28"/>
        <v>7658861.9823272396</v>
      </c>
      <c r="GK12" s="215">
        <f t="shared" si="28"/>
        <v>7658861.9823272396</v>
      </c>
      <c r="GL12" s="215">
        <f t="shared" si="28"/>
        <v>7658861.9823272396</v>
      </c>
      <c r="GM12" s="215">
        <f t="shared" si="28"/>
        <v>7658861.9823272396</v>
      </c>
      <c r="GN12" s="215">
        <f t="shared" si="28"/>
        <v>7658861.9823272396</v>
      </c>
      <c r="GO12" s="215">
        <f t="shared" si="28"/>
        <v>7658861.9823272396</v>
      </c>
      <c r="GP12" s="215">
        <f t="shared" si="28"/>
        <v>7658861.9823272396</v>
      </c>
      <c r="GQ12" s="215">
        <f t="shared" si="28"/>
        <v>7658861.9823272396</v>
      </c>
      <c r="GR12" s="215">
        <f t="shared" si="28"/>
        <v>7658861.9823272396</v>
      </c>
      <c r="GS12" s="215">
        <f t="shared" ref="GS12:JD12" si="29">GR12+GS11</f>
        <v>7658861.9823272396</v>
      </c>
      <c r="GT12" s="215">
        <f t="shared" si="29"/>
        <v>7658861.9823272396</v>
      </c>
      <c r="GU12" s="215">
        <f t="shared" si="29"/>
        <v>7658861.9823272396</v>
      </c>
      <c r="GV12" s="215">
        <f t="shared" si="29"/>
        <v>7658861.9823272396</v>
      </c>
      <c r="GW12" s="215">
        <f t="shared" si="29"/>
        <v>7658861.9823272396</v>
      </c>
      <c r="GX12" s="215">
        <f t="shared" si="29"/>
        <v>7658861.9823272396</v>
      </c>
      <c r="GY12" s="215">
        <f t="shared" si="29"/>
        <v>7658861.9823272396</v>
      </c>
      <c r="GZ12" s="215">
        <f t="shared" si="29"/>
        <v>7658861.9823272396</v>
      </c>
      <c r="HA12" s="215">
        <f t="shared" si="29"/>
        <v>7658861.9823272396</v>
      </c>
      <c r="HB12" s="215">
        <f t="shared" si="29"/>
        <v>7658861.9823272396</v>
      </c>
      <c r="HC12" s="215">
        <f t="shared" si="29"/>
        <v>7658861.9823272396</v>
      </c>
      <c r="HD12" s="215">
        <f t="shared" si="29"/>
        <v>7658861.9823272396</v>
      </c>
      <c r="HE12" s="215">
        <f t="shared" si="29"/>
        <v>7658861.9823272396</v>
      </c>
      <c r="HF12" s="215">
        <f t="shared" si="29"/>
        <v>7658861.9823272396</v>
      </c>
      <c r="HG12" s="215">
        <f t="shared" si="29"/>
        <v>7658861.9823272396</v>
      </c>
      <c r="HH12" s="215">
        <f t="shared" si="29"/>
        <v>7658861.9823272396</v>
      </c>
      <c r="HI12" s="215">
        <f t="shared" si="29"/>
        <v>7658861.9823272396</v>
      </c>
      <c r="HJ12" s="215">
        <f t="shared" si="29"/>
        <v>7658861.9823272396</v>
      </c>
      <c r="HK12" s="215">
        <f t="shared" si="29"/>
        <v>7658861.9823272396</v>
      </c>
      <c r="HL12" s="215">
        <f t="shared" si="29"/>
        <v>7658861.9823272396</v>
      </c>
      <c r="HM12" s="215">
        <f t="shared" si="29"/>
        <v>7658861.9823272396</v>
      </c>
      <c r="HN12" s="215">
        <f t="shared" si="29"/>
        <v>7658861.9823272396</v>
      </c>
      <c r="HO12" s="215">
        <f t="shared" si="29"/>
        <v>7658861.9823272396</v>
      </c>
      <c r="HP12" s="215">
        <f t="shared" si="29"/>
        <v>7658861.9823272396</v>
      </c>
      <c r="HQ12" s="215">
        <f t="shared" si="29"/>
        <v>7658861.9823272396</v>
      </c>
      <c r="HR12" s="215">
        <f t="shared" si="29"/>
        <v>7658861.9823272396</v>
      </c>
      <c r="HS12" s="215">
        <f t="shared" si="29"/>
        <v>7658861.9823272396</v>
      </c>
      <c r="HT12" s="215">
        <f t="shared" si="29"/>
        <v>7658861.9823272396</v>
      </c>
      <c r="HU12" s="215">
        <f t="shared" si="29"/>
        <v>7658861.9823272396</v>
      </c>
      <c r="HV12" s="215">
        <f t="shared" si="29"/>
        <v>7658861.9823272396</v>
      </c>
      <c r="HW12" s="215">
        <f t="shared" si="29"/>
        <v>7658861.9823272396</v>
      </c>
      <c r="HX12" s="215">
        <f t="shared" si="29"/>
        <v>7658861.9823272396</v>
      </c>
      <c r="HY12" s="215">
        <f t="shared" si="29"/>
        <v>7658861.9823272396</v>
      </c>
      <c r="HZ12" s="215">
        <f t="shared" si="29"/>
        <v>7658861.9823272396</v>
      </c>
      <c r="IA12" s="215">
        <f t="shared" si="29"/>
        <v>7658861.9823272396</v>
      </c>
      <c r="IB12" s="215">
        <f t="shared" si="29"/>
        <v>7658861.9823272396</v>
      </c>
      <c r="IC12" s="215">
        <f t="shared" si="29"/>
        <v>7658861.9823272396</v>
      </c>
      <c r="ID12" s="215">
        <f t="shared" si="29"/>
        <v>7658861.9823272396</v>
      </c>
      <c r="IE12" s="215">
        <f t="shared" si="29"/>
        <v>7658861.9823272396</v>
      </c>
      <c r="IF12" s="215">
        <f t="shared" si="29"/>
        <v>7658861.9823272396</v>
      </c>
      <c r="IG12" s="215">
        <f t="shared" si="29"/>
        <v>7658861.9823272396</v>
      </c>
      <c r="IH12" s="215">
        <f t="shared" si="29"/>
        <v>7658861.9823272396</v>
      </c>
      <c r="II12" s="215">
        <f t="shared" si="29"/>
        <v>7658861.9823272396</v>
      </c>
      <c r="IJ12" s="215">
        <f t="shared" si="29"/>
        <v>7658861.9823272396</v>
      </c>
      <c r="IK12" s="215">
        <f t="shared" si="29"/>
        <v>7658861.9823272396</v>
      </c>
      <c r="IL12" s="215">
        <f t="shared" si="29"/>
        <v>7658861.9823272396</v>
      </c>
      <c r="IM12" s="215">
        <f t="shared" si="29"/>
        <v>7658861.9823272396</v>
      </c>
      <c r="IN12" s="215">
        <f t="shared" si="29"/>
        <v>7658861.9823272396</v>
      </c>
      <c r="IO12" s="215">
        <f t="shared" si="29"/>
        <v>7658861.9823272396</v>
      </c>
      <c r="IP12" s="215">
        <f t="shared" si="29"/>
        <v>7658861.9823272396</v>
      </c>
      <c r="IQ12" s="215">
        <f t="shared" si="29"/>
        <v>7658861.9823272396</v>
      </c>
      <c r="IR12" s="215">
        <f t="shared" si="29"/>
        <v>7658861.9823272396</v>
      </c>
      <c r="IS12" s="215">
        <f t="shared" si="29"/>
        <v>7658861.9823272396</v>
      </c>
      <c r="IT12" s="215">
        <f t="shared" si="29"/>
        <v>7658861.9823272396</v>
      </c>
      <c r="IU12" s="215">
        <f t="shared" si="29"/>
        <v>7658861.9823272396</v>
      </c>
      <c r="IV12" s="215">
        <f t="shared" si="29"/>
        <v>7658861.9823272396</v>
      </c>
      <c r="IW12" s="215">
        <f t="shared" si="29"/>
        <v>7658861.9823272396</v>
      </c>
      <c r="IX12" s="215">
        <f t="shared" si="29"/>
        <v>7658861.9823272396</v>
      </c>
      <c r="IY12" s="215">
        <f t="shared" si="29"/>
        <v>7658861.9823272396</v>
      </c>
      <c r="IZ12" s="215">
        <f t="shared" si="29"/>
        <v>7658861.9823272396</v>
      </c>
      <c r="JA12" s="215">
        <f t="shared" si="29"/>
        <v>7658861.9823272396</v>
      </c>
      <c r="JB12" s="215">
        <f t="shared" si="29"/>
        <v>7658861.9823272396</v>
      </c>
      <c r="JC12" s="215">
        <f t="shared" si="29"/>
        <v>7658861.9823272396</v>
      </c>
      <c r="JD12" s="215">
        <f t="shared" si="29"/>
        <v>7658861.9823272396</v>
      </c>
      <c r="JE12" s="215">
        <f t="shared" ref="JE12:LD12" si="30">JD12+JE11</f>
        <v>7658861.9823272396</v>
      </c>
      <c r="JF12" s="215">
        <f t="shared" si="30"/>
        <v>7658861.9823272396</v>
      </c>
      <c r="JG12" s="215">
        <f t="shared" si="30"/>
        <v>7658861.9823272396</v>
      </c>
      <c r="JH12" s="215">
        <f t="shared" si="30"/>
        <v>7658861.9823272396</v>
      </c>
      <c r="JI12" s="215">
        <f t="shared" si="30"/>
        <v>7658861.9823272396</v>
      </c>
      <c r="JJ12" s="215">
        <f t="shared" si="30"/>
        <v>7658861.9823272396</v>
      </c>
      <c r="JK12" s="215">
        <f t="shared" si="30"/>
        <v>7658861.9823272396</v>
      </c>
      <c r="JL12" s="215">
        <f t="shared" si="30"/>
        <v>7658861.9823272396</v>
      </c>
      <c r="JM12" s="215">
        <f t="shared" si="30"/>
        <v>7658861.9823272396</v>
      </c>
      <c r="JN12" s="215">
        <f t="shared" si="30"/>
        <v>7658861.9823272396</v>
      </c>
      <c r="JO12" s="215">
        <f t="shared" si="30"/>
        <v>7658861.9823272396</v>
      </c>
      <c r="JP12" s="215">
        <f t="shared" si="30"/>
        <v>7658861.9823272396</v>
      </c>
      <c r="JQ12" s="215">
        <f t="shared" si="30"/>
        <v>7658861.9823272396</v>
      </c>
      <c r="JR12" s="215">
        <f t="shared" si="30"/>
        <v>7658861.9823272396</v>
      </c>
      <c r="JS12" s="215">
        <f t="shared" si="30"/>
        <v>7658861.9823272396</v>
      </c>
      <c r="JT12" s="215">
        <f t="shared" si="30"/>
        <v>7658861.9823272396</v>
      </c>
      <c r="JU12" s="215">
        <f t="shared" si="30"/>
        <v>7658861.9823272396</v>
      </c>
      <c r="JV12" s="215">
        <f t="shared" si="30"/>
        <v>7658861.9823272396</v>
      </c>
      <c r="JW12" s="215">
        <f t="shared" si="30"/>
        <v>7658861.9823272396</v>
      </c>
      <c r="JX12" s="215">
        <f t="shared" si="30"/>
        <v>7658861.9823272396</v>
      </c>
      <c r="JY12" s="215">
        <f t="shared" si="30"/>
        <v>7658861.9823272396</v>
      </c>
      <c r="JZ12" s="215">
        <f t="shared" si="30"/>
        <v>7658861.9823272396</v>
      </c>
      <c r="KA12" s="215">
        <f t="shared" si="30"/>
        <v>7658861.9823272396</v>
      </c>
      <c r="KB12" s="215">
        <f t="shared" si="30"/>
        <v>7658861.9823272396</v>
      </c>
      <c r="KC12" s="215">
        <f t="shared" si="30"/>
        <v>7658861.9823272396</v>
      </c>
      <c r="KD12" s="215">
        <f t="shared" si="30"/>
        <v>7658861.9823272396</v>
      </c>
      <c r="KE12" s="215">
        <f t="shared" si="30"/>
        <v>7658861.9823272396</v>
      </c>
      <c r="KF12" s="215">
        <f t="shared" si="30"/>
        <v>7658861.9823272396</v>
      </c>
      <c r="KG12" s="215">
        <f t="shared" si="30"/>
        <v>7658861.9823272396</v>
      </c>
      <c r="KH12" s="215">
        <f t="shared" si="30"/>
        <v>7658861.9823272396</v>
      </c>
      <c r="KI12" s="215">
        <f t="shared" si="30"/>
        <v>7658861.9823272396</v>
      </c>
      <c r="KJ12" s="215">
        <f t="shared" si="30"/>
        <v>7658861.9823272396</v>
      </c>
      <c r="KK12" s="215">
        <f t="shared" si="30"/>
        <v>7658861.9823272396</v>
      </c>
      <c r="KL12" s="215">
        <f t="shared" si="30"/>
        <v>7658861.9823272396</v>
      </c>
      <c r="KM12" s="215">
        <f t="shared" si="30"/>
        <v>7658861.9823272396</v>
      </c>
      <c r="KN12" s="215">
        <f t="shared" si="30"/>
        <v>7658861.9823272396</v>
      </c>
      <c r="KO12" s="215">
        <f t="shared" si="30"/>
        <v>7658861.9823272396</v>
      </c>
      <c r="KP12" s="215">
        <f t="shared" si="30"/>
        <v>7658861.9823272396</v>
      </c>
      <c r="KQ12" s="215">
        <f t="shared" si="30"/>
        <v>7658861.9823272396</v>
      </c>
      <c r="KR12" s="215">
        <f t="shared" si="30"/>
        <v>7658861.9823272396</v>
      </c>
      <c r="KS12" s="215">
        <f t="shared" si="30"/>
        <v>7658861.9823272396</v>
      </c>
      <c r="KT12" s="215">
        <f t="shared" si="30"/>
        <v>7658861.9823272396</v>
      </c>
      <c r="KU12" s="215">
        <f t="shared" si="30"/>
        <v>7658861.9823272396</v>
      </c>
      <c r="KV12" s="215">
        <f t="shared" si="30"/>
        <v>7658861.9823272396</v>
      </c>
      <c r="KW12" s="215">
        <f t="shared" si="30"/>
        <v>7658861.9823272396</v>
      </c>
      <c r="KX12" s="215">
        <f t="shared" si="30"/>
        <v>7658861.9823272396</v>
      </c>
      <c r="KY12" s="215">
        <f t="shared" si="30"/>
        <v>7658861.9823272396</v>
      </c>
      <c r="KZ12" s="215">
        <f t="shared" si="30"/>
        <v>7658861.9823272396</v>
      </c>
      <c r="LA12" s="215">
        <f t="shared" si="30"/>
        <v>7658861.9823272396</v>
      </c>
      <c r="LB12" s="215">
        <f t="shared" si="30"/>
        <v>7658861.9823272396</v>
      </c>
      <c r="LC12" s="215">
        <f t="shared" si="30"/>
        <v>7658861.9823272396</v>
      </c>
      <c r="LD12" s="215">
        <f t="shared" si="30"/>
        <v>7658861.9823272396</v>
      </c>
      <c r="LE12" s="192"/>
      <c r="LF12" s="203"/>
    </row>
    <row r="13" spans="1:794" s="192" customFormat="1">
      <c r="A13" s="828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8"/>
      <c r="B14" s="205" t="s">
        <v>548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2016173.2919999994</v>
      </c>
      <c r="BI14" s="208">
        <f t="shared" si="32"/>
        <v>1636726.936999999</v>
      </c>
      <c r="BJ14" s="208">
        <f t="shared" si="32"/>
        <v>1636726.936999999</v>
      </c>
      <c r="BK14" s="208">
        <f t="shared" si="32"/>
        <v>1547838.9319999991</v>
      </c>
      <c r="BL14" s="208">
        <f t="shared" si="32"/>
        <v>1547838.9319999991</v>
      </c>
      <c r="BM14" s="208">
        <f t="shared" si="32"/>
        <v>1369037.9119999995</v>
      </c>
      <c r="BN14" s="208">
        <f t="shared" si="32"/>
        <v>1102908.9819999998</v>
      </c>
      <c r="BO14" s="208">
        <f t="shared" si="32"/>
        <v>3292479.5719999997</v>
      </c>
      <c r="BP14" s="208">
        <f t="shared" si="32"/>
        <v>2994987.182</v>
      </c>
      <c r="BQ14" s="208">
        <f t="shared" si="32"/>
        <v>2909836.6720000003</v>
      </c>
      <c r="BR14" s="208">
        <f t="shared" si="32"/>
        <v>2909836.6720000003</v>
      </c>
      <c r="BS14" s="208">
        <f t="shared" si="32"/>
        <v>2909836.6720000003</v>
      </c>
      <c r="BT14" s="208">
        <f t="shared" si="32"/>
        <v>2769482.36767276</v>
      </c>
      <c r="BU14" s="208">
        <f t="shared" ref="BU14:EF14" si="33">BU10-BU12</f>
        <v>2769482.36767276</v>
      </c>
      <c r="BV14" s="208">
        <f t="shared" si="33"/>
        <v>2769482.36767276</v>
      </c>
      <c r="BW14" s="208">
        <f t="shared" si="33"/>
        <v>2769482.36767276</v>
      </c>
      <c r="BX14" s="208">
        <f t="shared" si="33"/>
        <v>2769482.36767276</v>
      </c>
      <c r="BY14" s="208">
        <f t="shared" si="33"/>
        <v>2769482.36767276</v>
      </c>
      <c r="BZ14" s="208">
        <f t="shared" si="33"/>
        <v>2769482.36767276</v>
      </c>
      <c r="CA14" s="208">
        <f t="shared" si="33"/>
        <v>2769482.36767276</v>
      </c>
      <c r="CB14" s="208">
        <f t="shared" si="33"/>
        <v>2769482.36767276</v>
      </c>
      <c r="CC14" s="208">
        <f t="shared" si="33"/>
        <v>2769482.36767276</v>
      </c>
      <c r="CD14" s="208">
        <f t="shared" si="33"/>
        <v>2769482.36767276</v>
      </c>
      <c r="CE14" s="208">
        <f t="shared" si="33"/>
        <v>2769482.36767276</v>
      </c>
      <c r="CF14" s="208">
        <f t="shared" si="33"/>
        <v>2769482.36767276</v>
      </c>
      <c r="CG14" s="208">
        <f t="shared" si="33"/>
        <v>2769482.36767276</v>
      </c>
      <c r="CH14" s="208">
        <f t="shared" si="33"/>
        <v>2769482.36767276</v>
      </c>
      <c r="CI14" s="208">
        <f t="shared" si="33"/>
        <v>2769482.36767276</v>
      </c>
      <c r="CJ14" s="208">
        <f t="shared" si="33"/>
        <v>2769482.36767276</v>
      </c>
      <c r="CK14" s="208">
        <f t="shared" si="33"/>
        <v>2769482.36767276</v>
      </c>
      <c r="CL14" s="208">
        <f t="shared" si="33"/>
        <v>2769482.36767276</v>
      </c>
      <c r="CM14" s="208">
        <f t="shared" si="33"/>
        <v>2769482.36767276</v>
      </c>
      <c r="CN14" s="208">
        <f t="shared" si="33"/>
        <v>2769482.36767276</v>
      </c>
      <c r="CO14" s="208">
        <f t="shared" si="33"/>
        <v>2769482.36767276</v>
      </c>
      <c r="CP14" s="208">
        <f t="shared" si="33"/>
        <v>2769482.36767276</v>
      </c>
      <c r="CQ14" s="208">
        <f t="shared" si="33"/>
        <v>2769482.36767276</v>
      </c>
      <c r="CR14" s="208">
        <f t="shared" si="33"/>
        <v>2769482.36767276</v>
      </c>
      <c r="CS14" s="208">
        <f t="shared" si="33"/>
        <v>2769482.36767276</v>
      </c>
      <c r="CT14" s="208">
        <f t="shared" si="33"/>
        <v>2769482.36767276</v>
      </c>
      <c r="CU14" s="208">
        <f t="shared" si="33"/>
        <v>2769482.36767276</v>
      </c>
      <c r="CV14" s="208">
        <f t="shared" si="33"/>
        <v>2769482.36767276</v>
      </c>
      <c r="CW14" s="208">
        <f t="shared" si="33"/>
        <v>2769482.36767276</v>
      </c>
      <c r="CX14" s="208">
        <f t="shared" si="33"/>
        <v>2769482.36767276</v>
      </c>
      <c r="CY14" s="208">
        <f t="shared" si="33"/>
        <v>2769482.36767276</v>
      </c>
      <c r="CZ14" s="208">
        <f t="shared" si="33"/>
        <v>2769482.36767276</v>
      </c>
      <c r="DA14" s="208">
        <f t="shared" si="33"/>
        <v>2769482.36767276</v>
      </c>
      <c r="DB14" s="208">
        <f t="shared" si="33"/>
        <v>2769482.36767276</v>
      </c>
      <c r="DC14" s="208">
        <f t="shared" si="33"/>
        <v>2769482.36767276</v>
      </c>
      <c r="DD14" s="208">
        <f t="shared" si="33"/>
        <v>2769482.36767276</v>
      </c>
      <c r="DE14" s="208">
        <f t="shared" si="33"/>
        <v>2769482.36767276</v>
      </c>
      <c r="DF14" s="208">
        <f t="shared" si="33"/>
        <v>2769482.36767276</v>
      </c>
      <c r="DG14" s="208">
        <f t="shared" si="33"/>
        <v>2769482.36767276</v>
      </c>
      <c r="DH14" s="208">
        <f t="shared" si="33"/>
        <v>2769482.36767276</v>
      </c>
      <c r="DI14" s="208">
        <f t="shared" si="33"/>
        <v>2769482.36767276</v>
      </c>
      <c r="DJ14" s="208">
        <f t="shared" si="33"/>
        <v>2769482.36767276</v>
      </c>
      <c r="DK14" s="208">
        <f t="shared" si="33"/>
        <v>2769482.36767276</v>
      </c>
      <c r="DL14" s="208">
        <f t="shared" si="33"/>
        <v>2769482.36767276</v>
      </c>
      <c r="DM14" s="208">
        <f t="shared" si="33"/>
        <v>2769482.36767276</v>
      </c>
      <c r="DN14" s="208">
        <f t="shared" si="33"/>
        <v>2769482.36767276</v>
      </c>
      <c r="DO14" s="208">
        <f t="shared" si="33"/>
        <v>2769482.36767276</v>
      </c>
      <c r="DP14" s="208">
        <f t="shared" si="33"/>
        <v>2769482.36767276</v>
      </c>
      <c r="DQ14" s="208">
        <f t="shared" si="33"/>
        <v>2769482.36767276</v>
      </c>
      <c r="DR14" s="208">
        <f t="shared" si="33"/>
        <v>2769482.36767276</v>
      </c>
      <c r="DS14" s="208">
        <f t="shared" si="33"/>
        <v>2769482.36767276</v>
      </c>
      <c r="DT14" s="208">
        <f t="shared" si="33"/>
        <v>2769482.36767276</v>
      </c>
      <c r="DU14" s="208">
        <f t="shared" si="33"/>
        <v>2769482.36767276</v>
      </c>
      <c r="DV14" s="208">
        <f t="shared" si="33"/>
        <v>2769482.36767276</v>
      </c>
      <c r="DW14" s="208">
        <f t="shared" si="33"/>
        <v>2769482.36767276</v>
      </c>
      <c r="DX14" s="208">
        <f t="shared" si="33"/>
        <v>2769482.36767276</v>
      </c>
      <c r="DY14" s="208">
        <f t="shared" si="33"/>
        <v>2769482.36767276</v>
      </c>
      <c r="DZ14" s="208">
        <f t="shared" si="33"/>
        <v>2769482.36767276</v>
      </c>
      <c r="EA14" s="208">
        <f t="shared" si="33"/>
        <v>2769482.36767276</v>
      </c>
      <c r="EB14" s="208">
        <f t="shared" si="33"/>
        <v>2769482.36767276</v>
      </c>
      <c r="EC14" s="208">
        <f t="shared" si="33"/>
        <v>2769482.36767276</v>
      </c>
      <c r="ED14" s="208">
        <f t="shared" si="33"/>
        <v>2769482.36767276</v>
      </c>
      <c r="EE14" s="208">
        <f t="shared" si="33"/>
        <v>2769482.36767276</v>
      </c>
      <c r="EF14" s="208">
        <f t="shared" si="33"/>
        <v>2769482.36767276</v>
      </c>
      <c r="EG14" s="208">
        <f t="shared" ref="EG14:GR14" si="34">EG10-EG12</f>
        <v>2769482.36767276</v>
      </c>
      <c r="EH14" s="208">
        <f t="shared" si="34"/>
        <v>2769482.36767276</v>
      </c>
      <c r="EI14" s="208">
        <f t="shared" si="34"/>
        <v>2769482.36767276</v>
      </c>
      <c r="EJ14" s="208">
        <f t="shared" si="34"/>
        <v>2769482.36767276</v>
      </c>
      <c r="EK14" s="208">
        <f t="shared" si="34"/>
        <v>2769482.36767276</v>
      </c>
      <c r="EL14" s="208">
        <f t="shared" si="34"/>
        <v>2769482.36767276</v>
      </c>
      <c r="EM14" s="208">
        <f t="shared" si="34"/>
        <v>2769482.36767276</v>
      </c>
      <c r="EN14" s="208">
        <f t="shared" si="34"/>
        <v>2769482.36767276</v>
      </c>
      <c r="EO14" s="208">
        <f t="shared" si="34"/>
        <v>2769482.36767276</v>
      </c>
      <c r="EP14" s="208">
        <f t="shared" si="34"/>
        <v>2769482.36767276</v>
      </c>
      <c r="EQ14" s="208">
        <f t="shared" si="34"/>
        <v>2769482.36767276</v>
      </c>
      <c r="ER14" s="208">
        <f t="shared" si="34"/>
        <v>2769482.36767276</v>
      </c>
      <c r="ES14" s="208">
        <f t="shared" si="34"/>
        <v>2769482.36767276</v>
      </c>
      <c r="ET14" s="208">
        <f t="shared" si="34"/>
        <v>2769482.36767276</v>
      </c>
      <c r="EU14" s="208">
        <f t="shared" si="34"/>
        <v>2769482.36767276</v>
      </c>
      <c r="EV14" s="208">
        <f t="shared" si="34"/>
        <v>2769482.36767276</v>
      </c>
      <c r="EW14" s="208">
        <f t="shared" si="34"/>
        <v>2769482.36767276</v>
      </c>
      <c r="EX14" s="208">
        <f t="shared" si="34"/>
        <v>2769482.36767276</v>
      </c>
      <c r="EY14" s="208">
        <f t="shared" si="34"/>
        <v>2769482.36767276</v>
      </c>
      <c r="EZ14" s="208">
        <f t="shared" si="34"/>
        <v>2769482.36767276</v>
      </c>
      <c r="FA14" s="208">
        <f t="shared" si="34"/>
        <v>2769482.36767276</v>
      </c>
      <c r="FB14" s="208">
        <f t="shared" si="34"/>
        <v>2769482.36767276</v>
      </c>
      <c r="FC14" s="208">
        <f t="shared" si="34"/>
        <v>2769482.36767276</v>
      </c>
      <c r="FD14" s="208">
        <f t="shared" si="34"/>
        <v>2769482.36767276</v>
      </c>
      <c r="FE14" s="208">
        <f t="shared" si="34"/>
        <v>2769482.36767276</v>
      </c>
      <c r="FF14" s="208">
        <f t="shared" si="34"/>
        <v>2769482.36767276</v>
      </c>
      <c r="FG14" s="208">
        <f t="shared" si="34"/>
        <v>2769482.36767276</v>
      </c>
      <c r="FH14" s="208">
        <f t="shared" si="34"/>
        <v>2769482.36767276</v>
      </c>
      <c r="FI14" s="208">
        <f t="shared" si="34"/>
        <v>2769482.36767276</v>
      </c>
      <c r="FJ14" s="208">
        <f t="shared" si="34"/>
        <v>2769482.36767276</v>
      </c>
      <c r="FK14" s="208">
        <f t="shared" si="34"/>
        <v>2769482.36767276</v>
      </c>
      <c r="FL14" s="208">
        <f t="shared" si="34"/>
        <v>2769482.36767276</v>
      </c>
      <c r="FM14" s="208">
        <f t="shared" si="34"/>
        <v>2769482.36767276</v>
      </c>
      <c r="FN14" s="208">
        <f t="shared" si="34"/>
        <v>2769482.36767276</v>
      </c>
      <c r="FO14" s="208">
        <f t="shared" si="34"/>
        <v>2769482.36767276</v>
      </c>
      <c r="FP14" s="208">
        <f t="shared" si="34"/>
        <v>2769482.36767276</v>
      </c>
      <c r="FQ14" s="208">
        <f t="shared" si="34"/>
        <v>2769482.36767276</v>
      </c>
      <c r="FR14" s="208">
        <f t="shared" si="34"/>
        <v>2769482.36767276</v>
      </c>
      <c r="FS14" s="208">
        <f t="shared" si="34"/>
        <v>2769482.36767276</v>
      </c>
      <c r="FT14" s="208">
        <f t="shared" si="34"/>
        <v>2769482.36767276</v>
      </c>
      <c r="FU14" s="208">
        <f t="shared" si="34"/>
        <v>2769482.36767276</v>
      </c>
      <c r="FV14" s="208">
        <f t="shared" si="34"/>
        <v>2769482.36767276</v>
      </c>
      <c r="FW14" s="208">
        <f t="shared" si="34"/>
        <v>2769482.36767276</v>
      </c>
      <c r="FX14" s="208">
        <f t="shared" si="34"/>
        <v>2769482.36767276</v>
      </c>
      <c r="FY14" s="208">
        <f t="shared" si="34"/>
        <v>2769482.36767276</v>
      </c>
      <c r="FZ14" s="208">
        <f t="shared" si="34"/>
        <v>2769482.36767276</v>
      </c>
      <c r="GA14" s="208">
        <f t="shared" si="34"/>
        <v>2769482.36767276</v>
      </c>
      <c r="GB14" s="208">
        <f t="shared" si="34"/>
        <v>2769482.36767276</v>
      </c>
      <c r="GC14" s="208">
        <f t="shared" si="34"/>
        <v>2769482.36767276</v>
      </c>
      <c r="GD14" s="208">
        <f t="shared" si="34"/>
        <v>2769482.36767276</v>
      </c>
      <c r="GE14" s="208">
        <f t="shared" si="34"/>
        <v>2769482.36767276</v>
      </c>
      <c r="GF14" s="208">
        <f t="shared" si="34"/>
        <v>2769482.36767276</v>
      </c>
      <c r="GG14" s="208">
        <f t="shared" si="34"/>
        <v>2769482.36767276</v>
      </c>
      <c r="GH14" s="208">
        <f t="shared" si="34"/>
        <v>2769482.36767276</v>
      </c>
      <c r="GI14" s="208">
        <f t="shared" si="34"/>
        <v>2769482.36767276</v>
      </c>
      <c r="GJ14" s="208">
        <f t="shared" si="34"/>
        <v>2769482.36767276</v>
      </c>
      <c r="GK14" s="208">
        <f t="shared" si="34"/>
        <v>2769482.36767276</v>
      </c>
      <c r="GL14" s="208">
        <f t="shared" si="34"/>
        <v>2769482.36767276</v>
      </c>
      <c r="GM14" s="208">
        <f t="shared" si="34"/>
        <v>2769482.36767276</v>
      </c>
      <c r="GN14" s="208">
        <f t="shared" si="34"/>
        <v>2769482.36767276</v>
      </c>
      <c r="GO14" s="208">
        <f t="shared" si="34"/>
        <v>2769482.36767276</v>
      </c>
      <c r="GP14" s="208">
        <f t="shared" si="34"/>
        <v>2769482.36767276</v>
      </c>
      <c r="GQ14" s="208">
        <f t="shared" si="34"/>
        <v>2769482.36767276</v>
      </c>
      <c r="GR14" s="208">
        <f t="shared" si="34"/>
        <v>2769482.36767276</v>
      </c>
      <c r="GS14" s="208">
        <f t="shared" ref="GS14:JD14" si="35">GS10-GS12</f>
        <v>2769482.36767276</v>
      </c>
      <c r="GT14" s="208">
        <f t="shared" si="35"/>
        <v>2769482.36767276</v>
      </c>
      <c r="GU14" s="208">
        <f t="shared" si="35"/>
        <v>2769482.36767276</v>
      </c>
      <c r="GV14" s="208">
        <f t="shared" si="35"/>
        <v>2769482.36767276</v>
      </c>
      <c r="GW14" s="208">
        <f t="shared" si="35"/>
        <v>2769482.36767276</v>
      </c>
      <c r="GX14" s="208">
        <f t="shared" si="35"/>
        <v>2769482.36767276</v>
      </c>
      <c r="GY14" s="208">
        <f t="shared" si="35"/>
        <v>2769482.36767276</v>
      </c>
      <c r="GZ14" s="208">
        <f t="shared" si="35"/>
        <v>2769482.36767276</v>
      </c>
      <c r="HA14" s="208">
        <f t="shared" si="35"/>
        <v>2769482.36767276</v>
      </c>
      <c r="HB14" s="208">
        <f t="shared" si="35"/>
        <v>2769482.36767276</v>
      </c>
      <c r="HC14" s="208">
        <f t="shared" si="35"/>
        <v>2769482.36767276</v>
      </c>
      <c r="HD14" s="208">
        <f t="shared" si="35"/>
        <v>2769482.36767276</v>
      </c>
      <c r="HE14" s="208">
        <f t="shared" si="35"/>
        <v>2769482.36767276</v>
      </c>
      <c r="HF14" s="208">
        <f t="shared" si="35"/>
        <v>2769482.36767276</v>
      </c>
      <c r="HG14" s="208">
        <f t="shared" si="35"/>
        <v>2769482.36767276</v>
      </c>
      <c r="HH14" s="208">
        <f t="shared" si="35"/>
        <v>2769482.36767276</v>
      </c>
      <c r="HI14" s="208">
        <f t="shared" si="35"/>
        <v>2769482.36767276</v>
      </c>
      <c r="HJ14" s="208">
        <f t="shared" si="35"/>
        <v>2769482.36767276</v>
      </c>
      <c r="HK14" s="208">
        <f t="shared" si="35"/>
        <v>2769482.36767276</v>
      </c>
      <c r="HL14" s="208">
        <f t="shared" si="35"/>
        <v>2769482.36767276</v>
      </c>
      <c r="HM14" s="208">
        <f t="shared" si="35"/>
        <v>2769482.36767276</v>
      </c>
      <c r="HN14" s="208">
        <f t="shared" si="35"/>
        <v>2769482.36767276</v>
      </c>
      <c r="HO14" s="208">
        <f t="shared" si="35"/>
        <v>2769482.36767276</v>
      </c>
      <c r="HP14" s="208">
        <f t="shared" si="35"/>
        <v>2769482.36767276</v>
      </c>
      <c r="HQ14" s="208">
        <f t="shared" si="35"/>
        <v>2769482.36767276</v>
      </c>
      <c r="HR14" s="208">
        <f t="shared" si="35"/>
        <v>2769482.36767276</v>
      </c>
      <c r="HS14" s="208">
        <f t="shared" si="35"/>
        <v>2769482.36767276</v>
      </c>
      <c r="HT14" s="208">
        <f t="shared" si="35"/>
        <v>2769482.36767276</v>
      </c>
      <c r="HU14" s="208">
        <f t="shared" si="35"/>
        <v>2769482.36767276</v>
      </c>
      <c r="HV14" s="208">
        <f t="shared" si="35"/>
        <v>2769482.36767276</v>
      </c>
      <c r="HW14" s="208">
        <f t="shared" si="35"/>
        <v>2769482.36767276</v>
      </c>
      <c r="HX14" s="208">
        <f t="shared" si="35"/>
        <v>2769482.36767276</v>
      </c>
      <c r="HY14" s="208">
        <f t="shared" si="35"/>
        <v>2769482.36767276</v>
      </c>
      <c r="HZ14" s="208">
        <f t="shared" si="35"/>
        <v>2769482.36767276</v>
      </c>
      <c r="IA14" s="208">
        <f t="shared" si="35"/>
        <v>2769482.36767276</v>
      </c>
      <c r="IB14" s="208">
        <f t="shared" si="35"/>
        <v>2769482.36767276</v>
      </c>
      <c r="IC14" s="208">
        <f t="shared" si="35"/>
        <v>2769482.36767276</v>
      </c>
      <c r="ID14" s="208">
        <f t="shared" si="35"/>
        <v>2769482.36767276</v>
      </c>
      <c r="IE14" s="208">
        <f t="shared" si="35"/>
        <v>2769482.36767276</v>
      </c>
      <c r="IF14" s="208">
        <f t="shared" si="35"/>
        <v>2769482.36767276</v>
      </c>
      <c r="IG14" s="208">
        <f t="shared" si="35"/>
        <v>2769482.36767276</v>
      </c>
      <c r="IH14" s="208">
        <f t="shared" si="35"/>
        <v>2769482.36767276</v>
      </c>
      <c r="II14" s="208">
        <f t="shared" si="35"/>
        <v>2769482.36767276</v>
      </c>
      <c r="IJ14" s="208">
        <f t="shared" si="35"/>
        <v>2769482.36767276</v>
      </c>
      <c r="IK14" s="208">
        <f t="shared" si="35"/>
        <v>2769482.36767276</v>
      </c>
      <c r="IL14" s="208">
        <f t="shared" si="35"/>
        <v>2769482.36767276</v>
      </c>
      <c r="IM14" s="208">
        <f t="shared" si="35"/>
        <v>2769482.36767276</v>
      </c>
      <c r="IN14" s="208">
        <f t="shared" si="35"/>
        <v>2769482.36767276</v>
      </c>
      <c r="IO14" s="208">
        <f t="shared" si="35"/>
        <v>2769482.36767276</v>
      </c>
      <c r="IP14" s="208">
        <f t="shared" si="35"/>
        <v>2769482.36767276</v>
      </c>
      <c r="IQ14" s="208">
        <f t="shared" si="35"/>
        <v>2769482.36767276</v>
      </c>
      <c r="IR14" s="208">
        <f t="shared" si="35"/>
        <v>2769482.36767276</v>
      </c>
      <c r="IS14" s="208">
        <f t="shared" si="35"/>
        <v>2769482.36767276</v>
      </c>
      <c r="IT14" s="208">
        <f t="shared" si="35"/>
        <v>2769482.36767276</v>
      </c>
      <c r="IU14" s="208">
        <f t="shared" si="35"/>
        <v>2769482.36767276</v>
      </c>
      <c r="IV14" s="208">
        <f t="shared" si="35"/>
        <v>2769482.36767276</v>
      </c>
      <c r="IW14" s="208">
        <f t="shared" si="35"/>
        <v>2769482.36767276</v>
      </c>
      <c r="IX14" s="208">
        <f t="shared" si="35"/>
        <v>2769482.36767276</v>
      </c>
      <c r="IY14" s="208">
        <f t="shared" si="35"/>
        <v>2769482.36767276</v>
      </c>
      <c r="IZ14" s="208">
        <f t="shared" si="35"/>
        <v>2769482.36767276</v>
      </c>
      <c r="JA14" s="208">
        <f t="shared" si="35"/>
        <v>2769482.36767276</v>
      </c>
      <c r="JB14" s="208">
        <f t="shared" si="35"/>
        <v>2769482.36767276</v>
      </c>
      <c r="JC14" s="208">
        <f t="shared" si="35"/>
        <v>2769482.36767276</v>
      </c>
      <c r="JD14" s="208">
        <f t="shared" si="35"/>
        <v>2769482.36767276</v>
      </c>
      <c r="JE14" s="208">
        <f t="shared" ref="JE14:LD14" si="36">JE10-JE12</f>
        <v>2769482.36767276</v>
      </c>
      <c r="JF14" s="208">
        <f t="shared" si="36"/>
        <v>2769482.36767276</v>
      </c>
      <c r="JG14" s="208">
        <f t="shared" si="36"/>
        <v>2769482.36767276</v>
      </c>
      <c r="JH14" s="208">
        <f t="shared" si="36"/>
        <v>2769482.36767276</v>
      </c>
      <c r="JI14" s="208">
        <f t="shared" si="36"/>
        <v>2769482.36767276</v>
      </c>
      <c r="JJ14" s="208">
        <f t="shared" si="36"/>
        <v>2769482.36767276</v>
      </c>
      <c r="JK14" s="208">
        <f t="shared" si="36"/>
        <v>2769482.36767276</v>
      </c>
      <c r="JL14" s="208">
        <f t="shared" si="36"/>
        <v>2769482.36767276</v>
      </c>
      <c r="JM14" s="208">
        <f t="shared" si="36"/>
        <v>2769482.36767276</v>
      </c>
      <c r="JN14" s="208">
        <f t="shared" si="36"/>
        <v>2769482.36767276</v>
      </c>
      <c r="JO14" s="208">
        <f t="shared" si="36"/>
        <v>2769482.36767276</v>
      </c>
      <c r="JP14" s="208">
        <f t="shared" si="36"/>
        <v>2769482.36767276</v>
      </c>
      <c r="JQ14" s="208">
        <f t="shared" si="36"/>
        <v>2769482.36767276</v>
      </c>
      <c r="JR14" s="208">
        <f t="shared" si="36"/>
        <v>2769482.36767276</v>
      </c>
      <c r="JS14" s="208">
        <f t="shared" si="36"/>
        <v>2769482.36767276</v>
      </c>
      <c r="JT14" s="208">
        <f t="shared" si="36"/>
        <v>2769482.36767276</v>
      </c>
      <c r="JU14" s="208">
        <f t="shared" si="36"/>
        <v>2769482.36767276</v>
      </c>
      <c r="JV14" s="208">
        <f t="shared" si="36"/>
        <v>2769482.36767276</v>
      </c>
      <c r="JW14" s="208">
        <f t="shared" si="36"/>
        <v>2769482.36767276</v>
      </c>
      <c r="JX14" s="208">
        <f t="shared" si="36"/>
        <v>2769482.36767276</v>
      </c>
      <c r="JY14" s="208">
        <f t="shared" si="36"/>
        <v>2769482.36767276</v>
      </c>
      <c r="JZ14" s="208">
        <f t="shared" si="36"/>
        <v>2769482.36767276</v>
      </c>
      <c r="KA14" s="208">
        <f t="shared" si="36"/>
        <v>2769482.36767276</v>
      </c>
      <c r="KB14" s="208">
        <f t="shared" si="36"/>
        <v>2769482.36767276</v>
      </c>
      <c r="KC14" s="208">
        <f t="shared" si="36"/>
        <v>2769482.36767276</v>
      </c>
      <c r="KD14" s="208">
        <f t="shared" si="36"/>
        <v>2769482.36767276</v>
      </c>
      <c r="KE14" s="208">
        <f t="shared" si="36"/>
        <v>2769482.36767276</v>
      </c>
      <c r="KF14" s="208">
        <f t="shared" si="36"/>
        <v>2769482.36767276</v>
      </c>
      <c r="KG14" s="208">
        <f t="shared" si="36"/>
        <v>2769482.36767276</v>
      </c>
      <c r="KH14" s="208">
        <f t="shared" si="36"/>
        <v>2769482.36767276</v>
      </c>
      <c r="KI14" s="208">
        <f t="shared" si="36"/>
        <v>2769482.36767276</v>
      </c>
      <c r="KJ14" s="208">
        <f t="shared" si="36"/>
        <v>2769482.36767276</v>
      </c>
      <c r="KK14" s="208">
        <f t="shared" si="36"/>
        <v>2769482.36767276</v>
      </c>
      <c r="KL14" s="208">
        <f t="shared" si="36"/>
        <v>2769482.36767276</v>
      </c>
      <c r="KM14" s="208">
        <f t="shared" si="36"/>
        <v>2769482.36767276</v>
      </c>
      <c r="KN14" s="208">
        <f t="shared" si="36"/>
        <v>2769482.36767276</v>
      </c>
      <c r="KO14" s="208">
        <f t="shared" si="36"/>
        <v>2769482.36767276</v>
      </c>
      <c r="KP14" s="208">
        <f t="shared" si="36"/>
        <v>2769482.36767276</v>
      </c>
      <c r="KQ14" s="208">
        <f t="shared" si="36"/>
        <v>2769482.36767276</v>
      </c>
      <c r="KR14" s="208">
        <f t="shared" si="36"/>
        <v>2769482.36767276</v>
      </c>
      <c r="KS14" s="208">
        <f t="shared" si="36"/>
        <v>2769482.36767276</v>
      </c>
      <c r="KT14" s="208">
        <f t="shared" si="36"/>
        <v>2769482.36767276</v>
      </c>
      <c r="KU14" s="208">
        <f t="shared" si="36"/>
        <v>2769482.36767276</v>
      </c>
      <c r="KV14" s="208">
        <f t="shared" si="36"/>
        <v>2769482.36767276</v>
      </c>
      <c r="KW14" s="208">
        <f t="shared" si="36"/>
        <v>2769482.36767276</v>
      </c>
      <c r="KX14" s="208">
        <f t="shared" si="36"/>
        <v>2769482.36767276</v>
      </c>
      <c r="KY14" s="208">
        <f t="shared" si="36"/>
        <v>2769482.36767276</v>
      </c>
      <c r="KZ14" s="208">
        <f t="shared" si="36"/>
        <v>2769482.36767276</v>
      </c>
      <c r="LA14" s="208">
        <f t="shared" si="36"/>
        <v>2769482.36767276</v>
      </c>
      <c r="LB14" s="208">
        <f t="shared" si="36"/>
        <v>2769482.36767276</v>
      </c>
      <c r="LC14" s="208">
        <f t="shared" si="36"/>
        <v>2769482.36767276</v>
      </c>
      <c r="LD14" s="208">
        <f t="shared" si="36"/>
        <v>2769482.36767276</v>
      </c>
    </row>
    <row r="15" spans="1:794" s="192" customFormat="1"/>
    <row r="16" spans="1:794" s="192" customFormat="1">
      <c r="C16" s="194" t="s">
        <v>350</v>
      </c>
      <c r="D16" s="194" t="s">
        <v>350</v>
      </c>
    </row>
    <row r="17" spans="1:316">
      <c r="A17" s="829"/>
      <c r="B17" s="196" t="s">
        <v>549</v>
      </c>
      <c r="C17" s="374">
        <f>C3-D17</f>
        <v>8.3446726202964783E-3</v>
      </c>
      <c r="D17" s="197">
        <f>SUM(F17:LD17)</f>
        <v>10428344.337834528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358473.28626188077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982036.64180504798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29"/>
      <c r="B18" s="196" t="s">
        <v>550</v>
      </c>
      <c r="C18" s="374">
        <f>D17-D18</f>
        <v>0</v>
      </c>
      <c r="D18" s="197">
        <f>MAX(F18:LD18)</f>
        <v>10428344.337834528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9446307.6960294805</v>
      </c>
      <c r="BL18" s="215">
        <f t="shared" si="37"/>
        <v>9446307.6960294805</v>
      </c>
      <c r="BM18" s="215">
        <f t="shared" si="37"/>
        <v>9446307.6960294805</v>
      </c>
      <c r="BN18" s="215">
        <f t="shared" si="37"/>
        <v>9446307.6960294805</v>
      </c>
      <c r="BO18" s="215">
        <f t="shared" si="37"/>
        <v>9446307.6960294805</v>
      </c>
      <c r="BP18" s="215">
        <f t="shared" si="37"/>
        <v>10428344.337834528</v>
      </c>
      <c r="BQ18" s="215">
        <f t="shared" si="37"/>
        <v>10428344.337834528</v>
      </c>
      <c r="BR18" s="215">
        <f t="shared" si="37"/>
        <v>10428344.337834528</v>
      </c>
      <c r="BS18" s="215">
        <f t="shared" si="37"/>
        <v>10428344.337834528</v>
      </c>
      <c r="BT18" s="215">
        <f t="shared" si="37"/>
        <v>10428344.337834528</v>
      </c>
      <c r="BU18" s="215">
        <f t="shared" ref="BU18:EF18" si="38">BT18+BU17</f>
        <v>10428344.337834528</v>
      </c>
      <c r="BV18" s="215">
        <f t="shared" si="38"/>
        <v>10428344.337834528</v>
      </c>
      <c r="BW18" s="215">
        <f t="shared" si="38"/>
        <v>10428344.337834528</v>
      </c>
      <c r="BX18" s="215">
        <f t="shared" si="38"/>
        <v>10428344.337834528</v>
      </c>
      <c r="BY18" s="215">
        <f t="shared" si="38"/>
        <v>10428344.337834528</v>
      </c>
      <c r="BZ18" s="215">
        <f t="shared" si="38"/>
        <v>10428344.337834528</v>
      </c>
      <c r="CA18" s="215">
        <f t="shared" si="38"/>
        <v>10428344.337834528</v>
      </c>
      <c r="CB18" s="215">
        <f t="shared" si="38"/>
        <v>10428344.337834528</v>
      </c>
      <c r="CC18" s="215">
        <f t="shared" si="38"/>
        <v>10428344.337834528</v>
      </c>
      <c r="CD18" s="215">
        <f t="shared" si="38"/>
        <v>10428344.337834528</v>
      </c>
      <c r="CE18" s="215">
        <f t="shared" si="38"/>
        <v>10428344.337834528</v>
      </c>
      <c r="CF18" s="215">
        <f t="shared" si="38"/>
        <v>10428344.337834528</v>
      </c>
      <c r="CG18" s="215">
        <f t="shared" si="38"/>
        <v>10428344.337834528</v>
      </c>
      <c r="CH18" s="215">
        <f t="shared" si="38"/>
        <v>10428344.337834528</v>
      </c>
      <c r="CI18" s="215">
        <f t="shared" si="38"/>
        <v>10428344.337834528</v>
      </c>
      <c r="CJ18" s="215">
        <f t="shared" si="38"/>
        <v>10428344.337834528</v>
      </c>
      <c r="CK18" s="215">
        <f t="shared" si="38"/>
        <v>10428344.337834528</v>
      </c>
      <c r="CL18" s="215">
        <f t="shared" si="38"/>
        <v>10428344.337834528</v>
      </c>
      <c r="CM18" s="215">
        <f t="shared" si="38"/>
        <v>10428344.337834528</v>
      </c>
      <c r="CN18" s="215">
        <f t="shared" si="38"/>
        <v>10428344.337834528</v>
      </c>
      <c r="CO18" s="215">
        <f t="shared" si="38"/>
        <v>10428344.337834528</v>
      </c>
      <c r="CP18" s="215">
        <f t="shared" si="38"/>
        <v>10428344.337834528</v>
      </c>
      <c r="CQ18" s="215">
        <f t="shared" si="38"/>
        <v>10428344.337834528</v>
      </c>
      <c r="CR18" s="215">
        <f t="shared" si="38"/>
        <v>10428344.337834528</v>
      </c>
      <c r="CS18" s="215">
        <f t="shared" si="38"/>
        <v>10428344.337834528</v>
      </c>
      <c r="CT18" s="215">
        <f t="shared" si="38"/>
        <v>10428344.337834528</v>
      </c>
      <c r="CU18" s="215">
        <f t="shared" si="38"/>
        <v>10428344.337834528</v>
      </c>
      <c r="CV18" s="215">
        <f t="shared" si="38"/>
        <v>10428344.337834528</v>
      </c>
      <c r="CW18" s="215">
        <f t="shared" si="38"/>
        <v>10428344.337834528</v>
      </c>
      <c r="CX18" s="215">
        <f t="shared" si="38"/>
        <v>10428344.337834528</v>
      </c>
      <c r="CY18" s="215">
        <f t="shared" si="38"/>
        <v>10428344.337834528</v>
      </c>
      <c r="CZ18" s="215">
        <f t="shared" si="38"/>
        <v>10428344.337834528</v>
      </c>
      <c r="DA18" s="215">
        <f t="shared" si="38"/>
        <v>10428344.337834528</v>
      </c>
      <c r="DB18" s="215">
        <f t="shared" si="38"/>
        <v>10428344.337834528</v>
      </c>
      <c r="DC18" s="215">
        <f t="shared" si="38"/>
        <v>10428344.337834528</v>
      </c>
      <c r="DD18" s="215">
        <f t="shared" si="38"/>
        <v>10428344.337834528</v>
      </c>
      <c r="DE18" s="215">
        <f t="shared" si="38"/>
        <v>10428344.337834528</v>
      </c>
      <c r="DF18" s="215">
        <f t="shared" si="38"/>
        <v>10428344.337834528</v>
      </c>
      <c r="DG18" s="215">
        <f t="shared" si="38"/>
        <v>10428344.337834528</v>
      </c>
      <c r="DH18" s="215">
        <f t="shared" si="38"/>
        <v>10428344.337834528</v>
      </c>
      <c r="DI18" s="215">
        <f t="shared" si="38"/>
        <v>10428344.337834528</v>
      </c>
      <c r="DJ18" s="215">
        <f t="shared" si="38"/>
        <v>10428344.337834528</v>
      </c>
      <c r="DK18" s="215">
        <f t="shared" si="38"/>
        <v>10428344.337834528</v>
      </c>
      <c r="DL18" s="215">
        <f t="shared" si="38"/>
        <v>10428344.337834528</v>
      </c>
      <c r="DM18" s="215">
        <f t="shared" si="38"/>
        <v>10428344.337834528</v>
      </c>
      <c r="DN18" s="215">
        <f t="shared" si="38"/>
        <v>10428344.337834528</v>
      </c>
      <c r="DO18" s="215">
        <f t="shared" si="38"/>
        <v>10428344.337834528</v>
      </c>
      <c r="DP18" s="215">
        <f t="shared" si="38"/>
        <v>10428344.337834528</v>
      </c>
      <c r="DQ18" s="215">
        <f t="shared" si="38"/>
        <v>10428344.337834528</v>
      </c>
      <c r="DR18" s="215">
        <f t="shared" si="38"/>
        <v>10428344.337834528</v>
      </c>
      <c r="DS18" s="215">
        <f t="shared" si="38"/>
        <v>10428344.337834528</v>
      </c>
      <c r="DT18" s="215">
        <f t="shared" si="38"/>
        <v>10428344.337834528</v>
      </c>
      <c r="DU18" s="215">
        <f t="shared" si="38"/>
        <v>10428344.337834528</v>
      </c>
      <c r="DV18" s="215">
        <f t="shared" si="38"/>
        <v>10428344.337834528</v>
      </c>
      <c r="DW18" s="215">
        <f t="shared" si="38"/>
        <v>10428344.337834528</v>
      </c>
      <c r="DX18" s="215">
        <f t="shared" si="38"/>
        <v>10428344.337834528</v>
      </c>
      <c r="DY18" s="215">
        <f t="shared" si="38"/>
        <v>10428344.337834528</v>
      </c>
      <c r="DZ18" s="215">
        <f t="shared" si="38"/>
        <v>10428344.337834528</v>
      </c>
      <c r="EA18" s="215">
        <f t="shared" si="38"/>
        <v>10428344.337834528</v>
      </c>
      <c r="EB18" s="215">
        <f t="shared" si="38"/>
        <v>10428344.337834528</v>
      </c>
      <c r="EC18" s="215">
        <f t="shared" si="38"/>
        <v>10428344.337834528</v>
      </c>
      <c r="ED18" s="215">
        <f t="shared" si="38"/>
        <v>10428344.337834528</v>
      </c>
      <c r="EE18" s="215">
        <f t="shared" si="38"/>
        <v>10428344.337834528</v>
      </c>
      <c r="EF18" s="215">
        <f t="shared" si="38"/>
        <v>10428344.337834528</v>
      </c>
      <c r="EG18" s="215">
        <f t="shared" ref="EG18:GR18" si="39">EF18+EG17</f>
        <v>10428344.337834528</v>
      </c>
      <c r="EH18" s="215">
        <f t="shared" si="39"/>
        <v>10428344.337834528</v>
      </c>
      <c r="EI18" s="215">
        <f t="shared" si="39"/>
        <v>10428344.337834528</v>
      </c>
      <c r="EJ18" s="215">
        <f t="shared" si="39"/>
        <v>10428344.337834528</v>
      </c>
      <c r="EK18" s="215">
        <f t="shared" si="39"/>
        <v>10428344.337834528</v>
      </c>
      <c r="EL18" s="215">
        <f t="shared" si="39"/>
        <v>10428344.337834528</v>
      </c>
      <c r="EM18" s="215">
        <f t="shared" si="39"/>
        <v>10428344.337834528</v>
      </c>
      <c r="EN18" s="215">
        <f t="shared" si="39"/>
        <v>10428344.337834528</v>
      </c>
      <c r="EO18" s="215">
        <f t="shared" si="39"/>
        <v>10428344.337834528</v>
      </c>
      <c r="EP18" s="215">
        <f t="shared" si="39"/>
        <v>10428344.337834528</v>
      </c>
      <c r="EQ18" s="215">
        <f t="shared" si="39"/>
        <v>10428344.337834528</v>
      </c>
      <c r="ER18" s="215">
        <f t="shared" si="39"/>
        <v>10428344.337834528</v>
      </c>
      <c r="ES18" s="215">
        <f t="shared" si="39"/>
        <v>10428344.337834528</v>
      </c>
      <c r="ET18" s="215">
        <f t="shared" si="39"/>
        <v>10428344.337834528</v>
      </c>
      <c r="EU18" s="215">
        <f t="shared" si="39"/>
        <v>10428344.337834528</v>
      </c>
      <c r="EV18" s="215">
        <f t="shared" si="39"/>
        <v>10428344.337834528</v>
      </c>
      <c r="EW18" s="215">
        <f t="shared" si="39"/>
        <v>10428344.337834528</v>
      </c>
      <c r="EX18" s="215">
        <f t="shared" si="39"/>
        <v>10428344.337834528</v>
      </c>
      <c r="EY18" s="215">
        <f t="shared" si="39"/>
        <v>10428344.337834528</v>
      </c>
      <c r="EZ18" s="215">
        <f t="shared" si="39"/>
        <v>10428344.337834528</v>
      </c>
      <c r="FA18" s="215">
        <f t="shared" si="39"/>
        <v>10428344.337834528</v>
      </c>
      <c r="FB18" s="215">
        <f t="shared" si="39"/>
        <v>10428344.337834528</v>
      </c>
      <c r="FC18" s="215">
        <f t="shared" si="39"/>
        <v>10428344.337834528</v>
      </c>
      <c r="FD18" s="215">
        <f t="shared" si="39"/>
        <v>10428344.337834528</v>
      </c>
      <c r="FE18" s="215">
        <f t="shared" si="39"/>
        <v>10428344.337834528</v>
      </c>
      <c r="FF18" s="215">
        <f t="shared" si="39"/>
        <v>10428344.337834528</v>
      </c>
      <c r="FG18" s="215">
        <f t="shared" si="39"/>
        <v>10428344.337834528</v>
      </c>
      <c r="FH18" s="215">
        <f t="shared" si="39"/>
        <v>10428344.337834528</v>
      </c>
      <c r="FI18" s="215">
        <f t="shared" si="39"/>
        <v>10428344.337834528</v>
      </c>
      <c r="FJ18" s="215">
        <f t="shared" si="39"/>
        <v>10428344.337834528</v>
      </c>
      <c r="FK18" s="215">
        <f t="shared" si="39"/>
        <v>10428344.337834528</v>
      </c>
      <c r="FL18" s="215">
        <f t="shared" si="39"/>
        <v>10428344.337834528</v>
      </c>
      <c r="FM18" s="215">
        <f t="shared" si="39"/>
        <v>10428344.337834528</v>
      </c>
      <c r="FN18" s="215">
        <f t="shared" si="39"/>
        <v>10428344.337834528</v>
      </c>
      <c r="FO18" s="215">
        <f t="shared" si="39"/>
        <v>10428344.337834528</v>
      </c>
      <c r="FP18" s="215">
        <f t="shared" si="39"/>
        <v>10428344.337834528</v>
      </c>
      <c r="FQ18" s="215">
        <f t="shared" si="39"/>
        <v>10428344.337834528</v>
      </c>
      <c r="FR18" s="215">
        <f t="shared" si="39"/>
        <v>10428344.337834528</v>
      </c>
      <c r="FS18" s="215">
        <f t="shared" si="39"/>
        <v>10428344.337834528</v>
      </c>
      <c r="FT18" s="215">
        <f t="shared" si="39"/>
        <v>10428344.337834528</v>
      </c>
      <c r="FU18" s="215">
        <f t="shared" si="39"/>
        <v>10428344.337834528</v>
      </c>
      <c r="FV18" s="215">
        <f t="shared" si="39"/>
        <v>10428344.337834528</v>
      </c>
      <c r="FW18" s="215">
        <f t="shared" si="39"/>
        <v>10428344.337834528</v>
      </c>
      <c r="FX18" s="215">
        <f t="shared" si="39"/>
        <v>10428344.337834528</v>
      </c>
      <c r="FY18" s="215">
        <f t="shared" si="39"/>
        <v>10428344.337834528</v>
      </c>
      <c r="FZ18" s="215">
        <f t="shared" si="39"/>
        <v>10428344.337834528</v>
      </c>
      <c r="GA18" s="215">
        <f t="shared" si="39"/>
        <v>10428344.337834528</v>
      </c>
      <c r="GB18" s="215">
        <f t="shared" si="39"/>
        <v>10428344.337834528</v>
      </c>
      <c r="GC18" s="215">
        <f t="shared" si="39"/>
        <v>10428344.337834528</v>
      </c>
      <c r="GD18" s="215">
        <f t="shared" si="39"/>
        <v>10428344.337834528</v>
      </c>
      <c r="GE18" s="215">
        <f t="shared" si="39"/>
        <v>10428344.337834528</v>
      </c>
      <c r="GF18" s="215">
        <f t="shared" si="39"/>
        <v>10428344.337834528</v>
      </c>
      <c r="GG18" s="215">
        <f t="shared" si="39"/>
        <v>10428344.337834528</v>
      </c>
      <c r="GH18" s="215">
        <f t="shared" si="39"/>
        <v>10428344.337834528</v>
      </c>
      <c r="GI18" s="215">
        <f t="shared" si="39"/>
        <v>10428344.337834528</v>
      </c>
      <c r="GJ18" s="215">
        <f t="shared" si="39"/>
        <v>10428344.337834528</v>
      </c>
      <c r="GK18" s="215">
        <f t="shared" si="39"/>
        <v>10428344.337834528</v>
      </c>
      <c r="GL18" s="215">
        <f t="shared" si="39"/>
        <v>10428344.337834528</v>
      </c>
      <c r="GM18" s="215">
        <f t="shared" si="39"/>
        <v>10428344.337834528</v>
      </c>
      <c r="GN18" s="215">
        <f t="shared" si="39"/>
        <v>10428344.337834528</v>
      </c>
      <c r="GO18" s="215">
        <f t="shared" si="39"/>
        <v>10428344.337834528</v>
      </c>
      <c r="GP18" s="215">
        <f t="shared" si="39"/>
        <v>10428344.337834528</v>
      </c>
      <c r="GQ18" s="215">
        <f t="shared" si="39"/>
        <v>10428344.337834528</v>
      </c>
      <c r="GR18" s="215">
        <f t="shared" si="39"/>
        <v>10428344.337834528</v>
      </c>
      <c r="GS18" s="215">
        <f t="shared" ref="GS18:JD18" si="40">GR18+GS17</f>
        <v>10428344.337834528</v>
      </c>
      <c r="GT18" s="215">
        <f t="shared" si="40"/>
        <v>10428344.337834528</v>
      </c>
      <c r="GU18" s="215">
        <f t="shared" si="40"/>
        <v>10428344.337834528</v>
      </c>
      <c r="GV18" s="215">
        <f t="shared" si="40"/>
        <v>10428344.337834528</v>
      </c>
      <c r="GW18" s="215">
        <f t="shared" si="40"/>
        <v>10428344.337834528</v>
      </c>
      <c r="GX18" s="215">
        <f t="shared" si="40"/>
        <v>10428344.337834528</v>
      </c>
      <c r="GY18" s="215">
        <f t="shared" si="40"/>
        <v>10428344.337834528</v>
      </c>
      <c r="GZ18" s="215">
        <f t="shared" si="40"/>
        <v>10428344.337834528</v>
      </c>
      <c r="HA18" s="215">
        <f t="shared" si="40"/>
        <v>10428344.337834528</v>
      </c>
      <c r="HB18" s="215">
        <f t="shared" si="40"/>
        <v>10428344.337834528</v>
      </c>
      <c r="HC18" s="215">
        <f t="shared" si="40"/>
        <v>10428344.337834528</v>
      </c>
      <c r="HD18" s="215">
        <f t="shared" si="40"/>
        <v>10428344.337834528</v>
      </c>
      <c r="HE18" s="215">
        <f t="shared" si="40"/>
        <v>10428344.337834528</v>
      </c>
      <c r="HF18" s="215">
        <f t="shared" si="40"/>
        <v>10428344.337834528</v>
      </c>
      <c r="HG18" s="215">
        <f t="shared" si="40"/>
        <v>10428344.337834528</v>
      </c>
      <c r="HH18" s="215">
        <f t="shared" si="40"/>
        <v>10428344.337834528</v>
      </c>
      <c r="HI18" s="215">
        <f t="shared" si="40"/>
        <v>10428344.337834528</v>
      </c>
      <c r="HJ18" s="215">
        <f t="shared" si="40"/>
        <v>10428344.337834528</v>
      </c>
      <c r="HK18" s="215">
        <f t="shared" si="40"/>
        <v>10428344.337834528</v>
      </c>
      <c r="HL18" s="215">
        <f t="shared" si="40"/>
        <v>10428344.337834528</v>
      </c>
      <c r="HM18" s="215">
        <f t="shared" si="40"/>
        <v>10428344.337834528</v>
      </c>
      <c r="HN18" s="215">
        <f t="shared" si="40"/>
        <v>10428344.337834528</v>
      </c>
      <c r="HO18" s="215">
        <f t="shared" si="40"/>
        <v>10428344.337834528</v>
      </c>
      <c r="HP18" s="215">
        <f t="shared" si="40"/>
        <v>10428344.337834528</v>
      </c>
      <c r="HQ18" s="215">
        <f t="shared" si="40"/>
        <v>10428344.337834528</v>
      </c>
      <c r="HR18" s="215">
        <f t="shared" si="40"/>
        <v>10428344.337834528</v>
      </c>
      <c r="HS18" s="215">
        <f t="shared" si="40"/>
        <v>10428344.337834528</v>
      </c>
      <c r="HT18" s="215">
        <f t="shared" si="40"/>
        <v>10428344.337834528</v>
      </c>
      <c r="HU18" s="215">
        <f t="shared" si="40"/>
        <v>10428344.337834528</v>
      </c>
      <c r="HV18" s="215">
        <f t="shared" si="40"/>
        <v>10428344.337834528</v>
      </c>
      <c r="HW18" s="215">
        <f t="shared" si="40"/>
        <v>10428344.337834528</v>
      </c>
      <c r="HX18" s="215">
        <f t="shared" si="40"/>
        <v>10428344.337834528</v>
      </c>
      <c r="HY18" s="215">
        <f t="shared" si="40"/>
        <v>10428344.337834528</v>
      </c>
      <c r="HZ18" s="215">
        <f t="shared" si="40"/>
        <v>10428344.337834528</v>
      </c>
      <c r="IA18" s="215">
        <f t="shared" si="40"/>
        <v>10428344.337834528</v>
      </c>
      <c r="IB18" s="215">
        <f t="shared" si="40"/>
        <v>10428344.337834528</v>
      </c>
      <c r="IC18" s="215">
        <f t="shared" si="40"/>
        <v>10428344.337834528</v>
      </c>
      <c r="ID18" s="215">
        <f t="shared" si="40"/>
        <v>10428344.337834528</v>
      </c>
      <c r="IE18" s="215">
        <f t="shared" si="40"/>
        <v>10428344.337834528</v>
      </c>
      <c r="IF18" s="215">
        <f t="shared" si="40"/>
        <v>10428344.337834528</v>
      </c>
      <c r="IG18" s="215">
        <f t="shared" si="40"/>
        <v>10428344.337834528</v>
      </c>
      <c r="IH18" s="215">
        <f t="shared" si="40"/>
        <v>10428344.337834528</v>
      </c>
      <c r="II18" s="215">
        <f t="shared" si="40"/>
        <v>10428344.337834528</v>
      </c>
      <c r="IJ18" s="215">
        <f t="shared" si="40"/>
        <v>10428344.337834528</v>
      </c>
      <c r="IK18" s="215">
        <f t="shared" si="40"/>
        <v>10428344.337834528</v>
      </c>
      <c r="IL18" s="215">
        <f t="shared" si="40"/>
        <v>10428344.337834528</v>
      </c>
      <c r="IM18" s="215">
        <f t="shared" si="40"/>
        <v>10428344.337834528</v>
      </c>
      <c r="IN18" s="215">
        <f t="shared" si="40"/>
        <v>10428344.337834528</v>
      </c>
      <c r="IO18" s="215">
        <f t="shared" si="40"/>
        <v>10428344.337834528</v>
      </c>
      <c r="IP18" s="215">
        <f t="shared" si="40"/>
        <v>10428344.337834528</v>
      </c>
      <c r="IQ18" s="215">
        <f t="shared" si="40"/>
        <v>10428344.337834528</v>
      </c>
      <c r="IR18" s="215">
        <f t="shared" si="40"/>
        <v>10428344.337834528</v>
      </c>
      <c r="IS18" s="215">
        <f t="shared" si="40"/>
        <v>10428344.337834528</v>
      </c>
      <c r="IT18" s="215">
        <f t="shared" si="40"/>
        <v>10428344.337834528</v>
      </c>
      <c r="IU18" s="215">
        <f t="shared" si="40"/>
        <v>10428344.337834528</v>
      </c>
      <c r="IV18" s="215">
        <f t="shared" si="40"/>
        <v>10428344.337834528</v>
      </c>
      <c r="IW18" s="215">
        <f t="shared" si="40"/>
        <v>10428344.337834528</v>
      </c>
      <c r="IX18" s="215">
        <f t="shared" si="40"/>
        <v>10428344.337834528</v>
      </c>
      <c r="IY18" s="215">
        <f t="shared" si="40"/>
        <v>10428344.337834528</v>
      </c>
      <c r="IZ18" s="215">
        <f t="shared" si="40"/>
        <v>10428344.337834528</v>
      </c>
      <c r="JA18" s="215">
        <f t="shared" si="40"/>
        <v>10428344.337834528</v>
      </c>
      <c r="JB18" s="215">
        <f t="shared" si="40"/>
        <v>10428344.337834528</v>
      </c>
      <c r="JC18" s="215">
        <f t="shared" si="40"/>
        <v>10428344.337834528</v>
      </c>
      <c r="JD18" s="215">
        <f t="shared" si="40"/>
        <v>10428344.337834528</v>
      </c>
      <c r="JE18" s="215">
        <f t="shared" ref="JE18:LD18" si="41">JD18+JE17</f>
        <v>10428344.337834528</v>
      </c>
      <c r="JF18" s="215">
        <f t="shared" si="41"/>
        <v>10428344.337834528</v>
      </c>
      <c r="JG18" s="215">
        <f t="shared" si="41"/>
        <v>10428344.337834528</v>
      </c>
      <c r="JH18" s="215">
        <f t="shared" si="41"/>
        <v>10428344.337834528</v>
      </c>
      <c r="JI18" s="215">
        <f t="shared" si="41"/>
        <v>10428344.337834528</v>
      </c>
      <c r="JJ18" s="215">
        <f t="shared" si="41"/>
        <v>10428344.337834528</v>
      </c>
      <c r="JK18" s="215">
        <f t="shared" si="41"/>
        <v>10428344.337834528</v>
      </c>
      <c r="JL18" s="215">
        <f t="shared" si="41"/>
        <v>10428344.337834528</v>
      </c>
      <c r="JM18" s="215">
        <f t="shared" si="41"/>
        <v>10428344.337834528</v>
      </c>
      <c r="JN18" s="215">
        <f t="shared" si="41"/>
        <v>10428344.337834528</v>
      </c>
      <c r="JO18" s="215">
        <f t="shared" si="41"/>
        <v>10428344.337834528</v>
      </c>
      <c r="JP18" s="215">
        <f t="shared" si="41"/>
        <v>10428344.337834528</v>
      </c>
      <c r="JQ18" s="215">
        <f t="shared" si="41"/>
        <v>10428344.337834528</v>
      </c>
      <c r="JR18" s="215">
        <f t="shared" si="41"/>
        <v>10428344.337834528</v>
      </c>
      <c r="JS18" s="215">
        <f t="shared" si="41"/>
        <v>10428344.337834528</v>
      </c>
      <c r="JT18" s="215">
        <f t="shared" si="41"/>
        <v>10428344.337834528</v>
      </c>
      <c r="JU18" s="215">
        <f t="shared" si="41"/>
        <v>10428344.337834528</v>
      </c>
      <c r="JV18" s="215">
        <f t="shared" si="41"/>
        <v>10428344.337834528</v>
      </c>
      <c r="JW18" s="215">
        <f t="shared" si="41"/>
        <v>10428344.337834528</v>
      </c>
      <c r="JX18" s="215">
        <f t="shared" si="41"/>
        <v>10428344.337834528</v>
      </c>
      <c r="JY18" s="215">
        <f t="shared" si="41"/>
        <v>10428344.337834528</v>
      </c>
      <c r="JZ18" s="215">
        <f t="shared" si="41"/>
        <v>10428344.337834528</v>
      </c>
      <c r="KA18" s="215">
        <f t="shared" si="41"/>
        <v>10428344.337834528</v>
      </c>
      <c r="KB18" s="215">
        <f t="shared" si="41"/>
        <v>10428344.337834528</v>
      </c>
      <c r="KC18" s="215">
        <f t="shared" si="41"/>
        <v>10428344.337834528</v>
      </c>
      <c r="KD18" s="215">
        <f t="shared" si="41"/>
        <v>10428344.337834528</v>
      </c>
      <c r="KE18" s="215">
        <f t="shared" si="41"/>
        <v>10428344.337834528</v>
      </c>
      <c r="KF18" s="215">
        <f t="shared" si="41"/>
        <v>10428344.337834528</v>
      </c>
      <c r="KG18" s="215">
        <f t="shared" si="41"/>
        <v>10428344.337834528</v>
      </c>
      <c r="KH18" s="215">
        <f t="shared" si="41"/>
        <v>10428344.337834528</v>
      </c>
      <c r="KI18" s="215">
        <f t="shared" si="41"/>
        <v>10428344.337834528</v>
      </c>
      <c r="KJ18" s="215">
        <f t="shared" si="41"/>
        <v>10428344.337834528</v>
      </c>
      <c r="KK18" s="215">
        <f t="shared" si="41"/>
        <v>10428344.337834528</v>
      </c>
      <c r="KL18" s="215">
        <f t="shared" si="41"/>
        <v>10428344.337834528</v>
      </c>
      <c r="KM18" s="215">
        <f t="shared" si="41"/>
        <v>10428344.337834528</v>
      </c>
      <c r="KN18" s="215">
        <f t="shared" si="41"/>
        <v>10428344.337834528</v>
      </c>
      <c r="KO18" s="215">
        <f t="shared" si="41"/>
        <v>10428344.337834528</v>
      </c>
      <c r="KP18" s="215">
        <f t="shared" si="41"/>
        <v>10428344.337834528</v>
      </c>
      <c r="KQ18" s="215">
        <f t="shared" si="41"/>
        <v>10428344.337834528</v>
      </c>
      <c r="KR18" s="215">
        <f t="shared" si="41"/>
        <v>10428344.337834528</v>
      </c>
      <c r="KS18" s="215">
        <f t="shared" si="41"/>
        <v>10428344.337834528</v>
      </c>
      <c r="KT18" s="215">
        <f t="shared" si="41"/>
        <v>10428344.337834528</v>
      </c>
      <c r="KU18" s="215">
        <f t="shared" si="41"/>
        <v>10428344.337834528</v>
      </c>
      <c r="KV18" s="215">
        <f t="shared" si="41"/>
        <v>10428344.337834528</v>
      </c>
      <c r="KW18" s="215">
        <f t="shared" si="41"/>
        <v>10428344.337834528</v>
      </c>
      <c r="KX18" s="215">
        <f t="shared" si="41"/>
        <v>10428344.337834528</v>
      </c>
      <c r="KY18" s="215">
        <f t="shared" si="41"/>
        <v>10428344.337834528</v>
      </c>
      <c r="KZ18" s="215">
        <f t="shared" si="41"/>
        <v>10428344.337834528</v>
      </c>
      <c r="LA18" s="215">
        <f t="shared" si="41"/>
        <v>10428344.337834528</v>
      </c>
      <c r="LB18" s="215">
        <f t="shared" si="41"/>
        <v>10428344.337834528</v>
      </c>
      <c r="LC18" s="215">
        <f t="shared" si="41"/>
        <v>10428344.337834528</v>
      </c>
      <c r="LD18" s="215">
        <f t="shared" si="41"/>
        <v>10428344.337834528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59765625" defaultRowHeight="14.25"/>
  <cols>
    <col min="1" max="1" width="39.3984375" style="367" bestFit="1" customWidth="1"/>
    <col min="2" max="2" width="17.265625" style="368" bestFit="1" customWidth="1"/>
    <col min="3" max="3" width="13.1328125" style="367" bestFit="1" customWidth="1"/>
    <col min="4" max="5" width="14.86328125" style="367" bestFit="1" customWidth="1"/>
    <col min="6" max="6" width="13.1328125" style="367" bestFit="1" customWidth="1"/>
    <col min="7" max="7" width="4.86328125" style="367" bestFit="1" customWidth="1"/>
    <col min="8" max="10" width="13.1328125" style="367" bestFit="1" customWidth="1"/>
    <col min="11" max="12" width="16" style="367" bestFit="1" customWidth="1"/>
    <col min="13" max="13" width="14.265625" style="367" bestFit="1" customWidth="1"/>
    <col min="14" max="14" width="13.59765625" style="367" bestFit="1" customWidth="1"/>
    <col min="15" max="18" width="11.3984375" style="367" bestFit="1" customWidth="1"/>
    <col min="19" max="19" width="13.59765625" style="367" bestFit="1" customWidth="1"/>
    <col min="20" max="16384" width="12.59765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551</v>
      </c>
      <c r="B3" s="446" t="s">
        <v>552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553</v>
      </c>
      <c r="B4" t="s">
        <v>554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555</v>
      </c>
      <c r="L4"/>
      <c r="M4"/>
      <c r="N4"/>
      <c r="O4"/>
      <c r="P4"/>
      <c r="Q4"/>
      <c r="R4"/>
      <c r="S4"/>
      <c r="T4"/>
    </row>
    <row r="5" spans="1:20">
      <c r="A5" s="447" t="s">
        <v>554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353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368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379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403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420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443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450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464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469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482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495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503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507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492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448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555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3984375" defaultRowHeight="14.25"/>
  <cols>
    <col min="1" max="1" width="21.86328125" bestFit="1" customWidth="1"/>
    <col min="2" max="2" width="17.265625" style="407" bestFit="1" customWidth="1"/>
    <col min="3" max="3" width="13.1328125" style="407" bestFit="1" customWidth="1"/>
    <col min="4" max="4" width="14.86328125" style="407" bestFit="1" customWidth="1"/>
    <col min="5" max="6" width="13.1328125" style="407" bestFit="1" customWidth="1"/>
    <col min="7" max="7" width="13.59765625" style="407" bestFit="1" customWidth="1"/>
    <col min="8" max="9" width="13.1328125" style="407" bestFit="1" customWidth="1"/>
    <col min="10" max="10" width="13.1328125" bestFit="1" customWidth="1"/>
    <col min="11" max="12" width="14.8632812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3984375" bestFit="1" customWidth="1"/>
    <col min="17" max="18" width="11.59765625" bestFit="1" customWidth="1"/>
    <col min="19" max="19" width="13.3984375" bestFit="1" customWidth="1"/>
  </cols>
  <sheetData>
    <row r="3" spans="1:11">
      <c r="A3" s="446" t="s">
        <v>556</v>
      </c>
      <c r="B3" s="446" t="s">
        <v>552</v>
      </c>
      <c r="C3"/>
      <c r="D3"/>
      <c r="E3"/>
      <c r="F3"/>
      <c r="G3"/>
      <c r="H3"/>
      <c r="I3"/>
    </row>
    <row r="4" spans="1:11">
      <c r="A4" s="446" t="s">
        <v>553</v>
      </c>
      <c r="B4" t="s">
        <v>554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555</v>
      </c>
    </row>
    <row r="5" spans="1:11">
      <c r="A5" s="447" t="s">
        <v>554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353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368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379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403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420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443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450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464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469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482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495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503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507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492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448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555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557</v>
      </c>
    </row>
    <row r="2" spans="1:4">
      <c r="A2" s="831"/>
      <c r="B2" s="831"/>
      <c r="C2" s="831"/>
      <c r="D2" s="71"/>
    </row>
    <row r="3" spans="1:4">
      <c r="A3" s="830" t="s">
        <v>558</v>
      </c>
      <c r="B3" s="830"/>
      <c r="C3" s="830"/>
      <c r="D3" s="111">
        <v>0.32</v>
      </c>
    </row>
    <row r="4" spans="1:4">
      <c r="A4" s="830" t="s">
        <v>526</v>
      </c>
      <c r="B4" s="830"/>
      <c r="C4" s="830"/>
      <c r="D4" s="111">
        <v>0.5</v>
      </c>
    </row>
    <row r="5" spans="1:4">
      <c r="A5" s="830" t="s">
        <v>537</v>
      </c>
      <c r="B5" s="830"/>
      <c r="C5" s="830"/>
      <c r="D5" s="111">
        <v>0.15</v>
      </c>
    </row>
    <row r="6" spans="1:4">
      <c r="A6" s="830" t="s">
        <v>559</v>
      </c>
      <c r="B6" s="830"/>
      <c r="C6" s="83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26562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26562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32" t="s">
        <v>560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</row>
    <row r="4" spans="2:14" ht="13.15">
      <c r="B4" s="92" t="s">
        <v>97</v>
      </c>
      <c r="C4" s="86"/>
      <c r="D4" s="90" t="s">
        <v>561</v>
      </c>
      <c r="E4" s="95"/>
      <c r="F4" s="90" t="s">
        <v>562</v>
      </c>
      <c r="H4" s="90" t="s">
        <v>563</v>
      </c>
      <c r="I4" s="95"/>
      <c r="J4" s="90" t="s">
        <v>564</v>
      </c>
      <c r="L4" s="90" t="s">
        <v>563</v>
      </c>
      <c r="M4" s="90"/>
      <c r="N4" s="90" t="s">
        <v>565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566</v>
      </c>
      <c r="H7" s="99"/>
      <c r="I7" s="95"/>
      <c r="J7" s="107" t="s">
        <v>566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567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566</v>
      </c>
      <c r="H15" s="99"/>
      <c r="I15" s="95"/>
      <c r="J15" s="107" t="s">
        <v>566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566</v>
      </c>
      <c r="H21" s="99"/>
      <c r="I21" s="95"/>
      <c r="J21" s="107" t="s">
        <v>566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570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566</v>
      </c>
      <c r="H27" s="99"/>
      <c r="I27" s="95"/>
      <c r="J27" s="107" t="s">
        <v>566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571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566</v>
      </c>
      <c r="H34" s="99"/>
      <c r="I34" s="95"/>
      <c r="J34" s="107" t="s">
        <v>566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572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578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26562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26562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59765625" style="88" customWidth="1"/>
    <col min="15" max="15" width="14.265625" style="88" bestFit="1" customWidth="1"/>
    <col min="16" max="16384" width="9.3984375" style="88"/>
  </cols>
  <sheetData>
    <row r="2" spans="2:15" s="94" customFormat="1" ht="17.649999999999999">
      <c r="B2" s="832" t="s">
        <v>580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</row>
    <row r="4" spans="2:15" ht="13.15">
      <c r="B4" s="92" t="s">
        <v>97</v>
      </c>
      <c r="C4" s="86"/>
      <c r="D4" s="90" t="s">
        <v>561</v>
      </c>
      <c r="E4" s="95"/>
      <c r="F4" s="95"/>
      <c r="G4" s="90" t="s">
        <v>581</v>
      </c>
      <c r="H4" s="96"/>
      <c r="J4" s="90" t="s">
        <v>563</v>
      </c>
      <c r="L4" s="90" t="s">
        <v>582</v>
      </c>
      <c r="M4" s="96"/>
      <c r="O4" s="90" t="s">
        <v>563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366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370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371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372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373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375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376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578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97</v>
      </c>
      <c r="C18" s="86"/>
      <c r="D18" s="90" t="s">
        <v>561</v>
      </c>
      <c r="E18" s="95"/>
      <c r="F18" s="95"/>
      <c r="G18" s="90" t="s">
        <v>584</v>
      </c>
      <c r="H18" s="96"/>
      <c r="J18" s="90" t="s">
        <v>563</v>
      </c>
      <c r="L18" s="90" t="s">
        <v>585</v>
      </c>
      <c r="M18" s="96"/>
      <c r="O18" s="90" t="s">
        <v>563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586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587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588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589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375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373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578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591</v>
      </c>
      <c r="C32" s="103"/>
      <c r="D32" s="103"/>
    </row>
    <row r="33" spans="2:4" ht="13.15" thickTop="1"/>
    <row r="34" spans="2:4">
      <c r="B34" s="88" t="s">
        <v>561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3984375" customWidth="1"/>
    <col min="10" max="10" width="19.59765625" bestFit="1" customWidth="1"/>
  </cols>
  <sheetData>
    <row r="1" spans="2:14">
      <c r="B1" s="834" t="str">
        <f>D15</f>
        <v>Seshego Circle</v>
      </c>
      <c r="C1" s="834"/>
      <c r="D1" s="834"/>
      <c r="E1" s="833" t="s">
        <v>593</v>
      </c>
      <c r="F1" s="833"/>
      <c r="G1" s="833"/>
      <c r="H1" s="833"/>
      <c r="I1" s="833"/>
      <c r="J1" s="833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594</v>
      </c>
      <c r="D3" s="72" t="s">
        <v>595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2026-02-24T10:10:53Z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