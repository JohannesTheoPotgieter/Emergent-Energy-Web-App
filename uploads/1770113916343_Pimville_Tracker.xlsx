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5" documentId="13_ncr:1_{C6F88FE9-613D-4912-9625-10BBA8C7F6C3}" xr6:coauthVersionLast="47" xr6:coauthVersionMax="47" xr10:uidLastSave="{57E048F1-E144-470B-BA78-9955C22ACB8C}"/>
  <bookViews>
    <workbookView minimized="1" xWindow="340" yWindow="1510" windowWidth="12800" windowHeight="7390" tabRatio="837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1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I50" i="2"/>
  <c r="H6" i="5"/>
  <c r="G6" i="5"/>
  <c r="W124" i="18"/>
  <c r="K37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N37" i="2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6" i="2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W61" i="18"/>
  <c r="T61" i="18" s="1"/>
  <c r="I18" i="2"/>
  <c r="K30" i="2"/>
  <c r="N30" i="2" s="1"/>
  <c r="I24" i="2"/>
  <c r="K19" i="2"/>
  <c r="K11" i="2"/>
  <c r="I11" i="2"/>
  <c r="K22" i="2"/>
  <c r="N22" i="2"/>
  <c r="K32" i="2"/>
  <c r="N32" i="2" s="1"/>
  <c r="J11" i="2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157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4" i="2"/>
  <c r="M40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47" i="2"/>
  <c r="M28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U156" i="18"/>
  <c r="K24" i="2"/>
  <c r="N24" i="2" s="1"/>
  <c r="K36" i="2"/>
  <c r="N36" i="2" s="1"/>
  <c r="K18" i="2"/>
  <c r="J18" i="2" s="1"/>
  <c r="M18" i="2" s="1"/>
  <c r="N19" i="2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U157" i="18"/>
  <c r="V147" i="18" s="1"/>
  <c r="I25" i="2"/>
  <c r="K33" i="2"/>
  <c r="K28" i="2"/>
  <c r="J28" i="2" s="1"/>
  <c r="I38" i="2"/>
  <c r="K38" i="2" s="1"/>
  <c r="I35" i="2"/>
  <c r="C3" i="6"/>
  <c r="F19" i="5"/>
  <c r="F13" i="5"/>
  <c r="F16" i="5"/>
  <c r="F17" i="5"/>
  <c r="E18" i="2"/>
  <c r="G19" i="2"/>
  <c r="E15" i="2"/>
  <c r="G15" i="2" s="1"/>
  <c r="E16" i="2"/>
  <c r="G16" i="2"/>
  <c r="E24" i="2"/>
  <c r="G24" i="2" s="1"/>
  <c r="E25" i="2" s="1"/>
  <c r="G25" i="2"/>
  <c r="K23" i="2"/>
  <c r="N23" i="2"/>
  <c r="E13" i="2"/>
  <c r="E11" i="2" s="1"/>
  <c r="G13" i="2"/>
  <c r="G11" i="2" s="1"/>
  <c r="F11" i="2" s="1"/>
  <c r="U163" i="18"/>
  <c r="H16" i="3"/>
  <c r="J16" i="3" s="1"/>
  <c r="G30" i="2"/>
  <c r="E32" i="2"/>
  <c r="G32" i="2"/>
  <c r="J22" i="3"/>
  <c r="U114" i="18"/>
  <c r="U128" i="18"/>
  <c r="U110" i="18"/>
  <c r="U127" i="18"/>
  <c r="U109" i="18"/>
  <c r="N33" i="2"/>
  <c r="K25" i="2"/>
  <c r="N25" i="2"/>
  <c r="E26" i="2"/>
  <c r="G26" i="2" s="1"/>
  <c r="E31" i="2"/>
  <c r="G31" i="2" s="1"/>
  <c r="N38" i="2"/>
  <c r="G17" i="6"/>
  <c r="I21" i="2"/>
  <c r="K26" i="2"/>
  <c r="N26" i="2" s="1"/>
  <c r="K21" i="2"/>
  <c r="J21" i="2"/>
  <c r="K50" i="2"/>
  <c r="G24" i="13"/>
  <c r="F24" i="13"/>
  <c r="E24" i="13"/>
  <c r="D24" i="13"/>
  <c r="C24" i="13"/>
  <c r="I53" i="2" l="1"/>
  <c r="K53" i="2" s="1"/>
  <c r="I51" i="2"/>
  <c r="K51" i="2" s="1"/>
  <c r="I52" i="2" s="1"/>
  <c r="K52" i="2" s="1"/>
  <c r="E36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1" i="2"/>
  <c r="N49" i="2"/>
  <c r="N53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5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N28" i="2" s="1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N18" i="2"/>
  <c r="O11" i="7"/>
  <c r="J20" i="7"/>
  <c r="J29" i="7" s="1"/>
  <c r="D29" i="7"/>
  <c r="Q7" i="18"/>
  <c r="X6" i="18"/>
  <c r="Q4" i="5"/>
  <c r="M9" i="2"/>
  <c r="E6" i="7"/>
  <c r="N24" i="13"/>
  <c r="N50" i="2"/>
  <c r="N11" i="2"/>
  <c r="N35" i="2"/>
  <c r="N21" i="2"/>
  <c r="H18" i="5"/>
  <c r="N52" i="2"/>
  <c r="P18" i="5" l="1"/>
  <c r="W103" i="18"/>
  <c r="F21" i="5"/>
  <c r="F4" i="5"/>
  <c r="F18" i="6"/>
  <c r="H15" i="5"/>
  <c r="G22" i="2"/>
  <c r="V28" i="18"/>
  <c r="J35" i="2"/>
  <c r="I41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6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D7" i="5" s="1"/>
  <c r="C5" i="6"/>
  <c r="E23" i="2"/>
  <c r="E38" i="2"/>
  <c r="J9" i="3"/>
  <c r="J5" i="3" s="1"/>
  <c r="H5" i="3"/>
  <c r="F5" i="5" s="1"/>
  <c r="C11" i="6" s="1"/>
  <c r="F25" i="3"/>
  <c r="K41" i="2"/>
  <c r="N41" i="2" s="1"/>
  <c r="K1" i="6"/>
  <c r="J17" i="6"/>
  <c r="J5" i="6"/>
  <c r="G18" i="6"/>
  <c r="H18" i="6" s="1"/>
  <c r="I18" i="6" s="1"/>
  <c r="N27" i="13"/>
  <c r="N29" i="13" s="1"/>
  <c r="C9" i="6"/>
  <c r="F10" i="6"/>
  <c r="W126" i="18" l="1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8" i="2"/>
  <c r="E35" i="2"/>
  <c r="H25" i="3"/>
  <c r="G23" i="2"/>
  <c r="G21" i="2" s="1"/>
  <c r="E21" i="2"/>
  <c r="L1" i="6"/>
  <c r="K17" i="6"/>
  <c r="K5" i="6"/>
  <c r="J9" i="6"/>
  <c r="F6" i="5"/>
  <c r="F7" i="5" s="1"/>
  <c r="W101" i="18"/>
  <c r="I42" i="2"/>
  <c r="J6" i="6"/>
  <c r="G10" i="6"/>
  <c r="N42" i="2" l="1"/>
  <c r="K42" i="2"/>
  <c r="I40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5" i="2"/>
  <c r="F35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5" i="2"/>
  <c r="J9" i="2"/>
  <c r="K40" i="2"/>
  <c r="J40" i="2" s="1"/>
  <c r="N40" i="2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1" i="2"/>
  <c r="I44" i="2"/>
  <c r="K45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1" i="2"/>
  <c r="P1" i="6"/>
  <c r="O9" i="6"/>
  <c r="O11" i="6"/>
  <c r="H12" i="6"/>
  <c r="G14" i="6"/>
  <c r="K44" i="2"/>
  <c r="J44" i="2" s="1"/>
  <c r="I48" i="2"/>
  <c r="N45" i="2"/>
  <c r="N44" i="2" s="1"/>
  <c r="N18" i="6"/>
  <c r="N6" i="6"/>
  <c r="K10" i="6"/>
  <c r="E42" i="2" l="1"/>
  <c r="K48" i="2"/>
  <c r="N48" i="2"/>
  <c r="I47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7" i="2"/>
  <c r="J47" i="2" s="1"/>
  <c r="N47" i="2"/>
  <c r="N9" i="2" s="1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2" i="2"/>
  <c r="E40" i="2"/>
  <c r="J12" i="6"/>
  <c r="I14" i="6"/>
  <c r="M10" i="6"/>
  <c r="E45" i="2" l="1"/>
  <c r="F9" i="2"/>
  <c r="G40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0" i="2"/>
  <c r="H16" i="5"/>
  <c r="T1" i="6"/>
  <c r="S5" i="6" s="1"/>
  <c r="S6" i="6" s="1"/>
  <c r="S9" i="6"/>
  <c r="S11" i="6"/>
  <c r="G45" i="2"/>
  <c r="E44" i="2"/>
  <c r="R9" i="6"/>
  <c r="O10" i="6"/>
  <c r="M12" i="6" l="1"/>
  <c r="L14" i="6"/>
  <c r="E49" i="2"/>
  <c r="E48" i="2"/>
  <c r="G44" i="2"/>
  <c r="F44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1" i="2"/>
  <c r="G49" i="2"/>
  <c r="V1" i="6"/>
  <c r="U5" i="6"/>
  <c r="U6" i="6" s="1"/>
  <c r="U17" i="6"/>
  <c r="U9" i="6"/>
  <c r="U11" i="6"/>
  <c r="G48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1" i="2"/>
  <c r="E52" i="2" s="1"/>
  <c r="G52" i="2" s="1"/>
  <c r="O12" i="6"/>
  <c r="N14" i="6"/>
  <c r="E53" i="2"/>
  <c r="G53" i="2" s="1"/>
  <c r="E50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0" i="2"/>
  <c r="G47" i="2" s="1"/>
  <c r="E47" i="2"/>
  <c r="S10" i="6"/>
  <c r="F47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<sst xmlns="http://schemas.openxmlformats.org/spreadsheetml/2006/main" count="889" uniqueCount="496">
  <si>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</si>
  <si>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</si>
  <si>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</si>
  <si>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</si>
  <si>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</si>
  <si>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</si>
  <si>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</si>
  <si>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</si>
  <si>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</si>
  <si>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</si>
  <si>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</si>
  <si>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</si>
  <si>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</si>
  <si>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</si>
  <si>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</si>
  <si>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</si>
  <si>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</si>
  <si>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</si>
  <si>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</si>
  <si>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</si>
  <si>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</si>
  <si>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</si>
  <si>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</si>
  <si>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</si>
  <si>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</si>
  <si>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</si>
  <si>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</si>
  <si>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</si>
  <si>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</si>
  <si>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</si>
  <si>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</si>
  <si>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</si>
  <si>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</si>
  <si>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</si>
  <si>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</si>
  <si>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</si>
  <si>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</si>
  <si>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</si>
  <si>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</si>
  <si>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</si>
  <si>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</si>
  <si>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</si>
  <si>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</si>
  <si>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</si>
  <si>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</si>
  <si>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</si>
  <si>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</si>
  <si>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</si>
  <si>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</si>
  <si>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</si>
  <si>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</si>
  <si>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</si>
  <si>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</si>
  <si>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</si>
  <si>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</si>
  <si>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</si>
  <si>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</si>
  <si>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</si>
  <si>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</si>
  <si>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</si>
  <si>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</si>
  <si>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</si>
  <si>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</si>
  <si>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</si>
  <si>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</si>
  <si>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</si>
  <si>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</si>
  <si>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</si>
  <si>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</si>
  <si>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</si>
  <si>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</si>
  <si>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</si>
  <si>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</si>
  <si>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</si>
  <si>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</si>
  <si>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</si>
  <si>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</si>
  <si>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</si>
  <si>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</si>
  <si>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</si>
  <si>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</si>
  <si>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</si>
  <si>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</si>
  <si>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</si>
  <si>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</si>
  <si>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</si>
  <si>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</si>
  <si>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</si>
  <si>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</si>
  <si>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</si>
  <si>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</si>
  <si>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</si>
  <si>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</si>
  <si>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</si>
  <si>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</si>
  <si>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</si>
  <si>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</si>
  <si>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</si>
  <si>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</si>
  <si>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</si>
  <si>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</si>
  <si>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</si>
  <si>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</si>
  <si>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</si>
  <si>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</si>
  <si>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</si>
  <si>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</si>
  <si>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</si>
  <si>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</si>
  <si>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</si>
  <si>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</si>
  <si>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</si>
  <si>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</si>
  <si>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</si>
  <si>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</si>
  <si>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</si>
  <si>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</si>
  <si>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</si>
  <si>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</si>
  <si>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</si>
  <si>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</si>
  <si>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</si>
  <si>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</si>
  <si>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</si>
  <si>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</si>
  <si>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</si>
  <si>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</si>
  <si>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</si>
  <si>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</si>
  <si>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</si>
  <si>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</si>
  <si>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</si>
  <si>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</si>
  <si>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</si>
  <si>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</si>
  <si>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</si>
  <si>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</si>
  <si>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</si>
  <si>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</si>
  <si>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Client QC scheduled for Monday 26 Jan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</si>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</sst>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" fillId="11" borderId="6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3400106</c:v>
                </c:pt>
                <c:pt idx="57">
                  <c:v>3400106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470495.67808733974</c:v>
                </c:pt>
                <c:pt idx="57">
                  <c:v>470495.67808733974</c:v>
                </c:pt>
                <c:pt idx="58">
                  <c:v>470495.67808733974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3400106</c:v>
                </c:pt>
                <c:pt idx="57">
                  <c:v>3400106</c:v>
                </c:pt>
                <c:pt idx="58">
                  <c:v>3400106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2535169.56774903</c:v>
                </c:pt>
                <c:pt idx="48">
                  <c:v>2535169.56774903</c:v>
                </c:pt>
                <c:pt idx="49">
                  <c:v>2535169.56774903</c:v>
                </c:pt>
                <c:pt idx="50">
                  <c:v>2535257.62774903</c:v>
                </c:pt>
                <c:pt idx="51">
                  <c:v>2790257.62774903</c:v>
                </c:pt>
                <c:pt idx="52">
                  <c:v>2794559.0277490299</c:v>
                </c:pt>
                <c:pt idx="53">
                  <c:v>2814170.4477490298</c:v>
                </c:pt>
                <c:pt idx="54">
                  <c:v>2814170.4477490298</c:v>
                </c:pt>
                <c:pt idx="55">
                  <c:v>2814170.4477490298</c:v>
                </c:pt>
                <c:pt idx="56">
                  <c:v>2854533.4477490298</c:v>
                </c:pt>
                <c:pt idx="57">
                  <c:v>2897034.77274903</c:v>
                </c:pt>
                <c:pt idx="58">
                  <c:v>2897034.77274903</c:v>
                </c:pt>
                <c:pt idx="59">
                  <c:v>2897034.77274903</c:v>
                </c:pt>
                <c:pt idx="60">
                  <c:v>2937397.77274903</c:v>
                </c:pt>
                <c:pt idx="61">
                  <c:v>2937397.77274903</c:v>
                </c:pt>
                <c:pt idx="62">
                  <c:v>2937397.77274903</c:v>
                </c:pt>
                <c:pt idx="63">
                  <c:v>2937397.77274903</c:v>
                </c:pt>
                <c:pt idx="64">
                  <c:v>2937397.77274903</c:v>
                </c:pt>
                <c:pt idx="65">
                  <c:v>2937397.77274903</c:v>
                </c:pt>
                <c:pt idx="66">
                  <c:v>2937397.77274903</c:v>
                </c:pt>
                <c:pt idx="67">
                  <c:v>2937397.77274903</c:v>
                </c:pt>
                <c:pt idx="68">
                  <c:v>2937397.77274903</c:v>
                </c:pt>
                <c:pt idx="69">
                  <c:v>2937397.77274903</c:v>
                </c:pt>
                <c:pt idx="70">
                  <c:v>2937397.77274903</c:v>
                </c:pt>
                <c:pt idx="71">
                  <c:v>2937397.77274903</c:v>
                </c:pt>
                <c:pt idx="72">
                  <c:v>2937397.77274903</c:v>
                </c:pt>
                <c:pt idx="73">
                  <c:v>2937397.77274903</c:v>
                </c:pt>
                <c:pt idx="74">
                  <c:v>2937397.77274903</c:v>
                </c:pt>
                <c:pt idx="75">
                  <c:v>2937397.77274903</c:v>
                </c:pt>
                <c:pt idx="76">
                  <c:v>2937397.77274903</c:v>
                </c:pt>
                <c:pt idx="77">
                  <c:v>2937397.77274903</c:v>
                </c:pt>
                <c:pt idx="78">
                  <c:v>2937397.77274903</c:v>
                </c:pt>
                <c:pt idx="79">
                  <c:v>2937397.77274903</c:v>
                </c:pt>
                <c:pt idx="80">
                  <c:v>2937397.77274903</c:v>
                </c:pt>
                <c:pt idx="81">
                  <c:v>2937397.77274903</c:v>
                </c:pt>
                <c:pt idx="82">
                  <c:v>2937397.77274903</c:v>
                </c:pt>
                <c:pt idx="83">
                  <c:v>2937397.77274903</c:v>
                </c:pt>
                <c:pt idx="84">
                  <c:v>2937397.77274903</c:v>
                </c:pt>
                <c:pt idx="85">
                  <c:v>2937397.77274903</c:v>
                </c:pt>
                <c:pt idx="86">
                  <c:v>2937397.77274903</c:v>
                </c:pt>
                <c:pt idx="87">
                  <c:v>2937397.77274903</c:v>
                </c:pt>
                <c:pt idx="88">
                  <c:v>2937397.77274903</c:v>
                </c:pt>
                <c:pt idx="89">
                  <c:v>2937397.77274903</c:v>
                </c:pt>
                <c:pt idx="90">
                  <c:v>2937397.77274903</c:v>
                </c:pt>
                <c:pt idx="91">
                  <c:v>2937397.77274903</c:v>
                </c:pt>
                <c:pt idx="92">
                  <c:v>2937397.77274903</c:v>
                </c:pt>
                <c:pt idx="93">
                  <c:v>2937397.77274903</c:v>
                </c:pt>
                <c:pt idx="94">
                  <c:v>2937397.77274903</c:v>
                </c:pt>
                <c:pt idx="95">
                  <c:v>2937397.77274903</c:v>
                </c:pt>
                <c:pt idx="96">
                  <c:v>2937397.77274903</c:v>
                </c:pt>
                <c:pt idx="97">
                  <c:v>2937397.77274903</c:v>
                </c:pt>
                <c:pt idx="98">
                  <c:v>2937397.77274903</c:v>
                </c:pt>
                <c:pt idx="99">
                  <c:v>2937397.77274903</c:v>
                </c:pt>
                <c:pt idx="100">
                  <c:v>2937397.77274903</c:v>
                </c:pt>
                <c:pt idx="101">
                  <c:v>2937397.77274903</c:v>
                </c:pt>
                <c:pt idx="102">
                  <c:v>2937397.77274903</c:v>
                </c:pt>
                <c:pt idx="103">
                  <c:v>2937397.77274903</c:v>
                </c:pt>
                <c:pt idx="104">
                  <c:v>2937397.77274903</c:v>
                </c:pt>
                <c:pt idx="105">
                  <c:v>2937397.77274903</c:v>
                </c:pt>
                <c:pt idx="106">
                  <c:v>2937397.77274903</c:v>
                </c:pt>
                <c:pt idx="107">
                  <c:v>2937397.77274903</c:v>
                </c:pt>
                <c:pt idx="108">
                  <c:v>2937397.77274903</c:v>
                </c:pt>
                <c:pt idx="109">
                  <c:v>2937397.77274903</c:v>
                </c:pt>
                <c:pt idx="110">
                  <c:v>2937397.77274903</c:v>
                </c:pt>
                <c:pt idx="111">
                  <c:v>2937397.77274903</c:v>
                </c:pt>
                <c:pt idx="112">
                  <c:v>2937397.77274903</c:v>
                </c:pt>
                <c:pt idx="113">
                  <c:v>2937397.77274903</c:v>
                </c:pt>
                <c:pt idx="114">
                  <c:v>2937397.77274903</c:v>
                </c:pt>
                <c:pt idx="115">
                  <c:v>2937397.77274903</c:v>
                </c:pt>
                <c:pt idx="116">
                  <c:v>2937397.77274903</c:v>
                </c:pt>
                <c:pt idx="117">
                  <c:v>2937397.77274903</c:v>
                </c:pt>
                <c:pt idx="118">
                  <c:v>2937397.77274903</c:v>
                </c:pt>
                <c:pt idx="119">
                  <c:v>2937397.77274903</c:v>
                </c:pt>
                <c:pt idx="120">
                  <c:v>2937397.77274903</c:v>
                </c:pt>
                <c:pt idx="121">
                  <c:v>2937397.77274903</c:v>
                </c:pt>
                <c:pt idx="122">
                  <c:v>2937397.77274903</c:v>
                </c:pt>
                <c:pt idx="123">
                  <c:v>2937397.77274903</c:v>
                </c:pt>
                <c:pt idx="124">
                  <c:v>2937397.77274903</c:v>
                </c:pt>
                <c:pt idx="125">
                  <c:v>2937397.77274903</c:v>
                </c:pt>
                <c:pt idx="126">
                  <c:v>2937397.77274903</c:v>
                </c:pt>
                <c:pt idx="127">
                  <c:v>2937397.77274903</c:v>
                </c:pt>
                <c:pt idx="128">
                  <c:v>2937397.77274903</c:v>
                </c:pt>
                <c:pt idx="129">
                  <c:v>2937397.77274903</c:v>
                </c:pt>
                <c:pt idx="130">
                  <c:v>2937397.77274903</c:v>
                </c:pt>
                <c:pt idx="131">
                  <c:v>2937397.77274903</c:v>
                </c:pt>
                <c:pt idx="132">
                  <c:v>2937397.77274903</c:v>
                </c:pt>
                <c:pt idx="133">
                  <c:v>2937397.77274903</c:v>
                </c:pt>
                <c:pt idx="134">
                  <c:v>2937397.77274903</c:v>
                </c:pt>
                <c:pt idx="135">
                  <c:v>2937397.77274903</c:v>
                </c:pt>
                <c:pt idx="136">
                  <c:v>2937397.77274903</c:v>
                </c:pt>
                <c:pt idx="137">
                  <c:v>2937397.77274903</c:v>
                </c:pt>
                <c:pt idx="138">
                  <c:v>2937397.77274903</c:v>
                </c:pt>
                <c:pt idx="139">
                  <c:v>2937397.77274903</c:v>
                </c:pt>
                <c:pt idx="140">
                  <c:v>2937397.77274903</c:v>
                </c:pt>
                <c:pt idx="141">
                  <c:v>2937397.77274903</c:v>
                </c:pt>
                <c:pt idx="142">
                  <c:v>2937397.77274903</c:v>
                </c:pt>
                <c:pt idx="143">
                  <c:v>2937397.77274903</c:v>
                </c:pt>
                <c:pt idx="144">
                  <c:v>2937397.77274903</c:v>
                </c:pt>
                <c:pt idx="145">
                  <c:v>2937397.77274903</c:v>
                </c:pt>
                <c:pt idx="146">
                  <c:v>2937397.77274903</c:v>
                </c:pt>
                <c:pt idx="147">
                  <c:v>2937397.77274903</c:v>
                </c:pt>
                <c:pt idx="148">
                  <c:v>2937397.77274903</c:v>
                </c:pt>
                <c:pt idx="149">
                  <c:v>2937397.77274903</c:v>
                </c:pt>
                <c:pt idx="150">
                  <c:v>2937397.77274903</c:v>
                </c:pt>
                <c:pt idx="151">
                  <c:v>2937397.77274903</c:v>
                </c:pt>
                <c:pt idx="152">
                  <c:v>2937397.77274903</c:v>
                </c:pt>
                <c:pt idx="153">
                  <c:v>2937397.77274903</c:v>
                </c:pt>
                <c:pt idx="154">
                  <c:v>2937397.77274903</c:v>
                </c:pt>
                <c:pt idx="155">
                  <c:v>2937397.77274903</c:v>
                </c:pt>
                <c:pt idx="156">
                  <c:v>2937397.77274903</c:v>
                </c:pt>
                <c:pt idx="157">
                  <c:v>2937397.77274903</c:v>
                </c:pt>
                <c:pt idx="158">
                  <c:v>2937397.77274903</c:v>
                </c:pt>
                <c:pt idx="159">
                  <c:v>2937397.77274903</c:v>
                </c:pt>
                <c:pt idx="160">
                  <c:v>2937397.77274903</c:v>
                </c:pt>
                <c:pt idx="161">
                  <c:v>2937397.77274903</c:v>
                </c:pt>
                <c:pt idx="162">
                  <c:v>2937397.77274903</c:v>
                </c:pt>
                <c:pt idx="163">
                  <c:v>2937397.77274903</c:v>
                </c:pt>
                <c:pt idx="164">
                  <c:v>2937397.77274903</c:v>
                </c:pt>
                <c:pt idx="165">
                  <c:v>2937397.77274903</c:v>
                </c:pt>
                <c:pt idx="166">
                  <c:v>2937397.77274903</c:v>
                </c:pt>
                <c:pt idx="167">
                  <c:v>2937397.77274903</c:v>
                </c:pt>
                <c:pt idx="168">
                  <c:v>2937397.77274903</c:v>
                </c:pt>
                <c:pt idx="169">
                  <c:v>2937397.77274903</c:v>
                </c:pt>
                <c:pt idx="170">
                  <c:v>2937397.77274903</c:v>
                </c:pt>
                <c:pt idx="171">
                  <c:v>2937397.77274903</c:v>
                </c:pt>
                <c:pt idx="172">
                  <c:v>2937397.77274903</c:v>
                </c:pt>
                <c:pt idx="173">
                  <c:v>2937397.77274903</c:v>
                </c:pt>
                <c:pt idx="174">
                  <c:v>2937397.77274903</c:v>
                </c:pt>
                <c:pt idx="175">
                  <c:v>2937397.77274903</c:v>
                </c:pt>
                <c:pt idx="176">
                  <c:v>2937397.77274903</c:v>
                </c:pt>
                <c:pt idx="177">
                  <c:v>2937397.77274903</c:v>
                </c:pt>
                <c:pt idx="178">
                  <c:v>2937397.77274903</c:v>
                </c:pt>
                <c:pt idx="179">
                  <c:v>2937397.77274903</c:v>
                </c:pt>
                <c:pt idx="180">
                  <c:v>2937397.77274903</c:v>
                </c:pt>
                <c:pt idx="181">
                  <c:v>2937397.77274903</c:v>
                </c:pt>
                <c:pt idx="182">
                  <c:v>2937397.77274903</c:v>
                </c:pt>
                <c:pt idx="183">
                  <c:v>2937397.77274903</c:v>
                </c:pt>
                <c:pt idx="184">
                  <c:v>2937397.77274903</c:v>
                </c:pt>
                <c:pt idx="185">
                  <c:v>2937397.77274903</c:v>
                </c:pt>
                <c:pt idx="186">
                  <c:v>2937397.77274903</c:v>
                </c:pt>
                <c:pt idx="187">
                  <c:v>2937397.77274903</c:v>
                </c:pt>
                <c:pt idx="188">
                  <c:v>2937397.77274903</c:v>
                </c:pt>
                <c:pt idx="189">
                  <c:v>2937397.77274903</c:v>
                </c:pt>
                <c:pt idx="190">
                  <c:v>2937397.77274903</c:v>
                </c:pt>
                <c:pt idx="191">
                  <c:v>2937397.77274903</c:v>
                </c:pt>
                <c:pt idx="192">
                  <c:v>2937397.77274903</c:v>
                </c:pt>
                <c:pt idx="193">
                  <c:v>2937397.77274903</c:v>
                </c:pt>
                <c:pt idx="194">
                  <c:v>2937397.77274903</c:v>
                </c:pt>
                <c:pt idx="195">
                  <c:v>2937397.77274903</c:v>
                </c:pt>
                <c:pt idx="196">
                  <c:v>2937397.77274903</c:v>
                </c:pt>
                <c:pt idx="197">
                  <c:v>2937397.77274903</c:v>
                </c:pt>
                <c:pt idx="198">
                  <c:v>2937397.77274903</c:v>
                </c:pt>
                <c:pt idx="199">
                  <c:v>2937397.77274903</c:v>
                </c:pt>
                <c:pt idx="200">
                  <c:v>2937397.77274903</c:v>
                </c:pt>
                <c:pt idx="201">
                  <c:v>2937397.77274903</c:v>
                </c:pt>
                <c:pt idx="202">
                  <c:v>2937397.77274903</c:v>
                </c:pt>
                <c:pt idx="203">
                  <c:v>2937397.77274903</c:v>
                </c:pt>
                <c:pt idx="204">
                  <c:v>2937397.77274903</c:v>
                </c:pt>
                <c:pt idx="205">
                  <c:v>2937397.77274903</c:v>
                </c:pt>
                <c:pt idx="206">
                  <c:v>2937397.77274903</c:v>
                </c:pt>
                <c:pt idx="207">
                  <c:v>2937397.77274903</c:v>
                </c:pt>
                <c:pt idx="208">
                  <c:v>2937397.77274903</c:v>
                </c:pt>
                <c:pt idx="209">
                  <c:v>2937397.77274903</c:v>
                </c:pt>
                <c:pt idx="210">
                  <c:v>2937397.77274903</c:v>
                </c:pt>
                <c:pt idx="211">
                  <c:v>2937397.77274903</c:v>
                </c:pt>
                <c:pt idx="212">
                  <c:v>2937397.77274903</c:v>
                </c:pt>
                <c:pt idx="213">
                  <c:v>2937397.77274903</c:v>
                </c:pt>
                <c:pt idx="214">
                  <c:v>2937397.77274903</c:v>
                </c:pt>
                <c:pt idx="215">
                  <c:v>2937397.77274903</c:v>
                </c:pt>
                <c:pt idx="216">
                  <c:v>2937397.77274903</c:v>
                </c:pt>
                <c:pt idx="217">
                  <c:v>2937397.77274903</c:v>
                </c:pt>
                <c:pt idx="218">
                  <c:v>2937397.77274903</c:v>
                </c:pt>
                <c:pt idx="219">
                  <c:v>2937397.77274903</c:v>
                </c:pt>
                <c:pt idx="220">
                  <c:v>2937397.77274903</c:v>
                </c:pt>
                <c:pt idx="221">
                  <c:v>2937397.77274903</c:v>
                </c:pt>
                <c:pt idx="222">
                  <c:v>2937397.77274903</c:v>
                </c:pt>
                <c:pt idx="223">
                  <c:v>2937397.77274903</c:v>
                </c:pt>
                <c:pt idx="224">
                  <c:v>2937397.77274903</c:v>
                </c:pt>
                <c:pt idx="225">
                  <c:v>2937397.77274903</c:v>
                </c:pt>
                <c:pt idx="226">
                  <c:v>2937397.77274903</c:v>
                </c:pt>
                <c:pt idx="227">
                  <c:v>2937397.77274903</c:v>
                </c:pt>
                <c:pt idx="228">
                  <c:v>2937397.77274903</c:v>
                </c:pt>
                <c:pt idx="229">
                  <c:v>2937397.77274903</c:v>
                </c:pt>
                <c:pt idx="230">
                  <c:v>2937397.77274903</c:v>
                </c:pt>
                <c:pt idx="231">
                  <c:v>2937397.77274903</c:v>
                </c:pt>
                <c:pt idx="232">
                  <c:v>2937397.77274903</c:v>
                </c:pt>
                <c:pt idx="233">
                  <c:v>2937397.77274903</c:v>
                </c:pt>
                <c:pt idx="234">
                  <c:v>2937397.77274903</c:v>
                </c:pt>
                <c:pt idx="235">
                  <c:v>2937397.77274903</c:v>
                </c:pt>
                <c:pt idx="236">
                  <c:v>2937397.77274903</c:v>
                </c:pt>
                <c:pt idx="237">
                  <c:v>2937397.77274903</c:v>
                </c:pt>
                <c:pt idx="238">
                  <c:v>2937397.77274903</c:v>
                </c:pt>
                <c:pt idx="239">
                  <c:v>2937397.77274903</c:v>
                </c:pt>
                <c:pt idx="240">
                  <c:v>2937397.77274903</c:v>
                </c:pt>
                <c:pt idx="241">
                  <c:v>2937397.77274903</c:v>
                </c:pt>
                <c:pt idx="242">
                  <c:v>2937397.77274903</c:v>
                </c:pt>
                <c:pt idx="243">
                  <c:v>2937397.77274903</c:v>
                </c:pt>
                <c:pt idx="244">
                  <c:v>2937397.77274903</c:v>
                </c:pt>
                <c:pt idx="245">
                  <c:v>2937397.77274903</c:v>
                </c:pt>
                <c:pt idx="246">
                  <c:v>2937397.77274903</c:v>
                </c:pt>
                <c:pt idx="247">
                  <c:v>2937397.77274903</c:v>
                </c:pt>
                <c:pt idx="248">
                  <c:v>2937397.77274903</c:v>
                </c:pt>
                <c:pt idx="249">
                  <c:v>2937397.77274903</c:v>
                </c:pt>
                <c:pt idx="250">
                  <c:v>2937397.77274903</c:v>
                </c:pt>
                <c:pt idx="251">
                  <c:v>2937397.77274903</c:v>
                </c:pt>
                <c:pt idx="252">
                  <c:v>2937397.77274903</c:v>
                </c:pt>
                <c:pt idx="253">
                  <c:v>2937397.77274903</c:v>
                </c:pt>
                <c:pt idx="254">
                  <c:v>2937397.77274903</c:v>
                </c:pt>
                <c:pt idx="255">
                  <c:v>2937397.77274903</c:v>
                </c:pt>
                <c:pt idx="256">
                  <c:v>2937397.77274903</c:v>
                </c:pt>
                <c:pt idx="257">
                  <c:v>2937397.77274903</c:v>
                </c:pt>
                <c:pt idx="258">
                  <c:v>2937397.77274903</c:v>
                </c:pt>
                <c:pt idx="259">
                  <c:v>2937397.77274903</c:v>
                </c:pt>
                <c:pt idx="260">
                  <c:v>2937397.77274903</c:v>
                </c:pt>
                <c:pt idx="261">
                  <c:v>2937397.77274903</c:v>
                </c:pt>
                <c:pt idx="262">
                  <c:v>2937397.77274903</c:v>
                </c:pt>
                <c:pt idx="263">
                  <c:v>2937397.77274903</c:v>
                </c:pt>
                <c:pt idx="264">
                  <c:v>2937397.77274903</c:v>
                </c:pt>
                <c:pt idx="265">
                  <c:v>2937397.77274903</c:v>
                </c:pt>
                <c:pt idx="266">
                  <c:v>2937397.77274903</c:v>
                </c:pt>
                <c:pt idx="267">
                  <c:v>2937397.77274903</c:v>
                </c:pt>
                <c:pt idx="268">
                  <c:v>2937397.77274903</c:v>
                </c:pt>
                <c:pt idx="269">
                  <c:v>2937397.77274903</c:v>
                </c:pt>
                <c:pt idx="270">
                  <c:v>2937397.77274903</c:v>
                </c:pt>
                <c:pt idx="271">
                  <c:v>2937397.77274903</c:v>
                </c:pt>
                <c:pt idx="272">
                  <c:v>2937397.77274903</c:v>
                </c:pt>
                <c:pt idx="273">
                  <c:v>2937397.77274903</c:v>
                </c:pt>
                <c:pt idx="274">
                  <c:v>2937397.77274903</c:v>
                </c:pt>
                <c:pt idx="275">
                  <c:v>2937397.77274903</c:v>
                </c:pt>
                <c:pt idx="276">
                  <c:v>2937397.77274903</c:v>
                </c:pt>
                <c:pt idx="277">
                  <c:v>2937397.77274903</c:v>
                </c:pt>
                <c:pt idx="278">
                  <c:v>2937397.77274903</c:v>
                </c:pt>
                <c:pt idx="279">
                  <c:v>2937397.77274903</c:v>
                </c:pt>
                <c:pt idx="280">
                  <c:v>2937397.77274903</c:v>
                </c:pt>
                <c:pt idx="281">
                  <c:v>2937397.77274903</c:v>
                </c:pt>
                <c:pt idx="282">
                  <c:v>2937397.77274903</c:v>
                </c:pt>
                <c:pt idx="283">
                  <c:v>2937397.77274903</c:v>
                </c:pt>
                <c:pt idx="284">
                  <c:v>2937397.77274903</c:v>
                </c:pt>
                <c:pt idx="285">
                  <c:v>2937397.77274903</c:v>
                </c:pt>
                <c:pt idx="286">
                  <c:v>2937397.77274903</c:v>
                </c:pt>
                <c:pt idx="287">
                  <c:v>2937397.77274903</c:v>
                </c:pt>
                <c:pt idx="288">
                  <c:v>2937397.77274903</c:v>
                </c:pt>
                <c:pt idx="289">
                  <c:v>2937397.77274903</c:v>
                </c:pt>
                <c:pt idx="290">
                  <c:v>2937397.77274903</c:v>
                </c:pt>
                <c:pt idx="291">
                  <c:v>2937397.77274903</c:v>
                </c:pt>
                <c:pt idx="292">
                  <c:v>2937397.77274903</c:v>
                </c:pt>
                <c:pt idx="293">
                  <c:v>2937397.77274903</c:v>
                </c:pt>
                <c:pt idx="294">
                  <c:v>2937397.77274903</c:v>
                </c:pt>
                <c:pt idx="295">
                  <c:v>2937397.77274903</c:v>
                </c:pt>
                <c:pt idx="296">
                  <c:v>2937397.77274903</c:v>
                </c:pt>
                <c:pt idx="297">
                  <c:v>2937397.77274903</c:v>
                </c:pt>
                <c:pt idx="298">
                  <c:v>2937397.77274903</c:v>
                </c:pt>
                <c:pt idx="299">
                  <c:v>2937397.77274903</c:v>
                </c:pt>
                <c:pt idx="300">
                  <c:v>2937397.77274903</c:v>
                </c:pt>
                <c:pt idx="301">
                  <c:v>2937397.77274903</c:v>
                </c:pt>
                <c:pt idx="302">
                  <c:v>2937397.77274903</c:v>
                </c:pt>
                <c:pt idx="303">
                  <c:v>2937397.77274903</c:v>
                </c:pt>
                <c:pt idx="304">
                  <c:v>2937397.77274903</c:v>
                </c:pt>
                <c:pt idx="305">
                  <c:v>2937397.77274903</c:v>
                </c:pt>
                <c:pt idx="306">
                  <c:v>2937397.77274903</c:v>
                </c:pt>
                <c:pt idx="307">
                  <c:v>2937397.77274903</c:v>
                </c:pt>
                <c:pt idx="308">
                  <c:v>2937397.77274903</c:v>
                </c:pt>
                <c:pt idx="309">
                  <c:v>2937397.77274903</c:v>
                </c:pt>
                <c:pt idx="310">
                  <c:v>2937397.77274903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-665111.26774902968</c:v>
                </c:pt>
                <c:pt idx="48">
                  <c:v>-665111.26774902968</c:v>
                </c:pt>
                <c:pt idx="49">
                  <c:v>694931.13225097023</c:v>
                </c:pt>
                <c:pt idx="50">
                  <c:v>694843.07225097017</c:v>
                </c:pt>
                <c:pt idx="51">
                  <c:v>439843.07225097017</c:v>
                </c:pt>
                <c:pt idx="52">
                  <c:v>435541.67225097027</c:v>
                </c:pt>
                <c:pt idx="53">
                  <c:v>415930.25225097034</c:v>
                </c:pt>
                <c:pt idx="54">
                  <c:v>415930.25225097034</c:v>
                </c:pt>
                <c:pt idx="55">
                  <c:v>415930.25225097034</c:v>
                </c:pt>
                <c:pt idx="56">
                  <c:v>545572.55225097016</c:v>
                </c:pt>
                <c:pt idx="57">
                  <c:v>503071.22725096997</c:v>
                </c:pt>
                <c:pt idx="58">
                  <c:v>503071.22725096997</c:v>
                </c:pt>
                <c:pt idx="59">
                  <c:v>503071.22725096997</c:v>
                </c:pt>
                <c:pt idx="60">
                  <c:v>462708.22725096997</c:v>
                </c:pt>
                <c:pt idx="61">
                  <c:v>462708.22725096997</c:v>
                </c:pt>
                <c:pt idx="62">
                  <c:v>462708.22725096997</c:v>
                </c:pt>
                <c:pt idx="63">
                  <c:v>462708.22725096997</c:v>
                </c:pt>
                <c:pt idx="64">
                  <c:v>462708.22725096997</c:v>
                </c:pt>
                <c:pt idx="65">
                  <c:v>462708.22725096997</c:v>
                </c:pt>
                <c:pt idx="66">
                  <c:v>462708.22725096997</c:v>
                </c:pt>
                <c:pt idx="67">
                  <c:v>462708.22725096997</c:v>
                </c:pt>
                <c:pt idx="68">
                  <c:v>462708.22725096997</c:v>
                </c:pt>
                <c:pt idx="69">
                  <c:v>462708.22725096997</c:v>
                </c:pt>
                <c:pt idx="70">
                  <c:v>462708.22725096997</c:v>
                </c:pt>
                <c:pt idx="71">
                  <c:v>462708.22725096997</c:v>
                </c:pt>
                <c:pt idx="72">
                  <c:v>462708.22725096997</c:v>
                </c:pt>
                <c:pt idx="73">
                  <c:v>462708.22725096997</c:v>
                </c:pt>
                <c:pt idx="74">
                  <c:v>462708.22725096997</c:v>
                </c:pt>
                <c:pt idx="75">
                  <c:v>462708.22725096997</c:v>
                </c:pt>
                <c:pt idx="76">
                  <c:v>462708.22725096997</c:v>
                </c:pt>
                <c:pt idx="77">
                  <c:v>462708.22725096997</c:v>
                </c:pt>
                <c:pt idx="78">
                  <c:v>462708.22725096997</c:v>
                </c:pt>
                <c:pt idx="79">
                  <c:v>462708.22725096997</c:v>
                </c:pt>
                <c:pt idx="80">
                  <c:v>462708.22725096997</c:v>
                </c:pt>
                <c:pt idx="81">
                  <c:v>462708.22725096997</c:v>
                </c:pt>
                <c:pt idx="82">
                  <c:v>462708.22725096997</c:v>
                </c:pt>
                <c:pt idx="83">
                  <c:v>462708.22725096997</c:v>
                </c:pt>
                <c:pt idx="84">
                  <c:v>462708.22725096997</c:v>
                </c:pt>
                <c:pt idx="85">
                  <c:v>462708.22725096997</c:v>
                </c:pt>
                <c:pt idx="86">
                  <c:v>462708.22725096997</c:v>
                </c:pt>
                <c:pt idx="87">
                  <c:v>462708.22725096997</c:v>
                </c:pt>
                <c:pt idx="88">
                  <c:v>462708.22725096997</c:v>
                </c:pt>
                <c:pt idx="89">
                  <c:v>462708.22725096997</c:v>
                </c:pt>
                <c:pt idx="90">
                  <c:v>462708.22725096997</c:v>
                </c:pt>
                <c:pt idx="91">
                  <c:v>462708.22725096997</c:v>
                </c:pt>
                <c:pt idx="92">
                  <c:v>462708.22725096997</c:v>
                </c:pt>
                <c:pt idx="93">
                  <c:v>462708.22725096997</c:v>
                </c:pt>
                <c:pt idx="94">
                  <c:v>462708.22725096997</c:v>
                </c:pt>
                <c:pt idx="95">
                  <c:v>462708.22725096997</c:v>
                </c:pt>
                <c:pt idx="96">
                  <c:v>462708.22725096997</c:v>
                </c:pt>
                <c:pt idx="97">
                  <c:v>462708.22725096997</c:v>
                </c:pt>
                <c:pt idx="98">
                  <c:v>462708.22725096997</c:v>
                </c:pt>
                <c:pt idx="99">
                  <c:v>462708.22725096997</c:v>
                </c:pt>
                <c:pt idx="100">
                  <c:v>462708.22725096997</c:v>
                </c:pt>
                <c:pt idx="101">
                  <c:v>462708.22725096997</c:v>
                </c:pt>
                <c:pt idx="102">
                  <c:v>462708.22725096997</c:v>
                </c:pt>
                <c:pt idx="103">
                  <c:v>462708.22725096997</c:v>
                </c:pt>
                <c:pt idx="104">
                  <c:v>462708.22725096997</c:v>
                </c:pt>
                <c:pt idx="105">
                  <c:v>462708.22725096997</c:v>
                </c:pt>
                <c:pt idx="106">
                  <c:v>462708.22725096997</c:v>
                </c:pt>
                <c:pt idx="107">
                  <c:v>462708.22725096997</c:v>
                </c:pt>
                <c:pt idx="108">
                  <c:v>462708.22725096997</c:v>
                </c:pt>
                <c:pt idx="109">
                  <c:v>462708.22725096997</c:v>
                </c:pt>
                <c:pt idx="110">
                  <c:v>462708.22725096997</c:v>
                </c:pt>
                <c:pt idx="111">
                  <c:v>462708.22725096997</c:v>
                </c:pt>
                <c:pt idx="112">
                  <c:v>462708.22725096997</c:v>
                </c:pt>
                <c:pt idx="113">
                  <c:v>462708.22725096997</c:v>
                </c:pt>
                <c:pt idx="114">
                  <c:v>462708.22725096997</c:v>
                </c:pt>
                <c:pt idx="115">
                  <c:v>462708.22725096997</c:v>
                </c:pt>
                <c:pt idx="116">
                  <c:v>462708.22725096997</c:v>
                </c:pt>
                <c:pt idx="117">
                  <c:v>462708.22725096997</c:v>
                </c:pt>
                <c:pt idx="118">
                  <c:v>462708.22725096997</c:v>
                </c:pt>
                <c:pt idx="119">
                  <c:v>462708.22725096997</c:v>
                </c:pt>
                <c:pt idx="120">
                  <c:v>462708.22725096997</c:v>
                </c:pt>
                <c:pt idx="121">
                  <c:v>462708.22725096997</c:v>
                </c:pt>
                <c:pt idx="122">
                  <c:v>462708.22725096997</c:v>
                </c:pt>
                <c:pt idx="123">
                  <c:v>462708.22725096997</c:v>
                </c:pt>
                <c:pt idx="124">
                  <c:v>462708.22725096997</c:v>
                </c:pt>
                <c:pt idx="125">
                  <c:v>462708.22725096997</c:v>
                </c:pt>
                <c:pt idx="126">
                  <c:v>462708.22725096997</c:v>
                </c:pt>
                <c:pt idx="127">
                  <c:v>462708.22725096997</c:v>
                </c:pt>
                <c:pt idx="128">
                  <c:v>462708.22725096997</c:v>
                </c:pt>
                <c:pt idx="129">
                  <c:v>462708.22725096997</c:v>
                </c:pt>
                <c:pt idx="130">
                  <c:v>462708.22725096997</c:v>
                </c:pt>
                <c:pt idx="131">
                  <c:v>462708.22725096997</c:v>
                </c:pt>
                <c:pt idx="132">
                  <c:v>462708.22725096997</c:v>
                </c:pt>
                <c:pt idx="133">
                  <c:v>462708.22725096997</c:v>
                </c:pt>
                <c:pt idx="134">
                  <c:v>462708.22725096997</c:v>
                </c:pt>
                <c:pt idx="135">
                  <c:v>462708.22725096997</c:v>
                </c:pt>
                <c:pt idx="136">
                  <c:v>462708.22725096997</c:v>
                </c:pt>
                <c:pt idx="137">
                  <c:v>462708.22725096997</c:v>
                </c:pt>
                <c:pt idx="138">
                  <c:v>462708.22725096997</c:v>
                </c:pt>
                <c:pt idx="139">
                  <c:v>462708.22725096997</c:v>
                </c:pt>
                <c:pt idx="140">
                  <c:v>462708.22725096997</c:v>
                </c:pt>
                <c:pt idx="141">
                  <c:v>462708.22725096997</c:v>
                </c:pt>
                <c:pt idx="142">
                  <c:v>462708.22725096997</c:v>
                </c:pt>
                <c:pt idx="143">
                  <c:v>462708.22725096997</c:v>
                </c:pt>
                <c:pt idx="144">
                  <c:v>462708.22725096997</c:v>
                </c:pt>
                <c:pt idx="145">
                  <c:v>462708.22725096997</c:v>
                </c:pt>
                <c:pt idx="146">
                  <c:v>462708.22725096997</c:v>
                </c:pt>
                <c:pt idx="147">
                  <c:v>462708.22725096997</c:v>
                </c:pt>
                <c:pt idx="148">
                  <c:v>462708.22725096997</c:v>
                </c:pt>
                <c:pt idx="149">
                  <c:v>462708.22725096997</c:v>
                </c:pt>
                <c:pt idx="150">
                  <c:v>462708.22725096997</c:v>
                </c:pt>
                <c:pt idx="151">
                  <c:v>462708.22725096997</c:v>
                </c:pt>
                <c:pt idx="152">
                  <c:v>462708.22725096997</c:v>
                </c:pt>
                <c:pt idx="153">
                  <c:v>462708.22725096997</c:v>
                </c:pt>
                <c:pt idx="154">
                  <c:v>462708.22725096997</c:v>
                </c:pt>
                <c:pt idx="155">
                  <c:v>462708.22725096997</c:v>
                </c:pt>
                <c:pt idx="156">
                  <c:v>462708.22725096997</c:v>
                </c:pt>
                <c:pt idx="157">
                  <c:v>462708.22725096997</c:v>
                </c:pt>
                <c:pt idx="158">
                  <c:v>462708.22725096997</c:v>
                </c:pt>
                <c:pt idx="159">
                  <c:v>462708.22725096997</c:v>
                </c:pt>
                <c:pt idx="160">
                  <c:v>462708.22725096997</c:v>
                </c:pt>
                <c:pt idx="161">
                  <c:v>462708.22725096997</c:v>
                </c:pt>
                <c:pt idx="162">
                  <c:v>462708.22725096997</c:v>
                </c:pt>
                <c:pt idx="163">
                  <c:v>462708.22725096997</c:v>
                </c:pt>
                <c:pt idx="164">
                  <c:v>462708.22725096997</c:v>
                </c:pt>
                <c:pt idx="165">
                  <c:v>462708.22725096997</c:v>
                </c:pt>
                <c:pt idx="166">
                  <c:v>462708.22725096997</c:v>
                </c:pt>
                <c:pt idx="167">
                  <c:v>462708.22725096997</c:v>
                </c:pt>
                <c:pt idx="168">
                  <c:v>462708.22725096997</c:v>
                </c:pt>
                <c:pt idx="169">
                  <c:v>462708.22725096997</c:v>
                </c:pt>
                <c:pt idx="170">
                  <c:v>462708.22725096997</c:v>
                </c:pt>
                <c:pt idx="171">
                  <c:v>462708.22725096997</c:v>
                </c:pt>
                <c:pt idx="172">
                  <c:v>462708.22725096997</c:v>
                </c:pt>
                <c:pt idx="173">
                  <c:v>462708.22725096997</c:v>
                </c:pt>
                <c:pt idx="174">
                  <c:v>462708.22725096997</c:v>
                </c:pt>
                <c:pt idx="175">
                  <c:v>462708.22725096997</c:v>
                </c:pt>
                <c:pt idx="176">
                  <c:v>462708.22725096997</c:v>
                </c:pt>
                <c:pt idx="177">
                  <c:v>462708.22725096997</c:v>
                </c:pt>
                <c:pt idx="178">
                  <c:v>462708.22725096997</c:v>
                </c:pt>
                <c:pt idx="179">
                  <c:v>462708.22725096997</c:v>
                </c:pt>
                <c:pt idx="180">
                  <c:v>462708.22725096997</c:v>
                </c:pt>
                <c:pt idx="181">
                  <c:v>462708.22725096997</c:v>
                </c:pt>
                <c:pt idx="182">
                  <c:v>462708.22725096997</c:v>
                </c:pt>
                <c:pt idx="183">
                  <c:v>462708.22725096997</c:v>
                </c:pt>
                <c:pt idx="184">
                  <c:v>462708.22725096997</c:v>
                </c:pt>
                <c:pt idx="185">
                  <c:v>462708.22725096997</c:v>
                </c:pt>
                <c:pt idx="186">
                  <c:v>462708.22725096997</c:v>
                </c:pt>
                <c:pt idx="187">
                  <c:v>462708.22725096997</c:v>
                </c:pt>
                <c:pt idx="188">
                  <c:v>462708.22725096997</c:v>
                </c:pt>
                <c:pt idx="189">
                  <c:v>462708.22725096997</c:v>
                </c:pt>
                <c:pt idx="190">
                  <c:v>462708.22725096997</c:v>
                </c:pt>
                <c:pt idx="191">
                  <c:v>462708.22725096997</c:v>
                </c:pt>
                <c:pt idx="192">
                  <c:v>462708.22725096997</c:v>
                </c:pt>
                <c:pt idx="193">
                  <c:v>462708.22725096997</c:v>
                </c:pt>
                <c:pt idx="194">
                  <c:v>462708.22725096997</c:v>
                </c:pt>
                <c:pt idx="195">
                  <c:v>462708.22725096997</c:v>
                </c:pt>
                <c:pt idx="196">
                  <c:v>462708.22725096997</c:v>
                </c:pt>
                <c:pt idx="197">
                  <c:v>462708.22725096997</c:v>
                </c:pt>
                <c:pt idx="198">
                  <c:v>462708.22725096997</c:v>
                </c:pt>
                <c:pt idx="199">
                  <c:v>462708.22725096997</c:v>
                </c:pt>
                <c:pt idx="200">
                  <c:v>462708.22725096997</c:v>
                </c:pt>
                <c:pt idx="201">
                  <c:v>462708.22725096997</c:v>
                </c:pt>
                <c:pt idx="202">
                  <c:v>462708.22725096997</c:v>
                </c:pt>
                <c:pt idx="203">
                  <c:v>462708.22725096997</c:v>
                </c:pt>
                <c:pt idx="204">
                  <c:v>462708.22725096997</c:v>
                </c:pt>
                <c:pt idx="205">
                  <c:v>462708.22725096997</c:v>
                </c:pt>
                <c:pt idx="206">
                  <c:v>462708.22725096997</c:v>
                </c:pt>
                <c:pt idx="207">
                  <c:v>462708.22725096997</c:v>
                </c:pt>
                <c:pt idx="208">
                  <c:v>462708.22725096997</c:v>
                </c:pt>
                <c:pt idx="209">
                  <c:v>462708.22725096997</c:v>
                </c:pt>
                <c:pt idx="210">
                  <c:v>462708.22725096997</c:v>
                </c:pt>
                <c:pt idx="211">
                  <c:v>462708.22725096997</c:v>
                </c:pt>
                <c:pt idx="212">
                  <c:v>462708.22725096997</c:v>
                </c:pt>
                <c:pt idx="213">
                  <c:v>462708.22725096997</c:v>
                </c:pt>
                <c:pt idx="214">
                  <c:v>462708.22725096997</c:v>
                </c:pt>
                <c:pt idx="215">
                  <c:v>462708.22725096997</c:v>
                </c:pt>
                <c:pt idx="216">
                  <c:v>462708.22725096997</c:v>
                </c:pt>
                <c:pt idx="217">
                  <c:v>462708.22725096997</c:v>
                </c:pt>
                <c:pt idx="218">
                  <c:v>462708.22725096997</c:v>
                </c:pt>
                <c:pt idx="219">
                  <c:v>462708.22725096997</c:v>
                </c:pt>
                <c:pt idx="220">
                  <c:v>462708.22725096997</c:v>
                </c:pt>
                <c:pt idx="221">
                  <c:v>462708.22725096997</c:v>
                </c:pt>
                <c:pt idx="222">
                  <c:v>462708.22725096997</c:v>
                </c:pt>
                <c:pt idx="223">
                  <c:v>462708.22725096997</c:v>
                </c:pt>
                <c:pt idx="224">
                  <c:v>462708.22725096997</c:v>
                </c:pt>
                <c:pt idx="225">
                  <c:v>462708.22725096997</c:v>
                </c:pt>
                <c:pt idx="226">
                  <c:v>462708.22725096997</c:v>
                </c:pt>
                <c:pt idx="227">
                  <c:v>462708.22725096997</c:v>
                </c:pt>
                <c:pt idx="228">
                  <c:v>462708.22725096997</c:v>
                </c:pt>
                <c:pt idx="229">
                  <c:v>462708.22725096997</c:v>
                </c:pt>
                <c:pt idx="230">
                  <c:v>462708.22725096997</c:v>
                </c:pt>
                <c:pt idx="231">
                  <c:v>462708.22725096997</c:v>
                </c:pt>
                <c:pt idx="232">
                  <c:v>462708.22725096997</c:v>
                </c:pt>
                <c:pt idx="233">
                  <c:v>462708.22725096997</c:v>
                </c:pt>
                <c:pt idx="234">
                  <c:v>462708.22725096997</c:v>
                </c:pt>
                <c:pt idx="235">
                  <c:v>462708.22725096997</c:v>
                </c:pt>
                <c:pt idx="236">
                  <c:v>462708.22725096997</c:v>
                </c:pt>
                <c:pt idx="237">
                  <c:v>462708.22725096997</c:v>
                </c:pt>
                <c:pt idx="238">
                  <c:v>462708.22725096997</c:v>
                </c:pt>
                <c:pt idx="239">
                  <c:v>462708.22725096997</c:v>
                </c:pt>
                <c:pt idx="240">
                  <c:v>462708.22725096997</c:v>
                </c:pt>
                <c:pt idx="241">
                  <c:v>462708.22725096997</c:v>
                </c:pt>
                <c:pt idx="242">
                  <c:v>462708.22725096997</c:v>
                </c:pt>
                <c:pt idx="243">
                  <c:v>462708.22725096997</c:v>
                </c:pt>
                <c:pt idx="244">
                  <c:v>462708.22725096997</c:v>
                </c:pt>
                <c:pt idx="245">
                  <c:v>462708.22725096997</c:v>
                </c:pt>
                <c:pt idx="246">
                  <c:v>462708.22725096997</c:v>
                </c:pt>
                <c:pt idx="247">
                  <c:v>462708.22725096997</c:v>
                </c:pt>
                <c:pt idx="248">
                  <c:v>462708.22725096997</c:v>
                </c:pt>
                <c:pt idx="249">
                  <c:v>462708.22725096997</c:v>
                </c:pt>
                <c:pt idx="250">
                  <c:v>462708.22725096997</c:v>
                </c:pt>
                <c:pt idx="251">
                  <c:v>462708.22725096997</c:v>
                </c:pt>
                <c:pt idx="252">
                  <c:v>462708.22725096997</c:v>
                </c:pt>
                <c:pt idx="253">
                  <c:v>462708.22725096997</c:v>
                </c:pt>
                <c:pt idx="254">
                  <c:v>462708.22725096997</c:v>
                </c:pt>
                <c:pt idx="255">
                  <c:v>462708.22725096997</c:v>
                </c:pt>
                <c:pt idx="256">
                  <c:v>462708.22725096997</c:v>
                </c:pt>
                <c:pt idx="257">
                  <c:v>462708.22725096997</c:v>
                </c:pt>
                <c:pt idx="258">
                  <c:v>462708.22725096997</c:v>
                </c:pt>
                <c:pt idx="259">
                  <c:v>462708.22725096997</c:v>
                </c:pt>
                <c:pt idx="260">
                  <c:v>462708.22725096997</c:v>
                </c:pt>
                <c:pt idx="261">
                  <c:v>462708.22725096997</c:v>
                </c:pt>
                <c:pt idx="262">
                  <c:v>462708.22725096997</c:v>
                </c:pt>
                <c:pt idx="263">
                  <c:v>462708.22725096997</c:v>
                </c:pt>
                <c:pt idx="264">
                  <c:v>462708.22725096997</c:v>
                </c:pt>
                <c:pt idx="265">
                  <c:v>462708.22725096997</c:v>
                </c:pt>
                <c:pt idx="266">
                  <c:v>462708.22725096997</c:v>
                </c:pt>
                <c:pt idx="267">
                  <c:v>462708.22725096997</c:v>
                </c:pt>
                <c:pt idx="268">
                  <c:v>462708.22725096997</c:v>
                </c:pt>
                <c:pt idx="269">
                  <c:v>462708.22725096997</c:v>
                </c:pt>
                <c:pt idx="270">
                  <c:v>462708.22725096997</c:v>
                </c:pt>
                <c:pt idx="271">
                  <c:v>462708.22725096997</c:v>
                </c:pt>
                <c:pt idx="272">
                  <c:v>462708.22725096997</c:v>
                </c:pt>
                <c:pt idx="273">
                  <c:v>462708.22725096997</c:v>
                </c:pt>
                <c:pt idx="274">
                  <c:v>462708.22725096997</c:v>
                </c:pt>
                <c:pt idx="275">
                  <c:v>462708.22725096997</c:v>
                </c:pt>
                <c:pt idx="276">
                  <c:v>462708.22725096997</c:v>
                </c:pt>
                <c:pt idx="277">
                  <c:v>462708.22725096997</c:v>
                </c:pt>
                <c:pt idx="278">
                  <c:v>462708.22725096997</c:v>
                </c:pt>
                <c:pt idx="279">
                  <c:v>462708.22725096997</c:v>
                </c:pt>
                <c:pt idx="280">
                  <c:v>462708.22725096997</c:v>
                </c:pt>
                <c:pt idx="281">
                  <c:v>462708.22725096997</c:v>
                </c:pt>
                <c:pt idx="282">
                  <c:v>462708.22725096997</c:v>
                </c:pt>
                <c:pt idx="283">
                  <c:v>462708.22725096997</c:v>
                </c:pt>
                <c:pt idx="284">
                  <c:v>462708.22725096997</c:v>
                </c:pt>
                <c:pt idx="285">
                  <c:v>462708.22725096997</c:v>
                </c:pt>
                <c:pt idx="286">
                  <c:v>462708.22725096997</c:v>
                </c:pt>
                <c:pt idx="287">
                  <c:v>462708.22725096997</c:v>
                </c:pt>
                <c:pt idx="288">
                  <c:v>462708.22725096997</c:v>
                </c:pt>
                <c:pt idx="289">
                  <c:v>462708.22725096997</c:v>
                </c:pt>
                <c:pt idx="290">
                  <c:v>462708.22725096997</c:v>
                </c:pt>
                <c:pt idx="291">
                  <c:v>462708.22725096997</c:v>
                </c:pt>
                <c:pt idx="292">
                  <c:v>462708.22725096997</c:v>
                </c:pt>
                <c:pt idx="293">
                  <c:v>462708.22725096997</c:v>
                </c:pt>
                <c:pt idx="294">
                  <c:v>462708.22725096997</c:v>
                </c:pt>
                <c:pt idx="295">
                  <c:v>462708.22725096997</c:v>
                </c:pt>
                <c:pt idx="296">
                  <c:v>462708.22725096997</c:v>
                </c:pt>
                <c:pt idx="297">
                  <c:v>462708.22725096997</c:v>
                </c:pt>
                <c:pt idx="298">
                  <c:v>462708.22725096997</c:v>
                </c:pt>
                <c:pt idx="299">
                  <c:v>462708.22725096997</c:v>
                </c:pt>
                <c:pt idx="300">
                  <c:v>462708.22725096997</c:v>
                </c:pt>
                <c:pt idx="301">
                  <c:v>462708.22725096997</c:v>
                </c:pt>
                <c:pt idx="302">
                  <c:v>462708.22725096997</c:v>
                </c:pt>
                <c:pt idx="303">
                  <c:v>462708.22725096997</c:v>
                </c:pt>
                <c:pt idx="304">
                  <c:v>462708.22725096997</c:v>
                </c:pt>
                <c:pt idx="305">
                  <c:v>462708.22725096997</c:v>
                </c:pt>
                <c:pt idx="306">
                  <c:v>462708.22725096997</c:v>
                </c:pt>
                <c:pt idx="307">
                  <c:v>462708.22725096997</c:v>
                </c:pt>
                <c:pt idx="308">
                  <c:v>462708.22725096997</c:v>
                </c:pt>
                <c:pt idx="309">
                  <c:v>462708.22725096997</c:v>
                </c:pt>
                <c:pt idx="310">
                  <c:v>462708.22725096997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3219840.0716483048</c:v>
                </c:pt>
                <c:pt idx="54">
                  <c:v>3219840.0716483048</c:v>
                </c:pt>
                <c:pt idx="55">
                  <c:v>3219840.0716483048</c:v>
                </c:pt>
                <c:pt idx="56">
                  <c:v>3219840.0716483048</c:v>
                </c:pt>
                <c:pt idx="57">
                  <c:v>3398535.386182819</c:v>
                </c:pt>
                <c:pt idx="58">
                  <c:v>3398535.386182819</c:v>
                </c:pt>
                <c:pt idx="59">
                  <c:v>3398535.386182819</c:v>
                </c:pt>
                <c:pt idx="60">
                  <c:v>3398535.386182819</c:v>
                </c:pt>
                <c:pt idx="61">
                  <c:v>3398535.386182819</c:v>
                </c:pt>
                <c:pt idx="62">
                  <c:v>3398535.386182819</c:v>
                </c:pt>
                <c:pt idx="63">
                  <c:v>3398535.386182819</c:v>
                </c:pt>
                <c:pt idx="64">
                  <c:v>3398535.386182819</c:v>
                </c:pt>
                <c:pt idx="65">
                  <c:v>3398535.386182819</c:v>
                </c:pt>
                <c:pt idx="66">
                  <c:v>3398535.386182819</c:v>
                </c:pt>
                <c:pt idx="67">
                  <c:v>3398535.386182819</c:v>
                </c:pt>
                <c:pt idx="68">
                  <c:v>3398535.386182819</c:v>
                </c:pt>
                <c:pt idx="69">
                  <c:v>3398535.386182819</c:v>
                </c:pt>
                <c:pt idx="70">
                  <c:v>3398535.386182819</c:v>
                </c:pt>
                <c:pt idx="71">
                  <c:v>3398535.386182819</c:v>
                </c:pt>
                <c:pt idx="72">
                  <c:v>3398535.386182819</c:v>
                </c:pt>
                <c:pt idx="73">
                  <c:v>3398535.386182819</c:v>
                </c:pt>
                <c:pt idx="74">
                  <c:v>3398535.386182819</c:v>
                </c:pt>
                <c:pt idx="75">
                  <c:v>3398535.386182819</c:v>
                </c:pt>
                <c:pt idx="76">
                  <c:v>3398535.386182819</c:v>
                </c:pt>
                <c:pt idx="77">
                  <c:v>3398535.386182819</c:v>
                </c:pt>
                <c:pt idx="78">
                  <c:v>3398535.386182819</c:v>
                </c:pt>
                <c:pt idx="79">
                  <c:v>3398535.386182819</c:v>
                </c:pt>
                <c:pt idx="80">
                  <c:v>3398535.386182819</c:v>
                </c:pt>
                <c:pt idx="81">
                  <c:v>3398535.386182819</c:v>
                </c:pt>
                <c:pt idx="82">
                  <c:v>3398535.386182819</c:v>
                </c:pt>
                <c:pt idx="83">
                  <c:v>3398535.386182819</c:v>
                </c:pt>
                <c:pt idx="84">
                  <c:v>3398535.386182819</c:v>
                </c:pt>
                <c:pt idx="85">
                  <c:v>3398535.386182819</c:v>
                </c:pt>
                <c:pt idx="86">
                  <c:v>3398535.386182819</c:v>
                </c:pt>
                <c:pt idx="87">
                  <c:v>3398535.386182819</c:v>
                </c:pt>
                <c:pt idx="88">
                  <c:v>3398535.386182819</c:v>
                </c:pt>
                <c:pt idx="89">
                  <c:v>3398535.386182819</c:v>
                </c:pt>
                <c:pt idx="90">
                  <c:v>3398535.386182819</c:v>
                </c:pt>
                <c:pt idx="91">
                  <c:v>3398535.386182819</c:v>
                </c:pt>
                <c:pt idx="92">
                  <c:v>3398535.386182819</c:v>
                </c:pt>
                <c:pt idx="93">
                  <c:v>3398535.386182819</c:v>
                </c:pt>
                <c:pt idx="94">
                  <c:v>3398535.386182819</c:v>
                </c:pt>
                <c:pt idx="95">
                  <c:v>3398535.386182819</c:v>
                </c:pt>
                <c:pt idx="96">
                  <c:v>3398535.386182819</c:v>
                </c:pt>
                <c:pt idx="97">
                  <c:v>3398535.386182819</c:v>
                </c:pt>
                <c:pt idx="98">
                  <c:v>3398535.386182819</c:v>
                </c:pt>
                <c:pt idx="99">
                  <c:v>3398535.386182819</c:v>
                </c:pt>
                <c:pt idx="100">
                  <c:v>3398535.386182819</c:v>
                </c:pt>
                <c:pt idx="101">
                  <c:v>3398535.386182819</c:v>
                </c:pt>
                <c:pt idx="102">
                  <c:v>3398535.386182819</c:v>
                </c:pt>
                <c:pt idx="103">
                  <c:v>3398535.386182819</c:v>
                </c:pt>
                <c:pt idx="104">
                  <c:v>3398535.386182819</c:v>
                </c:pt>
                <c:pt idx="105">
                  <c:v>3398535.386182819</c:v>
                </c:pt>
                <c:pt idx="106">
                  <c:v>3398535.386182819</c:v>
                </c:pt>
                <c:pt idx="107">
                  <c:v>3398535.386182819</c:v>
                </c:pt>
                <c:pt idx="108">
                  <c:v>3398535.386182819</c:v>
                </c:pt>
                <c:pt idx="109">
                  <c:v>3398535.386182819</c:v>
                </c:pt>
                <c:pt idx="110">
                  <c:v>3398535.386182819</c:v>
                </c:pt>
                <c:pt idx="111">
                  <c:v>3398535.386182819</c:v>
                </c:pt>
                <c:pt idx="112">
                  <c:v>3398535.386182819</c:v>
                </c:pt>
                <c:pt idx="113">
                  <c:v>3398535.386182819</c:v>
                </c:pt>
                <c:pt idx="114">
                  <c:v>3398535.386182819</c:v>
                </c:pt>
                <c:pt idx="115">
                  <c:v>3398535.386182819</c:v>
                </c:pt>
                <c:pt idx="116">
                  <c:v>3398535.386182819</c:v>
                </c:pt>
                <c:pt idx="117">
                  <c:v>3398535.386182819</c:v>
                </c:pt>
                <c:pt idx="118">
                  <c:v>3398535.386182819</c:v>
                </c:pt>
                <c:pt idx="119">
                  <c:v>3398535.386182819</c:v>
                </c:pt>
                <c:pt idx="120">
                  <c:v>3398535.386182819</c:v>
                </c:pt>
                <c:pt idx="121">
                  <c:v>3398535.386182819</c:v>
                </c:pt>
                <c:pt idx="122">
                  <c:v>3398535.386182819</c:v>
                </c:pt>
                <c:pt idx="123">
                  <c:v>3398535.386182819</c:v>
                </c:pt>
                <c:pt idx="124">
                  <c:v>3398535.386182819</c:v>
                </c:pt>
                <c:pt idx="125">
                  <c:v>3398535.386182819</c:v>
                </c:pt>
                <c:pt idx="126">
                  <c:v>3398535.386182819</c:v>
                </c:pt>
                <c:pt idx="127">
                  <c:v>3398535.386182819</c:v>
                </c:pt>
                <c:pt idx="128">
                  <c:v>3398535.386182819</c:v>
                </c:pt>
                <c:pt idx="129">
                  <c:v>3398535.386182819</c:v>
                </c:pt>
                <c:pt idx="130">
                  <c:v>3398535.386182819</c:v>
                </c:pt>
                <c:pt idx="131">
                  <c:v>3398535.386182819</c:v>
                </c:pt>
                <c:pt idx="132">
                  <c:v>3398535.386182819</c:v>
                </c:pt>
                <c:pt idx="133">
                  <c:v>3398535.386182819</c:v>
                </c:pt>
                <c:pt idx="134">
                  <c:v>3398535.386182819</c:v>
                </c:pt>
                <c:pt idx="135">
                  <c:v>3398535.386182819</c:v>
                </c:pt>
                <c:pt idx="136">
                  <c:v>3398535.386182819</c:v>
                </c:pt>
                <c:pt idx="137">
                  <c:v>3398535.386182819</c:v>
                </c:pt>
                <c:pt idx="138">
                  <c:v>3398535.386182819</c:v>
                </c:pt>
                <c:pt idx="139">
                  <c:v>3398535.386182819</c:v>
                </c:pt>
                <c:pt idx="140">
                  <c:v>3398535.386182819</c:v>
                </c:pt>
                <c:pt idx="141">
                  <c:v>3398535.386182819</c:v>
                </c:pt>
                <c:pt idx="142">
                  <c:v>3398535.386182819</c:v>
                </c:pt>
                <c:pt idx="143">
                  <c:v>3398535.386182819</c:v>
                </c:pt>
                <c:pt idx="144">
                  <c:v>3398535.386182819</c:v>
                </c:pt>
                <c:pt idx="145">
                  <c:v>3398535.386182819</c:v>
                </c:pt>
                <c:pt idx="146">
                  <c:v>3398535.386182819</c:v>
                </c:pt>
                <c:pt idx="147">
                  <c:v>3398535.386182819</c:v>
                </c:pt>
                <c:pt idx="148">
                  <c:v>3398535.386182819</c:v>
                </c:pt>
                <c:pt idx="149">
                  <c:v>3398535.386182819</c:v>
                </c:pt>
                <c:pt idx="150">
                  <c:v>3398535.386182819</c:v>
                </c:pt>
                <c:pt idx="151">
                  <c:v>3398535.386182819</c:v>
                </c:pt>
                <c:pt idx="152">
                  <c:v>3398535.386182819</c:v>
                </c:pt>
                <c:pt idx="153">
                  <c:v>3398535.386182819</c:v>
                </c:pt>
                <c:pt idx="154">
                  <c:v>3398535.386182819</c:v>
                </c:pt>
                <c:pt idx="155">
                  <c:v>3398535.386182819</c:v>
                </c:pt>
                <c:pt idx="156">
                  <c:v>3398535.386182819</c:v>
                </c:pt>
                <c:pt idx="157">
                  <c:v>3398535.386182819</c:v>
                </c:pt>
                <c:pt idx="158">
                  <c:v>3398535.386182819</c:v>
                </c:pt>
                <c:pt idx="159">
                  <c:v>3398535.386182819</c:v>
                </c:pt>
                <c:pt idx="160">
                  <c:v>3398535.386182819</c:v>
                </c:pt>
                <c:pt idx="161">
                  <c:v>3398535.386182819</c:v>
                </c:pt>
                <c:pt idx="162">
                  <c:v>3398535.386182819</c:v>
                </c:pt>
                <c:pt idx="163">
                  <c:v>3398535.386182819</c:v>
                </c:pt>
                <c:pt idx="164">
                  <c:v>3398535.386182819</c:v>
                </c:pt>
                <c:pt idx="165">
                  <c:v>3398535.386182819</c:v>
                </c:pt>
                <c:pt idx="166">
                  <c:v>3398535.386182819</c:v>
                </c:pt>
                <c:pt idx="167">
                  <c:v>3398535.386182819</c:v>
                </c:pt>
                <c:pt idx="168">
                  <c:v>3398535.386182819</c:v>
                </c:pt>
                <c:pt idx="169">
                  <c:v>3398535.386182819</c:v>
                </c:pt>
                <c:pt idx="170">
                  <c:v>3398535.386182819</c:v>
                </c:pt>
                <c:pt idx="171">
                  <c:v>3398535.386182819</c:v>
                </c:pt>
                <c:pt idx="172">
                  <c:v>3398535.386182819</c:v>
                </c:pt>
                <c:pt idx="173">
                  <c:v>3398535.386182819</c:v>
                </c:pt>
                <c:pt idx="174">
                  <c:v>3398535.386182819</c:v>
                </c:pt>
                <c:pt idx="175">
                  <c:v>3398535.386182819</c:v>
                </c:pt>
                <c:pt idx="176">
                  <c:v>3398535.386182819</c:v>
                </c:pt>
                <c:pt idx="177">
                  <c:v>3398535.386182819</c:v>
                </c:pt>
                <c:pt idx="178">
                  <c:v>3398535.386182819</c:v>
                </c:pt>
                <c:pt idx="179">
                  <c:v>3398535.386182819</c:v>
                </c:pt>
                <c:pt idx="180">
                  <c:v>3398535.386182819</c:v>
                </c:pt>
                <c:pt idx="181">
                  <c:v>3398535.386182819</c:v>
                </c:pt>
                <c:pt idx="182">
                  <c:v>3398535.386182819</c:v>
                </c:pt>
                <c:pt idx="183">
                  <c:v>3398535.386182819</c:v>
                </c:pt>
                <c:pt idx="184">
                  <c:v>3398535.386182819</c:v>
                </c:pt>
                <c:pt idx="185">
                  <c:v>3398535.386182819</c:v>
                </c:pt>
                <c:pt idx="186">
                  <c:v>3398535.386182819</c:v>
                </c:pt>
                <c:pt idx="187">
                  <c:v>3398535.386182819</c:v>
                </c:pt>
                <c:pt idx="188">
                  <c:v>3398535.386182819</c:v>
                </c:pt>
                <c:pt idx="189">
                  <c:v>3398535.386182819</c:v>
                </c:pt>
                <c:pt idx="190">
                  <c:v>3398535.386182819</c:v>
                </c:pt>
                <c:pt idx="191">
                  <c:v>3398535.386182819</c:v>
                </c:pt>
                <c:pt idx="192">
                  <c:v>3398535.386182819</c:v>
                </c:pt>
                <c:pt idx="193">
                  <c:v>3398535.386182819</c:v>
                </c:pt>
                <c:pt idx="194">
                  <c:v>3398535.386182819</c:v>
                </c:pt>
                <c:pt idx="195">
                  <c:v>3398535.386182819</c:v>
                </c:pt>
                <c:pt idx="196">
                  <c:v>3398535.386182819</c:v>
                </c:pt>
                <c:pt idx="197">
                  <c:v>3398535.386182819</c:v>
                </c:pt>
                <c:pt idx="198">
                  <c:v>3398535.386182819</c:v>
                </c:pt>
                <c:pt idx="199">
                  <c:v>3398535.386182819</c:v>
                </c:pt>
                <c:pt idx="200">
                  <c:v>3398535.386182819</c:v>
                </c:pt>
                <c:pt idx="201">
                  <c:v>3398535.386182819</c:v>
                </c:pt>
                <c:pt idx="202">
                  <c:v>3398535.386182819</c:v>
                </c:pt>
                <c:pt idx="203">
                  <c:v>3398535.386182819</c:v>
                </c:pt>
                <c:pt idx="204">
                  <c:v>3398535.386182819</c:v>
                </c:pt>
                <c:pt idx="205">
                  <c:v>3398535.386182819</c:v>
                </c:pt>
                <c:pt idx="206">
                  <c:v>3398535.386182819</c:v>
                </c:pt>
                <c:pt idx="207">
                  <c:v>3398535.386182819</c:v>
                </c:pt>
                <c:pt idx="208">
                  <c:v>3398535.386182819</c:v>
                </c:pt>
                <c:pt idx="209">
                  <c:v>3398535.386182819</c:v>
                </c:pt>
                <c:pt idx="210">
                  <c:v>3398535.386182819</c:v>
                </c:pt>
                <c:pt idx="211">
                  <c:v>3398535.386182819</c:v>
                </c:pt>
                <c:pt idx="212">
                  <c:v>3398535.386182819</c:v>
                </c:pt>
                <c:pt idx="213">
                  <c:v>3398535.386182819</c:v>
                </c:pt>
                <c:pt idx="214">
                  <c:v>3398535.386182819</c:v>
                </c:pt>
                <c:pt idx="215">
                  <c:v>3398535.386182819</c:v>
                </c:pt>
                <c:pt idx="216">
                  <c:v>3398535.386182819</c:v>
                </c:pt>
                <c:pt idx="217">
                  <c:v>3398535.386182819</c:v>
                </c:pt>
                <c:pt idx="218">
                  <c:v>3398535.386182819</c:v>
                </c:pt>
                <c:pt idx="219">
                  <c:v>3398535.386182819</c:v>
                </c:pt>
                <c:pt idx="220">
                  <c:v>3398535.386182819</c:v>
                </c:pt>
                <c:pt idx="221">
                  <c:v>3398535.386182819</c:v>
                </c:pt>
                <c:pt idx="222">
                  <c:v>3398535.386182819</c:v>
                </c:pt>
                <c:pt idx="223">
                  <c:v>3398535.386182819</c:v>
                </c:pt>
                <c:pt idx="224">
                  <c:v>3398535.386182819</c:v>
                </c:pt>
                <c:pt idx="225">
                  <c:v>3398535.386182819</c:v>
                </c:pt>
                <c:pt idx="226">
                  <c:v>3398535.386182819</c:v>
                </c:pt>
                <c:pt idx="227">
                  <c:v>3398535.386182819</c:v>
                </c:pt>
                <c:pt idx="228">
                  <c:v>3398535.386182819</c:v>
                </c:pt>
                <c:pt idx="229">
                  <c:v>3398535.386182819</c:v>
                </c:pt>
                <c:pt idx="230">
                  <c:v>3398535.386182819</c:v>
                </c:pt>
                <c:pt idx="231">
                  <c:v>3398535.386182819</c:v>
                </c:pt>
                <c:pt idx="232">
                  <c:v>3398535.386182819</c:v>
                </c:pt>
                <c:pt idx="233">
                  <c:v>3398535.386182819</c:v>
                </c:pt>
                <c:pt idx="234">
                  <c:v>3398535.386182819</c:v>
                </c:pt>
                <c:pt idx="235">
                  <c:v>3398535.386182819</c:v>
                </c:pt>
                <c:pt idx="236">
                  <c:v>3398535.386182819</c:v>
                </c:pt>
                <c:pt idx="237">
                  <c:v>3398535.386182819</c:v>
                </c:pt>
                <c:pt idx="238">
                  <c:v>3398535.386182819</c:v>
                </c:pt>
                <c:pt idx="239">
                  <c:v>3398535.386182819</c:v>
                </c:pt>
                <c:pt idx="240">
                  <c:v>3398535.386182819</c:v>
                </c:pt>
                <c:pt idx="241">
                  <c:v>3398535.386182819</c:v>
                </c:pt>
                <c:pt idx="242">
                  <c:v>3398535.386182819</c:v>
                </c:pt>
                <c:pt idx="243">
                  <c:v>3398535.386182819</c:v>
                </c:pt>
                <c:pt idx="244">
                  <c:v>3398535.386182819</c:v>
                </c:pt>
                <c:pt idx="245">
                  <c:v>3398535.386182819</c:v>
                </c:pt>
                <c:pt idx="246">
                  <c:v>3398535.386182819</c:v>
                </c:pt>
                <c:pt idx="247">
                  <c:v>3398535.386182819</c:v>
                </c:pt>
                <c:pt idx="248">
                  <c:v>3398535.386182819</c:v>
                </c:pt>
                <c:pt idx="249">
                  <c:v>3398535.386182819</c:v>
                </c:pt>
                <c:pt idx="250">
                  <c:v>3398535.386182819</c:v>
                </c:pt>
                <c:pt idx="251">
                  <c:v>3398535.386182819</c:v>
                </c:pt>
                <c:pt idx="252">
                  <c:v>3398535.386182819</c:v>
                </c:pt>
                <c:pt idx="253">
                  <c:v>3398535.386182819</c:v>
                </c:pt>
                <c:pt idx="254">
                  <c:v>3398535.386182819</c:v>
                </c:pt>
                <c:pt idx="255">
                  <c:v>3398535.386182819</c:v>
                </c:pt>
                <c:pt idx="256">
                  <c:v>3398535.386182819</c:v>
                </c:pt>
                <c:pt idx="257">
                  <c:v>3398535.386182819</c:v>
                </c:pt>
                <c:pt idx="258">
                  <c:v>3398535.386182819</c:v>
                </c:pt>
                <c:pt idx="259">
                  <c:v>3398535.386182819</c:v>
                </c:pt>
                <c:pt idx="260">
                  <c:v>3398535.386182819</c:v>
                </c:pt>
                <c:pt idx="261">
                  <c:v>3398535.386182819</c:v>
                </c:pt>
                <c:pt idx="262">
                  <c:v>3398535.386182819</c:v>
                </c:pt>
                <c:pt idx="263">
                  <c:v>3398535.386182819</c:v>
                </c:pt>
                <c:pt idx="264">
                  <c:v>3398535.386182819</c:v>
                </c:pt>
                <c:pt idx="265">
                  <c:v>3398535.386182819</c:v>
                </c:pt>
                <c:pt idx="266">
                  <c:v>3398535.386182819</c:v>
                </c:pt>
                <c:pt idx="267">
                  <c:v>3398535.386182819</c:v>
                </c:pt>
                <c:pt idx="268">
                  <c:v>3398535.386182819</c:v>
                </c:pt>
                <c:pt idx="269">
                  <c:v>3398535.386182819</c:v>
                </c:pt>
                <c:pt idx="270">
                  <c:v>3398535.386182819</c:v>
                </c:pt>
                <c:pt idx="271">
                  <c:v>3398535.386182819</c:v>
                </c:pt>
                <c:pt idx="272">
                  <c:v>3398535.386182819</c:v>
                </c:pt>
                <c:pt idx="273">
                  <c:v>3398535.386182819</c:v>
                </c:pt>
                <c:pt idx="274">
                  <c:v>3398535.386182819</c:v>
                </c:pt>
                <c:pt idx="275">
                  <c:v>3398535.386182819</c:v>
                </c:pt>
                <c:pt idx="276">
                  <c:v>3398535.386182819</c:v>
                </c:pt>
                <c:pt idx="277">
                  <c:v>3398535.386182819</c:v>
                </c:pt>
                <c:pt idx="278">
                  <c:v>3398535.386182819</c:v>
                </c:pt>
                <c:pt idx="279">
                  <c:v>3398535.386182819</c:v>
                </c:pt>
                <c:pt idx="280">
                  <c:v>3398535.386182819</c:v>
                </c:pt>
                <c:pt idx="281">
                  <c:v>3398535.386182819</c:v>
                </c:pt>
                <c:pt idx="282">
                  <c:v>3398535.386182819</c:v>
                </c:pt>
                <c:pt idx="283">
                  <c:v>3398535.386182819</c:v>
                </c:pt>
                <c:pt idx="284">
                  <c:v>3398535.386182819</c:v>
                </c:pt>
                <c:pt idx="285">
                  <c:v>3398535.386182819</c:v>
                </c:pt>
                <c:pt idx="286">
                  <c:v>3398535.386182819</c:v>
                </c:pt>
                <c:pt idx="287">
                  <c:v>3398535.386182819</c:v>
                </c:pt>
                <c:pt idx="288">
                  <c:v>3398535.386182819</c:v>
                </c:pt>
                <c:pt idx="289">
                  <c:v>3398535.386182819</c:v>
                </c:pt>
                <c:pt idx="290">
                  <c:v>3398535.386182819</c:v>
                </c:pt>
                <c:pt idx="291">
                  <c:v>3398535.386182819</c:v>
                </c:pt>
                <c:pt idx="292">
                  <c:v>3398535.386182819</c:v>
                </c:pt>
                <c:pt idx="293">
                  <c:v>3398535.386182819</c:v>
                </c:pt>
                <c:pt idx="294">
                  <c:v>3398535.386182819</c:v>
                </c:pt>
                <c:pt idx="295">
                  <c:v>3398535.386182819</c:v>
                </c:pt>
                <c:pt idx="296">
                  <c:v>3398535.386182819</c:v>
                </c:pt>
                <c:pt idx="297">
                  <c:v>3398535.386182819</c:v>
                </c:pt>
                <c:pt idx="298">
                  <c:v>3398535.386182819</c:v>
                </c:pt>
                <c:pt idx="299">
                  <c:v>3398535.386182819</c:v>
                </c:pt>
                <c:pt idx="300">
                  <c:v>3398535.386182819</c:v>
                </c:pt>
                <c:pt idx="301">
                  <c:v>3398535.386182819</c:v>
                </c:pt>
                <c:pt idx="302">
                  <c:v>3398535.386182819</c:v>
                </c:pt>
                <c:pt idx="303">
                  <c:v>3398535.386182819</c:v>
                </c:pt>
                <c:pt idx="304">
                  <c:v>3398535.386182819</c:v>
                </c:pt>
                <c:pt idx="305">
                  <c:v>3398535.386182819</c:v>
                </c:pt>
                <c:pt idx="306">
                  <c:v>3398535.386182819</c:v>
                </c:pt>
                <c:pt idx="307">
                  <c:v>3398535.386182819</c:v>
                </c:pt>
                <c:pt idx="308">
                  <c:v>3398535.386182819</c:v>
                </c:pt>
                <c:pt idx="309">
                  <c:v>3398535.386182819</c:v>
                </c:pt>
                <c:pt idx="310">
                  <c:v>3398535.386182819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85436111114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3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5-12-31T00:00:00"/>
        <d v="2026-01-31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292.55248107858279" maxValue="4.6652181772515178E-3"/>
    </cacheField>
    <cacheField name="FINANCE PAYMENT DATE" numFmtId="0">
      <sharedItems containsNonDate="0" containsDate="1" containsString="0" containsBlank="1" minDate="2025-04-10T00:00:00" maxDate="2026-03-09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6T00:00:00"/>
    <m/>
  </r>
  <r>
    <n v="1"/>
    <x v="1"/>
    <s v="Transport"/>
    <m/>
    <m/>
    <n v="600"/>
    <m/>
    <s v="MSA Energy INV0003446"/>
    <x v="2"/>
    <n v="0"/>
    <m/>
    <d v="2026-01-2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06T00:00:00"/>
    <m/>
  </r>
  <r>
    <n v="4"/>
    <x v="4"/>
    <s v="End of Defects Period"/>
    <m/>
    <n v="0.05"/>
    <n v="9217.8516411268429"/>
    <m/>
    <s v="Thula Moya IN04850"/>
    <x v="6"/>
    <n v="9520.017977228772"/>
    <m/>
    <d v="2026-03-0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06T00:00:00"/>
    <m/>
  </r>
  <r>
    <n v="6"/>
    <x v="6"/>
    <s v="End of Defects Period"/>
    <m/>
    <n v="0.05"/>
    <n v="4602.3949057138243"/>
    <m/>
    <s v="Thula Moya IN04850"/>
    <x v="6"/>
    <n v="10233.519272974219"/>
    <m/>
    <d v="2026-03-0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5-12-18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06T00:00:00"/>
    <m/>
  </r>
  <r>
    <n v="9"/>
    <x v="9"/>
    <s v="End of Defects Period"/>
    <m/>
    <n v="0.05"/>
    <n v="24065.38629343639"/>
    <m/>
    <s v="Thula Moya IN04850"/>
    <x v="6"/>
    <n v="17211.763870552233"/>
    <m/>
    <d v="2026-03-0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5-12-18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06T00:00:00"/>
    <m/>
  </r>
  <r>
    <n v="10"/>
    <x v="10"/>
    <s v="End of Defects Period"/>
    <m/>
    <n v="0.05"/>
    <n v="2477.367159722945"/>
    <m/>
    <s v="Thula Moya IN04850"/>
    <x v="6"/>
    <n v="3986.7633140973758"/>
    <m/>
    <d v="2026-03-0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29253.34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m/>
    <m/>
    <m/>
    <m/>
    <m/>
    <m/>
    <x v="0"/>
    <n v="0"/>
    <m/>
    <m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9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0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292.55248107858279"/>
    <d v="2025-04-30T00:00:00"/>
    <n v="6662.2000000000007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1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9"/>
    <n v="616.27763831767288"/>
    <m/>
    <d v="2026-01-08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1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4">
        <item x="0"/>
        <item x="7"/>
        <item x="1"/>
        <item x="4"/>
        <item x="5"/>
        <item x="6"/>
        <item x="8"/>
        <item x="11"/>
        <item x="2"/>
        <item x="9"/>
        <item x="3"/>
        <item m="1" x="12"/>
        <item x="10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4">
        <item x="0"/>
        <item x="7"/>
        <item x="1"/>
        <item x="4"/>
        <item x="5"/>
        <item x="6"/>
        <item x="8"/>
        <item x="11"/>
        <item x="2"/>
        <item x="9"/>
        <item x="3"/>
        <item m="1" x="12"/>
        <item x="1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5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453125" bestFit="1" customWidth="1"/>
    <col min="5" max="5" width="10.1796875" customWidth="1"/>
    <col min="6" max="6" width="33.54296875" customWidth="1"/>
  </cols>
  <sheetData>
    <row r="1" spans="2:10" ht="15" thickBot="1"/>
    <row r="2" spans="2:10" ht="15.5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zoomScale="85" zoomScaleNormal="85" workbookViewId="0">
      <selection activeCell="F7" sqref="F7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customWidth="1"/>
    <col min="4" max="4" width="3.453125" style="112" customWidth="1"/>
    <col min="5" max="5" width="14.54296875" style="24" customWidth="1"/>
    <col min="6" max="6" width="10.179687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2.81640625" style="112" bestFit="1" customWidth="1"/>
    <col min="15" max="15" width="39.4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46055</v>
      </c>
      <c r="O1" s="405">
        <f ca="1">TODAY()</f>
        <v>46055</v>
      </c>
      <c r="Q1" s="3"/>
    </row>
    <row r="2" spans="2:28">
      <c r="B2" s="176"/>
      <c r="C2" s="177" t="s">
        <v>0</v>
      </c>
      <c r="D2" s="178"/>
      <c r="E2" s="720" t="s">
        <v>73</v>
      </c>
      <c r="F2" s="721"/>
      <c r="G2" s="721"/>
      <c r="H2" s="722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362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23" t="s">
        <v>76</v>
      </c>
      <c r="F4" s="724"/>
      <c r="G4" s="724"/>
      <c r="H4" s="725"/>
      <c r="J4" s="113"/>
      <c r="Q4" s="3"/>
    </row>
    <row r="5" spans="2:28" s="112" customFormat="1">
      <c r="B5" s="179"/>
      <c r="C5" s="180" t="s">
        <v>77</v>
      </c>
      <c r="D5" s="178"/>
      <c r="E5" s="723" t="s">
        <v>78</v>
      </c>
      <c r="F5" s="724"/>
      <c r="G5" s="724"/>
      <c r="H5" s="725"/>
      <c r="J5" s="113"/>
      <c r="Q5" s="3"/>
    </row>
    <row r="6" spans="2:28">
      <c r="B6" s="184"/>
      <c r="C6" s="185" t="s">
        <v>79</v>
      </c>
      <c r="D6" s="178"/>
      <c r="E6" s="726">
        <v>3400106</v>
      </c>
      <c r="F6" s="727"/>
      <c r="G6" s="727"/>
      <c r="H6" s="728"/>
    </row>
    <row r="7" spans="2:28" s="112" customFormat="1">
      <c r="B7" s="167"/>
      <c r="C7" s="706" t="s">
        <v>80</v>
      </c>
      <c r="D7" s="707"/>
      <c r="E7" s="708" t="s">
        <v>495</v>
      </c>
      <c r="F7" s="168"/>
      <c r="G7" s="186"/>
      <c r="J7" s="113"/>
      <c r="Q7" s="3"/>
    </row>
    <row r="8" spans="2:28" ht="30" customHeight="1">
      <c r="B8" s="732" t="s">
        <v>81</v>
      </c>
      <c r="C8" s="733" t="s">
        <v>82</v>
      </c>
      <c r="D8" s="215"/>
      <c r="E8" s="731" t="s">
        <v>83</v>
      </c>
      <c r="F8" s="237" t="s">
        <v>84</v>
      </c>
      <c r="G8" s="731" t="s">
        <v>85</v>
      </c>
      <c r="H8" s="238"/>
      <c r="I8" s="731" t="s">
        <v>86</v>
      </c>
      <c r="J8" s="237" t="s">
        <v>84</v>
      </c>
      <c r="K8" s="731" t="s">
        <v>87</v>
      </c>
      <c r="M8" s="412" t="s">
        <v>60</v>
      </c>
      <c r="N8" s="412" t="s">
        <v>60</v>
      </c>
      <c r="O8" s="729" t="s">
        <v>88</v>
      </c>
      <c r="Z8" s="112"/>
      <c r="AA8" s="112"/>
      <c r="AB8" s="112"/>
    </row>
    <row r="9" spans="2:28">
      <c r="B9" s="732"/>
      <c r="C9" s="733"/>
      <c r="D9" s="215"/>
      <c r="E9" s="731"/>
      <c r="F9" s="126">
        <f>G42-E19</f>
        <v>44</v>
      </c>
      <c r="G9" s="731"/>
      <c r="H9" s="238"/>
      <c r="I9" s="731"/>
      <c r="J9" s="127">
        <f>K42-I19</f>
        <v>184</v>
      </c>
      <c r="K9" s="731"/>
      <c r="M9" s="362">
        <f>AVERAGE(M11,M18,M21,M28,M35,M40,M47,M44)</f>
        <v>0.81000733137829917</v>
      </c>
      <c r="N9" s="362">
        <f ca="1">AVERAGE(N11,N18,N21,N28,N35,N40,N47,N44)</f>
        <v>0.84078381147458781</v>
      </c>
      <c r="O9" s="730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89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90</v>
      </c>
      <c r="C12" s="249" t="s">
        <v>91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92</v>
      </c>
      <c r="C13" s="249" t="s">
        <v>93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94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95</v>
      </c>
      <c r="C15" s="249" t="s">
        <v>96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97</v>
      </c>
      <c r="C16" s="249" t="s">
        <v>98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>
      <c r="B18" s="244">
        <v>2</v>
      </c>
      <c r="C18" s="245" t="s">
        <v>99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100</v>
      </c>
      <c r="C19" s="249" t="s">
        <v>101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NETWORKDAYS(I19,K42,Data!C3:C15)</f>
        <v>131</v>
      </c>
      <c r="T19" s="121" t="s">
        <v>102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103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26.2</v>
      </c>
      <c r="T21" s="121" t="s">
        <v>104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105</v>
      </c>
      <c r="C22" s="249" t="s">
        <v>106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13.816793893129772</v>
      </c>
      <c r="T22" s="118" t="s">
        <v>107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108</v>
      </c>
      <c r="C23" s="249" t="s">
        <v>109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110</v>
      </c>
      <c r="C24" s="249" t="s">
        <v>111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112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113</v>
      </c>
      <c r="C26" s="249" t="s">
        <v>114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185</v>
      </c>
      <c r="K28" s="246">
        <f>MAX(K30:K33)</f>
        <v>45982</v>
      </c>
      <c r="L28" s="114"/>
      <c r="M28" s="361">
        <f>(J30*M30+J31*M31+J33*M33)/SUM(J30:J33)</f>
        <v>0.90909090909090906</v>
      </c>
      <c r="N28" s="361">
        <f ca="1">(K30*N30+K31*N31+K33*N33)/SUM(K30:K33)</f>
        <v>0.75050391693269847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115</v>
      </c>
      <c r="C29" s="249" t="s">
        <v>116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115</v>
      </c>
      <c r="C30" s="249" t="s">
        <v>117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118</v>
      </c>
      <c r="C31" s="249" t="s">
        <v>119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K37+7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3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120</v>
      </c>
      <c r="C32" s="249" t="s">
        <v>121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120</v>
      </c>
      <c r="C33" s="243" t="s">
        <v>122</v>
      </c>
      <c r="D33" s="215"/>
      <c r="E33" s="253">
        <f>WORKDAY.INTL(G38,0,1,Data!$C$3:$C$14)-3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123</v>
      </c>
      <c r="D35" s="219"/>
      <c r="E35" s="246">
        <f>MIN(E36:E38)</f>
        <v>45833</v>
      </c>
      <c r="F35" s="247">
        <f>G35-E35</f>
        <v>19</v>
      </c>
      <c r="G35" s="246">
        <f>MAX(G36:G38)</f>
        <v>45852</v>
      </c>
      <c r="H35" s="220"/>
      <c r="I35" s="246">
        <f>MIN(I36:I38)</f>
        <v>45818</v>
      </c>
      <c r="J35" s="247">
        <f>K35-I35</f>
        <v>181</v>
      </c>
      <c r="K35" s="246">
        <f>MAX(K36:K38)</f>
        <v>45999</v>
      </c>
      <c r="L35" s="114"/>
      <c r="M35" s="361">
        <v>0.5</v>
      </c>
      <c r="N35" s="361">
        <f ca="1">(K36*N36+K38*N38)/SUM(K36:K38)</f>
        <v>0.66639570919489344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124</v>
      </c>
      <c r="C36" s="249" t="s">
        <v>125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126</v>
      </c>
      <c r="C37" s="249" t="s">
        <v>127</v>
      </c>
      <c r="D37" s="215"/>
      <c r="E37" s="253"/>
      <c r="F37" s="251"/>
      <c r="G37" s="250"/>
      <c r="H37" s="238"/>
      <c r="I37" s="253">
        <v>45910</v>
      </c>
      <c r="J37" s="251">
        <v>55</v>
      </c>
      <c r="K37" s="250">
        <f>I37+J37</f>
        <v>45965</v>
      </c>
      <c r="M37" s="254">
        <v>1</v>
      </c>
      <c r="N37" s="254">
        <f t="shared" ref="N37:N38" ca="1" si="3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128</v>
      </c>
      <c r="C38" s="249" t="s">
        <v>129</v>
      </c>
      <c r="D38" s="215"/>
      <c r="E38" s="253">
        <f>G36</f>
        <v>45834</v>
      </c>
      <c r="F38" s="251">
        <v>12</v>
      </c>
      <c r="G38" s="250">
        <f>WORKDAY.INTL(E38,F38,1,Data!$C$3:$C$14)</f>
        <v>45852</v>
      </c>
      <c r="H38" s="238"/>
      <c r="I38" s="253">
        <f>K31</f>
        <v>45978</v>
      </c>
      <c r="J38" s="251">
        <v>15</v>
      </c>
      <c r="K38" s="250">
        <f>WORKDAY.INTL(I38,J38,1,Data!$C$3:$C$14)</f>
        <v>45999</v>
      </c>
      <c r="M38" s="254">
        <v>1</v>
      </c>
      <c r="N38" s="254">
        <f t="shared" ca="1" si="3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 ht="4.5" customHeight="1">
      <c r="B39" s="239"/>
      <c r="C39" s="215"/>
      <c r="D39" s="215"/>
      <c r="E39" s="240"/>
      <c r="F39" s="240"/>
      <c r="G39" s="241"/>
      <c r="H39" s="238"/>
      <c r="I39" s="240"/>
      <c r="J39" s="240"/>
      <c r="K39" s="241"/>
      <c r="Q39" s="3"/>
    </row>
    <row r="40" spans="2:28" s="112" customFormat="1">
      <c r="B40" s="244">
        <v>6</v>
      </c>
      <c r="C40" s="245" t="s">
        <v>130</v>
      </c>
      <c r="D40" s="219"/>
      <c r="E40" s="246">
        <f>MIN(E41:E42)</f>
        <v>45856</v>
      </c>
      <c r="F40" s="247">
        <f>G40-E40</f>
        <v>5</v>
      </c>
      <c r="G40" s="246">
        <f>MAX(G41:G42)</f>
        <v>45861</v>
      </c>
      <c r="H40" s="220"/>
      <c r="I40" s="246">
        <f>MIN(I41:I42)</f>
        <v>45999</v>
      </c>
      <c r="J40" s="247">
        <f>K40-I40</f>
        <v>3</v>
      </c>
      <c r="K40" s="246">
        <f>MAX(K41:K42)</f>
        <v>46002</v>
      </c>
      <c r="L40" s="114"/>
      <c r="M40" s="361">
        <f>(J41*M41+J42*M42)/SUM(J41:J42)</f>
        <v>1</v>
      </c>
      <c r="N40" s="361">
        <f ca="1">(K41*N41+K42*N42)/SUM(K41:K42)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>
      <c r="B41" s="248" t="s">
        <v>131</v>
      </c>
      <c r="C41" s="243" t="s">
        <v>130</v>
      </c>
      <c r="D41" s="215"/>
      <c r="E41" s="253">
        <f>WORKDAY.INTL(MAX(G21,G28,G35),0,1,Data!$C$3:$C$14)</f>
        <v>45856</v>
      </c>
      <c r="F41" s="251">
        <v>1</v>
      </c>
      <c r="G41" s="253">
        <f>WORKDAY.INTL(E41,F41,1,Data!$C$3:$C$14)</f>
        <v>45859</v>
      </c>
      <c r="H41" s="238"/>
      <c r="I41" s="253">
        <f>WORKDAY.INTL(MAX(K21,K28,K35),0,1,Data!$C$3:$C$14)</f>
        <v>45999</v>
      </c>
      <c r="J41" s="251">
        <v>1</v>
      </c>
      <c r="K41" s="253">
        <f>WORKDAY.INTL(I41,J41,1,Data!$C$3:$C$14)</f>
        <v>46000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>
      <c r="B42" s="248" t="s">
        <v>132</v>
      </c>
      <c r="C42" s="243" t="s">
        <v>133</v>
      </c>
      <c r="D42" s="215"/>
      <c r="E42" s="253">
        <f>WORKDAY.INTL(G41,0,1,Data!$C$3:$C$14)</f>
        <v>45859</v>
      </c>
      <c r="F42" s="251">
        <v>2</v>
      </c>
      <c r="G42" s="253">
        <f>WORKDAY.INTL(E42,F42,1,Data!$C$3:$C$14)</f>
        <v>45861</v>
      </c>
      <c r="H42" s="238"/>
      <c r="I42" s="253">
        <f>WORKDAY.INTL(K41,0,1,Data!$C$3:$C$14)</f>
        <v>46000</v>
      </c>
      <c r="J42" s="251">
        <v>2</v>
      </c>
      <c r="K42" s="253">
        <f>WORKDAY.INTL(I42,J42,1,Data!$C$3:$C$14)</f>
        <v>46002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 s="112" customFormat="1" ht="4.5" customHeight="1">
      <c r="B43" s="239"/>
      <c r="C43" s="215"/>
      <c r="D43" s="215"/>
      <c r="E43" s="240"/>
      <c r="F43" s="240"/>
      <c r="G43" s="241"/>
      <c r="H43" s="238"/>
      <c r="I43" s="240"/>
      <c r="J43" s="240"/>
      <c r="K43" s="241"/>
      <c r="Q43" s="3"/>
    </row>
    <row r="44" spans="2:28" s="112" customFormat="1">
      <c r="B44" s="244">
        <v>7</v>
      </c>
      <c r="C44" s="245" t="s">
        <v>134</v>
      </c>
      <c r="D44" s="219"/>
      <c r="E44" s="246">
        <f>MIN(E45)</f>
        <v>45861</v>
      </c>
      <c r="F44" s="247">
        <f>G44-E44</f>
        <v>1</v>
      </c>
      <c r="G44" s="246">
        <f>MAX(G45)</f>
        <v>45862</v>
      </c>
      <c r="H44" s="220"/>
      <c r="I44" s="246">
        <f>MIN(I45)</f>
        <v>46002</v>
      </c>
      <c r="J44" s="247">
        <f>K44-I44</f>
        <v>1</v>
      </c>
      <c r="K44" s="246">
        <f>MAX(K45)</f>
        <v>46003</v>
      </c>
      <c r="L44" s="114"/>
      <c r="M44" s="361">
        <f>(J45*M45)/SUM(J45)</f>
        <v>1</v>
      </c>
      <c r="N44" s="361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8">
        <v>7.1</v>
      </c>
      <c r="C45" s="243" t="s">
        <v>135</v>
      </c>
      <c r="D45" s="215"/>
      <c r="E45" s="253">
        <f>WORKDAY.INTL(G42,0,1,Data!$C$3:$C$14)</f>
        <v>45861</v>
      </c>
      <c r="F45" s="251">
        <v>1</v>
      </c>
      <c r="G45" s="253">
        <f>WORKDAY.INTL(E45,F45,1,Data!$C$3:$C$14)</f>
        <v>45862</v>
      </c>
      <c r="H45" s="238"/>
      <c r="I45" s="253">
        <f>WORKDAY.INTL(K42,0,1,Data!$C$3:$C$14)</f>
        <v>46002</v>
      </c>
      <c r="J45" s="251">
        <v>1</v>
      </c>
      <c r="K45" s="253">
        <f>WORKDAY.INTL(I45,J45,1,Data!$C$3:$C$14)</f>
        <v>46003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>
      <c r="B47" s="244">
        <v>8</v>
      </c>
      <c r="C47" s="245" t="s">
        <v>136</v>
      </c>
      <c r="D47" s="219"/>
      <c r="E47" s="246">
        <f>MIN(E48:E53)</f>
        <v>45862</v>
      </c>
      <c r="F47" s="247">
        <f>G47-E47</f>
        <v>15</v>
      </c>
      <c r="G47" s="246">
        <f>MAX(G48:G53)</f>
        <v>45877</v>
      </c>
      <c r="H47" s="220"/>
      <c r="I47" s="246">
        <f>MIN(I48:I53)</f>
        <v>46003</v>
      </c>
      <c r="J47" s="247">
        <f>K47-I47</f>
        <v>63</v>
      </c>
      <c r="K47" s="246">
        <f>MAX(K48:K53)</f>
        <v>46066</v>
      </c>
      <c r="L47" s="114"/>
      <c r="M47" s="361">
        <f>(J48*M48+J49*M49+J50*M50+J51*M51+J52*M52+J53*M53)/SUM(J48:J53)</f>
        <v>7.0967741935483872E-2</v>
      </c>
      <c r="N47" s="361">
        <f ca="1">(K48*N48+K49*N49+K50*N50+K51*N51+K52*N52+K53*N53)/SUM(K48:K53)</f>
        <v>0.30937086566911082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8">
        <v>8.1</v>
      </c>
      <c r="C48" s="243" t="s">
        <v>137</v>
      </c>
      <c r="D48" s="215"/>
      <c r="E48" s="253">
        <f>G45</f>
        <v>45862</v>
      </c>
      <c r="F48" s="251">
        <v>2</v>
      </c>
      <c r="G48" s="253">
        <f>WORKDAY.INTL(E48,F48,1,Data!$C$3:$C$14)</f>
        <v>45866</v>
      </c>
      <c r="H48" s="238"/>
      <c r="I48" s="253">
        <f>K45</f>
        <v>46003</v>
      </c>
      <c r="J48" s="251">
        <v>2</v>
      </c>
      <c r="K48" s="253">
        <f>WORKDAY.INTL(I48,J48,1,Data!$C$3:$C$14)</f>
        <v>46008</v>
      </c>
      <c r="M48" s="254">
        <v>1</v>
      </c>
      <c r="N48" s="254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8.1999999999999993</v>
      </c>
      <c r="C49" s="243" t="s">
        <v>138</v>
      </c>
      <c r="D49" s="215"/>
      <c r="E49" s="253">
        <f>G45</f>
        <v>45862</v>
      </c>
      <c r="F49" s="251">
        <v>5</v>
      </c>
      <c r="G49" s="253">
        <f>WORKDAY.INTL(E49,F49,1,Data!$C$3:$C$14)</f>
        <v>45869</v>
      </c>
      <c r="H49" s="238"/>
      <c r="I49" s="253">
        <v>46037</v>
      </c>
      <c r="J49" s="251">
        <v>15</v>
      </c>
      <c r="K49" s="253">
        <f>WORKDAY.INTL(I49,J49,1,Data!$C$3:$C$14)</f>
        <v>46058</v>
      </c>
      <c r="M49" s="254">
        <v>0</v>
      </c>
      <c r="N49" s="254">
        <f t="shared" ref="N49:N53" ca="1" si="4">_xlfn.LET(
  _xlpm.s,VALUE($I49),
  _xlpm.e,VALUE($K49),
  IF(OR(_xlpm.s="",_xlpm.e=""),"", IF(_xlpm.e&lt;=_xlpm.s, IF(TODAY()&gt;=_xlpm.e,1,0), MAX(0,MIN(1,(TODAY()-_xlpm.s)/(_xlpm.e-_xlpm.s)))))
)</f>
        <v>0.8571428571428571</v>
      </c>
      <c r="O49" s="122" t="s">
        <v>139</v>
      </c>
      <c r="Y49" s="24"/>
    </row>
    <row r="50" spans="2:28">
      <c r="B50" s="248">
        <v>8.3000000000000007</v>
      </c>
      <c r="C50" s="243" t="s">
        <v>140</v>
      </c>
      <c r="D50" s="215"/>
      <c r="E50" s="253">
        <f>WORKDAY.INTL(G49,0,1,Data!$C$3:$C$14)</f>
        <v>45869</v>
      </c>
      <c r="F50" s="251">
        <v>5</v>
      </c>
      <c r="G50" s="253">
        <f>WORKDAY.INTL(E50,F50,1,Data!$C$3:$C$14)</f>
        <v>45876</v>
      </c>
      <c r="H50" s="238"/>
      <c r="I50" s="253">
        <f>WORKDAY.INTL(K49,0,1,Data!$C$3:$C$14)</f>
        <v>46058</v>
      </c>
      <c r="J50" s="251">
        <v>5</v>
      </c>
      <c r="K50" s="253">
        <f>WORKDAY.INTL(I50,J50,1,Data!$C$3:$C$14)</f>
        <v>46065</v>
      </c>
      <c r="M50" s="254">
        <v>0</v>
      </c>
      <c r="N50" s="254">
        <f t="shared" ca="1" si="4"/>
        <v>0</v>
      </c>
      <c r="O50" s="122"/>
      <c r="Y50" s="24"/>
    </row>
    <row r="51" spans="2:28">
      <c r="B51" s="248">
        <v>8.4</v>
      </c>
      <c r="C51" s="243" t="s">
        <v>141</v>
      </c>
      <c r="D51" s="215"/>
      <c r="E51" s="253">
        <f>WORKDAY.INTL(E49,0,1,Data!$C$3:$C$14)</f>
        <v>45862</v>
      </c>
      <c r="F51" s="251">
        <v>9</v>
      </c>
      <c r="G51" s="253">
        <f>WORKDAY.INTL(E51,F51,1,Data!$C$3:$C$14)</f>
        <v>45875</v>
      </c>
      <c r="H51" s="238"/>
      <c r="I51" s="253">
        <f>WORKDAY.INTL(K49,0,1,Data!$C$3:$C$14)</f>
        <v>46058</v>
      </c>
      <c r="J51" s="251">
        <v>2</v>
      </c>
      <c r="K51" s="253">
        <f>WORKDAY.INTL(I51,J51,1,Data!$C$3:$C$14)</f>
        <v>46062</v>
      </c>
      <c r="M51" s="254">
        <v>0.1</v>
      </c>
      <c r="N51" s="254">
        <f t="shared" ca="1" si="4"/>
        <v>0</v>
      </c>
      <c r="O51" s="122"/>
      <c r="Y51" s="24"/>
    </row>
    <row r="52" spans="2:28">
      <c r="B52" s="248">
        <v>8.5</v>
      </c>
      <c r="C52" s="243" t="s">
        <v>142</v>
      </c>
      <c r="D52" s="215"/>
      <c r="E52" s="253">
        <f>WORKDAY.INTL(G51,0,1,Data!$C$3:$C$14)</f>
        <v>45875</v>
      </c>
      <c r="F52" s="251">
        <v>1</v>
      </c>
      <c r="G52" s="253">
        <f>WORKDAY.INTL(E52,F52,1,Data!$C$3:$C$14)</f>
        <v>45876</v>
      </c>
      <c r="H52" s="238"/>
      <c r="I52" s="253">
        <f>WORKDAY.INTL(K51,0,1,Data!$C$3:$C$14)</f>
        <v>46062</v>
      </c>
      <c r="J52" s="251">
        <v>2</v>
      </c>
      <c r="K52" s="253">
        <f>WORKDAY.INTL(I52,J52,1,Data!$C$3:$C$14)</f>
        <v>46064</v>
      </c>
      <c r="M52" s="254">
        <v>0</v>
      </c>
      <c r="N52" s="254">
        <f t="shared" ca="1" si="4"/>
        <v>0</v>
      </c>
      <c r="O52" s="122" t="s">
        <v>143</v>
      </c>
      <c r="Y52" s="24"/>
    </row>
    <row r="53" spans="2:28">
      <c r="B53" s="248">
        <v>8.6</v>
      </c>
      <c r="C53" s="243" t="s">
        <v>144</v>
      </c>
      <c r="D53" s="215"/>
      <c r="E53" s="253">
        <f>WORKDAY.INTL(G49,0,1,Data!$C$3:$C$14)+2</f>
        <v>45871</v>
      </c>
      <c r="F53" s="251">
        <v>5</v>
      </c>
      <c r="G53" s="253">
        <f>WORKDAY.INTL(E53,F53,1,Data!$C$3:$C$14)</f>
        <v>45877</v>
      </c>
      <c r="H53" s="238"/>
      <c r="I53" s="253">
        <f>WORKDAY.INTL(K49,0,1,Data!$C$3:$C$14)+2</f>
        <v>46060</v>
      </c>
      <c r="J53" s="251">
        <v>5</v>
      </c>
      <c r="K53" s="253">
        <f>WORKDAY.INTL(I53,J53,1,Data!$C$3:$C$14)</f>
        <v>46066</v>
      </c>
      <c r="M53" s="254">
        <v>0</v>
      </c>
      <c r="N53" s="254">
        <f t="shared" ca="1" si="4"/>
        <v>0</v>
      </c>
      <c r="O53" s="122"/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O8:P53 M1:P7" name="Range1"/>
    <protectedRange algorithmName="SHA-512" hashValue="0fHuZEaiYGK5sqlV/38Hfc0T7yH0tOTbdy5iYtX6c3lYp4VF2ar7IMEIVGfLLUnhvJzWsmOZSDZnUiLySCBxdg==" saltValue="oeJbzSFL5Q9rgT2MjiMjew==" spinCount="100000" sqref="M8:N16 M18:N53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9:N19 M45:N45 M12:N16 M48:N53 M22:N26 M29:N33 M36:N38 M41:N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70" zoomScaleNormal="100" workbookViewId="0">
      <selection activeCell="R30" sqref="R30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1.453125" style="129" bestFit="1" customWidth="1"/>
    <col min="8" max="8" width="15.453125" style="129" customWidth="1"/>
    <col min="9" max="9" width="1.453125" style="129" customWidth="1"/>
    <col min="10" max="10" width="3.4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93" customWidth="1"/>
    <col min="16" max="16" width="19.453125" style="129" bestFit="1" customWidth="1"/>
    <col min="17" max="17" width="15.1796875" style="129" bestFit="1" customWidth="1"/>
    <col min="18" max="18" width="19.54296875" style="129" customWidth="1"/>
    <col min="19" max="19" width="16.1796875" style="93" bestFit="1" customWidth="1"/>
    <col min="20" max="20" width="19.453125" style="129" bestFit="1" customWidth="1"/>
    <col min="21" max="21" width="15.179687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92" t="s">
        <v>150</v>
      </c>
      <c r="Q3" s="692" t="s">
        <v>151</v>
      </c>
      <c r="R3" s="692" t="s">
        <v>152</v>
      </c>
      <c r="S3" s="692" t="s">
        <v>153</v>
      </c>
      <c r="T3" s="692" t="s">
        <v>154</v>
      </c>
      <c r="U3" s="692" t="s">
        <v>155</v>
      </c>
    </row>
    <row r="4" spans="1:21" s="93" customFormat="1" ht="13">
      <c r="B4" s="352">
        <v>1</v>
      </c>
      <c r="C4" s="353" t="s">
        <v>156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157</v>
      </c>
      <c r="P4" s="693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3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3">
        <f>SUMIFS('Expenditure Breakdown'!$U:$U,
        'Expenditure Breakdown'!$T:$T, "&gt;"&amp;DATE(2025,8,31),
        'Expenditure Breakdown'!$T:$T, "&lt;="&amp;DATE(2026,8,31))</f>
        <v>207797.79171123021</v>
      </c>
      <c r="S4" s="693">
        <f>SUMIFS('Expenditure Breakdown'!$Q:$Q,
        'Expenditure Breakdown'!$T:$T, "&gt;"&amp;DATE(2025,8,31),
        'Expenditure Breakdown'!$T:$T, "&lt;="&amp;DATE(2026,8,31))</f>
        <v>89555.744999999995</v>
      </c>
      <c r="T4" s="693">
        <f>SUMIFS('Expenditure Breakdown'!$U:$U,
        'Expenditure Breakdown'!$T:$T, "&gt;"&amp;DATE(2025,8,31),
        'Expenditure Breakdown'!$T:$T, "&lt;="&amp;DATE(2026,8,31),
        'Expenditure Breakdown'!$S:$S, "&lt;&gt;")</f>
        <v>29102.477176715809</v>
      </c>
      <c r="U4" s="693">
        <f>SUMIFS('Expenditure Breakdown'!$Q:$Q,
        'Expenditure Breakdown'!$T:$T, "&gt;"&amp;DATE(2025,8,31),
        'Expenditure Breakdown'!$T:$T, "&lt;="&amp;DATE(2026,8,31),
        'Expenditure Breakdown'!$S:$S, "&lt;&gt;")</f>
        <v>47054.42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3100368.1219126601</v>
      </c>
      <c r="E5" s="355"/>
      <c r="F5" s="354">
        <f>+'Expenditure Tracking'!H5</f>
        <v>2937397.77274903</v>
      </c>
      <c r="G5" s="712" t="s">
        <v>159</v>
      </c>
      <c r="H5" s="712" t="s">
        <v>160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161</v>
      </c>
      <c r="D6" s="354">
        <f>+D4-D5</f>
        <v>299737.87808733992</v>
      </c>
      <c r="E6" s="355"/>
      <c r="F6" s="354">
        <f>+F4-F5</f>
        <v>462708.22725096997</v>
      </c>
      <c r="G6" s="711">
        <f>D6*0.05</f>
        <v>14986.893904366996</v>
      </c>
      <c r="H6" s="711">
        <f>SUMIF('Expenditure Breakdown'!N:N,"*VO*",'Expenditure Breakdown'!Q:Q)</f>
        <v>107847.455</v>
      </c>
      <c r="J6" s="141"/>
      <c r="L6" s="376"/>
      <c r="N6" s="376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8.81554510616257E-2</v>
      </c>
      <c r="E7" s="355"/>
      <c r="F7" s="356">
        <f>+F6/F4</f>
        <v>0.13608641237978167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</row>
    <row r="13" spans="1:21" s="93" customFormat="1" ht="13">
      <c r="B13" s="352">
        <v>1</v>
      </c>
      <c r="C13" s="736" t="s">
        <v>173</v>
      </c>
      <c r="D13" s="737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36" t="s">
        <v>175</v>
      </c>
      <c r="D14" s="737"/>
      <c r="E14" s="135">
        <v>0.2</v>
      </c>
      <c r="F14" s="136">
        <f t="shared" ref="F14:F18" si="0">$D$4*E14</f>
        <v>680021.20000000007</v>
      </c>
      <c r="G14" s="355"/>
      <c r="H14" s="138">
        <f>'Project Plan'!E36+7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</row>
    <row r="15" spans="1:21" s="93" customFormat="1" ht="12.5">
      <c r="B15" s="352">
        <v>3</v>
      </c>
      <c r="C15" s="736" t="s">
        <v>176</v>
      </c>
      <c r="D15" s="737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</row>
    <row r="16" spans="1:21" s="93" customFormat="1" ht="12.5">
      <c r="B16" s="352">
        <v>4</v>
      </c>
      <c r="C16" s="734" t="s">
        <v>177</v>
      </c>
      <c r="D16" s="735"/>
      <c r="E16" s="135">
        <v>0.15</v>
      </c>
      <c r="F16" s="136">
        <f t="shared" si="0"/>
        <v>510015.89999999997</v>
      </c>
      <c r="G16" s="355"/>
      <c r="H16" s="138">
        <f>'Project Plan'!G40+7</f>
        <v>45868</v>
      </c>
      <c r="J16" s="141"/>
      <c r="L16" s="369" t="s">
        <v>174</v>
      </c>
      <c r="M16" s="129"/>
      <c r="N16" s="138">
        <v>45778</v>
      </c>
      <c r="O16" s="129"/>
      <c r="P16" s="704">
        <v>46024</v>
      </c>
      <c r="R16" s="380"/>
    </row>
    <row r="17" spans="2:18" s="93" customFormat="1" ht="12.5">
      <c r="B17" s="352">
        <v>5</v>
      </c>
      <c r="C17" s="734" t="s">
        <v>178</v>
      </c>
      <c r="D17" s="735"/>
      <c r="E17" s="135">
        <v>0.25</v>
      </c>
      <c r="F17" s="136">
        <f t="shared" si="0"/>
        <v>850026.5</v>
      </c>
      <c r="G17" s="355"/>
      <c r="H17" s="138">
        <f>'Project Plan'!E51+7</f>
        <v>45869</v>
      </c>
      <c r="J17" s="141"/>
      <c r="L17" s="369" t="s">
        <v>174</v>
      </c>
      <c r="N17" s="138">
        <v>45778</v>
      </c>
      <c r="O17" s="129"/>
      <c r="P17" s="704">
        <v>46024</v>
      </c>
      <c r="R17" s="380"/>
    </row>
    <row r="18" spans="2:18" s="93" customFormat="1" ht="12.5">
      <c r="B18" s="352">
        <v>6</v>
      </c>
      <c r="C18" s="734" t="s">
        <v>54</v>
      </c>
      <c r="D18" s="735"/>
      <c r="E18" s="135">
        <v>0.05</v>
      </c>
      <c r="F18" s="136">
        <f t="shared" si="0"/>
        <v>170005.30000000002</v>
      </c>
      <c r="G18" s="355"/>
      <c r="H18" s="138">
        <f>'Project Plan'!K52+7</f>
        <v>46071</v>
      </c>
      <c r="J18" s="141"/>
      <c r="L18" s="369" t="s">
        <v>174</v>
      </c>
      <c r="M18" s="137"/>
      <c r="N18" s="138">
        <v>45778</v>
      </c>
      <c r="O18" s="129"/>
      <c r="P18" s="139">
        <f>'Project Plan'!K52+7</f>
        <v>46071</v>
      </c>
      <c r="R18" s="380" t="s">
        <v>179</v>
      </c>
    </row>
    <row r="19" spans="2:18" s="93" customFormat="1" ht="12.5">
      <c r="B19" s="352">
        <v>7</v>
      </c>
      <c r="C19" s="736" t="s">
        <v>180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181</v>
      </c>
      <c r="C23" s="145" t="s">
        <v>182</v>
      </c>
      <c r="D23" s="145"/>
      <c r="F23" s="146"/>
    </row>
    <row r="24" spans="2:18" s="93" customFormat="1" ht="12.5">
      <c r="C24" s="147" t="s">
        <v>183</v>
      </c>
      <c r="D24" s="148"/>
      <c r="F24" s="149"/>
    </row>
    <row r="25" spans="2:18" s="93" customFormat="1" ht="12.5">
      <c r="C25" s="147" t="s">
        <v>184</v>
      </c>
      <c r="D25" s="148"/>
    </row>
    <row r="26" spans="2:18" s="93" customFormat="1" ht="12.5">
      <c r="C26" s="150" t="s">
        <v>185</v>
      </c>
      <c r="D26" s="151"/>
    </row>
    <row r="27" spans="2:18" s="93" customFormat="1" ht="12.5">
      <c r="C27" s="152" t="s">
        <v>186</v>
      </c>
      <c r="D27" s="148"/>
    </row>
    <row r="28" spans="2:18" s="93" customFormat="1" ht="12.5">
      <c r="B28" s="117"/>
      <c r="C28" s="152" t="s">
        <v>187</v>
      </c>
      <c r="D28" s="148"/>
    </row>
    <row r="29" spans="2:18" s="93" customFormat="1" ht="12.5">
      <c r="B29" s="117"/>
      <c r="C29" s="93" t="s">
        <v>188</v>
      </c>
    </row>
    <row r="30" spans="2:18" s="93" customFormat="1" ht="27.75" customHeight="1">
      <c r="B30" s="117"/>
      <c r="C30" s="153" t="s">
        <v>189</v>
      </c>
      <c r="D30" s="153"/>
      <c r="F30" s="149"/>
    </row>
    <row r="31" spans="2:18" s="93" customFormat="1" ht="12.5">
      <c r="B31" s="117"/>
      <c r="F31" s="14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210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38"/>
      <c r="C4" s="738"/>
      <c r="D4" s="738"/>
      <c r="E4" s="414"/>
      <c r="F4" s="220" t="s">
        <v>146</v>
      </c>
      <c r="G4" s="215"/>
      <c r="H4" s="220" t="s">
        <v>147</v>
      </c>
      <c r="I4" s="215"/>
      <c r="J4" s="221" t="s">
        <v>211</v>
      </c>
      <c r="K4" s="112"/>
      <c r="L4" s="112"/>
    </row>
    <row r="5" spans="1:12" ht="14.5" thickBot="1">
      <c r="A5" s="215"/>
      <c r="B5" s="739" t="s">
        <v>212</v>
      </c>
      <c r="C5" s="739"/>
      <c r="D5" s="739"/>
      <c r="E5" s="414"/>
      <c r="F5" s="222">
        <f>SUM(F9:F23)</f>
        <v>3100368.1219126601</v>
      </c>
      <c r="G5" s="217"/>
      <c r="H5" s="222">
        <f>SUM(H9:H23)</f>
        <v>2937397.77274903</v>
      </c>
      <c r="I5" s="215"/>
      <c r="J5" s="223">
        <f>SUM(J9:J23)</f>
        <v>162970.34916363034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81</v>
      </c>
      <c r="C7" s="226"/>
      <c r="D7" s="225" t="s">
        <v>213</v>
      </c>
      <c r="E7" s="226"/>
      <c r="F7" s="227" t="s">
        <v>214</v>
      </c>
      <c r="G7" s="228"/>
      <c r="H7" s="227" t="s">
        <v>215</v>
      </c>
      <c r="I7" s="228"/>
      <c r="J7" s="227" t="s">
        <v>216</v>
      </c>
      <c r="K7" s="172"/>
      <c r="L7" s="115" t="s">
        <v>217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5250.2600000000011</v>
      </c>
      <c r="I22" s="89"/>
      <c r="J22" s="232">
        <f t="shared" si="0"/>
        <v>1049.7399999999989</v>
      </c>
      <c r="K22" s="173"/>
      <c r="L22" s="255"/>
    </row>
    <row r="23" spans="1:12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218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30" activePane="bottomLeft" state="frozen"/>
      <selection activeCell="X33" sqref="X33"/>
      <selection pane="bottomLeft" activeCell="O144" sqref="O144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1.81640625" style="70" hidden="1" customWidth="1"/>
    <col min="6" max="6" width="16.54296875" style="475" hidden="1" customWidth="1"/>
    <col min="7" max="7" width="17.1796875" style="24" hidden="1" customWidth="1"/>
    <col min="8" max="8" width="16.81640625" style="112" hidden="1" customWidth="1"/>
    <col min="9" max="9" width="22.1796875" style="350" hidden="1" customWidth="1"/>
    <col min="10" max="10" width="22.453125" style="350" bestFit="1" customWidth="1"/>
    <col min="11" max="12" width="5.54296875" style="112" customWidth="1"/>
    <col min="13" max="13" width="25.54296875" style="112" customWidth="1"/>
    <col min="14" max="14" width="48" style="112" customWidth="1"/>
    <col min="15" max="15" width="15.54296875" style="112" customWidth="1"/>
    <col min="16" max="17" width="17.453125" style="112" customWidth="1"/>
    <col min="18" max="18" width="47.453125" style="112" bestFit="1" customWidth="1"/>
    <col min="19" max="19" width="37.81640625" style="112" bestFit="1" customWidth="1"/>
    <col min="20" max="20" width="17.1796875" style="112" bestFit="1" customWidth="1"/>
    <col min="21" max="21" width="14.81640625" style="112" bestFit="1" customWidth="1"/>
    <col min="22" max="22" width="16.453125" style="112" customWidth="1"/>
    <col min="23" max="23" width="16.81640625" style="112" bestFit="1" customWidth="1"/>
    <col min="24" max="24" width="21.453125" style="112" customWidth="1"/>
    <col min="25" max="25" width="29.1796875" style="112" bestFit="1" customWidth="1"/>
    <col min="26" max="26" width="24.5429687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90" t="s">
        <v>219</v>
      </c>
      <c r="C2" s="791"/>
      <c r="D2" s="791"/>
      <c r="E2" s="791"/>
      <c r="F2" s="791"/>
      <c r="G2" s="791"/>
      <c r="H2" s="689"/>
      <c r="I2" s="258">
        <f>SUM(I6:I172)</f>
        <v>3100368.1219126601</v>
      </c>
      <c r="J2" s="258">
        <f>SUM(J6:J172)</f>
        <v>3400106.1797402808</v>
      </c>
      <c r="L2" s="792" t="s">
        <v>220</v>
      </c>
      <c r="M2" s="793"/>
      <c r="N2" s="793"/>
      <c r="O2" s="793"/>
      <c r="P2" s="793"/>
      <c r="Q2" s="793"/>
      <c r="R2" s="794" t="s">
        <v>221</v>
      </c>
      <c r="S2" s="795"/>
      <c r="T2" s="795"/>
      <c r="U2" s="795"/>
      <c r="V2" s="795"/>
      <c r="W2" s="796"/>
      <c r="X2" s="479">
        <f>SUM(X6:X172)</f>
        <v>2937397.77274903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222</v>
      </c>
      <c r="C4" s="260" t="s">
        <v>223</v>
      </c>
      <c r="D4" s="260" t="s">
        <v>224</v>
      </c>
      <c r="E4" s="260" t="s">
        <v>225</v>
      </c>
      <c r="F4" s="466" t="s">
        <v>226</v>
      </c>
      <c r="G4" s="261" t="s">
        <v>227</v>
      </c>
      <c r="H4" s="372" t="s">
        <v>228</v>
      </c>
      <c r="I4" s="262" t="s">
        <v>229</v>
      </c>
      <c r="J4" s="262" t="str">
        <f>IF(J2-'Revenue Tracking'!D4&gt;=0, "Total Revenue", "ERROR on REV" )</f>
        <v>Total Revenue</v>
      </c>
      <c r="K4" s="165"/>
      <c r="L4" s="259" t="s">
        <v>222</v>
      </c>
      <c r="M4" s="260" t="s">
        <v>230</v>
      </c>
      <c r="N4" s="260" t="s">
        <v>224</v>
      </c>
      <c r="O4" s="260" t="s">
        <v>225</v>
      </c>
      <c r="P4" s="466" t="s">
        <v>226</v>
      </c>
      <c r="Q4" s="374" t="s">
        <v>231</v>
      </c>
      <c r="R4" s="622" t="s">
        <v>232</v>
      </c>
      <c r="S4" s="623" t="s">
        <v>169</v>
      </c>
      <c r="T4" s="372" t="s">
        <v>170</v>
      </c>
      <c r="U4" s="373" t="s">
        <v>233</v>
      </c>
      <c r="V4" s="374" t="s">
        <v>234</v>
      </c>
      <c r="W4" s="372" t="s">
        <v>228</v>
      </c>
      <c r="X4" s="481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235</v>
      </c>
      <c r="D6" s="282" t="s">
        <v>236</v>
      </c>
      <c r="E6" s="283"/>
      <c r="F6" s="438"/>
      <c r="G6" s="392">
        <f>D173</f>
        <v>760057.76</v>
      </c>
      <c r="H6" s="535">
        <v>45862</v>
      </c>
      <c r="I6" s="740">
        <f>SUM(G6:G11)</f>
        <v>760057.76</v>
      </c>
      <c r="J6" s="740">
        <f>F173</f>
        <v>863702</v>
      </c>
      <c r="K6" s="389"/>
      <c r="L6" s="281">
        <v>1</v>
      </c>
      <c r="M6" s="418" t="s">
        <v>237</v>
      </c>
      <c r="N6" s="282" t="s">
        <v>238</v>
      </c>
      <c r="O6" s="550">
        <v>584</v>
      </c>
      <c r="P6" s="438">
        <f>620*1.99</f>
        <v>1233.8</v>
      </c>
      <c r="Q6" s="392">
        <f>489061.88/1.15</f>
        <v>425271.2</v>
      </c>
      <c r="R6" s="588" t="s">
        <v>239</v>
      </c>
      <c r="S6" s="625" t="s">
        <v>240</v>
      </c>
      <c r="T6" s="661">
        <v>45808</v>
      </c>
      <c r="U6" s="663">
        <v>863702</v>
      </c>
      <c r="V6" s="752">
        <f>J6-SUM(U6:U11)</f>
        <v>0</v>
      </c>
      <c r="W6" s="535">
        <v>45862</v>
      </c>
      <c r="X6" s="743">
        <f>SUM(Q6:Q11)</f>
        <v>724840.6</v>
      </c>
      <c r="Y6" s="483"/>
    </row>
    <row r="7" spans="1:76" ht="15" customHeight="1">
      <c r="B7" s="311">
        <v>1</v>
      </c>
      <c r="C7" s="419"/>
      <c r="D7" s="390" t="s">
        <v>241</v>
      </c>
      <c r="E7" s="391"/>
      <c r="F7" s="460"/>
      <c r="G7" s="315"/>
      <c r="H7" s="536">
        <v>45866</v>
      </c>
      <c r="I7" s="741"/>
      <c r="J7" s="741"/>
      <c r="K7" s="288"/>
      <c r="L7" s="311">
        <v>1</v>
      </c>
      <c r="M7" s="313" t="s">
        <v>237</v>
      </c>
      <c r="N7" s="390"/>
      <c r="O7" s="551"/>
      <c r="P7" s="445"/>
      <c r="Q7" s="315">
        <f>720539.2-Q6</f>
        <v>295267.99999999994</v>
      </c>
      <c r="R7" s="589"/>
      <c r="S7" s="626" t="s">
        <v>240</v>
      </c>
      <c r="T7" s="644">
        <v>45808</v>
      </c>
      <c r="U7" s="664">
        <v>0</v>
      </c>
      <c r="V7" s="753"/>
      <c r="W7" s="536">
        <v>45866</v>
      </c>
      <c r="X7" s="744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3"/>
      <c r="I8" s="741"/>
      <c r="J8" s="741"/>
      <c r="K8" s="288"/>
      <c r="L8" s="311">
        <v>1</v>
      </c>
      <c r="M8" s="313" t="s">
        <v>237</v>
      </c>
      <c r="N8" s="486" t="s">
        <v>238</v>
      </c>
      <c r="O8" s="552">
        <v>3</v>
      </c>
      <c r="P8" s="445"/>
      <c r="Q8" s="315">
        <v>3701.4</v>
      </c>
      <c r="R8" s="589"/>
      <c r="S8" s="626" t="s">
        <v>242</v>
      </c>
      <c r="T8" s="644">
        <v>45991</v>
      </c>
      <c r="U8" s="664">
        <v>0</v>
      </c>
      <c r="V8" s="753"/>
      <c r="W8" s="536">
        <v>46045</v>
      </c>
      <c r="X8" s="744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4"/>
      <c r="I9" s="741"/>
      <c r="J9" s="741"/>
      <c r="K9" s="288"/>
      <c r="L9" s="311">
        <v>1</v>
      </c>
      <c r="M9" s="313" t="s">
        <v>237</v>
      </c>
      <c r="N9" s="486" t="s">
        <v>243</v>
      </c>
      <c r="O9" s="552"/>
      <c r="P9" s="445"/>
      <c r="Q9" s="387">
        <v>600</v>
      </c>
      <c r="R9" s="590"/>
      <c r="S9" s="627" t="s">
        <v>242</v>
      </c>
      <c r="T9" s="645">
        <v>45991</v>
      </c>
      <c r="U9" s="665">
        <v>0</v>
      </c>
      <c r="V9" s="753"/>
      <c r="W9" s="537">
        <v>46045</v>
      </c>
      <c r="X9" s="744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41"/>
      <c r="J10" s="741"/>
      <c r="K10" s="288"/>
      <c r="L10" s="311">
        <v>1</v>
      </c>
      <c r="M10" s="313" t="s">
        <v>237</v>
      </c>
      <c r="N10" s="486"/>
      <c r="O10" s="552"/>
      <c r="P10" s="445"/>
      <c r="Q10" s="387"/>
      <c r="R10" s="590"/>
      <c r="S10" s="627"/>
      <c r="T10" s="520" t="str">
        <f t="shared" ref="T10:T80" si="0">IF(W10&gt;1,EOMONTH(W10,0),"")</f>
        <v/>
      </c>
      <c r="U10" s="665">
        <v>0</v>
      </c>
      <c r="V10" s="753"/>
      <c r="W10" s="574"/>
      <c r="X10" s="744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42"/>
      <c r="J11" s="742"/>
      <c r="K11" s="289"/>
      <c r="L11" s="316">
        <v>1</v>
      </c>
      <c r="M11" s="420" t="s">
        <v>237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6">
        <v>0</v>
      </c>
      <c r="V11" s="754"/>
      <c r="W11" s="575"/>
      <c r="X11" s="745"/>
      <c r="Y11" s="606" t="s">
        <v>244</v>
      </c>
      <c r="Z11" s="607" t="s">
        <v>245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246</v>
      </c>
      <c r="Z12" s="609">
        <f>G55</f>
        <v>409690.72608695651</v>
      </c>
    </row>
    <row r="13" spans="1:76" ht="14.25" customHeight="1">
      <c r="B13" s="293">
        <v>2</v>
      </c>
      <c r="C13" s="319" t="s">
        <v>247</v>
      </c>
      <c r="D13" s="319" t="s">
        <v>248</v>
      </c>
      <c r="E13" s="365"/>
      <c r="F13" s="458"/>
      <c r="G13" s="296">
        <f>D174</f>
        <v>210000</v>
      </c>
      <c r="H13" s="538">
        <v>45855</v>
      </c>
      <c r="I13" s="760">
        <f>SUM(G13:G19)</f>
        <v>210000</v>
      </c>
      <c r="J13" s="760">
        <f>F174</f>
        <v>238636.36363636365</v>
      </c>
      <c r="K13" s="297"/>
      <c r="L13" s="293">
        <v>2</v>
      </c>
      <c r="M13" s="421" t="s">
        <v>249</v>
      </c>
      <c r="N13" s="319" t="s">
        <v>250</v>
      </c>
      <c r="O13" s="555">
        <v>3</v>
      </c>
      <c r="P13" s="458">
        <v>68870.350000000006</v>
      </c>
      <c r="Q13" s="296">
        <f>O13*P13</f>
        <v>206611.05000000002</v>
      </c>
      <c r="R13" s="593" t="s">
        <v>239</v>
      </c>
      <c r="S13" s="630" t="s">
        <v>251</v>
      </c>
      <c r="T13" s="658">
        <f>IF(W13&gt;1,EOMONTH(W13,-2),"")</f>
        <v>45808</v>
      </c>
      <c r="U13" s="667">
        <v>238636.36363636365</v>
      </c>
      <c r="V13" s="787">
        <f>J13-SUM(U13:U19)</f>
        <v>0</v>
      </c>
      <c r="W13" s="538">
        <v>45855</v>
      </c>
      <c r="X13" s="763">
        <f>SUM(Q13:Q19)</f>
        <v>206611.05000000002</v>
      </c>
      <c r="Y13" s="608" t="s">
        <v>252</v>
      </c>
      <c r="Z13" s="610">
        <f>G29</f>
        <v>170757.8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/>
      <c r="I14" s="761"/>
      <c r="J14" s="761"/>
      <c r="K14" s="301"/>
      <c r="L14" s="298">
        <v>2</v>
      </c>
      <c r="M14" s="427" t="s">
        <v>249</v>
      </c>
      <c r="N14" s="409"/>
      <c r="O14" s="556"/>
      <c r="P14" s="454"/>
      <c r="Q14" s="478"/>
      <c r="R14" s="594"/>
      <c r="S14" s="631"/>
      <c r="T14" s="524" t="str">
        <f t="shared" si="0"/>
        <v/>
      </c>
      <c r="U14" s="668">
        <v>0</v>
      </c>
      <c r="V14" s="788"/>
      <c r="W14" s="578"/>
      <c r="X14" s="764"/>
      <c r="Y14" s="608" t="s">
        <v>253</v>
      </c>
      <c r="Z14" s="609">
        <f>G94</f>
        <v>90440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/>
      <c r="I15" s="761"/>
      <c r="J15" s="761"/>
      <c r="K15" s="301"/>
      <c r="L15" s="298">
        <v>2</v>
      </c>
      <c r="M15" s="427" t="s">
        <v>249</v>
      </c>
      <c r="N15" s="409"/>
      <c r="O15" s="556"/>
      <c r="P15" s="454"/>
      <c r="Q15" s="478"/>
      <c r="R15" s="594"/>
      <c r="S15" s="631"/>
      <c r="T15" s="524" t="str">
        <f t="shared" si="0"/>
        <v/>
      </c>
      <c r="U15" s="668">
        <v>0</v>
      </c>
      <c r="V15" s="788"/>
      <c r="W15" s="578"/>
      <c r="X15" s="764"/>
      <c r="Y15" s="608" t="s">
        <v>254</v>
      </c>
      <c r="Z15" s="609">
        <f>G95</f>
        <v>202160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61"/>
      <c r="J16" s="761"/>
      <c r="K16" s="301"/>
      <c r="L16" s="298">
        <v>2</v>
      </c>
      <c r="M16" s="427" t="s">
        <v>249</v>
      </c>
      <c r="N16" s="409"/>
      <c r="O16" s="556"/>
      <c r="P16" s="454"/>
      <c r="Q16" s="478"/>
      <c r="R16" s="594"/>
      <c r="S16" s="631"/>
      <c r="T16" s="524" t="str">
        <f t="shared" si="0"/>
        <v/>
      </c>
      <c r="U16" s="668">
        <v>0</v>
      </c>
      <c r="V16" s="788"/>
      <c r="W16" s="578"/>
      <c r="X16" s="764"/>
      <c r="Y16" s="608" t="s">
        <v>255</v>
      </c>
      <c r="Z16" s="609">
        <f>G109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8"/>
      <c r="I17" s="761"/>
      <c r="J17" s="761"/>
      <c r="K17" s="301"/>
      <c r="L17" s="298">
        <v>2</v>
      </c>
      <c r="M17" s="427" t="s">
        <v>249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8">
        <v>0</v>
      </c>
      <c r="V17" s="788"/>
      <c r="W17" s="578"/>
      <c r="X17" s="764"/>
      <c r="Y17" s="608" t="s">
        <v>256</v>
      </c>
      <c r="Z17" s="609">
        <f>G110</f>
        <v>25313.800000000003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8"/>
      <c r="I18" s="761"/>
      <c r="J18" s="761"/>
      <c r="K18" s="301"/>
      <c r="L18" s="298">
        <v>2</v>
      </c>
      <c r="M18" s="427" t="s">
        <v>249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8">
        <v>0</v>
      </c>
      <c r="V18" s="788"/>
      <c r="W18" s="578"/>
      <c r="X18" s="764"/>
      <c r="Y18" s="608" t="s">
        <v>257</v>
      </c>
      <c r="Z18" s="609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9"/>
      <c r="I19" s="762"/>
      <c r="J19" s="762"/>
      <c r="K19" s="306"/>
      <c r="L19" s="396">
        <v>2</v>
      </c>
      <c r="M19" s="422" t="s">
        <v>249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69">
        <v>0</v>
      </c>
      <c r="V19" s="789"/>
      <c r="W19" s="579"/>
      <c r="X19" s="765"/>
      <c r="Y19" s="608" t="s">
        <v>258</v>
      </c>
      <c r="Z19" s="609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6" ht="14.25" customHeight="1">
      <c r="B21" s="281">
        <v>3</v>
      </c>
      <c r="C21" s="309" t="s">
        <v>259</v>
      </c>
      <c r="D21" s="327" t="s">
        <v>260</v>
      </c>
      <c r="E21" s="283"/>
      <c r="F21" s="438"/>
      <c r="G21" s="284">
        <f>D175</f>
        <v>162792</v>
      </c>
      <c r="H21" s="540">
        <v>45835</v>
      </c>
      <c r="I21" s="740">
        <f>SUM(G21:G26)</f>
        <v>162792</v>
      </c>
      <c r="J21" s="740">
        <f>F175</f>
        <v>184990.90909090909</v>
      </c>
      <c r="K21" s="285"/>
      <c r="L21" s="281">
        <v>3</v>
      </c>
      <c r="M21" s="423" t="s">
        <v>261</v>
      </c>
      <c r="N21" s="327" t="s">
        <v>262</v>
      </c>
      <c r="O21" s="550"/>
      <c r="P21" s="438"/>
      <c r="Q21" s="284">
        <v>79861</v>
      </c>
      <c r="R21" s="596" t="s">
        <v>263</v>
      </c>
      <c r="S21" s="633" t="s">
        <v>264</v>
      </c>
      <c r="T21" s="662">
        <f>IF(W21&gt;1,EOMONTH(W21,-1),"")</f>
        <v>45808</v>
      </c>
      <c r="U21" s="670">
        <v>178441.86625409569</v>
      </c>
      <c r="V21" s="752">
        <f>J21-SUM(U21:U26)</f>
        <v>2.8368133935146034E-3</v>
      </c>
      <c r="W21" s="540">
        <v>45835</v>
      </c>
      <c r="X21" s="743">
        <f>SUM(Q21:Q26)</f>
        <v>79861</v>
      </c>
      <c r="Y21" s="608" t="s">
        <v>265</v>
      </c>
      <c r="Z21" s="611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3"/>
      <c r="I22" s="741"/>
      <c r="J22" s="741"/>
      <c r="K22" s="288"/>
      <c r="L22" s="311">
        <v>3</v>
      </c>
      <c r="M22" s="424" t="s">
        <v>261</v>
      </c>
      <c r="N22" s="328"/>
      <c r="O22" s="551"/>
      <c r="P22" s="460"/>
      <c r="Q22" s="315"/>
      <c r="R22" s="589"/>
      <c r="S22" s="626"/>
      <c r="T22" s="644">
        <v>45838</v>
      </c>
      <c r="U22" s="664">
        <v>6549.04</v>
      </c>
      <c r="V22" s="753"/>
      <c r="W22" s="573"/>
      <c r="X22" s="744"/>
      <c r="Y22" s="608" t="s">
        <v>266</v>
      </c>
      <c r="Z22" s="609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3"/>
      <c r="I23" s="741"/>
      <c r="J23" s="741"/>
      <c r="K23" s="288"/>
      <c r="L23" s="311">
        <v>3</v>
      </c>
      <c r="M23" s="424" t="s">
        <v>261</v>
      </c>
      <c r="N23" s="328"/>
      <c r="O23" s="551"/>
      <c r="P23" s="460"/>
      <c r="Q23" s="315"/>
      <c r="R23" s="589"/>
      <c r="S23" s="626"/>
      <c r="T23" s="519"/>
      <c r="U23" s="503">
        <f>(Q23/$X$21*$J$21)</f>
        <v>0</v>
      </c>
      <c r="V23" s="753"/>
      <c r="W23" s="573"/>
      <c r="X23" s="744"/>
      <c r="Y23" s="608" t="s">
        <v>267</v>
      </c>
      <c r="Z23" s="612">
        <f>+Z22*0.85</f>
        <v>774606.97717391304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4"/>
      <c r="I24" s="741"/>
      <c r="J24" s="741"/>
      <c r="K24" s="288"/>
      <c r="L24" s="311">
        <v>3</v>
      </c>
      <c r="M24" s="424" t="s">
        <v>261</v>
      </c>
      <c r="N24" s="386"/>
      <c r="O24" s="552"/>
      <c r="P24" s="445"/>
      <c r="Q24" s="387"/>
      <c r="R24" s="590"/>
      <c r="S24" s="627"/>
      <c r="T24" s="520" t="str">
        <f t="shared" si="0"/>
        <v/>
      </c>
      <c r="U24" s="504">
        <f>(Q24/$X$21*$J$21)</f>
        <v>0</v>
      </c>
      <c r="V24" s="753"/>
      <c r="W24" s="574"/>
      <c r="X24" s="744"/>
      <c r="Y24" s="613" t="s">
        <v>268</v>
      </c>
      <c r="Z24" s="611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4"/>
      <c r="I25" s="741"/>
      <c r="J25" s="741"/>
      <c r="K25" s="288"/>
      <c r="L25" s="311">
        <v>3</v>
      </c>
      <c r="M25" s="424" t="s">
        <v>261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504">
        <f>(Q25/$X$21*$J$21)</f>
        <v>0</v>
      </c>
      <c r="V25" s="753"/>
      <c r="W25" s="574"/>
      <c r="X25" s="744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5"/>
      <c r="I26" s="742"/>
      <c r="J26" s="742"/>
      <c r="K26" s="289"/>
      <c r="L26" s="316">
        <v>3</v>
      </c>
      <c r="M26" s="425" t="s">
        <v>261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505">
        <f>(Q26/$X$21*$J$21)</f>
        <v>0</v>
      </c>
      <c r="V26" s="754"/>
      <c r="W26" s="575"/>
      <c r="X26" s="745"/>
      <c r="Y26" s="614" t="s">
        <v>269</v>
      </c>
      <c r="Z26" s="615" t="s">
        <v>270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6"/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">
        <v>246</v>
      </c>
      <c r="Z27" s="617">
        <v>92047.898114276482</v>
      </c>
    </row>
    <row r="28" spans="1:26" ht="14.25" customHeight="1">
      <c r="B28" s="293">
        <v>4</v>
      </c>
      <c r="C28" s="294" t="s">
        <v>252</v>
      </c>
      <c r="D28" s="294" t="s">
        <v>271</v>
      </c>
      <c r="E28" s="365">
        <f>G28/14*1.15</f>
        <v>9740.5</v>
      </c>
      <c r="F28" s="458"/>
      <c r="G28" s="296">
        <v>118580</v>
      </c>
      <c r="H28" s="538">
        <f>H13</f>
        <v>45855</v>
      </c>
      <c r="I28" s="760">
        <f>SUM(G28:G44)</f>
        <v>289337.8</v>
      </c>
      <c r="J28" s="760">
        <f>F176</f>
        <v>328792.95454545453</v>
      </c>
      <c r="K28" s="297"/>
      <c r="L28" s="293">
        <v>4</v>
      </c>
      <c r="M28" s="426" t="s">
        <v>272</v>
      </c>
      <c r="N28" s="294" t="s">
        <v>273</v>
      </c>
      <c r="O28" s="547">
        <v>10000</v>
      </c>
      <c r="P28" s="458">
        <v>13.4</v>
      </c>
      <c r="Q28" s="296">
        <f>O28*P28</f>
        <v>134000</v>
      </c>
      <c r="R28" s="593" t="s">
        <v>239</v>
      </c>
      <c r="S28" s="630" t="s">
        <v>251</v>
      </c>
      <c r="T28" s="658">
        <f>T13</f>
        <v>45808</v>
      </c>
      <c r="U28" s="667">
        <v>138392.59500087905</v>
      </c>
      <c r="V28" s="787">
        <f>J28-SUM(U28:U44)</f>
        <v>0</v>
      </c>
      <c r="W28" s="538">
        <f>W13</f>
        <v>45855</v>
      </c>
      <c r="X28" s="763">
        <f>SUM(Q28:Q44)</f>
        <v>318357.03282253689</v>
      </c>
      <c r="Y28" s="616" t="s">
        <v>252</v>
      </c>
      <c r="Z28" s="617">
        <v>184357.03282253686</v>
      </c>
    </row>
    <row r="29" spans="1:26" ht="14.25" customHeight="1">
      <c r="B29" s="320">
        <v>4</v>
      </c>
      <c r="C29" s="409"/>
      <c r="D29" s="409" t="s">
        <v>274</v>
      </c>
      <c r="E29" s="395"/>
      <c r="F29" s="454"/>
      <c r="G29" s="642">
        <f>D176-G28</f>
        <v>170757.8</v>
      </c>
      <c r="H29" s="578"/>
      <c r="I29" s="761"/>
      <c r="J29" s="761"/>
      <c r="K29" s="301"/>
      <c r="L29" s="298">
        <v>4</v>
      </c>
      <c r="M29" s="427" t="s">
        <v>272</v>
      </c>
      <c r="N29" s="409"/>
      <c r="O29" s="548"/>
      <c r="P29" s="454"/>
      <c r="Q29" s="300"/>
      <c r="R29" s="594"/>
      <c r="S29" s="631"/>
      <c r="T29" s="658" t="str">
        <f>T14</f>
        <v/>
      </c>
      <c r="U29" s="668">
        <v>0</v>
      </c>
      <c r="V29" s="788"/>
      <c r="W29" s="578"/>
      <c r="X29" s="764"/>
      <c r="Y29" s="616" t="s">
        <v>253</v>
      </c>
      <c r="Z29" s="617">
        <v>148767.84254124312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8"/>
      <c r="I30" s="761"/>
      <c r="J30" s="761"/>
      <c r="K30" s="301"/>
      <c r="L30" s="298">
        <v>4</v>
      </c>
      <c r="M30" s="427" t="s">
        <v>272</v>
      </c>
      <c r="N30" s="409"/>
      <c r="O30" s="548"/>
      <c r="P30" s="454"/>
      <c r="Q30" s="300"/>
      <c r="R30" s="594"/>
      <c r="S30" s="631"/>
      <c r="T30" s="658" t="str">
        <f>T15</f>
        <v/>
      </c>
      <c r="U30" s="668">
        <v>0</v>
      </c>
      <c r="V30" s="788"/>
      <c r="W30" s="578"/>
      <c r="X30" s="764"/>
      <c r="Y30" s="616" t="s">
        <v>254</v>
      </c>
      <c r="Z30" s="617">
        <v>332539.88332748465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8"/>
      <c r="I31" s="761"/>
      <c r="J31" s="761"/>
      <c r="K31" s="301"/>
      <c r="L31" s="298">
        <v>4</v>
      </c>
      <c r="M31" s="427" t="s">
        <v>272</v>
      </c>
      <c r="N31" s="409"/>
      <c r="O31" s="556"/>
      <c r="P31" s="454"/>
      <c r="Q31" s="300"/>
      <c r="R31" s="594"/>
      <c r="S31" s="631"/>
      <c r="T31" s="658" t="str">
        <f>T16</f>
        <v/>
      </c>
      <c r="U31" s="668">
        <v>0</v>
      </c>
      <c r="V31" s="788"/>
      <c r="W31" s="578"/>
      <c r="X31" s="764"/>
      <c r="Y31" s="616" t="s">
        <v>255</v>
      </c>
      <c r="Z31" s="617">
        <v>9056.4839209360671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9">
        <f t="shared" ref="H32:H41" si="1">H95</f>
        <v>45792</v>
      </c>
      <c r="I32" s="761"/>
      <c r="J32" s="761"/>
      <c r="K32" s="301"/>
      <c r="L32" s="298">
        <v>4</v>
      </c>
      <c r="M32" s="427" t="s">
        <v>272</v>
      </c>
      <c r="N32" s="409" t="s">
        <v>275</v>
      </c>
      <c r="O32" s="567">
        <v>184357.03282253686</v>
      </c>
      <c r="P32" s="568">
        <v>0.1</v>
      </c>
      <c r="Q32" s="300">
        <f>$O$32*P32</f>
        <v>18435.703282253686</v>
      </c>
      <c r="R32" s="781" t="s">
        <v>276</v>
      </c>
      <c r="S32" s="631" t="s">
        <v>277</v>
      </c>
      <c r="T32" s="653">
        <f t="shared" si="0"/>
        <v>45808</v>
      </c>
      <c r="U32" s="668">
        <v>19040.035954457544</v>
      </c>
      <c r="V32" s="788"/>
      <c r="W32" s="539">
        <f t="shared" ref="W32:W37" si="2">W95</f>
        <v>45792</v>
      </c>
      <c r="X32" s="764"/>
      <c r="Y32" s="616" t="s">
        <v>256</v>
      </c>
      <c r="Z32" s="617">
        <v>33030.524031452274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57">
        <f t="shared" si="1"/>
        <v>45792</v>
      </c>
      <c r="I33" s="761"/>
      <c r="J33" s="761"/>
      <c r="K33" s="301"/>
      <c r="L33" s="298">
        <v>4</v>
      </c>
      <c r="M33" s="427" t="s">
        <v>272</v>
      </c>
      <c r="N33" s="409" t="s">
        <v>99</v>
      </c>
      <c r="O33" s="556"/>
      <c r="P33" s="568">
        <v>0.15</v>
      </c>
      <c r="Q33" s="300">
        <f t="shared" ref="Q33:Q41" si="3">$O$32*P33</f>
        <v>27653.554923380529</v>
      </c>
      <c r="R33" s="782"/>
      <c r="S33" s="631" t="s">
        <v>277</v>
      </c>
      <c r="T33" s="653">
        <v>45808</v>
      </c>
      <c r="U33" s="668">
        <v>28560.053931686318</v>
      </c>
      <c r="V33" s="788"/>
      <c r="W33" s="657">
        <f t="shared" si="2"/>
        <v>45792</v>
      </c>
      <c r="X33" s="764"/>
      <c r="Y33" s="616" t="s">
        <v>257</v>
      </c>
      <c r="Z33" s="617">
        <v>5453.4239453322871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39">
        <f t="shared" si="1"/>
        <v>45849</v>
      </c>
      <c r="I34" s="761"/>
      <c r="J34" s="761"/>
      <c r="K34" s="301"/>
      <c r="L34" s="298">
        <v>4</v>
      </c>
      <c r="M34" s="427" t="s">
        <v>272</v>
      </c>
      <c r="N34" s="409" t="s">
        <v>278</v>
      </c>
      <c r="O34" s="556"/>
      <c r="P34" s="679">
        <f>P97</f>
        <v>6.4000000000000001E-2</v>
      </c>
      <c r="Q34" s="300">
        <f t="shared" si="3"/>
        <v>11798.850100642359</v>
      </c>
      <c r="R34" s="782"/>
      <c r="S34" s="631" t="s">
        <v>279</v>
      </c>
      <c r="T34" s="673">
        <f>T97</f>
        <v>45869</v>
      </c>
      <c r="U34" s="668">
        <v>12185.623010852829</v>
      </c>
      <c r="V34" s="788"/>
      <c r="W34" s="539">
        <f t="shared" si="2"/>
        <v>45849</v>
      </c>
      <c r="X34" s="764"/>
      <c r="Y34" s="616" t="s">
        <v>258</v>
      </c>
      <c r="Z34" s="617">
        <v>0</v>
      </c>
    </row>
    <row r="35" spans="1:26" ht="14.25" customHeight="1">
      <c r="B35" s="320"/>
      <c r="C35" s="409"/>
      <c r="D35" s="409"/>
      <c r="E35" s="395"/>
      <c r="F35" s="454"/>
      <c r="G35" s="300"/>
      <c r="H35" s="539">
        <f t="shared" si="1"/>
        <v>45883</v>
      </c>
      <c r="I35" s="761"/>
      <c r="J35" s="761"/>
      <c r="K35" s="301"/>
      <c r="L35" s="298">
        <v>4</v>
      </c>
      <c r="M35" s="427" t="s">
        <v>272</v>
      </c>
      <c r="N35" s="409" t="s">
        <v>278</v>
      </c>
      <c r="O35" s="556"/>
      <c r="P35" s="679">
        <f>P98</f>
        <v>0.13600000000000001</v>
      </c>
      <c r="Q35" s="300">
        <f>O32*P35</f>
        <v>25072.556463865014</v>
      </c>
      <c r="R35" s="782"/>
      <c r="S35" s="631" t="s">
        <v>280</v>
      </c>
      <c r="T35" s="653">
        <v>45869</v>
      </c>
      <c r="U35" s="668">
        <v>25894.448898062263</v>
      </c>
      <c r="V35" s="788"/>
      <c r="W35" s="539">
        <f t="shared" si="2"/>
        <v>45883</v>
      </c>
      <c r="X35" s="764"/>
      <c r="Y35" s="616"/>
      <c r="Z35" s="617"/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39">
        <f t="shared" si="1"/>
        <v>45849</v>
      </c>
      <c r="I36" s="761"/>
      <c r="J36" s="761"/>
      <c r="K36" s="301"/>
      <c r="L36" s="298">
        <v>4</v>
      </c>
      <c r="M36" s="427" t="s">
        <v>272</v>
      </c>
      <c r="N36" s="409" t="s">
        <v>281</v>
      </c>
      <c r="O36" s="556"/>
      <c r="P36" s="682">
        <f>P99</f>
        <v>0.19750000000000001</v>
      </c>
      <c r="Q36" s="300">
        <f t="shared" si="3"/>
        <v>36410.513982451033</v>
      </c>
      <c r="R36" s="782"/>
      <c r="S36" s="631" t="s">
        <v>279</v>
      </c>
      <c r="T36" s="673">
        <f>T99</f>
        <v>45869</v>
      </c>
      <c r="U36" s="668">
        <v>37604.071010053653</v>
      </c>
      <c r="V36" s="788"/>
      <c r="W36" s="539">
        <f t="shared" si="2"/>
        <v>45849</v>
      </c>
      <c r="X36" s="764"/>
      <c r="Y36" s="616" t="s">
        <v>58</v>
      </c>
      <c r="Z36" s="617">
        <v>2006.9112967382657</v>
      </c>
    </row>
    <row r="37" spans="1:26" ht="14.25" customHeight="1">
      <c r="B37" s="320"/>
      <c r="C37" s="409"/>
      <c r="D37" s="409"/>
      <c r="E37" s="395"/>
      <c r="F37" s="454"/>
      <c r="G37" s="300"/>
      <c r="H37" s="578">
        <f t="shared" si="1"/>
        <v>45946</v>
      </c>
      <c r="I37" s="761"/>
      <c r="J37" s="761"/>
      <c r="K37" s="301"/>
      <c r="L37" s="298">
        <v>4</v>
      </c>
      <c r="M37" s="427" t="s">
        <v>272</v>
      </c>
      <c r="N37" s="409" t="s">
        <v>281</v>
      </c>
      <c r="O37" s="556"/>
      <c r="P37" s="682">
        <f>P100</f>
        <v>5.2499999999999998E-2</v>
      </c>
      <c r="Q37" s="300">
        <f>$O$32*P37</f>
        <v>9678.7442231831847</v>
      </c>
      <c r="R37" s="782"/>
      <c r="S37" s="631" t="s">
        <v>282</v>
      </c>
      <c r="T37" s="653">
        <f>T100</f>
        <v>45900</v>
      </c>
      <c r="U37" s="668">
        <v>9996.0188760902111</v>
      </c>
      <c r="V37" s="788"/>
      <c r="W37" s="539">
        <f t="shared" si="2"/>
        <v>46003</v>
      </c>
      <c r="X37" s="764"/>
      <c r="Y37" s="616"/>
      <c r="Z37" s="617"/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>
        <f t="shared" si="1"/>
        <v>45960</v>
      </c>
      <c r="I38" s="761"/>
      <c r="J38" s="761"/>
      <c r="K38" s="301"/>
      <c r="L38" s="298">
        <v>4</v>
      </c>
      <c r="M38" s="427" t="s">
        <v>272</v>
      </c>
      <c r="N38" s="409" t="s">
        <v>177</v>
      </c>
      <c r="O38" s="556"/>
      <c r="P38" s="568">
        <v>0.1</v>
      </c>
      <c r="Q38" s="300">
        <f t="shared" si="3"/>
        <v>18435.703282253686</v>
      </c>
      <c r="R38" s="782"/>
      <c r="S38" s="631" t="s">
        <v>283</v>
      </c>
      <c r="T38" s="673">
        <f t="shared" ref="T38" si="4">T101</f>
        <v>45900</v>
      </c>
      <c r="U38" s="668">
        <v>19040.035954457544</v>
      </c>
      <c r="V38" s="788"/>
      <c r="W38" s="702">
        <v>46009</v>
      </c>
      <c r="X38" s="764"/>
      <c r="Y38" s="616" t="s">
        <v>265</v>
      </c>
      <c r="Z38" s="617"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1"/>
        <v>45960</v>
      </c>
      <c r="I39" s="761"/>
      <c r="J39" s="761"/>
      <c r="K39" s="301"/>
      <c r="L39" s="298">
        <v>4</v>
      </c>
      <c r="M39" s="427" t="s">
        <v>272</v>
      </c>
      <c r="N39" s="409" t="s">
        <v>284</v>
      </c>
      <c r="O39" s="556"/>
      <c r="P39" s="568">
        <v>0.1</v>
      </c>
      <c r="Q39" s="300">
        <f t="shared" si="3"/>
        <v>18435.703282253686</v>
      </c>
      <c r="R39" s="782"/>
      <c r="S39" s="631" t="s">
        <v>285</v>
      </c>
      <c r="T39" s="673">
        <v>45900</v>
      </c>
      <c r="U39" s="668">
        <v>19040.035954457544</v>
      </c>
      <c r="V39" s="788"/>
      <c r="W39" s="702">
        <v>46009</v>
      </c>
      <c r="X39" s="764"/>
      <c r="Y39" s="616" t="s">
        <v>265</v>
      </c>
      <c r="Z39" s="618">
        <v>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>
        <f t="shared" si="1"/>
        <v>45968</v>
      </c>
      <c r="I40" s="761"/>
      <c r="J40" s="761"/>
      <c r="K40" s="301"/>
      <c r="L40" s="298">
        <v>4</v>
      </c>
      <c r="M40" s="427" t="s">
        <v>272</v>
      </c>
      <c r="N40" s="409" t="s">
        <v>286</v>
      </c>
      <c r="O40" s="556"/>
      <c r="P40" s="568">
        <v>0.05</v>
      </c>
      <c r="Q40" s="300">
        <f t="shared" si="3"/>
        <v>9217.8516411268429</v>
      </c>
      <c r="R40" s="782"/>
      <c r="S40" s="631" t="s">
        <v>287</v>
      </c>
      <c r="T40" s="673">
        <v>45900</v>
      </c>
      <c r="U40" s="668">
        <v>9520.017977228772</v>
      </c>
      <c r="V40" s="788"/>
      <c r="W40" s="578">
        <f t="shared" ref="W40:W41" si="5">W103</f>
        <v>46071</v>
      </c>
      <c r="X40" s="764"/>
      <c r="Y40" s="616" t="s">
        <v>266</v>
      </c>
      <c r="Z40" s="617">
        <v>807260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>
        <f t="shared" si="1"/>
        <v>45998</v>
      </c>
      <c r="I41" s="761"/>
      <c r="J41" s="761"/>
      <c r="K41" s="301"/>
      <c r="L41" s="298">
        <v>4</v>
      </c>
      <c r="M41" s="427" t="s">
        <v>272</v>
      </c>
      <c r="N41" s="409" t="s">
        <v>288</v>
      </c>
      <c r="O41" s="556"/>
      <c r="P41" s="568">
        <v>0.05</v>
      </c>
      <c r="Q41" s="300">
        <f t="shared" si="3"/>
        <v>9217.8516411268429</v>
      </c>
      <c r="R41" s="783"/>
      <c r="S41" s="631" t="s">
        <v>289</v>
      </c>
      <c r="T41" s="673">
        <v>45900</v>
      </c>
      <c r="U41" s="668">
        <v>9520.017977228772</v>
      </c>
      <c r="V41" s="788"/>
      <c r="W41" s="578">
        <f t="shared" si="5"/>
        <v>46101</v>
      </c>
      <c r="X41" s="764"/>
      <c r="Y41" s="619" t="s">
        <v>268</v>
      </c>
      <c r="Z41" s="618">
        <v>2.23</v>
      </c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8"/>
      <c r="I42" s="761"/>
      <c r="J42" s="761"/>
      <c r="K42" s="301"/>
      <c r="L42" s="298">
        <v>4</v>
      </c>
      <c r="M42" s="427" t="s">
        <v>272</v>
      </c>
      <c r="N42" s="409"/>
      <c r="O42" s="556"/>
      <c r="P42" s="454"/>
      <c r="Q42" s="300"/>
      <c r="R42" s="594"/>
      <c r="S42" s="631"/>
      <c r="T42" s="524" t="str">
        <f t="shared" si="0"/>
        <v/>
      </c>
      <c r="U42" s="508">
        <f>(Q42/$X$28*$J$28)</f>
        <v>0</v>
      </c>
      <c r="V42" s="788"/>
      <c r="W42" s="578"/>
      <c r="X42" s="764"/>
      <c r="Y42" s="483"/>
    </row>
    <row r="43" spans="1:26" ht="14.25" customHeight="1">
      <c r="B43" s="320">
        <v>4</v>
      </c>
      <c r="C43" s="409"/>
      <c r="D43" s="409"/>
      <c r="E43" s="395"/>
      <c r="F43" s="454"/>
      <c r="G43" s="300"/>
      <c r="H43" s="578"/>
      <c r="I43" s="761"/>
      <c r="J43" s="761"/>
      <c r="K43" s="301"/>
      <c r="L43" s="298">
        <v>4</v>
      </c>
      <c r="M43" s="427" t="s">
        <v>272</v>
      </c>
      <c r="N43" s="409"/>
      <c r="O43" s="556"/>
      <c r="P43" s="454"/>
      <c r="Q43" s="300"/>
      <c r="R43" s="594"/>
      <c r="S43" s="631"/>
      <c r="T43" s="524" t="str">
        <f t="shared" si="0"/>
        <v/>
      </c>
      <c r="U43" s="508">
        <f>(Q43/$X$28*$J$28)</f>
        <v>0</v>
      </c>
      <c r="V43" s="788"/>
      <c r="W43" s="578"/>
      <c r="X43" s="764"/>
      <c r="Y43" s="483"/>
    </row>
    <row r="44" spans="1:26" ht="15" customHeight="1" thickBot="1">
      <c r="B44" s="302">
        <v>4</v>
      </c>
      <c r="C44" s="325"/>
      <c r="D44" s="325"/>
      <c r="E44" s="398"/>
      <c r="F44" s="456"/>
      <c r="G44" s="305"/>
      <c r="H44" s="579"/>
      <c r="I44" s="762"/>
      <c r="J44" s="762"/>
      <c r="K44" s="306"/>
      <c r="L44" s="302">
        <v>4</v>
      </c>
      <c r="M44" s="428" t="s">
        <v>272</v>
      </c>
      <c r="N44" s="325"/>
      <c r="O44" s="557"/>
      <c r="P44" s="456"/>
      <c r="Q44" s="305"/>
      <c r="R44" s="595"/>
      <c r="S44" s="632"/>
      <c r="T44" s="525" t="str">
        <f t="shared" si="0"/>
        <v/>
      </c>
      <c r="U44" s="509">
        <f>(Q44/$X$28*$J$28)</f>
        <v>0</v>
      </c>
      <c r="V44" s="789"/>
      <c r="W44" s="579"/>
      <c r="X44" s="765"/>
      <c r="Y44" s="483"/>
    </row>
    <row r="45" spans="1:26" ht="14.5" thickBot="1">
      <c r="A45" s="24"/>
      <c r="B45" s="276"/>
      <c r="C45" s="277"/>
      <c r="D45" s="308"/>
      <c r="E45" s="291"/>
      <c r="F45" s="457"/>
      <c r="G45" s="292"/>
      <c r="H45" s="576"/>
      <c r="I45" s="280"/>
      <c r="J45" s="280"/>
      <c r="K45" s="24"/>
      <c r="L45" s="276"/>
      <c r="M45" s="277"/>
      <c r="N45" s="308"/>
      <c r="O45" s="554"/>
      <c r="P45" s="457"/>
      <c r="Q45" s="292"/>
      <c r="R45" s="597"/>
      <c r="S45" s="634"/>
      <c r="T45" s="522" t="str">
        <f t="shared" si="0"/>
        <v/>
      </c>
      <c r="U45" s="512"/>
      <c r="V45" s="496"/>
      <c r="W45" s="576"/>
      <c r="X45" s="350"/>
      <c r="Y45" s="483"/>
    </row>
    <row r="46" spans="1:26" ht="14.25" customHeight="1">
      <c r="B46" s="281">
        <v>5</v>
      </c>
      <c r="C46" s="309" t="s">
        <v>290</v>
      </c>
      <c r="D46" s="327" t="s">
        <v>291</v>
      </c>
      <c r="E46" s="283"/>
      <c r="F46" s="438"/>
      <c r="G46" s="284">
        <f>D178-G47</f>
        <v>34000</v>
      </c>
      <c r="H46" s="540">
        <f>H13</f>
        <v>45855</v>
      </c>
      <c r="I46" s="740">
        <f>SUM(G46:G53)</f>
        <v>49000</v>
      </c>
      <c r="J46" s="740">
        <f>F178</f>
        <v>55681.818181818184</v>
      </c>
      <c r="K46" s="285"/>
      <c r="L46" s="281">
        <v>5</v>
      </c>
      <c r="M46" s="423" t="s">
        <v>292</v>
      </c>
      <c r="N46" s="327" t="s">
        <v>293</v>
      </c>
      <c r="O46" s="550"/>
      <c r="P46" s="438"/>
      <c r="Q46" s="284">
        <v>8598.35</v>
      </c>
      <c r="R46" s="596" t="s">
        <v>239</v>
      </c>
      <c r="S46" s="633" t="s">
        <v>251</v>
      </c>
      <c r="T46" s="659">
        <f>T13</f>
        <v>45808</v>
      </c>
      <c r="U46" s="670">
        <v>12277.093379226768</v>
      </c>
      <c r="V46" s="752">
        <f>J46-SUM(U46:U53)</f>
        <v>-4.47725009144051E-3</v>
      </c>
      <c r="W46" s="540">
        <f>W13</f>
        <v>45855</v>
      </c>
      <c r="X46" s="743">
        <f>SUM(Q46:Q53)</f>
        <v>35927.129999999997</v>
      </c>
      <c r="Y46" s="483"/>
    </row>
    <row r="47" spans="1:26" ht="14.25" customHeight="1">
      <c r="B47" s="286">
        <v>5</v>
      </c>
      <c r="C47" s="310"/>
      <c r="D47" s="313" t="s">
        <v>294</v>
      </c>
      <c r="E47" s="452"/>
      <c r="F47" s="453"/>
      <c r="G47" s="315">
        <v>15000</v>
      </c>
      <c r="H47" s="536">
        <v>45806</v>
      </c>
      <c r="I47" s="741"/>
      <c r="J47" s="741"/>
      <c r="K47" s="288"/>
      <c r="L47" s="286">
        <v>5</v>
      </c>
      <c r="M47" s="429" t="s">
        <v>292</v>
      </c>
      <c r="N47" s="287" t="s">
        <v>295</v>
      </c>
      <c r="O47" s="558"/>
      <c r="P47" s="453"/>
      <c r="Q47" s="315">
        <v>13695</v>
      </c>
      <c r="R47" s="589" t="s">
        <v>296</v>
      </c>
      <c r="S47" s="626" t="s">
        <v>297</v>
      </c>
      <c r="T47" s="644">
        <v>45777</v>
      </c>
      <c r="U47" s="648">
        <v>19114.237373104399</v>
      </c>
      <c r="V47" s="753"/>
      <c r="W47" s="536">
        <v>45806</v>
      </c>
      <c r="X47" s="744"/>
      <c r="Y47" s="483"/>
    </row>
    <row r="48" spans="1:26" ht="14.25" customHeight="1">
      <c r="B48" s="286"/>
      <c r="C48" s="310"/>
      <c r="D48" s="313"/>
      <c r="E48" s="452"/>
      <c r="F48" s="453"/>
      <c r="G48" s="315"/>
      <c r="H48" s="684">
        <v>45867</v>
      </c>
      <c r="I48" s="741"/>
      <c r="J48" s="741"/>
      <c r="K48" s="288"/>
      <c r="L48" s="286">
        <v>5</v>
      </c>
      <c r="M48" s="429" t="s">
        <v>292</v>
      </c>
      <c r="N48" s="287"/>
      <c r="O48" s="558"/>
      <c r="P48" s="453"/>
      <c r="Q48" s="315">
        <v>214.28</v>
      </c>
      <c r="R48" s="589"/>
      <c r="S48" s="626" t="s">
        <v>298</v>
      </c>
      <c r="T48" s="644">
        <v>45838</v>
      </c>
      <c r="U48" s="664">
        <v>4039.4627869468004</v>
      </c>
      <c r="V48" s="753"/>
      <c r="W48" s="684">
        <v>45867</v>
      </c>
      <c r="X48" s="744"/>
      <c r="Y48" s="483"/>
    </row>
    <row r="49" spans="1:25" ht="14.25" customHeight="1">
      <c r="B49" s="286">
        <v>5</v>
      </c>
      <c r="C49" s="310"/>
      <c r="D49" s="313"/>
      <c r="E49" s="314"/>
      <c r="F49" s="460"/>
      <c r="G49" s="315"/>
      <c r="H49" s="536">
        <v>45838</v>
      </c>
      <c r="I49" s="741"/>
      <c r="J49" s="741"/>
      <c r="K49" s="288"/>
      <c r="L49" s="286">
        <v>5</v>
      </c>
      <c r="M49" s="429" t="s">
        <v>292</v>
      </c>
      <c r="N49" s="313" t="s">
        <v>299</v>
      </c>
      <c r="O49" s="551"/>
      <c r="P49" s="460"/>
      <c r="Q49" s="315">
        <v>11169</v>
      </c>
      <c r="R49" s="589"/>
      <c r="S49" s="626" t="s">
        <v>300</v>
      </c>
      <c r="T49" s="644">
        <v>45838</v>
      </c>
      <c r="U49" s="664">
        <v>17082.093069856328</v>
      </c>
      <c r="V49" s="753"/>
      <c r="W49" s="536">
        <v>45838</v>
      </c>
      <c r="X49" s="744"/>
      <c r="Y49" s="483"/>
    </row>
    <row r="50" spans="1:25" ht="14.25" customHeight="1">
      <c r="B50" s="311">
        <v>5</v>
      </c>
      <c r="C50" s="312"/>
      <c r="D50" s="313"/>
      <c r="E50" s="314"/>
      <c r="F50" s="460"/>
      <c r="G50" s="315"/>
      <c r="H50" s="536">
        <v>45799</v>
      </c>
      <c r="I50" s="741"/>
      <c r="J50" s="741"/>
      <c r="K50" s="288"/>
      <c r="L50" s="311">
        <v>5</v>
      </c>
      <c r="M50" s="429" t="s">
        <v>292</v>
      </c>
      <c r="N50" s="313" t="s">
        <v>301</v>
      </c>
      <c r="O50" s="551"/>
      <c r="P50" s="460"/>
      <c r="Q50" s="315">
        <v>2250.5</v>
      </c>
      <c r="R50" s="589" t="s">
        <v>302</v>
      </c>
      <c r="S50" s="626" t="s">
        <v>303</v>
      </c>
      <c r="T50" s="660">
        <v>45808</v>
      </c>
      <c r="U50" s="664">
        <v>3168.9360499339805</v>
      </c>
      <c r="V50" s="753"/>
      <c r="W50" s="536">
        <v>45799</v>
      </c>
      <c r="X50" s="744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4"/>
      <c r="I51" s="741"/>
      <c r="J51" s="741"/>
      <c r="K51" s="288"/>
      <c r="L51" s="311">
        <v>5</v>
      </c>
      <c r="M51" s="429" t="s">
        <v>292</v>
      </c>
      <c r="N51" s="388"/>
      <c r="O51" s="552"/>
      <c r="P51" s="445"/>
      <c r="Q51" s="387"/>
      <c r="R51" s="590"/>
      <c r="S51" s="627"/>
      <c r="T51" s="520" t="str">
        <f>IF(W51&gt;1,EOMONTH(W51,0),"")</f>
        <v/>
      </c>
      <c r="U51" s="504">
        <f>(Q51/$X$46*$J$46)</f>
        <v>0</v>
      </c>
      <c r="V51" s="753"/>
      <c r="W51" s="574"/>
      <c r="X51" s="744"/>
      <c r="Y51" s="483"/>
    </row>
    <row r="52" spans="1:25" ht="14.25" customHeight="1">
      <c r="B52" s="384">
        <v>5</v>
      </c>
      <c r="C52" s="385"/>
      <c r="D52" s="388"/>
      <c r="E52" s="407"/>
      <c r="F52" s="445"/>
      <c r="G52" s="387"/>
      <c r="H52" s="574"/>
      <c r="I52" s="741"/>
      <c r="J52" s="741"/>
      <c r="K52" s="288"/>
      <c r="L52" s="311">
        <v>5</v>
      </c>
      <c r="M52" s="429" t="s">
        <v>292</v>
      </c>
      <c r="N52" s="388"/>
      <c r="O52" s="552"/>
      <c r="P52" s="445"/>
      <c r="Q52" s="387"/>
      <c r="R52" s="590"/>
      <c r="S52" s="627"/>
      <c r="T52" s="520" t="str">
        <f t="shared" si="0"/>
        <v/>
      </c>
      <c r="U52" s="504">
        <f>(Q52/$X$46*$J$46)</f>
        <v>0</v>
      </c>
      <c r="V52" s="753"/>
      <c r="W52" s="574"/>
      <c r="X52" s="744"/>
      <c r="Y52" s="483"/>
    </row>
    <row r="53" spans="1:25" ht="15" customHeight="1" thickBot="1">
      <c r="B53" s="316">
        <v>5</v>
      </c>
      <c r="C53" s="337"/>
      <c r="D53" s="317"/>
      <c r="E53" s="318"/>
      <c r="F53" s="461"/>
      <c r="G53" s="330"/>
      <c r="H53" s="575"/>
      <c r="I53" s="742"/>
      <c r="J53" s="742"/>
      <c r="K53" s="289"/>
      <c r="L53" s="316">
        <v>5</v>
      </c>
      <c r="M53" s="425" t="s">
        <v>292</v>
      </c>
      <c r="N53" s="317"/>
      <c r="O53" s="553"/>
      <c r="P53" s="461"/>
      <c r="Q53" s="330"/>
      <c r="R53" s="591"/>
      <c r="S53" s="628"/>
      <c r="T53" s="521" t="str">
        <f t="shared" si="0"/>
        <v/>
      </c>
      <c r="U53" s="505">
        <f>(Q53/$X$46*$J$46)</f>
        <v>0</v>
      </c>
      <c r="V53" s="754"/>
      <c r="W53" s="575"/>
      <c r="X53" s="745"/>
      <c r="Y53" s="483"/>
    </row>
    <row r="54" spans="1:25" ht="14.5" thickBot="1">
      <c r="A54" s="24"/>
      <c r="B54" s="290"/>
      <c r="C54" s="307"/>
      <c r="D54" s="278"/>
      <c r="E54" s="291"/>
      <c r="F54" s="457"/>
      <c r="G54" s="292"/>
      <c r="H54" s="576"/>
      <c r="I54" s="326"/>
      <c r="J54" s="326"/>
      <c r="K54" s="24"/>
      <c r="L54" s="290"/>
      <c r="M54" s="307"/>
      <c r="N54" s="278"/>
      <c r="O54" s="554"/>
      <c r="P54" s="457"/>
      <c r="Q54" s="292"/>
      <c r="R54" s="592"/>
      <c r="S54" s="629"/>
      <c r="T54" s="522" t="str">
        <f t="shared" si="0"/>
        <v/>
      </c>
      <c r="U54" s="510"/>
      <c r="V54" s="493"/>
      <c r="W54" s="576"/>
      <c r="X54" s="484"/>
      <c r="Y54" s="483"/>
    </row>
    <row r="55" spans="1:25" ht="14.25" customHeight="1">
      <c r="B55" s="293">
        <v>6</v>
      </c>
      <c r="C55" s="294" t="s">
        <v>246</v>
      </c>
      <c r="D55" s="295" t="s">
        <v>304</v>
      </c>
      <c r="E55" s="476"/>
      <c r="F55" s="458"/>
      <c r="G55" s="296">
        <f>D177</f>
        <v>409690.72608695651</v>
      </c>
      <c r="H55" s="657">
        <v>45866</v>
      </c>
      <c r="I55" s="760">
        <f>SUM(G55:G73)</f>
        <v>409690.72608695651</v>
      </c>
      <c r="J55" s="760">
        <f>F177</f>
        <v>465557.64328063239</v>
      </c>
      <c r="K55" s="297"/>
      <c r="L55" s="293">
        <v>6</v>
      </c>
      <c r="M55" s="432" t="s">
        <v>305</v>
      </c>
      <c r="N55" s="295"/>
      <c r="O55" s="546"/>
      <c r="P55" s="458"/>
      <c r="Q55" s="296"/>
      <c r="R55" s="593"/>
      <c r="S55" s="630"/>
      <c r="T55" s="523" t="str">
        <f t="shared" si="0"/>
        <v/>
      </c>
      <c r="U55" s="507">
        <f>(Q55/$X$55*$J$55)</f>
        <v>0</v>
      </c>
      <c r="V55" s="787">
        <f>J55-SUM(U55:U73)</f>
        <v>-2.9507630388252437E-3</v>
      </c>
      <c r="W55" s="577"/>
      <c r="X55" s="763">
        <f>SUM(Q55:Q73)</f>
        <v>209378.61830284883</v>
      </c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657">
        <v>45867</v>
      </c>
      <c r="I56" s="761"/>
      <c r="J56" s="761"/>
      <c r="K56" s="301"/>
      <c r="L56" s="298">
        <v>6</v>
      </c>
      <c r="M56" s="430" t="s">
        <v>305</v>
      </c>
      <c r="N56" s="444" t="s">
        <v>306</v>
      </c>
      <c r="O56" s="556"/>
      <c r="P56" s="454"/>
      <c r="Q56" s="321">
        <v>117330.71</v>
      </c>
      <c r="R56" s="594" t="s">
        <v>307</v>
      </c>
      <c r="S56" s="631" t="s">
        <v>308</v>
      </c>
      <c r="T56" s="653">
        <v>45838</v>
      </c>
      <c r="U56" s="668">
        <v>260887.23516664887</v>
      </c>
      <c r="V56" s="788"/>
      <c r="W56" s="657">
        <v>45867</v>
      </c>
      <c r="X56" s="764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61"/>
      <c r="J57" s="761"/>
      <c r="K57" s="301"/>
      <c r="L57" s="298">
        <v>6</v>
      </c>
      <c r="M57" s="430" t="s">
        <v>305</v>
      </c>
      <c r="N57" s="444"/>
      <c r="O57" s="556"/>
      <c r="P57" s="454"/>
      <c r="Q57" s="321"/>
      <c r="R57" s="594"/>
      <c r="S57" s="631"/>
      <c r="T57" s="524" t="str">
        <f t="shared" ref="T57:T60" si="6">IF(W57&gt;1,EOMONTH(W57,0),"")</f>
        <v/>
      </c>
      <c r="U57" s="508">
        <f>(Q57/$X$55*$J$55)</f>
        <v>0</v>
      </c>
      <c r="V57" s="788"/>
      <c r="W57" s="578"/>
      <c r="X57" s="764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61"/>
      <c r="J58" s="761"/>
      <c r="K58" s="301"/>
      <c r="L58" s="298">
        <v>6</v>
      </c>
      <c r="M58" s="430" t="s">
        <v>305</v>
      </c>
      <c r="N58" s="444"/>
      <c r="O58" s="556"/>
      <c r="P58" s="454"/>
      <c r="Q58" s="321"/>
      <c r="R58" s="594"/>
      <c r="S58" s="631"/>
      <c r="T58" s="524" t="str">
        <f t="shared" si="6"/>
        <v/>
      </c>
      <c r="U58" s="508">
        <f>(Q58/$X$55*$J$55)</f>
        <v>0</v>
      </c>
      <c r="V58" s="788"/>
      <c r="W58" s="578"/>
      <c r="X58" s="764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8"/>
      <c r="I59" s="761"/>
      <c r="J59" s="761"/>
      <c r="K59" s="301"/>
      <c r="L59" s="298">
        <v>6</v>
      </c>
      <c r="M59" s="430" t="s">
        <v>305</v>
      </c>
      <c r="N59" s="444"/>
      <c r="O59" s="556"/>
      <c r="P59" s="454"/>
      <c r="Q59" s="321"/>
      <c r="R59" s="594"/>
      <c r="S59" s="631"/>
      <c r="T59" s="524" t="str">
        <f t="shared" si="6"/>
        <v/>
      </c>
      <c r="U59" s="508">
        <f>(Q59/$X$55*$J$55)</f>
        <v>0</v>
      </c>
      <c r="V59" s="788"/>
      <c r="W59" s="578"/>
      <c r="X59" s="764"/>
      <c r="Y59" s="483"/>
    </row>
    <row r="60" spans="1:25" ht="14.25" customHeight="1">
      <c r="B60" s="298">
        <v>6</v>
      </c>
      <c r="C60" s="409"/>
      <c r="D60" s="444"/>
      <c r="E60" s="395"/>
      <c r="F60" s="454"/>
      <c r="G60" s="321"/>
      <c r="H60" s="578"/>
      <c r="I60" s="761"/>
      <c r="J60" s="761"/>
      <c r="K60" s="301"/>
      <c r="L60" s="298">
        <v>6</v>
      </c>
      <c r="M60" s="430" t="s">
        <v>305</v>
      </c>
      <c r="N60" s="444"/>
      <c r="O60" s="556"/>
      <c r="P60" s="454"/>
      <c r="Q60" s="321"/>
      <c r="R60" s="594"/>
      <c r="S60" s="631"/>
      <c r="T60" s="524" t="str">
        <f t="shared" si="6"/>
        <v/>
      </c>
      <c r="U60" s="508">
        <f>(Q60/$X$55*$J$55)</f>
        <v>0</v>
      </c>
      <c r="V60" s="788"/>
      <c r="W60" s="578"/>
      <c r="X60" s="764"/>
      <c r="Y60" s="483"/>
    </row>
    <row r="61" spans="1:25" ht="14.25" customHeight="1">
      <c r="B61" s="298">
        <v>6</v>
      </c>
      <c r="C61" s="451"/>
      <c r="D61" s="299"/>
      <c r="E61" s="400"/>
      <c r="F61" s="455"/>
      <c r="G61" s="321"/>
      <c r="H61" s="539">
        <f t="shared" ref="H61:H70" si="7">H95</f>
        <v>45792</v>
      </c>
      <c r="I61" s="761"/>
      <c r="J61" s="761"/>
      <c r="K61" s="301"/>
      <c r="L61" s="298">
        <v>6</v>
      </c>
      <c r="M61" s="430" t="s">
        <v>305</v>
      </c>
      <c r="N61" s="409" t="s">
        <v>275</v>
      </c>
      <c r="O61" s="567">
        <v>92047.898114276482</v>
      </c>
      <c r="P61" s="568">
        <v>0.1</v>
      </c>
      <c r="Q61" s="300">
        <v>9204.7999999999993</v>
      </c>
      <c r="R61" s="781" t="s">
        <v>276</v>
      </c>
      <c r="S61" s="631" t="s">
        <v>277</v>
      </c>
      <c r="T61" s="653">
        <f t="shared" si="0"/>
        <v>45808</v>
      </c>
      <c r="U61" s="668">
        <v>20757.86657388409</v>
      </c>
      <c r="V61" s="788"/>
      <c r="W61" s="539">
        <f t="shared" ref="W61:W66" si="8">W95</f>
        <v>45792</v>
      </c>
      <c r="X61" s="764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657">
        <f t="shared" si="7"/>
        <v>45792</v>
      </c>
      <c r="I62" s="761"/>
      <c r="J62" s="761"/>
      <c r="K62" s="301"/>
      <c r="L62" s="298">
        <v>6</v>
      </c>
      <c r="M62" s="431" t="s">
        <v>305</v>
      </c>
      <c r="N62" s="409" t="s">
        <v>99</v>
      </c>
      <c r="O62" s="556"/>
      <c r="P62" s="568">
        <v>0.15</v>
      </c>
      <c r="Q62" s="300">
        <f t="shared" ref="Q62:Q70" si="9">$O$61*P62</f>
        <v>13807.184717141472</v>
      </c>
      <c r="R62" s="782"/>
      <c r="S62" s="631" t="s">
        <v>277</v>
      </c>
      <c r="T62" s="653">
        <v>45808</v>
      </c>
      <c r="U62" s="668">
        <v>31136.765396249157</v>
      </c>
      <c r="V62" s="788"/>
      <c r="W62" s="657">
        <f t="shared" si="8"/>
        <v>45792</v>
      </c>
      <c r="X62" s="764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39">
        <f t="shared" si="7"/>
        <v>45849</v>
      </c>
      <c r="I63" s="761"/>
      <c r="J63" s="761"/>
      <c r="K63" s="301"/>
      <c r="L63" s="298">
        <v>6</v>
      </c>
      <c r="M63" s="431" t="s">
        <v>305</v>
      </c>
      <c r="N63" s="409" t="s">
        <v>278</v>
      </c>
      <c r="O63" s="556"/>
      <c r="P63" s="679">
        <f>P97</f>
        <v>6.4000000000000001E-2</v>
      </c>
      <c r="Q63" s="300">
        <f t="shared" si="9"/>
        <v>5891.0654793136946</v>
      </c>
      <c r="R63" s="782"/>
      <c r="S63" s="631" t="s">
        <v>279</v>
      </c>
      <c r="T63" s="683">
        <f>T97</f>
        <v>45869</v>
      </c>
      <c r="U63" s="668">
        <v>13098.904669407002</v>
      </c>
      <c r="V63" s="788"/>
      <c r="W63" s="539">
        <f t="shared" si="8"/>
        <v>45849</v>
      </c>
      <c r="X63" s="764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39">
        <f t="shared" si="7"/>
        <v>45883</v>
      </c>
      <c r="I64" s="761"/>
      <c r="J64" s="761"/>
      <c r="K64" s="301"/>
      <c r="L64" s="298">
        <v>6</v>
      </c>
      <c r="M64" s="431" t="s">
        <v>305</v>
      </c>
      <c r="N64" s="409" t="s">
        <v>278</v>
      </c>
      <c r="O64" s="556"/>
      <c r="P64" s="679">
        <f>P98</f>
        <v>0.13600000000000001</v>
      </c>
      <c r="Q64" s="300">
        <f>$O$61*P64</f>
        <v>12518.514143541603</v>
      </c>
      <c r="R64" s="782"/>
      <c r="S64" s="631" t="s">
        <v>280</v>
      </c>
      <c r="T64" s="653">
        <v>45869</v>
      </c>
      <c r="U64" s="668">
        <v>27108.162422489881</v>
      </c>
      <c r="V64" s="788"/>
      <c r="W64" s="539">
        <f t="shared" si="8"/>
        <v>45883</v>
      </c>
      <c r="X64" s="764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39">
        <f t="shared" si="7"/>
        <v>45849</v>
      </c>
      <c r="I65" s="761"/>
      <c r="J65" s="761"/>
      <c r="K65" s="301"/>
      <c r="L65" s="298">
        <v>6</v>
      </c>
      <c r="M65" s="431" t="s">
        <v>305</v>
      </c>
      <c r="N65" s="409" t="s">
        <v>281</v>
      </c>
      <c r="O65" s="556"/>
      <c r="P65" s="682">
        <f>P99</f>
        <v>0.19750000000000001</v>
      </c>
      <c r="Q65" s="300">
        <f t="shared" si="9"/>
        <v>18179.459877569607</v>
      </c>
      <c r="R65" s="782"/>
      <c r="S65" s="631" t="s">
        <v>279</v>
      </c>
      <c r="T65" s="653">
        <f>T99</f>
        <v>45869</v>
      </c>
      <c r="U65" s="668">
        <v>40422.401128248166</v>
      </c>
      <c r="V65" s="788"/>
      <c r="W65" s="539">
        <f t="shared" si="8"/>
        <v>45849</v>
      </c>
      <c r="X65" s="764"/>
      <c r="Y65" s="483"/>
    </row>
    <row r="66" spans="1:25" ht="14.25" customHeight="1">
      <c r="B66" s="298"/>
      <c r="C66" s="401"/>
      <c r="D66" s="299"/>
      <c r="E66" s="400"/>
      <c r="F66" s="455"/>
      <c r="G66" s="321"/>
      <c r="H66" s="578">
        <f t="shared" si="7"/>
        <v>45946</v>
      </c>
      <c r="I66" s="761"/>
      <c r="J66" s="761"/>
      <c r="K66" s="301"/>
      <c r="L66" s="298">
        <v>6</v>
      </c>
      <c r="M66" s="431" t="s">
        <v>305</v>
      </c>
      <c r="N66" s="409" t="s">
        <v>281</v>
      </c>
      <c r="O66" s="556"/>
      <c r="P66" s="682">
        <f>P100</f>
        <v>5.2499999999999998E-2</v>
      </c>
      <c r="Q66" s="300">
        <f>$O$61*P66</f>
        <v>4832.5146509995147</v>
      </c>
      <c r="R66" s="782"/>
      <c r="S66" s="631" t="s">
        <v>282</v>
      </c>
      <c r="T66" s="653">
        <f>T100</f>
        <v>45900</v>
      </c>
      <c r="U66" s="668">
        <v>10745.195236622931</v>
      </c>
      <c r="V66" s="788"/>
      <c r="W66" s="539">
        <f t="shared" si="8"/>
        <v>46003</v>
      </c>
      <c r="X66" s="764"/>
      <c r="Y66" s="483"/>
    </row>
    <row r="67" spans="1:25" ht="14.25" customHeight="1">
      <c r="B67" s="298">
        <v>6</v>
      </c>
      <c r="C67" s="401"/>
      <c r="D67" s="299"/>
      <c r="E67" s="400"/>
      <c r="F67" s="455"/>
      <c r="G67" s="321"/>
      <c r="H67" s="578">
        <f t="shared" si="7"/>
        <v>45960</v>
      </c>
      <c r="I67" s="761"/>
      <c r="J67" s="761"/>
      <c r="K67" s="301"/>
      <c r="L67" s="298">
        <v>6</v>
      </c>
      <c r="M67" s="431" t="s">
        <v>305</v>
      </c>
      <c r="N67" s="409" t="s">
        <v>177</v>
      </c>
      <c r="O67" s="556"/>
      <c r="P67" s="568">
        <v>0.1</v>
      </c>
      <c r="Q67" s="300">
        <f t="shared" si="9"/>
        <v>9204.7898114276486</v>
      </c>
      <c r="R67" s="782"/>
      <c r="S67" s="631" t="s">
        <v>283</v>
      </c>
      <c r="T67" s="673">
        <f t="shared" ref="T67" si="10">T101</f>
        <v>45900</v>
      </c>
      <c r="U67" s="668">
        <v>20467.038545948439</v>
      </c>
      <c r="V67" s="788"/>
      <c r="W67" s="702">
        <v>46009</v>
      </c>
      <c r="X67" s="764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78">
        <f t="shared" si="7"/>
        <v>45960</v>
      </c>
      <c r="I68" s="761"/>
      <c r="J68" s="761"/>
      <c r="K68" s="301"/>
      <c r="L68" s="298">
        <v>6</v>
      </c>
      <c r="M68" s="431" t="s">
        <v>305</v>
      </c>
      <c r="N68" s="409" t="s">
        <v>284</v>
      </c>
      <c r="O68" s="556"/>
      <c r="P68" s="568">
        <v>0.1</v>
      </c>
      <c r="Q68" s="300">
        <f t="shared" si="9"/>
        <v>9204.7898114276486</v>
      </c>
      <c r="R68" s="782"/>
      <c r="S68" s="635" t="s">
        <v>285</v>
      </c>
      <c r="T68" s="685">
        <v>45900</v>
      </c>
      <c r="U68" s="687">
        <v>20467.038545948439</v>
      </c>
      <c r="V68" s="788"/>
      <c r="W68" s="702">
        <v>46009</v>
      </c>
      <c r="X68" s="764"/>
      <c r="Y68" s="483"/>
    </row>
    <row r="69" spans="1:25" ht="14.25" customHeight="1">
      <c r="B69" s="298">
        <v>6</v>
      </c>
      <c r="C69" s="500"/>
      <c r="D69" s="335"/>
      <c r="E69" s="416"/>
      <c r="F69" s="462"/>
      <c r="G69" s="321"/>
      <c r="H69" s="578">
        <f t="shared" si="7"/>
        <v>45968</v>
      </c>
      <c r="I69" s="761"/>
      <c r="J69" s="761"/>
      <c r="K69" s="301"/>
      <c r="L69" s="298">
        <v>6</v>
      </c>
      <c r="M69" s="431" t="s">
        <v>305</v>
      </c>
      <c r="N69" s="409" t="s">
        <v>286</v>
      </c>
      <c r="O69" s="556"/>
      <c r="P69" s="568">
        <v>0.05</v>
      </c>
      <c r="Q69" s="300">
        <f t="shared" si="9"/>
        <v>4602.3949057138243</v>
      </c>
      <c r="R69" s="782"/>
      <c r="S69" s="635" t="s">
        <v>287</v>
      </c>
      <c r="T69" s="685">
        <v>45900</v>
      </c>
      <c r="U69" s="687">
        <v>10233.519272974219</v>
      </c>
      <c r="V69" s="788"/>
      <c r="W69" s="578">
        <f t="shared" ref="W69:W70" si="11">W103</f>
        <v>46071</v>
      </c>
      <c r="X69" s="764"/>
      <c r="Y69" s="483"/>
    </row>
    <row r="70" spans="1:25" ht="14.25" customHeight="1">
      <c r="B70" s="298">
        <v>6</v>
      </c>
      <c r="C70" s="500"/>
      <c r="D70" s="335"/>
      <c r="E70" s="416"/>
      <c r="F70" s="462"/>
      <c r="G70" s="321"/>
      <c r="H70" s="578">
        <f t="shared" si="7"/>
        <v>45998</v>
      </c>
      <c r="I70" s="761"/>
      <c r="J70" s="761"/>
      <c r="K70" s="301"/>
      <c r="L70" s="298">
        <v>6</v>
      </c>
      <c r="M70" s="431" t="s">
        <v>305</v>
      </c>
      <c r="N70" s="409" t="s">
        <v>288</v>
      </c>
      <c r="O70" s="556"/>
      <c r="P70" s="568">
        <v>0.05</v>
      </c>
      <c r="Q70" s="300">
        <f t="shared" si="9"/>
        <v>4602.3949057138243</v>
      </c>
      <c r="R70" s="783"/>
      <c r="S70" s="635" t="s">
        <v>289</v>
      </c>
      <c r="T70" s="685">
        <v>45900</v>
      </c>
      <c r="U70" s="687">
        <v>10233.519272974219</v>
      </c>
      <c r="V70" s="788"/>
      <c r="W70" s="578">
        <f t="shared" si="11"/>
        <v>46101</v>
      </c>
      <c r="X70" s="764"/>
      <c r="Y70" s="483"/>
    </row>
    <row r="71" spans="1:25" ht="14.25" customHeight="1">
      <c r="B71" s="298">
        <v>6</v>
      </c>
      <c r="C71" s="500"/>
      <c r="D71" s="335"/>
      <c r="E71" s="416"/>
      <c r="F71" s="462"/>
      <c r="G71" s="321"/>
      <c r="H71" s="581"/>
      <c r="I71" s="761"/>
      <c r="J71" s="761"/>
      <c r="K71" s="301"/>
      <c r="L71" s="298">
        <v>6</v>
      </c>
      <c r="M71" s="431" t="s">
        <v>305</v>
      </c>
      <c r="N71" s="409"/>
      <c r="O71" s="556"/>
      <c r="P71" s="568"/>
      <c r="Q71" s="300"/>
      <c r="R71" s="598"/>
      <c r="S71" s="635"/>
      <c r="T71" s="527" t="str">
        <f t="shared" si="0"/>
        <v/>
      </c>
      <c r="U71" s="513">
        <f>(Q71/$X$55*$J$55)</f>
        <v>0</v>
      </c>
      <c r="V71" s="788"/>
      <c r="W71" s="581"/>
      <c r="X71" s="764"/>
      <c r="Y71" s="483"/>
    </row>
    <row r="72" spans="1:25" ht="14.25" customHeight="1">
      <c r="B72" s="298">
        <v>6</v>
      </c>
      <c r="C72" s="500"/>
      <c r="D72" s="335"/>
      <c r="E72" s="416"/>
      <c r="F72" s="462"/>
      <c r="G72" s="321"/>
      <c r="H72" s="581"/>
      <c r="I72" s="761"/>
      <c r="J72" s="761"/>
      <c r="K72" s="301"/>
      <c r="L72" s="298">
        <v>6</v>
      </c>
      <c r="M72" s="431" t="s">
        <v>305</v>
      </c>
      <c r="N72" s="409"/>
      <c r="O72" s="556"/>
      <c r="P72" s="568"/>
      <c r="Q72" s="300"/>
      <c r="R72" s="598"/>
      <c r="S72" s="635"/>
      <c r="T72" s="527" t="str">
        <f t="shared" si="0"/>
        <v/>
      </c>
      <c r="U72" s="513">
        <f>(Q72/$X$55*$J$55)</f>
        <v>0</v>
      </c>
      <c r="V72" s="788"/>
      <c r="W72" s="581"/>
      <c r="X72" s="764"/>
      <c r="Y72" s="483"/>
    </row>
    <row r="73" spans="1:25" ht="15" customHeight="1" thickBot="1">
      <c r="B73" s="302">
        <v>6</v>
      </c>
      <c r="C73" s="402"/>
      <c r="D73" s="304"/>
      <c r="E73" s="459"/>
      <c r="F73" s="456"/>
      <c r="G73" s="305"/>
      <c r="H73" s="579"/>
      <c r="I73" s="762"/>
      <c r="J73" s="762"/>
      <c r="K73" s="306"/>
      <c r="L73" s="302">
        <v>6</v>
      </c>
      <c r="M73" s="433" t="s">
        <v>305</v>
      </c>
      <c r="N73" s="304"/>
      <c r="O73" s="560"/>
      <c r="P73" s="456"/>
      <c r="Q73" s="305"/>
      <c r="R73" s="595"/>
      <c r="S73" s="632"/>
      <c r="T73" s="525" t="str">
        <f t="shared" si="0"/>
        <v/>
      </c>
      <c r="U73" s="509">
        <f>(Q73/$X$55*$J$55)</f>
        <v>0</v>
      </c>
      <c r="V73" s="789"/>
      <c r="W73" s="579"/>
      <c r="X73" s="765"/>
      <c r="Y73" s="483"/>
    </row>
    <row r="74" spans="1:25" ht="14.5" thickBot="1">
      <c r="A74" s="24"/>
      <c r="B74" s="290"/>
      <c r="C74" s="331"/>
      <c r="D74" s="308"/>
      <c r="E74" s="291"/>
      <c r="F74" s="457"/>
      <c r="G74" s="292"/>
      <c r="H74" s="582"/>
      <c r="I74" s="280"/>
      <c r="J74" s="280"/>
      <c r="K74" s="24"/>
      <c r="L74" s="290"/>
      <c r="M74" s="331"/>
      <c r="N74" s="308"/>
      <c r="O74" s="554"/>
      <c r="P74" s="457"/>
      <c r="Q74" s="292"/>
      <c r="R74" s="599"/>
      <c r="S74" s="636"/>
      <c r="T74" s="528" t="str">
        <f t="shared" si="0"/>
        <v/>
      </c>
      <c r="U74" s="514"/>
      <c r="V74" s="489"/>
      <c r="W74" s="582"/>
      <c r="X74" s="350"/>
      <c r="Y74" s="483"/>
    </row>
    <row r="75" spans="1:25" ht="14.25" customHeight="1">
      <c r="B75" s="381">
        <v>7</v>
      </c>
      <c r="C75" s="309" t="s">
        <v>309</v>
      </c>
      <c r="D75" s="382"/>
      <c r="E75" s="463"/>
      <c r="F75" s="469"/>
      <c r="G75" s="383"/>
      <c r="H75" s="583"/>
      <c r="I75" s="740">
        <f>SUM(G75:G82)</f>
        <v>0</v>
      </c>
      <c r="J75" s="740">
        <v>0</v>
      </c>
      <c r="K75" s="285"/>
      <c r="L75" s="381">
        <v>7</v>
      </c>
      <c r="M75" s="309" t="s">
        <v>310</v>
      </c>
      <c r="N75" s="382"/>
      <c r="O75" s="561"/>
      <c r="P75" s="469"/>
      <c r="Q75" s="383"/>
      <c r="R75" s="600"/>
      <c r="S75" s="637"/>
      <c r="T75" s="529" t="str">
        <f t="shared" si="0"/>
        <v/>
      </c>
      <c r="U75" s="544"/>
      <c r="V75" s="784">
        <f>J75-SUM(U75:U82)</f>
        <v>0</v>
      </c>
      <c r="W75" s="583"/>
      <c r="X75" s="743">
        <f>SUM(Q75:Q82)</f>
        <v>0</v>
      </c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41"/>
      <c r="J76" s="741"/>
      <c r="K76" s="288"/>
      <c r="L76" s="384">
        <v>7</v>
      </c>
      <c r="M76" s="385" t="s">
        <v>310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85"/>
      <c r="W76" s="574"/>
      <c r="X76" s="744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41"/>
      <c r="J77" s="741"/>
      <c r="K77" s="288"/>
      <c r="L77" s="384">
        <v>7</v>
      </c>
      <c r="M77" s="385" t="s">
        <v>310</v>
      </c>
      <c r="N77" s="386"/>
      <c r="O77" s="552"/>
      <c r="P77" s="445"/>
      <c r="Q77" s="387"/>
      <c r="R77" s="590"/>
      <c r="S77" s="627"/>
      <c r="T77" s="520" t="str">
        <f t="shared" si="0"/>
        <v/>
      </c>
      <c r="U77" s="504"/>
      <c r="V77" s="785"/>
      <c r="W77" s="574"/>
      <c r="X77" s="744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4"/>
      <c r="I78" s="741"/>
      <c r="J78" s="741"/>
      <c r="K78" s="288"/>
      <c r="L78" s="384">
        <v>7</v>
      </c>
      <c r="M78" s="385" t="s">
        <v>310</v>
      </c>
      <c r="N78" s="386"/>
      <c r="O78" s="552"/>
      <c r="P78" s="445"/>
      <c r="Q78" s="387"/>
      <c r="R78" s="590"/>
      <c r="S78" s="627"/>
      <c r="T78" s="520" t="str">
        <f t="shared" si="0"/>
        <v/>
      </c>
      <c r="U78" s="504"/>
      <c r="V78" s="785"/>
      <c r="W78" s="574"/>
      <c r="X78" s="744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4"/>
      <c r="I79" s="741"/>
      <c r="J79" s="741"/>
      <c r="K79" s="288"/>
      <c r="L79" s="384">
        <v>7</v>
      </c>
      <c r="M79" s="385" t="s">
        <v>310</v>
      </c>
      <c r="N79" s="386"/>
      <c r="O79" s="552"/>
      <c r="P79" s="445"/>
      <c r="Q79" s="387"/>
      <c r="R79" s="590"/>
      <c r="S79" s="627"/>
      <c r="T79" s="520" t="str">
        <f t="shared" si="0"/>
        <v/>
      </c>
      <c r="U79" s="504"/>
      <c r="V79" s="785"/>
      <c r="W79" s="574"/>
      <c r="X79" s="744"/>
      <c r="Y79" s="483"/>
    </row>
    <row r="80" spans="1:25" ht="14.25" customHeight="1">
      <c r="B80" s="384">
        <v>7</v>
      </c>
      <c r="C80" s="385"/>
      <c r="D80" s="386"/>
      <c r="E80" s="407"/>
      <c r="F80" s="445"/>
      <c r="G80" s="387"/>
      <c r="H80" s="574"/>
      <c r="I80" s="741"/>
      <c r="J80" s="741"/>
      <c r="K80" s="288"/>
      <c r="L80" s="384">
        <v>7</v>
      </c>
      <c r="M80" s="385" t="s">
        <v>310</v>
      </c>
      <c r="N80" s="386"/>
      <c r="O80" s="552"/>
      <c r="P80" s="445"/>
      <c r="Q80" s="387"/>
      <c r="R80" s="590"/>
      <c r="S80" s="627"/>
      <c r="T80" s="520" t="str">
        <f t="shared" si="0"/>
        <v/>
      </c>
      <c r="U80" s="504"/>
      <c r="V80" s="785"/>
      <c r="W80" s="574"/>
      <c r="X80" s="744"/>
      <c r="Y80" s="483"/>
    </row>
    <row r="81" spans="1:25" ht="14.25" customHeight="1">
      <c r="B81" s="384">
        <v>7</v>
      </c>
      <c r="C81" s="385"/>
      <c r="D81" s="386"/>
      <c r="E81" s="407"/>
      <c r="F81" s="445"/>
      <c r="G81" s="387"/>
      <c r="H81" s="574"/>
      <c r="I81" s="741"/>
      <c r="J81" s="741"/>
      <c r="K81" s="288"/>
      <c r="L81" s="384">
        <v>7</v>
      </c>
      <c r="M81" s="385" t="s">
        <v>310</v>
      </c>
      <c r="N81" s="386"/>
      <c r="O81" s="552"/>
      <c r="P81" s="445"/>
      <c r="Q81" s="387"/>
      <c r="R81" s="590"/>
      <c r="S81" s="627"/>
      <c r="T81" s="520" t="str">
        <f t="shared" ref="T81:T171" si="12">IF(W81&gt;1,EOMONTH(W81,0),"")</f>
        <v/>
      </c>
      <c r="U81" s="504"/>
      <c r="V81" s="785"/>
      <c r="W81" s="574"/>
      <c r="X81" s="744"/>
      <c r="Y81" s="483"/>
    </row>
    <row r="82" spans="1:25" ht="15" customHeight="1" thickBot="1">
      <c r="B82" s="316">
        <v>7</v>
      </c>
      <c r="C82" s="337"/>
      <c r="D82" s="329"/>
      <c r="E82" s="318"/>
      <c r="F82" s="461"/>
      <c r="G82" s="330"/>
      <c r="H82" s="575"/>
      <c r="I82" s="742"/>
      <c r="J82" s="742"/>
      <c r="K82" s="289"/>
      <c r="L82" s="316">
        <v>7</v>
      </c>
      <c r="M82" s="337" t="s">
        <v>310</v>
      </c>
      <c r="N82" s="329"/>
      <c r="O82" s="553"/>
      <c r="P82" s="461"/>
      <c r="Q82" s="330"/>
      <c r="R82" s="591"/>
      <c r="S82" s="628"/>
      <c r="T82" s="521" t="str">
        <f t="shared" si="12"/>
        <v/>
      </c>
      <c r="U82" s="505"/>
      <c r="V82" s="786"/>
      <c r="W82" s="575"/>
      <c r="X82" s="745"/>
      <c r="Y82" s="483"/>
    </row>
    <row r="83" spans="1:25" ht="14.5" thickBot="1">
      <c r="A83" s="24"/>
      <c r="B83" s="290"/>
      <c r="C83" s="331"/>
      <c r="D83" s="308"/>
      <c r="E83" s="291"/>
      <c r="F83" s="457"/>
      <c r="G83" s="292"/>
      <c r="H83" s="576"/>
      <c r="I83" s="280"/>
      <c r="J83" s="280"/>
      <c r="K83" s="24"/>
      <c r="L83" s="290"/>
      <c r="M83" s="331"/>
      <c r="N83" s="308"/>
      <c r="O83" s="554"/>
      <c r="P83" s="457"/>
      <c r="Q83" s="292"/>
      <c r="R83" s="592"/>
      <c r="S83" s="629"/>
      <c r="T83" s="522" t="str">
        <f t="shared" si="12"/>
        <v/>
      </c>
      <c r="U83" s="510"/>
      <c r="V83" s="493"/>
      <c r="W83" s="576"/>
      <c r="X83" s="350"/>
      <c r="Y83" s="483"/>
    </row>
    <row r="84" spans="1:25" ht="14.25" customHeight="1">
      <c r="B84" s="332">
        <v>8</v>
      </c>
      <c r="C84" s="294" t="s">
        <v>311</v>
      </c>
      <c r="D84" s="333"/>
      <c r="E84" s="464"/>
      <c r="F84" s="417"/>
      <c r="G84" s="334"/>
      <c r="H84" s="577"/>
      <c r="I84" s="760">
        <f>D180</f>
        <v>0</v>
      </c>
      <c r="J84" s="760">
        <f>F180</f>
        <v>0</v>
      </c>
      <c r="K84" s="297"/>
      <c r="L84" s="332">
        <v>8</v>
      </c>
      <c r="M84" s="426" t="s">
        <v>312</v>
      </c>
      <c r="N84" s="333"/>
      <c r="O84" s="562"/>
      <c r="P84" s="417"/>
      <c r="Q84" s="334"/>
      <c r="R84" s="593"/>
      <c r="S84" s="630"/>
      <c r="T84" s="523" t="str">
        <f t="shared" si="12"/>
        <v/>
      </c>
      <c r="U84" s="507"/>
      <c r="V84" s="772">
        <f>J84-SUM(U84:U92)</f>
        <v>0</v>
      </c>
      <c r="W84" s="577"/>
      <c r="X84" s="763">
        <f>SUM(Q84:Q92)</f>
        <v>33530</v>
      </c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657">
        <v>45834</v>
      </c>
      <c r="I85" s="761"/>
      <c r="J85" s="761"/>
      <c r="K85" s="301"/>
      <c r="L85" s="322">
        <v>8</v>
      </c>
      <c r="M85" s="434" t="s">
        <v>312</v>
      </c>
      <c r="N85" s="335" t="s">
        <v>313</v>
      </c>
      <c r="O85" s="559"/>
      <c r="P85" s="462">
        <v>17600</v>
      </c>
      <c r="Q85" s="324">
        <f>P85</f>
        <v>17600</v>
      </c>
      <c r="R85" s="594"/>
      <c r="S85" s="631" t="s">
        <v>314</v>
      </c>
      <c r="T85" s="673">
        <v>45838</v>
      </c>
      <c r="U85" s="508"/>
      <c r="V85" s="773"/>
      <c r="W85" s="657">
        <v>45834</v>
      </c>
      <c r="X85" s="764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/>
      <c r="I86" s="761"/>
      <c r="J86" s="761"/>
      <c r="K86" s="301"/>
      <c r="L86" s="322">
        <v>8</v>
      </c>
      <c r="M86" s="434" t="s">
        <v>312</v>
      </c>
      <c r="N86" s="335"/>
      <c r="O86" s="416"/>
      <c r="P86" s="462"/>
      <c r="Q86" s="324"/>
      <c r="R86" s="594"/>
      <c r="S86" s="631"/>
      <c r="T86" s="524"/>
      <c r="U86" s="508"/>
      <c r="V86" s="773"/>
      <c r="W86" s="578"/>
      <c r="X86" s="764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8"/>
      <c r="I87" s="761"/>
      <c r="J87" s="761"/>
      <c r="K87" s="301"/>
      <c r="L87" s="322">
        <v>8</v>
      </c>
      <c r="M87" s="434" t="s">
        <v>312</v>
      </c>
      <c r="N87" s="335" t="s">
        <v>315</v>
      </c>
      <c r="O87" s="559"/>
      <c r="P87" s="462"/>
      <c r="Q87" s="324">
        <v>15930</v>
      </c>
      <c r="R87" s="594" t="s">
        <v>316</v>
      </c>
      <c r="S87" s="631" t="s">
        <v>317</v>
      </c>
      <c r="T87" s="683">
        <v>45930</v>
      </c>
      <c r="U87" s="508"/>
      <c r="V87" s="773"/>
      <c r="W87" s="539">
        <v>45939</v>
      </c>
      <c r="X87" s="764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8"/>
      <c r="I88" s="761"/>
      <c r="J88" s="761"/>
      <c r="K88" s="301"/>
      <c r="L88" s="322">
        <v>8</v>
      </c>
      <c r="M88" s="434" t="s">
        <v>312</v>
      </c>
      <c r="N88" s="335"/>
      <c r="O88" s="559"/>
      <c r="P88" s="462"/>
      <c r="Q88" s="324"/>
      <c r="R88" s="594"/>
      <c r="S88" s="631"/>
      <c r="T88" s="524" t="str">
        <f t="shared" si="12"/>
        <v/>
      </c>
      <c r="U88" s="508"/>
      <c r="V88" s="773"/>
      <c r="W88" s="578"/>
      <c r="X88" s="764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78"/>
      <c r="I89" s="761"/>
      <c r="J89" s="761"/>
      <c r="K89" s="301"/>
      <c r="L89" s="322">
        <v>8</v>
      </c>
      <c r="M89" s="434" t="s">
        <v>312</v>
      </c>
      <c r="N89" s="335"/>
      <c r="O89" s="559"/>
      <c r="P89" s="462"/>
      <c r="Q89" s="324"/>
      <c r="R89" s="594"/>
      <c r="S89" s="631"/>
      <c r="T89" s="524" t="str">
        <f t="shared" si="12"/>
        <v/>
      </c>
      <c r="U89" s="508"/>
      <c r="V89" s="773"/>
      <c r="W89" s="578"/>
      <c r="X89" s="764"/>
      <c r="Y89" s="483"/>
    </row>
    <row r="90" spans="1:25" ht="14.25" customHeight="1">
      <c r="B90" s="322">
        <v>8</v>
      </c>
      <c r="C90" s="323"/>
      <c r="D90" s="335"/>
      <c r="E90" s="416"/>
      <c r="F90" s="462"/>
      <c r="G90" s="324"/>
      <c r="H90" s="578"/>
      <c r="I90" s="761"/>
      <c r="J90" s="761"/>
      <c r="K90" s="301"/>
      <c r="L90" s="322">
        <v>8</v>
      </c>
      <c r="M90" s="434" t="s">
        <v>312</v>
      </c>
      <c r="N90" s="335"/>
      <c r="O90" s="559"/>
      <c r="P90" s="462"/>
      <c r="Q90" s="324"/>
      <c r="R90" s="594"/>
      <c r="S90" s="631"/>
      <c r="T90" s="524" t="str">
        <f t="shared" si="12"/>
        <v/>
      </c>
      <c r="U90" s="508"/>
      <c r="V90" s="773"/>
      <c r="W90" s="578"/>
      <c r="X90" s="764"/>
      <c r="Y90" s="483"/>
    </row>
    <row r="91" spans="1:25" ht="14.25" customHeight="1">
      <c r="B91" s="322">
        <v>8</v>
      </c>
      <c r="C91" s="323"/>
      <c r="D91" s="335"/>
      <c r="E91" s="416"/>
      <c r="F91" s="462"/>
      <c r="G91" s="324"/>
      <c r="H91" s="581"/>
      <c r="I91" s="761"/>
      <c r="J91" s="761"/>
      <c r="K91" s="301"/>
      <c r="L91" s="322">
        <v>8</v>
      </c>
      <c r="M91" s="434" t="s">
        <v>312</v>
      </c>
      <c r="N91" s="335"/>
      <c r="O91" s="559"/>
      <c r="P91" s="462"/>
      <c r="Q91" s="324"/>
      <c r="R91" s="598"/>
      <c r="S91" s="635"/>
      <c r="T91" s="527" t="str">
        <f t="shared" si="12"/>
        <v/>
      </c>
      <c r="U91" s="513"/>
      <c r="V91" s="773"/>
      <c r="W91" s="581"/>
      <c r="X91" s="764"/>
      <c r="Y91" s="483"/>
    </row>
    <row r="92" spans="1:25" ht="15" customHeight="1" thickBot="1">
      <c r="B92" s="322">
        <v>8</v>
      </c>
      <c r="C92" s="303"/>
      <c r="D92" s="304"/>
      <c r="E92" s="459"/>
      <c r="F92" s="456"/>
      <c r="G92" s="305"/>
      <c r="H92" s="579"/>
      <c r="I92" s="762"/>
      <c r="J92" s="762"/>
      <c r="K92" s="306"/>
      <c r="L92" s="302">
        <v>8</v>
      </c>
      <c r="M92" s="433" t="s">
        <v>312</v>
      </c>
      <c r="N92" s="304"/>
      <c r="O92" s="560"/>
      <c r="P92" s="456"/>
      <c r="Q92" s="305"/>
      <c r="R92" s="595"/>
      <c r="S92" s="632"/>
      <c r="T92" s="525" t="str">
        <f t="shared" si="12"/>
        <v/>
      </c>
      <c r="U92" s="509"/>
      <c r="V92" s="774"/>
      <c r="W92" s="579"/>
      <c r="X92" s="765"/>
      <c r="Y92" s="483"/>
    </row>
    <row r="93" spans="1:25" ht="22.5" customHeight="1" thickBot="1">
      <c r="A93" s="24"/>
      <c r="B93" s="336"/>
      <c r="C93" s="164"/>
      <c r="D93" s="164"/>
      <c r="E93" s="164"/>
      <c r="F93" s="470"/>
      <c r="G93" s="164"/>
      <c r="H93" s="541"/>
      <c r="I93" s="440"/>
      <c r="J93" s="441"/>
      <c r="K93" s="164" t="s">
        <v>318</v>
      </c>
      <c r="L93" s="336"/>
      <c r="M93" s="164"/>
      <c r="N93" s="164"/>
      <c r="O93" s="563"/>
      <c r="P93" s="470"/>
      <c r="Q93" s="164"/>
      <c r="R93" s="601"/>
      <c r="S93" s="336"/>
      <c r="T93" s="530" t="str">
        <f t="shared" si="12"/>
        <v/>
      </c>
      <c r="U93" s="495"/>
      <c r="V93" s="495"/>
      <c r="W93" s="541"/>
      <c r="X93" s="440"/>
      <c r="Y93" s="483"/>
    </row>
    <row r="94" spans="1:25" ht="15" customHeight="1">
      <c r="B94" s="311">
        <v>9</v>
      </c>
      <c r="C94" s="443" t="s">
        <v>319</v>
      </c>
      <c r="D94" s="327" t="s">
        <v>320</v>
      </c>
      <c r="E94" s="314"/>
      <c r="F94" s="438"/>
      <c r="G94" s="621">
        <f>D186</f>
        <v>90440</v>
      </c>
      <c r="H94" s="536">
        <v>45791</v>
      </c>
      <c r="I94" s="766">
        <f>SUM(G94:G107)</f>
        <v>292600</v>
      </c>
      <c r="J94" s="740">
        <f>F186+F187</f>
        <v>344235.29411764705</v>
      </c>
      <c r="K94" s="288"/>
      <c r="L94" s="311">
        <v>9</v>
      </c>
      <c r="M94" s="424" t="s">
        <v>321</v>
      </c>
      <c r="N94" s="327"/>
      <c r="O94" s="551"/>
      <c r="P94" s="438"/>
      <c r="Q94" s="315"/>
      <c r="R94" s="596"/>
      <c r="S94" s="633"/>
      <c r="T94" s="526" t="str">
        <f t="shared" si="12"/>
        <v/>
      </c>
      <c r="U94" s="511">
        <f>(Q94/$X$94*$J$94)</f>
        <v>0</v>
      </c>
      <c r="V94" s="752">
        <f>J94-SUM(U94:U107)</f>
        <v>-6.8659994867630303E-3</v>
      </c>
      <c r="W94" s="580"/>
      <c r="X94" s="769">
        <f>SUM(Q94:Q107)</f>
        <v>481307.74922780029</v>
      </c>
      <c r="Y94" s="483"/>
    </row>
    <row r="95" spans="1:25" ht="15" customHeight="1">
      <c r="B95" s="311">
        <v>9</v>
      </c>
      <c r="C95" s="443"/>
      <c r="D95" s="328" t="s">
        <v>322</v>
      </c>
      <c r="E95" s="314"/>
      <c r="F95" s="460"/>
      <c r="G95" s="621">
        <f>D187</f>
        <v>202160</v>
      </c>
      <c r="H95" s="536">
        <v>45792</v>
      </c>
      <c r="I95" s="767"/>
      <c r="J95" s="741"/>
      <c r="K95" s="288"/>
      <c r="L95" s="311">
        <v>9</v>
      </c>
      <c r="M95" s="424" t="s">
        <v>321</v>
      </c>
      <c r="N95" s="328" t="s">
        <v>275</v>
      </c>
      <c r="O95" s="570">
        <v>481307.72586872778</v>
      </c>
      <c r="P95" s="571">
        <v>0.1</v>
      </c>
      <c r="Q95" s="315">
        <v>48130.78</v>
      </c>
      <c r="R95" s="778" t="s">
        <v>276</v>
      </c>
      <c r="S95" s="626" t="s">
        <v>277</v>
      </c>
      <c r="T95" s="644">
        <f t="shared" si="12"/>
        <v>45808</v>
      </c>
      <c r="U95" s="664">
        <v>34423.534103420694</v>
      </c>
      <c r="V95" s="753"/>
      <c r="W95" s="536">
        <v>45792</v>
      </c>
      <c r="X95" s="770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655">
        <v>45792</v>
      </c>
      <c r="I96" s="767"/>
      <c r="J96" s="741"/>
      <c r="K96" s="288"/>
      <c r="L96" s="384">
        <v>9</v>
      </c>
      <c r="M96" s="502" t="s">
        <v>321</v>
      </c>
      <c r="N96" s="386" t="s">
        <v>99</v>
      </c>
      <c r="O96" s="552"/>
      <c r="P96" s="569">
        <v>0.15</v>
      </c>
      <c r="Q96" s="315">
        <v>72196.160000000003</v>
      </c>
      <c r="R96" s="779"/>
      <c r="S96" s="627" t="s">
        <v>277</v>
      </c>
      <c r="T96" s="645">
        <v>45808</v>
      </c>
      <c r="U96" s="665">
        <v>51635.294003047886</v>
      </c>
      <c r="V96" s="753"/>
      <c r="W96" s="655">
        <v>45792</v>
      </c>
      <c r="X96" s="770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37">
        <v>45849</v>
      </c>
      <c r="I97" s="767"/>
      <c r="J97" s="741"/>
      <c r="K97" s="288"/>
      <c r="L97" s="384">
        <v>9</v>
      </c>
      <c r="M97" s="502" t="s">
        <v>321</v>
      </c>
      <c r="N97" s="386" t="s">
        <v>278</v>
      </c>
      <c r="O97" s="552"/>
      <c r="P97" s="675">
        <v>6.4000000000000001E-2</v>
      </c>
      <c r="Q97" s="315">
        <f t="shared" ref="Q97:Q104" si="13">$O$95*P97</f>
        <v>30803.694455598579</v>
      </c>
      <c r="R97" s="779"/>
      <c r="S97" s="627" t="s">
        <v>279</v>
      </c>
      <c r="T97" s="676">
        <v>45869</v>
      </c>
      <c r="U97" s="665">
        <v>22031.058432953894</v>
      </c>
      <c r="V97" s="753"/>
      <c r="W97" s="537">
        <v>45849</v>
      </c>
      <c r="X97" s="770"/>
      <c r="Y97" s="483"/>
    </row>
    <row r="98" spans="1:25" ht="15" customHeight="1">
      <c r="B98" s="384"/>
      <c r="C98" s="501"/>
      <c r="D98" s="386"/>
      <c r="E98" s="407"/>
      <c r="F98" s="445"/>
      <c r="G98" s="387"/>
      <c r="H98" s="537">
        <v>45883</v>
      </c>
      <c r="I98" s="767"/>
      <c r="J98" s="741"/>
      <c r="K98" s="288"/>
      <c r="L98" s="384">
        <v>9</v>
      </c>
      <c r="M98" s="502" t="s">
        <v>321</v>
      </c>
      <c r="N98" s="386" t="s">
        <v>278</v>
      </c>
      <c r="O98" s="552"/>
      <c r="P98" s="675">
        <v>0.13600000000000001</v>
      </c>
      <c r="Q98" s="315">
        <f>$O$95*P98</f>
        <v>65457.850718146983</v>
      </c>
      <c r="R98" s="779"/>
      <c r="S98" s="627" t="s">
        <v>280</v>
      </c>
      <c r="T98" s="645">
        <v>45869</v>
      </c>
      <c r="U98" s="665">
        <v>46815.999170027026</v>
      </c>
      <c r="V98" s="753"/>
      <c r="W98" s="537">
        <v>45883</v>
      </c>
      <c r="X98" s="770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37">
        <v>45849</v>
      </c>
      <c r="I99" s="767"/>
      <c r="J99" s="741"/>
      <c r="K99" s="288"/>
      <c r="L99" s="384">
        <v>9</v>
      </c>
      <c r="M99" s="502" t="s">
        <v>321</v>
      </c>
      <c r="N99" s="386" t="s">
        <v>281</v>
      </c>
      <c r="O99" s="552"/>
      <c r="P99" s="680">
        <v>0.19750000000000001</v>
      </c>
      <c r="Q99" s="315">
        <f t="shared" si="13"/>
        <v>95058.275859073736</v>
      </c>
      <c r="R99" s="779"/>
      <c r="S99" s="627" t="s">
        <v>279</v>
      </c>
      <c r="T99" s="676">
        <v>45869</v>
      </c>
      <c r="U99" s="665">
        <v>67986.469382943644</v>
      </c>
      <c r="V99" s="753"/>
      <c r="W99" s="537">
        <v>45849</v>
      </c>
      <c r="X99" s="770"/>
      <c r="Y99" s="483"/>
    </row>
    <row r="100" spans="1:25" ht="15" customHeight="1">
      <c r="B100" s="384"/>
      <c r="C100" s="501"/>
      <c r="D100" s="386"/>
      <c r="E100" s="407"/>
      <c r="F100" s="445"/>
      <c r="G100" s="387"/>
      <c r="H100" s="574">
        <v>45946</v>
      </c>
      <c r="I100" s="767"/>
      <c r="J100" s="741"/>
      <c r="K100" s="288"/>
      <c r="L100" s="384">
        <v>9</v>
      </c>
      <c r="M100" s="502" t="s">
        <v>321</v>
      </c>
      <c r="N100" s="386" t="s">
        <v>281</v>
      </c>
      <c r="O100" s="552"/>
      <c r="P100" s="680">
        <v>5.2499999999999998E-2</v>
      </c>
      <c r="Q100" s="315">
        <f>$O$95*P100</f>
        <v>25268.655608108209</v>
      </c>
      <c r="R100" s="779"/>
      <c r="S100" s="627" t="s">
        <v>282</v>
      </c>
      <c r="T100" s="645">
        <v>45900</v>
      </c>
      <c r="U100" s="665">
        <v>18072.352064079845</v>
      </c>
      <c r="V100" s="753"/>
      <c r="W100" s="537">
        <v>46003</v>
      </c>
      <c r="X100" s="770"/>
      <c r="Y100" s="483"/>
    </row>
    <row r="101" spans="1:25" ht="15" customHeight="1">
      <c r="B101" s="384">
        <v>9</v>
      </c>
      <c r="C101" s="501"/>
      <c r="D101" s="386"/>
      <c r="E101" s="407"/>
      <c r="F101" s="445"/>
      <c r="G101" s="387"/>
      <c r="H101" s="574">
        <v>45960</v>
      </c>
      <c r="I101" s="767"/>
      <c r="J101" s="741"/>
      <c r="K101" s="288"/>
      <c r="L101" s="384">
        <v>9</v>
      </c>
      <c r="M101" s="502" t="s">
        <v>321</v>
      </c>
      <c r="N101" s="386" t="s">
        <v>177</v>
      </c>
      <c r="O101" s="552"/>
      <c r="P101" s="569">
        <v>0.1</v>
      </c>
      <c r="Q101" s="315">
        <v>48130.78</v>
      </c>
      <c r="R101" s="779"/>
      <c r="S101" s="627" t="s">
        <v>283</v>
      </c>
      <c r="T101" s="676">
        <v>45900</v>
      </c>
      <c r="U101" s="665">
        <v>34423.533043034535</v>
      </c>
      <c r="V101" s="753"/>
      <c r="W101" s="703">
        <f>'Project Plan'!K41+9</f>
        <v>46009</v>
      </c>
      <c r="X101" s="770"/>
      <c r="Y101" s="483"/>
    </row>
    <row r="102" spans="1:25" ht="15" customHeight="1">
      <c r="B102" s="384">
        <v>9</v>
      </c>
      <c r="C102" s="501"/>
      <c r="D102" s="386"/>
      <c r="E102" s="407"/>
      <c r="F102" s="445"/>
      <c r="G102" s="387"/>
      <c r="H102" s="574">
        <v>45960</v>
      </c>
      <c r="I102" s="767"/>
      <c r="J102" s="741"/>
      <c r="K102" s="288"/>
      <c r="L102" s="384">
        <v>9</v>
      </c>
      <c r="M102" s="502" t="s">
        <v>321</v>
      </c>
      <c r="N102" s="386" t="s">
        <v>284</v>
      </c>
      <c r="O102" s="552"/>
      <c r="P102" s="569">
        <v>0.1</v>
      </c>
      <c r="Q102" s="315">
        <v>48130.78</v>
      </c>
      <c r="R102" s="779"/>
      <c r="S102" s="627" t="s">
        <v>285</v>
      </c>
      <c r="T102" s="676">
        <v>45900</v>
      </c>
      <c r="U102" s="665">
        <v>34423.533043034535</v>
      </c>
      <c r="V102" s="753"/>
      <c r="W102" s="703">
        <v>46009</v>
      </c>
      <c r="X102" s="770"/>
      <c r="Y102" s="483"/>
    </row>
    <row r="103" spans="1:25" ht="15" customHeight="1">
      <c r="B103" s="384">
        <v>9</v>
      </c>
      <c r="C103" s="501"/>
      <c r="D103" s="386"/>
      <c r="E103" s="407"/>
      <c r="F103" s="445"/>
      <c r="G103" s="387"/>
      <c r="H103" s="574">
        <v>45968</v>
      </c>
      <c r="I103" s="767"/>
      <c r="J103" s="741"/>
      <c r="K103" s="288"/>
      <c r="L103" s="384">
        <v>9</v>
      </c>
      <c r="M103" s="502" t="s">
        <v>321</v>
      </c>
      <c r="N103" s="386" t="s">
        <v>286</v>
      </c>
      <c r="O103" s="552"/>
      <c r="P103" s="569">
        <v>0.05</v>
      </c>
      <c r="Q103" s="315">
        <f t="shared" si="13"/>
        <v>24065.38629343639</v>
      </c>
      <c r="R103" s="779"/>
      <c r="S103" s="627" t="s">
        <v>287</v>
      </c>
      <c r="T103" s="676">
        <v>45900</v>
      </c>
      <c r="U103" s="665">
        <v>17211.763870552233</v>
      </c>
      <c r="V103" s="753"/>
      <c r="W103" s="574">
        <f>'Project Plan'!K52+7</f>
        <v>46071</v>
      </c>
      <c r="X103" s="770"/>
      <c r="Y103" s="483"/>
    </row>
    <row r="104" spans="1:25" ht="15" customHeight="1">
      <c r="B104" s="384">
        <v>9</v>
      </c>
      <c r="C104" s="501"/>
      <c r="D104" s="386"/>
      <c r="E104" s="407"/>
      <c r="F104" s="445"/>
      <c r="G104" s="387"/>
      <c r="H104" s="574">
        <f>H103+30</f>
        <v>45998</v>
      </c>
      <c r="I104" s="767"/>
      <c r="J104" s="741"/>
      <c r="K104" s="288"/>
      <c r="L104" s="384">
        <v>9</v>
      </c>
      <c r="M104" s="502" t="s">
        <v>321</v>
      </c>
      <c r="N104" s="386" t="s">
        <v>288</v>
      </c>
      <c r="O104" s="552"/>
      <c r="P104" s="569">
        <v>0.05</v>
      </c>
      <c r="Q104" s="315">
        <f t="shared" si="13"/>
        <v>24065.38629343639</v>
      </c>
      <c r="R104" s="780"/>
      <c r="S104" s="627" t="s">
        <v>289</v>
      </c>
      <c r="T104" s="676">
        <v>45900</v>
      </c>
      <c r="U104" s="665">
        <v>17211.763870552233</v>
      </c>
      <c r="V104" s="753"/>
      <c r="W104" s="574">
        <f>W103+30</f>
        <v>46101</v>
      </c>
      <c r="X104" s="770"/>
      <c r="Y104" s="483"/>
    </row>
    <row r="105" spans="1:25" ht="15" customHeight="1">
      <c r="B105" s="384">
        <v>9</v>
      </c>
      <c r="C105" s="501"/>
      <c r="D105" s="386"/>
      <c r="E105" s="407"/>
      <c r="F105" s="445"/>
      <c r="G105" s="387"/>
      <c r="H105" s="574"/>
      <c r="I105" s="767"/>
      <c r="J105" s="741"/>
      <c r="K105" s="288"/>
      <c r="L105" s="384">
        <v>9</v>
      </c>
      <c r="M105" s="502" t="s">
        <v>321</v>
      </c>
      <c r="N105" s="386"/>
      <c r="O105" s="552"/>
      <c r="P105" s="445"/>
      <c r="Q105" s="387"/>
      <c r="R105" s="590"/>
      <c r="S105" s="627"/>
      <c r="T105" s="520" t="str">
        <f t="shared" si="12"/>
        <v/>
      </c>
      <c r="U105" s="504">
        <f>(Q105/$X$94*$J$94)</f>
        <v>0</v>
      </c>
      <c r="V105" s="753"/>
      <c r="W105" s="574"/>
      <c r="X105" s="770"/>
      <c r="Y105" s="483"/>
    </row>
    <row r="106" spans="1:25" ht="15" customHeight="1">
      <c r="B106" s="384">
        <v>9</v>
      </c>
      <c r="C106" s="501"/>
      <c r="D106" s="386"/>
      <c r="E106" s="407"/>
      <c r="F106" s="445"/>
      <c r="G106" s="387"/>
      <c r="H106" s="574"/>
      <c r="I106" s="767"/>
      <c r="J106" s="741"/>
      <c r="K106" s="288"/>
      <c r="L106" s="384">
        <v>9</v>
      </c>
      <c r="M106" s="502" t="s">
        <v>321</v>
      </c>
      <c r="N106" s="386"/>
      <c r="O106" s="552"/>
      <c r="P106" s="445"/>
      <c r="Q106" s="387"/>
      <c r="R106" s="590"/>
      <c r="S106" s="627"/>
      <c r="T106" s="520" t="str">
        <f t="shared" si="12"/>
        <v/>
      </c>
      <c r="U106" s="504">
        <f>(Q106/$X$94*$J$94)</f>
        <v>0</v>
      </c>
      <c r="V106" s="753"/>
      <c r="W106" s="574"/>
      <c r="X106" s="770"/>
      <c r="Y106" s="483"/>
    </row>
    <row r="107" spans="1:25" ht="15" customHeight="1" thickBot="1">
      <c r="B107" s="316">
        <v>9</v>
      </c>
      <c r="C107" s="439"/>
      <c r="D107" s="329"/>
      <c r="E107" s="318"/>
      <c r="F107" s="461"/>
      <c r="G107" s="330"/>
      <c r="H107" s="575"/>
      <c r="I107" s="768"/>
      <c r="J107" s="742"/>
      <c r="K107" s="364"/>
      <c r="L107" s="316">
        <v>9</v>
      </c>
      <c r="M107" s="442" t="s">
        <v>321</v>
      </c>
      <c r="N107" s="329"/>
      <c r="O107" s="553"/>
      <c r="P107" s="461"/>
      <c r="Q107" s="330"/>
      <c r="R107" s="591"/>
      <c r="S107" s="628"/>
      <c r="T107" s="521" t="str">
        <f t="shared" si="12"/>
        <v/>
      </c>
      <c r="U107" s="505">
        <f>(Q107/$X$94*$J$94)</f>
        <v>0</v>
      </c>
      <c r="V107" s="754"/>
      <c r="W107" s="575"/>
      <c r="X107" s="771"/>
      <c r="Y107" s="483"/>
    </row>
    <row r="108" spans="1:25" ht="14.5" thickBot="1">
      <c r="A108" s="24"/>
      <c r="B108" s="290"/>
      <c r="C108" s="307"/>
      <c r="D108" s="308"/>
      <c r="E108" s="291"/>
      <c r="F108" s="457"/>
      <c r="G108" s="292"/>
      <c r="H108" s="576"/>
      <c r="I108" s="280"/>
      <c r="J108" s="403"/>
      <c r="K108" s="24"/>
      <c r="L108" s="290"/>
      <c r="M108" s="307"/>
      <c r="N108" s="308"/>
      <c r="O108" s="554"/>
      <c r="P108" s="457"/>
      <c r="Q108" s="292"/>
      <c r="R108" s="592"/>
      <c r="S108" s="629"/>
      <c r="T108" s="522" t="str">
        <f t="shared" si="12"/>
        <v/>
      </c>
      <c r="U108" s="510"/>
      <c r="V108" s="493"/>
      <c r="W108" s="576"/>
      <c r="X108" s="350"/>
      <c r="Y108" s="483"/>
    </row>
    <row r="109" spans="1:25" ht="14.25" customHeight="1">
      <c r="B109" s="269">
        <v>10</v>
      </c>
      <c r="C109" s="270" t="s">
        <v>323</v>
      </c>
      <c r="D109" s="270" t="s">
        <v>255</v>
      </c>
      <c r="E109" s="271"/>
      <c r="F109" s="471"/>
      <c r="G109" s="338">
        <f>D190</f>
        <v>8500</v>
      </c>
      <c r="H109" s="542">
        <v>45825</v>
      </c>
      <c r="I109" s="746">
        <f>SUM(G109:G129)</f>
        <v>81453.8</v>
      </c>
      <c r="J109" s="746">
        <f>F190+F193+F194+F192</f>
        <v>95828</v>
      </c>
      <c r="K109" s="339"/>
      <c r="L109" s="269">
        <v>10</v>
      </c>
      <c r="M109" s="435" t="s">
        <v>324</v>
      </c>
      <c r="N109" s="270"/>
      <c r="O109" s="564"/>
      <c r="P109" s="471"/>
      <c r="Q109" s="338">
        <v>0</v>
      </c>
      <c r="R109" s="602"/>
      <c r="S109" s="638"/>
      <c r="T109" s="531" t="str">
        <f t="shared" si="12"/>
        <v/>
      </c>
      <c r="U109" s="515">
        <f>(Q109/$X$109*$J$109)</f>
        <v>0</v>
      </c>
      <c r="V109" s="755">
        <f>J109-SUM(U109:U129)</f>
        <v>4.6652181772515178E-3</v>
      </c>
      <c r="W109" s="584"/>
      <c r="X109" s="749">
        <f>SUM(Q109:Q129)</f>
        <v>59547.337395844181</v>
      </c>
      <c r="Y109" s="483"/>
    </row>
    <row r="110" spans="1:25" ht="14.25" customHeight="1">
      <c r="B110" s="340">
        <v>10</v>
      </c>
      <c r="C110" s="341"/>
      <c r="D110" s="341" t="s">
        <v>256</v>
      </c>
      <c r="E110" s="342"/>
      <c r="F110" s="472"/>
      <c r="G110" s="343">
        <f>D194</f>
        <v>25313.800000000003</v>
      </c>
      <c r="H110" s="542">
        <v>45826</v>
      </c>
      <c r="I110" s="747"/>
      <c r="J110" s="747"/>
      <c r="K110" s="272"/>
      <c r="L110" s="340">
        <v>10</v>
      </c>
      <c r="M110" s="436" t="s">
        <v>324</v>
      </c>
      <c r="N110" s="341"/>
      <c r="O110" s="565"/>
      <c r="P110" s="472"/>
      <c r="Q110" s="343"/>
      <c r="R110" s="603"/>
      <c r="S110" s="639"/>
      <c r="T110" s="532" t="str">
        <f t="shared" si="12"/>
        <v/>
      </c>
      <c r="U110" s="516">
        <f>(Q110/$X$109*$J$109)</f>
        <v>0</v>
      </c>
      <c r="V110" s="756"/>
      <c r="W110" s="585"/>
      <c r="X110" s="750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2">
        <v>45827</v>
      </c>
      <c r="I111" s="747"/>
      <c r="J111" s="747"/>
      <c r="K111" s="272"/>
      <c r="L111" s="340">
        <v>10</v>
      </c>
      <c r="M111" s="436" t="s">
        <v>324</v>
      </c>
      <c r="N111" s="341" t="s">
        <v>325</v>
      </c>
      <c r="O111" s="565"/>
      <c r="P111" s="472"/>
      <c r="Q111" s="343">
        <v>10000</v>
      </c>
      <c r="R111" s="603" t="s">
        <v>326</v>
      </c>
      <c r="S111" s="639" t="s">
        <v>327</v>
      </c>
      <c r="T111" s="672">
        <v>45838</v>
      </c>
      <c r="U111" s="674">
        <v>9626.3749997597188</v>
      </c>
      <c r="V111" s="756"/>
      <c r="W111" s="542">
        <v>45827</v>
      </c>
      <c r="X111" s="750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42">
        <v>45828</v>
      </c>
      <c r="I112" s="747"/>
      <c r="J112" s="747"/>
      <c r="K112" s="272"/>
      <c r="L112" s="340">
        <v>10</v>
      </c>
      <c r="M112" s="436" t="s">
        <v>324</v>
      </c>
      <c r="N112" s="341" t="s">
        <v>328</v>
      </c>
      <c r="O112" s="565"/>
      <c r="P112" s="472"/>
      <c r="Q112" s="343"/>
      <c r="R112" s="603"/>
      <c r="S112" s="639"/>
      <c r="T112" s="672">
        <v>45900</v>
      </c>
      <c r="U112" s="674">
        <v>27211.7</v>
      </c>
      <c r="V112" s="756"/>
      <c r="W112" s="585"/>
      <c r="X112" s="750"/>
      <c r="Y112" s="483"/>
    </row>
    <row r="113" spans="2:25" ht="14.25" customHeight="1">
      <c r="B113" s="340"/>
      <c r="C113" s="341"/>
      <c r="D113" s="341"/>
      <c r="E113" s="342"/>
      <c r="F113" s="472"/>
      <c r="G113" s="343"/>
      <c r="H113" s="542">
        <v>45829</v>
      </c>
      <c r="I113" s="747"/>
      <c r="J113" s="747"/>
      <c r="K113" s="272"/>
      <c r="L113" s="340">
        <v>10</v>
      </c>
      <c r="M113" s="436" t="s">
        <v>324</v>
      </c>
      <c r="N113" s="341"/>
      <c r="O113" s="565"/>
      <c r="P113" s="472"/>
      <c r="Q113" s="343"/>
      <c r="R113" s="603"/>
      <c r="S113" s="639"/>
      <c r="T113" s="532"/>
      <c r="U113" s="516">
        <f>(Q113/$X$109*$J$109)</f>
        <v>0</v>
      </c>
      <c r="V113" s="756"/>
      <c r="W113" s="585"/>
      <c r="X113" s="750"/>
      <c r="Y113" s="483"/>
    </row>
    <row r="114" spans="2:25" ht="14.25" customHeight="1">
      <c r="B114" s="340"/>
      <c r="C114" s="341"/>
      <c r="D114" s="341"/>
      <c r="E114" s="342"/>
      <c r="F114" s="472"/>
      <c r="G114" s="343"/>
      <c r="H114" s="542">
        <v>45830</v>
      </c>
      <c r="I114" s="747"/>
      <c r="J114" s="747"/>
      <c r="K114" s="272"/>
      <c r="L114" s="340">
        <v>10</v>
      </c>
      <c r="M114" s="436" t="s">
        <v>324</v>
      </c>
      <c r="N114" s="341"/>
      <c r="O114" s="565"/>
      <c r="P114" s="472"/>
      <c r="Q114" s="343"/>
      <c r="R114" s="603"/>
      <c r="S114" s="639"/>
      <c r="T114" s="532" t="str">
        <f t="shared" ref="T114" si="14">IF(W114&gt;1,EOMONTH(W114,0),"")</f>
        <v/>
      </c>
      <c r="U114" s="516">
        <f>(Q114/$X$109*$J$109)</f>
        <v>0</v>
      </c>
      <c r="V114" s="756"/>
      <c r="W114" s="585"/>
      <c r="X114" s="750"/>
      <c r="Y114" s="483"/>
    </row>
    <row r="115" spans="2:25" ht="14.25" customHeight="1">
      <c r="B115" s="340">
        <v>10</v>
      </c>
      <c r="C115" s="341"/>
      <c r="D115" s="341" t="s">
        <v>329</v>
      </c>
      <c r="E115" s="342"/>
      <c r="F115" s="472"/>
      <c r="G115" s="343">
        <f>D193</f>
        <v>43200</v>
      </c>
      <c r="H115" s="542">
        <v>45831</v>
      </c>
      <c r="I115" s="747"/>
      <c r="J115" s="747"/>
      <c r="K115" s="272"/>
      <c r="L115" s="340">
        <v>10</v>
      </c>
      <c r="M115" s="436" t="s">
        <v>324</v>
      </c>
      <c r="N115" s="341"/>
      <c r="O115" s="565"/>
      <c r="P115" s="472"/>
      <c r="Q115" s="343"/>
      <c r="R115" s="603"/>
      <c r="S115" s="639"/>
      <c r="T115" s="532" t="str">
        <f t="shared" si="12"/>
        <v/>
      </c>
      <c r="U115" s="516">
        <f>(Q115/$X$109*$J$109)</f>
        <v>0</v>
      </c>
      <c r="V115" s="756"/>
      <c r="W115" s="585"/>
      <c r="X115" s="750"/>
      <c r="Y115" s="483"/>
    </row>
    <row r="116" spans="2:25" ht="14.25" customHeight="1">
      <c r="B116" s="340">
        <v>10</v>
      </c>
      <c r="C116" s="341"/>
      <c r="D116" s="341" t="s">
        <v>257</v>
      </c>
      <c r="E116" s="342"/>
      <c r="F116" s="472"/>
      <c r="G116" s="343">
        <f>D192</f>
        <v>4440</v>
      </c>
      <c r="H116" s="542">
        <v>45832</v>
      </c>
      <c r="I116" s="747"/>
      <c r="J116" s="747"/>
      <c r="K116" s="272"/>
      <c r="L116" s="340">
        <v>10</v>
      </c>
      <c r="M116" s="436" t="s">
        <v>324</v>
      </c>
      <c r="N116" s="341"/>
      <c r="O116" s="565"/>
      <c r="P116" s="472"/>
      <c r="Q116" s="343"/>
      <c r="R116" s="603"/>
      <c r="S116" s="639"/>
      <c r="T116" s="532" t="str">
        <f t="shared" si="12"/>
        <v/>
      </c>
      <c r="U116" s="516">
        <f>(Q116/$X$109*$J$109)</f>
        <v>0</v>
      </c>
      <c r="V116" s="756"/>
      <c r="W116" s="585"/>
      <c r="X116" s="750"/>
      <c r="Y116" s="483"/>
    </row>
    <row r="117" spans="2:25" ht="14.25" customHeight="1">
      <c r="B117" s="340">
        <v>10</v>
      </c>
      <c r="C117" s="341"/>
      <c r="D117" s="341"/>
      <c r="E117" s="342"/>
      <c r="F117" s="472"/>
      <c r="G117" s="343"/>
      <c r="H117" s="543">
        <f t="shared" ref="H117:H126" si="15">H95</f>
        <v>45792</v>
      </c>
      <c r="I117" s="747"/>
      <c r="J117" s="747"/>
      <c r="K117" s="272"/>
      <c r="L117" s="340">
        <v>10</v>
      </c>
      <c r="M117" s="436" t="s">
        <v>324</v>
      </c>
      <c r="N117" s="341" t="s">
        <v>275</v>
      </c>
      <c r="O117" s="620">
        <v>49547.343194458896</v>
      </c>
      <c r="P117" s="572">
        <v>0.1</v>
      </c>
      <c r="Q117" s="343">
        <v>4954.7299999999996</v>
      </c>
      <c r="R117" s="775" t="s">
        <v>276</v>
      </c>
      <c r="S117" s="640" t="s">
        <v>277</v>
      </c>
      <c r="T117" s="654">
        <f t="shared" si="12"/>
        <v>45808</v>
      </c>
      <c r="U117" s="671">
        <v>4769.6089002559465</v>
      </c>
      <c r="V117" s="756"/>
      <c r="W117" s="543">
        <f t="shared" ref="W117:W126" si="16">W95</f>
        <v>45792</v>
      </c>
      <c r="X117" s="750"/>
      <c r="Y117" s="483"/>
    </row>
    <row r="118" spans="2:25" ht="14.25" customHeight="1">
      <c r="B118" s="340">
        <v>10</v>
      </c>
      <c r="C118" s="341"/>
      <c r="D118" s="341"/>
      <c r="E118" s="342"/>
      <c r="F118" s="472"/>
      <c r="G118" s="343"/>
      <c r="H118" s="656">
        <f t="shared" si="15"/>
        <v>45792</v>
      </c>
      <c r="I118" s="747"/>
      <c r="J118" s="747"/>
      <c r="K118" s="272"/>
      <c r="L118" s="340">
        <v>10</v>
      </c>
      <c r="M118" s="436" t="s">
        <v>324</v>
      </c>
      <c r="N118" s="341" t="s">
        <v>99</v>
      </c>
      <c r="O118" s="565"/>
      <c r="P118" s="572">
        <v>0.15</v>
      </c>
      <c r="Q118" s="343">
        <v>7432.1</v>
      </c>
      <c r="R118" s="776"/>
      <c r="S118" s="640" t="s">
        <v>277</v>
      </c>
      <c r="T118" s="654">
        <v>45808</v>
      </c>
      <c r="U118" s="671">
        <v>7154.4181635714203</v>
      </c>
      <c r="V118" s="756"/>
      <c r="W118" s="656">
        <f t="shared" si="16"/>
        <v>45792</v>
      </c>
      <c r="X118" s="750"/>
      <c r="Y118" s="483"/>
    </row>
    <row r="119" spans="2:25" ht="14.25" customHeight="1">
      <c r="B119" s="340">
        <v>10</v>
      </c>
      <c r="C119" s="341"/>
      <c r="D119" s="341"/>
      <c r="E119" s="342"/>
      <c r="F119" s="472"/>
      <c r="G119" s="343"/>
      <c r="H119" s="543">
        <f t="shared" si="15"/>
        <v>45849</v>
      </c>
      <c r="I119" s="747"/>
      <c r="J119" s="747"/>
      <c r="K119" s="272"/>
      <c r="L119" s="340">
        <v>10</v>
      </c>
      <c r="M119" s="436" t="s">
        <v>324</v>
      </c>
      <c r="N119" s="341" t="s">
        <v>278</v>
      </c>
      <c r="O119" s="565"/>
      <c r="P119" s="677">
        <f>P97</f>
        <v>6.4000000000000001E-2</v>
      </c>
      <c r="Q119" s="343">
        <f t="shared" ref="Q119:Q126" si="17">$O$117*P119</f>
        <v>3171.0299644453694</v>
      </c>
      <c r="R119" s="776"/>
      <c r="S119" s="640" t="s">
        <v>279</v>
      </c>
      <c r="T119" s="678">
        <f t="shared" ref="T119:T123" si="18">T97</f>
        <v>45869</v>
      </c>
      <c r="U119" s="671">
        <v>3052.5523573225846</v>
      </c>
      <c r="V119" s="756"/>
      <c r="W119" s="543">
        <f t="shared" si="16"/>
        <v>45849</v>
      </c>
      <c r="X119" s="750"/>
      <c r="Y119" s="483"/>
    </row>
    <row r="120" spans="2:25" ht="14.25" customHeight="1">
      <c r="B120" s="340"/>
      <c r="C120" s="341"/>
      <c r="D120" s="341"/>
      <c r="E120" s="342"/>
      <c r="F120" s="472"/>
      <c r="G120" s="343"/>
      <c r="H120" s="543">
        <f t="shared" si="15"/>
        <v>45883</v>
      </c>
      <c r="I120" s="747"/>
      <c r="J120" s="747"/>
      <c r="K120" s="272"/>
      <c r="L120" s="340">
        <v>10</v>
      </c>
      <c r="M120" s="436" t="s">
        <v>324</v>
      </c>
      <c r="N120" s="341" t="s">
        <v>278</v>
      </c>
      <c r="O120" s="565"/>
      <c r="P120" s="677">
        <f>P98</f>
        <v>0.13600000000000001</v>
      </c>
      <c r="Q120" s="343">
        <f>$O$117*P120</f>
        <v>6738.43867444641</v>
      </c>
      <c r="R120" s="776"/>
      <c r="S120" s="640" t="s">
        <v>280</v>
      </c>
      <c r="T120" s="654">
        <v>45869</v>
      </c>
      <c r="U120" s="671">
        <v>6486.6737593104926</v>
      </c>
      <c r="V120" s="756"/>
      <c r="W120" s="543">
        <f t="shared" si="16"/>
        <v>45883</v>
      </c>
      <c r="X120" s="750"/>
      <c r="Y120" s="483"/>
    </row>
    <row r="121" spans="2:25">
      <c r="B121" s="340">
        <v>10</v>
      </c>
      <c r="C121" s="341"/>
      <c r="D121" s="341"/>
      <c r="E121" s="342"/>
      <c r="F121" s="472"/>
      <c r="G121" s="343"/>
      <c r="H121" s="543">
        <f t="shared" si="15"/>
        <v>45849</v>
      </c>
      <c r="I121" s="747"/>
      <c r="J121" s="747"/>
      <c r="K121" s="272"/>
      <c r="L121" s="340">
        <v>10</v>
      </c>
      <c r="M121" s="436" t="s">
        <v>324</v>
      </c>
      <c r="N121" s="341" t="s">
        <v>281</v>
      </c>
      <c r="O121" s="565"/>
      <c r="P121" s="681">
        <f>P99</f>
        <v>0.19750000000000001</v>
      </c>
      <c r="Q121" s="343">
        <f t="shared" si="17"/>
        <v>9785.6002809056317</v>
      </c>
      <c r="R121" s="776"/>
      <c r="S121" s="640" t="s">
        <v>279</v>
      </c>
      <c r="T121" s="678">
        <f t="shared" si="18"/>
        <v>45869</v>
      </c>
      <c r="U121" s="671">
        <v>9419.9857901751639</v>
      </c>
      <c r="V121" s="756"/>
      <c r="W121" s="543">
        <f t="shared" si="16"/>
        <v>45849</v>
      </c>
      <c r="X121" s="750"/>
      <c r="Y121" s="483"/>
    </row>
    <row r="122" spans="2:25" ht="14.25" customHeight="1">
      <c r="B122" s="340"/>
      <c r="C122" s="341"/>
      <c r="D122" s="341"/>
      <c r="E122" s="342"/>
      <c r="F122" s="472"/>
      <c r="G122" s="343"/>
      <c r="H122" s="586">
        <f t="shared" si="15"/>
        <v>45946</v>
      </c>
      <c r="I122" s="747"/>
      <c r="J122" s="747"/>
      <c r="K122" s="272"/>
      <c r="L122" s="340">
        <v>10</v>
      </c>
      <c r="M122" s="436" t="s">
        <v>324</v>
      </c>
      <c r="N122" s="341" t="s">
        <v>281</v>
      </c>
      <c r="O122" s="565"/>
      <c r="P122" s="681">
        <f>P100</f>
        <v>5.2499999999999998E-2</v>
      </c>
      <c r="Q122" s="343">
        <f>$O$117*P122</f>
        <v>2601.2355177090917</v>
      </c>
      <c r="R122" s="776"/>
      <c r="S122" s="640" t="s">
        <v>282</v>
      </c>
      <c r="T122" s="654">
        <f t="shared" si="18"/>
        <v>45900</v>
      </c>
      <c r="U122" s="671">
        <v>4186.1014798022443</v>
      </c>
      <c r="V122" s="756"/>
      <c r="W122" s="543">
        <f t="shared" si="16"/>
        <v>46003</v>
      </c>
      <c r="X122" s="750"/>
      <c r="Y122" s="483"/>
    </row>
    <row r="123" spans="2:25" ht="14.25" customHeight="1">
      <c r="B123" s="340">
        <v>10</v>
      </c>
      <c r="C123" s="341"/>
      <c r="D123" s="341"/>
      <c r="E123" s="342"/>
      <c r="F123" s="472"/>
      <c r="G123" s="343"/>
      <c r="H123" s="586">
        <f t="shared" si="15"/>
        <v>45960</v>
      </c>
      <c r="I123" s="747"/>
      <c r="J123" s="747"/>
      <c r="K123" s="272"/>
      <c r="L123" s="340">
        <v>10</v>
      </c>
      <c r="M123" s="436" t="s">
        <v>324</v>
      </c>
      <c r="N123" s="341" t="s">
        <v>177</v>
      </c>
      <c r="O123" s="565"/>
      <c r="P123" s="572">
        <v>0.1</v>
      </c>
      <c r="Q123" s="343">
        <f t="shared" si="17"/>
        <v>4954.7343194458899</v>
      </c>
      <c r="R123" s="776"/>
      <c r="S123" s="640" t="s">
        <v>283</v>
      </c>
      <c r="T123" s="678">
        <f t="shared" si="18"/>
        <v>45900</v>
      </c>
      <c r="U123" s="671">
        <v>7973.5266281947515</v>
      </c>
      <c r="V123" s="756"/>
      <c r="W123" s="691">
        <f t="shared" si="16"/>
        <v>46009</v>
      </c>
      <c r="X123" s="750"/>
      <c r="Y123" s="483"/>
    </row>
    <row r="124" spans="2:25" ht="14.25" customHeight="1">
      <c r="B124" s="340">
        <v>10</v>
      </c>
      <c r="C124" s="341"/>
      <c r="D124" s="341"/>
      <c r="E124" s="342"/>
      <c r="F124" s="472"/>
      <c r="G124" s="343"/>
      <c r="H124" s="586">
        <f t="shared" si="15"/>
        <v>45960</v>
      </c>
      <c r="I124" s="747"/>
      <c r="J124" s="747"/>
      <c r="K124" s="272"/>
      <c r="L124" s="340">
        <v>10</v>
      </c>
      <c r="M124" s="436" t="s">
        <v>324</v>
      </c>
      <c r="N124" s="341" t="s">
        <v>284</v>
      </c>
      <c r="O124" s="565"/>
      <c r="P124" s="572">
        <v>0.1</v>
      </c>
      <c r="Q124" s="343">
        <f t="shared" si="17"/>
        <v>4954.7343194458899</v>
      </c>
      <c r="R124" s="776"/>
      <c r="S124" s="640" t="s">
        <v>285</v>
      </c>
      <c r="T124" s="678">
        <v>45900</v>
      </c>
      <c r="U124" s="671">
        <v>7973.5266281947515</v>
      </c>
      <c r="V124" s="756"/>
      <c r="W124" s="691">
        <f t="shared" si="16"/>
        <v>46009</v>
      </c>
      <c r="X124" s="750"/>
      <c r="Y124" s="483"/>
    </row>
    <row r="125" spans="2:25" ht="14.25" customHeight="1">
      <c r="B125" s="340">
        <v>10</v>
      </c>
      <c r="C125" s="341"/>
      <c r="D125" s="341"/>
      <c r="E125" s="342"/>
      <c r="F125" s="472"/>
      <c r="G125" s="343"/>
      <c r="H125" s="586">
        <f t="shared" si="15"/>
        <v>45968</v>
      </c>
      <c r="I125" s="747"/>
      <c r="J125" s="747"/>
      <c r="K125" s="272"/>
      <c r="L125" s="340">
        <v>10</v>
      </c>
      <c r="M125" s="436" t="s">
        <v>324</v>
      </c>
      <c r="N125" s="341" t="s">
        <v>286</v>
      </c>
      <c r="O125" s="565"/>
      <c r="P125" s="572">
        <v>0.05</v>
      </c>
      <c r="Q125" s="343">
        <f t="shared" si="17"/>
        <v>2477.367159722945</v>
      </c>
      <c r="R125" s="776"/>
      <c r="S125" s="640" t="s">
        <v>287</v>
      </c>
      <c r="T125" s="678">
        <v>45900</v>
      </c>
      <c r="U125" s="671">
        <v>3986.7633140973758</v>
      </c>
      <c r="V125" s="756"/>
      <c r="W125" s="586">
        <f t="shared" si="16"/>
        <v>46071</v>
      </c>
      <c r="X125" s="750"/>
      <c r="Y125" s="483"/>
    </row>
    <row r="126" spans="2:25" ht="14.25" customHeight="1">
      <c r="B126" s="340">
        <v>10</v>
      </c>
      <c r="C126" s="341"/>
      <c r="D126" s="341"/>
      <c r="E126" s="342"/>
      <c r="F126" s="472"/>
      <c r="G126" s="343"/>
      <c r="H126" s="586">
        <f t="shared" si="15"/>
        <v>45998</v>
      </c>
      <c r="I126" s="747"/>
      <c r="J126" s="747"/>
      <c r="K126" s="272"/>
      <c r="L126" s="340">
        <v>10</v>
      </c>
      <c r="M126" s="436" t="s">
        <v>324</v>
      </c>
      <c r="N126" s="341" t="s">
        <v>288</v>
      </c>
      <c r="O126" s="565"/>
      <c r="P126" s="572">
        <v>0.05</v>
      </c>
      <c r="Q126" s="343">
        <f t="shared" si="17"/>
        <v>2477.367159722945</v>
      </c>
      <c r="R126" s="777"/>
      <c r="S126" s="640" t="s">
        <v>289</v>
      </c>
      <c r="T126" s="678">
        <v>45900</v>
      </c>
      <c r="U126" s="671">
        <v>3986.7633140973758</v>
      </c>
      <c r="V126" s="756"/>
      <c r="W126" s="586">
        <f t="shared" si="16"/>
        <v>46101</v>
      </c>
      <c r="X126" s="750"/>
      <c r="Y126" s="483"/>
    </row>
    <row r="127" spans="2:25" ht="14.15" customHeight="1">
      <c r="B127" s="340">
        <v>10</v>
      </c>
      <c r="C127" s="341"/>
      <c r="D127" s="341"/>
      <c r="E127" s="342"/>
      <c r="F127" s="472"/>
      <c r="G127" s="343"/>
      <c r="H127" s="586"/>
      <c r="I127" s="747"/>
      <c r="J127" s="747"/>
      <c r="K127" s="272"/>
      <c r="L127" s="340">
        <v>10</v>
      </c>
      <c r="M127" s="436" t="s">
        <v>324</v>
      </c>
      <c r="N127" s="341"/>
      <c r="O127" s="565"/>
      <c r="P127" s="472"/>
      <c r="Q127" s="343"/>
      <c r="R127" s="604"/>
      <c r="S127" s="640"/>
      <c r="T127" s="533" t="str">
        <f t="shared" si="12"/>
        <v/>
      </c>
      <c r="U127" s="517">
        <f>(Q127/$X$109*$J$109)</f>
        <v>0</v>
      </c>
      <c r="V127" s="756"/>
      <c r="W127" s="586"/>
      <c r="X127" s="750"/>
      <c r="Y127" s="483"/>
    </row>
    <row r="128" spans="2:25" ht="14.25" customHeight="1">
      <c r="B128" s="340">
        <v>10</v>
      </c>
      <c r="C128" s="341"/>
      <c r="D128" s="341"/>
      <c r="E128" s="342"/>
      <c r="F128" s="472"/>
      <c r="G128" s="343"/>
      <c r="H128" s="586"/>
      <c r="I128" s="747"/>
      <c r="J128" s="747"/>
      <c r="K128" s="272"/>
      <c r="L128" s="340">
        <v>10</v>
      </c>
      <c r="M128" s="436" t="s">
        <v>324</v>
      </c>
      <c r="N128" s="341"/>
      <c r="O128" s="565"/>
      <c r="P128" s="472"/>
      <c r="Q128" s="343"/>
      <c r="R128" s="604"/>
      <c r="S128" s="640"/>
      <c r="T128" s="533" t="str">
        <f t="shared" si="12"/>
        <v/>
      </c>
      <c r="U128" s="517">
        <f>(Q128/$X$109*$J$109)</f>
        <v>0</v>
      </c>
      <c r="V128" s="756"/>
      <c r="W128" s="586"/>
      <c r="X128" s="750"/>
      <c r="Y128" s="483"/>
    </row>
    <row r="129" spans="1:25" ht="15" customHeight="1" thickBot="1">
      <c r="B129" s="273">
        <v>10</v>
      </c>
      <c r="C129" s="344"/>
      <c r="D129" s="344"/>
      <c r="E129" s="345"/>
      <c r="F129" s="473"/>
      <c r="G129" s="274"/>
      <c r="H129" s="587"/>
      <c r="I129" s="748"/>
      <c r="J129" s="748"/>
      <c r="K129" s="275"/>
      <c r="L129" s="273">
        <v>10</v>
      </c>
      <c r="M129" s="437" t="s">
        <v>324</v>
      </c>
      <c r="N129" s="344"/>
      <c r="O129" s="566"/>
      <c r="P129" s="473"/>
      <c r="Q129" s="274"/>
      <c r="R129" s="605"/>
      <c r="S129" s="641"/>
      <c r="T129" s="534" t="str">
        <f t="shared" si="12"/>
        <v/>
      </c>
      <c r="U129" s="518">
        <f>(Q129/$X$109*$J$109)</f>
        <v>0</v>
      </c>
      <c r="V129" s="757"/>
      <c r="W129" s="587"/>
      <c r="X129" s="751"/>
      <c r="Y129" s="483"/>
    </row>
    <row r="130" spans="1:25" ht="14.5" thickBot="1">
      <c r="A130" s="24"/>
      <c r="B130" s="276"/>
      <c r="C130" s="277"/>
      <c r="D130" s="277"/>
      <c r="E130" s="291"/>
      <c r="F130" s="457"/>
      <c r="G130" s="279"/>
      <c r="H130" s="576"/>
      <c r="I130" s="280"/>
      <c r="J130" s="403"/>
      <c r="K130" s="24"/>
      <c r="L130" s="276"/>
      <c r="M130" s="277"/>
      <c r="N130" s="277"/>
      <c r="O130" s="554"/>
      <c r="P130" s="457"/>
      <c r="Q130" s="279"/>
      <c r="R130" s="597"/>
      <c r="S130" s="634"/>
      <c r="T130" s="522" t="str">
        <f t="shared" si="12"/>
        <v/>
      </c>
      <c r="U130" s="506"/>
      <c r="V130" s="494"/>
      <c r="W130" s="576"/>
      <c r="X130" s="350"/>
      <c r="Y130" s="483"/>
    </row>
    <row r="131" spans="1:25" ht="14.25" customHeight="1">
      <c r="B131" s="281">
        <v>11</v>
      </c>
      <c r="C131" s="282" t="s">
        <v>330</v>
      </c>
      <c r="D131" s="351" t="s">
        <v>331</v>
      </c>
      <c r="E131" s="283"/>
      <c r="F131" s="438"/>
      <c r="G131" s="284">
        <v>11000</v>
      </c>
      <c r="H131" s="580">
        <v>45911</v>
      </c>
      <c r="I131" s="740">
        <f>SUM(G131:G135)</f>
        <v>116088</v>
      </c>
      <c r="J131" s="740">
        <f>F189</f>
        <v>136574.11764705883</v>
      </c>
      <c r="K131" s="285"/>
      <c r="L131" s="281">
        <v>11</v>
      </c>
      <c r="M131" s="351" t="s">
        <v>332</v>
      </c>
      <c r="N131" s="351" t="s">
        <v>331</v>
      </c>
      <c r="O131" s="283"/>
      <c r="P131" s="438"/>
      <c r="Q131" s="284">
        <v>9941.1</v>
      </c>
      <c r="R131" s="596"/>
      <c r="S131" s="633" t="s">
        <v>333</v>
      </c>
      <c r="T131" s="662">
        <v>45869</v>
      </c>
      <c r="U131" s="670">
        <v>48582.790457950323</v>
      </c>
      <c r="V131" s="752">
        <f>J131-SUM(U131:U135)</f>
        <v>2.3467238061130047E-3</v>
      </c>
      <c r="W131" s="701">
        <v>45988</v>
      </c>
      <c r="X131" s="743">
        <f>SUM(Q131:Q135)</f>
        <v>42864.76</v>
      </c>
      <c r="Y131" s="483"/>
    </row>
    <row r="132" spans="1:25" ht="15" customHeight="1">
      <c r="B132" s="311">
        <v>11</v>
      </c>
      <c r="C132" s="313"/>
      <c r="D132" s="313" t="s">
        <v>334</v>
      </c>
      <c r="E132" s="314"/>
      <c r="F132" s="460"/>
      <c r="G132" s="315">
        <v>18088</v>
      </c>
      <c r="H132" s="580">
        <v>45912</v>
      </c>
      <c r="I132" s="741"/>
      <c r="J132" s="741"/>
      <c r="K132" s="288"/>
      <c r="L132" s="311">
        <v>11</v>
      </c>
      <c r="M132" s="390" t="s">
        <v>332</v>
      </c>
      <c r="N132" s="313" t="s">
        <v>334</v>
      </c>
      <c r="O132" s="314"/>
      <c r="P132" s="460"/>
      <c r="Q132" s="315">
        <v>8212.24</v>
      </c>
      <c r="R132" s="589" t="s">
        <v>335</v>
      </c>
      <c r="S132" s="626" t="s">
        <v>336</v>
      </c>
      <c r="T132" s="650">
        <v>45777</v>
      </c>
      <c r="U132" s="648">
        <v>37133.627521617753</v>
      </c>
      <c r="V132" s="753"/>
      <c r="W132" s="651">
        <v>45757</v>
      </c>
      <c r="X132" s="744"/>
      <c r="Y132" s="483"/>
    </row>
    <row r="133" spans="1:25" ht="15" customHeight="1">
      <c r="B133" s="311">
        <v>11</v>
      </c>
      <c r="C133" s="313"/>
      <c r="D133" s="313" t="s">
        <v>337</v>
      </c>
      <c r="E133" s="314"/>
      <c r="F133" s="460"/>
      <c r="G133" s="315">
        <v>80000</v>
      </c>
      <c r="H133" s="580">
        <v>45913</v>
      </c>
      <c r="I133" s="741"/>
      <c r="J133" s="741"/>
      <c r="K133" s="288"/>
      <c r="L133" s="311">
        <v>11</v>
      </c>
      <c r="M133" s="390" t="s">
        <v>332</v>
      </c>
      <c r="N133" s="313" t="s">
        <v>338</v>
      </c>
      <c r="O133" s="314"/>
      <c r="P133" s="460"/>
      <c r="Q133" s="315">
        <v>13611.42</v>
      </c>
      <c r="R133" s="589"/>
      <c r="S133" s="626" t="s">
        <v>339</v>
      </c>
      <c r="T133" s="644">
        <v>46053</v>
      </c>
      <c r="U133" s="648">
        <v>0</v>
      </c>
      <c r="V133" s="753"/>
      <c r="W133" s="651">
        <v>46051</v>
      </c>
      <c r="X133" s="744"/>
      <c r="Y133" s="483"/>
    </row>
    <row r="134" spans="1:25" ht="15" customHeight="1">
      <c r="B134" s="311">
        <v>11</v>
      </c>
      <c r="C134" s="388"/>
      <c r="D134" s="388" t="s">
        <v>340</v>
      </c>
      <c r="E134" s="407"/>
      <c r="F134" s="445"/>
      <c r="G134" s="387">
        <v>7000</v>
      </c>
      <c r="H134" s="580">
        <v>45914</v>
      </c>
      <c r="I134" s="741"/>
      <c r="J134" s="741"/>
      <c r="K134" s="288"/>
      <c r="L134" s="311">
        <v>11</v>
      </c>
      <c r="M134" s="390" t="s">
        <v>332</v>
      </c>
      <c r="N134" s="388" t="s">
        <v>341</v>
      </c>
      <c r="O134" s="407"/>
      <c r="P134" s="445"/>
      <c r="Q134" s="387">
        <v>5100</v>
      </c>
      <c r="R134" s="590" t="s">
        <v>342</v>
      </c>
      <c r="S134" s="627" t="s">
        <v>343</v>
      </c>
      <c r="T134" s="645">
        <v>45777</v>
      </c>
      <c r="U134" s="649">
        <v>23060.88233664025</v>
      </c>
      <c r="V134" s="753"/>
      <c r="W134" s="537">
        <v>45834</v>
      </c>
      <c r="X134" s="744"/>
      <c r="Y134" s="483"/>
    </row>
    <row r="135" spans="1:25" ht="15" customHeight="1">
      <c r="B135" s="316">
        <v>11</v>
      </c>
      <c r="C135" s="317"/>
      <c r="D135" s="317"/>
      <c r="E135" s="318"/>
      <c r="F135" s="461"/>
      <c r="G135" s="330"/>
      <c r="H135" s="580">
        <v>45915</v>
      </c>
      <c r="I135" s="742"/>
      <c r="J135" s="742"/>
      <c r="K135" s="289"/>
      <c r="L135" s="316">
        <v>11</v>
      </c>
      <c r="M135" s="420" t="s">
        <v>332</v>
      </c>
      <c r="N135" s="317" t="s">
        <v>344</v>
      </c>
      <c r="O135" s="553"/>
      <c r="P135" s="461"/>
      <c r="Q135" s="330">
        <v>6000</v>
      </c>
      <c r="R135" s="591"/>
      <c r="S135" s="628" t="s">
        <v>345</v>
      </c>
      <c r="T135" s="709">
        <v>46022</v>
      </c>
      <c r="U135" s="710">
        <v>27796.8149841267</v>
      </c>
      <c r="V135" s="754"/>
      <c r="W135" s="818">
        <v>46051</v>
      </c>
      <c r="X135" s="745"/>
      <c r="Y135" s="483"/>
    </row>
    <row r="136" spans="1:25" ht="15" customHeight="1" thickBot="1">
      <c r="A136" s="24"/>
      <c r="B136" s="290"/>
      <c r="C136" s="277"/>
      <c r="D136" s="277"/>
      <c r="E136" s="291"/>
      <c r="F136" s="457"/>
      <c r="G136" s="292"/>
      <c r="H136" s="580">
        <v>45916</v>
      </c>
      <c r="I136" s="280"/>
      <c r="J136" s="280"/>
      <c r="K136" s="24"/>
      <c r="L136" s="290"/>
      <c r="M136" s="277"/>
      <c r="N136" s="277"/>
      <c r="O136" s="554"/>
      <c r="P136" s="457"/>
      <c r="Q136" s="292"/>
      <c r="R136" s="592"/>
      <c r="S136" s="629"/>
      <c r="T136" s="522" t="str">
        <f t="shared" si="12"/>
        <v/>
      </c>
      <c r="U136" s="510"/>
      <c r="V136" s="493"/>
      <c r="W136" s="576"/>
      <c r="X136" s="350"/>
      <c r="Y136" s="483"/>
    </row>
    <row r="137" spans="1:25">
      <c r="B137" s="269">
        <v>12</v>
      </c>
      <c r="C137" s="270" t="s">
        <v>346</v>
      </c>
      <c r="D137" s="270" t="s">
        <v>347</v>
      </c>
      <c r="E137" s="271"/>
      <c r="F137" s="471"/>
      <c r="G137" s="338">
        <v>54830.132529442701</v>
      </c>
      <c r="H137" s="580">
        <v>45917</v>
      </c>
      <c r="I137" s="746">
        <f>SUM(G137:G138)</f>
        <v>65796.159035331249</v>
      </c>
      <c r="J137" s="746">
        <v>0</v>
      </c>
      <c r="K137" s="758"/>
      <c r="L137" s="269">
        <v>12</v>
      </c>
      <c r="M137" s="270" t="s">
        <v>348</v>
      </c>
      <c r="N137" s="270" t="s">
        <v>347</v>
      </c>
      <c r="O137" s="564"/>
      <c r="P137" s="471"/>
      <c r="Q137" s="338"/>
      <c r="R137" s="602"/>
      <c r="S137" s="638"/>
      <c r="T137" s="531" t="str">
        <f t="shared" si="12"/>
        <v/>
      </c>
      <c r="U137" s="515"/>
      <c r="V137" s="492"/>
      <c r="W137" s="584"/>
      <c r="X137" s="749">
        <f>SUM(Q137:Q138)</f>
        <v>0</v>
      </c>
      <c r="Y137" s="483"/>
    </row>
    <row r="138" spans="1:25" ht="15" customHeight="1" thickBot="1">
      <c r="B138" s="273">
        <v>12</v>
      </c>
      <c r="C138" s="344" t="s">
        <v>346</v>
      </c>
      <c r="D138" s="344" t="s">
        <v>349</v>
      </c>
      <c r="E138" s="345"/>
      <c r="F138" s="473"/>
      <c r="G138" s="274">
        <v>10966.026505888542</v>
      </c>
      <c r="H138" s="580">
        <v>45918</v>
      </c>
      <c r="I138" s="748"/>
      <c r="J138" s="748"/>
      <c r="K138" s="759"/>
      <c r="L138" s="273">
        <v>12</v>
      </c>
      <c r="M138" s="344" t="s">
        <v>348</v>
      </c>
      <c r="N138" s="344" t="s">
        <v>349</v>
      </c>
      <c r="O138" s="566"/>
      <c r="P138" s="473"/>
      <c r="Q138" s="274"/>
      <c r="R138" s="605"/>
      <c r="S138" s="641"/>
      <c r="T138" s="534" t="str">
        <f t="shared" si="12"/>
        <v/>
      </c>
      <c r="U138" s="518"/>
      <c r="V138" s="491"/>
      <c r="W138" s="587"/>
      <c r="X138" s="751"/>
      <c r="Y138" s="483"/>
    </row>
    <row r="139" spans="1:25" ht="14.5" thickBot="1">
      <c r="A139" s="24"/>
      <c r="B139" s="290"/>
      <c r="C139" s="277"/>
      <c r="D139" s="277"/>
      <c r="E139" s="291"/>
      <c r="F139" s="457"/>
      <c r="G139" s="292"/>
      <c r="H139" s="580">
        <v>45919</v>
      </c>
      <c r="I139" s="326"/>
      <c r="J139" s="326"/>
      <c r="K139" s="24"/>
      <c r="L139" s="290"/>
      <c r="M139" s="277"/>
      <c r="N139" s="277"/>
      <c r="O139" s="554"/>
      <c r="P139" s="457"/>
      <c r="Q139" s="292"/>
      <c r="R139" s="592"/>
      <c r="S139" s="629"/>
      <c r="T139" s="522" t="str">
        <f t="shared" si="12"/>
        <v/>
      </c>
      <c r="U139" s="510"/>
      <c r="V139" s="493"/>
      <c r="W139" s="576"/>
      <c r="X139" s="484"/>
      <c r="Y139" s="483"/>
    </row>
    <row r="140" spans="1:25" ht="15.75" customHeight="1">
      <c r="B140" s="281">
        <v>13</v>
      </c>
      <c r="C140" s="282" t="s">
        <v>350</v>
      </c>
      <c r="D140" s="351" t="s">
        <v>351</v>
      </c>
      <c r="E140" s="283"/>
      <c r="F140" s="438"/>
      <c r="G140" s="284">
        <v>29637.751076086955</v>
      </c>
      <c r="H140" s="580">
        <v>45920</v>
      </c>
      <c r="I140" s="740">
        <f>SUM(G140:G144)</f>
        <v>157251.87679037268</v>
      </c>
      <c r="J140" s="740">
        <f>F188</f>
        <v>178695.31453451441</v>
      </c>
      <c r="K140" s="285"/>
      <c r="L140" s="281">
        <v>13</v>
      </c>
      <c r="M140" s="351" t="s">
        <v>352</v>
      </c>
      <c r="N140" s="351" t="s">
        <v>353</v>
      </c>
      <c r="O140" s="550"/>
      <c r="P140" s="438"/>
      <c r="Q140" s="284">
        <v>42501.325000000004</v>
      </c>
      <c r="R140" s="596"/>
      <c r="S140" s="633"/>
      <c r="T140" s="526">
        <v>46081</v>
      </c>
      <c r="U140" s="511">
        <f t="shared" ref="U140:U145" si="19">(Q140/$X$140*$J$140)</f>
        <v>178695.31453451441</v>
      </c>
      <c r="V140" s="752">
        <f>J140-SUM(U140:U145)</f>
        <v>0</v>
      </c>
      <c r="W140" s="580">
        <v>46080</v>
      </c>
      <c r="X140" s="743">
        <f>SUM(Q140:Q145)</f>
        <v>42501.325000000004</v>
      </c>
      <c r="Y140" s="483"/>
    </row>
    <row r="141" spans="1:25" ht="15.75" customHeight="1">
      <c r="B141" s="311">
        <v>13</v>
      </c>
      <c r="C141" s="313"/>
      <c r="D141" s="313" t="s">
        <v>354</v>
      </c>
      <c r="E141" s="314"/>
      <c r="F141" s="460"/>
      <c r="G141" s="315">
        <v>20571.428571428572</v>
      </c>
      <c r="H141" s="580">
        <v>45921</v>
      </c>
      <c r="I141" s="741"/>
      <c r="J141" s="741"/>
      <c r="K141" s="288"/>
      <c r="L141" s="311">
        <v>13</v>
      </c>
      <c r="M141" s="390" t="s">
        <v>352</v>
      </c>
      <c r="N141" s="313" t="s">
        <v>354</v>
      </c>
      <c r="O141" s="551"/>
      <c r="P141" s="460"/>
      <c r="Q141" s="315">
        <v>0</v>
      </c>
      <c r="R141" s="589"/>
      <c r="S141" s="626"/>
      <c r="T141" s="519"/>
      <c r="U141" s="503">
        <f t="shared" si="19"/>
        <v>0</v>
      </c>
      <c r="V141" s="753"/>
      <c r="W141" s="573"/>
      <c r="X141" s="744"/>
      <c r="Y141" s="483"/>
    </row>
    <row r="142" spans="1:25" ht="15.75" customHeight="1">
      <c r="B142" s="311">
        <v>13</v>
      </c>
      <c r="C142" s="313"/>
      <c r="D142" s="313" t="s">
        <v>355</v>
      </c>
      <c r="E142" s="314"/>
      <c r="F142" s="460"/>
      <c r="G142" s="315">
        <v>61200</v>
      </c>
      <c r="H142" s="580">
        <v>45922</v>
      </c>
      <c r="I142" s="741"/>
      <c r="J142" s="741"/>
      <c r="K142" s="288"/>
      <c r="L142" s="311">
        <v>13</v>
      </c>
      <c r="M142" s="390" t="s">
        <v>352</v>
      </c>
      <c r="N142" s="313" t="s">
        <v>355</v>
      </c>
      <c r="O142" s="551"/>
      <c r="P142" s="460"/>
      <c r="Q142" s="315">
        <v>0</v>
      </c>
      <c r="R142" s="589"/>
      <c r="S142" s="626"/>
      <c r="T142" s="519"/>
      <c r="U142" s="503">
        <f t="shared" si="19"/>
        <v>0</v>
      </c>
      <c r="V142" s="753"/>
      <c r="W142" s="573"/>
      <c r="X142" s="744"/>
      <c r="Y142" s="483"/>
    </row>
    <row r="143" spans="1:25" ht="15.75" customHeight="1">
      <c r="B143" s="311">
        <v>13</v>
      </c>
      <c r="C143" s="313"/>
      <c r="D143" s="313" t="s">
        <v>356</v>
      </c>
      <c r="E143" s="314"/>
      <c r="F143" s="460"/>
      <c r="G143" s="315">
        <v>26742.857142857145</v>
      </c>
      <c r="H143" s="580">
        <v>45923</v>
      </c>
      <c r="I143" s="741"/>
      <c r="J143" s="741"/>
      <c r="K143" s="288"/>
      <c r="L143" s="311">
        <v>13</v>
      </c>
      <c r="M143" s="390" t="s">
        <v>352</v>
      </c>
      <c r="N143" s="313" t="s">
        <v>356</v>
      </c>
      <c r="O143" s="551"/>
      <c r="P143" s="460"/>
      <c r="Q143" s="315">
        <v>0</v>
      </c>
      <c r="R143" s="589"/>
      <c r="S143" s="626"/>
      <c r="T143" s="519"/>
      <c r="U143" s="503">
        <f t="shared" si="19"/>
        <v>0</v>
      </c>
      <c r="V143" s="753"/>
      <c r="W143" s="573"/>
      <c r="X143" s="744"/>
      <c r="Y143" s="483"/>
    </row>
    <row r="144" spans="1:25" ht="15.75" customHeight="1">
      <c r="B144" s="311">
        <v>13</v>
      </c>
      <c r="C144" s="313"/>
      <c r="D144" s="313" t="s">
        <v>357</v>
      </c>
      <c r="E144" s="314"/>
      <c r="F144" s="460"/>
      <c r="G144" s="315">
        <v>19099.839999999997</v>
      </c>
      <c r="H144" s="580">
        <v>45924</v>
      </c>
      <c r="I144" s="741"/>
      <c r="J144" s="741"/>
      <c r="K144" s="288"/>
      <c r="L144" s="311">
        <v>13</v>
      </c>
      <c r="M144" s="390" t="s">
        <v>352</v>
      </c>
      <c r="N144" s="313" t="s">
        <v>357</v>
      </c>
      <c r="O144" s="551"/>
      <c r="P144" s="460"/>
      <c r="Q144" s="315">
        <v>0</v>
      </c>
      <c r="R144" s="589"/>
      <c r="S144" s="626"/>
      <c r="T144" s="519"/>
      <c r="U144" s="503">
        <f t="shared" si="19"/>
        <v>0</v>
      </c>
      <c r="V144" s="753"/>
      <c r="W144" s="573"/>
      <c r="X144" s="744"/>
      <c r="Y144" s="483"/>
    </row>
    <row r="145" spans="1:25" ht="15.75" customHeight="1" thickBot="1">
      <c r="B145" s="316">
        <v>13</v>
      </c>
      <c r="C145" s="317"/>
      <c r="D145" s="317"/>
      <c r="E145" s="318"/>
      <c r="F145" s="461"/>
      <c r="G145" s="330"/>
      <c r="H145" s="575"/>
      <c r="I145" s="742"/>
      <c r="J145" s="742"/>
      <c r="K145" s="364"/>
      <c r="L145" s="316">
        <v>13</v>
      </c>
      <c r="M145" s="420" t="s">
        <v>352</v>
      </c>
      <c r="N145" s="317"/>
      <c r="O145" s="553"/>
      <c r="P145" s="461"/>
      <c r="Q145" s="330"/>
      <c r="R145" s="591"/>
      <c r="S145" s="628"/>
      <c r="T145" s="521" t="str">
        <f t="shared" si="12"/>
        <v/>
      </c>
      <c r="U145" s="505">
        <f t="shared" si="19"/>
        <v>0</v>
      </c>
      <c r="V145" s="754"/>
      <c r="W145" s="575"/>
      <c r="X145" s="745"/>
      <c r="Y145" s="483"/>
    </row>
    <row r="146" spans="1:25" ht="14.5" thickBot="1">
      <c r="A146" s="24"/>
      <c r="B146" s="290"/>
      <c r="C146" s="277"/>
      <c r="D146" s="277"/>
      <c r="E146" s="291"/>
      <c r="F146" s="457"/>
      <c r="G146" s="292"/>
      <c r="H146" s="576"/>
      <c r="I146" s="280"/>
      <c r="J146" s="280"/>
      <c r="K146" s="24"/>
      <c r="L146" s="290"/>
      <c r="M146" s="277"/>
      <c r="N146" s="277"/>
      <c r="O146" s="554"/>
      <c r="P146" s="457"/>
      <c r="Q146" s="292"/>
      <c r="R146" s="592"/>
      <c r="S146" s="629"/>
      <c r="T146" s="522" t="str">
        <f t="shared" si="12"/>
        <v/>
      </c>
      <c r="U146" s="510"/>
      <c r="V146" s="493"/>
      <c r="W146" s="576"/>
      <c r="X146" s="484"/>
      <c r="Y146" s="483"/>
    </row>
    <row r="147" spans="1:25" ht="14.25" customHeight="1">
      <c r="B147" s="269">
        <v>14</v>
      </c>
      <c r="C147" s="270" t="s">
        <v>358</v>
      </c>
      <c r="D147" s="270" t="s">
        <v>359</v>
      </c>
      <c r="E147" s="271"/>
      <c r="F147" s="471"/>
      <c r="G147" s="338">
        <f>D199</f>
        <v>6300</v>
      </c>
      <c r="H147" s="652">
        <v>45777</v>
      </c>
      <c r="I147" s="746">
        <f>SUM(G147:G158)</f>
        <v>6300</v>
      </c>
      <c r="J147" s="746">
        <f>F199</f>
        <v>7411.7647058823532</v>
      </c>
      <c r="K147" s="339"/>
      <c r="L147" s="269">
        <v>14</v>
      </c>
      <c r="M147" s="435" t="s">
        <v>360</v>
      </c>
      <c r="N147" s="270" t="s">
        <v>361</v>
      </c>
      <c r="O147" s="564"/>
      <c r="P147" s="471"/>
      <c r="Q147" s="338">
        <v>0</v>
      </c>
      <c r="R147" s="602"/>
      <c r="S147" s="638"/>
      <c r="T147" s="646">
        <f t="shared" si="12"/>
        <v>45777</v>
      </c>
      <c r="U147" s="647">
        <v>0</v>
      </c>
      <c r="V147" s="755">
        <f>J147-SUM(U147:U158)</f>
        <v>1570.7950120653531</v>
      </c>
      <c r="W147" s="652">
        <v>45777</v>
      </c>
      <c r="X147" s="749">
        <f>SUM(Q147:Q158)</f>
        <v>5250.2600000000011</v>
      </c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3">
        <v>45817</v>
      </c>
      <c r="I148" s="747"/>
      <c r="J148" s="747"/>
      <c r="K148" s="272"/>
      <c r="L148" s="340">
        <v>14</v>
      </c>
      <c r="M148" s="436" t="s">
        <v>360</v>
      </c>
      <c r="N148" s="341" t="s">
        <v>361</v>
      </c>
      <c r="O148" s="565"/>
      <c r="P148" s="472"/>
      <c r="Q148" s="343">
        <v>1399.4599999999996</v>
      </c>
      <c r="R148" s="604"/>
      <c r="S148" s="604" t="s">
        <v>362</v>
      </c>
      <c r="T148" s="654">
        <v>45808</v>
      </c>
      <c r="U148" s="671">
        <v>1610.7667778500243</v>
      </c>
      <c r="V148" s="756"/>
      <c r="W148" s="543">
        <v>45817</v>
      </c>
      <c r="X148" s="750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3">
        <v>45842</v>
      </c>
      <c r="I149" s="747"/>
      <c r="J149" s="747"/>
      <c r="K149" s="272"/>
      <c r="L149" s="340">
        <v>14</v>
      </c>
      <c r="M149" s="436" t="s">
        <v>360</v>
      </c>
      <c r="N149" s="341" t="s">
        <v>361</v>
      </c>
      <c r="O149" s="565"/>
      <c r="P149" s="472"/>
      <c r="Q149" s="343">
        <v>1531.0800000000002</v>
      </c>
      <c r="R149" s="604"/>
      <c r="S149" s="604" t="s">
        <v>362</v>
      </c>
      <c r="T149" s="654">
        <v>45838</v>
      </c>
      <c r="U149" s="671">
        <v>1904.275906153968</v>
      </c>
      <c r="V149" s="756"/>
      <c r="W149" s="543">
        <v>45842</v>
      </c>
      <c r="X149" s="750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3">
        <v>45876</v>
      </c>
      <c r="I150" s="747"/>
      <c r="J150" s="747"/>
      <c r="K150" s="272"/>
      <c r="L150" s="340">
        <v>14</v>
      </c>
      <c r="M150" s="436" t="s">
        <v>360</v>
      </c>
      <c r="N150" s="341" t="s">
        <v>361</v>
      </c>
      <c r="O150" s="565"/>
      <c r="P150" s="472"/>
      <c r="Q150" s="343">
        <v>1925.06</v>
      </c>
      <c r="R150" s="604"/>
      <c r="S150" s="604" t="s">
        <v>362</v>
      </c>
      <c r="T150" s="654">
        <v>45869</v>
      </c>
      <c r="U150" s="671">
        <v>918.77560628161848</v>
      </c>
      <c r="V150" s="756"/>
      <c r="W150" s="543">
        <v>45876</v>
      </c>
      <c r="X150" s="750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43">
        <v>45905</v>
      </c>
      <c r="I151" s="747"/>
      <c r="J151" s="747"/>
      <c r="K151" s="272"/>
      <c r="L151" s="340">
        <v>14</v>
      </c>
      <c r="M151" s="436" t="s">
        <v>360</v>
      </c>
      <c r="N151" s="341" t="s">
        <v>361</v>
      </c>
      <c r="O151" s="565"/>
      <c r="P151" s="472"/>
      <c r="Q151" s="343">
        <v>109.06</v>
      </c>
      <c r="R151" s="604"/>
      <c r="S151" s="604" t="s">
        <v>362</v>
      </c>
      <c r="T151" s="654">
        <v>45900</v>
      </c>
      <c r="U151" s="671">
        <v>101.48921094227869</v>
      </c>
      <c r="V151" s="756"/>
      <c r="W151" s="543">
        <v>45905</v>
      </c>
      <c r="X151" s="750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45930</v>
      </c>
      <c r="I152" s="747"/>
      <c r="J152" s="747"/>
      <c r="K152" s="272"/>
      <c r="L152" s="340">
        <v>14</v>
      </c>
      <c r="M152" s="436" t="s">
        <v>360</v>
      </c>
      <c r="N152" s="341" t="s">
        <v>361</v>
      </c>
      <c r="O152" s="565"/>
      <c r="P152" s="472"/>
      <c r="Q152" s="343">
        <v>0</v>
      </c>
      <c r="R152" s="604"/>
      <c r="S152" s="604" t="s">
        <v>362</v>
      </c>
      <c r="T152" s="690">
        <v>45930</v>
      </c>
      <c r="U152" s="517">
        <v>0</v>
      </c>
      <c r="V152" s="756"/>
      <c r="W152" s="691">
        <v>45930</v>
      </c>
      <c r="X152" s="750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>
        <v>45961</v>
      </c>
      <c r="I153" s="747"/>
      <c r="J153" s="747"/>
      <c r="K153" s="272"/>
      <c r="L153" s="340">
        <v>14</v>
      </c>
      <c r="M153" s="436" t="s">
        <v>360</v>
      </c>
      <c r="N153" s="341" t="s">
        <v>361</v>
      </c>
      <c r="O153" s="565"/>
      <c r="P153" s="472"/>
      <c r="Q153" s="343">
        <v>113.76</v>
      </c>
      <c r="R153" s="604"/>
      <c r="S153" s="604" t="s">
        <v>362</v>
      </c>
      <c r="T153" s="690">
        <v>45961</v>
      </c>
      <c r="U153" s="700">
        <v>612.51832955684938</v>
      </c>
      <c r="V153" s="756"/>
      <c r="W153" s="691">
        <v>45967</v>
      </c>
      <c r="X153" s="750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6">
        <v>45991</v>
      </c>
      <c r="I154" s="747"/>
      <c r="J154" s="747"/>
      <c r="K154" s="272"/>
      <c r="L154" s="340">
        <v>14</v>
      </c>
      <c r="M154" s="436" t="s">
        <v>360</v>
      </c>
      <c r="N154" s="341" t="s">
        <v>361</v>
      </c>
      <c r="O154" s="565"/>
      <c r="P154" s="472"/>
      <c r="Q154" s="343">
        <v>83.78</v>
      </c>
      <c r="R154" s="604"/>
      <c r="S154" s="604" t="s">
        <v>362</v>
      </c>
      <c r="T154" s="690">
        <v>45991</v>
      </c>
      <c r="U154" s="700">
        <v>76.866224714588185</v>
      </c>
      <c r="V154" s="756"/>
      <c r="W154" s="691">
        <v>45996</v>
      </c>
      <c r="X154" s="750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6">
        <v>46022</v>
      </c>
      <c r="I155" s="747"/>
      <c r="J155" s="747"/>
      <c r="K155" s="272"/>
      <c r="L155" s="340">
        <v>14</v>
      </c>
      <c r="M155" s="436" t="s">
        <v>360</v>
      </c>
      <c r="N155" s="341" t="s">
        <v>361</v>
      </c>
      <c r="O155" s="565"/>
      <c r="P155" s="472"/>
      <c r="Q155" s="343">
        <v>88.06</v>
      </c>
      <c r="R155" s="604"/>
      <c r="S155" s="604" t="s">
        <v>362</v>
      </c>
      <c r="T155" s="690">
        <v>46022</v>
      </c>
      <c r="U155" s="700">
        <v>616.27763831767288</v>
      </c>
      <c r="V155" s="756"/>
      <c r="W155" s="691">
        <v>46030</v>
      </c>
      <c r="X155" s="750"/>
      <c r="Y155" s="483"/>
    </row>
    <row r="156" spans="1:25" ht="14.25" customHeight="1">
      <c r="B156" s="340">
        <v>14</v>
      </c>
      <c r="C156" s="341"/>
      <c r="D156" s="341"/>
      <c r="E156" s="342"/>
      <c r="F156" s="472"/>
      <c r="G156" s="343"/>
      <c r="H156" s="586">
        <v>46053</v>
      </c>
      <c r="I156" s="747"/>
      <c r="J156" s="747"/>
      <c r="K156" s="272"/>
      <c r="L156" s="340">
        <v>14</v>
      </c>
      <c r="M156" s="436" t="s">
        <v>360</v>
      </c>
      <c r="N156" s="341" t="s">
        <v>361</v>
      </c>
      <c r="O156" s="565"/>
      <c r="P156" s="472"/>
      <c r="Q156" s="343">
        <v>0</v>
      </c>
      <c r="R156" s="604"/>
      <c r="S156" s="604"/>
      <c r="T156" s="533"/>
      <c r="U156" s="517">
        <f>(Q156/$X$147*$J$147)</f>
        <v>0</v>
      </c>
      <c r="V156" s="756"/>
      <c r="W156" s="586"/>
      <c r="X156" s="750"/>
      <c r="Y156" s="483"/>
    </row>
    <row r="157" spans="1:25" ht="14.25" customHeight="1">
      <c r="B157" s="340">
        <v>14</v>
      </c>
      <c r="C157" s="341"/>
      <c r="D157" s="341"/>
      <c r="E157" s="342"/>
      <c r="F157" s="472"/>
      <c r="G157" s="343"/>
      <c r="H157" s="586"/>
      <c r="I157" s="747"/>
      <c r="J157" s="747"/>
      <c r="K157" s="272"/>
      <c r="L157" s="340">
        <v>14</v>
      </c>
      <c r="M157" s="436" t="s">
        <v>360</v>
      </c>
      <c r="N157" s="341"/>
      <c r="O157" s="565"/>
      <c r="P157" s="472"/>
      <c r="Q157" s="343"/>
      <c r="R157" s="604"/>
      <c r="S157" s="640"/>
      <c r="T157" s="533" t="str">
        <f t="shared" ref="T157" si="20">IF(W157&gt;1,EOMONTH(W157,0),"")</f>
        <v/>
      </c>
      <c r="U157" s="517">
        <f>(Q157/$X$147*$J$147)</f>
        <v>0</v>
      </c>
      <c r="V157" s="756"/>
      <c r="W157" s="586"/>
      <c r="X157" s="750"/>
      <c r="Y157" s="483"/>
    </row>
    <row r="158" spans="1:25" ht="15" customHeight="1" thickBot="1">
      <c r="B158" s="273">
        <v>14</v>
      </c>
      <c r="C158" s="344"/>
      <c r="D158" s="344"/>
      <c r="E158" s="345"/>
      <c r="F158" s="473"/>
      <c r="G158" s="274"/>
      <c r="H158" s="587"/>
      <c r="I158" s="748"/>
      <c r="J158" s="748"/>
      <c r="K158" s="275"/>
      <c r="L158" s="273">
        <v>14</v>
      </c>
      <c r="M158" s="437" t="s">
        <v>360</v>
      </c>
      <c r="N158" s="344"/>
      <c r="O158" s="566"/>
      <c r="P158" s="473"/>
      <c r="Q158" s="274"/>
      <c r="R158" s="605"/>
      <c r="S158" s="641"/>
      <c r="T158" s="534" t="str">
        <f t="shared" si="12"/>
        <v/>
      </c>
      <c r="U158" s="518">
        <f>(Q158/$X$147*$J$147)</f>
        <v>0</v>
      </c>
      <c r="V158" s="757"/>
      <c r="W158" s="587"/>
      <c r="X158" s="751"/>
      <c r="Y158" s="483"/>
    </row>
    <row r="159" spans="1:25" ht="14.5" thickBot="1">
      <c r="A159" s="24"/>
      <c r="B159" s="290"/>
      <c r="C159" s="277"/>
      <c r="D159" s="277"/>
      <c r="E159" s="291"/>
      <c r="F159" s="457"/>
      <c r="G159" s="292"/>
      <c r="H159" s="576"/>
      <c r="I159" s="346"/>
      <c r="J159" s="346"/>
      <c r="K159" s="24"/>
      <c r="L159" s="290"/>
      <c r="M159" s="277"/>
      <c r="N159" s="277"/>
      <c r="O159" s="554"/>
      <c r="P159" s="457"/>
      <c r="Q159" s="292"/>
      <c r="R159" s="592"/>
      <c r="S159" s="629"/>
      <c r="T159" s="522" t="str">
        <f t="shared" si="12"/>
        <v/>
      </c>
      <c r="U159" s="510"/>
      <c r="V159" s="493"/>
      <c r="W159" s="576"/>
      <c r="X159" s="490"/>
      <c r="Y159" s="483"/>
    </row>
    <row r="160" spans="1:25">
      <c r="B160" s="281">
        <v>15</v>
      </c>
      <c r="C160" s="282" t="s">
        <v>363</v>
      </c>
      <c r="D160" s="282" t="s">
        <v>364</v>
      </c>
      <c r="E160" s="283"/>
      <c r="F160" s="438"/>
      <c r="G160" s="284">
        <f>D196</f>
        <v>500000</v>
      </c>
      <c r="H160" s="540">
        <v>45827</v>
      </c>
      <c r="I160" s="740">
        <f>SUM(G160:G171)</f>
        <v>500000</v>
      </c>
      <c r="J160" s="740">
        <f>F196</f>
        <v>500000</v>
      </c>
      <c r="K160" s="285"/>
      <c r="L160" s="281">
        <v>15</v>
      </c>
      <c r="M160" s="351" t="s">
        <v>365</v>
      </c>
      <c r="N160" s="282" t="s">
        <v>366</v>
      </c>
      <c r="O160" s="283"/>
      <c r="P160" s="438"/>
      <c r="Q160" s="284">
        <f>510000/2</f>
        <v>255000</v>
      </c>
      <c r="R160" s="596"/>
      <c r="S160" s="633" t="s">
        <v>367</v>
      </c>
      <c r="T160" s="662">
        <v>45838</v>
      </c>
      <c r="U160" s="670">
        <v>238317.75700934581</v>
      </c>
      <c r="V160" s="752">
        <f>J160-SUM(U160:U171)</f>
        <v>2.9906542040407658E-3</v>
      </c>
      <c r="W160" s="540">
        <v>45827</v>
      </c>
      <c r="X160" s="743">
        <f>SUM(Q160:Q171)</f>
        <v>697420.90999999992</v>
      </c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41"/>
      <c r="J161" s="741"/>
      <c r="K161" s="288"/>
      <c r="L161" s="311">
        <v>15</v>
      </c>
      <c r="M161" s="390" t="s">
        <v>365</v>
      </c>
      <c r="N161" s="313" t="s">
        <v>368</v>
      </c>
      <c r="O161" s="551"/>
      <c r="P161" s="460"/>
      <c r="Q161" s="315">
        <f>510000/2</f>
        <v>255000</v>
      </c>
      <c r="R161" s="589"/>
      <c r="S161" s="626" t="s">
        <v>367</v>
      </c>
      <c r="T161" s="644">
        <v>45838</v>
      </c>
      <c r="U161" s="664">
        <v>250000</v>
      </c>
      <c r="V161" s="753"/>
      <c r="W161" s="536">
        <v>46037</v>
      </c>
      <c r="X161" s="744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41"/>
      <c r="J162" s="741"/>
      <c r="K162" s="288"/>
      <c r="L162" s="311">
        <v>15</v>
      </c>
      <c r="M162" s="390" t="s">
        <v>365</v>
      </c>
      <c r="N162" s="313"/>
      <c r="O162" s="551"/>
      <c r="P162" s="460"/>
      <c r="Q162" s="315"/>
      <c r="R162" s="589"/>
      <c r="S162" s="626"/>
      <c r="T162" s="519" t="str">
        <f>IF(W162&gt;1,EOMONTH(W162,0),"")</f>
        <v/>
      </c>
      <c r="U162" s="503">
        <f>(Q162/$X$160*$J$160)</f>
        <v>0</v>
      </c>
      <c r="V162" s="753"/>
      <c r="W162" s="573"/>
      <c r="X162" s="744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41"/>
      <c r="J163" s="741"/>
      <c r="K163" s="288"/>
      <c r="L163" s="311">
        <v>15</v>
      </c>
      <c r="M163" s="390" t="s">
        <v>365</v>
      </c>
      <c r="N163" s="313" t="s">
        <v>369</v>
      </c>
      <c r="O163" s="551"/>
      <c r="P163" s="460"/>
      <c r="Q163" s="315">
        <v>0</v>
      </c>
      <c r="R163" s="589"/>
      <c r="S163" s="626"/>
      <c r="T163" s="519" t="str">
        <f t="shared" ref="T163:T170" si="21">IF(W163&gt;1,EOMONTH(W163,0),"")</f>
        <v/>
      </c>
      <c r="U163" s="503">
        <f>(Q163/$X$160*$J$160)</f>
        <v>0</v>
      </c>
      <c r="V163" s="753"/>
      <c r="W163" s="573"/>
      <c r="X163" s="744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36">
        <v>45911</v>
      </c>
      <c r="I164" s="741"/>
      <c r="J164" s="741"/>
      <c r="K164" s="288"/>
      <c r="L164" s="311">
        <v>15</v>
      </c>
      <c r="M164" s="390" t="s">
        <v>365</v>
      </c>
      <c r="N164" s="313" t="s">
        <v>370</v>
      </c>
      <c r="O164" s="686">
        <v>0.5</v>
      </c>
      <c r="P164" s="460">
        <v>180494.91</v>
      </c>
      <c r="Q164" s="315">
        <f>O164*P164</f>
        <v>90247.455000000002</v>
      </c>
      <c r="R164" s="589"/>
      <c r="S164" s="626" t="s">
        <v>371</v>
      </c>
      <c r="T164" s="644">
        <v>45900</v>
      </c>
      <c r="U164" s="664">
        <v>11682.24</v>
      </c>
      <c r="V164" s="753"/>
      <c r="W164" s="536">
        <v>45911</v>
      </c>
      <c r="X164" s="744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>
        <v>45945</v>
      </c>
      <c r="I165" s="741"/>
      <c r="J165" s="741"/>
      <c r="K165" s="288"/>
      <c r="L165" s="311">
        <v>15</v>
      </c>
      <c r="M165" s="390" t="s">
        <v>365</v>
      </c>
      <c r="N165" s="313"/>
      <c r="O165" s="551"/>
      <c r="P165" s="460"/>
      <c r="Q165" s="315">
        <f>O164*P164</f>
        <v>90247.455000000002</v>
      </c>
      <c r="R165" s="589"/>
      <c r="S165" s="626" t="s">
        <v>371</v>
      </c>
      <c r="T165" s="644">
        <v>45900</v>
      </c>
      <c r="U165" s="664">
        <v>0</v>
      </c>
      <c r="V165" s="753"/>
      <c r="W165" s="536">
        <v>46003</v>
      </c>
      <c r="X165" s="744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41"/>
      <c r="J166" s="741"/>
      <c r="K166" s="288"/>
      <c r="L166" s="311">
        <v>15</v>
      </c>
      <c r="M166" s="390" t="s">
        <v>365</v>
      </c>
      <c r="N166" s="313" t="s">
        <v>372</v>
      </c>
      <c r="O166" s="551"/>
      <c r="P166" s="460"/>
      <c r="Q166" s="315">
        <v>6926</v>
      </c>
      <c r="R166" s="589" t="s">
        <v>373</v>
      </c>
      <c r="S166" s="626" t="s">
        <v>374</v>
      </c>
      <c r="T166" s="644">
        <v>45961</v>
      </c>
      <c r="U166" s="503">
        <v>0</v>
      </c>
      <c r="V166" s="753"/>
      <c r="W166" s="651">
        <v>45980</v>
      </c>
      <c r="X166" s="744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3"/>
      <c r="I167" s="741"/>
      <c r="J167" s="741"/>
      <c r="K167" s="288"/>
      <c r="L167" s="311">
        <v>15</v>
      </c>
      <c r="M167" s="390" t="s">
        <v>365</v>
      </c>
      <c r="N167" s="313"/>
      <c r="O167" s="551"/>
      <c r="P167" s="460"/>
      <c r="Q167" s="315"/>
      <c r="R167" s="589"/>
      <c r="S167" s="626"/>
      <c r="T167" s="519" t="str">
        <f t="shared" si="21"/>
        <v/>
      </c>
      <c r="U167" s="503">
        <f t="shared" ref="U167:U171" si="22">(Q167/$X$160*$J$160)</f>
        <v>0</v>
      </c>
      <c r="V167" s="753"/>
      <c r="W167" s="573"/>
      <c r="X167" s="744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3"/>
      <c r="I168" s="741"/>
      <c r="J168" s="741"/>
      <c r="K168" s="288"/>
      <c r="L168" s="311">
        <v>15</v>
      </c>
      <c r="M168" s="390" t="s">
        <v>365</v>
      </c>
      <c r="N168" s="313"/>
      <c r="O168" s="551"/>
      <c r="P168" s="460"/>
      <c r="Q168" s="315"/>
      <c r="R168" s="589"/>
      <c r="S168" s="626"/>
      <c r="T168" s="519" t="str">
        <f t="shared" si="21"/>
        <v/>
      </c>
      <c r="U168" s="503">
        <f t="shared" si="22"/>
        <v>0</v>
      </c>
      <c r="V168" s="753"/>
      <c r="W168" s="573"/>
      <c r="X168" s="744"/>
      <c r="Y168" s="483"/>
    </row>
    <row r="169" spans="2:25">
      <c r="B169" s="311">
        <v>15</v>
      </c>
      <c r="C169" s="313"/>
      <c r="D169" s="313"/>
      <c r="E169" s="314"/>
      <c r="F169" s="460"/>
      <c r="G169" s="315"/>
      <c r="H169" s="573"/>
      <c r="I169" s="741"/>
      <c r="J169" s="741"/>
      <c r="K169" s="288"/>
      <c r="L169" s="311">
        <v>15</v>
      </c>
      <c r="M169" s="390" t="s">
        <v>365</v>
      </c>
      <c r="N169" s="313"/>
      <c r="O169" s="551"/>
      <c r="P169" s="460"/>
      <c r="Q169" s="315"/>
      <c r="R169" s="589"/>
      <c r="S169" s="626"/>
      <c r="T169" s="519" t="str">
        <f t="shared" si="21"/>
        <v/>
      </c>
      <c r="U169" s="503">
        <f t="shared" si="22"/>
        <v>0</v>
      </c>
      <c r="V169" s="753"/>
      <c r="W169" s="573"/>
      <c r="X169" s="744"/>
      <c r="Y169" s="483"/>
    </row>
    <row r="170" spans="2:25">
      <c r="B170" s="311">
        <v>15</v>
      </c>
      <c r="C170" s="313"/>
      <c r="D170" s="313"/>
      <c r="E170" s="314"/>
      <c r="F170" s="460"/>
      <c r="G170" s="315"/>
      <c r="H170" s="573"/>
      <c r="I170" s="741"/>
      <c r="J170" s="741"/>
      <c r="K170" s="288"/>
      <c r="L170" s="311">
        <v>15</v>
      </c>
      <c r="M170" s="390" t="s">
        <v>365</v>
      </c>
      <c r="N170" s="313"/>
      <c r="O170" s="551"/>
      <c r="P170" s="460"/>
      <c r="Q170" s="315"/>
      <c r="R170" s="589"/>
      <c r="S170" s="626"/>
      <c r="T170" s="519" t="str">
        <f t="shared" si="21"/>
        <v/>
      </c>
      <c r="U170" s="503">
        <f t="shared" si="22"/>
        <v>0</v>
      </c>
      <c r="V170" s="753"/>
      <c r="W170" s="573"/>
      <c r="X170" s="744"/>
      <c r="Y170" s="483"/>
    </row>
    <row r="171" spans="2:25" ht="15" customHeight="1" thickBot="1">
      <c r="B171" s="316">
        <v>15</v>
      </c>
      <c r="C171" s="317"/>
      <c r="D171" s="317"/>
      <c r="E171" s="318"/>
      <c r="F171" s="461"/>
      <c r="G171" s="330"/>
      <c r="H171" s="575"/>
      <c r="I171" s="742"/>
      <c r="J171" s="742"/>
      <c r="K171" s="289"/>
      <c r="L171" s="316">
        <v>15</v>
      </c>
      <c r="M171" s="420" t="s">
        <v>365</v>
      </c>
      <c r="N171" s="317"/>
      <c r="O171" s="553"/>
      <c r="P171" s="461"/>
      <c r="Q171" s="330"/>
      <c r="R171" s="591"/>
      <c r="S171" s="628"/>
      <c r="T171" s="521" t="str">
        <f t="shared" si="12"/>
        <v/>
      </c>
      <c r="U171" s="505">
        <f t="shared" si="22"/>
        <v>0</v>
      </c>
      <c r="V171" s="754"/>
      <c r="W171" s="575"/>
      <c r="X171" s="745"/>
      <c r="Y171" s="483"/>
    </row>
    <row r="172" spans="2:25" s="3" customFormat="1">
      <c r="B172" s="109"/>
      <c r="E172" s="4"/>
      <c r="F172" s="474"/>
      <c r="G172" s="5"/>
      <c r="H172" s="348"/>
      <c r="I172" s="347"/>
      <c r="J172" s="347"/>
      <c r="L172" s="109"/>
      <c r="O172" s="4"/>
      <c r="P172" s="474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3" t="s">
        <v>375</v>
      </c>
      <c r="D173" s="65">
        <v>760057.76</v>
      </c>
      <c r="E173" s="545"/>
      <c r="F173" s="643">
        <v>863702</v>
      </c>
      <c r="G173" s="112"/>
      <c r="I173" s="112"/>
      <c r="J173" s="112"/>
    </row>
    <row r="174" spans="2:25">
      <c r="B174" s="112"/>
      <c r="C174" s="643" t="s">
        <v>376</v>
      </c>
      <c r="D174" s="65">
        <v>210000</v>
      </c>
      <c r="E174" s="545"/>
      <c r="F174" s="643">
        <v>238636.36363636365</v>
      </c>
      <c r="G174" s="112"/>
      <c r="I174" s="256"/>
      <c r="J174" s="256"/>
    </row>
    <row r="175" spans="2:25">
      <c r="B175" s="112"/>
      <c r="C175" s="643" t="s">
        <v>377</v>
      </c>
      <c r="D175" s="65">
        <v>162792</v>
      </c>
      <c r="E175" s="545"/>
      <c r="F175" s="643">
        <v>184990.90909090909</v>
      </c>
      <c r="G175" s="112"/>
      <c r="I175" s="349"/>
      <c r="J175" s="349"/>
    </row>
    <row r="176" spans="2:25">
      <c r="B176" s="112"/>
      <c r="C176" s="643" t="s">
        <v>274</v>
      </c>
      <c r="D176" s="65">
        <v>289337.8</v>
      </c>
      <c r="E176" s="545"/>
      <c r="F176" s="643">
        <v>328792.95454545453</v>
      </c>
      <c r="G176" s="112"/>
      <c r="I176" s="256"/>
      <c r="J176" s="256"/>
    </row>
    <row r="177" spans="2:10">
      <c r="B177" s="112"/>
      <c r="C177" s="643" t="s">
        <v>304</v>
      </c>
      <c r="D177" s="65">
        <v>409690.72608695651</v>
      </c>
      <c r="E177" s="545"/>
      <c r="F177" s="643">
        <v>465557.64328063239</v>
      </c>
      <c r="G177" s="112"/>
      <c r="I177" s="349"/>
      <c r="J177" s="349"/>
    </row>
    <row r="178" spans="2:10">
      <c r="B178" s="112"/>
      <c r="C178" s="643" t="s">
        <v>291</v>
      </c>
      <c r="D178" s="65">
        <v>49000</v>
      </c>
      <c r="E178" s="545"/>
      <c r="F178" s="643">
        <v>55681.818181818184</v>
      </c>
      <c r="G178" s="112"/>
      <c r="I178" s="256"/>
      <c r="J178" s="256"/>
    </row>
    <row r="179" spans="2:10">
      <c r="B179" s="112"/>
      <c r="C179" s="643" t="s">
        <v>378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379</v>
      </c>
      <c r="D180" s="65">
        <v>0</v>
      </c>
      <c r="E180" s="545"/>
      <c r="F180" s="643">
        <v>0</v>
      </c>
      <c r="G180" s="112"/>
      <c r="I180" s="256"/>
      <c r="J180" s="256"/>
    </row>
    <row r="181" spans="2:10">
      <c r="B181" s="112"/>
      <c r="C181" s="643" t="s">
        <v>380</v>
      </c>
      <c r="D181" s="65">
        <v>0</v>
      </c>
      <c r="E181" s="545"/>
      <c r="F181" s="643">
        <v>0</v>
      </c>
      <c r="G181" s="112"/>
      <c r="I181" s="256"/>
      <c r="J181" s="256"/>
    </row>
    <row r="182" spans="2:10">
      <c r="B182" s="112"/>
      <c r="C182" s="643" t="s">
        <v>381</v>
      </c>
      <c r="D182" s="65">
        <v>0</v>
      </c>
      <c r="E182" s="545"/>
      <c r="F182" s="643">
        <v>0</v>
      </c>
      <c r="G182" s="112"/>
      <c r="I182" s="256"/>
      <c r="J182" s="256"/>
    </row>
    <row r="183" spans="2:10">
      <c r="B183" s="112"/>
      <c r="C183" s="643" t="s">
        <v>382</v>
      </c>
      <c r="D183" s="65">
        <v>0</v>
      </c>
      <c r="E183" s="545"/>
      <c r="F183" s="643">
        <v>0</v>
      </c>
      <c r="G183" s="112"/>
      <c r="I183" s="256"/>
      <c r="J183" s="256"/>
    </row>
    <row r="184" spans="2:10">
      <c r="B184" s="112"/>
      <c r="C184" s="643" t="s">
        <v>383</v>
      </c>
      <c r="D184" s="65"/>
      <c r="E184" s="545"/>
      <c r="F184" s="643"/>
      <c r="G184" s="112"/>
      <c r="I184" s="256"/>
      <c r="J184" s="256"/>
    </row>
    <row r="185" spans="2:10">
      <c r="B185" s="112"/>
      <c r="C185" s="643"/>
      <c r="D185" s="65"/>
      <c r="E185" s="545"/>
      <c r="F185" s="643"/>
      <c r="G185" s="112"/>
      <c r="I185" s="256"/>
      <c r="J185" s="256"/>
    </row>
    <row r="186" spans="2:10" s="112" customFormat="1">
      <c r="C186" s="643" t="s">
        <v>384</v>
      </c>
      <c r="D186" s="643">
        <v>90440</v>
      </c>
      <c r="E186" s="545"/>
      <c r="F186" s="643">
        <v>106400</v>
      </c>
      <c r="I186" s="256"/>
      <c r="J186" s="256"/>
    </row>
    <row r="187" spans="2:10" s="112" customFormat="1">
      <c r="C187" s="643" t="s">
        <v>385</v>
      </c>
      <c r="D187" s="643">
        <v>202160</v>
      </c>
      <c r="E187" s="545"/>
      <c r="F187" s="643">
        <v>237835.29411764705</v>
      </c>
      <c r="I187" s="256"/>
      <c r="J187" s="256"/>
    </row>
    <row r="188" spans="2:10" s="112" customFormat="1">
      <c r="C188" s="643" t="s">
        <v>386</v>
      </c>
      <c r="D188" s="643">
        <v>157251.87679037268</v>
      </c>
      <c r="E188" s="545"/>
      <c r="F188" s="643">
        <v>178695.31453451441</v>
      </c>
      <c r="I188" s="256"/>
      <c r="J188" s="256"/>
    </row>
    <row r="189" spans="2:10" s="112" customFormat="1">
      <c r="C189" s="643" t="s">
        <v>387</v>
      </c>
      <c r="D189" s="643">
        <v>116088</v>
      </c>
      <c r="E189" s="545"/>
      <c r="F189" s="643">
        <v>136574.11764705883</v>
      </c>
      <c r="I189" s="256"/>
      <c r="J189" s="256"/>
    </row>
    <row r="190" spans="2:10" s="112" customFormat="1">
      <c r="C190" s="643" t="s">
        <v>388</v>
      </c>
      <c r="D190" s="643">
        <v>8500</v>
      </c>
      <c r="E190" s="545"/>
      <c r="F190" s="643">
        <v>10000</v>
      </c>
      <c r="I190" s="256"/>
      <c r="J190" s="256"/>
    </row>
    <row r="191" spans="2:10" s="112" customFormat="1">
      <c r="C191" s="643" t="s">
        <v>389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390</v>
      </c>
      <c r="D192" s="643">
        <v>4440</v>
      </c>
      <c r="E192" s="545"/>
      <c r="F192" s="643">
        <v>5223.5294117647063</v>
      </c>
      <c r="I192" s="256"/>
      <c r="J192" s="256"/>
    </row>
    <row r="193" spans="3:10" s="112" customFormat="1">
      <c r="C193" s="643" t="s">
        <v>391</v>
      </c>
      <c r="D193" s="643">
        <v>43200</v>
      </c>
      <c r="E193" s="545"/>
      <c r="F193" s="643">
        <v>50823.529411764706</v>
      </c>
      <c r="I193" s="256"/>
      <c r="J193" s="256"/>
    </row>
    <row r="194" spans="3:10" s="112" customFormat="1">
      <c r="C194" s="643" t="s">
        <v>392</v>
      </c>
      <c r="D194" s="643">
        <v>25313.800000000003</v>
      </c>
      <c r="E194" s="545"/>
      <c r="F194" s="643">
        <v>29780.941176470591</v>
      </c>
      <c r="I194" s="256"/>
      <c r="J194" s="256"/>
    </row>
    <row r="195" spans="3:10" s="112" customFormat="1">
      <c r="C195" s="643" t="s">
        <v>393</v>
      </c>
      <c r="D195" s="643">
        <v>0</v>
      </c>
      <c r="E195" s="545"/>
      <c r="F195" s="643">
        <v>0</v>
      </c>
      <c r="I195" s="256"/>
      <c r="J195" s="256"/>
    </row>
    <row r="196" spans="3:10" s="112" customFormat="1">
      <c r="C196" s="643" t="s">
        <v>380</v>
      </c>
      <c r="D196" s="643">
        <v>500000</v>
      </c>
      <c r="E196" s="545"/>
      <c r="F196" s="643">
        <v>500000</v>
      </c>
      <c r="I196" s="256"/>
      <c r="J196" s="256"/>
    </row>
    <row r="197" spans="3:10" s="112" customFormat="1">
      <c r="C197" s="643"/>
      <c r="D197" s="643"/>
      <c r="E197" s="545"/>
      <c r="F197" s="643"/>
      <c r="I197" s="256"/>
      <c r="J197" s="256"/>
    </row>
    <row r="198" spans="3:10" s="112" customFormat="1">
      <c r="C198" s="643" t="s">
        <v>394</v>
      </c>
      <c r="D198" s="643"/>
      <c r="E198" s="545"/>
      <c r="F198" s="643"/>
      <c r="I198" s="256"/>
      <c r="J198" s="256"/>
    </row>
    <row r="199" spans="3:10" s="112" customFormat="1">
      <c r="C199" s="643" t="s">
        <v>395</v>
      </c>
      <c r="D199" s="643">
        <v>6300</v>
      </c>
      <c r="E199" s="545"/>
      <c r="F199" s="643">
        <v>7411.7647058823532</v>
      </c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C216" s="549"/>
      <c r="D216" s="549"/>
      <c r="E216" s="165"/>
      <c r="F216" s="465"/>
      <c r="I216" s="256"/>
      <c r="J216" s="256"/>
    </row>
    <row r="217" spans="3:10" s="112" customFormat="1">
      <c r="C217" s="549"/>
      <c r="D217" s="549"/>
      <c r="E217" s="165"/>
      <c r="F217" s="465"/>
      <c r="I217" s="256"/>
      <c r="J217" s="256"/>
    </row>
    <row r="218" spans="3:10" s="112" customFormat="1">
      <c r="C218" s="549"/>
      <c r="D218" s="549"/>
      <c r="E218" s="165"/>
      <c r="F218" s="465"/>
      <c r="I218" s="256"/>
      <c r="J218" s="256"/>
    </row>
    <row r="219" spans="3:10" s="112" customFormat="1">
      <c r="C219" s="549"/>
      <c r="D219" s="549"/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  <row r="530" spans="5:10" s="112" customFormat="1">
      <c r="E530" s="165"/>
      <c r="F530" s="465"/>
      <c r="I530" s="256"/>
      <c r="J530" s="256"/>
    </row>
    <row r="531" spans="5:10" s="112" customFormat="1">
      <c r="E531" s="165"/>
      <c r="F531" s="465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X6:X11"/>
    <mergeCell ref="V6:V11"/>
    <mergeCell ref="V13:V19"/>
    <mergeCell ref="V21:V26"/>
    <mergeCell ref="V28:V44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5:I82"/>
    <mergeCell ref="J75:J82"/>
    <mergeCell ref="V75:V82"/>
    <mergeCell ref="V46:V53"/>
    <mergeCell ref="V55:V73"/>
    <mergeCell ref="R61:R70"/>
    <mergeCell ref="I46:I53"/>
    <mergeCell ref="J46:J53"/>
    <mergeCell ref="X46:X53"/>
    <mergeCell ref="I55:I73"/>
    <mergeCell ref="J55:J73"/>
    <mergeCell ref="X55:X73"/>
    <mergeCell ref="R32:R41"/>
    <mergeCell ref="I28:I44"/>
    <mergeCell ref="J28:J44"/>
    <mergeCell ref="X28:X44"/>
    <mergeCell ref="J94:J107"/>
    <mergeCell ref="X94:X107"/>
    <mergeCell ref="V109:V129"/>
    <mergeCell ref="V84:V92"/>
    <mergeCell ref="V94:V107"/>
    <mergeCell ref="R117:R126"/>
    <mergeCell ref="R95:R104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396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7" t="s">
        <v>397</v>
      </c>
      <c r="B2" s="192"/>
      <c r="C2" s="193" t="s">
        <v>234</v>
      </c>
      <c r="D2" s="193" t="s">
        <v>234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8"/>
      <c r="B3" s="195" t="s">
        <v>156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170005.30000000002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8"/>
      <c r="B4" s="195" t="s">
        <v>398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3400106</v>
      </c>
      <c r="BK4" s="198">
        <f t="shared" si="5"/>
        <v>3400106</v>
      </c>
      <c r="BL4" s="198">
        <f t="shared" si="5"/>
        <v>3400106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798"/>
      <c r="B5" s="199" t="s">
        <v>158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798"/>
      <c r="B6" s="199" t="s">
        <v>399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798"/>
      <c r="B7" s="204" t="s">
        <v>400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470495.67808733974</v>
      </c>
      <c r="BK7" s="207">
        <f t="shared" si="16"/>
        <v>470495.67808733974</v>
      </c>
      <c r="BL7" s="207">
        <f t="shared" si="16"/>
        <v>470495.67808733974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797" t="s">
        <v>147</v>
      </c>
      <c r="B8" s="192"/>
      <c r="C8" s="193" t="s">
        <v>234</v>
      </c>
      <c r="D8" s="193" t="s">
        <v>234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8"/>
      <c r="B9" s="209" t="s">
        <v>401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170005.30000000002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8"/>
      <c r="B10" s="209" t="s">
        <v>402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3400106</v>
      </c>
      <c r="BK10" s="211">
        <f t="shared" si="21"/>
        <v>3400106</v>
      </c>
      <c r="BL10" s="211">
        <f t="shared" si="21"/>
        <v>3400106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798"/>
      <c r="B11" s="212" t="s">
        <v>403</v>
      </c>
      <c r="C11" s="213">
        <f>'Revenue Tracking'!F5</f>
        <v>2937397.77274903</v>
      </c>
      <c r="D11" s="213">
        <f>SUM(F11:LD11)</f>
        <v>2937397.77274903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161452.01482625442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0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40363.000000000007</v>
      </c>
      <c r="BK11" s="214">
        <f>SUMIFS('Expenditure Breakdown'!$Q$6:$Q$179, 'Expenditure Breakdown'!$W$6:$W$179, "&gt;="&amp;BK1,'Expenditure Breakdown'!$W$6:$W$179, "&lt;"&amp;BL1)</f>
        <v>42501.325000000004</v>
      </c>
      <c r="BL11" s="214">
        <f>SUMIFS('Expenditure Breakdown'!$Q$6:$Q$179, 'Expenditure Breakdown'!$W$6:$W$179, "&gt;="&amp;BL1,'Expenditure Breakdown'!$W$6:$W$179, "&lt;"&amp;BM1)</f>
        <v>0</v>
      </c>
      <c r="BM11" s="214">
        <f>SUMIFS('Expenditure Breakdown'!$Q$6:$Q$179, 'Expenditure Breakdown'!$W$6:$W$179, "&gt;="&amp;BM1,'Expenditure Breakdown'!$W$6:$W$179, "&lt;"&amp;BN1)</f>
        <v>0</v>
      </c>
      <c r="BN11" s="214">
        <f>SUMIFS('Expenditure Breakdown'!$Q$6:$Q$179, 'Expenditure Breakdown'!$W$6:$W$179, "&gt;="&amp;BN1,'Expenditure Breakdown'!$W$6:$W$179, "&lt;"&amp;BO1)</f>
        <v>40363.000000000007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0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0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798"/>
      <c r="B12" s="212" t="s">
        <v>404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2535169.56774903</v>
      </c>
      <c r="BB12" s="214">
        <f t="shared" si="26"/>
        <v>2535169.56774903</v>
      </c>
      <c r="BC12" s="214">
        <f t="shared" si="26"/>
        <v>2535169.56774903</v>
      </c>
      <c r="BD12" s="214">
        <f t="shared" si="26"/>
        <v>2535257.62774903</v>
      </c>
      <c r="BE12" s="214">
        <f t="shared" si="26"/>
        <v>2790257.62774903</v>
      </c>
      <c r="BF12" s="214">
        <f t="shared" si="26"/>
        <v>2794559.0277490299</v>
      </c>
      <c r="BG12" s="214">
        <f t="shared" si="26"/>
        <v>2814170.4477490298</v>
      </c>
      <c r="BH12" s="214">
        <f t="shared" si="26"/>
        <v>2814170.4477490298</v>
      </c>
      <c r="BI12" s="214">
        <f t="shared" si="26"/>
        <v>2814170.4477490298</v>
      </c>
      <c r="BJ12" s="214">
        <f t="shared" si="26"/>
        <v>2854533.4477490298</v>
      </c>
      <c r="BK12" s="214">
        <f t="shared" si="26"/>
        <v>2897034.77274903</v>
      </c>
      <c r="BL12" s="214">
        <f t="shared" si="26"/>
        <v>2897034.77274903</v>
      </c>
      <c r="BM12" s="214">
        <f t="shared" si="26"/>
        <v>2897034.77274903</v>
      </c>
      <c r="BN12" s="214">
        <f t="shared" si="26"/>
        <v>2937397.77274903</v>
      </c>
      <c r="BO12" s="214">
        <f t="shared" si="26"/>
        <v>2937397.77274903</v>
      </c>
      <c r="BP12" s="214">
        <f t="shared" si="26"/>
        <v>2937397.77274903</v>
      </c>
      <c r="BQ12" s="214">
        <f t="shared" si="26"/>
        <v>2937397.77274903</v>
      </c>
      <c r="BR12" s="214">
        <f t="shared" si="26"/>
        <v>2937397.77274903</v>
      </c>
      <c r="BS12" s="214">
        <f t="shared" si="26"/>
        <v>2937397.77274903</v>
      </c>
      <c r="BT12" s="214">
        <f t="shared" si="26"/>
        <v>2937397.77274903</v>
      </c>
      <c r="BU12" s="214">
        <f t="shared" ref="BU12:EF12" si="27">BT12+BU11</f>
        <v>2937397.77274903</v>
      </c>
      <c r="BV12" s="214">
        <f t="shared" si="27"/>
        <v>2937397.77274903</v>
      </c>
      <c r="BW12" s="214">
        <f t="shared" si="27"/>
        <v>2937397.77274903</v>
      </c>
      <c r="BX12" s="214">
        <f t="shared" si="27"/>
        <v>2937397.77274903</v>
      </c>
      <c r="BY12" s="214">
        <f t="shared" si="27"/>
        <v>2937397.77274903</v>
      </c>
      <c r="BZ12" s="214">
        <f t="shared" si="27"/>
        <v>2937397.77274903</v>
      </c>
      <c r="CA12" s="214">
        <f t="shared" si="27"/>
        <v>2937397.77274903</v>
      </c>
      <c r="CB12" s="214">
        <f t="shared" si="27"/>
        <v>2937397.77274903</v>
      </c>
      <c r="CC12" s="214">
        <f t="shared" si="27"/>
        <v>2937397.77274903</v>
      </c>
      <c r="CD12" s="214">
        <f t="shared" si="27"/>
        <v>2937397.77274903</v>
      </c>
      <c r="CE12" s="214">
        <f t="shared" si="27"/>
        <v>2937397.77274903</v>
      </c>
      <c r="CF12" s="214">
        <f t="shared" si="27"/>
        <v>2937397.77274903</v>
      </c>
      <c r="CG12" s="214">
        <f t="shared" si="27"/>
        <v>2937397.77274903</v>
      </c>
      <c r="CH12" s="214">
        <f t="shared" si="27"/>
        <v>2937397.77274903</v>
      </c>
      <c r="CI12" s="214">
        <f t="shared" si="27"/>
        <v>2937397.77274903</v>
      </c>
      <c r="CJ12" s="214">
        <f t="shared" si="27"/>
        <v>2937397.77274903</v>
      </c>
      <c r="CK12" s="214">
        <f t="shared" si="27"/>
        <v>2937397.77274903</v>
      </c>
      <c r="CL12" s="214">
        <f t="shared" si="27"/>
        <v>2937397.77274903</v>
      </c>
      <c r="CM12" s="214">
        <f t="shared" si="27"/>
        <v>2937397.77274903</v>
      </c>
      <c r="CN12" s="214">
        <f t="shared" si="27"/>
        <v>2937397.77274903</v>
      </c>
      <c r="CO12" s="214">
        <f t="shared" si="27"/>
        <v>2937397.77274903</v>
      </c>
      <c r="CP12" s="214">
        <f t="shared" si="27"/>
        <v>2937397.77274903</v>
      </c>
      <c r="CQ12" s="214">
        <f t="shared" si="27"/>
        <v>2937397.77274903</v>
      </c>
      <c r="CR12" s="214">
        <f t="shared" si="27"/>
        <v>2937397.77274903</v>
      </c>
      <c r="CS12" s="214">
        <f t="shared" si="27"/>
        <v>2937397.77274903</v>
      </c>
      <c r="CT12" s="214">
        <f t="shared" si="27"/>
        <v>2937397.77274903</v>
      </c>
      <c r="CU12" s="214">
        <f t="shared" si="27"/>
        <v>2937397.77274903</v>
      </c>
      <c r="CV12" s="214">
        <f t="shared" si="27"/>
        <v>2937397.77274903</v>
      </c>
      <c r="CW12" s="214">
        <f t="shared" si="27"/>
        <v>2937397.77274903</v>
      </c>
      <c r="CX12" s="214">
        <f t="shared" si="27"/>
        <v>2937397.77274903</v>
      </c>
      <c r="CY12" s="214">
        <f t="shared" si="27"/>
        <v>2937397.77274903</v>
      </c>
      <c r="CZ12" s="214">
        <f t="shared" si="27"/>
        <v>2937397.77274903</v>
      </c>
      <c r="DA12" s="214">
        <f t="shared" si="27"/>
        <v>2937397.77274903</v>
      </c>
      <c r="DB12" s="214">
        <f t="shared" si="27"/>
        <v>2937397.77274903</v>
      </c>
      <c r="DC12" s="214">
        <f t="shared" si="27"/>
        <v>2937397.77274903</v>
      </c>
      <c r="DD12" s="214">
        <f t="shared" si="27"/>
        <v>2937397.77274903</v>
      </c>
      <c r="DE12" s="214">
        <f t="shared" si="27"/>
        <v>2937397.77274903</v>
      </c>
      <c r="DF12" s="214">
        <f t="shared" si="27"/>
        <v>2937397.77274903</v>
      </c>
      <c r="DG12" s="214">
        <f t="shared" si="27"/>
        <v>2937397.77274903</v>
      </c>
      <c r="DH12" s="214">
        <f t="shared" si="27"/>
        <v>2937397.77274903</v>
      </c>
      <c r="DI12" s="214">
        <f t="shared" si="27"/>
        <v>2937397.77274903</v>
      </c>
      <c r="DJ12" s="214">
        <f t="shared" si="27"/>
        <v>2937397.77274903</v>
      </c>
      <c r="DK12" s="214">
        <f t="shared" si="27"/>
        <v>2937397.77274903</v>
      </c>
      <c r="DL12" s="214">
        <f t="shared" si="27"/>
        <v>2937397.77274903</v>
      </c>
      <c r="DM12" s="214">
        <f t="shared" si="27"/>
        <v>2937397.77274903</v>
      </c>
      <c r="DN12" s="214">
        <f t="shared" si="27"/>
        <v>2937397.77274903</v>
      </c>
      <c r="DO12" s="214">
        <f t="shared" si="27"/>
        <v>2937397.77274903</v>
      </c>
      <c r="DP12" s="214">
        <f t="shared" si="27"/>
        <v>2937397.77274903</v>
      </c>
      <c r="DQ12" s="214">
        <f t="shared" si="27"/>
        <v>2937397.77274903</v>
      </c>
      <c r="DR12" s="214">
        <f t="shared" si="27"/>
        <v>2937397.77274903</v>
      </c>
      <c r="DS12" s="214">
        <f t="shared" si="27"/>
        <v>2937397.77274903</v>
      </c>
      <c r="DT12" s="214">
        <f t="shared" si="27"/>
        <v>2937397.77274903</v>
      </c>
      <c r="DU12" s="214">
        <f t="shared" si="27"/>
        <v>2937397.77274903</v>
      </c>
      <c r="DV12" s="214">
        <f t="shared" si="27"/>
        <v>2937397.77274903</v>
      </c>
      <c r="DW12" s="214">
        <f t="shared" si="27"/>
        <v>2937397.77274903</v>
      </c>
      <c r="DX12" s="214">
        <f t="shared" si="27"/>
        <v>2937397.77274903</v>
      </c>
      <c r="DY12" s="214">
        <f t="shared" si="27"/>
        <v>2937397.77274903</v>
      </c>
      <c r="DZ12" s="214">
        <f t="shared" si="27"/>
        <v>2937397.77274903</v>
      </c>
      <c r="EA12" s="214">
        <f t="shared" si="27"/>
        <v>2937397.77274903</v>
      </c>
      <c r="EB12" s="214">
        <f t="shared" si="27"/>
        <v>2937397.77274903</v>
      </c>
      <c r="EC12" s="214">
        <f t="shared" si="27"/>
        <v>2937397.77274903</v>
      </c>
      <c r="ED12" s="214">
        <f t="shared" si="27"/>
        <v>2937397.77274903</v>
      </c>
      <c r="EE12" s="214">
        <f t="shared" si="27"/>
        <v>2937397.77274903</v>
      </c>
      <c r="EF12" s="214">
        <f t="shared" si="27"/>
        <v>2937397.77274903</v>
      </c>
      <c r="EG12" s="214">
        <f t="shared" ref="EG12:GR12" si="28">EF12+EG11</f>
        <v>2937397.77274903</v>
      </c>
      <c r="EH12" s="214">
        <f t="shared" si="28"/>
        <v>2937397.77274903</v>
      </c>
      <c r="EI12" s="214">
        <f t="shared" si="28"/>
        <v>2937397.77274903</v>
      </c>
      <c r="EJ12" s="214">
        <f t="shared" si="28"/>
        <v>2937397.77274903</v>
      </c>
      <c r="EK12" s="214">
        <f t="shared" si="28"/>
        <v>2937397.77274903</v>
      </c>
      <c r="EL12" s="214">
        <f t="shared" si="28"/>
        <v>2937397.77274903</v>
      </c>
      <c r="EM12" s="214">
        <f t="shared" si="28"/>
        <v>2937397.77274903</v>
      </c>
      <c r="EN12" s="214">
        <f t="shared" si="28"/>
        <v>2937397.77274903</v>
      </c>
      <c r="EO12" s="214">
        <f t="shared" si="28"/>
        <v>2937397.77274903</v>
      </c>
      <c r="EP12" s="214">
        <f t="shared" si="28"/>
        <v>2937397.77274903</v>
      </c>
      <c r="EQ12" s="214">
        <f t="shared" si="28"/>
        <v>2937397.77274903</v>
      </c>
      <c r="ER12" s="214">
        <f t="shared" si="28"/>
        <v>2937397.77274903</v>
      </c>
      <c r="ES12" s="214">
        <f t="shared" si="28"/>
        <v>2937397.77274903</v>
      </c>
      <c r="ET12" s="214">
        <f t="shared" si="28"/>
        <v>2937397.77274903</v>
      </c>
      <c r="EU12" s="214">
        <f t="shared" si="28"/>
        <v>2937397.77274903</v>
      </c>
      <c r="EV12" s="214">
        <f t="shared" si="28"/>
        <v>2937397.77274903</v>
      </c>
      <c r="EW12" s="214">
        <f t="shared" si="28"/>
        <v>2937397.77274903</v>
      </c>
      <c r="EX12" s="214">
        <f t="shared" si="28"/>
        <v>2937397.77274903</v>
      </c>
      <c r="EY12" s="214">
        <f t="shared" si="28"/>
        <v>2937397.77274903</v>
      </c>
      <c r="EZ12" s="214">
        <f t="shared" si="28"/>
        <v>2937397.77274903</v>
      </c>
      <c r="FA12" s="214">
        <f t="shared" si="28"/>
        <v>2937397.77274903</v>
      </c>
      <c r="FB12" s="214">
        <f t="shared" si="28"/>
        <v>2937397.77274903</v>
      </c>
      <c r="FC12" s="214">
        <f t="shared" si="28"/>
        <v>2937397.77274903</v>
      </c>
      <c r="FD12" s="214">
        <f t="shared" si="28"/>
        <v>2937397.77274903</v>
      </c>
      <c r="FE12" s="214">
        <f t="shared" si="28"/>
        <v>2937397.77274903</v>
      </c>
      <c r="FF12" s="214">
        <f t="shared" si="28"/>
        <v>2937397.77274903</v>
      </c>
      <c r="FG12" s="214">
        <f t="shared" si="28"/>
        <v>2937397.77274903</v>
      </c>
      <c r="FH12" s="214">
        <f t="shared" si="28"/>
        <v>2937397.77274903</v>
      </c>
      <c r="FI12" s="214">
        <f t="shared" si="28"/>
        <v>2937397.77274903</v>
      </c>
      <c r="FJ12" s="214">
        <f t="shared" si="28"/>
        <v>2937397.77274903</v>
      </c>
      <c r="FK12" s="214">
        <f t="shared" si="28"/>
        <v>2937397.77274903</v>
      </c>
      <c r="FL12" s="214">
        <f t="shared" si="28"/>
        <v>2937397.77274903</v>
      </c>
      <c r="FM12" s="214">
        <f t="shared" si="28"/>
        <v>2937397.77274903</v>
      </c>
      <c r="FN12" s="214">
        <f t="shared" si="28"/>
        <v>2937397.77274903</v>
      </c>
      <c r="FO12" s="214">
        <f t="shared" si="28"/>
        <v>2937397.77274903</v>
      </c>
      <c r="FP12" s="214">
        <f t="shared" si="28"/>
        <v>2937397.77274903</v>
      </c>
      <c r="FQ12" s="214">
        <f t="shared" si="28"/>
        <v>2937397.77274903</v>
      </c>
      <c r="FR12" s="214">
        <f t="shared" si="28"/>
        <v>2937397.77274903</v>
      </c>
      <c r="FS12" s="214">
        <f t="shared" si="28"/>
        <v>2937397.77274903</v>
      </c>
      <c r="FT12" s="214">
        <f t="shared" si="28"/>
        <v>2937397.77274903</v>
      </c>
      <c r="FU12" s="214">
        <f t="shared" si="28"/>
        <v>2937397.77274903</v>
      </c>
      <c r="FV12" s="214">
        <f t="shared" si="28"/>
        <v>2937397.77274903</v>
      </c>
      <c r="FW12" s="214">
        <f t="shared" si="28"/>
        <v>2937397.77274903</v>
      </c>
      <c r="FX12" s="214">
        <f t="shared" si="28"/>
        <v>2937397.77274903</v>
      </c>
      <c r="FY12" s="214">
        <f t="shared" si="28"/>
        <v>2937397.77274903</v>
      </c>
      <c r="FZ12" s="214">
        <f t="shared" si="28"/>
        <v>2937397.77274903</v>
      </c>
      <c r="GA12" s="214">
        <f t="shared" si="28"/>
        <v>2937397.77274903</v>
      </c>
      <c r="GB12" s="214">
        <f t="shared" si="28"/>
        <v>2937397.77274903</v>
      </c>
      <c r="GC12" s="214">
        <f t="shared" si="28"/>
        <v>2937397.77274903</v>
      </c>
      <c r="GD12" s="214">
        <f t="shared" si="28"/>
        <v>2937397.77274903</v>
      </c>
      <c r="GE12" s="214">
        <f t="shared" si="28"/>
        <v>2937397.77274903</v>
      </c>
      <c r="GF12" s="214">
        <f t="shared" si="28"/>
        <v>2937397.77274903</v>
      </c>
      <c r="GG12" s="214">
        <f t="shared" si="28"/>
        <v>2937397.77274903</v>
      </c>
      <c r="GH12" s="214">
        <f t="shared" si="28"/>
        <v>2937397.77274903</v>
      </c>
      <c r="GI12" s="214">
        <f t="shared" si="28"/>
        <v>2937397.77274903</v>
      </c>
      <c r="GJ12" s="214">
        <f t="shared" si="28"/>
        <v>2937397.77274903</v>
      </c>
      <c r="GK12" s="214">
        <f t="shared" si="28"/>
        <v>2937397.77274903</v>
      </c>
      <c r="GL12" s="214">
        <f t="shared" si="28"/>
        <v>2937397.77274903</v>
      </c>
      <c r="GM12" s="214">
        <f t="shared" si="28"/>
        <v>2937397.77274903</v>
      </c>
      <c r="GN12" s="214">
        <f t="shared" si="28"/>
        <v>2937397.77274903</v>
      </c>
      <c r="GO12" s="214">
        <f t="shared" si="28"/>
        <v>2937397.77274903</v>
      </c>
      <c r="GP12" s="214">
        <f t="shared" si="28"/>
        <v>2937397.77274903</v>
      </c>
      <c r="GQ12" s="214">
        <f t="shared" si="28"/>
        <v>2937397.77274903</v>
      </c>
      <c r="GR12" s="214">
        <f t="shared" si="28"/>
        <v>2937397.77274903</v>
      </c>
      <c r="GS12" s="214">
        <f t="shared" ref="GS12:JD12" si="29">GR12+GS11</f>
        <v>2937397.77274903</v>
      </c>
      <c r="GT12" s="214">
        <f t="shared" si="29"/>
        <v>2937397.77274903</v>
      </c>
      <c r="GU12" s="214">
        <f t="shared" si="29"/>
        <v>2937397.77274903</v>
      </c>
      <c r="GV12" s="214">
        <f t="shared" si="29"/>
        <v>2937397.77274903</v>
      </c>
      <c r="GW12" s="214">
        <f t="shared" si="29"/>
        <v>2937397.77274903</v>
      </c>
      <c r="GX12" s="214">
        <f t="shared" si="29"/>
        <v>2937397.77274903</v>
      </c>
      <c r="GY12" s="214">
        <f t="shared" si="29"/>
        <v>2937397.77274903</v>
      </c>
      <c r="GZ12" s="214">
        <f t="shared" si="29"/>
        <v>2937397.77274903</v>
      </c>
      <c r="HA12" s="214">
        <f t="shared" si="29"/>
        <v>2937397.77274903</v>
      </c>
      <c r="HB12" s="214">
        <f t="shared" si="29"/>
        <v>2937397.77274903</v>
      </c>
      <c r="HC12" s="214">
        <f t="shared" si="29"/>
        <v>2937397.77274903</v>
      </c>
      <c r="HD12" s="214">
        <f t="shared" si="29"/>
        <v>2937397.77274903</v>
      </c>
      <c r="HE12" s="214">
        <f t="shared" si="29"/>
        <v>2937397.77274903</v>
      </c>
      <c r="HF12" s="214">
        <f t="shared" si="29"/>
        <v>2937397.77274903</v>
      </c>
      <c r="HG12" s="214">
        <f t="shared" si="29"/>
        <v>2937397.77274903</v>
      </c>
      <c r="HH12" s="214">
        <f t="shared" si="29"/>
        <v>2937397.77274903</v>
      </c>
      <c r="HI12" s="214">
        <f t="shared" si="29"/>
        <v>2937397.77274903</v>
      </c>
      <c r="HJ12" s="214">
        <f t="shared" si="29"/>
        <v>2937397.77274903</v>
      </c>
      <c r="HK12" s="214">
        <f t="shared" si="29"/>
        <v>2937397.77274903</v>
      </c>
      <c r="HL12" s="214">
        <f t="shared" si="29"/>
        <v>2937397.77274903</v>
      </c>
      <c r="HM12" s="214">
        <f t="shared" si="29"/>
        <v>2937397.77274903</v>
      </c>
      <c r="HN12" s="214">
        <f t="shared" si="29"/>
        <v>2937397.77274903</v>
      </c>
      <c r="HO12" s="214">
        <f t="shared" si="29"/>
        <v>2937397.77274903</v>
      </c>
      <c r="HP12" s="214">
        <f t="shared" si="29"/>
        <v>2937397.77274903</v>
      </c>
      <c r="HQ12" s="214">
        <f t="shared" si="29"/>
        <v>2937397.77274903</v>
      </c>
      <c r="HR12" s="214">
        <f t="shared" si="29"/>
        <v>2937397.77274903</v>
      </c>
      <c r="HS12" s="214">
        <f t="shared" si="29"/>
        <v>2937397.77274903</v>
      </c>
      <c r="HT12" s="214">
        <f t="shared" si="29"/>
        <v>2937397.77274903</v>
      </c>
      <c r="HU12" s="214">
        <f t="shared" si="29"/>
        <v>2937397.77274903</v>
      </c>
      <c r="HV12" s="214">
        <f t="shared" si="29"/>
        <v>2937397.77274903</v>
      </c>
      <c r="HW12" s="214">
        <f t="shared" si="29"/>
        <v>2937397.77274903</v>
      </c>
      <c r="HX12" s="214">
        <f t="shared" si="29"/>
        <v>2937397.77274903</v>
      </c>
      <c r="HY12" s="214">
        <f t="shared" si="29"/>
        <v>2937397.77274903</v>
      </c>
      <c r="HZ12" s="214">
        <f t="shared" si="29"/>
        <v>2937397.77274903</v>
      </c>
      <c r="IA12" s="214">
        <f t="shared" si="29"/>
        <v>2937397.77274903</v>
      </c>
      <c r="IB12" s="214">
        <f t="shared" si="29"/>
        <v>2937397.77274903</v>
      </c>
      <c r="IC12" s="214">
        <f t="shared" si="29"/>
        <v>2937397.77274903</v>
      </c>
      <c r="ID12" s="214">
        <f t="shared" si="29"/>
        <v>2937397.77274903</v>
      </c>
      <c r="IE12" s="214">
        <f t="shared" si="29"/>
        <v>2937397.77274903</v>
      </c>
      <c r="IF12" s="214">
        <f t="shared" si="29"/>
        <v>2937397.77274903</v>
      </c>
      <c r="IG12" s="214">
        <f t="shared" si="29"/>
        <v>2937397.77274903</v>
      </c>
      <c r="IH12" s="214">
        <f t="shared" si="29"/>
        <v>2937397.77274903</v>
      </c>
      <c r="II12" s="214">
        <f t="shared" si="29"/>
        <v>2937397.77274903</v>
      </c>
      <c r="IJ12" s="214">
        <f t="shared" si="29"/>
        <v>2937397.77274903</v>
      </c>
      <c r="IK12" s="214">
        <f t="shared" si="29"/>
        <v>2937397.77274903</v>
      </c>
      <c r="IL12" s="214">
        <f t="shared" si="29"/>
        <v>2937397.77274903</v>
      </c>
      <c r="IM12" s="214">
        <f t="shared" si="29"/>
        <v>2937397.77274903</v>
      </c>
      <c r="IN12" s="214">
        <f t="shared" si="29"/>
        <v>2937397.77274903</v>
      </c>
      <c r="IO12" s="214">
        <f t="shared" si="29"/>
        <v>2937397.77274903</v>
      </c>
      <c r="IP12" s="214">
        <f t="shared" si="29"/>
        <v>2937397.77274903</v>
      </c>
      <c r="IQ12" s="214">
        <f t="shared" si="29"/>
        <v>2937397.77274903</v>
      </c>
      <c r="IR12" s="214">
        <f t="shared" si="29"/>
        <v>2937397.77274903</v>
      </c>
      <c r="IS12" s="214">
        <f t="shared" si="29"/>
        <v>2937397.77274903</v>
      </c>
      <c r="IT12" s="214">
        <f t="shared" si="29"/>
        <v>2937397.77274903</v>
      </c>
      <c r="IU12" s="214">
        <f t="shared" si="29"/>
        <v>2937397.77274903</v>
      </c>
      <c r="IV12" s="214">
        <f t="shared" si="29"/>
        <v>2937397.77274903</v>
      </c>
      <c r="IW12" s="214">
        <f t="shared" si="29"/>
        <v>2937397.77274903</v>
      </c>
      <c r="IX12" s="214">
        <f t="shared" si="29"/>
        <v>2937397.77274903</v>
      </c>
      <c r="IY12" s="214">
        <f t="shared" si="29"/>
        <v>2937397.77274903</v>
      </c>
      <c r="IZ12" s="214">
        <f t="shared" si="29"/>
        <v>2937397.77274903</v>
      </c>
      <c r="JA12" s="214">
        <f t="shared" si="29"/>
        <v>2937397.77274903</v>
      </c>
      <c r="JB12" s="214">
        <f t="shared" si="29"/>
        <v>2937397.77274903</v>
      </c>
      <c r="JC12" s="214">
        <f t="shared" si="29"/>
        <v>2937397.77274903</v>
      </c>
      <c r="JD12" s="214">
        <f t="shared" si="29"/>
        <v>2937397.77274903</v>
      </c>
      <c r="JE12" s="214">
        <f t="shared" ref="JE12:LD12" si="30">JD12+JE11</f>
        <v>2937397.77274903</v>
      </c>
      <c r="JF12" s="214">
        <f t="shared" si="30"/>
        <v>2937397.77274903</v>
      </c>
      <c r="JG12" s="214">
        <f t="shared" si="30"/>
        <v>2937397.77274903</v>
      </c>
      <c r="JH12" s="214">
        <f t="shared" si="30"/>
        <v>2937397.77274903</v>
      </c>
      <c r="JI12" s="214">
        <f t="shared" si="30"/>
        <v>2937397.77274903</v>
      </c>
      <c r="JJ12" s="214">
        <f t="shared" si="30"/>
        <v>2937397.77274903</v>
      </c>
      <c r="JK12" s="214">
        <f t="shared" si="30"/>
        <v>2937397.77274903</v>
      </c>
      <c r="JL12" s="214">
        <f t="shared" si="30"/>
        <v>2937397.77274903</v>
      </c>
      <c r="JM12" s="214">
        <f t="shared" si="30"/>
        <v>2937397.77274903</v>
      </c>
      <c r="JN12" s="214">
        <f t="shared" si="30"/>
        <v>2937397.77274903</v>
      </c>
      <c r="JO12" s="214">
        <f t="shared" si="30"/>
        <v>2937397.77274903</v>
      </c>
      <c r="JP12" s="214">
        <f t="shared" si="30"/>
        <v>2937397.77274903</v>
      </c>
      <c r="JQ12" s="214">
        <f t="shared" si="30"/>
        <v>2937397.77274903</v>
      </c>
      <c r="JR12" s="214">
        <f t="shared" si="30"/>
        <v>2937397.77274903</v>
      </c>
      <c r="JS12" s="214">
        <f t="shared" si="30"/>
        <v>2937397.77274903</v>
      </c>
      <c r="JT12" s="214">
        <f t="shared" si="30"/>
        <v>2937397.77274903</v>
      </c>
      <c r="JU12" s="214">
        <f t="shared" si="30"/>
        <v>2937397.77274903</v>
      </c>
      <c r="JV12" s="214">
        <f t="shared" si="30"/>
        <v>2937397.77274903</v>
      </c>
      <c r="JW12" s="214">
        <f t="shared" si="30"/>
        <v>2937397.77274903</v>
      </c>
      <c r="JX12" s="214">
        <f t="shared" si="30"/>
        <v>2937397.77274903</v>
      </c>
      <c r="JY12" s="214">
        <f t="shared" si="30"/>
        <v>2937397.77274903</v>
      </c>
      <c r="JZ12" s="214">
        <f t="shared" si="30"/>
        <v>2937397.77274903</v>
      </c>
      <c r="KA12" s="214">
        <f t="shared" si="30"/>
        <v>2937397.77274903</v>
      </c>
      <c r="KB12" s="214">
        <f t="shared" si="30"/>
        <v>2937397.77274903</v>
      </c>
      <c r="KC12" s="214">
        <f t="shared" si="30"/>
        <v>2937397.77274903</v>
      </c>
      <c r="KD12" s="214">
        <f t="shared" si="30"/>
        <v>2937397.77274903</v>
      </c>
      <c r="KE12" s="214">
        <f t="shared" si="30"/>
        <v>2937397.77274903</v>
      </c>
      <c r="KF12" s="214">
        <f t="shared" si="30"/>
        <v>2937397.77274903</v>
      </c>
      <c r="KG12" s="214">
        <f t="shared" si="30"/>
        <v>2937397.77274903</v>
      </c>
      <c r="KH12" s="214">
        <f t="shared" si="30"/>
        <v>2937397.77274903</v>
      </c>
      <c r="KI12" s="214">
        <f t="shared" si="30"/>
        <v>2937397.77274903</v>
      </c>
      <c r="KJ12" s="214">
        <f t="shared" si="30"/>
        <v>2937397.77274903</v>
      </c>
      <c r="KK12" s="214">
        <f t="shared" si="30"/>
        <v>2937397.77274903</v>
      </c>
      <c r="KL12" s="214">
        <f t="shared" si="30"/>
        <v>2937397.77274903</v>
      </c>
      <c r="KM12" s="214">
        <f t="shared" si="30"/>
        <v>2937397.77274903</v>
      </c>
      <c r="KN12" s="214">
        <f t="shared" si="30"/>
        <v>2937397.77274903</v>
      </c>
      <c r="KO12" s="214">
        <f t="shared" si="30"/>
        <v>2937397.77274903</v>
      </c>
      <c r="KP12" s="214">
        <f t="shared" si="30"/>
        <v>2937397.77274903</v>
      </c>
      <c r="KQ12" s="214">
        <f t="shared" si="30"/>
        <v>2937397.77274903</v>
      </c>
      <c r="KR12" s="214">
        <f t="shared" si="30"/>
        <v>2937397.77274903</v>
      </c>
      <c r="KS12" s="214">
        <f t="shared" si="30"/>
        <v>2937397.77274903</v>
      </c>
      <c r="KT12" s="214">
        <f t="shared" si="30"/>
        <v>2937397.77274903</v>
      </c>
      <c r="KU12" s="214">
        <f t="shared" si="30"/>
        <v>2937397.77274903</v>
      </c>
      <c r="KV12" s="214">
        <f t="shared" si="30"/>
        <v>2937397.77274903</v>
      </c>
      <c r="KW12" s="214">
        <f t="shared" si="30"/>
        <v>2937397.77274903</v>
      </c>
      <c r="KX12" s="214">
        <f t="shared" si="30"/>
        <v>2937397.77274903</v>
      </c>
      <c r="KY12" s="214">
        <f t="shared" si="30"/>
        <v>2937397.77274903</v>
      </c>
      <c r="KZ12" s="214">
        <f t="shared" si="30"/>
        <v>2937397.77274903</v>
      </c>
      <c r="LA12" s="214">
        <f t="shared" si="30"/>
        <v>2937397.77274903</v>
      </c>
      <c r="LB12" s="214">
        <f t="shared" si="30"/>
        <v>2937397.77274903</v>
      </c>
      <c r="LC12" s="214">
        <f t="shared" si="30"/>
        <v>2937397.77274903</v>
      </c>
      <c r="LD12" s="214">
        <f t="shared" si="30"/>
        <v>2937397.77274903</v>
      </c>
      <c r="LE12" s="191"/>
      <c r="LF12" s="202"/>
    </row>
    <row r="13" spans="1:794" s="191" customFormat="1">
      <c r="A13" s="798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8"/>
      <c r="B14" s="204" t="s">
        <v>405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-665111.26774902968</v>
      </c>
      <c r="BB14" s="207">
        <f t="shared" si="32"/>
        <v>-665111.26774902968</v>
      </c>
      <c r="BC14" s="207">
        <f t="shared" si="32"/>
        <v>694931.13225097023</v>
      </c>
      <c r="BD14" s="207">
        <f t="shared" si="32"/>
        <v>694843.07225097017</v>
      </c>
      <c r="BE14" s="207">
        <f t="shared" si="32"/>
        <v>439843.07225097017</v>
      </c>
      <c r="BF14" s="207">
        <f t="shared" si="32"/>
        <v>435541.67225097027</v>
      </c>
      <c r="BG14" s="207">
        <f t="shared" si="32"/>
        <v>415930.25225097034</v>
      </c>
      <c r="BH14" s="207">
        <f t="shared" si="32"/>
        <v>415930.25225097034</v>
      </c>
      <c r="BI14" s="207">
        <f t="shared" si="32"/>
        <v>415930.25225097034</v>
      </c>
      <c r="BJ14" s="207">
        <f t="shared" si="32"/>
        <v>545572.55225097016</v>
      </c>
      <c r="BK14" s="207">
        <f t="shared" si="32"/>
        <v>503071.22725096997</v>
      </c>
      <c r="BL14" s="207">
        <f t="shared" si="32"/>
        <v>503071.22725096997</v>
      </c>
      <c r="BM14" s="207">
        <f t="shared" si="32"/>
        <v>503071.22725096997</v>
      </c>
      <c r="BN14" s="207">
        <f t="shared" si="32"/>
        <v>462708.22725096997</v>
      </c>
      <c r="BO14" s="207">
        <f t="shared" si="32"/>
        <v>462708.22725096997</v>
      </c>
      <c r="BP14" s="207">
        <f t="shared" si="32"/>
        <v>462708.22725096997</v>
      </c>
      <c r="BQ14" s="207">
        <f t="shared" si="32"/>
        <v>462708.22725096997</v>
      </c>
      <c r="BR14" s="207">
        <f t="shared" si="32"/>
        <v>462708.22725096997</v>
      </c>
      <c r="BS14" s="207">
        <f t="shared" si="32"/>
        <v>462708.22725096997</v>
      </c>
      <c r="BT14" s="207">
        <f t="shared" si="32"/>
        <v>462708.22725096997</v>
      </c>
      <c r="BU14" s="207">
        <f t="shared" ref="BU14:EF14" si="33">BU10-BU12</f>
        <v>462708.22725096997</v>
      </c>
      <c r="BV14" s="207">
        <f t="shared" si="33"/>
        <v>462708.22725096997</v>
      </c>
      <c r="BW14" s="207">
        <f t="shared" si="33"/>
        <v>462708.22725096997</v>
      </c>
      <c r="BX14" s="207">
        <f t="shared" si="33"/>
        <v>462708.22725096997</v>
      </c>
      <c r="BY14" s="207">
        <f t="shared" si="33"/>
        <v>462708.22725096997</v>
      </c>
      <c r="BZ14" s="207">
        <f t="shared" si="33"/>
        <v>462708.22725096997</v>
      </c>
      <c r="CA14" s="207">
        <f t="shared" si="33"/>
        <v>462708.22725096997</v>
      </c>
      <c r="CB14" s="207">
        <f t="shared" si="33"/>
        <v>462708.22725096997</v>
      </c>
      <c r="CC14" s="207">
        <f t="shared" si="33"/>
        <v>462708.22725096997</v>
      </c>
      <c r="CD14" s="207">
        <f t="shared" si="33"/>
        <v>462708.22725096997</v>
      </c>
      <c r="CE14" s="207">
        <f t="shared" si="33"/>
        <v>462708.22725096997</v>
      </c>
      <c r="CF14" s="207">
        <f t="shared" si="33"/>
        <v>462708.22725096997</v>
      </c>
      <c r="CG14" s="207">
        <f t="shared" si="33"/>
        <v>462708.22725096997</v>
      </c>
      <c r="CH14" s="207">
        <f t="shared" si="33"/>
        <v>462708.22725096997</v>
      </c>
      <c r="CI14" s="207">
        <f t="shared" si="33"/>
        <v>462708.22725096997</v>
      </c>
      <c r="CJ14" s="207">
        <f t="shared" si="33"/>
        <v>462708.22725096997</v>
      </c>
      <c r="CK14" s="207">
        <f t="shared" si="33"/>
        <v>462708.22725096997</v>
      </c>
      <c r="CL14" s="207">
        <f t="shared" si="33"/>
        <v>462708.22725096997</v>
      </c>
      <c r="CM14" s="207">
        <f t="shared" si="33"/>
        <v>462708.22725096997</v>
      </c>
      <c r="CN14" s="207">
        <f t="shared" si="33"/>
        <v>462708.22725096997</v>
      </c>
      <c r="CO14" s="207">
        <f t="shared" si="33"/>
        <v>462708.22725096997</v>
      </c>
      <c r="CP14" s="207">
        <f t="shared" si="33"/>
        <v>462708.22725096997</v>
      </c>
      <c r="CQ14" s="207">
        <f t="shared" si="33"/>
        <v>462708.22725096997</v>
      </c>
      <c r="CR14" s="207">
        <f t="shared" si="33"/>
        <v>462708.22725096997</v>
      </c>
      <c r="CS14" s="207">
        <f t="shared" si="33"/>
        <v>462708.22725096997</v>
      </c>
      <c r="CT14" s="207">
        <f t="shared" si="33"/>
        <v>462708.22725096997</v>
      </c>
      <c r="CU14" s="207">
        <f t="shared" si="33"/>
        <v>462708.22725096997</v>
      </c>
      <c r="CV14" s="207">
        <f t="shared" si="33"/>
        <v>462708.22725096997</v>
      </c>
      <c r="CW14" s="207">
        <f t="shared" si="33"/>
        <v>462708.22725096997</v>
      </c>
      <c r="CX14" s="207">
        <f t="shared" si="33"/>
        <v>462708.22725096997</v>
      </c>
      <c r="CY14" s="207">
        <f t="shared" si="33"/>
        <v>462708.22725096997</v>
      </c>
      <c r="CZ14" s="207">
        <f t="shared" si="33"/>
        <v>462708.22725096997</v>
      </c>
      <c r="DA14" s="207">
        <f t="shared" si="33"/>
        <v>462708.22725096997</v>
      </c>
      <c r="DB14" s="207">
        <f t="shared" si="33"/>
        <v>462708.22725096997</v>
      </c>
      <c r="DC14" s="207">
        <f t="shared" si="33"/>
        <v>462708.22725096997</v>
      </c>
      <c r="DD14" s="207">
        <f t="shared" si="33"/>
        <v>462708.22725096997</v>
      </c>
      <c r="DE14" s="207">
        <f t="shared" si="33"/>
        <v>462708.22725096997</v>
      </c>
      <c r="DF14" s="207">
        <f t="shared" si="33"/>
        <v>462708.22725096997</v>
      </c>
      <c r="DG14" s="207">
        <f t="shared" si="33"/>
        <v>462708.22725096997</v>
      </c>
      <c r="DH14" s="207">
        <f t="shared" si="33"/>
        <v>462708.22725096997</v>
      </c>
      <c r="DI14" s="207">
        <f t="shared" si="33"/>
        <v>462708.22725096997</v>
      </c>
      <c r="DJ14" s="207">
        <f t="shared" si="33"/>
        <v>462708.22725096997</v>
      </c>
      <c r="DK14" s="207">
        <f t="shared" si="33"/>
        <v>462708.22725096997</v>
      </c>
      <c r="DL14" s="207">
        <f t="shared" si="33"/>
        <v>462708.22725096997</v>
      </c>
      <c r="DM14" s="207">
        <f t="shared" si="33"/>
        <v>462708.22725096997</v>
      </c>
      <c r="DN14" s="207">
        <f t="shared" si="33"/>
        <v>462708.22725096997</v>
      </c>
      <c r="DO14" s="207">
        <f t="shared" si="33"/>
        <v>462708.22725096997</v>
      </c>
      <c r="DP14" s="207">
        <f t="shared" si="33"/>
        <v>462708.22725096997</v>
      </c>
      <c r="DQ14" s="207">
        <f t="shared" si="33"/>
        <v>462708.22725096997</v>
      </c>
      <c r="DR14" s="207">
        <f t="shared" si="33"/>
        <v>462708.22725096997</v>
      </c>
      <c r="DS14" s="207">
        <f t="shared" si="33"/>
        <v>462708.22725096997</v>
      </c>
      <c r="DT14" s="207">
        <f t="shared" si="33"/>
        <v>462708.22725096997</v>
      </c>
      <c r="DU14" s="207">
        <f t="shared" si="33"/>
        <v>462708.22725096997</v>
      </c>
      <c r="DV14" s="207">
        <f t="shared" si="33"/>
        <v>462708.22725096997</v>
      </c>
      <c r="DW14" s="207">
        <f t="shared" si="33"/>
        <v>462708.22725096997</v>
      </c>
      <c r="DX14" s="207">
        <f t="shared" si="33"/>
        <v>462708.22725096997</v>
      </c>
      <c r="DY14" s="207">
        <f t="shared" si="33"/>
        <v>462708.22725096997</v>
      </c>
      <c r="DZ14" s="207">
        <f t="shared" si="33"/>
        <v>462708.22725096997</v>
      </c>
      <c r="EA14" s="207">
        <f t="shared" si="33"/>
        <v>462708.22725096997</v>
      </c>
      <c r="EB14" s="207">
        <f t="shared" si="33"/>
        <v>462708.22725096997</v>
      </c>
      <c r="EC14" s="207">
        <f t="shared" si="33"/>
        <v>462708.22725096997</v>
      </c>
      <c r="ED14" s="207">
        <f t="shared" si="33"/>
        <v>462708.22725096997</v>
      </c>
      <c r="EE14" s="207">
        <f t="shared" si="33"/>
        <v>462708.22725096997</v>
      </c>
      <c r="EF14" s="207">
        <f t="shared" si="33"/>
        <v>462708.22725096997</v>
      </c>
      <c r="EG14" s="207">
        <f t="shared" ref="EG14:GR14" si="34">EG10-EG12</f>
        <v>462708.22725096997</v>
      </c>
      <c r="EH14" s="207">
        <f t="shared" si="34"/>
        <v>462708.22725096997</v>
      </c>
      <c r="EI14" s="207">
        <f t="shared" si="34"/>
        <v>462708.22725096997</v>
      </c>
      <c r="EJ14" s="207">
        <f t="shared" si="34"/>
        <v>462708.22725096997</v>
      </c>
      <c r="EK14" s="207">
        <f t="shared" si="34"/>
        <v>462708.22725096997</v>
      </c>
      <c r="EL14" s="207">
        <f t="shared" si="34"/>
        <v>462708.22725096997</v>
      </c>
      <c r="EM14" s="207">
        <f t="shared" si="34"/>
        <v>462708.22725096997</v>
      </c>
      <c r="EN14" s="207">
        <f t="shared" si="34"/>
        <v>462708.22725096997</v>
      </c>
      <c r="EO14" s="207">
        <f t="shared" si="34"/>
        <v>462708.22725096997</v>
      </c>
      <c r="EP14" s="207">
        <f t="shared" si="34"/>
        <v>462708.22725096997</v>
      </c>
      <c r="EQ14" s="207">
        <f t="shared" si="34"/>
        <v>462708.22725096997</v>
      </c>
      <c r="ER14" s="207">
        <f t="shared" si="34"/>
        <v>462708.22725096997</v>
      </c>
      <c r="ES14" s="207">
        <f t="shared" si="34"/>
        <v>462708.22725096997</v>
      </c>
      <c r="ET14" s="207">
        <f t="shared" si="34"/>
        <v>462708.22725096997</v>
      </c>
      <c r="EU14" s="207">
        <f t="shared" si="34"/>
        <v>462708.22725096997</v>
      </c>
      <c r="EV14" s="207">
        <f t="shared" si="34"/>
        <v>462708.22725096997</v>
      </c>
      <c r="EW14" s="207">
        <f t="shared" si="34"/>
        <v>462708.22725096997</v>
      </c>
      <c r="EX14" s="207">
        <f t="shared" si="34"/>
        <v>462708.22725096997</v>
      </c>
      <c r="EY14" s="207">
        <f t="shared" si="34"/>
        <v>462708.22725096997</v>
      </c>
      <c r="EZ14" s="207">
        <f t="shared" si="34"/>
        <v>462708.22725096997</v>
      </c>
      <c r="FA14" s="207">
        <f t="shared" si="34"/>
        <v>462708.22725096997</v>
      </c>
      <c r="FB14" s="207">
        <f t="shared" si="34"/>
        <v>462708.22725096997</v>
      </c>
      <c r="FC14" s="207">
        <f t="shared" si="34"/>
        <v>462708.22725096997</v>
      </c>
      <c r="FD14" s="207">
        <f t="shared" si="34"/>
        <v>462708.22725096997</v>
      </c>
      <c r="FE14" s="207">
        <f t="shared" si="34"/>
        <v>462708.22725096997</v>
      </c>
      <c r="FF14" s="207">
        <f t="shared" si="34"/>
        <v>462708.22725096997</v>
      </c>
      <c r="FG14" s="207">
        <f t="shared" si="34"/>
        <v>462708.22725096997</v>
      </c>
      <c r="FH14" s="207">
        <f t="shared" si="34"/>
        <v>462708.22725096997</v>
      </c>
      <c r="FI14" s="207">
        <f t="shared" si="34"/>
        <v>462708.22725096997</v>
      </c>
      <c r="FJ14" s="207">
        <f t="shared" si="34"/>
        <v>462708.22725096997</v>
      </c>
      <c r="FK14" s="207">
        <f t="shared" si="34"/>
        <v>462708.22725096997</v>
      </c>
      <c r="FL14" s="207">
        <f t="shared" si="34"/>
        <v>462708.22725096997</v>
      </c>
      <c r="FM14" s="207">
        <f t="shared" si="34"/>
        <v>462708.22725096997</v>
      </c>
      <c r="FN14" s="207">
        <f t="shared" si="34"/>
        <v>462708.22725096997</v>
      </c>
      <c r="FO14" s="207">
        <f t="shared" si="34"/>
        <v>462708.22725096997</v>
      </c>
      <c r="FP14" s="207">
        <f t="shared" si="34"/>
        <v>462708.22725096997</v>
      </c>
      <c r="FQ14" s="207">
        <f t="shared" si="34"/>
        <v>462708.22725096997</v>
      </c>
      <c r="FR14" s="207">
        <f t="shared" si="34"/>
        <v>462708.22725096997</v>
      </c>
      <c r="FS14" s="207">
        <f t="shared" si="34"/>
        <v>462708.22725096997</v>
      </c>
      <c r="FT14" s="207">
        <f t="shared" si="34"/>
        <v>462708.22725096997</v>
      </c>
      <c r="FU14" s="207">
        <f t="shared" si="34"/>
        <v>462708.22725096997</v>
      </c>
      <c r="FV14" s="207">
        <f t="shared" si="34"/>
        <v>462708.22725096997</v>
      </c>
      <c r="FW14" s="207">
        <f t="shared" si="34"/>
        <v>462708.22725096997</v>
      </c>
      <c r="FX14" s="207">
        <f t="shared" si="34"/>
        <v>462708.22725096997</v>
      </c>
      <c r="FY14" s="207">
        <f t="shared" si="34"/>
        <v>462708.22725096997</v>
      </c>
      <c r="FZ14" s="207">
        <f t="shared" si="34"/>
        <v>462708.22725096997</v>
      </c>
      <c r="GA14" s="207">
        <f t="shared" si="34"/>
        <v>462708.22725096997</v>
      </c>
      <c r="GB14" s="207">
        <f t="shared" si="34"/>
        <v>462708.22725096997</v>
      </c>
      <c r="GC14" s="207">
        <f t="shared" si="34"/>
        <v>462708.22725096997</v>
      </c>
      <c r="GD14" s="207">
        <f t="shared" si="34"/>
        <v>462708.22725096997</v>
      </c>
      <c r="GE14" s="207">
        <f t="shared" si="34"/>
        <v>462708.22725096997</v>
      </c>
      <c r="GF14" s="207">
        <f t="shared" si="34"/>
        <v>462708.22725096997</v>
      </c>
      <c r="GG14" s="207">
        <f t="shared" si="34"/>
        <v>462708.22725096997</v>
      </c>
      <c r="GH14" s="207">
        <f t="shared" si="34"/>
        <v>462708.22725096997</v>
      </c>
      <c r="GI14" s="207">
        <f t="shared" si="34"/>
        <v>462708.22725096997</v>
      </c>
      <c r="GJ14" s="207">
        <f t="shared" si="34"/>
        <v>462708.22725096997</v>
      </c>
      <c r="GK14" s="207">
        <f t="shared" si="34"/>
        <v>462708.22725096997</v>
      </c>
      <c r="GL14" s="207">
        <f t="shared" si="34"/>
        <v>462708.22725096997</v>
      </c>
      <c r="GM14" s="207">
        <f t="shared" si="34"/>
        <v>462708.22725096997</v>
      </c>
      <c r="GN14" s="207">
        <f t="shared" si="34"/>
        <v>462708.22725096997</v>
      </c>
      <c r="GO14" s="207">
        <f t="shared" si="34"/>
        <v>462708.22725096997</v>
      </c>
      <c r="GP14" s="207">
        <f t="shared" si="34"/>
        <v>462708.22725096997</v>
      </c>
      <c r="GQ14" s="207">
        <f t="shared" si="34"/>
        <v>462708.22725096997</v>
      </c>
      <c r="GR14" s="207">
        <f t="shared" si="34"/>
        <v>462708.22725096997</v>
      </c>
      <c r="GS14" s="207">
        <f t="shared" ref="GS14:JD14" si="35">GS10-GS12</f>
        <v>462708.22725096997</v>
      </c>
      <c r="GT14" s="207">
        <f t="shared" si="35"/>
        <v>462708.22725096997</v>
      </c>
      <c r="GU14" s="207">
        <f t="shared" si="35"/>
        <v>462708.22725096997</v>
      </c>
      <c r="GV14" s="207">
        <f t="shared" si="35"/>
        <v>462708.22725096997</v>
      </c>
      <c r="GW14" s="207">
        <f t="shared" si="35"/>
        <v>462708.22725096997</v>
      </c>
      <c r="GX14" s="207">
        <f t="shared" si="35"/>
        <v>462708.22725096997</v>
      </c>
      <c r="GY14" s="207">
        <f t="shared" si="35"/>
        <v>462708.22725096997</v>
      </c>
      <c r="GZ14" s="207">
        <f t="shared" si="35"/>
        <v>462708.22725096997</v>
      </c>
      <c r="HA14" s="207">
        <f t="shared" si="35"/>
        <v>462708.22725096997</v>
      </c>
      <c r="HB14" s="207">
        <f t="shared" si="35"/>
        <v>462708.22725096997</v>
      </c>
      <c r="HC14" s="207">
        <f t="shared" si="35"/>
        <v>462708.22725096997</v>
      </c>
      <c r="HD14" s="207">
        <f t="shared" si="35"/>
        <v>462708.22725096997</v>
      </c>
      <c r="HE14" s="207">
        <f t="shared" si="35"/>
        <v>462708.22725096997</v>
      </c>
      <c r="HF14" s="207">
        <f t="shared" si="35"/>
        <v>462708.22725096997</v>
      </c>
      <c r="HG14" s="207">
        <f t="shared" si="35"/>
        <v>462708.22725096997</v>
      </c>
      <c r="HH14" s="207">
        <f t="shared" si="35"/>
        <v>462708.22725096997</v>
      </c>
      <c r="HI14" s="207">
        <f t="shared" si="35"/>
        <v>462708.22725096997</v>
      </c>
      <c r="HJ14" s="207">
        <f t="shared" si="35"/>
        <v>462708.22725096997</v>
      </c>
      <c r="HK14" s="207">
        <f t="shared" si="35"/>
        <v>462708.22725096997</v>
      </c>
      <c r="HL14" s="207">
        <f t="shared" si="35"/>
        <v>462708.22725096997</v>
      </c>
      <c r="HM14" s="207">
        <f t="shared" si="35"/>
        <v>462708.22725096997</v>
      </c>
      <c r="HN14" s="207">
        <f t="shared" si="35"/>
        <v>462708.22725096997</v>
      </c>
      <c r="HO14" s="207">
        <f t="shared" si="35"/>
        <v>462708.22725096997</v>
      </c>
      <c r="HP14" s="207">
        <f t="shared" si="35"/>
        <v>462708.22725096997</v>
      </c>
      <c r="HQ14" s="207">
        <f t="shared" si="35"/>
        <v>462708.22725096997</v>
      </c>
      <c r="HR14" s="207">
        <f t="shared" si="35"/>
        <v>462708.22725096997</v>
      </c>
      <c r="HS14" s="207">
        <f t="shared" si="35"/>
        <v>462708.22725096997</v>
      </c>
      <c r="HT14" s="207">
        <f t="shared" si="35"/>
        <v>462708.22725096997</v>
      </c>
      <c r="HU14" s="207">
        <f t="shared" si="35"/>
        <v>462708.22725096997</v>
      </c>
      <c r="HV14" s="207">
        <f t="shared" si="35"/>
        <v>462708.22725096997</v>
      </c>
      <c r="HW14" s="207">
        <f t="shared" si="35"/>
        <v>462708.22725096997</v>
      </c>
      <c r="HX14" s="207">
        <f t="shared" si="35"/>
        <v>462708.22725096997</v>
      </c>
      <c r="HY14" s="207">
        <f t="shared" si="35"/>
        <v>462708.22725096997</v>
      </c>
      <c r="HZ14" s="207">
        <f t="shared" si="35"/>
        <v>462708.22725096997</v>
      </c>
      <c r="IA14" s="207">
        <f t="shared" si="35"/>
        <v>462708.22725096997</v>
      </c>
      <c r="IB14" s="207">
        <f t="shared" si="35"/>
        <v>462708.22725096997</v>
      </c>
      <c r="IC14" s="207">
        <f t="shared" si="35"/>
        <v>462708.22725096997</v>
      </c>
      <c r="ID14" s="207">
        <f t="shared" si="35"/>
        <v>462708.22725096997</v>
      </c>
      <c r="IE14" s="207">
        <f t="shared" si="35"/>
        <v>462708.22725096997</v>
      </c>
      <c r="IF14" s="207">
        <f t="shared" si="35"/>
        <v>462708.22725096997</v>
      </c>
      <c r="IG14" s="207">
        <f t="shared" si="35"/>
        <v>462708.22725096997</v>
      </c>
      <c r="IH14" s="207">
        <f t="shared" si="35"/>
        <v>462708.22725096997</v>
      </c>
      <c r="II14" s="207">
        <f t="shared" si="35"/>
        <v>462708.22725096997</v>
      </c>
      <c r="IJ14" s="207">
        <f t="shared" si="35"/>
        <v>462708.22725096997</v>
      </c>
      <c r="IK14" s="207">
        <f t="shared" si="35"/>
        <v>462708.22725096997</v>
      </c>
      <c r="IL14" s="207">
        <f t="shared" si="35"/>
        <v>462708.22725096997</v>
      </c>
      <c r="IM14" s="207">
        <f t="shared" si="35"/>
        <v>462708.22725096997</v>
      </c>
      <c r="IN14" s="207">
        <f t="shared" si="35"/>
        <v>462708.22725096997</v>
      </c>
      <c r="IO14" s="207">
        <f t="shared" si="35"/>
        <v>462708.22725096997</v>
      </c>
      <c r="IP14" s="207">
        <f t="shared" si="35"/>
        <v>462708.22725096997</v>
      </c>
      <c r="IQ14" s="207">
        <f t="shared" si="35"/>
        <v>462708.22725096997</v>
      </c>
      <c r="IR14" s="207">
        <f t="shared" si="35"/>
        <v>462708.22725096997</v>
      </c>
      <c r="IS14" s="207">
        <f t="shared" si="35"/>
        <v>462708.22725096997</v>
      </c>
      <c r="IT14" s="207">
        <f t="shared" si="35"/>
        <v>462708.22725096997</v>
      </c>
      <c r="IU14" s="207">
        <f t="shared" si="35"/>
        <v>462708.22725096997</v>
      </c>
      <c r="IV14" s="207">
        <f t="shared" si="35"/>
        <v>462708.22725096997</v>
      </c>
      <c r="IW14" s="207">
        <f t="shared" si="35"/>
        <v>462708.22725096997</v>
      </c>
      <c r="IX14" s="207">
        <f t="shared" si="35"/>
        <v>462708.22725096997</v>
      </c>
      <c r="IY14" s="207">
        <f t="shared" si="35"/>
        <v>462708.22725096997</v>
      </c>
      <c r="IZ14" s="207">
        <f t="shared" si="35"/>
        <v>462708.22725096997</v>
      </c>
      <c r="JA14" s="207">
        <f t="shared" si="35"/>
        <v>462708.22725096997</v>
      </c>
      <c r="JB14" s="207">
        <f t="shared" si="35"/>
        <v>462708.22725096997</v>
      </c>
      <c r="JC14" s="207">
        <f t="shared" si="35"/>
        <v>462708.22725096997</v>
      </c>
      <c r="JD14" s="207">
        <f t="shared" si="35"/>
        <v>462708.22725096997</v>
      </c>
      <c r="JE14" s="207">
        <f t="shared" ref="JE14:LD14" si="36">JE10-JE12</f>
        <v>462708.22725096997</v>
      </c>
      <c r="JF14" s="207">
        <f t="shared" si="36"/>
        <v>462708.22725096997</v>
      </c>
      <c r="JG14" s="207">
        <f t="shared" si="36"/>
        <v>462708.22725096997</v>
      </c>
      <c r="JH14" s="207">
        <f t="shared" si="36"/>
        <v>462708.22725096997</v>
      </c>
      <c r="JI14" s="207">
        <f t="shared" si="36"/>
        <v>462708.22725096997</v>
      </c>
      <c r="JJ14" s="207">
        <f t="shared" si="36"/>
        <v>462708.22725096997</v>
      </c>
      <c r="JK14" s="207">
        <f t="shared" si="36"/>
        <v>462708.22725096997</v>
      </c>
      <c r="JL14" s="207">
        <f t="shared" si="36"/>
        <v>462708.22725096997</v>
      </c>
      <c r="JM14" s="207">
        <f t="shared" si="36"/>
        <v>462708.22725096997</v>
      </c>
      <c r="JN14" s="207">
        <f t="shared" si="36"/>
        <v>462708.22725096997</v>
      </c>
      <c r="JO14" s="207">
        <f t="shared" si="36"/>
        <v>462708.22725096997</v>
      </c>
      <c r="JP14" s="207">
        <f t="shared" si="36"/>
        <v>462708.22725096997</v>
      </c>
      <c r="JQ14" s="207">
        <f t="shared" si="36"/>
        <v>462708.22725096997</v>
      </c>
      <c r="JR14" s="207">
        <f t="shared" si="36"/>
        <v>462708.22725096997</v>
      </c>
      <c r="JS14" s="207">
        <f t="shared" si="36"/>
        <v>462708.22725096997</v>
      </c>
      <c r="JT14" s="207">
        <f t="shared" si="36"/>
        <v>462708.22725096997</v>
      </c>
      <c r="JU14" s="207">
        <f t="shared" si="36"/>
        <v>462708.22725096997</v>
      </c>
      <c r="JV14" s="207">
        <f t="shared" si="36"/>
        <v>462708.22725096997</v>
      </c>
      <c r="JW14" s="207">
        <f t="shared" si="36"/>
        <v>462708.22725096997</v>
      </c>
      <c r="JX14" s="207">
        <f t="shared" si="36"/>
        <v>462708.22725096997</v>
      </c>
      <c r="JY14" s="207">
        <f t="shared" si="36"/>
        <v>462708.22725096997</v>
      </c>
      <c r="JZ14" s="207">
        <f t="shared" si="36"/>
        <v>462708.22725096997</v>
      </c>
      <c r="KA14" s="207">
        <f t="shared" si="36"/>
        <v>462708.22725096997</v>
      </c>
      <c r="KB14" s="207">
        <f t="shared" si="36"/>
        <v>462708.22725096997</v>
      </c>
      <c r="KC14" s="207">
        <f t="shared" si="36"/>
        <v>462708.22725096997</v>
      </c>
      <c r="KD14" s="207">
        <f t="shared" si="36"/>
        <v>462708.22725096997</v>
      </c>
      <c r="KE14" s="207">
        <f t="shared" si="36"/>
        <v>462708.22725096997</v>
      </c>
      <c r="KF14" s="207">
        <f t="shared" si="36"/>
        <v>462708.22725096997</v>
      </c>
      <c r="KG14" s="207">
        <f t="shared" si="36"/>
        <v>462708.22725096997</v>
      </c>
      <c r="KH14" s="207">
        <f t="shared" si="36"/>
        <v>462708.22725096997</v>
      </c>
      <c r="KI14" s="207">
        <f t="shared" si="36"/>
        <v>462708.22725096997</v>
      </c>
      <c r="KJ14" s="207">
        <f t="shared" si="36"/>
        <v>462708.22725096997</v>
      </c>
      <c r="KK14" s="207">
        <f t="shared" si="36"/>
        <v>462708.22725096997</v>
      </c>
      <c r="KL14" s="207">
        <f t="shared" si="36"/>
        <v>462708.22725096997</v>
      </c>
      <c r="KM14" s="207">
        <f t="shared" si="36"/>
        <v>462708.22725096997</v>
      </c>
      <c r="KN14" s="207">
        <f t="shared" si="36"/>
        <v>462708.22725096997</v>
      </c>
      <c r="KO14" s="207">
        <f t="shared" si="36"/>
        <v>462708.22725096997</v>
      </c>
      <c r="KP14" s="207">
        <f t="shared" si="36"/>
        <v>462708.22725096997</v>
      </c>
      <c r="KQ14" s="207">
        <f t="shared" si="36"/>
        <v>462708.22725096997</v>
      </c>
      <c r="KR14" s="207">
        <f t="shared" si="36"/>
        <v>462708.22725096997</v>
      </c>
      <c r="KS14" s="207">
        <f t="shared" si="36"/>
        <v>462708.22725096997</v>
      </c>
      <c r="KT14" s="207">
        <f t="shared" si="36"/>
        <v>462708.22725096997</v>
      </c>
      <c r="KU14" s="207">
        <f t="shared" si="36"/>
        <v>462708.22725096997</v>
      </c>
      <c r="KV14" s="207">
        <f t="shared" si="36"/>
        <v>462708.22725096997</v>
      </c>
      <c r="KW14" s="207">
        <f t="shared" si="36"/>
        <v>462708.22725096997</v>
      </c>
      <c r="KX14" s="207">
        <f t="shared" si="36"/>
        <v>462708.22725096997</v>
      </c>
      <c r="KY14" s="207">
        <f t="shared" si="36"/>
        <v>462708.22725096997</v>
      </c>
      <c r="KZ14" s="207">
        <f t="shared" si="36"/>
        <v>462708.22725096997</v>
      </c>
      <c r="LA14" s="207">
        <f t="shared" si="36"/>
        <v>462708.22725096997</v>
      </c>
      <c r="LB14" s="207">
        <f t="shared" si="36"/>
        <v>462708.22725096997</v>
      </c>
      <c r="LC14" s="207">
        <f t="shared" si="36"/>
        <v>462708.22725096997</v>
      </c>
      <c r="LD14" s="207">
        <f t="shared" si="36"/>
        <v>462708.22725096997</v>
      </c>
    </row>
    <row r="15" spans="1:794" s="191" customFormat="1"/>
    <row r="16" spans="1:794" s="191" customFormat="1">
      <c r="C16" s="193" t="s">
        <v>234</v>
      </c>
      <c r="D16" s="193" t="s">
        <v>234</v>
      </c>
    </row>
    <row r="17" spans="1:316">
      <c r="A17" s="799"/>
      <c r="B17" s="195" t="s">
        <v>406</v>
      </c>
      <c r="C17" s="375">
        <f>C3-D17</f>
        <v>1570.6138171809725</v>
      </c>
      <c r="D17" s="196">
        <f>SUM(F17:LD17)</f>
        <v>3398535.386182819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0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178695.31453451441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0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799"/>
      <c r="B18" s="195" t="s">
        <v>407</v>
      </c>
      <c r="C18" s="375">
        <f>D17-D18</f>
        <v>0</v>
      </c>
      <c r="D18" s="196">
        <f>MAX(F18:LD18)</f>
        <v>3398535.386182819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3219840.0716483048</v>
      </c>
      <c r="BH18" s="214">
        <f t="shared" si="37"/>
        <v>3219840.0716483048</v>
      </c>
      <c r="BI18" s="214">
        <f t="shared" si="37"/>
        <v>3219840.0716483048</v>
      </c>
      <c r="BJ18" s="214">
        <f t="shared" si="37"/>
        <v>3219840.0716483048</v>
      </c>
      <c r="BK18" s="214">
        <f t="shared" si="37"/>
        <v>3398535.386182819</v>
      </c>
      <c r="BL18" s="214">
        <f t="shared" si="37"/>
        <v>3398535.386182819</v>
      </c>
      <c r="BM18" s="214">
        <f t="shared" si="37"/>
        <v>3398535.386182819</v>
      </c>
      <c r="BN18" s="214">
        <f t="shared" si="37"/>
        <v>3398535.386182819</v>
      </c>
      <c r="BO18" s="214">
        <f t="shared" si="37"/>
        <v>3398535.386182819</v>
      </c>
      <c r="BP18" s="214">
        <f t="shared" si="37"/>
        <v>3398535.386182819</v>
      </c>
      <c r="BQ18" s="214">
        <f t="shared" si="37"/>
        <v>3398535.386182819</v>
      </c>
      <c r="BR18" s="214">
        <f t="shared" si="37"/>
        <v>3398535.386182819</v>
      </c>
      <c r="BS18" s="214">
        <f t="shared" si="37"/>
        <v>3398535.386182819</v>
      </c>
      <c r="BT18" s="214">
        <f t="shared" si="37"/>
        <v>3398535.386182819</v>
      </c>
      <c r="BU18" s="214">
        <f t="shared" ref="BU18:EF18" si="38">BT18+BU17</f>
        <v>3398535.386182819</v>
      </c>
      <c r="BV18" s="214">
        <f t="shared" si="38"/>
        <v>3398535.386182819</v>
      </c>
      <c r="BW18" s="214">
        <f t="shared" si="38"/>
        <v>3398535.386182819</v>
      </c>
      <c r="BX18" s="214">
        <f t="shared" si="38"/>
        <v>3398535.386182819</v>
      </c>
      <c r="BY18" s="214">
        <f t="shared" si="38"/>
        <v>3398535.386182819</v>
      </c>
      <c r="BZ18" s="214">
        <f t="shared" si="38"/>
        <v>3398535.386182819</v>
      </c>
      <c r="CA18" s="214">
        <f t="shared" si="38"/>
        <v>3398535.386182819</v>
      </c>
      <c r="CB18" s="214">
        <f t="shared" si="38"/>
        <v>3398535.386182819</v>
      </c>
      <c r="CC18" s="214">
        <f t="shared" si="38"/>
        <v>3398535.386182819</v>
      </c>
      <c r="CD18" s="214">
        <f t="shared" si="38"/>
        <v>3398535.386182819</v>
      </c>
      <c r="CE18" s="214">
        <f t="shared" si="38"/>
        <v>3398535.386182819</v>
      </c>
      <c r="CF18" s="214">
        <f t="shared" si="38"/>
        <v>3398535.386182819</v>
      </c>
      <c r="CG18" s="214">
        <f t="shared" si="38"/>
        <v>3398535.386182819</v>
      </c>
      <c r="CH18" s="214">
        <f t="shared" si="38"/>
        <v>3398535.386182819</v>
      </c>
      <c r="CI18" s="214">
        <f t="shared" si="38"/>
        <v>3398535.386182819</v>
      </c>
      <c r="CJ18" s="214">
        <f t="shared" si="38"/>
        <v>3398535.386182819</v>
      </c>
      <c r="CK18" s="214">
        <f t="shared" si="38"/>
        <v>3398535.386182819</v>
      </c>
      <c r="CL18" s="214">
        <f t="shared" si="38"/>
        <v>3398535.386182819</v>
      </c>
      <c r="CM18" s="214">
        <f t="shared" si="38"/>
        <v>3398535.386182819</v>
      </c>
      <c r="CN18" s="214">
        <f t="shared" si="38"/>
        <v>3398535.386182819</v>
      </c>
      <c r="CO18" s="214">
        <f t="shared" si="38"/>
        <v>3398535.386182819</v>
      </c>
      <c r="CP18" s="214">
        <f t="shared" si="38"/>
        <v>3398535.386182819</v>
      </c>
      <c r="CQ18" s="214">
        <f t="shared" si="38"/>
        <v>3398535.386182819</v>
      </c>
      <c r="CR18" s="214">
        <f t="shared" si="38"/>
        <v>3398535.386182819</v>
      </c>
      <c r="CS18" s="214">
        <f t="shared" si="38"/>
        <v>3398535.386182819</v>
      </c>
      <c r="CT18" s="214">
        <f t="shared" si="38"/>
        <v>3398535.386182819</v>
      </c>
      <c r="CU18" s="214">
        <f t="shared" si="38"/>
        <v>3398535.386182819</v>
      </c>
      <c r="CV18" s="214">
        <f t="shared" si="38"/>
        <v>3398535.386182819</v>
      </c>
      <c r="CW18" s="214">
        <f t="shared" si="38"/>
        <v>3398535.386182819</v>
      </c>
      <c r="CX18" s="214">
        <f t="shared" si="38"/>
        <v>3398535.386182819</v>
      </c>
      <c r="CY18" s="214">
        <f t="shared" si="38"/>
        <v>3398535.386182819</v>
      </c>
      <c r="CZ18" s="214">
        <f t="shared" si="38"/>
        <v>3398535.386182819</v>
      </c>
      <c r="DA18" s="214">
        <f t="shared" si="38"/>
        <v>3398535.386182819</v>
      </c>
      <c r="DB18" s="214">
        <f t="shared" si="38"/>
        <v>3398535.386182819</v>
      </c>
      <c r="DC18" s="214">
        <f t="shared" si="38"/>
        <v>3398535.386182819</v>
      </c>
      <c r="DD18" s="214">
        <f t="shared" si="38"/>
        <v>3398535.386182819</v>
      </c>
      <c r="DE18" s="214">
        <f t="shared" si="38"/>
        <v>3398535.386182819</v>
      </c>
      <c r="DF18" s="214">
        <f t="shared" si="38"/>
        <v>3398535.386182819</v>
      </c>
      <c r="DG18" s="214">
        <f t="shared" si="38"/>
        <v>3398535.386182819</v>
      </c>
      <c r="DH18" s="214">
        <f t="shared" si="38"/>
        <v>3398535.386182819</v>
      </c>
      <c r="DI18" s="214">
        <f t="shared" si="38"/>
        <v>3398535.386182819</v>
      </c>
      <c r="DJ18" s="214">
        <f t="shared" si="38"/>
        <v>3398535.386182819</v>
      </c>
      <c r="DK18" s="214">
        <f t="shared" si="38"/>
        <v>3398535.386182819</v>
      </c>
      <c r="DL18" s="214">
        <f t="shared" si="38"/>
        <v>3398535.386182819</v>
      </c>
      <c r="DM18" s="214">
        <f t="shared" si="38"/>
        <v>3398535.386182819</v>
      </c>
      <c r="DN18" s="214">
        <f t="shared" si="38"/>
        <v>3398535.386182819</v>
      </c>
      <c r="DO18" s="214">
        <f t="shared" si="38"/>
        <v>3398535.386182819</v>
      </c>
      <c r="DP18" s="214">
        <f t="shared" si="38"/>
        <v>3398535.386182819</v>
      </c>
      <c r="DQ18" s="214">
        <f t="shared" si="38"/>
        <v>3398535.386182819</v>
      </c>
      <c r="DR18" s="214">
        <f t="shared" si="38"/>
        <v>3398535.386182819</v>
      </c>
      <c r="DS18" s="214">
        <f t="shared" si="38"/>
        <v>3398535.386182819</v>
      </c>
      <c r="DT18" s="214">
        <f t="shared" si="38"/>
        <v>3398535.386182819</v>
      </c>
      <c r="DU18" s="214">
        <f t="shared" si="38"/>
        <v>3398535.386182819</v>
      </c>
      <c r="DV18" s="214">
        <f t="shared" si="38"/>
        <v>3398535.386182819</v>
      </c>
      <c r="DW18" s="214">
        <f t="shared" si="38"/>
        <v>3398535.386182819</v>
      </c>
      <c r="DX18" s="214">
        <f t="shared" si="38"/>
        <v>3398535.386182819</v>
      </c>
      <c r="DY18" s="214">
        <f t="shared" si="38"/>
        <v>3398535.386182819</v>
      </c>
      <c r="DZ18" s="214">
        <f t="shared" si="38"/>
        <v>3398535.386182819</v>
      </c>
      <c r="EA18" s="214">
        <f t="shared" si="38"/>
        <v>3398535.386182819</v>
      </c>
      <c r="EB18" s="214">
        <f t="shared" si="38"/>
        <v>3398535.386182819</v>
      </c>
      <c r="EC18" s="214">
        <f t="shared" si="38"/>
        <v>3398535.386182819</v>
      </c>
      <c r="ED18" s="214">
        <f t="shared" si="38"/>
        <v>3398535.386182819</v>
      </c>
      <c r="EE18" s="214">
        <f t="shared" si="38"/>
        <v>3398535.386182819</v>
      </c>
      <c r="EF18" s="214">
        <f t="shared" si="38"/>
        <v>3398535.386182819</v>
      </c>
      <c r="EG18" s="214">
        <f t="shared" ref="EG18:GR18" si="39">EF18+EG17</f>
        <v>3398535.386182819</v>
      </c>
      <c r="EH18" s="214">
        <f t="shared" si="39"/>
        <v>3398535.386182819</v>
      </c>
      <c r="EI18" s="214">
        <f t="shared" si="39"/>
        <v>3398535.386182819</v>
      </c>
      <c r="EJ18" s="214">
        <f t="shared" si="39"/>
        <v>3398535.386182819</v>
      </c>
      <c r="EK18" s="214">
        <f t="shared" si="39"/>
        <v>3398535.386182819</v>
      </c>
      <c r="EL18" s="214">
        <f t="shared" si="39"/>
        <v>3398535.386182819</v>
      </c>
      <c r="EM18" s="214">
        <f t="shared" si="39"/>
        <v>3398535.386182819</v>
      </c>
      <c r="EN18" s="214">
        <f t="shared" si="39"/>
        <v>3398535.386182819</v>
      </c>
      <c r="EO18" s="214">
        <f t="shared" si="39"/>
        <v>3398535.386182819</v>
      </c>
      <c r="EP18" s="214">
        <f t="shared" si="39"/>
        <v>3398535.386182819</v>
      </c>
      <c r="EQ18" s="214">
        <f t="shared" si="39"/>
        <v>3398535.386182819</v>
      </c>
      <c r="ER18" s="214">
        <f t="shared" si="39"/>
        <v>3398535.386182819</v>
      </c>
      <c r="ES18" s="214">
        <f t="shared" si="39"/>
        <v>3398535.386182819</v>
      </c>
      <c r="ET18" s="214">
        <f t="shared" si="39"/>
        <v>3398535.386182819</v>
      </c>
      <c r="EU18" s="214">
        <f t="shared" si="39"/>
        <v>3398535.386182819</v>
      </c>
      <c r="EV18" s="214">
        <f t="shared" si="39"/>
        <v>3398535.386182819</v>
      </c>
      <c r="EW18" s="214">
        <f t="shared" si="39"/>
        <v>3398535.386182819</v>
      </c>
      <c r="EX18" s="214">
        <f t="shared" si="39"/>
        <v>3398535.386182819</v>
      </c>
      <c r="EY18" s="214">
        <f t="shared" si="39"/>
        <v>3398535.386182819</v>
      </c>
      <c r="EZ18" s="214">
        <f t="shared" si="39"/>
        <v>3398535.386182819</v>
      </c>
      <c r="FA18" s="214">
        <f t="shared" si="39"/>
        <v>3398535.386182819</v>
      </c>
      <c r="FB18" s="214">
        <f t="shared" si="39"/>
        <v>3398535.386182819</v>
      </c>
      <c r="FC18" s="214">
        <f t="shared" si="39"/>
        <v>3398535.386182819</v>
      </c>
      <c r="FD18" s="214">
        <f t="shared" si="39"/>
        <v>3398535.386182819</v>
      </c>
      <c r="FE18" s="214">
        <f t="shared" si="39"/>
        <v>3398535.386182819</v>
      </c>
      <c r="FF18" s="214">
        <f t="shared" si="39"/>
        <v>3398535.386182819</v>
      </c>
      <c r="FG18" s="214">
        <f t="shared" si="39"/>
        <v>3398535.386182819</v>
      </c>
      <c r="FH18" s="214">
        <f t="shared" si="39"/>
        <v>3398535.386182819</v>
      </c>
      <c r="FI18" s="214">
        <f t="shared" si="39"/>
        <v>3398535.386182819</v>
      </c>
      <c r="FJ18" s="214">
        <f t="shared" si="39"/>
        <v>3398535.386182819</v>
      </c>
      <c r="FK18" s="214">
        <f t="shared" si="39"/>
        <v>3398535.386182819</v>
      </c>
      <c r="FL18" s="214">
        <f t="shared" si="39"/>
        <v>3398535.386182819</v>
      </c>
      <c r="FM18" s="214">
        <f t="shared" si="39"/>
        <v>3398535.386182819</v>
      </c>
      <c r="FN18" s="214">
        <f t="shared" si="39"/>
        <v>3398535.386182819</v>
      </c>
      <c r="FO18" s="214">
        <f t="shared" si="39"/>
        <v>3398535.386182819</v>
      </c>
      <c r="FP18" s="214">
        <f t="shared" si="39"/>
        <v>3398535.386182819</v>
      </c>
      <c r="FQ18" s="214">
        <f t="shared" si="39"/>
        <v>3398535.386182819</v>
      </c>
      <c r="FR18" s="214">
        <f t="shared" si="39"/>
        <v>3398535.386182819</v>
      </c>
      <c r="FS18" s="214">
        <f t="shared" si="39"/>
        <v>3398535.386182819</v>
      </c>
      <c r="FT18" s="214">
        <f t="shared" si="39"/>
        <v>3398535.386182819</v>
      </c>
      <c r="FU18" s="214">
        <f t="shared" si="39"/>
        <v>3398535.386182819</v>
      </c>
      <c r="FV18" s="214">
        <f t="shared" si="39"/>
        <v>3398535.386182819</v>
      </c>
      <c r="FW18" s="214">
        <f t="shared" si="39"/>
        <v>3398535.386182819</v>
      </c>
      <c r="FX18" s="214">
        <f t="shared" si="39"/>
        <v>3398535.386182819</v>
      </c>
      <c r="FY18" s="214">
        <f t="shared" si="39"/>
        <v>3398535.386182819</v>
      </c>
      <c r="FZ18" s="214">
        <f t="shared" si="39"/>
        <v>3398535.386182819</v>
      </c>
      <c r="GA18" s="214">
        <f t="shared" si="39"/>
        <v>3398535.386182819</v>
      </c>
      <c r="GB18" s="214">
        <f t="shared" si="39"/>
        <v>3398535.386182819</v>
      </c>
      <c r="GC18" s="214">
        <f t="shared" si="39"/>
        <v>3398535.386182819</v>
      </c>
      <c r="GD18" s="214">
        <f t="shared" si="39"/>
        <v>3398535.386182819</v>
      </c>
      <c r="GE18" s="214">
        <f t="shared" si="39"/>
        <v>3398535.386182819</v>
      </c>
      <c r="GF18" s="214">
        <f t="shared" si="39"/>
        <v>3398535.386182819</v>
      </c>
      <c r="GG18" s="214">
        <f t="shared" si="39"/>
        <v>3398535.386182819</v>
      </c>
      <c r="GH18" s="214">
        <f t="shared" si="39"/>
        <v>3398535.386182819</v>
      </c>
      <c r="GI18" s="214">
        <f t="shared" si="39"/>
        <v>3398535.386182819</v>
      </c>
      <c r="GJ18" s="214">
        <f t="shared" si="39"/>
        <v>3398535.386182819</v>
      </c>
      <c r="GK18" s="214">
        <f t="shared" si="39"/>
        <v>3398535.386182819</v>
      </c>
      <c r="GL18" s="214">
        <f t="shared" si="39"/>
        <v>3398535.386182819</v>
      </c>
      <c r="GM18" s="214">
        <f t="shared" si="39"/>
        <v>3398535.386182819</v>
      </c>
      <c r="GN18" s="214">
        <f t="shared" si="39"/>
        <v>3398535.386182819</v>
      </c>
      <c r="GO18" s="214">
        <f t="shared" si="39"/>
        <v>3398535.386182819</v>
      </c>
      <c r="GP18" s="214">
        <f t="shared" si="39"/>
        <v>3398535.386182819</v>
      </c>
      <c r="GQ18" s="214">
        <f t="shared" si="39"/>
        <v>3398535.386182819</v>
      </c>
      <c r="GR18" s="214">
        <f t="shared" si="39"/>
        <v>3398535.386182819</v>
      </c>
      <c r="GS18" s="214">
        <f t="shared" ref="GS18:JD18" si="40">GR18+GS17</f>
        <v>3398535.386182819</v>
      </c>
      <c r="GT18" s="214">
        <f t="shared" si="40"/>
        <v>3398535.386182819</v>
      </c>
      <c r="GU18" s="214">
        <f t="shared" si="40"/>
        <v>3398535.386182819</v>
      </c>
      <c r="GV18" s="214">
        <f t="shared" si="40"/>
        <v>3398535.386182819</v>
      </c>
      <c r="GW18" s="214">
        <f t="shared" si="40"/>
        <v>3398535.386182819</v>
      </c>
      <c r="GX18" s="214">
        <f t="shared" si="40"/>
        <v>3398535.386182819</v>
      </c>
      <c r="GY18" s="214">
        <f t="shared" si="40"/>
        <v>3398535.386182819</v>
      </c>
      <c r="GZ18" s="214">
        <f t="shared" si="40"/>
        <v>3398535.386182819</v>
      </c>
      <c r="HA18" s="214">
        <f t="shared" si="40"/>
        <v>3398535.386182819</v>
      </c>
      <c r="HB18" s="214">
        <f t="shared" si="40"/>
        <v>3398535.386182819</v>
      </c>
      <c r="HC18" s="214">
        <f t="shared" si="40"/>
        <v>3398535.386182819</v>
      </c>
      <c r="HD18" s="214">
        <f t="shared" si="40"/>
        <v>3398535.386182819</v>
      </c>
      <c r="HE18" s="214">
        <f t="shared" si="40"/>
        <v>3398535.386182819</v>
      </c>
      <c r="HF18" s="214">
        <f t="shared" si="40"/>
        <v>3398535.386182819</v>
      </c>
      <c r="HG18" s="214">
        <f t="shared" si="40"/>
        <v>3398535.386182819</v>
      </c>
      <c r="HH18" s="214">
        <f t="shared" si="40"/>
        <v>3398535.386182819</v>
      </c>
      <c r="HI18" s="214">
        <f t="shared" si="40"/>
        <v>3398535.386182819</v>
      </c>
      <c r="HJ18" s="214">
        <f t="shared" si="40"/>
        <v>3398535.386182819</v>
      </c>
      <c r="HK18" s="214">
        <f t="shared" si="40"/>
        <v>3398535.386182819</v>
      </c>
      <c r="HL18" s="214">
        <f t="shared" si="40"/>
        <v>3398535.386182819</v>
      </c>
      <c r="HM18" s="214">
        <f t="shared" si="40"/>
        <v>3398535.386182819</v>
      </c>
      <c r="HN18" s="214">
        <f t="shared" si="40"/>
        <v>3398535.386182819</v>
      </c>
      <c r="HO18" s="214">
        <f t="shared" si="40"/>
        <v>3398535.386182819</v>
      </c>
      <c r="HP18" s="214">
        <f t="shared" si="40"/>
        <v>3398535.386182819</v>
      </c>
      <c r="HQ18" s="214">
        <f t="shared" si="40"/>
        <v>3398535.386182819</v>
      </c>
      <c r="HR18" s="214">
        <f t="shared" si="40"/>
        <v>3398535.386182819</v>
      </c>
      <c r="HS18" s="214">
        <f t="shared" si="40"/>
        <v>3398535.386182819</v>
      </c>
      <c r="HT18" s="214">
        <f t="shared" si="40"/>
        <v>3398535.386182819</v>
      </c>
      <c r="HU18" s="214">
        <f t="shared" si="40"/>
        <v>3398535.386182819</v>
      </c>
      <c r="HV18" s="214">
        <f t="shared" si="40"/>
        <v>3398535.386182819</v>
      </c>
      <c r="HW18" s="214">
        <f t="shared" si="40"/>
        <v>3398535.386182819</v>
      </c>
      <c r="HX18" s="214">
        <f t="shared" si="40"/>
        <v>3398535.386182819</v>
      </c>
      <c r="HY18" s="214">
        <f t="shared" si="40"/>
        <v>3398535.386182819</v>
      </c>
      <c r="HZ18" s="214">
        <f t="shared" si="40"/>
        <v>3398535.386182819</v>
      </c>
      <c r="IA18" s="214">
        <f t="shared" si="40"/>
        <v>3398535.386182819</v>
      </c>
      <c r="IB18" s="214">
        <f t="shared" si="40"/>
        <v>3398535.386182819</v>
      </c>
      <c r="IC18" s="214">
        <f t="shared" si="40"/>
        <v>3398535.386182819</v>
      </c>
      <c r="ID18" s="214">
        <f t="shared" si="40"/>
        <v>3398535.386182819</v>
      </c>
      <c r="IE18" s="214">
        <f t="shared" si="40"/>
        <v>3398535.386182819</v>
      </c>
      <c r="IF18" s="214">
        <f t="shared" si="40"/>
        <v>3398535.386182819</v>
      </c>
      <c r="IG18" s="214">
        <f t="shared" si="40"/>
        <v>3398535.386182819</v>
      </c>
      <c r="IH18" s="214">
        <f t="shared" si="40"/>
        <v>3398535.386182819</v>
      </c>
      <c r="II18" s="214">
        <f t="shared" si="40"/>
        <v>3398535.386182819</v>
      </c>
      <c r="IJ18" s="214">
        <f t="shared" si="40"/>
        <v>3398535.386182819</v>
      </c>
      <c r="IK18" s="214">
        <f t="shared" si="40"/>
        <v>3398535.386182819</v>
      </c>
      <c r="IL18" s="214">
        <f t="shared" si="40"/>
        <v>3398535.386182819</v>
      </c>
      <c r="IM18" s="214">
        <f t="shared" si="40"/>
        <v>3398535.386182819</v>
      </c>
      <c r="IN18" s="214">
        <f t="shared" si="40"/>
        <v>3398535.386182819</v>
      </c>
      <c r="IO18" s="214">
        <f t="shared" si="40"/>
        <v>3398535.386182819</v>
      </c>
      <c r="IP18" s="214">
        <f t="shared" si="40"/>
        <v>3398535.386182819</v>
      </c>
      <c r="IQ18" s="214">
        <f t="shared" si="40"/>
        <v>3398535.386182819</v>
      </c>
      <c r="IR18" s="214">
        <f t="shared" si="40"/>
        <v>3398535.386182819</v>
      </c>
      <c r="IS18" s="214">
        <f t="shared" si="40"/>
        <v>3398535.386182819</v>
      </c>
      <c r="IT18" s="214">
        <f t="shared" si="40"/>
        <v>3398535.386182819</v>
      </c>
      <c r="IU18" s="214">
        <f t="shared" si="40"/>
        <v>3398535.386182819</v>
      </c>
      <c r="IV18" s="214">
        <f t="shared" si="40"/>
        <v>3398535.386182819</v>
      </c>
      <c r="IW18" s="214">
        <f t="shared" si="40"/>
        <v>3398535.386182819</v>
      </c>
      <c r="IX18" s="214">
        <f t="shared" si="40"/>
        <v>3398535.386182819</v>
      </c>
      <c r="IY18" s="214">
        <f t="shared" si="40"/>
        <v>3398535.386182819</v>
      </c>
      <c r="IZ18" s="214">
        <f t="shared" si="40"/>
        <v>3398535.386182819</v>
      </c>
      <c r="JA18" s="214">
        <f t="shared" si="40"/>
        <v>3398535.386182819</v>
      </c>
      <c r="JB18" s="214">
        <f t="shared" si="40"/>
        <v>3398535.386182819</v>
      </c>
      <c r="JC18" s="214">
        <f t="shared" si="40"/>
        <v>3398535.386182819</v>
      </c>
      <c r="JD18" s="214">
        <f t="shared" si="40"/>
        <v>3398535.386182819</v>
      </c>
      <c r="JE18" s="214">
        <f t="shared" ref="JE18:LD18" si="41">JD18+JE17</f>
        <v>3398535.386182819</v>
      </c>
      <c r="JF18" s="214">
        <f t="shared" si="41"/>
        <v>3398535.386182819</v>
      </c>
      <c r="JG18" s="214">
        <f t="shared" si="41"/>
        <v>3398535.386182819</v>
      </c>
      <c r="JH18" s="214">
        <f t="shared" si="41"/>
        <v>3398535.386182819</v>
      </c>
      <c r="JI18" s="214">
        <f t="shared" si="41"/>
        <v>3398535.386182819</v>
      </c>
      <c r="JJ18" s="214">
        <f t="shared" si="41"/>
        <v>3398535.386182819</v>
      </c>
      <c r="JK18" s="214">
        <f t="shared" si="41"/>
        <v>3398535.386182819</v>
      </c>
      <c r="JL18" s="214">
        <f t="shared" si="41"/>
        <v>3398535.386182819</v>
      </c>
      <c r="JM18" s="214">
        <f t="shared" si="41"/>
        <v>3398535.386182819</v>
      </c>
      <c r="JN18" s="214">
        <f t="shared" si="41"/>
        <v>3398535.386182819</v>
      </c>
      <c r="JO18" s="214">
        <f t="shared" si="41"/>
        <v>3398535.386182819</v>
      </c>
      <c r="JP18" s="214">
        <f t="shared" si="41"/>
        <v>3398535.386182819</v>
      </c>
      <c r="JQ18" s="214">
        <f t="shared" si="41"/>
        <v>3398535.386182819</v>
      </c>
      <c r="JR18" s="214">
        <f t="shared" si="41"/>
        <v>3398535.386182819</v>
      </c>
      <c r="JS18" s="214">
        <f t="shared" si="41"/>
        <v>3398535.386182819</v>
      </c>
      <c r="JT18" s="214">
        <f t="shared" si="41"/>
        <v>3398535.386182819</v>
      </c>
      <c r="JU18" s="214">
        <f t="shared" si="41"/>
        <v>3398535.386182819</v>
      </c>
      <c r="JV18" s="214">
        <f t="shared" si="41"/>
        <v>3398535.386182819</v>
      </c>
      <c r="JW18" s="214">
        <f t="shared" si="41"/>
        <v>3398535.386182819</v>
      </c>
      <c r="JX18" s="214">
        <f t="shared" si="41"/>
        <v>3398535.386182819</v>
      </c>
      <c r="JY18" s="214">
        <f t="shared" si="41"/>
        <v>3398535.386182819</v>
      </c>
      <c r="JZ18" s="214">
        <f t="shared" si="41"/>
        <v>3398535.386182819</v>
      </c>
      <c r="KA18" s="214">
        <f t="shared" si="41"/>
        <v>3398535.386182819</v>
      </c>
      <c r="KB18" s="214">
        <f t="shared" si="41"/>
        <v>3398535.386182819</v>
      </c>
      <c r="KC18" s="214">
        <f t="shared" si="41"/>
        <v>3398535.386182819</v>
      </c>
      <c r="KD18" s="214">
        <f t="shared" si="41"/>
        <v>3398535.386182819</v>
      </c>
      <c r="KE18" s="214">
        <f t="shared" si="41"/>
        <v>3398535.386182819</v>
      </c>
      <c r="KF18" s="214">
        <f t="shared" si="41"/>
        <v>3398535.386182819</v>
      </c>
      <c r="KG18" s="214">
        <f t="shared" si="41"/>
        <v>3398535.386182819</v>
      </c>
      <c r="KH18" s="214">
        <f t="shared" si="41"/>
        <v>3398535.386182819</v>
      </c>
      <c r="KI18" s="214">
        <f t="shared" si="41"/>
        <v>3398535.386182819</v>
      </c>
      <c r="KJ18" s="214">
        <f t="shared" si="41"/>
        <v>3398535.386182819</v>
      </c>
      <c r="KK18" s="214">
        <f t="shared" si="41"/>
        <v>3398535.386182819</v>
      </c>
      <c r="KL18" s="214">
        <f t="shared" si="41"/>
        <v>3398535.386182819</v>
      </c>
      <c r="KM18" s="214">
        <f t="shared" si="41"/>
        <v>3398535.386182819</v>
      </c>
      <c r="KN18" s="214">
        <f t="shared" si="41"/>
        <v>3398535.386182819</v>
      </c>
      <c r="KO18" s="214">
        <f t="shared" si="41"/>
        <v>3398535.386182819</v>
      </c>
      <c r="KP18" s="214">
        <f t="shared" si="41"/>
        <v>3398535.386182819</v>
      </c>
      <c r="KQ18" s="214">
        <f t="shared" si="41"/>
        <v>3398535.386182819</v>
      </c>
      <c r="KR18" s="214">
        <f t="shared" si="41"/>
        <v>3398535.386182819</v>
      </c>
      <c r="KS18" s="214">
        <f t="shared" si="41"/>
        <v>3398535.386182819</v>
      </c>
      <c r="KT18" s="214">
        <f t="shared" si="41"/>
        <v>3398535.386182819</v>
      </c>
      <c r="KU18" s="214">
        <f t="shared" si="41"/>
        <v>3398535.386182819</v>
      </c>
      <c r="KV18" s="214">
        <f t="shared" si="41"/>
        <v>3398535.386182819</v>
      </c>
      <c r="KW18" s="214">
        <f t="shared" si="41"/>
        <v>3398535.386182819</v>
      </c>
      <c r="KX18" s="214">
        <f t="shared" si="41"/>
        <v>3398535.386182819</v>
      </c>
      <c r="KY18" s="214">
        <f t="shared" si="41"/>
        <v>3398535.386182819</v>
      </c>
      <c r="KZ18" s="214">
        <f t="shared" si="41"/>
        <v>3398535.386182819</v>
      </c>
      <c r="LA18" s="214">
        <f t="shared" si="41"/>
        <v>3398535.386182819</v>
      </c>
      <c r="LB18" s="214">
        <f t="shared" si="41"/>
        <v>3398535.386182819</v>
      </c>
      <c r="LC18" s="214">
        <f t="shared" si="41"/>
        <v>3398535.386182819</v>
      </c>
      <c r="LD18" s="214">
        <f t="shared" si="41"/>
        <v>3398535.386182819</v>
      </c>
    </row>
    <row r="19" spans="1:316" s="191" customFormat="1"/>
    <row r="33" spans="24:24">
      <c r="X33" s="705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4296875" defaultRowHeight="14.5"/>
  <cols>
    <col min="1" max="1" width="39.453125" style="366" bestFit="1" customWidth="1"/>
    <col min="2" max="2" width="17.1796875" style="367" bestFit="1" customWidth="1"/>
    <col min="3" max="3" width="12" style="366" bestFit="1" customWidth="1"/>
    <col min="4" max="4" width="14.81640625" style="366" bestFit="1" customWidth="1"/>
    <col min="5" max="7" width="13.1796875" style="366" bestFit="1" customWidth="1"/>
    <col min="8" max="8" width="10.54296875" style="366" bestFit="1" customWidth="1"/>
    <col min="9" max="10" width="11.81640625" style="366" bestFit="1" customWidth="1"/>
    <col min="11" max="11" width="12" style="366" bestFit="1" customWidth="1"/>
    <col min="12" max="12" width="4.81640625" style="366" bestFit="1" customWidth="1"/>
    <col min="13" max="13" width="13" style="366" bestFit="1" customWidth="1"/>
    <col min="14" max="14" width="14.81640625" style="366" bestFit="1" customWidth="1"/>
    <col min="15" max="15" width="12.81640625" style="366" bestFit="1" customWidth="1"/>
    <col min="16" max="16" width="14.453125" style="366" bestFit="1" customWidth="1"/>
    <col min="17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408</v>
      </c>
      <c r="B3" s="447" t="s">
        <v>409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410</v>
      </c>
      <c r="B4" t="s">
        <v>411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412</v>
      </c>
      <c r="O4"/>
      <c r="P4"/>
      <c r="Q4"/>
      <c r="R4"/>
      <c r="S4"/>
      <c r="T4"/>
    </row>
    <row r="5" spans="1:20">
      <c r="A5" s="448" t="s">
        <v>411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237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>
        <v>863702</v>
      </c>
      <c r="O6" s="371"/>
      <c r="P6"/>
      <c r="Q6"/>
      <c r="R6"/>
      <c r="S6"/>
      <c r="T6"/>
    </row>
    <row r="7" spans="1:20">
      <c r="A7" s="448" t="s">
        <v>249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>
        <v>238636.36363636365</v>
      </c>
      <c r="O7" s="371"/>
      <c r="P7"/>
      <c r="Q7"/>
      <c r="R7"/>
      <c r="S7"/>
      <c r="T7"/>
    </row>
    <row r="8" spans="1:20">
      <c r="A8" s="448" t="s">
        <v>261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>
        <v>184990.90625409569</v>
      </c>
      <c r="O8" s="371"/>
      <c r="P8"/>
      <c r="Q8"/>
      <c r="R8"/>
      <c r="S8"/>
      <c r="T8"/>
    </row>
    <row r="9" spans="1:20">
      <c r="A9" s="448" t="s">
        <v>272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>
        <v>328792.95454545453</v>
      </c>
      <c r="O9" s="371"/>
      <c r="P9"/>
      <c r="Q9"/>
      <c r="R9"/>
      <c r="S9"/>
      <c r="T9"/>
    </row>
    <row r="10" spans="1:20">
      <c r="A10" s="448" t="s">
        <v>292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55681.822659068275</v>
      </c>
      <c r="O10" s="371"/>
      <c r="P10"/>
      <c r="Q10"/>
      <c r="R10"/>
      <c r="S10"/>
      <c r="T10"/>
    </row>
    <row r="11" spans="1:20">
      <c r="A11" s="448" t="s">
        <v>305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>
        <v>465557.64623139537</v>
      </c>
      <c r="O11" s="371"/>
      <c r="P11"/>
      <c r="Q11"/>
      <c r="R11"/>
      <c r="S11"/>
      <c r="T11"/>
    </row>
    <row r="12" spans="1:20">
      <c r="A12" s="448" t="s">
        <v>312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8" t="s">
        <v>321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>
        <v>344235.30098364654</v>
      </c>
      <c r="O13" s="371"/>
      <c r="P13"/>
      <c r="Q13"/>
      <c r="R13"/>
      <c r="S13"/>
      <c r="T13"/>
    </row>
    <row r="14" spans="1:20">
      <c r="A14" s="448" t="s">
        <v>324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>
        <v>95827.995334781823</v>
      </c>
      <c r="O14" s="371"/>
      <c r="P14"/>
      <c r="Q14"/>
      <c r="R14"/>
      <c r="S14"/>
      <c r="T14"/>
    </row>
    <row r="15" spans="1:20">
      <c r="A15" s="448" t="s">
        <v>332</v>
      </c>
      <c r="B15" s="371">
        <v>0</v>
      </c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/>
      <c r="N15" s="371">
        <v>136574.11530033505</v>
      </c>
      <c r="O15" s="371"/>
      <c r="P15"/>
      <c r="Q15"/>
      <c r="R15"/>
      <c r="S15"/>
      <c r="T15"/>
    </row>
    <row r="16" spans="1:20">
      <c r="A16" s="448" t="s">
        <v>352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>
        <v>178695.31453451441</v>
      </c>
      <c r="N16" s="371">
        <v>178695.31453451441</v>
      </c>
      <c r="O16" s="371"/>
      <c r="P16"/>
      <c r="Q16"/>
      <c r="R16"/>
      <c r="S16"/>
      <c r="T16"/>
    </row>
    <row r="17" spans="1:20">
      <c r="A17" s="448" t="s">
        <v>360</v>
      </c>
      <c r="B17" s="371">
        <v>0</v>
      </c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/>
      <c r="N17" s="371">
        <v>5840.969693817</v>
      </c>
      <c r="O17" s="371"/>
      <c r="P17"/>
      <c r="Q17"/>
      <c r="R17"/>
      <c r="S17"/>
      <c r="T17"/>
    </row>
    <row r="18" spans="1:20">
      <c r="A18" s="448" t="s">
        <v>365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>
        <v>499999.9970093458</v>
      </c>
      <c r="O18" s="371"/>
      <c r="P18"/>
      <c r="Q18"/>
      <c r="R18"/>
      <c r="S18"/>
      <c r="T18"/>
    </row>
    <row r="19" spans="1:20">
      <c r="A19" s="448" t="s">
        <v>348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310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412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178695.31453451441</v>
      </c>
      <c r="N21" s="371">
        <v>3398535.3861828181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8">
        <v>79093.55</v>
      </c>
      <c r="D23" s="408">
        <v>1633707.2</v>
      </c>
      <c r="E23" s="408">
        <v>776724</v>
      </c>
      <c r="F23" s="408">
        <v>361607.92</v>
      </c>
      <c r="G23" s="408">
        <f>327707.49+215.2+11682.24</f>
        <v>339604.93</v>
      </c>
      <c r="H23" s="408"/>
      <c r="I23" s="408"/>
      <c r="J23" s="408"/>
      <c r="K23" s="408"/>
      <c r="L23" s="408"/>
      <c r="M23" s="408"/>
      <c r="N23" s="408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8">
        <f>GETPIVOTDATA("REVENUE RECOGNITION AMOUNT",$A$3,"INVOICE RAISED DATE",DATE(2025,4,30))-C23</f>
        <v>215.19723136239918</v>
      </c>
      <c r="D24" s="688">
        <f>GETPIVOTDATA("REVENUE RECOGNITION AMOUNT",$A$3,"INVOICE RAISED DATE",DATE(2025,5,31))-D23</f>
        <v>-1.8750778399407864E-3</v>
      </c>
      <c r="E24" s="688">
        <f>GETPIVOTDATA("REVENUE RECOGNITION AMOUNT",$A$3,"INVOICE RAISED DATE",DATE(2025,6,30))-E23</f>
        <v>11682.238938711467</v>
      </c>
      <c r="F24" s="688">
        <f>GETPIVOTDATA("REVENUE RECOGNITION AMOUNT",$A$3,"INVOICE RAISED DATE",DATE(2025,7,31))-F23</f>
        <v>-3.9039214607328176E-3</v>
      </c>
      <c r="G24" s="688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8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8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8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K21" sqref="K21"/>
    </sheetView>
  </sheetViews>
  <sheetFormatPr defaultColWidth="8.453125" defaultRowHeight="14.5"/>
  <cols>
    <col min="1" max="1" width="21.81640625" bestFit="1" customWidth="1"/>
    <col min="2" max="2" width="17.1796875" style="408" bestFit="1" customWidth="1"/>
    <col min="3" max="3" width="12" style="408" bestFit="1" customWidth="1"/>
    <col min="4" max="4" width="14.81640625" style="408" bestFit="1" customWidth="1"/>
    <col min="5" max="7" width="13.1796875" style="408" bestFit="1" customWidth="1"/>
    <col min="8" max="8" width="12" style="408" bestFit="1" customWidth="1"/>
    <col min="9" max="9" width="11.81640625" style="408" bestFit="1" customWidth="1"/>
    <col min="10" max="11" width="11.81640625" bestFit="1" customWidth="1"/>
    <col min="12" max="12" width="4.81640625" bestFit="1" customWidth="1"/>
    <col min="13" max="13" width="12" bestFit="1" customWidth="1"/>
    <col min="14" max="14" width="14.81640625" bestFit="1" customWidth="1"/>
    <col min="15" max="15" width="15.1796875" bestFit="1" customWidth="1"/>
    <col min="16" max="16" width="17.1796875" bestFit="1" customWidth="1"/>
    <col min="17" max="18" width="11.54296875" bestFit="1" customWidth="1"/>
    <col min="19" max="19" width="13.453125" bestFit="1" customWidth="1"/>
  </cols>
  <sheetData>
    <row r="3" spans="1:16">
      <c r="A3" s="447" t="s">
        <v>413</v>
      </c>
      <c r="B3" s="447" t="s">
        <v>409</v>
      </c>
      <c r="C3"/>
      <c r="D3"/>
      <c r="E3"/>
      <c r="F3"/>
      <c r="G3"/>
      <c r="H3"/>
      <c r="I3"/>
    </row>
    <row r="4" spans="1:16">
      <c r="A4" s="447" t="s">
        <v>410</v>
      </c>
      <c r="B4" t="s">
        <v>411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412</v>
      </c>
    </row>
    <row r="5" spans="1:16">
      <c r="A5" s="448" t="s">
        <v>411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6">
      <c r="A6" s="448" t="s">
        <v>237</v>
      </c>
      <c r="B6" s="450"/>
      <c r="C6" s="450"/>
      <c r="D6" s="450">
        <v>720539.2</v>
      </c>
      <c r="E6" s="450"/>
      <c r="F6" s="450"/>
      <c r="G6" s="450"/>
      <c r="H6" s="450"/>
      <c r="I6" s="450"/>
      <c r="J6" s="450">
        <v>4301.3999999999996</v>
      </c>
      <c r="K6" s="450"/>
      <c r="L6" s="450"/>
      <c r="M6" s="450"/>
      <c r="N6" s="450">
        <v>724840.6</v>
      </c>
      <c r="O6" s="450"/>
    </row>
    <row r="7" spans="1:16">
      <c r="A7" s="448" t="s">
        <v>249</v>
      </c>
      <c r="B7" s="450"/>
      <c r="C7" s="450"/>
      <c r="D7" s="450">
        <v>206611.05000000002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>
        <v>206611.05000000002</v>
      </c>
      <c r="O7" s="450"/>
    </row>
    <row r="8" spans="1:16">
      <c r="A8" s="448" t="s">
        <v>261</v>
      </c>
      <c r="B8" s="450"/>
      <c r="C8" s="450"/>
      <c r="D8" s="450">
        <v>79861</v>
      </c>
      <c r="E8" s="450"/>
      <c r="F8" s="450"/>
      <c r="G8" s="450"/>
      <c r="H8" s="450"/>
      <c r="I8" s="450"/>
      <c r="J8" s="450"/>
      <c r="K8" s="450"/>
      <c r="L8" s="450"/>
      <c r="M8" s="450"/>
      <c r="N8" s="450">
        <v>79861</v>
      </c>
      <c r="O8" s="450"/>
    </row>
    <row r="9" spans="1:16">
      <c r="A9" s="448" t="s">
        <v>272</v>
      </c>
      <c r="B9" s="450"/>
      <c r="C9" s="450"/>
      <c r="D9" s="450">
        <v>180089.25820563422</v>
      </c>
      <c r="E9" s="450"/>
      <c r="F9" s="450">
        <v>73281.920546958398</v>
      </c>
      <c r="G9" s="450">
        <v>64985.854069944238</v>
      </c>
      <c r="H9" s="450"/>
      <c r="I9" s="450"/>
      <c r="J9" s="450"/>
      <c r="K9" s="450"/>
      <c r="L9" s="450"/>
      <c r="M9" s="450"/>
      <c r="N9" s="450">
        <v>318357.03282253689</v>
      </c>
      <c r="O9" s="450"/>
    </row>
    <row r="10" spans="1:16">
      <c r="A10" s="448" t="s">
        <v>292</v>
      </c>
      <c r="B10" s="450"/>
      <c r="C10" s="450">
        <v>13695</v>
      </c>
      <c r="D10" s="450">
        <v>10848.85</v>
      </c>
      <c r="E10" s="450">
        <v>11383.28</v>
      </c>
      <c r="F10" s="450"/>
      <c r="G10" s="450"/>
      <c r="H10" s="450"/>
      <c r="I10" s="450"/>
      <c r="J10" s="450"/>
      <c r="K10" s="450"/>
      <c r="L10" s="450"/>
      <c r="M10" s="450"/>
      <c r="N10" s="450">
        <v>35927.129999999997</v>
      </c>
      <c r="O10" s="450"/>
    </row>
    <row r="11" spans="1:16">
      <c r="A11" s="448" t="s">
        <v>305</v>
      </c>
      <c r="B11" s="450"/>
      <c r="C11" s="450"/>
      <c r="D11" s="450">
        <v>23011.984717141473</v>
      </c>
      <c r="E11" s="450">
        <v>117330.71</v>
      </c>
      <c r="F11" s="450">
        <v>36589.0395004249</v>
      </c>
      <c r="G11" s="450">
        <v>32446.884085282458</v>
      </c>
      <c r="H11" s="450"/>
      <c r="I11" s="450"/>
      <c r="J11" s="450"/>
      <c r="K11" s="450"/>
      <c r="L11" s="450"/>
      <c r="M11" s="450"/>
      <c r="N11" s="450">
        <v>209378.61830284883</v>
      </c>
      <c r="O11" s="450"/>
    </row>
    <row r="12" spans="1:16">
      <c r="A12" s="448" t="s">
        <v>312</v>
      </c>
      <c r="B12" s="450"/>
      <c r="C12" s="450"/>
      <c r="D12" s="450"/>
      <c r="E12" s="450">
        <v>17600</v>
      </c>
      <c r="F12" s="450"/>
      <c r="G12" s="450"/>
      <c r="H12" s="450">
        <v>15930</v>
      </c>
      <c r="I12" s="450"/>
      <c r="J12" s="450"/>
      <c r="K12" s="450"/>
      <c r="L12" s="450"/>
      <c r="M12" s="450"/>
      <c r="N12" s="450">
        <v>33530</v>
      </c>
      <c r="O12" s="450"/>
      <c r="P12" s="450"/>
    </row>
    <row r="13" spans="1:16">
      <c r="A13" s="448" t="s">
        <v>321</v>
      </c>
      <c r="B13" s="450"/>
      <c r="C13" s="450"/>
      <c r="D13" s="450">
        <v>120326.94</v>
      </c>
      <c r="E13" s="450"/>
      <c r="F13" s="450">
        <v>191319.82103281928</v>
      </c>
      <c r="G13" s="450">
        <v>169660.98819498101</v>
      </c>
      <c r="H13" s="450"/>
      <c r="I13" s="450"/>
      <c r="J13" s="450"/>
      <c r="K13" s="450"/>
      <c r="L13" s="450"/>
      <c r="M13" s="450"/>
      <c r="N13" s="450">
        <v>481307.74922780029</v>
      </c>
      <c r="O13" s="450"/>
    </row>
    <row r="14" spans="1:16">
      <c r="A14" s="448" t="s">
        <v>324</v>
      </c>
      <c r="B14" s="450"/>
      <c r="C14" s="450"/>
      <c r="D14" s="450">
        <v>12386.83</v>
      </c>
      <c r="E14" s="450">
        <v>10000</v>
      </c>
      <c r="F14" s="450">
        <v>19695.068919797413</v>
      </c>
      <c r="G14" s="450">
        <v>17465.438476046762</v>
      </c>
      <c r="H14" s="450"/>
      <c r="I14" s="450"/>
      <c r="J14" s="450"/>
      <c r="K14" s="450"/>
      <c r="L14" s="450">
        <v>0</v>
      </c>
      <c r="M14" s="450"/>
      <c r="N14" s="450">
        <v>59547.337395844181</v>
      </c>
      <c r="O14" s="450"/>
    </row>
    <row r="15" spans="1:16">
      <c r="A15" s="448" t="s">
        <v>332</v>
      </c>
      <c r="B15" s="450"/>
      <c r="C15" s="450">
        <v>13312.24</v>
      </c>
      <c r="D15" s="450"/>
      <c r="E15" s="450"/>
      <c r="F15" s="450">
        <v>9941.1</v>
      </c>
      <c r="G15" s="450"/>
      <c r="H15" s="450"/>
      <c r="I15" s="450"/>
      <c r="J15" s="450"/>
      <c r="K15" s="450">
        <v>6000</v>
      </c>
      <c r="L15" s="450"/>
      <c r="M15" s="450"/>
      <c r="N15" s="450">
        <v>29253.34</v>
      </c>
      <c r="O15" s="450"/>
    </row>
    <row r="16" spans="1:16">
      <c r="A16" s="448" t="s">
        <v>352</v>
      </c>
      <c r="B16" s="450">
        <v>0</v>
      </c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>
        <v>42501.325000000004</v>
      </c>
      <c r="N16" s="450">
        <v>42501.325000000004</v>
      </c>
      <c r="O16" s="450"/>
    </row>
    <row r="17" spans="1:15">
      <c r="A17" s="448" t="s">
        <v>360</v>
      </c>
      <c r="B17" s="450">
        <v>0</v>
      </c>
      <c r="C17" s="450">
        <v>0</v>
      </c>
      <c r="D17" s="450">
        <v>1399.4599999999996</v>
      </c>
      <c r="E17" s="450">
        <v>1531.0800000000002</v>
      </c>
      <c r="F17" s="450">
        <v>1925.06</v>
      </c>
      <c r="G17" s="450">
        <v>109.06</v>
      </c>
      <c r="H17" s="450">
        <v>0</v>
      </c>
      <c r="I17" s="450">
        <v>113.76</v>
      </c>
      <c r="J17" s="450">
        <v>83.78</v>
      </c>
      <c r="K17" s="450">
        <v>88.06</v>
      </c>
      <c r="L17" s="450"/>
      <c r="M17" s="450"/>
      <c r="N17" s="450">
        <v>5250.2600000000011</v>
      </c>
      <c r="O17" s="450"/>
    </row>
    <row r="18" spans="1:15">
      <c r="A18" s="448" t="s">
        <v>365</v>
      </c>
      <c r="B18" s="450"/>
      <c r="C18" s="450"/>
      <c r="D18" s="450"/>
      <c r="E18" s="450">
        <v>510000</v>
      </c>
      <c r="F18" s="450"/>
      <c r="G18" s="450">
        <v>180494.91</v>
      </c>
      <c r="H18" s="450"/>
      <c r="I18" s="450">
        <v>6926</v>
      </c>
      <c r="J18" s="450"/>
      <c r="K18" s="450"/>
      <c r="L18" s="450">
        <v>0</v>
      </c>
      <c r="M18" s="450"/>
      <c r="N18" s="450">
        <v>697420.91</v>
      </c>
      <c r="O18" s="450"/>
    </row>
    <row r="19" spans="1:15">
      <c r="A19" s="448" t="s">
        <v>348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310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412</v>
      </c>
      <c r="B21" s="450">
        <v>0</v>
      </c>
      <c r="C21" s="450">
        <v>27007.239999999998</v>
      </c>
      <c r="D21" s="450">
        <v>1355074.5729227758</v>
      </c>
      <c r="E21" s="450">
        <v>667845.06999999995</v>
      </c>
      <c r="F21" s="450">
        <v>332752.00999999995</v>
      </c>
      <c r="G21" s="450">
        <v>465163.13482625445</v>
      </c>
      <c r="H21" s="450">
        <v>15930</v>
      </c>
      <c r="I21" s="450">
        <v>7039.76</v>
      </c>
      <c r="J21" s="450">
        <v>4385.1799999999994</v>
      </c>
      <c r="K21" s="450">
        <v>6088.06</v>
      </c>
      <c r="L21" s="450">
        <v>0</v>
      </c>
      <c r="M21" s="450">
        <v>42501.325000000004</v>
      </c>
      <c r="N21" s="450">
        <v>2923786.3527490301</v>
      </c>
      <c r="O21" s="450"/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5"/>
  <cols>
    <col min="1" max="1" width="6" customWidth="1"/>
    <col min="2" max="2" width="21.45312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02" t="s">
        <v>414</v>
      </c>
      <c r="C2" s="802"/>
      <c r="D2" s="802"/>
      <c r="E2" s="802"/>
      <c r="H2" s="803" t="s">
        <v>415</v>
      </c>
      <c r="I2" s="804"/>
      <c r="J2" s="804"/>
      <c r="K2" s="804"/>
      <c r="L2" s="804"/>
      <c r="M2" s="804"/>
      <c r="N2" s="804"/>
      <c r="O2" s="805"/>
    </row>
    <row r="3" spans="2:15">
      <c r="B3" s="694"/>
      <c r="H3" s="806"/>
      <c r="I3" s="807"/>
      <c r="J3" s="807"/>
      <c r="K3" s="807"/>
      <c r="L3" s="807"/>
      <c r="M3" s="807"/>
      <c r="N3" s="807"/>
      <c r="O3" s="808"/>
    </row>
    <row r="4" spans="2:15">
      <c r="B4" s="695" t="s">
        <v>416</v>
      </c>
      <c r="C4" s="696" t="str">
        <f>'Project Plan'!E2</f>
        <v>Pimville</v>
      </c>
      <c r="H4" s="806"/>
      <c r="I4" s="807"/>
      <c r="J4" s="807"/>
      <c r="K4" s="807"/>
      <c r="L4" s="807"/>
      <c r="M4" s="807"/>
      <c r="N4" s="807"/>
      <c r="O4" s="808"/>
    </row>
    <row r="5" spans="2:15">
      <c r="B5" s="695" t="s">
        <v>417</v>
      </c>
      <c r="C5" s="696" t="s">
        <v>418</v>
      </c>
      <c r="H5" s="806"/>
      <c r="I5" s="807"/>
      <c r="J5" s="807"/>
      <c r="K5" s="807"/>
      <c r="L5" s="807"/>
      <c r="M5" s="807"/>
      <c r="N5" s="807"/>
      <c r="O5" s="808"/>
    </row>
    <row r="6" spans="2:15">
      <c r="B6" s="695" t="s">
        <v>419</v>
      </c>
      <c r="C6" s="696" t="s">
        <v>420</v>
      </c>
      <c r="H6" s="806"/>
      <c r="I6" s="807"/>
      <c r="J6" s="807"/>
      <c r="K6" s="807"/>
      <c r="L6" s="807"/>
      <c r="M6" s="807"/>
      <c r="N6" s="807"/>
      <c r="O6" s="808"/>
    </row>
    <row r="7" spans="2:15">
      <c r="B7" s="695" t="s">
        <v>421</v>
      </c>
      <c r="C7" s="696" t="s">
        <v>76</v>
      </c>
      <c r="H7" s="806"/>
      <c r="I7" s="807"/>
      <c r="J7" s="807"/>
      <c r="K7" s="807"/>
      <c r="L7" s="807"/>
      <c r="M7" s="807"/>
      <c r="N7" s="807"/>
      <c r="O7" s="808"/>
    </row>
    <row r="8" spans="2:15">
      <c r="B8" s="694"/>
      <c r="H8" s="806"/>
      <c r="I8" s="807"/>
      <c r="J8" s="807"/>
      <c r="K8" s="807"/>
      <c r="L8" s="807"/>
      <c r="M8" s="807"/>
      <c r="N8" s="807"/>
      <c r="O8" s="808"/>
    </row>
    <row r="9" spans="2:15">
      <c r="B9" s="812" t="s">
        <v>422</v>
      </c>
      <c r="C9" s="812"/>
      <c r="D9" s="812"/>
      <c r="E9" s="81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6"/>
      <c r="I9" s="807"/>
      <c r="J9" s="807"/>
      <c r="K9" s="807"/>
      <c r="L9" s="807"/>
      <c r="M9" s="807"/>
      <c r="N9" s="807"/>
      <c r="O9" s="808"/>
    </row>
    <row r="10" spans="2:15" ht="15" thickBot="1">
      <c r="B10" s="812" t="s">
        <v>423</v>
      </c>
      <c r="C10" s="812"/>
      <c r="D10" s="812"/>
      <c r="E10" s="812"/>
      <c r="H10" s="809"/>
      <c r="I10" s="810"/>
      <c r="J10" s="810"/>
      <c r="K10" s="810"/>
      <c r="L10" s="810"/>
      <c r="M10" s="810"/>
      <c r="N10" s="810"/>
      <c r="O10" s="811"/>
    </row>
    <row r="11" spans="2:15">
      <c r="B11" s="697" t="s">
        <v>424</v>
      </c>
      <c r="C11" s="800" t="s">
        <v>425</v>
      </c>
      <c r="D11" s="800"/>
      <c r="E11" s="800"/>
    </row>
    <row r="12" spans="2:15">
      <c r="B12" s="697" t="s">
        <v>426</v>
      </c>
      <c r="C12" s="800" t="s">
        <v>425</v>
      </c>
      <c r="D12" s="800"/>
      <c r="E12" s="800"/>
    </row>
    <row r="13" spans="2:15">
      <c r="B13" s="697" t="s">
        <v>427</v>
      </c>
      <c r="C13" s="800" t="s">
        <v>425</v>
      </c>
      <c r="D13" s="800"/>
      <c r="E13" s="800"/>
    </row>
    <row r="14" spans="2:15">
      <c r="B14" s="697" t="s">
        <v>428</v>
      </c>
      <c r="C14" s="800" t="s">
        <v>429</v>
      </c>
      <c r="D14" s="800"/>
      <c r="E14" s="800"/>
    </row>
    <row r="15" spans="2:15">
      <c r="B15" s="697" t="s">
        <v>430</v>
      </c>
      <c r="C15" s="800" t="s">
        <v>431</v>
      </c>
      <c r="D15" s="800"/>
      <c r="E15" s="800"/>
    </row>
    <row r="16" spans="2:15" ht="15" customHeight="1">
      <c r="B16" s="697" t="s">
        <v>432</v>
      </c>
      <c r="C16" s="800" t="s">
        <v>433</v>
      </c>
      <c r="D16" s="800"/>
      <c r="E16" s="800"/>
    </row>
    <row r="17" spans="2:5">
      <c r="B17" s="694"/>
    </row>
    <row r="18" spans="2:5">
      <c r="B18" s="801" t="s">
        <v>434</v>
      </c>
      <c r="C18" s="801"/>
      <c r="D18" s="801"/>
      <c r="E18" s="801"/>
    </row>
    <row r="19" spans="2:5">
      <c r="B19" s="697" t="s">
        <v>435</v>
      </c>
      <c r="C19" s="697" t="s">
        <v>436</v>
      </c>
      <c r="D19" s="697" t="s">
        <v>437</v>
      </c>
      <c r="E19" s="697" t="s">
        <v>62</v>
      </c>
    </row>
    <row r="20" spans="2:5" ht="15" customHeight="1">
      <c r="B20" s="697" t="s">
        <v>438</v>
      </c>
      <c r="C20" s="697" t="s">
        <v>439</v>
      </c>
      <c r="D20" s="698" t="s">
        <v>440</v>
      </c>
      <c r="E20" s="699">
        <v>45953</v>
      </c>
    </row>
    <row r="21" spans="2:5">
      <c r="B21" s="697"/>
      <c r="C21" s="697"/>
      <c r="D21" s="697"/>
      <c r="E21" s="697"/>
    </row>
    <row r="22" spans="2:5">
      <c r="B22" s="697"/>
      <c r="C22" s="697"/>
      <c r="D22" s="697"/>
      <c r="E22" s="697"/>
    </row>
    <row r="23" spans="2:5">
      <c r="B23" s="697"/>
      <c r="C23" s="697"/>
      <c r="D23" s="697"/>
      <c r="E23" s="697"/>
    </row>
    <row r="24" spans="2:5">
      <c r="B24" s="697"/>
      <c r="C24" s="697"/>
      <c r="D24" s="697"/>
      <c r="E24" s="697"/>
    </row>
    <row r="25" spans="2:5">
      <c r="B25" s="697"/>
      <c r="C25" s="697"/>
      <c r="D25" s="697"/>
      <c r="E25" s="697"/>
    </row>
    <row r="26" spans="2:5">
      <c r="B26" s="694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441</v>
      </c>
    </row>
    <row r="2" spans="1:4">
      <c r="A2" s="814"/>
      <c r="B2" s="814"/>
      <c r="C2" s="814"/>
      <c r="D2" s="71"/>
    </row>
    <row r="3" spans="1:4">
      <c r="A3" s="813" t="s">
        <v>442</v>
      </c>
      <c r="B3" s="813"/>
      <c r="C3" s="813"/>
      <c r="D3" s="111">
        <v>0.32</v>
      </c>
    </row>
    <row r="4" spans="1:4">
      <c r="A4" s="813" t="s">
        <v>383</v>
      </c>
      <c r="B4" s="813"/>
      <c r="C4" s="813"/>
      <c r="D4" s="111">
        <v>0.5</v>
      </c>
    </row>
    <row r="5" spans="1:4">
      <c r="A5" s="813" t="s">
        <v>394</v>
      </c>
      <c r="B5" s="813"/>
      <c r="C5" s="813"/>
      <c r="D5" s="111">
        <v>0.15</v>
      </c>
    </row>
    <row r="6" spans="1:4">
      <c r="A6" s="813" t="s">
        <v>443</v>
      </c>
      <c r="B6" s="813"/>
      <c r="C6" s="81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5" t="s">
        <v>444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</row>
    <row r="4" spans="2:14" ht="13">
      <c r="B4" s="92" t="s">
        <v>445</v>
      </c>
      <c r="C4" s="86"/>
      <c r="D4" s="90" t="s">
        <v>446</v>
      </c>
      <c r="E4" s="95"/>
      <c r="F4" s="90" t="s">
        <v>447</v>
      </c>
      <c r="H4" s="90" t="s">
        <v>448</v>
      </c>
      <c r="I4" s="95"/>
      <c r="J4" s="90" t="s">
        <v>449</v>
      </c>
      <c r="L4" s="90" t="s">
        <v>448</v>
      </c>
      <c r="M4" s="90"/>
      <c r="N4" s="90" t="s">
        <v>450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451</v>
      </c>
      <c r="H7" s="99"/>
      <c r="I7" s="95"/>
      <c r="J7" s="107" t="s">
        <v>451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453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454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451</v>
      </c>
      <c r="H15" s="99"/>
      <c r="I15" s="95"/>
      <c r="J15" s="107" t="s">
        <v>451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455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451</v>
      </c>
      <c r="H21" s="99"/>
      <c r="I21" s="95"/>
      <c r="J21" s="107" t="s">
        <v>451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456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456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454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451</v>
      </c>
      <c r="H27" s="99"/>
      <c r="I27" s="95"/>
      <c r="J27" s="107" t="s">
        <v>451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457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451</v>
      </c>
      <c r="H34" s="99"/>
      <c r="I34" s="95"/>
      <c r="J34" s="107" t="s">
        <v>451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458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459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5" t="s">
        <v>466</v>
      </c>
      <c r="C2" s="815"/>
      <c r="D2" s="815"/>
      <c r="E2" s="815"/>
      <c r="F2" s="815"/>
      <c r="G2" s="815"/>
      <c r="H2" s="815"/>
      <c r="I2" s="815"/>
      <c r="J2" s="815"/>
      <c r="K2" s="815"/>
      <c r="L2" s="815"/>
      <c r="M2" s="815"/>
      <c r="N2" s="815"/>
      <c r="O2" s="815"/>
    </row>
    <row r="4" spans="2:15" ht="13">
      <c r="B4" s="92" t="s">
        <v>445</v>
      </c>
      <c r="C4" s="86"/>
      <c r="D4" s="90" t="s">
        <v>446</v>
      </c>
      <c r="E4" s="95"/>
      <c r="F4" s="95"/>
      <c r="G4" s="90" t="s">
        <v>467</v>
      </c>
      <c r="H4" s="96"/>
      <c r="J4" s="90" t="s">
        <v>448</v>
      </c>
      <c r="L4" s="90" t="s">
        <v>468</v>
      </c>
      <c r="M4" s="96"/>
      <c r="O4" s="90" t="s">
        <v>448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252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253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469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445</v>
      </c>
      <c r="C18" s="86"/>
      <c r="D18" s="90" t="s">
        <v>446</v>
      </c>
      <c r="E18" s="95"/>
      <c r="F18" s="95"/>
      <c r="G18" s="90" t="s">
        <v>470</v>
      </c>
      <c r="H18" s="96"/>
      <c r="J18" s="90" t="s">
        <v>448</v>
      </c>
      <c r="L18" s="90" t="s">
        <v>471</v>
      </c>
      <c r="M18" s="96"/>
      <c r="O18" s="90" t="s">
        <v>448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474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475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476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477</v>
      </c>
      <c r="C32" s="103"/>
      <c r="D32" s="103"/>
    </row>
    <row r="33" spans="2:4" ht="13" thickTop="1"/>
    <row r="34" spans="2:4">
      <c r="B34" s="88" t="s">
        <v>446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1796875" customWidth="1"/>
    <col min="10" max="10" width="19.54296875" bestFit="1" customWidth="1"/>
  </cols>
  <sheetData>
    <row r="1" spans="2:14">
      <c r="B1" s="817" t="str">
        <f>D15</f>
        <v>Pimville</v>
      </c>
      <c r="C1" s="817"/>
      <c r="D1" s="817"/>
      <c r="E1" s="816" t="s">
        <v>479</v>
      </c>
      <c r="F1" s="816"/>
      <c r="G1" s="816"/>
      <c r="H1" s="816"/>
      <c r="I1" s="816"/>
      <c r="J1" s="816"/>
      <c r="K1" s="77"/>
      <c r="L1" s="77"/>
      <c r="M1" s="77"/>
      <c r="N1" s="77"/>
    </row>
    <row r="2" spans="2:14" ht="6.75" customHeight="1"/>
    <row r="3" spans="2:14">
      <c r="B3" s="72" t="s">
        <v>480</v>
      </c>
      <c r="C3" s="72" t="s">
        <v>481</v>
      </c>
      <c r="D3" s="72" t="s">
        <v>482</v>
      </c>
      <c r="E3" s="78" t="s">
        <v>483</v>
      </c>
      <c r="F3" s="78" t="s">
        <v>484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2026-02-02T20:28:29Z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