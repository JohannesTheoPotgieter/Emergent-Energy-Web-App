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0" documentId="13_ncr:1_{36710142-C419-40D1-A280-4ADDF2A63E4A}" xr6:coauthVersionLast="47" xr6:coauthVersionMax="47" xr10:uidLastSave="{0C753415-5D2C-4B23-B18E-52E2F5444D7F}"/>
  <bookViews>
    <workbookView xWindow="-28920" yWindow="720" windowWidth="29040" windowHeight="15720" tabRatio="802" firstSheet="1" activeTab="3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P17" i="5"/>
  <c r="U14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32" i="2"/>
  <c r="N28" i="2" s="1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<sst xmlns="http://schemas.openxmlformats.org/spreadsheetml/2006/main" count="825" uniqueCount="479">
  <si>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</si>
  <si>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</si>
  <si>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</si>
  <si>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</si>
  <si>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</si>
  <si>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</si>
  <si>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</si>
  <si>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</si>
  <si>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</si>
  <si>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</si>
  <si>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</si>
  <si>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</si>
  <si>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</si>
  <si>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</si>
  <si>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</si>
  <si>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</si>
  <si>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</si>
  <si>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</si>
  <si>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</si>
  <si>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</si>
  <si>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</si>
  <si>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</si>
  <si>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</si>
  <si>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</si>
  <si>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</si>
  <si>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</si>
  <si>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</si>
  <si>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</si>
  <si>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</si>
  <si>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</si>
  <si>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</si>
  <si>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</si>
  <si>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</si>
  <si>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</si>
  <si>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</si>
  <si>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</si>
  <si>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</si>
  <si>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</si>
  <si>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</si>
  <si>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</si>
  <si>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</si>
  <si>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</si>
  <si>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</si>
  <si>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</si>
  <si>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</si>
  <si>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</si>
  <si>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</si>
  <si>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</si>
  <si>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</si>
  <si>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</si>
  <si>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</si>
  <si>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</si>
  <si>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</si>
  <si>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</si>
  <si>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</si>
  <si>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</si>
  <si>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</si>
  <si>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</si>
  <si>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</si>
  <si>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</si>
  <si>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</si>
  <si>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</si>
  <si>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</si>
  <si>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</si>
  <si>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</si>
  <si>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</si>
  <si>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</si>
  <si>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</si>
  <si>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</si>
  <si>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</si>
  <si>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</si>
  <si>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</si>
  <si>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</si>
  <si>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</si>
  <si>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</si>
  <si>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</si>
  <si>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</si>
  <si>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</si>
  <si>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</si>
  <si>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</si>
  <si>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</si>
  <si>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</si>
  <si>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</si>
  <si>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</si>
  <si>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</si>
  <si>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</si>
  <si>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</si>
  <si>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</si>
  <si>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</si>
  <si>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</si>
  <si>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</si>
  <si>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</si>
  <si>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</si>
  <si>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</si>
  <si>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</si>
  <si>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</si>
  <si>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</si>
  <si>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</si>
  <si>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</si>
  <si>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</si>
  <si>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</si>
  <si>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</si>
  <si>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</si>
  <si>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</si>
  <si>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</si>
  <si>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</si>
  <si>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</si>
  <si>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</si>
  <si>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</si>
  <si>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</si>
  <si>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</si>
  <si>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</si>
  <si>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</si>
  <si>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</si>
  <si>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</si>
  <si>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</si>
  <si>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</si>
  <si>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</si>
  <si>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</si>
  <si>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</si>
  <si>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</si>
  <si>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</si>
  <si>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</si>
  <si>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</si>
  <si>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</si>
  <si>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</si>
  <si>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</si>
  <si>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</si>
  <si>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</si>
  <si>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</si>
  <si>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</si>
  <si>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</si>
  <si>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</si>
  <si>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</si>
  <si>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</si>
  <si>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</si>
  <si>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</si>
  <si>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</si>
  <si>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</si>
  <si>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</si>
  <si>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</si>
  <si>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</si>
  <si>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</si>
  <si>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</si>
  <si>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</si>
  <si>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</si>
  <si>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</si>
  <si>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</si>
  <si>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</si>
  <si>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</si>
  <si>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</si>
  <si>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</si>
  <si>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</si>
  <si>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</si>
  <si>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</si>
  <si>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</si>
  <si>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</si>
  <si>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</si>
  <si>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</si>
  <si>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</si>
  <si>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</si>
  <si>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</si>
  <si>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</si>
  <si>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</si>
  <si>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</si>
  <si>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</si>
  <si>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</si>
  <si>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</si>
  <si>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</si>
  <si>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</si>
  <si>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</si>
  <si>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</si>
  <si>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</si>
  <si>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</si>
  <si>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</si>
  <si>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</si>
  <si>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004950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</si>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</sst>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5" fontId="6" fillId="6" borderId="0" xfId="0" applyNumberFormat="1" applyFont="1" applyFill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786948.8833023737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595870.66</c:v>
                </c:pt>
                <c:pt idx="58">
                  <c:v>595870.66</c:v>
                </c:pt>
                <c:pt idx="59">
                  <c:v>605476.96000000008</c:v>
                </c:pt>
                <c:pt idx="60">
                  <c:v>605476.96000000008</c:v>
                </c:pt>
                <c:pt idx="61">
                  <c:v>605476.96000000008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191078.22330237366</c:v>
                </c:pt>
                <c:pt idx="58">
                  <c:v>232496.58558144595</c:v>
                </c:pt>
                <c:pt idx="59">
                  <c:v>222890.2855814459</c:v>
                </c:pt>
                <c:pt idx="60">
                  <c:v>222890.2855814459</c:v>
                </c:pt>
                <c:pt idx="61">
                  <c:v>222890.2855814459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0898437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0898437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5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08984375" bestFit="1" customWidth="1"/>
    <col min="5" max="5" width="10.36328125" customWidth="1"/>
    <col min="6" max="6" width="33.81640625" customWidth="1"/>
  </cols>
  <sheetData>
    <row r="1" spans="2:10" ht="15" thickBot="1"/>
    <row r="2" spans="2:10" ht="15.5" thickTop="1" thickBot="1">
      <c r="B2" s="786" t="s">
        <v>58</v>
      </c>
      <c r="C2" s="787"/>
      <c r="D2" s="787"/>
      <c r="E2" s="787"/>
      <c r="F2" s="7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6" t="s">
        <v>69</v>
      </c>
      <c r="C16" s="787"/>
      <c r="D16" s="787"/>
      <c r="E16" s="787"/>
      <c r="F16" s="78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7" zoomScale="85" zoomScaleNormal="85" workbookViewId="0">
      <selection activeCell="Q52" sqref="Q52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3.36328125" style="112" customWidth="1"/>
    <col min="5" max="5" width="14.6328125" style="24" customWidth="1"/>
    <col min="6" max="6" width="10.3632812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4" width="12.08984375" style="112" customWidth="1"/>
    <col min="15" max="15" width="2.6328125" style="112" customWidth="1"/>
    <col min="16" max="16" width="39.36328125" style="112" bestFit="1" customWidth="1"/>
    <col min="17" max="17" width="1.36328125" style="112" customWidth="1"/>
    <col min="18" max="18" width="5.08984375" style="3" customWidth="1"/>
    <col min="19" max="26" width="8.36328125" style="112"/>
    <col min="27" max="16384" width="8.3632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46083</v>
      </c>
      <c r="P1" s="408">
        <f ca="1">TODAY()</f>
        <v>46083</v>
      </c>
      <c r="R1" s="3"/>
    </row>
    <row r="2" spans="2:29">
      <c r="B2" s="176"/>
      <c r="C2" s="177" t="s">
        <v>0</v>
      </c>
      <c r="D2" s="178"/>
      <c r="E2" s="789" t="s">
        <v>73</v>
      </c>
      <c r="F2" s="790"/>
      <c r="G2" s="790"/>
      <c r="H2" s="791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92" t="s">
        <v>76</v>
      </c>
      <c r="F4" s="793"/>
      <c r="G4" s="793"/>
      <c r="H4" s="794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92" t="s">
        <v>79</v>
      </c>
      <c r="F5" s="793"/>
      <c r="G5" s="793"/>
      <c r="H5" s="794"/>
      <c r="J5" s="113"/>
      <c r="R5" s="3"/>
    </row>
    <row r="6" spans="2:29">
      <c r="B6" s="184"/>
      <c r="C6" s="185" t="s">
        <v>80</v>
      </c>
      <c r="D6" s="178"/>
      <c r="E6" s="795">
        <v>828367.24558144598</v>
      </c>
      <c r="F6" s="796"/>
      <c r="G6" s="796"/>
      <c r="H6" s="797"/>
    </row>
    <row r="7" spans="2:29" s="112" customFormat="1" ht="20.25" customHeight="1">
      <c r="B7" s="167"/>
      <c r="C7" s="721" t="s">
        <v>81</v>
      </c>
      <c r="D7" s="720"/>
      <c r="E7" s="719" t="s">
        <v>82</v>
      </c>
      <c r="F7" s="724"/>
      <c r="G7" s="186"/>
      <c r="J7" s="113"/>
      <c r="R7" s="3"/>
    </row>
    <row r="8" spans="2:29" ht="30" customHeight="1">
      <c r="B8" s="801" t="s">
        <v>83</v>
      </c>
      <c r="C8" s="802" t="s">
        <v>84</v>
      </c>
      <c r="D8" s="215"/>
      <c r="E8" s="800" t="s">
        <v>85</v>
      </c>
      <c r="F8" s="237" t="s">
        <v>86</v>
      </c>
      <c r="G8" s="800" t="s">
        <v>87</v>
      </c>
      <c r="H8" s="238"/>
      <c r="I8" s="800" t="s">
        <v>88</v>
      </c>
      <c r="J8" s="237" t="s">
        <v>86</v>
      </c>
      <c r="K8" s="800" t="s">
        <v>89</v>
      </c>
      <c r="M8" s="415" t="s">
        <v>60</v>
      </c>
      <c r="N8" s="415" t="s">
        <v>60</v>
      </c>
      <c r="P8" s="798" t="s">
        <v>90</v>
      </c>
      <c r="AA8" s="112"/>
      <c r="AB8" s="112"/>
      <c r="AC8" s="112"/>
    </row>
    <row r="9" spans="2:29">
      <c r="B9" s="801"/>
      <c r="C9" s="802"/>
      <c r="D9" s="215"/>
      <c r="E9" s="800"/>
      <c r="F9" s="126">
        <f>G41-E19</f>
        <v>17</v>
      </c>
      <c r="G9" s="800"/>
      <c r="H9" s="238"/>
      <c r="I9" s="800"/>
      <c r="J9" s="127">
        <f>K41-I19</f>
        <v>47</v>
      </c>
      <c r="K9" s="800"/>
      <c r="M9" s="362">
        <f>AVERAGE(M11,M18,M21,M28,M35,M39,M46,M43)</f>
        <v>1</v>
      </c>
      <c r="N9" s="362">
        <f ca="1">AVERAGE(N11,N18,N21,N28,N35,N39,N46,N43)</f>
        <v>1</v>
      </c>
      <c r="O9" s="374"/>
      <c r="P9" s="799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(J30*M30+J31*M31+J32*M32+J33*M33)/SUM(J30:J33)</f>
        <v>1</v>
      </c>
      <c r="N28" s="361">
        <f ca="1">(K30*N30+K31*N31+K32*N32+K33*N33)/SUM(K30:K33)</f>
        <v>1</v>
      </c>
      <c r="O28" s="178">
        <f>J28*M28</f>
        <v>45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117</v>
      </c>
      <c r="C29" s="690" t="s">
        <v>118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117</v>
      </c>
      <c r="C30" s="249" t="s">
        <v>119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121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122</v>
      </c>
      <c r="C32" s="249" t="s">
        <v>123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124</v>
      </c>
      <c r="C33" s="243" t="s">
        <v>125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133</v>
      </c>
      <c r="C41" s="243" t="s">
        <v>134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135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136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137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377">
        <f>J46*M46</f>
        <v>78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138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139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143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1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topLeftCell="B1" zoomScale="85" zoomScaleNormal="85" workbookViewId="0">
      <selection activeCell="P18" sqref="P18"/>
    </sheetView>
  </sheetViews>
  <sheetFormatPr defaultColWidth="8.36328125" defaultRowHeight="14.5"/>
  <cols>
    <col min="1" max="1" width="5.08984375" style="93" customWidth="1"/>
    <col min="2" max="2" width="5.08984375" style="130" customWidth="1"/>
    <col min="3" max="4" width="23.08984375" style="129" customWidth="1"/>
    <col min="5" max="5" width="6.6328125" style="129" customWidth="1"/>
    <col min="6" max="6" width="16.08984375" style="129" customWidth="1"/>
    <col min="7" max="7" width="4.36328125" style="129" customWidth="1"/>
    <col min="8" max="8" width="15.36328125" style="129" customWidth="1"/>
    <col min="9" max="9" width="1.81640625" style="129" customWidth="1"/>
    <col min="10" max="10" width="3.36328125" style="93" customWidth="1"/>
    <col min="11" max="11" width="1.81640625" style="175" customWidth="1"/>
    <col min="12" max="12" width="29.36328125" style="93" customWidth="1"/>
    <col min="13" max="13" width="1.81640625" style="129" customWidth="1"/>
    <col min="14" max="14" width="29.36328125" style="129" customWidth="1"/>
    <col min="15" max="15" width="1.36328125" style="93" customWidth="1"/>
    <col min="16" max="16" width="18.36328125" style="129" customWidth="1"/>
    <col min="17" max="17" width="14.6328125" style="129" customWidth="1"/>
    <col min="18" max="18" width="19.08984375" style="129" customWidth="1"/>
    <col min="19" max="19" width="16.6328125" style="129" customWidth="1"/>
    <col min="20" max="20" width="19" style="129" customWidth="1"/>
    <col min="21" max="21" width="14.81640625" style="93" customWidth="1"/>
    <col min="22" max="23" width="8.36328125" style="93"/>
    <col min="24" max="24" width="5.08984375" style="93" bestFit="1" customWidth="1"/>
    <col min="25" max="25" width="14.08984375" style="93" bestFit="1" customWidth="1"/>
    <col min="26" max="26" width="8.36328125" style="93"/>
    <col min="27" max="27" width="14.08984375" style="93" bestFit="1" customWidth="1"/>
    <col min="28" max="28" width="8.36328125" style="129"/>
    <col min="29" max="29" width="12.08984375" style="129" bestFit="1" customWidth="1"/>
    <col min="30" max="40" width="8.36328125" style="129"/>
    <col min="41" max="41" width="9.36328125" style="129" bestFit="1" customWidth="1"/>
    <col min="42" max="16384" width="8.36328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144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145</v>
      </c>
      <c r="F3" s="125" t="s">
        <v>146</v>
      </c>
      <c r="J3" s="141"/>
      <c r="L3" s="413" t="s">
        <v>147</v>
      </c>
      <c r="N3" s="413" t="s">
        <v>148</v>
      </c>
      <c r="P3" s="698" t="s">
        <v>149</v>
      </c>
      <c r="Q3" s="698" t="s">
        <v>150</v>
      </c>
      <c r="R3" s="698" t="s">
        <v>151</v>
      </c>
      <c r="S3" s="698" t="s">
        <v>152</v>
      </c>
      <c r="T3" s="698" t="s">
        <v>153</v>
      </c>
      <c r="U3" s="698" t="s">
        <v>154</v>
      </c>
    </row>
    <row r="4" spans="1:41" s="93" customFormat="1" ht="13">
      <c r="B4" s="352">
        <v>1</v>
      </c>
      <c r="C4" s="353" t="s">
        <v>155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156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627398.71354720742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496567.230569768</v>
      </c>
    </row>
    <row r="5" spans="1:41" s="93" customFormat="1" ht="15" customHeight="1">
      <c r="B5" s="352">
        <v>2</v>
      </c>
      <c r="C5" s="353" t="s">
        <v>157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158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159</v>
      </c>
      <c r="S6" s="141"/>
    </row>
    <row r="7" spans="1:41" s="93" customFormat="1" ht="15" customHeight="1">
      <c r="B7" s="352">
        <v>4</v>
      </c>
      <c r="C7" s="353" t="s">
        <v>160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161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83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82" t="s">
        <v>169</v>
      </c>
      <c r="S12" s="141"/>
    </row>
    <row r="13" spans="1:41" s="93" customFormat="1" ht="13">
      <c r="B13" s="352">
        <v>1</v>
      </c>
      <c r="C13" s="805" t="s">
        <v>170</v>
      </c>
      <c r="D13" s="806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171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805" t="s">
        <v>172</v>
      </c>
      <c r="D14" s="806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173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805" t="s">
        <v>174</v>
      </c>
      <c r="D15" s="806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173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803" t="s">
        <v>134</v>
      </c>
      <c r="D16" s="804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175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803" t="s">
        <v>54</v>
      </c>
      <c r="D17" s="804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 t="s">
        <v>176</v>
      </c>
      <c r="N17" s="708">
        <v>46078</v>
      </c>
      <c r="O17" s="129"/>
      <c r="P17" s="139">
        <f>N17+7</f>
        <v>46085</v>
      </c>
      <c r="R17" s="383"/>
      <c r="S17" s="141"/>
    </row>
    <row r="18" spans="2:19" s="93" customFormat="1" ht="12.5">
      <c r="B18" s="352">
        <v>6</v>
      </c>
      <c r="C18" s="803" t="s">
        <v>177</v>
      </c>
      <c r="D18" s="804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805" t="s">
        <v>177</v>
      </c>
      <c r="D19" s="806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0898437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0898437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0898437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7"/>
      <c r="C4" s="807"/>
      <c r="D4" s="807"/>
      <c r="E4" s="417"/>
      <c r="F4" s="220" t="s">
        <v>145</v>
      </c>
      <c r="G4" s="215"/>
      <c r="H4" s="220" t="s">
        <v>146</v>
      </c>
      <c r="I4" s="215"/>
      <c r="J4" s="221" t="s">
        <v>211</v>
      </c>
      <c r="K4" s="112"/>
      <c r="L4" s="112"/>
    </row>
    <row r="5" spans="1:12" ht="14.5" thickBot="1">
      <c r="A5" s="215"/>
      <c r="B5" s="808" t="s">
        <v>212</v>
      </c>
      <c r="C5" s="808"/>
      <c r="D5" s="808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83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5" zoomScaleNormal="85" workbookViewId="0">
      <pane ySplit="4" topLeftCell="A120" activePane="bottomLeft" state="frozen"/>
      <selection activeCell="X33" sqref="X33"/>
      <selection pane="bottomLeft" activeCell="S148" sqref="S148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13" style="70" hidden="1" customWidth="1"/>
    <col min="6" max="6" width="16.6328125" style="477" hidden="1" customWidth="1"/>
    <col min="7" max="7" width="17.36328125" style="24" hidden="1" customWidth="1"/>
    <col min="8" max="8" width="17.36328125" style="546" hidden="1" customWidth="1"/>
    <col min="9" max="9" width="22.36328125" style="350" hidden="1" customWidth="1"/>
    <col min="10" max="10" width="22.36328125" style="350" bestFit="1" customWidth="1"/>
    <col min="11" max="12" width="5.08984375" style="112" customWidth="1"/>
    <col min="13" max="13" width="25.6328125" style="112" customWidth="1"/>
    <col min="14" max="14" width="48.36328125" style="112" customWidth="1"/>
    <col min="15" max="15" width="15.81640625" style="112" customWidth="1"/>
    <col min="16" max="17" width="17.36328125" style="112" customWidth="1"/>
    <col min="18" max="18" width="39" style="112" customWidth="1"/>
    <col min="19" max="19" width="36.6328125" style="112" customWidth="1"/>
    <col min="20" max="21" width="17.36328125" style="546" customWidth="1"/>
    <col min="22" max="22" width="17.36328125" style="112" customWidth="1"/>
    <col min="23" max="23" width="17.36328125" style="546" customWidth="1"/>
    <col min="24" max="24" width="21.08984375" style="112" customWidth="1"/>
    <col min="25" max="25" width="29.36328125" style="112" bestFit="1" customWidth="1"/>
    <col min="26" max="26" width="24.816406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75" t="s">
        <v>219</v>
      </c>
      <c r="C2" s="776"/>
      <c r="D2" s="776"/>
      <c r="E2" s="776"/>
      <c r="F2" s="776"/>
      <c r="G2" s="776"/>
      <c r="H2" s="505"/>
      <c r="I2" s="258">
        <f>SUM(I6:I159)</f>
        <v>686839.19314130431</v>
      </c>
      <c r="J2" s="258">
        <f>SUM(J6:J159)</f>
        <v>828367.24558144645</v>
      </c>
      <c r="L2" s="777" t="s">
        <v>220</v>
      </c>
      <c r="M2" s="778"/>
      <c r="N2" s="778"/>
      <c r="O2" s="778"/>
      <c r="P2" s="778"/>
      <c r="Q2" s="778"/>
      <c r="R2" s="779" t="s">
        <v>221</v>
      </c>
      <c r="S2" s="780"/>
      <c r="T2" s="780"/>
      <c r="U2" s="780"/>
      <c r="V2" s="780"/>
      <c r="W2" s="781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166</v>
      </c>
      <c r="T4" s="643" t="s">
        <v>167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28">
        <f>SUM(G6:G11)</f>
        <v>167702.96000000005</v>
      </c>
      <c r="J6" s="728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37">
        <f>J6-SUM(U6:U11)</f>
        <v>0</v>
      </c>
      <c r="W6" s="717">
        <v>45989</v>
      </c>
      <c r="X6" s="725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29"/>
      <c r="J7" s="729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38"/>
      <c r="W7" s="537">
        <v>45989</v>
      </c>
      <c r="X7" s="726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29"/>
      <c r="J8" s="729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38"/>
      <c r="W8" s="569"/>
      <c r="X8" s="726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29"/>
      <c r="J9" s="729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38"/>
      <c r="W9" s="570"/>
      <c r="X9" s="726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29"/>
      <c r="J10" s="729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38"/>
      <c r="W10" s="570"/>
      <c r="X10" s="726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30"/>
      <c r="J11" s="730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39"/>
      <c r="W11" s="571"/>
      <c r="X11" s="727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53">
        <f>SUM(G13:G19)</f>
        <v>47500</v>
      </c>
      <c r="J13" s="753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71">
        <f>J13-SUM(U13:U19)</f>
        <v>0</v>
      </c>
      <c r="W13" s="539">
        <v>45900</v>
      </c>
      <c r="X13" s="756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54"/>
      <c r="J14" s="754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72"/>
      <c r="W14" s="651"/>
      <c r="X14" s="757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54"/>
      <c r="J15" s="754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72"/>
      <c r="W15" s="574"/>
      <c r="X15" s="757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54"/>
      <c r="J16" s="754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72"/>
      <c r="W16" s="574"/>
      <c r="X16" s="757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54"/>
      <c r="J17" s="754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72"/>
      <c r="W17" s="574"/>
      <c r="X17" s="757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54"/>
      <c r="J18" s="754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72"/>
      <c r="W18" s="574"/>
      <c r="X18" s="757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55"/>
      <c r="J19" s="755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73"/>
      <c r="W19" s="575"/>
      <c r="X19" s="758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28">
        <f>SUM(G21:G26)</f>
        <v>47059.199999999997</v>
      </c>
      <c r="J21" s="728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37">
        <f>J21-SUM(U21:U26)</f>
        <v>0</v>
      </c>
      <c r="W21" s="695">
        <f>T21+30</f>
        <v>45960</v>
      </c>
      <c r="X21" s="725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29"/>
      <c r="J22" s="729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38"/>
      <c r="W22" s="569"/>
      <c r="X22" s="726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29"/>
      <c r="J23" s="729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38"/>
      <c r="W23" s="537">
        <v>45989</v>
      </c>
      <c r="X23" s="726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29"/>
      <c r="J24" s="729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38"/>
      <c r="W24" s="570"/>
      <c r="X24" s="726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29"/>
      <c r="J25" s="729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38"/>
      <c r="W25" s="570"/>
      <c r="X25" s="726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30"/>
      <c r="J26" s="730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39"/>
      <c r="W26" s="571"/>
      <c r="X26" s="727"/>
      <c r="Y26" s="610" t="s">
        <v>146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53">
        <f>SUM(G28:G42)</f>
        <v>87218.6</v>
      </c>
      <c r="J28" s="753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71">
        <f>J28-SUM(U28:U42)</f>
        <v>-6.7025581014459021</v>
      </c>
      <c r="W28" s="718">
        <v>45989</v>
      </c>
      <c r="X28" s="756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54"/>
      <c r="J29" s="754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72"/>
      <c r="W29" s="574"/>
      <c r="X29" s="757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54"/>
      <c r="J30" s="754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72"/>
      <c r="W30" s="574"/>
      <c r="X30" s="757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54"/>
      <c r="J31" s="754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72"/>
      <c r="W31" s="574"/>
      <c r="X31" s="757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54"/>
      <c r="J32" s="754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49" t="s">
        <v>275</v>
      </c>
      <c r="S32" s="627" t="s">
        <v>276</v>
      </c>
      <c r="T32" s="673">
        <v>45930</v>
      </c>
      <c r="U32" s="709">
        <v>4623.9056888684636</v>
      </c>
      <c r="V32" s="772"/>
      <c r="W32" s="540">
        <f>W90</f>
        <v>45918</v>
      </c>
      <c r="X32" s="757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54"/>
      <c r="J33" s="754"/>
      <c r="K33" s="301"/>
      <c r="L33" s="298">
        <v>4</v>
      </c>
      <c r="M33" s="430" t="s">
        <v>270</v>
      </c>
      <c r="N33" s="412" t="s">
        <v>101</v>
      </c>
      <c r="O33" s="553"/>
      <c r="P33" s="563">
        <v>0.15</v>
      </c>
      <c r="Q33" s="300">
        <f t="shared" ref="Q33:Q39" si="5">$O$32*P33</f>
        <v>6298.5</v>
      </c>
      <c r="R33" s="774"/>
      <c r="S33" s="627" t="s">
        <v>277</v>
      </c>
      <c r="T33" s="653">
        <f t="shared" si="0"/>
        <v>45961</v>
      </c>
      <c r="U33" s="709">
        <v>6935.8585333026958</v>
      </c>
      <c r="V33" s="772"/>
      <c r="W33" s="540">
        <f t="shared" ref="W33:W39" si="6">W91</f>
        <v>45954</v>
      </c>
      <c r="X33" s="757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54"/>
      <c r="J34" s="754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4"/>
      <c r="S34" s="627" t="str">
        <f>S92</f>
        <v>Matthews Group - INV1564</v>
      </c>
      <c r="T34" s="653">
        <f>T92</f>
        <v>45991</v>
      </c>
      <c r="U34" s="709">
        <v>9247.8113777369272</v>
      </c>
      <c r="V34" s="772"/>
      <c r="W34" s="714">
        <f t="shared" si="6"/>
        <v>45995</v>
      </c>
      <c r="X34" s="757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54"/>
      <c r="J35" s="754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4"/>
      <c r="S35" s="627" t="s">
        <v>282</v>
      </c>
      <c r="T35" s="715">
        <f>T93</f>
        <v>45991</v>
      </c>
      <c r="U35" s="709">
        <v>11559.764222171159</v>
      </c>
      <c r="V35" s="772"/>
      <c r="W35" s="540">
        <f>W93</f>
        <v>45989</v>
      </c>
      <c r="X35" s="757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54"/>
      <c r="J36" s="754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4"/>
      <c r="S36" s="627" t="s">
        <v>284</v>
      </c>
      <c r="T36" s="653">
        <v>46022</v>
      </c>
      <c r="U36" s="709">
        <v>4631.2783990413282</v>
      </c>
      <c r="V36" s="772"/>
      <c r="W36" s="540">
        <f>W94</f>
        <v>46065</v>
      </c>
      <c r="X36" s="757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54"/>
      <c r="J37" s="754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4"/>
      <c r="S37" s="627" t="s">
        <v>286</v>
      </c>
      <c r="T37" s="653">
        <v>46022</v>
      </c>
      <c r="U37" s="709">
        <v>4623.5706128327474</v>
      </c>
      <c r="V37" s="772"/>
      <c r="W37" s="540">
        <f>W95</f>
        <v>46065</v>
      </c>
      <c r="X37" s="757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54"/>
      <c r="J38" s="754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4"/>
      <c r="S38" s="627" t="s">
        <v>288</v>
      </c>
      <c r="T38" s="653">
        <v>46022</v>
      </c>
      <c r="U38" s="709">
        <v>2311.7853064163737</v>
      </c>
      <c r="V38" s="772"/>
      <c r="W38" s="540">
        <f>W96</f>
        <v>46065</v>
      </c>
      <c r="X38" s="757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54"/>
      <c r="J39" s="754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50"/>
      <c r="S39" s="627" t="s">
        <v>290</v>
      </c>
      <c r="T39" s="653">
        <v>46022</v>
      </c>
      <c r="U39" s="709">
        <v>2311.7853064163737</v>
      </c>
      <c r="V39" s="772"/>
      <c r="W39" s="574">
        <f t="shared" si="6"/>
        <v>46095</v>
      </c>
      <c r="X39" s="757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54"/>
      <c r="J40" s="754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72"/>
      <c r="W40" s="574"/>
      <c r="X40" s="757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54"/>
      <c r="J41" s="754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72"/>
      <c r="W41" s="574"/>
      <c r="X41" s="757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55"/>
      <c r="J42" s="755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73"/>
      <c r="W42" s="575"/>
      <c r="X42" s="758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28">
        <f>SUM(G44:G50)</f>
        <v>41000</v>
      </c>
      <c r="J44" s="728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37">
        <f>J44-SUM(U44:U50)</f>
        <v>1947.1051844589529</v>
      </c>
      <c r="W44" s="695">
        <v>45926</v>
      </c>
      <c r="X44" s="725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29"/>
      <c r="J45" s="729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38"/>
      <c r="W45" s="537">
        <f>T45+30</f>
        <v>45930</v>
      </c>
      <c r="X45" s="726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29"/>
      <c r="J46" s="729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38"/>
      <c r="W46" s="537">
        <v>45974</v>
      </c>
      <c r="X46" s="726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29"/>
      <c r="J47" s="729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38"/>
      <c r="W47" s="537">
        <v>45899</v>
      </c>
      <c r="X47" s="726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29"/>
      <c r="J48" s="729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38"/>
      <c r="W48" s="538">
        <v>45899</v>
      </c>
      <c r="X48" s="726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29"/>
      <c r="J49" s="729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38"/>
      <c r="W49" s="684">
        <v>45930</v>
      </c>
      <c r="X49" s="726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30"/>
      <c r="J50" s="730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39"/>
      <c r="W50" s="686">
        <v>45910</v>
      </c>
      <c r="X50" s="727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53">
        <f>SUM(G52:G68)</f>
        <v>131329.98260869566</v>
      </c>
      <c r="J52" s="753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71">
        <f>J52-SUM(U52:U68)</f>
        <v>0</v>
      </c>
      <c r="W52" s="573"/>
      <c r="X52" s="756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54"/>
      <c r="J53" s="754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72"/>
      <c r="W53" s="714">
        <f>T53+30</f>
        <v>45930</v>
      </c>
      <c r="X53" s="757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54"/>
      <c r="J54" s="754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72"/>
      <c r="W54" s="574"/>
      <c r="X54" s="757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54"/>
      <c r="J55" s="754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72"/>
      <c r="W55" s="574"/>
      <c r="X55" s="757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54"/>
      <c r="J56" s="754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72"/>
      <c r="W56" s="574"/>
      <c r="X56" s="757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54"/>
      <c r="J57" s="754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72"/>
      <c r="W57" s="574"/>
      <c r="X57" s="757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54"/>
      <c r="J58" s="754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49" t="s">
        <v>275</v>
      </c>
      <c r="S58" s="627" t="s">
        <v>276</v>
      </c>
      <c r="T58" s="672">
        <v>45930</v>
      </c>
      <c r="U58" s="709">
        <v>5195.7168660597981</v>
      </c>
      <c r="V58" s="772"/>
      <c r="W58" s="540">
        <f>W90</f>
        <v>45918</v>
      </c>
      <c r="X58" s="757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54"/>
      <c r="J59" s="754"/>
      <c r="K59" s="301"/>
      <c r="L59" s="298">
        <v>6</v>
      </c>
      <c r="M59" s="434" t="s">
        <v>307</v>
      </c>
      <c r="N59" s="412" t="s">
        <v>101</v>
      </c>
      <c r="O59" s="553"/>
      <c r="P59" s="563">
        <v>0.15</v>
      </c>
      <c r="Q59" s="300">
        <f t="shared" ref="Q59:Q65" si="10">$O$58*P59</f>
        <v>3875.3999999999996</v>
      </c>
      <c r="R59" s="774"/>
      <c r="S59" s="627" t="s">
        <v>277</v>
      </c>
      <c r="T59" s="697">
        <f t="shared" si="0"/>
        <v>45961</v>
      </c>
      <c r="U59" s="709">
        <v>7793.5752990896963</v>
      </c>
      <c r="V59" s="772"/>
      <c r="W59" s="540">
        <f t="shared" ref="W59:W65" si="11">W91</f>
        <v>45954</v>
      </c>
      <c r="X59" s="757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54"/>
      <c r="J60" s="754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4"/>
      <c r="S60" s="627" t="str">
        <f>S92</f>
        <v>Matthews Group - INV1564</v>
      </c>
      <c r="T60" s="697">
        <f>T92</f>
        <v>45991</v>
      </c>
      <c r="U60" s="709">
        <v>10391.433732119596</v>
      </c>
      <c r="V60" s="772"/>
      <c r="W60" s="714">
        <f t="shared" si="11"/>
        <v>45995</v>
      </c>
      <c r="X60" s="757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54"/>
      <c r="J61" s="754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4"/>
      <c r="S61" s="627" t="s">
        <v>282</v>
      </c>
      <c r="T61" s="716">
        <f>T93</f>
        <v>45991</v>
      </c>
      <c r="U61" s="709">
        <v>12989.292165149494</v>
      </c>
      <c r="V61" s="772"/>
      <c r="W61" s="540">
        <f>W93</f>
        <v>45989</v>
      </c>
      <c r="X61" s="757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54"/>
      <c r="J62" s="754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4"/>
      <c r="S62" s="627" t="s">
        <v>284</v>
      </c>
      <c r="T62" s="697">
        <v>46022</v>
      </c>
      <c r="U62" s="709">
        <v>5195.7168660597981</v>
      </c>
      <c r="V62" s="772"/>
      <c r="W62" s="540">
        <f>W94</f>
        <v>46065</v>
      </c>
      <c r="X62" s="757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54"/>
      <c r="J63" s="754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4"/>
      <c r="S63" s="627" t="s">
        <v>286</v>
      </c>
      <c r="T63" s="697">
        <v>46022</v>
      </c>
      <c r="U63" s="723">
        <v>5195.7168660597981</v>
      </c>
      <c r="V63" s="772"/>
      <c r="W63" s="540">
        <f>W95</f>
        <v>46065</v>
      </c>
      <c r="X63" s="757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54"/>
      <c r="J64" s="754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4"/>
      <c r="S64" s="627" t="s">
        <v>288</v>
      </c>
      <c r="T64" s="697">
        <v>46022</v>
      </c>
      <c r="U64" s="723">
        <v>2597.8584330298991</v>
      </c>
      <c r="V64" s="772"/>
      <c r="W64" s="540">
        <f>W96</f>
        <v>46065</v>
      </c>
      <c r="X64" s="757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54"/>
      <c r="J65" s="754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50"/>
      <c r="S65" s="627" t="s">
        <v>290</v>
      </c>
      <c r="T65" s="697">
        <v>46022</v>
      </c>
      <c r="U65" s="723">
        <v>2597.8584330298991</v>
      </c>
      <c r="V65" s="772"/>
      <c r="W65" s="574">
        <f t="shared" si="11"/>
        <v>46095</v>
      </c>
      <c r="X65" s="757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54"/>
      <c r="J66" s="754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72"/>
      <c r="W66" s="577"/>
      <c r="X66" s="757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54"/>
      <c r="J67" s="754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72"/>
      <c r="W67" s="577"/>
      <c r="X67" s="757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55"/>
      <c r="J68" s="755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73"/>
      <c r="W68" s="575"/>
      <c r="X68" s="758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28">
        <f>SUM(G70:G77)</f>
        <v>0</v>
      </c>
      <c r="J70" s="728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68">
        <f>J70-SUM(U70:U77)</f>
        <v>0</v>
      </c>
      <c r="W70" s="579"/>
      <c r="X70" s="725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29"/>
      <c r="J71" s="729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69"/>
      <c r="W71" s="570"/>
      <c r="X71" s="726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29"/>
      <c r="J72" s="729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69"/>
      <c r="W72" s="570"/>
      <c r="X72" s="726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29"/>
      <c r="J73" s="729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69"/>
      <c r="W73" s="570"/>
      <c r="X73" s="726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29"/>
      <c r="J74" s="729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69"/>
      <c r="W74" s="570"/>
      <c r="X74" s="726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29"/>
      <c r="J75" s="729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69"/>
      <c r="W75" s="570"/>
      <c r="X75" s="726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29"/>
      <c r="J76" s="729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69"/>
      <c r="W76" s="570"/>
      <c r="X76" s="726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30"/>
      <c r="J77" s="730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70"/>
      <c r="W77" s="571"/>
      <c r="X77" s="727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53">
        <f>SUM(G79:G87)</f>
        <v>4000</v>
      </c>
      <c r="J79" s="753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65">
        <f>J79-SUM(U79:U87)</f>
        <v>0</v>
      </c>
      <c r="W79" s="573"/>
      <c r="X79" s="756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54"/>
      <c r="J80" s="754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66"/>
      <c r="W80" s="574"/>
      <c r="X80" s="757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54"/>
      <c r="J81" s="754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66"/>
      <c r="W81" s="540">
        <v>45911</v>
      </c>
      <c r="X81" s="757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54"/>
      <c r="J82" s="754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66"/>
      <c r="W82" s="574"/>
      <c r="X82" s="757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54"/>
      <c r="J83" s="754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49" t="s">
        <v>318</v>
      </c>
      <c r="S83" s="627" t="s">
        <v>319</v>
      </c>
      <c r="T83" s="653">
        <v>45961</v>
      </c>
      <c r="U83" s="709">
        <v>2085.2181982106486</v>
      </c>
      <c r="V83" s="766"/>
      <c r="W83" s="540">
        <v>45954</v>
      </c>
      <c r="X83" s="757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54"/>
      <c r="J84" s="754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50"/>
      <c r="S84" s="627" t="s">
        <v>319</v>
      </c>
      <c r="T84" s="653">
        <v>45961</v>
      </c>
      <c r="U84" s="709">
        <v>2085.2181982106486</v>
      </c>
      <c r="V84" s="766"/>
      <c r="W84" s="540">
        <v>46051</v>
      </c>
      <c r="X84" s="757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54"/>
      <c r="J85" s="754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66"/>
      <c r="W85" s="574"/>
      <c r="X85" s="757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54"/>
      <c r="J86" s="754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66"/>
      <c r="W86" s="577"/>
      <c r="X86" s="757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55"/>
      <c r="J87" s="755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67"/>
      <c r="W87" s="575"/>
      <c r="X87" s="758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59">
        <f>SUM(G89:G100)</f>
        <v>45600</v>
      </c>
      <c r="J89" s="728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37">
        <f>J89-SUM(U89:U100)</f>
        <v>0</v>
      </c>
      <c r="W89" s="576"/>
      <c r="X89" s="762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60"/>
      <c r="J90" s="729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46" t="s">
        <v>275</v>
      </c>
      <c r="S90" s="622" t="s">
        <v>276</v>
      </c>
      <c r="T90" s="671">
        <v>45930</v>
      </c>
      <c r="U90" s="707">
        <v>5364.7058823529414</v>
      </c>
      <c r="V90" s="738"/>
      <c r="W90" s="537">
        <v>45918</v>
      </c>
      <c r="X90" s="763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60"/>
      <c r="J91" s="729"/>
      <c r="K91" s="288"/>
      <c r="L91" s="387">
        <v>9</v>
      </c>
      <c r="M91" s="504" t="s">
        <v>324</v>
      </c>
      <c r="N91" s="389" t="s">
        <v>101</v>
      </c>
      <c r="O91" s="549"/>
      <c r="P91" s="564">
        <v>0.15</v>
      </c>
      <c r="Q91" s="315">
        <f t="shared" ref="Q91:Q97" si="14">$O$90*P91</f>
        <v>13309.8</v>
      </c>
      <c r="R91" s="747"/>
      <c r="S91" s="623" t="s">
        <v>277</v>
      </c>
      <c r="T91" s="668">
        <f t="shared" si="12"/>
        <v>45961</v>
      </c>
      <c r="U91" s="707">
        <v>8047.0588235294108</v>
      </c>
      <c r="V91" s="738"/>
      <c r="W91" s="538">
        <v>45954</v>
      </c>
      <c r="X91" s="763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60"/>
      <c r="J92" s="729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47"/>
      <c r="S92" s="623" t="s">
        <v>326</v>
      </c>
      <c r="T92" s="668">
        <v>45991</v>
      </c>
      <c r="U92" s="707">
        <v>10729.411764705883</v>
      </c>
      <c r="V92" s="738"/>
      <c r="W92" s="684">
        <v>45995</v>
      </c>
      <c r="X92" s="763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60"/>
      <c r="J93" s="729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47"/>
      <c r="S93" s="623" t="s">
        <v>282</v>
      </c>
      <c r="T93" s="683">
        <v>45991</v>
      </c>
      <c r="U93" s="707">
        <v>13411.764705882353</v>
      </c>
      <c r="V93" s="738"/>
      <c r="W93" s="538">
        <v>45989</v>
      </c>
      <c r="X93" s="763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60"/>
      <c r="J94" s="729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47"/>
      <c r="S94" s="623" t="s">
        <v>284</v>
      </c>
      <c r="T94" s="668">
        <f t="shared" si="12"/>
        <v>46081</v>
      </c>
      <c r="U94" s="707">
        <v>5364.7058823529414</v>
      </c>
      <c r="V94" s="738"/>
      <c r="W94" s="538">
        <v>46065</v>
      </c>
      <c r="X94" s="763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60"/>
      <c r="J95" s="729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47"/>
      <c r="S95" s="623" t="s">
        <v>286</v>
      </c>
      <c r="T95" s="668">
        <v>46022</v>
      </c>
      <c r="U95" s="707">
        <v>5364.7058823529414</v>
      </c>
      <c r="V95" s="738"/>
      <c r="W95" s="538">
        <v>46065</v>
      </c>
      <c r="X95" s="763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60"/>
      <c r="J96" s="729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47"/>
      <c r="S96" s="623" t="s">
        <v>288</v>
      </c>
      <c r="T96" s="668">
        <v>46022</v>
      </c>
      <c r="U96" s="707">
        <v>2682.3529411764707</v>
      </c>
      <c r="V96" s="738"/>
      <c r="W96" s="538">
        <v>46065</v>
      </c>
      <c r="X96" s="763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60"/>
      <c r="J97" s="729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48"/>
      <c r="S97" s="623" t="s">
        <v>290</v>
      </c>
      <c r="T97" s="668">
        <v>46022</v>
      </c>
      <c r="U97" s="707">
        <v>2682.3529411764707</v>
      </c>
      <c r="V97" s="738"/>
      <c r="W97" s="570">
        <f>W96+30</f>
        <v>46095</v>
      </c>
      <c r="X97" s="763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60"/>
      <c r="J98" s="729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38"/>
      <c r="W98" s="570"/>
      <c r="X98" s="763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60"/>
      <c r="J99" s="729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38"/>
      <c r="W99" s="570"/>
      <c r="X99" s="763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61"/>
      <c r="J100" s="730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39"/>
      <c r="W100" s="571"/>
      <c r="X100" s="764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31">
        <f>SUM(G102:G116)</f>
        <v>37508.5</v>
      </c>
      <c r="J102" s="731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40">
        <f>J102-SUM(U102:U116)</f>
        <v>0</v>
      </c>
      <c r="W102" s="580"/>
      <c r="X102" s="734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32"/>
      <c r="J103" s="732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41"/>
      <c r="W103" s="581"/>
      <c r="X103" s="735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32"/>
      <c r="J104" s="732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41"/>
      <c r="W104" s="581"/>
      <c r="X104" s="735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32"/>
      <c r="J105" s="732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41"/>
      <c r="W105" s="581"/>
      <c r="X105" s="735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32"/>
      <c r="J106" s="732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43" t="s">
        <v>275</v>
      </c>
      <c r="S106" s="636" t="s">
        <v>276</v>
      </c>
      <c r="T106" s="670">
        <v>45930</v>
      </c>
      <c r="U106" s="712">
        <v>4412.7647058823532</v>
      </c>
      <c r="V106" s="741"/>
      <c r="W106" s="542">
        <f>W90</f>
        <v>45918</v>
      </c>
      <c r="X106" s="735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32"/>
      <c r="J107" s="732"/>
      <c r="K107" s="272"/>
      <c r="L107" s="340">
        <v>10</v>
      </c>
      <c r="M107" s="439" t="s">
        <v>328</v>
      </c>
      <c r="N107" s="341" t="s">
        <v>101</v>
      </c>
      <c r="O107" s="560"/>
      <c r="P107" s="567">
        <v>0.15</v>
      </c>
      <c r="Q107" s="343">
        <f t="shared" ref="Q107:Q113" si="17">$O$106*P107</f>
        <v>5335.2</v>
      </c>
      <c r="R107" s="744"/>
      <c r="S107" s="641" t="s">
        <v>277</v>
      </c>
      <c r="T107" s="696">
        <v>45961</v>
      </c>
      <c r="U107" s="712">
        <v>6619.1470588235297</v>
      </c>
      <c r="V107" s="741"/>
      <c r="W107" s="542">
        <f t="shared" ref="W107:W113" si="18">W91</f>
        <v>45954</v>
      </c>
      <c r="X107" s="735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32"/>
      <c r="J108" s="732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44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41"/>
      <c r="W108" s="688">
        <f t="shared" si="18"/>
        <v>45995</v>
      </c>
      <c r="X108" s="735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32"/>
      <c r="J109" s="732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44"/>
      <c r="S109" s="636" t="s">
        <v>282</v>
      </c>
      <c r="T109" s="687">
        <f>T93</f>
        <v>45991</v>
      </c>
      <c r="U109" s="712">
        <v>11031.911764705883</v>
      </c>
      <c r="V109" s="741"/>
      <c r="W109" s="542">
        <f>W93</f>
        <v>45989</v>
      </c>
      <c r="X109" s="735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32"/>
      <c r="J110" s="732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44"/>
      <c r="S110" s="636" t="s">
        <v>284</v>
      </c>
      <c r="T110" s="696">
        <v>46022</v>
      </c>
      <c r="U110" s="712">
        <v>4412.7647058823532</v>
      </c>
      <c r="V110" s="741"/>
      <c r="W110" s="542">
        <f>W94</f>
        <v>46065</v>
      </c>
      <c r="X110" s="735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32"/>
      <c r="J111" s="732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44"/>
      <c r="S111" s="636" t="s">
        <v>286</v>
      </c>
      <c r="T111" s="696">
        <v>46022</v>
      </c>
      <c r="U111" s="712">
        <v>4412.7647058823532</v>
      </c>
      <c r="V111" s="741"/>
      <c r="W111" s="542">
        <f>W95</f>
        <v>46065</v>
      </c>
      <c r="X111" s="735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32"/>
      <c r="J112" s="732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44"/>
      <c r="S112" s="636" t="s">
        <v>288</v>
      </c>
      <c r="T112" s="696">
        <v>46022</v>
      </c>
      <c r="U112" s="712">
        <v>2206.3823529411766</v>
      </c>
      <c r="V112" s="741"/>
      <c r="W112" s="542">
        <f>W96</f>
        <v>46065</v>
      </c>
      <c r="X112" s="735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32"/>
      <c r="J113" s="732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45"/>
      <c r="S113" s="636" t="s">
        <v>290</v>
      </c>
      <c r="T113" s="696">
        <v>46022</v>
      </c>
      <c r="U113" s="712">
        <v>2206.3823529411766</v>
      </c>
      <c r="V113" s="741"/>
      <c r="W113" s="582">
        <f t="shared" si="18"/>
        <v>46095</v>
      </c>
      <c r="X113" s="735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32"/>
      <c r="J114" s="732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41"/>
      <c r="W114" s="582"/>
      <c r="X114" s="735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32"/>
      <c r="J115" s="732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41"/>
      <c r="W115" s="582"/>
      <c r="X115" s="735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33"/>
      <c r="J116" s="733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42"/>
      <c r="W116" s="583"/>
      <c r="X116" s="736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28">
        <f>SUM(G118:G122)</f>
        <v>29000</v>
      </c>
      <c r="J118" s="728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37">
        <f>J118-SUM(U118:U122)</f>
        <v>-2.9208012492745183E-3</v>
      </c>
      <c r="W118" s="576">
        <v>46065</v>
      </c>
      <c r="X118" s="725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29"/>
      <c r="J119" s="729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38"/>
      <c r="W119" s="537">
        <v>45526</v>
      </c>
      <c r="X119" s="726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29"/>
      <c r="J120" s="729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38"/>
      <c r="W120" s="569"/>
      <c r="X120" s="726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29"/>
      <c r="J121" s="729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38"/>
      <c r="W121" s="538">
        <v>46051</v>
      </c>
      <c r="X121" s="726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30"/>
      <c r="J122" s="730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39"/>
      <c r="W122" s="571"/>
      <c r="X122" s="727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31">
        <f>SUM(G124:G125)</f>
        <v>0</v>
      </c>
      <c r="J124" s="731">
        <v>0</v>
      </c>
      <c r="K124" s="751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34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33"/>
      <c r="J125" s="733"/>
      <c r="K125" s="752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36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28">
        <f>SUM(G127:G131)</f>
        <v>48044.950532608695</v>
      </c>
      <c r="J127" s="728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 t="s">
        <v>345</v>
      </c>
      <c r="T127" s="722">
        <v>46081</v>
      </c>
      <c r="U127" s="514">
        <f t="shared" ref="U127:U132" si="19">(Q127/$X$127*$J$127)</f>
        <v>54596.534696146242</v>
      </c>
      <c r="V127" s="737">
        <f>J127-SUM(U127:U132)</f>
        <v>0</v>
      </c>
      <c r="W127" s="570">
        <v>46112</v>
      </c>
      <c r="X127" s="725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29"/>
      <c r="J128" s="729"/>
      <c r="K128" s="288"/>
      <c r="L128" s="311">
        <v>13</v>
      </c>
      <c r="M128" s="393" t="s">
        <v>343</v>
      </c>
      <c r="N128" s="313" t="s">
        <v>346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38"/>
      <c r="W128" s="569"/>
      <c r="X128" s="726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29"/>
      <c r="J129" s="729"/>
      <c r="K129" s="288"/>
      <c r="L129" s="311">
        <v>13</v>
      </c>
      <c r="M129" s="393" t="s">
        <v>343</v>
      </c>
      <c r="N129" s="313" t="s">
        <v>347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38"/>
      <c r="W129" s="569"/>
      <c r="X129" s="726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29"/>
      <c r="J130" s="729"/>
      <c r="K130" s="288"/>
      <c r="L130" s="311">
        <v>13</v>
      </c>
      <c r="M130" s="393" t="s">
        <v>343</v>
      </c>
      <c r="N130" s="313" t="s">
        <v>348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38"/>
      <c r="W130" s="569"/>
      <c r="X130" s="726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29"/>
      <c r="J131" s="729"/>
      <c r="K131" s="288"/>
      <c r="L131" s="311">
        <v>13</v>
      </c>
      <c r="M131" s="393" t="s">
        <v>343</v>
      </c>
      <c r="N131" s="313" t="s">
        <v>349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38"/>
      <c r="W131" s="569"/>
      <c r="X131" s="726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30"/>
      <c r="J132" s="730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39"/>
      <c r="W132" s="571"/>
      <c r="X132" s="727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350</v>
      </c>
      <c r="D134" s="270" t="s">
        <v>351</v>
      </c>
      <c r="E134" s="271"/>
      <c r="F134" s="473"/>
      <c r="G134" s="338">
        <f>D186</f>
        <v>875</v>
      </c>
      <c r="H134" s="542">
        <v>45905</v>
      </c>
      <c r="I134" s="731">
        <f>SUM(G134:G145)</f>
        <v>875</v>
      </c>
      <c r="J134" s="731">
        <f>F186</f>
        <v>1029.4117647058824</v>
      </c>
      <c r="K134" s="339"/>
      <c r="L134" s="269">
        <v>14</v>
      </c>
      <c r="M134" s="438" t="s">
        <v>352</v>
      </c>
      <c r="N134" s="270" t="s">
        <v>353</v>
      </c>
      <c r="O134" s="559"/>
      <c r="P134" s="654"/>
      <c r="Q134" s="659">
        <v>304.64</v>
      </c>
      <c r="R134" s="656"/>
      <c r="S134" s="640" t="s">
        <v>354</v>
      </c>
      <c r="T134" s="674">
        <v>45900</v>
      </c>
      <c r="U134" s="680">
        <v>422.56178079607622</v>
      </c>
      <c r="V134" s="740">
        <f>J134-SUM(U134:U145)</f>
        <v>-1.6090193867057678E-5</v>
      </c>
      <c r="W134" s="542">
        <v>45905</v>
      </c>
      <c r="X134" s="734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32"/>
      <c r="J135" s="732"/>
      <c r="K135" s="272"/>
      <c r="L135" s="340">
        <v>14</v>
      </c>
      <c r="M135" s="439" t="s">
        <v>352</v>
      </c>
      <c r="N135" s="341" t="s">
        <v>353</v>
      </c>
      <c r="O135" s="560"/>
      <c r="P135" s="655"/>
      <c r="Q135" s="658">
        <v>0</v>
      </c>
      <c r="R135" s="657"/>
      <c r="S135" s="640" t="s">
        <v>354</v>
      </c>
      <c r="T135" s="687">
        <v>45930</v>
      </c>
      <c r="U135" s="519">
        <v>0</v>
      </c>
      <c r="V135" s="741"/>
      <c r="W135" s="688">
        <v>45930</v>
      </c>
      <c r="X135" s="735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32"/>
      <c r="J136" s="732"/>
      <c r="K136" s="272"/>
      <c r="L136" s="340">
        <v>14</v>
      </c>
      <c r="M136" s="439" t="s">
        <v>352</v>
      </c>
      <c r="N136" s="341" t="s">
        <v>353</v>
      </c>
      <c r="O136" s="560"/>
      <c r="P136" s="474"/>
      <c r="Q136" s="343">
        <v>435.52</v>
      </c>
      <c r="R136" s="600"/>
      <c r="S136" s="640" t="s">
        <v>354</v>
      </c>
      <c r="T136" s="687">
        <v>45961</v>
      </c>
      <c r="U136" s="712">
        <v>202.27</v>
      </c>
      <c r="V136" s="741"/>
      <c r="W136" s="688">
        <v>45967</v>
      </c>
      <c r="X136" s="735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32"/>
      <c r="J137" s="732"/>
      <c r="K137" s="272"/>
      <c r="L137" s="340">
        <v>14</v>
      </c>
      <c r="M137" s="439" t="s">
        <v>352</v>
      </c>
      <c r="N137" s="341" t="s">
        <v>353</v>
      </c>
      <c r="O137" s="560"/>
      <c r="P137" s="474"/>
      <c r="Q137" s="343">
        <v>0</v>
      </c>
      <c r="R137" s="600"/>
      <c r="S137" s="640" t="s">
        <v>354</v>
      </c>
      <c r="T137" s="687">
        <v>45991</v>
      </c>
      <c r="U137" s="712">
        <v>0</v>
      </c>
      <c r="V137" s="741"/>
      <c r="W137" s="688">
        <v>45991</v>
      </c>
      <c r="X137" s="735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32"/>
      <c r="J138" s="732"/>
      <c r="K138" s="272"/>
      <c r="L138" s="340">
        <v>14</v>
      </c>
      <c r="M138" s="439" t="s">
        <v>352</v>
      </c>
      <c r="N138" s="341" t="s">
        <v>353</v>
      </c>
      <c r="O138" s="560"/>
      <c r="P138" s="474"/>
      <c r="Q138" s="343">
        <v>0</v>
      </c>
      <c r="R138" s="600"/>
      <c r="S138" s="640" t="s">
        <v>354</v>
      </c>
      <c r="T138" s="687">
        <v>46022</v>
      </c>
      <c r="U138" s="712">
        <v>0</v>
      </c>
      <c r="V138" s="741"/>
      <c r="W138" s="688">
        <v>46022</v>
      </c>
      <c r="X138" s="735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32"/>
      <c r="J139" s="732"/>
      <c r="K139" s="272"/>
      <c r="L139" s="340">
        <v>14</v>
      </c>
      <c r="M139" s="439" t="s">
        <v>352</v>
      </c>
      <c r="N139" s="341" t="s">
        <v>353</v>
      </c>
      <c r="O139" s="560"/>
      <c r="P139" s="474"/>
      <c r="Q139" s="343">
        <v>0</v>
      </c>
      <c r="R139" s="600"/>
      <c r="S139" s="640" t="s">
        <v>354</v>
      </c>
      <c r="T139" s="687">
        <v>46053</v>
      </c>
      <c r="U139" s="712">
        <f>119.25+285.33</f>
        <v>404.58</v>
      </c>
      <c r="V139" s="741"/>
      <c r="W139" s="688">
        <v>46058</v>
      </c>
      <c r="X139" s="735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32"/>
      <c r="J140" s="732"/>
      <c r="K140" s="272"/>
      <c r="L140" s="340">
        <v>14</v>
      </c>
      <c r="M140" s="439" t="s">
        <v>352</v>
      </c>
      <c r="N140" s="341" t="s">
        <v>353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41"/>
      <c r="W140" s="582"/>
      <c r="X140" s="735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32"/>
      <c r="J141" s="732"/>
      <c r="K141" s="272"/>
      <c r="L141" s="340">
        <v>14</v>
      </c>
      <c r="M141" s="439" t="s">
        <v>352</v>
      </c>
      <c r="N141" s="341" t="s">
        <v>353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41"/>
      <c r="W141" s="582"/>
      <c r="X141" s="735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32"/>
      <c r="J142" s="732"/>
      <c r="K142" s="272"/>
      <c r="L142" s="340">
        <v>14</v>
      </c>
      <c r="M142" s="439" t="s">
        <v>352</v>
      </c>
      <c r="N142" s="341" t="s">
        <v>353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41"/>
      <c r="W142" s="582"/>
      <c r="X142" s="735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32"/>
      <c r="J143" s="732"/>
      <c r="K143" s="272"/>
      <c r="L143" s="340">
        <v>14</v>
      </c>
      <c r="M143" s="439" t="s">
        <v>352</v>
      </c>
      <c r="N143" s="341" t="s">
        <v>353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41"/>
      <c r="W143" s="582"/>
      <c r="X143" s="735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32"/>
      <c r="J144" s="732"/>
      <c r="K144" s="272"/>
      <c r="L144" s="340">
        <v>14</v>
      </c>
      <c r="M144" s="439" t="s">
        <v>352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41"/>
      <c r="W144" s="582"/>
      <c r="X144" s="735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33"/>
      <c r="J145" s="733"/>
      <c r="K145" s="275"/>
      <c r="L145" s="273">
        <v>14</v>
      </c>
      <c r="M145" s="440" t="s">
        <v>352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42"/>
      <c r="W145" s="583"/>
      <c r="X145" s="736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355</v>
      </c>
      <c r="D147" s="282"/>
      <c r="E147" s="283"/>
      <c r="F147" s="441"/>
      <c r="G147" s="284"/>
      <c r="H147" s="576"/>
      <c r="I147" s="728">
        <f>SUM(G147:G158)</f>
        <v>0</v>
      </c>
      <c r="J147" s="728">
        <f>F183</f>
        <v>0</v>
      </c>
      <c r="K147" s="285"/>
      <c r="L147" s="281">
        <v>15</v>
      </c>
      <c r="M147" s="351" t="s">
        <v>356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37">
        <v>0</v>
      </c>
      <c r="W147" s="576"/>
      <c r="X147" s="725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29"/>
      <c r="J148" s="729"/>
      <c r="K148" s="288"/>
      <c r="L148" s="311">
        <v>15</v>
      </c>
      <c r="M148" s="393" t="s">
        <v>356</v>
      </c>
      <c r="N148" s="313" t="s">
        <v>357</v>
      </c>
      <c r="O148" s="548"/>
      <c r="P148" s="462"/>
      <c r="Q148" s="315">
        <v>3985</v>
      </c>
      <c r="R148" s="585" t="s">
        <v>358</v>
      </c>
      <c r="S148" s="622"/>
      <c r="T148" s="521">
        <v>46081</v>
      </c>
      <c r="U148" s="506"/>
      <c r="V148" s="738"/>
      <c r="W148" s="569">
        <v>46112</v>
      </c>
      <c r="X148" s="726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29"/>
      <c r="J149" s="729"/>
      <c r="K149" s="288"/>
      <c r="L149" s="311">
        <v>15</v>
      </c>
      <c r="M149" s="393" t="s">
        <v>356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38"/>
      <c r="W149" s="569"/>
      <c r="X149" s="726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29"/>
      <c r="J150" s="729"/>
      <c r="K150" s="288"/>
      <c r="L150" s="311">
        <v>15</v>
      </c>
      <c r="M150" s="393" t="s">
        <v>356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38"/>
      <c r="W150" s="569"/>
      <c r="X150" s="726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29"/>
      <c r="J151" s="729"/>
      <c r="K151" s="288"/>
      <c r="L151" s="311">
        <v>15</v>
      </c>
      <c r="M151" s="393" t="s">
        <v>356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38"/>
      <c r="W151" s="569"/>
      <c r="X151" s="726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29"/>
      <c r="J152" s="729"/>
      <c r="K152" s="288"/>
      <c r="L152" s="311">
        <v>15</v>
      </c>
      <c r="M152" s="393" t="s">
        <v>356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38"/>
      <c r="W152" s="569"/>
      <c r="X152" s="726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29"/>
      <c r="J153" s="729"/>
      <c r="K153" s="288"/>
      <c r="L153" s="311">
        <v>15</v>
      </c>
      <c r="M153" s="393" t="s">
        <v>356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38"/>
      <c r="W153" s="569"/>
      <c r="X153" s="726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29"/>
      <c r="J154" s="729"/>
      <c r="K154" s="288"/>
      <c r="L154" s="311">
        <v>15</v>
      </c>
      <c r="M154" s="393" t="s">
        <v>356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38"/>
      <c r="W154" s="569"/>
      <c r="X154" s="726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29"/>
      <c r="J155" s="729"/>
      <c r="K155" s="288"/>
      <c r="L155" s="311">
        <v>15</v>
      </c>
      <c r="M155" s="393" t="s">
        <v>356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38"/>
      <c r="W155" s="569"/>
      <c r="X155" s="726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29"/>
      <c r="J156" s="729"/>
      <c r="K156" s="288"/>
      <c r="L156" s="311">
        <v>15</v>
      </c>
      <c r="M156" s="393" t="s">
        <v>356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38"/>
      <c r="W156" s="569"/>
      <c r="X156" s="726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29"/>
      <c r="J157" s="729"/>
      <c r="K157" s="288"/>
      <c r="L157" s="311">
        <v>15</v>
      </c>
      <c r="M157" s="393" t="s">
        <v>356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38"/>
      <c r="W157" s="569"/>
      <c r="X157" s="726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30"/>
      <c r="J158" s="730"/>
      <c r="K158" s="289"/>
      <c r="L158" s="316">
        <v>15</v>
      </c>
      <c r="M158" s="423" t="s">
        <v>356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39"/>
      <c r="W158" s="571"/>
      <c r="X158" s="727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359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360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361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362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363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364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365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366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367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368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369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370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371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372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373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374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375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376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377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364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378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379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08984375" customWidth="1"/>
    <col min="5" max="5" width="4.36328125" customWidth="1"/>
    <col min="6" max="6" width="16.0898437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380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381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155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157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146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385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41418.362279072302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786948.8833023737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387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0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14339.590569768076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595870.66</v>
      </c>
      <c r="BL12" s="214">
        <f t="shared" si="26"/>
        <v>595870.66</v>
      </c>
      <c r="BM12" s="214">
        <f t="shared" si="26"/>
        <v>605476.96000000008</v>
      </c>
      <c r="BN12" s="214">
        <f t="shared" si="26"/>
        <v>605476.96000000008</v>
      </c>
      <c r="BO12" s="214">
        <f t="shared" si="26"/>
        <v>605476.96000000008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191078.22330237366</v>
      </c>
      <c r="BL14" s="207">
        <f t="shared" si="32"/>
        <v>232496.58558144595</v>
      </c>
      <c r="BM14" s="207">
        <f t="shared" si="32"/>
        <v>222890.2855814459</v>
      </c>
      <c r="BN14" s="207">
        <f t="shared" si="32"/>
        <v>222890.2855814459</v>
      </c>
      <c r="BO14" s="207">
        <f t="shared" si="32"/>
        <v>222890.2855814459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390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391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08984375" defaultRowHeight="14.5"/>
  <cols>
    <col min="1" max="1" width="38.6328125" style="366" bestFit="1" customWidth="1"/>
    <col min="2" max="2" width="16.36328125" style="367" bestFit="1" customWidth="1"/>
    <col min="3" max="4" width="12.81640625" style="366" bestFit="1" customWidth="1"/>
    <col min="5" max="7" width="11.81640625" style="366" bestFit="1" customWidth="1"/>
    <col min="8" max="8" width="6.08984375" style="366" bestFit="1" customWidth="1"/>
    <col min="9" max="10" width="11.81640625" style="366" bestFit="1" customWidth="1"/>
    <col min="11" max="11" width="12.81640625" style="366" bestFit="1" customWidth="1"/>
    <col min="12" max="12" width="6.08984375" style="366" bestFit="1" customWidth="1"/>
    <col min="13" max="13" width="14.08984375" style="366" bestFit="1" customWidth="1"/>
    <col min="14" max="14" width="13.6328125" style="366" bestFit="1" customWidth="1"/>
    <col min="15" max="18" width="11.36328125" style="366" bestFit="1" customWidth="1"/>
    <col min="19" max="19" width="13.6328125" style="366" bestFit="1" customWidth="1"/>
    <col min="20" max="16384" width="12.089843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392</v>
      </c>
      <c r="B3" s="675" t="s">
        <v>393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394</v>
      </c>
      <c r="B4" t="s">
        <v>395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396</v>
      </c>
      <c r="L4"/>
      <c r="M4"/>
      <c r="N4"/>
      <c r="O4"/>
      <c r="P4"/>
      <c r="Q4"/>
      <c r="R4"/>
      <c r="S4"/>
      <c r="T4"/>
    </row>
    <row r="5" spans="1:20">
      <c r="A5" s="450" t="s">
        <v>395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352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356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396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36328125" defaultRowHeight="14.5"/>
  <cols>
    <col min="1" max="1" width="20.6328125" bestFit="1" customWidth="1"/>
    <col min="2" max="2" width="16.36328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36328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1">
      <c r="A3" s="675" t="s">
        <v>397</v>
      </c>
      <c r="B3" s="675" t="s">
        <v>393</v>
      </c>
      <c r="C3"/>
      <c r="D3"/>
      <c r="E3"/>
      <c r="F3"/>
      <c r="G3"/>
      <c r="H3"/>
      <c r="I3"/>
    </row>
    <row r="4" spans="1:11">
      <c r="A4" s="675" t="s">
        <v>394</v>
      </c>
      <c r="B4" t="s">
        <v>395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396</v>
      </c>
    </row>
    <row r="5" spans="1:11">
      <c r="A5" s="450" t="s">
        <v>395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352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356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396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0898437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813" t="s">
        <v>398</v>
      </c>
      <c r="C2" s="813"/>
      <c r="D2" s="813"/>
      <c r="E2" s="813"/>
      <c r="H2" s="814" t="s">
        <v>399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400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401</v>
      </c>
      <c r="C5" s="702" t="s">
        <v>402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403</v>
      </c>
      <c r="C6" s="702" t="s">
        <v>404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405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408</v>
      </c>
      <c r="C11" s="812" t="s">
        <v>409</v>
      </c>
      <c r="D11" s="812"/>
      <c r="E11" s="812"/>
    </row>
    <row r="12" spans="2:15">
      <c r="B12" s="703" t="s">
        <v>410</v>
      </c>
      <c r="C12" s="812" t="s">
        <v>409</v>
      </c>
      <c r="D12" s="812"/>
      <c r="E12" s="812"/>
    </row>
    <row r="13" spans="2:15">
      <c r="B13" s="703" t="s">
        <v>411</v>
      </c>
      <c r="C13" s="812" t="s">
        <v>409</v>
      </c>
      <c r="D13" s="812"/>
      <c r="E13" s="812"/>
    </row>
    <row r="14" spans="2:15">
      <c r="B14" s="703" t="s">
        <v>412</v>
      </c>
      <c r="C14" s="812" t="s">
        <v>413</v>
      </c>
      <c r="D14" s="812"/>
      <c r="E14" s="812"/>
    </row>
    <row r="15" spans="2:15">
      <c r="B15" s="703" t="s">
        <v>414</v>
      </c>
      <c r="C15" s="812" t="s">
        <v>415</v>
      </c>
      <c r="D15" s="812"/>
      <c r="E15" s="812"/>
    </row>
    <row r="16" spans="2:15" ht="15" customHeight="1">
      <c r="B16" s="703" t="s">
        <v>416</v>
      </c>
      <c r="C16" s="812" t="s">
        <v>417</v>
      </c>
      <c r="D16" s="812"/>
      <c r="E16" s="812"/>
    </row>
    <row r="17" spans="2:5">
      <c r="B17" s="700"/>
    </row>
    <row r="18" spans="2:5">
      <c r="B18" s="824" t="s">
        <v>418</v>
      </c>
      <c r="C18" s="824"/>
      <c r="D18" s="824"/>
      <c r="E18" s="824"/>
    </row>
    <row r="19" spans="2:5">
      <c r="B19" s="703" t="s">
        <v>419</v>
      </c>
      <c r="C19" s="703" t="s">
        <v>420</v>
      </c>
      <c r="D19" s="703" t="s">
        <v>421</v>
      </c>
      <c r="E19" s="703" t="s">
        <v>62</v>
      </c>
    </row>
    <row r="20" spans="2:5" ht="15" customHeight="1">
      <c r="B20" s="703" t="s">
        <v>422</v>
      </c>
      <c r="C20" s="703" t="s">
        <v>423</v>
      </c>
      <c r="D20" s="704" t="s">
        <v>424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425</v>
      </c>
    </row>
    <row r="2" spans="1:4">
      <c r="A2" s="826"/>
      <c r="B2" s="826"/>
      <c r="C2" s="826"/>
      <c r="D2" s="71"/>
    </row>
    <row r="3" spans="1:4">
      <c r="A3" s="825" t="s">
        <v>426</v>
      </c>
      <c r="B3" s="825"/>
      <c r="C3" s="825"/>
      <c r="D3" s="111">
        <v>0.32</v>
      </c>
    </row>
    <row r="4" spans="1:4">
      <c r="A4" s="825" t="s">
        <v>367</v>
      </c>
      <c r="B4" s="825"/>
      <c r="C4" s="825"/>
      <c r="D4" s="111">
        <v>0.5</v>
      </c>
    </row>
    <row r="5" spans="1:4">
      <c r="A5" s="825" t="s">
        <v>378</v>
      </c>
      <c r="B5" s="825"/>
      <c r="C5" s="825"/>
      <c r="D5" s="111">
        <v>0.15</v>
      </c>
    </row>
    <row r="6" spans="1:4">
      <c r="A6" s="825" t="s">
        <v>427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0898437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0898437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0898437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27" t="s">
        <v>428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2" t="s">
        <v>429</v>
      </c>
      <c r="C4" s="86"/>
      <c r="D4" s="90" t="s">
        <v>430</v>
      </c>
      <c r="E4" s="95"/>
      <c r="F4" s="90" t="s">
        <v>431</v>
      </c>
      <c r="H4" s="90" t="s">
        <v>432</v>
      </c>
      <c r="I4" s="95"/>
      <c r="J4" s="90" t="s">
        <v>433</v>
      </c>
      <c r="L4" s="90" t="s">
        <v>432</v>
      </c>
      <c r="M4" s="90"/>
      <c r="N4" s="90" t="s">
        <v>434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435</v>
      </c>
      <c r="H7" s="99"/>
      <c r="I7" s="95"/>
      <c r="J7" s="107" t="s">
        <v>435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435</v>
      </c>
      <c r="H15" s="99"/>
      <c r="I15" s="95"/>
      <c r="J15" s="107" t="s">
        <v>435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435</v>
      </c>
      <c r="H21" s="99"/>
      <c r="I21" s="95"/>
      <c r="J21" s="107" t="s">
        <v>435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435</v>
      </c>
      <c r="H27" s="99"/>
      <c r="I27" s="95"/>
      <c r="J27" s="107" t="s">
        <v>435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435</v>
      </c>
      <c r="H34" s="99"/>
      <c r="I34" s="95"/>
      <c r="J34" s="107" t="s">
        <v>435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0898437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0898437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81640625" style="88" customWidth="1"/>
    <col min="15" max="15" width="14.08984375" style="88" bestFit="1" customWidth="1"/>
    <col min="16" max="16384" width="9.36328125" style="88"/>
  </cols>
  <sheetData>
    <row r="2" spans="2:15" s="94" customFormat="1" ht="18">
      <c r="B2" s="827" t="s">
        <v>450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2" t="s">
        <v>429</v>
      </c>
      <c r="C4" s="86"/>
      <c r="D4" s="90" t="s">
        <v>430</v>
      </c>
      <c r="E4" s="95"/>
      <c r="F4" s="95"/>
      <c r="G4" s="90" t="s">
        <v>451</v>
      </c>
      <c r="H4" s="96"/>
      <c r="J4" s="90" t="s">
        <v>432</v>
      </c>
      <c r="L4" s="90" t="s">
        <v>452</v>
      </c>
      <c r="M4" s="96"/>
      <c r="O4" s="90" t="s">
        <v>432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429</v>
      </c>
      <c r="C18" s="86"/>
      <c r="D18" s="90" t="s">
        <v>430</v>
      </c>
      <c r="E18" s="95"/>
      <c r="F18" s="95"/>
      <c r="G18" s="90" t="s">
        <v>454</v>
      </c>
      <c r="H18" s="96"/>
      <c r="J18" s="90" t="s">
        <v>432</v>
      </c>
      <c r="L18" s="90" t="s">
        <v>455</v>
      </c>
      <c r="M18" s="96"/>
      <c r="O18" s="90" t="s">
        <v>432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461</v>
      </c>
      <c r="C32" s="103"/>
      <c r="D32" s="103"/>
    </row>
    <row r="33" spans="2:4" ht="13" thickTop="1"/>
    <row r="34" spans="2:4">
      <c r="B34" s="88" t="s">
        <v>430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0898437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08984375" bestFit="1" customWidth="1"/>
    <col min="9" max="9" width="10.36328125" customWidth="1"/>
    <col min="10" max="10" width="19.6328125" bestFit="1" customWidth="1"/>
  </cols>
  <sheetData>
    <row r="1" spans="2:14">
      <c r="B1" s="829" t="str">
        <f>D15</f>
        <v>Waterside</v>
      </c>
      <c r="C1" s="829"/>
      <c r="D1" s="829"/>
      <c r="E1" s="828" t="s">
        <v>463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464</v>
      </c>
      <c r="C3" s="72" t="s">
        <v>465</v>
      </c>
      <c r="D3" s="72" t="s">
        <v>466</v>
      </c>
      <c r="E3" s="78" t="s">
        <v>467</v>
      </c>
      <c r="F3" s="78" t="s">
        <v>468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2026-03-02T09:42:13Z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