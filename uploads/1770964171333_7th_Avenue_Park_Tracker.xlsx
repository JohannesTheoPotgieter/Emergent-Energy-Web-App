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2" documentId="13_ncr:1_{12F1BD6A-C442-4E90-B493-754BD0DA0E1E}" xr6:coauthVersionLast="47" xr6:coauthVersionMax="47" xr10:uidLastSave="{80875EE3-D163-40B1-9C83-C621D96C10D4}"/>
  <bookViews>
    <workbookView xWindow="11472" yWindow="0" windowWidth="11628" windowHeight="11184" tabRatio="772" firstSheet="8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26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P15" i="5"/>
  <c r="U24" i="18"/>
  <c r="Q23" i="18"/>
  <c r="Q82" i="18" l="1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0" i="18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E46" i="2" l="1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V135" i="18" s="1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6" i="5"/>
  <c r="G50" i="2"/>
  <c r="G48" i="2" s="1"/>
  <c r="E53" i="2"/>
  <c r="E48" i="2"/>
  <c r="F47" i="5"/>
  <c r="K44" i="2"/>
  <c r="N40" i="2"/>
  <c r="U13" i="2"/>
  <c r="V13" i="2"/>
  <c r="W92" i="18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AV17" i="6"/>
  <c r="EK17" i="6"/>
  <c r="BK17" i="6"/>
  <c r="T139" i="18"/>
  <c r="H17" i="6" s="1"/>
  <c r="F11" i="6"/>
  <c r="F12" i="6" s="1"/>
  <c r="F14" i="6" s="1"/>
  <c r="GD17" i="6" l="1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<sst xmlns="http://schemas.openxmlformats.org/spreadsheetml/2006/main" count="799" uniqueCount="454">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</sst>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16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1261786.9324399512</c:v>
                </c:pt>
                <c:pt idx="21">
                  <c:v>1262268.1824399512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617488.46275616391</c:v>
                </c:pt>
                <c:pt idx="21">
                  <c:v>617007.21275616391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3</v>
      </c>
      <c r="C5" s="615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7</v>
      </c>
      <c r="C7" s="615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3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6" t="s">
        <v>11</v>
      </c>
      <c r="C11" s="659"/>
      <c r="D11" s="659"/>
      <c r="E11" s="659"/>
    </row>
    <row r="12" spans="2:15">
      <c r="B12" s="616" t="s">
        <v>12</v>
      </c>
      <c r="C12" s="659"/>
      <c r="D12" s="659"/>
      <c r="E12" s="659"/>
    </row>
    <row r="13" spans="2:15">
      <c r="B13" s="616" t="s">
        <v>13</v>
      </c>
      <c r="C13" s="659"/>
      <c r="D13" s="659"/>
      <c r="E13" s="659"/>
    </row>
    <row r="14" spans="2:15">
      <c r="B14" s="616" t="s">
        <v>14</v>
      </c>
      <c r="C14" s="659"/>
      <c r="D14" s="659"/>
      <c r="E14" s="659"/>
    </row>
    <row r="15" spans="2:15">
      <c r="B15" s="616" t="s">
        <v>15</v>
      </c>
      <c r="C15" s="659"/>
      <c r="D15" s="659"/>
      <c r="E15" s="659"/>
    </row>
    <row r="16" spans="2:15" ht="15" customHeight="1">
      <c r="B16" s="616" t="s">
        <v>16</v>
      </c>
      <c r="C16" s="659"/>
      <c r="D16" s="659"/>
      <c r="E16" s="659"/>
    </row>
    <row r="17" spans="2:5">
      <c r="B17" s="613"/>
    </row>
    <row r="18" spans="2:5">
      <c r="B18" s="660" t="s">
        <v>17</v>
      </c>
      <c r="C18" s="660"/>
      <c r="D18" s="660"/>
      <c r="E18" s="660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24</v>
      </c>
      <c r="C5" s="615"/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25</v>
      </c>
      <c r="C7" s="615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 t="s">
        <v>26</v>
      </c>
      <c r="C8" s="615"/>
      <c r="H8" s="665"/>
      <c r="I8" s="666"/>
      <c r="J8" s="666"/>
      <c r="K8" s="666"/>
      <c r="L8" s="666"/>
      <c r="M8" s="666"/>
      <c r="N8" s="666"/>
      <c r="O8" s="667"/>
    </row>
    <row r="9" spans="2:15">
      <c r="B9" s="613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6.45">
      <c r="B12" s="616" t="s">
        <v>27</v>
      </c>
      <c r="C12" s="659"/>
      <c r="D12" s="659"/>
      <c r="E12" s="659"/>
    </row>
    <row r="13" spans="2:15">
      <c r="B13" s="616" t="s">
        <v>28</v>
      </c>
      <c r="C13" s="659"/>
      <c r="D13" s="659"/>
      <c r="E13" s="659"/>
    </row>
    <row r="14" spans="2:15">
      <c r="B14" s="616" t="s">
        <v>29</v>
      </c>
      <c r="C14" s="659"/>
      <c r="D14" s="659"/>
      <c r="E14" s="659"/>
    </row>
    <row r="15" spans="2:15">
      <c r="B15" s="616" t="s">
        <v>30</v>
      </c>
      <c r="C15" s="659"/>
      <c r="D15" s="659"/>
      <c r="E15" s="659"/>
    </row>
    <row r="16" spans="2:15" ht="26.45">
      <c r="B16" s="616" t="s">
        <v>31</v>
      </c>
      <c r="C16" s="659"/>
      <c r="D16" s="659"/>
      <c r="E16" s="659"/>
    </row>
    <row r="17" spans="2:5">
      <c r="B17" s="616" t="s">
        <v>32</v>
      </c>
      <c r="C17" s="659"/>
      <c r="D17" s="659"/>
      <c r="E17" s="659"/>
    </row>
    <row r="18" spans="2:5">
      <c r="B18" s="616" t="s">
        <v>33</v>
      </c>
      <c r="C18" s="659"/>
      <c r="D18" s="659"/>
      <c r="E18" s="659"/>
    </row>
    <row r="19" spans="2:5">
      <c r="B19" s="616" t="s">
        <v>34</v>
      </c>
      <c r="C19" s="659"/>
      <c r="D19" s="659"/>
      <c r="E19" s="659"/>
    </row>
    <row r="20" spans="2:5">
      <c r="B20" s="616" t="s">
        <v>35</v>
      </c>
      <c r="C20" s="659"/>
      <c r="D20" s="659"/>
      <c r="E20" s="659"/>
    </row>
    <row r="21" spans="2:5">
      <c r="B21" s="616" t="s">
        <v>36</v>
      </c>
      <c r="C21" s="659"/>
      <c r="D21" s="659"/>
      <c r="E21" s="659"/>
    </row>
    <row r="22" spans="2:5" ht="15" customHeight="1">
      <c r="B22" s="616" t="s">
        <v>16</v>
      </c>
      <c r="C22" s="659"/>
      <c r="D22" s="659"/>
      <c r="E22" s="659"/>
    </row>
    <row r="23" spans="2:5">
      <c r="B23" s="613"/>
    </row>
    <row r="24" spans="2:5">
      <c r="B24" s="660" t="s">
        <v>17</v>
      </c>
      <c r="C24" s="660"/>
      <c r="D24" s="660"/>
      <c r="E24" s="660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5703125" customWidth="1"/>
  </cols>
  <sheetData>
    <row r="1" spans="2:15">
      <c r="B1" s="674"/>
      <c r="C1" s="675"/>
      <c r="D1" s="675"/>
      <c r="E1" s="675"/>
      <c r="F1" s="672" t="s">
        <v>37</v>
      </c>
      <c r="G1" s="672"/>
      <c r="H1" s="672"/>
      <c r="I1" s="672"/>
      <c r="J1" s="672"/>
      <c r="K1" s="673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76" t="s">
        <v>105</v>
      </c>
      <c r="C2" s="677"/>
      <c r="D2" s="677"/>
      <c r="E2" s="677"/>
      <c r="F2" s="678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6" t="s">
        <v>114</v>
      </c>
      <c r="C16" s="677"/>
      <c r="D16" s="677"/>
      <c r="E16" s="677"/>
      <c r="F16" s="678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2" zoomScaleNormal="100" workbookViewId="0">
      <selection activeCell="K35" sqref="K35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79" t="s">
        <v>119</v>
      </c>
      <c r="J2" s="680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79" t="s">
        <v>121</v>
      </c>
      <c r="J3" s="680"/>
      <c r="K3" s="585">
        <f>K2/5</f>
        <v>5.2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79" t="s">
        <v>124</v>
      </c>
      <c r="J4" s="680"/>
      <c r="K4" s="586">
        <f>E3/K3</f>
        <v>34.230769230769226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3" t="s">
        <v>132</v>
      </c>
      <c r="C8" s="684" t="s">
        <v>133</v>
      </c>
      <c r="D8" s="126"/>
      <c r="E8" s="685" t="s">
        <v>134</v>
      </c>
      <c r="F8" s="148" t="s">
        <v>135</v>
      </c>
      <c r="G8" s="685" t="s">
        <v>136</v>
      </c>
      <c r="H8" s="149"/>
      <c r="I8" s="685" t="s">
        <v>137</v>
      </c>
      <c r="J8" s="148" t="s">
        <v>135</v>
      </c>
      <c r="K8" s="685" t="s">
        <v>138</v>
      </c>
      <c r="M8" s="582" t="s">
        <v>44</v>
      </c>
      <c r="N8" s="583" t="s">
        <v>139</v>
      </c>
      <c r="O8" s="681" t="s">
        <v>140</v>
      </c>
      <c r="Z8" s="26"/>
      <c r="AA8" s="26"/>
      <c r="AB8" s="26"/>
    </row>
    <row r="9" spans="2:28">
      <c r="B9" s="683"/>
      <c r="C9" s="684"/>
      <c r="D9" s="126"/>
      <c r="E9" s="685"/>
      <c r="F9" s="40">
        <f>G43-E23</f>
        <v>29</v>
      </c>
      <c r="G9" s="685"/>
      <c r="H9" s="149"/>
      <c r="I9" s="685"/>
      <c r="J9" s="41">
        <f>K43-I23</f>
        <v>35</v>
      </c>
      <c r="K9" s="685"/>
      <c r="M9" s="265">
        <f>AVERAGE(M11,M22,M25,M32,M39,M43,M52,M48)</f>
        <v>0.26556553911205077</v>
      </c>
      <c r="N9" s="265">
        <f ca="1">AVERAGE(N11,N22,N25,N32,N39,N43,N52,N48)</f>
        <v>0.36965586975971376</v>
      </c>
      <c r="O9" s="682"/>
      <c r="S9" s="584">
        <f ca="1">TODAY()</f>
        <v>46065</v>
      </c>
      <c r="T9" s="584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0.69230769230769229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0.61627906976744184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0.875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0.28567475067732823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0.14285714285714285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abSelected="1" topLeftCell="B1" zoomScale="85" zoomScaleNormal="85" workbookViewId="0">
      <selection activeCell="N17" sqref="N17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112.28515625" style="43" customWidth="1"/>
    <col min="20" max="20" width="4.42578125" style="43" customWidth="1"/>
    <col min="21" max="21" width="18.7109375" style="43" bestFit="1" customWidth="1"/>
    <col min="22" max="22" width="15.5703125" style="24" bestFit="1" customWidth="1"/>
    <col min="23" max="23" width="17.7109375" style="24" bestFit="1" customWidth="1"/>
    <col min="24" max="24" width="14.7109375" style="24" bestFit="1" customWidth="1"/>
    <col min="25" max="25" width="5.28515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1263252.1951224278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868996.37999999989</v>
      </c>
    </row>
    <row r="4" spans="1:42" s="24" customFormat="1" ht="13.15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15">
      <c r="B13" s="587">
        <v>1</v>
      </c>
      <c r="C13" s="688" t="s">
        <v>235</v>
      </c>
      <c r="D13" s="689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688" t="s">
        <v>237</v>
      </c>
      <c r="D15" s="689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.15">
      <c r="B16" s="587">
        <v>3</v>
      </c>
      <c r="C16" s="688" t="s">
        <v>239</v>
      </c>
      <c r="D16" s="689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.15">
      <c r="B17" s="587">
        <v>4</v>
      </c>
      <c r="C17" s="686" t="s">
        <v>194</v>
      </c>
      <c r="D17" s="687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15">
      <c r="B18" s="587">
        <v>5</v>
      </c>
      <c r="C18" s="686" t="s">
        <v>240</v>
      </c>
      <c r="D18" s="687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15">
      <c r="B19" s="587">
        <v>6</v>
      </c>
      <c r="C19" s="686" t="s">
        <v>241</v>
      </c>
      <c r="D19" s="687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15">
      <c r="B20" s="587">
        <v>7</v>
      </c>
      <c r="C20" s="688" t="s">
        <v>241</v>
      </c>
      <c r="D20" s="689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1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242</v>
      </c>
      <c r="C24" s="57" t="s">
        <v>243</v>
      </c>
      <c r="D24" s="57"/>
      <c r="F24" s="58"/>
      <c r="H24" s="30"/>
    </row>
    <row r="25" spans="2:20" s="24" customFormat="1" ht="13.15">
      <c r="C25" s="59" t="s">
        <v>244</v>
      </c>
      <c r="D25" s="60"/>
      <c r="F25" s="61"/>
    </row>
    <row r="26" spans="2:20" s="24" customFormat="1" ht="13.15">
      <c r="C26" s="59" t="s">
        <v>245</v>
      </c>
      <c r="D26" s="60"/>
    </row>
    <row r="27" spans="2:20" s="24" customFormat="1" ht="13.15">
      <c r="C27" s="62" t="s">
        <v>246</v>
      </c>
      <c r="D27" s="63"/>
    </row>
    <row r="28" spans="2:20" s="24" customFormat="1" ht="13.15">
      <c r="C28" s="64" t="s">
        <v>247</v>
      </c>
      <c r="D28" s="60"/>
    </row>
    <row r="29" spans="2:20" s="24" customFormat="1" ht="13.15">
      <c r="B29" s="31"/>
      <c r="C29" s="64" t="s">
        <v>248</v>
      </c>
      <c r="D29" s="60"/>
    </row>
    <row r="30" spans="2:20" s="24" customFormat="1" ht="13.15">
      <c r="B30" s="31"/>
      <c r="C30" s="24" t="s">
        <v>249</v>
      </c>
    </row>
    <row r="31" spans="2:20" s="24" customFormat="1" ht="27.75" customHeight="1">
      <c r="B31" s="31"/>
      <c r="C31" s="65" t="s">
        <v>250</v>
      </c>
      <c r="D31" s="65"/>
      <c r="F31" s="61"/>
    </row>
    <row r="32" spans="2:20" s="24" customFormat="1" ht="13.15">
      <c r="B32" s="31"/>
      <c r="F32" s="58"/>
      <c r="N32" s="541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  <c r="F35" s="58"/>
    </row>
    <row r="36" spans="2:6" s="24" customFormat="1" ht="13.15">
      <c r="B36" s="31"/>
    </row>
    <row r="37" spans="2:6" s="24" customFormat="1" ht="13.15">
      <c r="B37" s="31"/>
    </row>
    <row r="38" spans="2:6" s="24" customFormat="1" ht="13.1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251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239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252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240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253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0"/>
      <c r="C4" s="690"/>
      <c r="D4" s="690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5" thickBot="1">
      <c r="A5" s="126"/>
      <c r="B5" s="691" t="s">
        <v>256</v>
      </c>
      <c r="C5" s="691"/>
      <c r="D5" s="691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O1" zoomScale="85" zoomScaleNormal="85" workbookViewId="0">
      <pane ySplit="4" topLeftCell="A71" activePane="bottomLeft" state="frozen"/>
      <selection pane="bottomLeft" activeCell="Q23" sqref="Q23:Q24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85546875" style="26" bestFit="1" customWidth="1"/>
    <col min="17" max="17" width="17.42578125" style="26" customWidth="1"/>
    <col min="18" max="18" width="37.42578125" style="27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4" t="s">
        <v>262</v>
      </c>
      <c r="C2" s="695"/>
      <c r="D2" s="695"/>
      <c r="E2" s="695"/>
      <c r="F2" s="695"/>
      <c r="G2" s="695"/>
      <c r="H2" s="395"/>
      <c r="I2" s="162">
        <f>SUM(I6:I160)</f>
        <v>1533654.4012312251</v>
      </c>
      <c r="J2" s="162">
        <f>SUM(J6:J160)</f>
        <v>1879275.3951961147</v>
      </c>
      <c r="L2" s="696" t="s">
        <v>263</v>
      </c>
      <c r="M2" s="697"/>
      <c r="N2" s="697"/>
      <c r="O2" s="697"/>
      <c r="P2" s="697"/>
      <c r="Q2" s="697"/>
      <c r="R2" s="704" t="s">
        <v>264</v>
      </c>
      <c r="S2" s="705"/>
      <c r="T2" s="705"/>
      <c r="U2" s="705"/>
      <c r="V2" s="705"/>
      <c r="W2" s="706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8">
        <f>SUM(G6:G11)</f>
        <v>461648.54000000004</v>
      </c>
      <c r="J6" s="701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0">
        <f>J6-SUM(U6:U11)</f>
        <v>0</v>
      </c>
      <c r="W6" s="453">
        <v>46111</v>
      </c>
      <c r="X6" s="698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99"/>
      <c r="J7" s="702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1"/>
      <c r="W7" s="454"/>
      <c r="X7" s="699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9"/>
      <c r="J8" s="702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1"/>
      <c r="W8" s="454"/>
      <c r="X8" s="699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9"/>
      <c r="J9" s="702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1"/>
      <c r="W9" s="455"/>
      <c r="X9" s="69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9"/>
      <c r="J10" s="702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1"/>
      <c r="W10" s="455"/>
      <c r="X10" s="69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0"/>
      <c r="J11" s="703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12"/>
      <c r="W11" s="456"/>
      <c r="X11" s="700"/>
      <c r="Y11" s="605" t="s">
        <v>285</v>
      </c>
      <c r="Z11" s="486" t="s">
        <v>286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7">
        <f>SUM(G13:G19)</f>
        <v>140000</v>
      </c>
      <c r="J13" s="720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3">
        <f>J13-SUM(U13:U19)</f>
        <v>0</v>
      </c>
      <c r="W13" s="458"/>
      <c r="X13" s="717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8"/>
      <c r="J14" s="721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14"/>
      <c r="W14" s="459">
        <f>W6</f>
        <v>46111</v>
      </c>
      <c r="X14" s="718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8"/>
      <c r="J15" s="721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4"/>
      <c r="W15" s="459"/>
      <c r="X15" s="718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8"/>
      <c r="J16" s="721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4"/>
      <c r="W16" s="459"/>
      <c r="X16" s="718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8"/>
      <c r="J17" s="721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4"/>
      <c r="W17" s="459"/>
      <c r="X17" s="718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8"/>
      <c r="J18" s="721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4"/>
      <c r="W18" s="459"/>
      <c r="X18" s="718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9"/>
      <c r="J19" s="722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5"/>
      <c r="W19" s="460"/>
      <c r="X19" s="719"/>
      <c r="Y19" s="606" t="s">
        <v>297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8">
        <f>SUM(G21:G26)</f>
        <v>151074</v>
      </c>
      <c r="J21" s="701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0">
        <f>J21-SUM(U21:U26)</f>
        <v>-6.5276681561954319E-4</v>
      </c>
      <c r="W21" s="461"/>
      <c r="X21" s="698">
        <f>SUM(Q21:Q26)</f>
        <v>154319.22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9"/>
      <c r="J22" s="702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1"/>
      <c r="W22" s="630">
        <v>46053</v>
      </c>
      <c r="X22" s="699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9"/>
      <c r="J23" s="702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 t="shared" si="3"/>
        <v>43649.490466903597</v>
      </c>
      <c r="V23" s="711"/>
      <c r="W23" s="454">
        <f>T23+30</f>
        <v>46111</v>
      </c>
      <c r="X23" s="699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9"/>
      <c r="J24" s="702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104507.84114794905</v>
      </c>
      <c r="V24" s="711"/>
      <c r="W24" s="454">
        <f>T24+30</f>
        <v>46111</v>
      </c>
      <c r="X24" s="699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9"/>
      <c r="J25" s="702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11"/>
      <c r="W25" s="455"/>
      <c r="X25" s="69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0"/>
      <c r="J26" s="703"/>
      <c r="K26" s="193"/>
      <c r="L26" s="220">
        <v>3</v>
      </c>
      <c r="M26" s="323" t="s">
        <v>301</v>
      </c>
      <c r="N26" s="233" t="s">
        <v>310</v>
      </c>
      <c r="O26" s="435"/>
      <c r="P26" s="358"/>
      <c r="Q26" s="234">
        <v>28948.57</v>
      </c>
      <c r="R26" s="472" t="s">
        <v>311</v>
      </c>
      <c r="S26" s="502" t="s">
        <v>312</v>
      </c>
      <c r="T26" s="550">
        <v>46053</v>
      </c>
      <c r="U26" s="652">
        <v>37994.451499238232</v>
      </c>
      <c r="V26" s="712"/>
      <c r="W26" s="646">
        <v>46058</v>
      </c>
      <c r="X26" s="700"/>
      <c r="Y26" s="608" t="s">
        <v>215</v>
      </c>
      <c r="Z26" s="491" t="s">
        <v>313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314</v>
      </c>
      <c r="E28" s="268">
        <v>2813</v>
      </c>
      <c r="F28" s="355"/>
      <c r="G28" s="200">
        <v>39382</v>
      </c>
      <c r="H28" s="552">
        <f>'Project Plan'!E36+60</f>
        <v>46122</v>
      </c>
      <c r="I28" s="717">
        <f>SUM(G28:G42)</f>
        <v>119324.7</v>
      </c>
      <c r="J28" s="720">
        <f>F164</f>
        <v>149155.875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13">
        <f>J28-SUM(U28:U42)</f>
        <v>0</v>
      </c>
      <c r="W28" s="458">
        <f>W6</f>
        <v>46111</v>
      </c>
      <c r="X28" s="717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D164-G28</f>
        <v>79942.7</v>
      </c>
      <c r="H29" s="543">
        <f>'Project Plan'!G32</f>
        <v>46080</v>
      </c>
      <c r="I29" s="718"/>
      <c r="J29" s="721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4"/>
      <c r="W29" s="459"/>
      <c r="X29" s="718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8"/>
      <c r="J30" s="721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4"/>
      <c r="W30" s="459"/>
      <c r="X30" s="718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8"/>
      <c r="J31" s="721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4"/>
      <c r="W31" s="459"/>
      <c r="X31" s="718"/>
      <c r="Y31" s="609" t="s">
        <v>318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8"/>
      <c r="J32" s="721"/>
      <c r="K32" s="205"/>
      <c r="L32" s="202">
        <v>4</v>
      </c>
      <c r="M32" s="325" t="s">
        <v>315</v>
      </c>
      <c r="N32" s="309" t="s">
        <v>319</v>
      </c>
      <c r="O32" s="447">
        <f>Z28</f>
        <v>69550</v>
      </c>
      <c r="P32" s="448">
        <v>0.1</v>
      </c>
      <c r="Q32" s="204">
        <f>$O$32*P32</f>
        <v>6955</v>
      </c>
      <c r="R32" s="692"/>
      <c r="S32" s="505" t="s">
        <v>320</v>
      </c>
      <c r="T32" s="543">
        <v>46053</v>
      </c>
      <c r="U32" s="653">
        <v>8262.6771057347669</v>
      </c>
      <c r="V32" s="714"/>
      <c r="W32" s="647">
        <f>W91</f>
        <v>46058</v>
      </c>
      <c r="X32" s="718"/>
      <c r="Y32" s="609" t="s">
        <v>321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8"/>
      <c r="J33" s="721"/>
      <c r="K33" s="205"/>
      <c r="L33" s="202">
        <v>4</v>
      </c>
      <c r="M33" s="325" t="s">
        <v>315</v>
      </c>
      <c r="N33" s="309" t="s">
        <v>163</v>
      </c>
      <c r="O33" s="438"/>
      <c r="P33" s="448">
        <v>0.15</v>
      </c>
      <c r="Q33" s="204">
        <f t="shared" ref="Q33:Q39" si="6">$O$32*P33</f>
        <v>10432.5</v>
      </c>
      <c r="R33" s="716"/>
      <c r="S33" s="505" t="s">
        <v>322</v>
      </c>
      <c r="T33" s="543">
        <f t="shared" ref="T33:T39" si="7">T92</f>
        <v>46081</v>
      </c>
      <c r="U33" s="401">
        <f t="shared" si="4"/>
        <v>12394.015658602149</v>
      </c>
      <c r="V33" s="714"/>
      <c r="W33" s="459">
        <f t="shared" ref="W33:W39" si="8">W92</f>
        <v>46062</v>
      </c>
      <c r="X33" s="718"/>
      <c r="Y33" s="609" t="s">
        <v>323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8"/>
      <c r="J34" s="721"/>
      <c r="K34" s="205"/>
      <c r="L34" s="202">
        <v>4</v>
      </c>
      <c r="M34" s="325" t="s">
        <v>315</v>
      </c>
      <c r="N34" s="309" t="s">
        <v>324</v>
      </c>
      <c r="O34" s="438"/>
      <c r="P34" s="448">
        <v>0.2</v>
      </c>
      <c r="Q34" s="204">
        <f t="shared" si="6"/>
        <v>13910</v>
      </c>
      <c r="R34" s="716"/>
      <c r="S34" s="505"/>
      <c r="T34" s="416">
        <f t="shared" si="7"/>
        <v>46112</v>
      </c>
      <c r="U34" s="401">
        <f t="shared" si="4"/>
        <v>16525.354211469534</v>
      </c>
      <c r="V34" s="714"/>
      <c r="W34" s="459">
        <f t="shared" si="8"/>
        <v>46093</v>
      </c>
      <c r="X34" s="718"/>
      <c r="Y34" s="609" t="s">
        <v>325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8"/>
      <c r="J35" s="721"/>
      <c r="K35" s="205"/>
      <c r="L35" s="202">
        <v>4</v>
      </c>
      <c r="M35" s="325" t="s">
        <v>315</v>
      </c>
      <c r="N35" s="309" t="s">
        <v>326</v>
      </c>
      <c r="O35" s="438"/>
      <c r="P35" s="448">
        <v>0.25</v>
      </c>
      <c r="Q35" s="204">
        <f t="shared" si="6"/>
        <v>17387.5</v>
      </c>
      <c r="R35" s="716"/>
      <c r="S35" s="505"/>
      <c r="T35" s="416">
        <f t="shared" si="7"/>
        <v>46112</v>
      </c>
      <c r="U35" s="401">
        <f t="shared" si="4"/>
        <v>20656.692764336916</v>
      </c>
      <c r="V35" s="714"/>
      <c r="W35" s="459">
        <f t="shared" si="8"/>
        <v>46093</v>
      </c>
      <c r="X35" s="718"/>
      <c r="Y35" s="609" t="s">
        <v>327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8"/>
      <c r="J36" s="721"/>
      <c r="K36" s="205"/>
      <c r="L36" s="202">
        <v>4</v>
      </c>
      <c r="M36" s="325" t="s">
        <v>315</v>
      </c>
      <c r="N36" s="309" t="s">
        <v>328</v>
      </c>
      <c r="O36" s="438"/>
      <c r="P36" s="448">
        <v>0.1</v>
      </c>
      <c r="Q36" s="204">
        <f t="shared" si="6"/>
        <v>6955</v>
      </c>
      <c r="R36" s="716"/>
      <c r="S36" s="505"/>
      <c r="T36" s="416">
        <f t="shared" si="7"/>
        <v>46112</v>
      </c>
      <c r="U36" s="401">
        <f t="shared" si="4"/>
        <v>8262.6771057347669</v>
      </c>
      <c r="V36" s="714"/>
      <c r="W36" s="459">
        <f t="shared" si="8"/>
        <v>46104</v>
      </c>
      <c r="X36" s="718"/>
      <c r="Y36" s="609" t="s">
        <v>329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8"/>
      <c r="J37" s="721"/>
      <c r="K37" s="205"/>
      <c r="L37" s="202">
        <v>4</v>
      </c>
      <c r="M37" s="325" t="s">
        <v>315</v>
      </c>
      <c r="N37" s="309" t="s">
        <v>330</v>
      </c>
      <c r="O37" s="438"/>
      <c r="P37" s="448">
        <v>0.1</v>
      </c>
      <c r="Q37" s="204">
        <f t="shared" si="6"/>
        <v>6955</v>
      </c>
      <c r="R37" s="716"/>
      <c r="S37" s="505"/>
      <c r="T37" s="416">
        <f t="shared" si="7"/>
        <v>46112</v>
      </c>
      <c r="U37" s="401">
        <f t="shared" si="4"/>
        <v>8262.6771057347669</v>
      </c>
      <c r="V37" s="714"/>
      <c r="W37" s="459">
        <f t="shared" si="8"/>
        <v>46105</v>
      </c>
      <c r="X37" s="718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8"/>
      <c r="J38" s="721"/>
      <c r="K38" s="205"/>
      <c r="L38" s="202">
        <v>4</v>
      </c>
      <c r="M38" s="325" t="s">
        <v>315</v>
      </c>
      <c r="N38" s="309" t="s">
        <v>331</v>
      </c>
      <c r="O38" s="438"/>
      <c r="P38" s="448">
        <v>0.05</v>
      </c>
      <c r="Q38" s="204">
        <f t="shared" si="6"/>
        <v>3477.5</v>
      </c>
      <c r="R38" s="716"/>
      <c r="S38" s="505"/>
      <c r="T38" s="416">
        <f t="shared" si="7"/>
        <v>46112</v>
      </c>
      <c r="U38" s="401">
        <f t="shared" si="4"/>
        <v>4131.3385528673834</v>
      </c>
      <c r="V38" s="714"/>
      <c r="W38" s="459">
        <f t="shared" si="8"/>
        <v>46105</v>
      </c>
      <c r="X38" s="718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8"/>
      <c r="J39" s="721"/>
      <c r="K39" s="205"/>
      <c r="L39" s="202">
        <v>4</v>
      </c>
      <c r="M39" s="325" t="s">
        <v>315</v>
      </c>
      <c r="N39" s="309" t="s">
        <v>332</v>
      </c>
      <c r="O39" s="438"/>
      <c r="P39" s="448">
        <v>0.05</v>
      </c>
      <c r="Q39" s="204">
        <f t="shared" si="6"/>
        <v>3477.5</v>
      </c>
      <c r="R39" s="693"/>
      <c r="S39" s="505"/>
      <c r="T39" s="416">
        <f t="shared" si="7"/>
        <v>46112</v>
      </c>
      <c r="U39" s="401">
        <f t="shared" si="4"/>
        <v>4131.3385528673834</v>
      </c>
      <c r="V39" s="714"/>
      <c r="W39" s="459">
        <f t="shared" si="8"/>
        <v>46128</v>
      </c>
      <c r="X39" s="718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8"/>
      <c r="J40" s="721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4"/>
      <c r="W40" s="459"/>
      <c r="X40" s="71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8"/>
      <c r="J41" s="721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4"/>
      <c r="W41" s="459"/>
      <c r="X41" s="71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9"/>
      <c r="J42" s="722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5"/>
      <c r="W42" s="460"/>
      <c r="X42" s="719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0">
        <f>H52</f>
        <v>46095</v>
      </c>
      <c r="I44" s="698">
        <f>D166</f>
        <v>49000</v>
      </c>
      <c r="J44" s="701">
        <f>F166</f>
        <v>61250</v>
      </c>
      <c r="K44" s="189"/>
      <c r="L44" s="185">
        <v>5</v>
      </c>
      <c r="M44" s="321" t="s">
        <v>335</v>
      </c>
      <c r="N44" s="231" t="s">
        <v>334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10">
        <f>J44-SUM(U44:U50)</f>
        <v>0</v>
      </c>
      <c r="W44" s="461">
        <f>W14</f>
        <v>46111</v>
      </c>
      <c r="X44" s="698">
        <f>SUM(Q44:Q50)</f>
        <v>37582.839999999997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8000</v>
      </c>
      <c r="H45" s="539">
        <f>H44</f>
        <v>46095</v>
      </c>
      <c r="I45" s="699"/>
      <c r="J45" s="702"/>
      <c r="K45" s="192"/>
      <c r="L45" s="190">
        <v>5</v>
      </c>
      <c r="M45" s="327" t="s">
        <v>335</v>
      </c>
      <c r="N45" s="191" t="s">
        <v>337</v>
      </c>
      <c r="O45" s="440"/>
      <c r="P45" s="350"/>
      <c r="Q45" s="219">
        <v>13984.5</v>
      </c>
      <c r="R45" s="470" t="s">
        <v>338</v>
      </c>
      <c r="S45" s="500" t="s">
        <v>339</v>
      </c>
      <c r="T45" s="629">
        <v>46053</v>
      </c>
      <c r="U45" s="654">
        <v>22791.003154631213</v>
      </c>
      <c r="V45" s="711"/>
      <c r="W45" s="454">
        <v>46080</v>
      </c>
      <c r="X45" s="699"/>
    </row>
    <row r="46" spans="1:26" ht="14.25" customHeight="1">
      <c r="B46" s="190">
        <v>5</v>
      </c>
      <c r="C46" s="214"/>
      <c r="D46" s="288" t="s">
        <v>340</v>
      </c>
      <c r="E46" s="218"/>
      <c r="F46" s="357"/>
      <c r="G46" s="219">
        <v>15000</v>
      </c>
      <c r="H46" s="539">
        <f>H45</f>
        <v>46095</v>
      </c>
      <c r="I46" s="699"/>
      <c r="J46" s="702"/>
      <c r="K46" s="192"/>
      <c r="L46" s="190">
        <v>5</v>
      </c>
      <c r="M46" s="327" t="s">
        <v>335</v>
      </c>
      <c r="N46" s="217" t="s">
        <v>340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9">(Q46/$X$44*$J$44)</f>
        <v>24445.997162534819</v>
      </c>
      <c r="V46" s="711"/>
      <c r="W46" s="454">
        <f>W45</f>
        <v>46080</v>
      </c>
      <c r="X46" s="69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9"/>
      <c r="J47" s="702"/>
      <c r="K47" s="192"/>
      <c r="L47" s="215">
        <v>5</v>
      </c>
      <c r="M47" s="327" t="s">
        <v>335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711"/>
      <c r="W47" s="454"/>
      <c r="X47" s="69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9"/>
      <c r="J48" s="702"/>
      <c r="K48" s="192"/>
      <c r="L48" s="215">
        <v>5</v>
      </c>
      <c r="M48" s="327" t="s">
        <v>335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711"/>
      <c r="W48" s="455"/>
      <c r="X48" s="69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9"/>
      <c r="J49" s="702"/>
      <c r="K49" s="192"/>
      <c r="L49" s="215">
        <v>5</v>
      </c>
      <c r="M49" s="327" t="s">
        <v>335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711"/>
      <c r="W49" s="455"/>
      <c r="X49" s="69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0"/>
      <c r="J50" s="703"/>
      <c r="K50" s="193"/>
      <c r="L50" s="220">
        <v>5</v>
      </c>
      <c r="M50" s="323" t="s">
        <v>335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712"/>
      <c r="W50" s="456"/>
      <c r="X50" s="700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341</v>
      </c>
      <c r="E52" s="373"/>
      <c r="F52" s="355"/>
      <c r="G52" s="200">
        <f>D165</f>
        <v>211265.42608695652</v>
      </c>
      <c r="H52" s="552">
        <f>'Project Plan'!G28+30</f>
        <v>46095</v>
      </c>
      <c r="I52" s="717">
        <f>SUM(G52:G68)</f>
        <v>211265.42608695652</v>
      </c>
      <c r="J52" s="720">
        <f>F165</f>
        <v>264081.78260869568</v>
      </c>
      <c r="K52" s="201"/>
      <c r="L52" s="197">
        <v>6</v>
      </c>
      <c r="M52" s="330" t="s">
        <v>342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13">
        <f>J52-SUM(U52:U68)</f>
        <v>0</v>
      </c>
      <c r="W52" s="458"/>
      <c r="X52" s="717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8"/>
      <c r="J53" s="721"/>
      <c r="K53" s="205"/>
      <c r="L53" s="202">
        <v>6</v>
      </c>
      <c r="M53" s="328" t="s">
        <v>342</v>
      </c>
      <c r="N53" s="342" t="s">
        <v>98</v>
      </c>
      <c r="O53" s="438"/>
      <c r="P53" s="351"/>
      <c r="Q53" s="225">
        <v>89859.36</v>
      </c>
      <c r="R53" s="475" t="s">
        <v>343</v>
      </c>
      <c r="S53" s="505"/>
      <c r="T53" s="416">
        <v>46081</v>
      </c>
      <c r="U53" s="401">
        <f t="shared" si="10"/>
        <v>217088.32433222423</v>
      </c>
      <c r="V53" s="714"/>
      <c r="W53" s="459">
        <f>T53+30</f>
        <v>46111</v>
      </c>
      <c r="X53" s="71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8"/>
      <c r="J54" s="721"/>
      <c r="K54" s="205"/>
      <c r="L54" s="202">
        <v>6</v>
      </c>
      <c r="M54" s="328" t="s">
        <v>342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14"/>
      <c r="W54" s="459"/>
      <c r="X54" s="71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8"/>
      <c r="J55" s="721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14"/>
      <c r="W55" s="459"/>
      <c r="X55" s="71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8"/>
      <c r="J56" s="721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14"/>
      <c r="W56" s="459"/>
      <c r="X56" s="71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8"/>
      <c r="J57" s="721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14"/>
      <c r="W57" s="459"/>
      <c r="X57" s="71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8"/>
      <c r="J58" s="721"/>
      <c r="K58" s="205"/>
      <c r="L58" s="202">
        <v>6</v>
      </c>
      <c r="M58" s="328" t="s">
        <v>342</v>
      </c>
      <c r="N58" s="309" t="s">
        <v>319</v>
      </c>
      <c r="O58" s="447">
        <f>Z27</f>
        <v>19452</v>
      </c>
      <c r="P58" s="448">
        <v>0.1</v>
      </c>
      <c r="Q58" s="204">
        <f>$O$58*P58</f>
        <v>1945.2</v>
      </c>
      <c r="R58" s="692"/>
      <c r="S58" s="505" t="s">
        <v>320</v>
      </c>
      <c r="T58" s="558">
        <f>T91</f>
        <v>46053</v>
      </c>
      <c r="U58" s="653">
        <v>4699.3458276471429</v>
      </c>
      <c r="V58" s="714"/>
      <c r="W58" s="647">
        <f>W91</f>
        <v>46058</v>
      </c>
      <c r="X58" s="71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8"/>
      <c r="J59" s="721"/>
      <c r="K59" s="205"/>
      <c r="L59" s="202">
        <v>6</v>
      </c>
      <c r="M59" s="329" t="s">
        <v>342</v>
      </c>
      <c r="N59" s="309" t="s">
        <v>163</v>
      </c>
      <c r="O59" s="438"/>
      <c r="P59" s="448">
        <v>0.15</v>
      </c>
      <c r="Q59" s="204">
        <f t="shared" ref="Q59:Q65" si="11">$O$58*P59</f>
        <v>2917.7999999999997</v>
      </c>
      <c r="R59" s="716"/>
      <c r="S59" s="505" t="s">
        <v>322</v>
      </c>
      <c r="T59" s="558">
        <f t="shared" si="1"/>
        <v>46081</v>
      </c>
      <c r="U59" s="401">
        <f t="shared" si="10"/>
        <v>7049.0187414707143</v>
      </c>
      <c r="V59" s="714"/>
      <c r="W59" s="459">
        <f t="shared" ref="W59:W65" si="12">W92</f>
        <v>46062</v>
      </c>
      <c r="X59" s="71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8"/>
      <c r="J60" s="721"/>
      <c r="K60" s="205"/>
      <c r="L60" s="202">
        <v>6</v>
      </c>
      <c r="M60" s="329" t="s">
        <v>342</v>
      </c>
      <c r="N60" s="309" t="s">
        <v>324</v>
      </c>
      <c r="O60" s="438"/>
      <c r="P60" s="448">
        <v>0.2</v>
      </c>
      <c r="Q60" s="204">
        <f t="shared" si="11"/>
        <v>3890.4</v>
      </c>
      <c r="R60" s="716"/>
      <c r="S60" s="505"/>
      <c r="T60" s="419">
        <f t="shared" si="1"/>
        <v>46112</v>
      </c>
      <c r="U60" s="401">
        <f t="shared" si="10"/>
        <v>9398.6916552942857</v>
      </c>
      <c r="V60" s="714"/>
      <c r="W60" s="459">
        <f t="shared" si="12"/>
        <v>46093</v>
      </c>
      <c r="X60" s="71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8"/>
      <c r="J61" s="721"/>
      <c r="K61" s="205"/>
      <c r="L61" s="202">
        <v>6</v>
      </c>
      <c r="M61" s="329" t="s">
        <v>342</v>
      </c>
      <c r="N61" s="309" t="s">
        <v>326</v>
      </c>
      <c r="O61" s="438"/>
      <c r="P61" s="448">
        <v>0.25</v>
      </c>
      <c r="Q61" s="204">
        <f t="shared" si="11"/>
        <v>4863</v>
      </c>
      <c r="R61" s="716"/>
      <c r="S61" s="505"/>
      <c r="T61" s="419">
        <f t="shared" si="1"/>
        <v>46112</v>
      </c>
      <c r="U61" s="401">
        <f t="shared" si="10"/>
        <v>11748.364569117859</v>
      </c>
      <c r="V61" s="714"/>
      <c r="W61" s="459">
        <f t="shared" si="12"/>
        <v>46093</v>
      </c>
      <c r="X61" s="71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8"/>
      <c r="J62" s="721"/>
      <c r="K62" s="205"/>
      <c r="L62" s="202">
        <v>6</v>
      </c>
      <c r="M62" s="329" t="s">
        <v>342</v>
      </c>
      <c r="N62" s="309" t="s">
        <v>328</v>
      </c>
      <c r="O62" s="438"/>
      <c r="P62" s="448">
        <v>0.1</v>
      </c>
      <c r="Q62" s="204">
        <f t="shared" si="11"/>
        <v>1945.2</v>
      </c>
      <c r="R62" s="716"/>
      <c r="S62" s="505"/>
      <c r="T62" s="419">
        <f t="shared" si="1"/>
        <v>46112</v>
      </c>
      <c r="U62" s="401">
        <f t="shared" si="10"/>
        <v>4699.3458276471429</v>
      </c>
      <c r="V62" s="714"/>
      <c r="W62" s="459">
        <f t="shared" si="12"/>
        <v>46104</v>
      </c>
      <c r="X62" s="71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8"/>
      <c r="J63" s="721"/>
      <c r="K63" s="205"/>
      <c r="L63" s="202">
        <v>6</v>
      </c>
      <c r="M63" s="329" t="s">
        <v>342</v>
      </c>
      <c r="N63" s="309" t="s">
        <v>330</v>
      </c>
      <c r="O63" s="438"/>
      <c r="P63" s="448">
        <v>0.1</v>
      </c>
      <c r="Q63" s="204">
        <f t="shared" si="11"/>
        <v>1945.2</v>
      </c>
      <c r="R63" s="716"/>
      <c r="S63" s="509"/>
      <c r="T63" s="419">
        <f t="shared" si="1"/>
        <v>46112</v>
      </c>
      <c r="U63" s="406">
        <f t="shared" si="10"/>
        <v>4699.3458276471429</v>
      </c>
      <c r="V63" s="714"/>
      <c r="W63" s="459">
        <f t="shared" si="12"/>
        <v>46105</v>
      </c>
      <c r="X63" s="71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8"/>
      <c r="J64" s="721"/>
      <c r="K64" s="205"/>
      <c r="L64" s="202">
        <v>6</v>
      </c>
      <c r="M64" s="329" t="s">
        <v>342</v>
      </c>
      <c r="N64" s="309" t="s">
        <v>331</v>
      </c>
      <c r="O64" s="438"/>
      <c r="P64" s="448">
        <v>0.05</v>
      </c>
      <c r="Q64" s="204">
        <f t="shared" si="11"/>
        <v>972.6</v>
      </c>
      <c r="R64" s="716"/>
      <c r="S64" s="509"/>
      <c r="T64" s="419">
        <f t="shared" si="1"/>
        <v>46112</v>
      </c>
      <c r="U64" s="406">
        <f t="shared" si="10"/>
        <v>2349.6729138235714</v>
      </c>
      <c r="V64" s="714"/>
      <c r="W64" s="459">
        <f t="shared" si="12"/>
        <v>46105</v>
      </c>
      <c r="X64" s="71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8"/>
      <c r="J65" s="721"/>
      <c r="K65" s="205"/>
      <c r="L65" s="202">
        <v>6</v>
      </c>
      <c r="M65" s="329" t="s">
        <v>342</v>
      </c>
      <c r="N65" s="309" t="s">
        <v>332</v>
      </c>
      <c r="O65" s="438"/>
      <c r="P65" s="448">
        <v>0.05</v>
      </c>
      <c r="Q65" s="204">
        <f t="shared" si="11"/>
        <v>972.6</v>
      </c>
      <c r="R65" s="693"/>
      <c r="S65" s="509"/>
      <c r="T65" s="419">
        <f t="shared" si="1"/>
        <v>46142</v>
      </c>
      <c r="U65" s="406">
        <f t="shared" si="10"/>
        <v>2349.6729138235714</v>
      </c>
      <c r="V65" s="714"/>
      <c r="W65" s="459">
        <f t="shared" si="12"/>
        <v>46128</v>
      </c>
      <c r="X65" s="71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8"/>
      <c r="J66" s="721"/>
      <c r="K66" s="205"/>
      <c r="L66" s="202">
        <v>6</v>
      </c>
      <c r="M66" s="329" t="s">
        <v>342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14"/>
      <c r="W66" s="462"/>
      <c r="X66" s="71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8"/>
      <c r="J67" s="721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14"/>
      <c r="W67" s="462"/>
      <c r="X67" s="71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9"/>
      <c r="J68" s="722"/>
      <c r="K68" s="210"/>
      <c r="L68" s="206">
        <v>6</v>
      </c>
      <c r="M68" s="331" t="s">
        <v>342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5"/>
      <c r="W68" s="460"/>
      <c r="X68" s="719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344</v>
      </c>
      <c r="D70" s="282"/>
      <c r="E70" s="360"/>
      <c r="F70" s="366"/>
      <c r="G70" s="283"/>
      <c r="H70" s="556"/>
      <c r="I70" s="698">
        <f>SUM(G70:G77)</f>
        <v>0</v>
      </c>
      <c r="J70" s="701">
        <v>0</v>
      </c>
      <c r="K70" s="189"/>
      <c r="L70" s="281">
        <v>7</v>
      </c>
      <c r="M70" s="213" t="s">
        <v>345</v>
      </c>
      <c r="N70" s="282"/>
      <c r="O70" s="360"/>
      <c r="P70" s="366"/>
      <c r="Q70" s="283"/>
      <c r="R70" s="481"/>
      <c r="S70" s="511"/>
      <c r="T70" s="421" t="str">
        <f t="shared" ref="T70:T134" si="13">IF(W70&gt;1,EOMONTH(W70,0),"")</f>
        <v/>
      </c>
      <c r="U70" s="523"/>
      <c r="V70" s="707">
        <f>J70-SUM(U70:U77)</f>
        <v>0</v>
      </c>
      <c r="W70" s="464"/>
      <c r="X70" s="69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9"/>
      <c r="J71" s="702"/>
      <c r="K71" s="192"/>
      <c r="L71" s="284">
        <v>7</v>
      </c>
      <c r="M71" s="285" t="s">
        <v>345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08"/>
      <c r="W71" s="455"/>
      <c r="X71" s="69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9"/>
      <c r="J72" s="702"/>
      <c r="K72" s="192"/>
      <c r="L72" s="284">
        <v>7</v>
      </c>
      <c r="M72" s="285" t="s">
        <v>345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08"/>
      <c r="W72" s="455"/>
      <c r="X72" s="69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9"/>
      <c r="J73" s="702"/>
      <c r="K73" s="192"/>
      <c r="L73" s="284">
        <v>7</v>
      </c>
      <c r="M73" s="285" t="s">
        <v>345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08"/>
      <c r="W73" s="455"/>
      <c r="X73" s="69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9"/>
      <c r="J74" s="702"/>
      <c r="K74" s="192"/>
      <c r="L74" s="284">
        <v>7</v>
      </c>
      <c r="M74" s="285" t="s">
        <v>345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08"/>
      <c r="W74" s="455"/>
      <c r="X74" s="69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9"/>
      <c r="J75" s="702"/>
      <c r="K75" s="192"/>
      <c r="L75" s="284">
        <v>7</v>
      </c>
      <c r="M75" s="285" t="s">
        <v>345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08"/>
      <c r="W75" s="455"/>
      <c r="X75" s="69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9"/>
      <c r="J76" s="702"/>
      <c r="K76" s="192"/>
      <c r="L76" s="284">
        <v>7</v>
      </c>
      <c r="M76" s="285" t="s">
        <v>345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08"/>
      <c r="W76" s="455"/>
      <c r="X76" s="69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0"/>
      <c r="J77" s="703"/>
      <c r="K77" s="193"/>
      <c r="L77" s="220">
        <v>7</v>
      </c>
      <c r="M77" s="241" t="s">
        <v>345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09"/>
      <c r="W77" s="456"/>
      <c r="X77" s="700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346</v>
      </c>
      <c r="D79" s="237" t="s">
        <v>347</v>
      </c>
      <c r="E79" s="361"/>
      <c r="F79" s="315"/>
      <c r="G79" s="238">
        <v>28591</v>
      </c>
      <c r="H79" s="552">
        <f>H90</f>
        <v>46077</v>
      </c>
      <c r="I79" s="717">
        <f>SUM(G79:G88)</f>
        <v>131091</v>
      </c>
      <c r="J79" s="720">
        <f>F169+F170+F184</f>
        <v>163169.30555555556</v>
      </c>
      <c r="K79" s="201"/>
      <c r="L79" s="236">
        <v>8</v>
      </c>
      <c r="M79" s="324" t="s">
        <v>348</v>
      </c>
      <c r="N79" s="237" t="s">
        <v>347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35">
        <f>J79-SUM(U79:U88)</f>
        <v>0</v>
      </c>
      <c r="W79" s="458"/>
      <c r="X79" s="717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8"/>
      <c r="J80" s="721"/>
      <c r="K80" s="205"/>
      <c r="L80" s="226">
        <v>8</v>
      </c>
      <c r="M80" s="332" t="s">
        <v>348</v>
      </c>
      <c r="N80" s="239" t="s">
        <v>349</v>
      </c>
      <c r="O80" s="634">
        <v>62264.76</v>
      </c>
      <c r="P80" s="531">
        <v>0.5</v>
      </c>
      <c r="Q80" s="228">
        <f>O80*P80</f>
        <v>31132.38</v>
      </c>
      <c r="R80" s="692" t="s">
        <v>350</v>
      </c>
      <c r="S80" s="505" t="s">
        <v>351</v>
      </c>
      <c r="T80" s="543">
        <v>46053</v>
      </c>
      <c r="U80" s="653">
        <v>65745.99888605965</v>
      </c>
      <c r="V80" s="736"/>
      <c r="W80" s="642">
        <v>46051</v>
      </c>
      <c r="X80" s="718"/>
    </row>
    <row r="81" spans="1:24" ht="14.25" customHeight="1">
      <c r="B81" s="226">
        <v>8</v>
      </c>
      <c r="C81" s="227"/>
      <c r="D81" s="239" t="s">
        <v>352</v>
      </c>
      <c r="E81" s="314"/>
      <c r="F81" s="359"/>
      <c r="G81" s="228">
        <f>D184</f>
        <v>5000</v>
      </c>
      <c r="H81" s="543">
        <v>46081</v>
      </c>
      <c r="I81" s="718"/>
      <c r="J81" s="721"/>
      <c r="K81" s="205"/>
      <c r="L81" s="226">
        <v>8</v>
      </c>
      <c r="M81" s="332" t="s">
        <v>348</v>
      </c>
      <c r="N81" s="239" t="s">
        <v>353</v>
      </c>
      <c r="O81" s="314"/>
      <c r="P81" s="531">
        <v>0.5</v>
      </c>
      <c r="Q81" s="228">
        <v>33737.279999999999</v>
      </c>
      <c r="R81" s="693"/>
      <c r="S81" s="505" t="s">
        <v>351</v>
      </c>
      <c r="T81" s="543">
        <v>46053</v>
      </c>
      <c r="U81" s="653">
        <v>65745.99888605965</v>
      </c>
      <c r="V81" s="736"/>
      <c r="W81" s="642">
        <f>W80+14</f>
        <v>46065</v>
      </c>
      <c r="X81" s="718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8"/>
      <c r="J82" s="721"/>
      <c r="K82" s="205"/>
      <c r="L82" s="226">
        <v>8</v>
      </c>
      <c r="M82" s="332" t="s">
        <v>348</v>
      </c>
      <c r="N82" s="239" t="s">
        <v>354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36"/>
      <c r="W82" s="458">
        <v>46081</v>
      </c>
      <c r="X82" s="718"/>
    </row>
    <row r="83" spans="1:24" ht="14.25" customHeight="1">
      <c r="B83" s="226">
        <v>8</v>
      </c>
      <c r="C83" s="227"/>
      <c r="D83" s="239" t="s">
        <v>355</v>
      </c>
      <c r="E83" s="314"/>
      <c r="F83" s="359"/>
      <c r="G83" s="228">
        <v>10000</v>
      </c>
      <c r="H83" s="543">
        <v>46081</v>
      </c>
      <c r="I83" s="718"/>
      <c r="J83" s="721"/>
      <c r="K83" s="205"/>
      <c r="L83" s="226">
        <v>8</v>
      </c>
      <c r="M83" s="332" t="s">
        <v>348</v>
      </c>
      <c r="N83" s="239" t="s">
        <v>352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4">(Q83/$X$79*$J$79)</f>
        <v>10559.102594478747</v>
      </c>
      <c r="V83" s="736"/>
      <c r="W83" s="458">
        <f>T83+14</f>
        <v>46125</v>
      </c>
      <c r="X83" s="71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8"/>
      <c r="J84" s="721"/>
      <c r="K84" s="205"/>
      <c r="L84" s="226">
        <v>8</v>
      </c>
      <c r="M84" s="332" t="s">
        <v>348</v>
      </c>
      <c r="N84" s="239" t="s">
        <v>356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4"/>
        <v>21118.205188957494</v>
      </c>
      <c r="V84" s="736"/>
      <c r="W84" s="458">
        <f>T84+14</f>
        <v>46125</v>
      </c>
      <c r="X84" s="71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8"/>
      <c r="J85" s="721"/>
      <c r="K85" s="205"/>
      <c r="L85" s="226">
        <v>8</v>
      </c>
      <c r="M85" s="332" t="s">
        <v>348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36"/>
      <c r="W85" s="459"/>
      <c r="X85" s="71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8"/>
      <c r="J86" s="721"/>
      <c r="K86" s="205"/>
      <c r="L86" s="226">
        <v>8</v>
      </c>
      <c r="M86" s="332" t="s">
        <v>348</v>
      </c>
      <c r="N86" s="239"/>
      <c r="O86" s="441"/>
      <c r="P86" s="531"/>
      <c r="Q86" s="228"/>
      <c r="R86" s="475"/>
      <c r="S86" s="505"/>
      <c r="T86" s="543"/>
      <c r="U86" s="401">
        <f t="shared" si="14"/>
        <v>0</v>
      </c>
      <c r="V86" s="736"/>
      <c r="W86" s="459"/>
      <c r="X86" s="71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8"/>
      <c r="J87" s="721"/>
      <c r="K87" s="205"/>
      <c r="L87" s="226">
        <v>8</v>
      </c>
      <c r="M87" s="332" t="s">
        <v>348</v>
      </c>
      <c r="N87" s="239"/>
      <c r="O87" s="441"/>
      <c r="P87" s="531"/>
      <c r="Q87" s="228"/>
      <c r="R87" s="479"/>
      <c r="S87" s="509"/>
      <c r="T87" s="419" t="str">
        <f t="shared" si="13"/>
        <v/>
      </c>
      <c r="U87" s="406">
        <f t="shared" si="14"/>
        <v>0</v>
      </c>
      <c r="V87" s="736"/>
      <c r="W87" s="462"/>
      <c r="X87" s="718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9"/>
      <c r="J88" s="722"/>
      <c r="K88" s="210"/>
      <c r="L88" s="206">
        <v>8</v>
      </c>
      <c r="M88" s="331" t="s">
        <v>348</v>
      </c>
      <c r="N88" s="208"/>
      <c r="O88" s="442"/>
      <c r="P88" s="633"/>
      <c r="Q88" s="209"/>
      <c r="R88" s="476"/>
      <c r="S88" s="506"/>
      <c r="T88" s="417" t="str">
        <f t="shared" si="13"/>
        <v/>
      </c>
      <c r="U88" s="402">
        <f t="shared" si="14"/>
        <v>0</v>
      </c>
      <c r="V88" s="737"/>
      <c r="W88" s="460"/>
      <c r="X88" s="719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357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3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358</v>
      </c>
      <c r="D90" s="231" t="s">
        <v>359</v>
      </c>
      <c r="E90" s="218"/>
      <c r="F90" s="336"/>
      <c r="G90" s="495">
        <f>D174</f>
        <v>44530</v>
      </c>
      <c r="H90" s="540">
        <f>'Project Plan'!G25+7</f>
        <v>46077</v>
      </c>
      <c r="I90" s="729">
        <f>SUM(G90:G101)</f>
        <v>136510</v>
      </c>
      <c r="J90" s="701">
        <f>F174+F175</f>
        <v>151677.77777777778</v>
      </c>
      <c r="K90" s="192"/>
      <c r="L90" s="215">
        <v>9</v>
      </c>
      <c r="M90" s="322" t="s">
        <v>360</v>
      </c>
      <c r="N90" s="231"/>
      <c r="O90" s="433"/>
      <c r="P90" s="336"/>
      <c r="Q90" s="219"/>
      <c r="R90" s="477"/>
      <c r="S90" s="507"/>
      <c r="T90" s="418" t="str">
        <f t="shared" si="13"/>
        <v/>
      </c>
      <c r="U90" s="404">
        <f t="shared" ref="U90:U101" si="15">(Q90/$X$90*$J$90)</f>
        <v>0</v>
      </c>
      <c r="V90" s="710">
        <f>J90-SUM(U90:U101)</f>
        <v>0</v>
      </c>
      <c r="W90" s="461"/>
      <c r="X90" s="698">
        <f>SUM(Q90:Q101)</f>
        <v>152000</v>
      </c>
    </row>
    <row r="91" spans="1:24" ht="15" customHeight="1">
      <c r="B91" s="215">
        <v>9</v>
      </c>
      <c r="C91" s="341"/>
      <c r="D91" s="232" t="s">
        <v>361</v>
      </c>
      <c r="E91" s="218"/>
      <c r="F91" s="357"/>
      <c r="G91" s="495">
        <f>D175</f>
        <v>91980</v>
      </c>
      <c r="H91" s="539">
        <f>'Project Plan'!G32+7</f>
        <v>46087</v>
      </c>
      <c r="I91" s="730"/>
      <c r="J91" s="702"/>
      <c r="K91" s="192"/>
      <c r="L91" s="215">
        <v>9</v>
      </c>
      <c r="M91" s="322" t="s">
        <v>360</v>
      </c>
      <c r="N91" s="232" t="s">
        <v>319</v>
      </c>
      <c r="O91" s="450">
        <f>Z30+Z29</f>
        <v>152000</v>
      </c>
      <c r="P91" s="451">
        <v>0.1</v>
      </c>
      <c r="Q91" s="219">
        <f>$O$91*P91</f>
        <v>15200</v>
      </c>
      <c r="R91" s="741"/>
      <c r="S91" s="500" t="s">
        <v>320</v>
      </c>
      <c r="T91" s="549">
        <v>46053</v>
      </c>
      <c r="U91" s="631">
        <v>15167.777777777779</v>
      </c>
      <c r="V91" s="711"/>
      <c r="W91" s="648">
        <f>'Project Plan'!K14+13</f>
        <v>46058</v>
      </c>
      <c r="X91" s="69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0"/>
      <c r="J92" s="702"/>
      <c r="K92" s="192"/>
      <c r="L92" s="284">
        <v>9</v>
      </c>
      <c r="M92" s="394" t="s">
        <v>360</v>
      </c>
      <c r="N92" s="286" t="s">
        <v>163</v>
      </c>
      <c r="O92" s="434"/>
      <c r="P92" s="449">
        <v>0.15</v>
      </c>
      <c r="Q92" s="219">
        <f t="shared" ref="Q92:Q98" si="16">$O$91*P92</f>
        <v>22800</v>
      </c>
      <c r="R92" s="742"/>
      <c r="S92" s="500" t="s">
        <v>322</v>
      </c>
      <c r="T92" s="549">
        <v>46081</v>
      </c>
      <c r="U92" s="397">
        <f t="shared" si="15"/>
        <v>22751.666666666668</v>
      </c>
      <c r="V92" s="711"/>
      <c r="W92" s="455">
        <f>'Project Plan'!I23</f>
        <v>46062</v>
      </c>
      <c r="X92" s="69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0"/>
      <c r="J93" s="702"/>
      <c r="K93" s="192"/>
      <c r="L93" s="284">
        <v>9</v>
      </c>
      <c r="M93" s="394" t="s">
        <v>360</v>
      </c>
      <c r="N93" s="286" t="s">
        <v>324</v>
      </c>
      <c r="O93" s="434"/>
      <c r="P93" s="449">
        <v>0.2</v>
      </c>
      <c r="Q93" s="219">
        <f t="shared" si="16"/>
        <v>30400</v>
      </c>
      <c r="R93" s="742"/>
      <c r="S93" s="501"/>
      <c r="T93" s="412">
        <f t="shared" si="13"/>
        <v>46112</v>
      </c>
      <c r="U93" s="397">
        <f t="shared" si="15"/>
        <v>30335.555555555558</v>
      </c>
      <c r="V93" s="711"/>
      <c r="W93" s="455">
        <f>'Project Plan'!K25+7</f>
        <v>46093</v>
      </c>
      <c r="X93" s="69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0"/>
      <c r="J94" s="702"/>
      <c r="K94" s="192"/>
      <c r="L94" s="284">
        <v>9</v>
      </c>
      <c r="M94" s="394" t="s">
        <v>360</v>
      </c>
      <c r="N94" s="286" t="s">
        <v>326</v>
      </c>
      <c r="O94" s="434"/>
      <c r="P94" s="449">
        <v>0.25</v>
      </c>
      <c r="Q94" s="219">
        <f t="shared" si="16"/>
        <v>38000</v>
      </c>
      <c r="R94" s="742"/>
      <c r="S94" s="501"/>
      <c r="T94" s="412">
        <f t="shared" si="13"/>
        <v>46112</v>
      </c>
      <c r="U94" s="397">
        <f t="shared" si="15"/>
        <v>37919.444444444445</v>
      </c>
      <c r="V94" s="711"/>
      <c r="W94" s="455">
        <f>'Project Plan'!K32+7</f>
        <v>46093</v>
      </c>
      <c r="X94" s="69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0"/>
      <c r="J95" s="702"/>
      <c r="K95" s="192"/>
      <c r="L95" s="284">
        <v>9</v>
      </c>
      <c r="M95" s="394" t="s">
        <v>360</v>
      </c>
      <c r="N95" s="286" t="s">
        <v>328</v>
      </c>
      <c r="O95" s="434"/>
      <c r="P95" s="449">
        <v>0.1</v>
      </c>
      <c r="Q95" s="219">
        <f t="shared" si="16"/>
        <v>15200</v>
      </c>
      <c r="R95" s="742"/>
      <c r="S95" s="501"/>
      <c r="T95" s="412">
        <f t="shared" si="13"/>
        <v>46112</v>
      </c>
      <c r="U95" s="397">
        <f t="shared" si="15"/>
        <v>15167.777777777779</v>
      </c>
      <c r="V95" s="711"/>
      <c r="W95" s="455">
        <f>'Project Plan'!K43+7</f>
        <v>46104</v>
      </c>
      <c r="X95" s="69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0"/>
      <c r="J96" s="702"/>
      <c r="K96" s="192"/>
      <c r="L96" s="284">
        <v>9</v>
      </c>
      <c r="M96" s="394" t="s">
        <v>360</v>
      </c>
      <c r="N96" s="286" t="s">
        <v>330</v>
      </c>
      <c r="O96" s="434"/>
      <c r="P96" s="449">
        <v>0.1</v>
      </c>
      <c r="Q96" s="219">
        <f t="shared" si="16"/>
        <v>15200</v>
      </c>
      <c r="R96" s="742"/>
      <c r="S96" s="501"/>
      <c r="T96" s="412">
        <f t="shared" si="13"/>
        <v>46112</v>
      </c>
      <c r="U96" s="397">
        <f t="shared" si="15"/>
        <v>15167.777777777779</v>
      </c>
      <c r="V96" s="711"/>
      <c r="W96" s="455">
        <f>'Project Plan'!K50+7</f>
        <v>46105</v>
      </c>
      <c r="X96" s="69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0"/>
      <c r="J97" s="702"/>
      <c r="K97" s="192"/>
      <c r="L97" s="284">
        <v>9</v>
      </c>
      <c r="M97" s="394" t="s">
        <v>360</v>
      </c>
      <c r="N97" s="286" t="s">
        <v>331</v>
      </c>
      <c r="O97" s="434"/>
      <c r="P97" s="449">
        <v>0.05</v>
      </c>
      <c r="Q97" s="219">
        <f t="shared" si="16"/>
        <v>7600</v>
      </c>
      <c r="R97" s="742"/>
      <c r="S97" s="501"/>
      <c r="T97" s="412">
        <f t="shared" si="13"/>
        <v>46112</v>
      </c>
      <c r="U97" s="397">
        <f t="shared" si="15"/>
        <v>7583.8888888888896</v>
      </c>
      <c r="V97" s="711"/>
      <c r="W97" s="455">
        <f>'Project Plan'!K50+7</f>
        <v>46105</v>
      </c>
      <c r="X97" s="69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0"/>
      <c r="J98" s="702"/>
      <c r="K98" s="192"/>
      <c r="L98" s="284">
        <v>9</v>
      </c>
      <c r="M98" s="394" t="s">
        <v>360</v>
      </c>
      <c r="N98" s="286" t="s">
        <v>332</v>
      </c>
      <c r="O98" s="434"/>
      <c r="P98" s="449">
        <v>0.05</v>
      </c>
      <c r="Q98" s="219">
        <f t="shared" si="16"/>
        <v>7600</v>
      </c>
      <c r="R98" s="743"/>
      <c r="S98" s="501"/>
      <c r="T98" s="412">
        <f>T97</f>
        <v>46112</v>
      </c>
      <c r="U98" s="397">
        <f t="shared" si="15"/>
        <v>7583.8888888888896</v>
      </c>
      <c r="V98" s="711"/>
      <c r="W98" s="455">
        <f>'Project Plan'!K50+30</f>
        <v>46128</v>
      </c>
      <c r="X98" s="69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0"/>
      <c r="J99" s="702"/>
      <c r="K99" s="192"/>
      <c r="L99" s="284">
        <v>9</v>
      </c>
      <c r="M99" s="394" t="s">
        <v>360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711"/>
      <c r="W99" s="455"/>
      <c r="X99" s="69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0"/>
      <c r="J100" s="702"/>
      <c r="K100" s="192"/>
      <c r="L100" s="284">
        <v>9</v>
      </c>
      <c r="M100" s="394" t="s">
        <v>360</v>
      </c>
      <c r="N100" s="286"/>
      <c r="O100" s="434"/>
      <c r="P100" s="343"/>
      <c r="Q100" s="287"/>
      <c r="R100" s="471"/>
      <c r="S100" s="501"/>
      <c r="T100" s="412" t="str">
        <f t="shared" si="13"/>
        <v/>
      </c>
      <c r="U100" s="397">
        <f t="shared" si="15"/>
        <v>0</v>
      </c>
      <c r="V100" s="711"/>
      <c r="W100" s="455"/>
      <c r="X100" s="699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1"/>
      <c r="J101" s="703"/>
      <c r="K101" s="267"/>
      <c r="L101" s="220">
        <v>9</v>
      </c>
      <c r="M101" s="340" t="s">
        <v>360</v>
      </c>
      <c r="N101" s="233"/>
      <c r="O101" s="435"/>
      <c r="P101" s="358"/>
      <c r="Q101" s="234"/>
      <c r="R101" s="472"/>
      <c r="S101" s="502"/>
      <c r="T101" s="413" t="str">
        <f t="shared" si="13"/>
        <v/>
      </c>
      <c r="U101" s="398">
        <f t="shared" si="15"/>
        <v>0</v>
      </c>
      <c r="V101" s="712"/>
      <c r="W101" s="456"/>
      <c r="X101" s="700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3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362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23">
        <f>SUM(G103:G117)</f>
        <v>25523.90303030303</v>
      </c>
      <c r="J103" s="726">
        <f>F178+F181+F182+F180+F179</f>
        <v>28359.892255892257</v>
      </c>
      <c r="K103" s="243"/>
      <c r="L103" s="173">
        <v>10</v>
      </c>
      <c r="M103" s="333" t="s">
        <v>363</v>
      </c>
      <c r="N103" s="174"/>
      <c r="O103" s="444"/>
      <c r="P103" s="368"/>
      <c r="Q103" s="242"/>
      <c r="R103" s="482"/>
      <c r="S103" s="512"/>
      <c r="T103" s="423" t="str">
        <f t="shared" si="13"/>
        <v/>
      </c>
      <c r="U103" s="408">
        <f t="shared" ref="U103:U116" si="17">(Q103/$X$103*$J$103)</f>
        <v>0</v>
      </c>
      <c r="V103" s="732">
        <f>J103-SUM(U103:U117)</f>
        <v>0</v>
      </c>
      <c r="W103" s="465"/>
      <c r="X103" s="723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24"/>
      <c r="J104" s="727"/>
      <c r="K104" s="176"/>
      <c r="L104" s="244">
        <v>10</v>
      </c>
      <c r="M104" s="334" t="s">
        <v>363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522">
        <f t="shared" si="17"/>
        <v>0</v>
      </c>
      <c r="V104" s="733"/>
      <c r="W104" s="466"/>
      <c r="X104" s="724"/>
    </row>
    <row r="105" spans="1:24" ht="14.25" customHeight="1">
      <c r="B105" s="244">
        <v>10</v>
      </c>
      <c r="C105" s="245"/>
      <c r="D105" s="245" t="s">
        <v>364</v>
      </c>
      <c r="E105" s="246"/>
      <c r="F105" s="369"/>
      <c r="G105" s="247">
        <f>D181</f>
        <v>0</v>
      </c>
      <c r="H105" s="560">
        <f>H90</f>
        <v>46077</v>
      </c>
      <c r="I105" s="724"/>
      <c r="J105" s="727"/>
      <c r="K105" s="176"/>
      <c r="L105" s="244">
        <v>10</v>
      </c>
      <c r="M105" s="334" t="s">
        <v>363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733"/>
      <c r="W105" s="466"/>
      <c r="X105" s="724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24"/>
      <c r="J106" s="727"/>
      <c r="K106" s="176"/>
      <c r="L106" s="244">
        <v>10</v>
      </c>
      <c r="M106" s="334" t="s">
        <v>363</v>
      </c>
      <c r="N106" s="245"/>
      <c r="O106" s="445"/>
      <c r="P106" s="369"/>
      <c r="Q106" s="247"/>
      <c r="R106" s="483"/>
      <c r="S106" s="513"/>
      <c r="T106" s="424" t="str">
        <f t="shared" si="13"/>
        <v/>
      </c>
      <c r="U106" s="409">
        <f t="shared" si="17"/>
        <v>0</v>
      </c>
      <c r="V106" s="733"/>
      <c r="W106" s="466"/>
      <c r="X106" s="72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24"/>
      <c r="J107" s="727"/>
      <c r="K107" s="176"/>
      <c r="L107" s="244">
        <v>10</v>
      </c>
      <c r="M107" s="334" t="s">
        <v>363</v>
      </c>
      <c r="N107" s="245" t="s">
        <v>319</v>
      </c>
      <c r="O107" s="494">
        <f>SUM(Z31:Z36)</f>
        <v>27550</v>
      </c>
      <c r="P107" s="452">
        <v>0.1</v>
      </c>
      <c r="Q107" s="247">
        <f>$O$107*P107</f>
        <v>2755</v>
      </c>
      <c r="R107" s="738"/>
      <c r="S107" s="514" t="s">
        <v>320</v>
      </c>
      <c r="T107" s="561">
        <f>T91</f>
        <v>46053</v>
      </c>
      <c r="U107" s="655">
        <v>2835.989225589226</v>
      </c>
      <c r="V107" s="733"/>
      <c r="W107" s="649">
        <f>W91</f>
        <v>46058</v>
      </c>
      <c r="X107" s="72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24"/>
      <c r="J108" s="727"/>
      <c r="K108" s="176"/>
      <c r="L108" s="244">
        <v>10</v>
      </c>
      <c r="M108" s="334" t="s">
        <v>363</v>
      </c>
      <c r="N108" s="245" t="s">
        <v>163</v>
      </c>
      <c r="O108" s="445"/>
      <c r="P108" s="452">
        <v>0.15</v>
      </c>
      <c r="Q108" s="247">
        <f t="shared" ref="Q108:Q114" si="18">$O$107*P108</f>
        <v>4132.5</v>
      </c>
      <c r="R108" s="739"/>
      <c r="S108" s="518" t="s">
        <v>322</v>
      </c>
      <c r="T108" s="561">
        <f t="shared" ref="T108:T114" si="19">T92</f>
        <v>46081</v>
      </c>
      <c r="U108" s="409">
        <f t="shared" si="17"/>
        <v>4253.9838383838387</v>
      </c>
      <c r="V108" s="733"/>
      <c r="W108" s="467">
        <f t="shared" ref="W108:W114" si="20">W92</f>
        <v>46062</v>
      </c>
      <c r="X108" s="72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24"/>
      <c r="J109" s="727"/>
      <c r="K109" s="176"/>
      <c r="L109" s="244">
        <v>10</v>
      </c>
      <c r="M109" s="334" t="s">
        <v>363</v>
      </c>
      <c r="N109" s="245" t="s">
        <v>324</v>
      </c>
      <c r="O109" s="445"/>
      <c r="P109" s="452">
        <v>0.2</v>
      </c>
      <c r="Q109" s="247">
        <f t="shared" si="18"/>
        <v>5510</v>
      </c>
      <c r="R109" s="739"/>
      <c r="S109" s="514"/>
      <c r="T109" s="425">
        <f t="shared" si="19"/>
        <v>46112</v>
      </c>
      <c r="U109" s="409">
        <f t="shared" si="17"/>
        <v>5671.9784511784519</v>
      </c>
      <c r="V109" s="733"/>
      <c r="W109" s="467">
        <f t="shared" si="20"/>
        <v>46093</v>
      </c>
      <c r="X109" s="72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24"/>
      <c r="J110" s="727"/>
      <c r="K110" s="176"/>
      <c r="L110" s="244">
        <v>10</v>
      </c>
      <c r="M110" s="334" t="s">
        <v>363</v>
      </c>
      <c r="N110" s="245" t="s">
        <v>326</v>
      </c>
      <c r="O110" s="445"/>
      <c r="P110" s="452">
        <v>0.25</v>
      </c>
      <c r="Q110" s="247">
        <f t="shared" si="18"/>
        <v>6887.5</v>
      </c>
      <c r="R110" s="739"/>
      <c r="S110" s="514"/>
      <c r="T110" s="425">
        <f t="shared" si="19"/>
        <v>46112</v>
      </c>
      <c r="U110" s="409">
        <f t="shared" si="17"/>
        <v>7089.9730639730642</v>
      </c>
      <c r="V110" s="733"/>
      <c r="W110" s="467">
        <f t="shared" si="20"/>
        <v>46093</v>
      </c>
      <c r="X110" s="72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24"/>
      <c r="J111" s="727"/>
      <c r="K111" s="176"/>
      <c r="L111" s="244">
        <v>10</v>
      </c>
      <c r="M111" s="334" t="s">
        <v>363</v>
      </c>
      <c r="N111" s="245" t="s">
        <v>328</v>
      </c>
      <c r="O111" s="445"/>
      <c r="P111" s="452">
        <v>0.1</v>
      </c>
      <c r="Q111" s="247">
        <f t="shared" si="18"/>
        <v>2755</v>
      </c>
      <c r="R111" s="739"/>
      <c r="S111" s="514"/>
      <c r="T111" s="425">
        <f t="shared" si="19"/>
        <v>46112</v>
      </c>
      <c r="U111" s="409">
        <f t="shared" si="17"/>
        <v>2835.989225589226</v>
      </c>
      <c r="V111" s="733"/>
      <c r="W111" s="467">
        <f t="shared" si="20"/>
        <v>46104</v>
      </c>
      <c r="X111" s="72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24"/>
      <c r="J112" s="727"/>
      <c r="K112" s="176"/>
      <c r="L112" s="244">
        <v>10</v>
      </c>
      <c r="M112" s="334" t="s">
        <v>363</v>
      </c>
      <c r="N112" s="245" t="s">
        <v>330</v>
      </c>
      <c r="O112" s="445"/>
      <c r="P112" s="452">
        <v>0.1</v>
      </c>
      <c r="Q112" s="247">
        <f t="shared" si="18"/>
        <v>2755</v>
      </c>
      <c r="R112" s="739"/>
      <c r="S112" s="514"/>
      <c r="T112" s="425">
        <f t="shared" si="19"/>
        <v>46112</v>
      </c>
      <c r="U112" s="409">
        <f t="shared" si="17"/>
        <v>2835.989225589226</v>
      </c>
      <c r="V112" s="733"/>
      <c r="W112" s="467">
        <f t="shared" si="20"/>
        <v>46105</v>
      </c>
      <c r="X112" s="72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24"/>
      <c r="J113" s="727"/>
      <c r="K113" s="176"/>
      <c r="L113" s="244">
        <v>10</v>
      </c>
      <c r="M113" s="334" t="s">
        <v>363</v>
      </c>
      <c r="N113" s="245" t="s">
        <v>331</v>
      </c>
      <c r="O113" s="445"/>
      <c r="P113" s="452">
        <v>0.05</v>
      </c>
      <c r="Q113" s="247">
        <f t="shared" si="18"/>
        <v>1377.5</v>
      </c>
      <c r="R113" s="739"/>
      <c r="S113" s="514"/>
      <c r="T113" s="425">
        <f t="shared" si="19"/>
        <v>46112</v>
      </c>
      <c r="U113" s="409">
        <f t="shared" si="17"/>
        <v>1417.994612794613</v>
      </c>
      <c r="V113" s="733"/>
      <c r="W113" s="467">
        <f t="shared" si="20"/>
        <v>46105</v>
      </c>
      <c r="X113" s="72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24"/>
      <c r="J114" s="727"/>
      <c r="K114" s="176"/>
      <c r="L114" s="244">
        <v>10</v>
      </c>
      <c r="M114" s="334" t="s">
        <v>363</v>
      </c>
      <c r="N114" s="245" t="s">
        <v>332</v>
      </c>
      <c r="O114" s="445"/>
      <c r="P114" s="452">
        <v>0.05</v>
      </c>
      <c r="Q114" s="247">
        <f t="shared" si="18"/>
        <v>1377.5</v>
      </c>
      <c r="R114" s="740"/>
      <c r="S114" s="514"/>
      <c r="T114" s="425">
        <f t="shared" si="19"/>
        <v>46112</v>
      </c>
      <c r="U114" s="409">
        <f t="shared" si="17"/>
        <v>1417.994612794613</v>
      </c>
      <c r="V114" s="733"/>
      <c r="W114" s="467">
        <f t="shared" si="20"/>
        <v>46128</v>
      </c>
      <c r="X114" s="72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24"/>
      <c r="J115" s="727"/>
      <c r="K115" s="176"/>
      <c r="L115" s="244">
        <v>10</v>
      </c>
      <c r="M115" s="334" t="s">
        <v>363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733"/>
      <c r="W115" s="467"/>
      <c r="X115" s="724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24"/>
      <c r="J116" s="727"/>
      <c r="K116" s="176"/>
      <c r="L116" s="244">
        <v>10</v>
      </c>
      <c r="M116" s="334" t="s">
        <v>363</v>
      </c>
      <c r="N116" s="245"/>
      <c r="O116" s="445"/>
      <c r="P116" s="369"/>
      <c r="Q116" s="247"/>
      <c r="R116" s="484"/>
      <c r="S116" s="514"/>
      <c r="T116" s="425" t="str">
        <f t="shared" si="13"/>
        <v/>
      </c>
      <c r="U116" s="409">
        <f t="shared" si="17"/>
        <v>0</v>
      </c>
      <c r="V116" s="733"/>
      <c r="W116" s="467"/>
      <c r="X116" s="724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25"/>
      <c r="J117" s="728"/>
      <c r="K117" s="179"/>
      <c r="L117" s="177">
        <v>10</v>
      </c>
      <c r="M117" s="335" t="s">
        <v>363</v>
      </c>
      <c r="N117" s="248"/>
      <c r="O117" s="446"/>
      <c r="P117" s="370"/>
      <c r="Q117" s="178"/>
      <c r="R117" s="485"/>
      <c r="S117" s="515"/>
      <c r="T117" s="426" t="str">
        <f t="shared" si="13"/>
        <v/>
      </c>
      <c r="U117" s="410"/>
      <c r="V117" s="734"/>
      <c r="W117" s="468"/>
      <c r="X117" s="725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3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365</v>
      </c>
      <c r="D119" s="255" t="s">
        <v>366</v>
      </c>
      <c r="E119" s="187"/>
      <c r="F119" s="336"/>
      <c r="G119" s="188">
        <v>11000</v>
      </c>
      <c r="H119" s="540">
        <f>'Project Plan'!G43</f>
        <v>46091</v>
      </c>
      <c r="I119" s="698">
        <f>SUM(G119:G123)</f>
        <v>89000</v>
      </c>
      <c r="J119" s="701">
        <f>F177</f>
        <v>98888.888888888891</v>
      </c>
      <c r="K119" s="189"/>
      <c r="L119" s="185">
        <v>11</v>
      </c>
      <c r="M119" s="255" t="s">
        <v>367</v>
      </c>
      <c r="N119" s="255" t="s">
        <v>366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10">
        <f>J119-SUM(U119:U123)</f>
        <v>0</v>
      </c>
      <c r="W119" s="461">
        <f>'Project Plan'!K43+14</f>
        <v>46111</v>
      </c>
      <c r="X119" s="698">
        <f>SUM(Q119:Q123)</f>
        <v>87150</v>
      </c>
    </row>
    <row r="120" spans="1:24" ht="15" customHeight="1">
      <c r="B120" s="215">
        <v>11</v>
      </c>
      <c r="C120" s="217"/>
      <c r="D120" s="217" t="s">
        <v>368</v>
      </c>
      <c r="E120" s="218"/>
      <c r="F120" s="357"/>
      <c r="G120" s="219">
        <v>18000</v>
      </c>
      <c r="H120" s="540">
        <f>H119</f>
        <v>46091</v>
      </c>
      <c r="I120" s="699"/>
      <c r="J120" s="702"/>
      <c r="K120" s="192"/>
      <c r="L120" s="215">
        <v>11</v>
      </c>
      <c r="M120" s="290" t="s">
        <v>367</v>
      </c>
      <c r="N120" s="217" t="s">
        <v>369</v>
      </c>
      <c r="O120" s="218"/>
      <c r="P120" s="357"/>
      <c r="Q120" s="219">
        <v>8572.5</v>
      </c>
      <c r="R120" s="470"/>
      <c r="S120" s="500" t="s">
        <v>370</v>
      </c>
      <c r="T120" s="629">
        <v>46022</v>
      </c>
      <c r="U120" s="631">
        <v>9727.1944922547336</v>
      </c>
      <c r="V120" s="711"/>
      <c r="W120" s="630">
        <v>45974</v>
      </c>
      <c r="X120" s="699"/>
    </row>
    <row r="121" spans="1:24" ht="15" customHeight="1">
      <c r="B121" s="215">
        <v>11</v>
      </c>
      <c r="C121" s="217"/>
      <c r="D121" s="217" t="s">
        <v>371</v>
      </c>
      <c r="E121" s="218"/>
      <c r="F121" s="357"/>
      <c r="G121" s="219">
        <v>60000</v>
      </c>
      <c r="H121" s="540">
        <f>H120</f>
        <v>46091</v>
      </c>
      <c r="I121" s="699"/>
      <c r="J121" s="702"/>
      <c r="K121" s="192"/>
      <c r="L121" s="215">
        <v>11</v>
      </c>
      <c r="M121" s="290" t="s">
        <v>367</v>
      </c>
      <c r="N121" s="217" t="s">
        <v>371</v>
      </c>
      <c r="O121" s="218"/>
      <c r="P121" s="357"/>
      <c r="Q121" s="219">
        <v>60000</v>
      </c>
      <c r="R121" s="470"/>
      <c r="S121" s="500"/>
      <c r="T121" s="411">
        <f t="shared" si="13"/>
        <v>46112</v>
      </c>
      <c r="U121" s="397">
        <f>(Q121/$X$119*$J$119)</f>
        <v>68081.851214381328</v>
      </c>
      <c r="V121" s="711"/>
      <c r="W121" s="454">
        <f>W122</f>
        <v>46111</v>
      </c>
      <c r="X121" s="699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9"/>
      <c r="J122" s="702"/>
      <c r="K122" s="192"/>
      <c r="L122" s="215">
        <v>11</v>
      </c>
      <c r="M122" s="290" t="s">
        <v>367</v>
      </c>
      <c r="N122" s="288" t="s">
        <v>372</v>
      </c>
      <c r="O122" s="434"/>
      <c r="P122" s="343"/>
      <c r="Q122" s="287">
        <v>6000</v>
      </c>
      <c r="R122" s="471"/>
      <c r="S122" s="501"/>
      <c r="T122" s="411">
        <f t="shared" si="13"/>
        <v>46112</v>
      </c>
      <c r="U122" s="397">
        <f>(Q122/$X$119*$J$119)</f>
        <v>6808.1851214381331</v>
      </c>
      <c r="V122" s="711"/>
      <c r="W122" s="455">
        <v>46111</v>
      </c>
      <c r="X122" s="699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0"/>
      <c r="J123" s="703"/>
      <c r="K123" s="193"/>
      <c r="L123" s="220">
        <v>11</v>
      </c>
      <c r="M123" s="318" t="s">
        <v>367</v>
      </c>
      <c r="N123" s="221"/>
      <c r="O123" s="222"/>
      <c r="P123" s="358"/>
      <c r="Q123" s="234"/>
      <c r="R123" s="472"/>
      <c r="S123" s="502"/>
      <c r="T123" s="413" t="str">
        <f t="shared" si="13"/>
        <v/>
      </c>
      <c r="U123" s="398">
        <f>(Q123/$X$119*$J$119)</f>
        <v>0</v>
      </c>
      <c r="V123" s="712"/>
      <c r="W123" s="456"/>
      <c r="X123" s="700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3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373</v>
      </c>
      <c r="D125" s="174" t="s">
        <v>374</v>
      </c>
      <c r="E125" s="175"/>
      <c r="F125" s="368"/>
      <c r="G125" s="242">
        <v>0</v>
      </c>
      <c r="H125" s="559"/>
      <c r="I125" s="723">
        <f>SUM(G125:G126)</f>
        <v>0</v>
      </c>
      <c r="J125" s="726">
        <v>0</v>
      </c>
      <c r="K125" s="744"/>
      <c r="L125" s="173">
        <v>12</v>
      </c>
      <c r="M125" s="174" t="s">
        <v>375</v>
      </c>
      <c r="N125" s="174" t="s">
        <v>374</v>
      </c>
      <c r="O125" s="444"/>
      <c r="P125" s="368"/>
      <c r="Q125" s="242">
        <f>G125</f>
        <v>0</v>
      </c>
      <c r="R125" s="482"/>
      <c r="S125" s="512"/>
      <c r="T125" s="423" t="str">
        <f t="shared" si="13"/>
        <v/>
      </c>
      <c r="U125" s="408"/>
      <c r="V125" s="384"/>
      <c r="W125" s="465"/>
      <c r="X125" s="723">
        <f>SUM(Q125:Q126)</f>
        <v>0</v>
      </c>
    </row>
    <row r="126" spans="1:24" ht="15" customHeight="1" thickBot="1">
      <c r="B126" s="177">
        <v>12</v>
      </c>
      <c r="C126" s="248" t="s">
        <v>373</v>
      </c>
      <c r="D126" s="248"/>
      <c r="E126" s="249"/>
      <c r="F126" s="370"/>
      <c r="G126" s="178"/>
      <c r="H126" s="562"/>
      <c r="I126" s="725"/>
      <c r="J126" s="728"/>
      <c r="K126" s="745"/>
      <c r="L126" s="177">
        <v>12</v>
      </c>
      <c r="M126" s="248" t="s">
        <v>375</v>
      </c>
      <c r="N126" s="248"/>
      <c r="O126" s="446"/>
      <c r="P126" s="370"/>
      <c r="Q126" s="178"/>
      <c r="R126" s="485"/>
      <c r="S126" s="515"/>
      <c r="T126" s="426" t="str">
        <f t="shared" si="13"/>
        <v/>
      </c>
      <c r="U126" s="410"/>
      <c r="V126" s="383"/>
      <c r="W126" s="468"/>
      <c r="X126" s="725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3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376</v>
      </c>
      <c r="D128" s="255" t="s">
        <v>377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8">
        <f>SUM(G128:G132)</f>
        <v>17291.832113965746</v>
      </c>
      <c r="J128" s="701">
        <f>F176</f>
        <v>19649.80922041562</v>
      </c>
      <c r="K128" s="189"/>
      <c r="L128" s="185">
        <v>13</v>
      </c>
      <c r="M128" s="255" t="s">
        <v>378</v>
      </c>
      <c r="N128" s="255" t="s">
        <v>379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3"/>
        <v>46112</v>
      </c>
      <c r="U128" s="404">
        <f t="shared" ref="U128:U133" si="21">(Q128/$X$128*$J$128)</f>
        <v>19649.80922041562</v>
      </c>
      <c r="V128" s="710">
        <f>J128-SUM(U128:U133)</f>
        <v>0</v>
      </c>
      <c r="W128" s="461">
        <v>46112</v>
      </c>
      <c r="X128" s="698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9"/>
      <c r="J129" s="702"/>
      <c r="K129" s="192"/>
      <c r="L129" s="215">
        <v>13</v>
      </c>
      <c r="M129" s="290" t="s">
        <v>378</v>
      </c>
      <c r="N129" s="217" t="s">
        <v>380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711"/>
      <c r="W129" s="454">
        <f>W128</f>
        <v>46112</v>
      </c>
      <c r="X129" s="69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9"/>
      <c r="J130" s="702"/>
      <c r="K130" s="192"/>
      <c r="L130" s="215">
        <v>13</v>
      </c>
      <c r="M130" s="290" t="s">
        <v>378</v>
      </c>
      <c r="N130" s="217" t="s">
        <v>381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711"/>
      <c r="W130" s="454">
        <f t="shared" ref="W130:W132" si="22">W129</f>
        <v>46112</v>
      </c>
      <c r="X130" s="699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9"/>
      <c r="J131" s="702"/>
      <c r="K131" s="192"/>
      <c r="L131" s="215">
        <v>13</v>
      </c>
      <c r="M131" s="290" t="s">
        <v>378</v>
      </c>
      <c r="N131" s="217" t="s">
        <v>382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711"/>
      <c r="W131" s="454">
        <f t="shared" si="22"/>
        <v>46112</v>
      </c>
      <c r="X131" s="699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9"/>
      <c r="J132" s="702"/>
      <c r="K132" s="192"/>
      <c r="L132" s="215">
        <v>13</v>
      </c>
      <c r="M132" s="290" t="s">
        <v>378</v>
      </c>
      <c r="N132" s="217" t="s">
        <v>383</v>
      </c>
      <c r="O132" s="218"/>
      <c r="P132" s="357"/>
      <c r="Q132" s="219"/>
      <c r="R132" s="470"/>
      <c r="S132" s="500"/>
      <c r="T132" s="411">
        <f t="shared" si="13"/>
        <v>46112</v>
      </c>
      <c r="U132" s="396">
        <f t="shared" si="21"/>
        <v>0</v>
      </c>
      <c r="V132" s="711"/>
      <c r="W132" s="454">
        <f t="shared" si="22"/>
        <v>46112</v>
      </c>
      <c r="X132" s="699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0"/>
      <c r="J133" s="703"/>
      <c r="K133" s="267"/>
      <c r="L133" s="220">
        <v>13</v>
      </c>
      <c r="M133" s="318" t="s">
        <v>378</v>
      </c>
      <c r="N133" s="221"/>
      <c r="O133" s="435"/>
      <c r="P133" s="358"/>
      <c r="Q133" s="234"/>
      <c r="R133" s="472"/>
      <c r="S133" s="502"/>
      <c r="T133" s="413" t="str">
        <f t="shared" si="13"/>
        <v/>
      </c>
      <c r="U133" s="398">
        <f t="shared" si="21"/>
        <v>0</v>
      </c>
      <c r="V133" s="712"/>
      <c r="W133" s="456"/>
      <c r="X133" s="700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3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384</v>
      </c>
      <c r="D135" s="174" t="s">
        <v>385</v>
      </c>
      <c r="E135" s="175"/>
      <c r="F135" s="368"/>
      <c r="G135" s="242">
        <f>D187</f>
        <v>1925</v>
      </c>
      <c r="H135" s="559">
        <f>'Project Plan'!G52</f>
        <v>46105</v>
      </c>
      <c r="I135" s="723">
        <f>SUM(G135:G146)</f>
        <v>1925</v>
      </c>
      <c r="J135" s="726">
        <f>F187</f>
        <v>2138.8888888888887</v>
      </c>
      <c r="K135" s="243"/>
      <c r="L135" s="173">
        <v>14</v>
      </c>
      <c r="M135" s="333" t="s">
        <v>386</v>
      </c>
      <c r="N135" s="174" t="s">
        <v>387</v>
      </c>
      <c r="O135" s="444"/>
      <c r="P135" s="525"/>
      <c r="Q135" s="530">
        <v>314.16000000000003</v>
      </c>
      <c r="R135" s="527"/>
      <c r="S135" s="517" t="s">
        <v>388</v>
      </c>
      <c r="T135" s="650">
        <v>46053</v>
      </c>
      <c r="U135" s="658">
        <v>382.24558329683163</v>
      </c>
      <c r="V135" s="732">
        <f>J135-SUM(U135:U146)</f>
        <v>0</v>
      </c>
      <c r="W135" s="651">
        <v>46058</v>
      </c>
      <c r="X135" s="723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24"/>
      <c r="J136" s="727"/>
      <c r="K136" s="176"/>
      <c r="L136" s="244">
        <v>14</v>
      </c>
      <c r="M136" s="334" t="s">
        <v>386</v>
      </c>
      <c r="N136" s="245" t="s">
        <v>387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5:U146" si="23">(Q136/$X$135*$J$135)</f>
        <v>585.54776853068563</v>
      </c>
      <c r="V136" s="733"/>
      <c r="W136" s="467">
        <f>T136+7</f>
        <v>46088</v>
      </c>
      <c r="X136" s="72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24"/>
      <c r="J137" s="727"/>
      <c r="K137" s="176"/>
      <c r="L137" s="244">
        <v>14</v>
      </c>
      <c r="M137" s="334" t="s">
        <v>386</v>
      </c>
      <c r="N137" s="245" t="s">
        <v>387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3"/>
        <v>585.54776853068563</v>
      </c>
      <c r="V137" s="733"/>
      <c r="W137" s="467">
        <f>T137+7</f>
        <v>46119</v>
      </c>
      <c r="X137" s="72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24"/>
      <c r="J138" s="727"/>
      <c r="K138" s="176"/>
      <c r="L138" s="244">
        <v>14</v>
      </c>
      <c r="M138" s="334" t="s">
        <v>386</v>
      </c>
      <c r="N138" s="245" t="s">
        <v>387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3"/>
        <v>585.54776853068563</v>
      </c>
      <c r="V138" s="733"/>
      <c r="W138" s="467">
        <f>T138+7</f>
        <v>46149</v>
      </c>
      <c r="X138" s="72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24"/>
      <c r="J139" s="727"/>
      <c r="K139" s="176"/>
      <c r="L139" s="244">
        <v>14</v>
      </c>
      <c r="M139" s="334" t="s">
        <v>386</v>
      </c>
      <c r="N139" s="245" t="s">
        <v>387</v>
      </c>
      <c r="O139" s="445"/>
      <c r="P139" s="369"/>
      <c r="Q139" s="247"/>
      <c r="R139" s="484"/>
      <c r="S139" s="512"/>
      <c r="T139" s="425" t="str">
        <f t="shared" ref="T139:T159" si="24">IF(W139&gt;1,EOMONTH(W139,0),"")</f>
        <v/>
      </c>
      <c r="U139" s="409">
        <f t="shared" si="23"/>
        <v>0</v>
      </c>
      <c r="V139" s="733"/>
      <c r="W139" s="467"/>
      <c r="X139" s="72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24"/>
      <c r="J140" s="727"/>
      <c r="K140" s="176"/>
      <c r="L140" s="244">
        <v>14</v>
      </c>
      <c r="M140" s="334" t="s">
        <v>386</v>
      </c>
      <c r="N140" s="245" t="s">
        <v>387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733"/>
      <c r="W140" s="467"/>
      <c r="X140" s="72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24"/>
      <c r="J141" s="727"/>
      <c r="K141" s="176"/>
      <c r="L141" s="244">
        <v>14</v>
      </c>
      <c r="M141" s="334" t="s">
        <v>386</v>
      </c>
      <c r="N141" s="245" t="s">
        <v>387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733"/>
      <c r="W141" s="467"/>
      <c r="X141" s="72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24"/>
      <c r="J142" s="727"/>
      <c r="K142" s="176"/>
      <c r="L142" s="244">
        <v>14</v>
      </c>
      <c r="M142" s="334" t="s">
        <v>386</v>
      </c>
      <c r="N142" s="245" t="s">
        <v>387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733"/>
      <c r="W142" s="467"/>
      <c r="X142" s="72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24"/>
      <c r="J143" s="727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733"/>
      <c r="W143" s="467"/>
      <c r="X143" s="72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24"/>
      <c r="J144" s="727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/>
      <c r="R144" s="484"/>
      <c r="S144" s="512"/>
      <c r="T144" s="425" t="str">
        <f t="shared" si="24"/>
        <v/>
      </c>
      <c r="U144" s="409">
        <f t="shared" si="23"/>
        <v>0</v>
      </c>
      <c r="V144" s="733"/>
      <c r="W144" s="467"/>
      <c r="X144" s="724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24"/>
      <c r="J145" s="727"/>
      <c r="K145" s="176"/>
      <c r="L145" s="244">
        <v>14</v>
      </c>
      <c r="M145" s="334" t="s">
        <v>386</v>
      </c>
      <c r="N145" s="245"/>
      <c r="O145" s="445"/>
      <c r="P145" s="369"/>
      <c r="Q145" s="247"/>
      <c r="R145" s="484"/>
      <c r="S145" s="514"/>
      <c r="T145" s="425" t="str">
        <f t="shared" si="24"/>
        <v/>
      </c>
      <c r="U145" s="409">
        <f t="shared" si="23"/>
        <v>0</v>
      </c>
      <c r="V145" s="733"/>
      <c r="W145" s="467"/>
      <c r="X145" s="724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25"/>
      <c r="J146" s="728"/>
      <c r="K146" s="179"/>
      <c r="L146" s="177">
        <v>14</v>
      </c>
      <c r="M146" s="335" t="s">
        <v>386</v>
      </c>
      <c r="N146" s="248"/>
      <c r="O146" s="446"/>
      <c r="P146" s="370"/>
      <c r="Q146" s="178"/>
      <c r="R146" s="485"/>
      <c r="S146" s="515"/>
      <c r="T146" s="426" t="str">
        <f t="shared" si="24"/>
        <v/>
      </c>
      <c r="U146" s="410">
        <f t="shared" si="23"/>
        <v>0</v>
      </c>
      <c r="V146" s="734"/>
      <c r="W146" s="468"/>
      <c r="X146" s="725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4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389</v>
      </c>
      <c r="D148" s="186"/>
      <c r="E148" s="187"/>
      <c r="F148" s="336"/>
      <c r="G148" s="188"/>
      <c r="H148" s="540"/>
      <c r="I148" s="698">
        <f>SUM(G148:G159)</f>
        <v>0</v>
      </c>
      <c r="J148" s="701">
        <v>0</v>
      </c>
      <c r="K148" s="189"/>
      <c r="L148" s="185">
        <v>15</v>
      </c>
      <c r="M148" s="255" t="s">
        <v>390</v>
      </c>
      <c r="N148" s="186" t="s">
        <v>391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0">
        <v>0</v>
      </c>
      <c r="W148" s="461">
        <v>46173</v>
      </c>
      <c r="X148" s="698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9"/>
      <c r="J149" s="702"/>
      <c r="K149" s="192"/>
      <c r="L149" s="215">
        <v>15</v>
      </c>
      <c r="M149" s="290" t="s">
        <v>390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711"/>
      <c r="W149" s="454"/>
      <c r="X149" s="699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9"/>
      <c r="J150" s="702"/>
      <c r="K150" s="192"/>
      <c r="L150" s="215">
        <v>15</v>
      </c>
      <c r="M150" s="290" t="s">
        <v>390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711"/>
      <c r="W150" s="454"/>
      <c r="X150" s="699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9"/>
      <c r="J151" s="702"/>
      <c r="K151" s="192"/>
      <c r="L151" s="215">
        <v>15</v>
      </c>
      <c r="M151" s="290" t="s">
        <v>390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711"/>
      <c r="W151" s="454"/>
      <c r="X151" s="699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9"/>
      <c r="J152" s="702"/>
      <c r="K152" s="192"/>
      <c r="L152" s="215">
        <v>15</v>
      </c>
      <c r="M152" s="290" t="s">
        <v>390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711"/>
      <c r="W152" s="454"/>
      <c r="X152" s="699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9"/>
      <c r="J153" s="702"/>
      <c r="K153" s="192"/>
      <c r="L153" s="215">
        <v>15</v>
      </c>
      <c r="M153" s="290" t="s">
        <v>390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711"/>
      <c r="W153" s="454"/>
      <c r="X153" s="699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9"/>
      <c r="J154" s="702"/>
      <c r="K154" s="192"/>
      <c r="L154" s="215">
        <v>15</v>
      </c>
      <c r="M154" s="290" t="s">
        <v>390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711"/>
      <c r="W154" s="454"/>
      <c r="X154" s="699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9"/>
      <c r="J155" s="702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711"/>
      <c r="W155" s="454"/>
      <c r="X155" s="699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9"/>
      <c r="J156" s="702"/>
      <c r="K156" s="192"/>
      <c r="L156" s="215">
        <v>15</v>
      </c>
      <c r="M156" s="290" t="s">
        <v>390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711"/>
      <c r="W156" s="454"/>
      <c r="X156" s="699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9"/>
      <c r="J157" s="702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711"/>
      <c r="W157" s="454"/>
      <c r="X157" s="699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9"/>
      <c r="J158" s="702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70"/>
      <c r="S158" s="500"/>
      <c r="T158" s="411" t="str">
        <f t="shared" si="24"/>
        <v/>
      </c>
      <c r="U158" s="396"/>
      <c r="V158" s="711"/>
      <c r="W158" s="454"/>
      <c r="X158" s="699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0"/>
      <c r="J159" s="703"/>
      <c r="K159" s="193"/>
      <c r="L159" s="220">
        <v>15</v>
      </c>
      <c r="M159" s="318" t="s">
        <v>390</v>
      </c>
      <c r="N159" s="221"/>
      <c r="O159" s="435"/>
      <c r="P159" s="358"/>
      <c r="Q159" s="234"/>
      <c r="R159" s="472"/>
      <c r="S159" s="502"/>
      <c r="T159" s="413" t="str">
        <f t="shared" si="24"/>
        <v/>
      </c>
      <c r="U159" s="398"/>
      <c r="V159" s="712"/>
      <c r="W159" s="456"/>
      <c r="X159" s="700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392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393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394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317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341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395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398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399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402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403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404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405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406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407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408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409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410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411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398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412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413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6" t="s">
        <v>415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7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7"/>
      <c r="B4" s="106" t="s">
        <v>416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7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7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7"/>
      <c r="B7" s="115" t="s">
        <v>418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6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7"/>
      <c r="B9" s="120" t="s">
        <v>419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7"/>
      <c r="B10" s="120" t="s">
        <v>420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7"/>
      <c r="B11" s="123" t="s">
        <v>421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33182.480000000003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74020.08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875046.69243995135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7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1261786.9324399512</v>
      </c>
      <c r="AA12" s="125">
        <f t="shared" si="26"/>
        <v>1262268.1824399512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7"/>
      <c r="B14" s="115" t="s">
        <v>423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617488.46275616391</v>
      </c>
      <c r="AA14" s="118">
        <f t="shared" si="32"/>
        <v>617007.21275616391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8"/>
      <c r="B17" s="106" t="s">
        <v>424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8"/>
      <c r="B18" s="106" t="s">
        <v>425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7109375" style="269" bestFit="1" customWidth="1"/>
    <col min="2" max="2" width="15.7109375" style="270" bestFit="1" customWidth="1"/>
    <col min="3" max="3" width="11.28515625" style="269" bestFit="1" customWidth="1"/>
    <col min="4" max="4" width="6.28515625" style="269" bestFit="1" customWidth="1"/>
    <col min="5" max="5" width="12.85546875" style="269" bestFit="1" customWidth="1"/>
    <col min="6" max="6" width="14.5703125" style="269" bestFit="1" customWidth="1"/>
    <col min="7" max="7" width="12.85546875" style="269" bestFit="1" customWidth="1"/>
    <col min="8" max="9" width="11.7109375" style="269" bestFit="1" customWidth="1"/>
    <col min="10" max="10" width="11.28515625" style="269" bestFit="1" customWidth="1"/>
    <col min="11" max="11" width="14.570312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426</v>
      </c>
      <c r="B3" s="538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348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367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378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28515625" bestFit="1" customWidth="1"/>
    <col min="2" max="2" width="15.7109375" style="308" bestFit="1" customWidth="1"/>
    <col min="3" max="3" width="11.28515625" style="308" bestFit="1" customWidth="1"/>
    <col min="4" max="4" width="6.28515625" style="308" bestFit="1" customWidth="1"/>
    <col min="5" max="7" width="12.85546875" style="308" bestFit="1" customWidth="1"/>
    <col min="8" max="9" width="11.7109375" style="308" bestFit="1" customWidth="1"/>
    <col min="10" max="10" width="12.85546875" bestFit="1" customWidth="1"/>
    <col min="11" max="11" width="14.570312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431</v>
      </c>
      <c r="B3" s="538" t="s">
        <v>427</v>
      </c>
      <c r="C3"/>
      <c r="D3"/>
      <c r="E3"/>
      <c r="F3"/>
      <c r="G3"/>
      <c r="H3"/>
      <c r="I3"/>
    </row>
    <row r="4" spans="1:11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315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335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342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348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360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363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367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378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386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390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437</v>
      </c>
    </row>
    <row r="5" spans="3:8">
      <c r="C5" s="15">
        <v>45765</v>
      </c>
      <c r="D5" s="9" t="s">
        <v>438</v>
      </c>
      <c r="F5" s="17" t="s">
        <v>439</v>
      </c>
    </row>
    <row r="6" spans="3:8" ht="13.9" thickBot="1">
      <c r="C6" s="15">
        <v>45768</v>
      </c>
      <c r="D6" s="9" t="s">
        <v>440</v>
      </c>
      <c r="F6" s="18" t="s">
        <v>441</v>
      </c>
    </row>
    <row r="7" spans="3:8">
      <c r="C7" s="15">
        <v>45774</v>
      </c>
      <c r="D7" s="9" t="s">
        <v>442</v>
      </c>
    </row>
    <row r="8" spans="3:8">
      <c r="C8" s="15">
        <v>45765</v>
      </c>
      <c r="D8" s="9" t="s">
        <v>443</v>
      </c>
    </row>
    <row r="9" spans="3:8">
      <c r="C9" s="15">
        <v>45778</v>
      </c>
      <c r="D9" s="9" t="s">
        <v>444</v>
      </c>
    </row>
    <row r="10" spans="3:8">
      <c r="C10" s="15">
        <v>45824</v>
      </c>
      <c r="D10" s="9" t="s">
        <v>445</v>
      </c>
    </row>
    <row r="11" spans="3:8">
      <c r="C11" s="15">
        <v>45878</v>
      </c>
      <c r="D11" s="9" t="s">
        <v>446</v>
      </c>
    </row>
    <row r="12" spans="3:8">
      <c r="C12" s="15">
        <v>45924</v>
      </c>
      <c r="D12" s="9" t="s">
        <v>447</v>
      </c>
    </row>
    <row r="13" spans="3:8">
      <c r="C13" s="15">
        <v>46007</v>
      </c>
      <c r="D13" s="9" t="s">
        <v>448</v>
      </c>
      <c r="F13" s="20"/>
      <c r="H13" s="9" t="s">
        <v>449</v>
      </c>
    </row>
    <row r="14" spans="3:8">
      <c r="C14" s="15">
        <v>46016</v>
      </c>
      <c r="D14" s="9" t="s">
        <v>450</v>
      </c>
    </row>
    <row r="15" spans="3:8">
      <c r="C15" s="15">
        <v>46017</v>
      </c>
      <c r="D15" s="9" t="s">
        <v>451</v>
      </c>
    </row>
    <row r="16" spans="3:8">
      <c r="C16" s="15">
        <v>46006</v>
      </c>
      <c r="D16" s="9" t="s">
        <v>452</v>
      </c>
    </row>
    <row r="17" spans="3:4">
      <c r="C17" s="15">
        <v>46007</v>
      </c>
      <c r="D17" s="9" t="s">
        <v>452</v>
      </c>
    </row>
    <row r="18" spans="3:4">
      <c r="C18" s="15">
        <v>46008</v>
      </c>
      <c r="D18" s="9" t="s">
        <v>452</v>
      </c>
    </row>
    <row r="19" spans="3:4">
      <c r="C19" s="15">
        <v>46009</v>
      </c>
      <c r="D19" s="9" t="s">
        <v>452</v>
      </c>
    </row>
    <row r="20" spans="3:4">
      <c r="C20" s="15">
        <v>46010</v>
      </c>
      <c r="D20" s="9" t="s">
        <v>452</v>
      </c>
    </row>
    <row r="21" spans="3:4">
      <c r="C21" s="15">
        <v>46011</v>
      </c>
      <c r="D21" s="9" t="s">
        <v>452</v>
      </c>
    </row>
    <row r="22" spans="3:4">
      <c r="C22" s="15">
        <v>46012</v>
      </c>
      <c r="D22" s="9" t="s">
        <v>452</v>
      </c>
    </row>
    <row r="23" spans="3:4">
      <c r="C23" s="15">
        <v>46013</v>
      </c>
      <c r="D23" s="9" t="s">
        <v>452</v>
      </c>
    </row>
    <row r="24" spans="3:4">
      <c r="C24" s="15">
        <v>46014</v>
      </c>
      <c r="D24" s="9" t="s">
        <v>452</v>
      </c>
    </row>
    <row r="25" spans="3:4">
      <c r="C25" s="15">
        <v>46015</v>
      </c>
      <c r="D25" s="9" t="s">
        <v>452</v>
      </c>
    </row>
    <row r="26" spans="3:4">
      <c r="C26" s="15">
        <v>46016</v>
      </c>
      <c r="D26" s="9" t="s">
        <v>452</v>
      </c>
    </row>
    <row r="27" spans="3:4">
      <c r="C27" s="15">
        <v>46017</v>
      </c>
      <c r="D27" s="9" t="s">
        <v>452</v>
      </c>
    </row>
    <row r="28" spans="3:4">
      <c r="C28" s="15">
        <v>46018</v>
      </c>
      <c r="D28" s="9" t="s">
        <v>452</v>
      </c>
    </row>
    <row r="29" spans="3:4">
      <c r="C29" s="15">
        <v>46019</v>
      </c>
      <c r="D29" s="9" t="s">
        <v>452</v>
      </c>
    </row>
    <row r="30" spans="3:4">
      <c r="C30" s="15">
        <v>46020</v>
      </c>
      <c r="D30" s="9" t="s">
        <v>452</v>
      </c>
    </row>
    <row r="31" spans="3:4">
      <c r="C31" s="15">
        <v>46021</v>
      </c>
      <c r="D31" s="9" t="s">
        <v>452</v>
      </c>
    </row>
    <row r="32" spans="3:4">
      <c r="C32" s="15">
        <v>46022</v>
      </c>
      <c r="D32" s="9" t="s">
        <v>452</v>
      </c>
    </row>
    <row r="33" spans="3:4">
      <c r="C33" s="15">
        <v>46023</v>
      </c>
      <c r="D33" s="9" t="s">
        <v>452</v>
      </c>
    </row>
    <row r="34" spans="3:4">
      <c r="C34" s="15">
        <v>46024</v>
      </c>
      <c r="D34" s="9" t="s">
        <v>452</v>
      </c>
    </row>
    <row r="35" spans="3:4">
      <c r="C35" s="15">
        <v>46025</v>
      </c>
      <c r="D35" s="9" t="s">
        <v>452</v>
      </c>
    </row>
    <row r="36" spans="3:4">
      <c r="C36" s="15">
        <v>46026</v>
      </c>
      <c r="D36" s="9" t="s">
        <v>452</v>
      </c>
    </row>
    <row r="37" spans="3:4">
      <c r="C37" s="15">
        <v>46027</v>
      </c>
      <c r="D37" s="9" t="s">
        <v>452</v>
      </c>
    </row>
    <row r="38" spans="3:4">
      <c r="C38" s="15">
        <v>46028</v>
      </c>
      <c r="D38" s="9" t="s">
        <v>452</v>
      </c>
    </row>
    <row r="39" spans="3:4">
      <c r="C39" s="15">
        <v>46029</v>
      </c>
      <c r="D39" s="9" t="s">
        <v>452</v>
      </c>
    </row>
    <row r="40" spans="3:4">
      <c r="C40" s="15">
        <v>46030</v>
      </c>
      <c r="D40" s="9" t="s">
        <v>452</v>
      </c>
    </row>
    <row r="41" spans="3:4">
      <c r="C41" s="15"/>
      <c r="D41" s="9" t="s">
        <v>452</v>
      </c>
    </row>
    <row r="42" spans="3:4">
      <c r="C42" s="15"/>
      <c r="D42" s="9" t="s">
        <v>452</v>
      </c>
    </row>
    <row r="43" spans="3:4">
      <c r="C43" s="15"/>
      <c r="D43" s="9" t="s">
        <v>452</v>
      </c>
    </row>
    <row r="44" spans="3:4">
      <c r="C44" s="15"/>
      <c r="D44" s="9" t="s">
        <v>452</v>
      </c>
    </row>
    <row r="45" spans="3:4">
      <c r="C45" s="15"/>
      <c r="D45" s="9" t="s">
        <v>452</v>
      </c>
    </row>
    <row r="46" spans="3:4">
      <c r="C46" s="15"/>
      <c r="D46" s="9" t="s">
        <v>452</v>
      </c>
    </row>
    <row r="47" spans="3:4">
      <c r="C47" s="15"/>
      <c r="D47" s="9" t="s">
        <v>452</v>
      </c>
    </row>
    <row r="48" spans="3:4">
      <c r="C48" s="15"/>
      <c r="D48" s="9" t="s">
        <v>452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438</v>
      </c>
    </row>
    <row r="51" spans="3:4">
      <c r="C51" s="15">
        <v>46118</v>
      </c>
      <c r="D51" s="9" t="s">
        <v>440</v>
      </c>
    </row>
    <row r="52" spans="3:4">
      <c r="C52" s="15">
        <v>46139</v>
      </c>
      <c r="D52" s="9" t="s">
        <v>442</v>
      </c>
    </row>
    <row r="53" spans="3:4">
      <c r="C53" s="15">
        <v>46143</v>
      </c>
      <c r="D53" s="9" t="s">
        <v>444</v>
      </c>
    </row>
    <row r="54" spans="3:4">
      <c r="C54" s="15">
        <v>46189</v>
      </c>
      <c r="D54" s="9" t="s">
        <v>445</v>
      </c>
    </row>
    <row r="55" spans="3:4">
      <c r="C55" s="15">
        <v>46243</v>
      </c>
      <c r="D55" s="9" t="s">
        <v>446</v>
      </c>
    </row>
    <row r="56" spans="3:4">
      <c r="C56" s="15">
        <v>46244</v>
      </c>
      <c r="D56" s="9" t="s">
        <v>453</v>
      </c>
    </row>
    <row r="57" spans="3:4">
      <c r="C57" s="15">
        <v>46289</v>
      </c>
      <c r="D57" s="9" t="s">
        <v>447</v>
      </c>
    </row>
    <row r="58" spans="3:4">
      <c r="C58" s="15">
        <v>46372</v>
      </c>
      <c r="D58" s="9" t="s">
        <v>448</v>
      </c>
    </row>
    <row r="59" spans="3:4">
      <c r="C59" s="15">
        <v>46381</v>
      </c>
      <c r="D59" s="9" t="s">
        <v>450</v>
      </c>
    </row>
    <row r="60" spans="3:4" ht="13.9" thickBot="1">
      <c r="C60" s="16">
        <v>46382</v>
      </c>
      <c r="D60" s="9" t="s">
        <v>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C65A378B-2BD3-4348-A41B-B61CC7820E6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2026-02-12T14:27:24Z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