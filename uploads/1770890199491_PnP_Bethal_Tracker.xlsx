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6" documentId="13_ncr:1_{2473AA54-0E02-4422-B2AA-DE31959F4533}" xr6:coauthVersionLast="47" xr6:coauthVersionMax="47" xr10:uidLastSave="{BE180264-CC5D-4BB5-8C19-9A030AD9843B}"/>
  <bookViews>
    <workbookView minimized="1" xWindow="-23505" yWindow="3750" windowWidth="16125" windowHeight="8715" tabRatio="576" firstSheet="4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 calcCompleted="0"/>
  <pivotCaches>
    <pivotCache cacheId="3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18" l="1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N11" i="2"/>
  <c r="M11" i="2"/>
  <c r="T128" i="18"/>
  <c r="T79" i="18"/>
  <c r="T71" i="18"/>
  <c r="T70" i="18"/>
  <c r="T46" i="18"/>
  <c r="T47" i="18"/>
  <c r="W47" i="18" s="1"/>
  <c r="T48" i="18"/>
  <c r="T45" i="18"/>
  <c r="T53" i="18"/>
  <c r="T28" i="18"/>
  <c r="T21" i="18"/>
  <c r="T14" i="18"/>
  <c r="W79" i="18"/>
  <c r="K13" i="2"/>
  <c r="I13" i="2"/>
  <c r="H6" i="5"/>
  <c r="Q71" i="18"/>
  <c r="Q70" i="18"/>
  <c r="P6" i="18"/>
  <c r="W48" i="18"/>
  <c r="Z27" i="18"/>
  <c r="O112" i="18"/>
  <c r="O96" i="18"/>
  <c r="W108" i="18"/>
  <c r="W85" i="18"/>
  <c r="W83" i="18"/>
  <c r="W81" i="18"/>
  <c r="W71" i="18"/>
  <c r="W70" i="18"/>
  <c r="T55" i="18"/>
  <c r="W14" i="18"/>
  <c r="W15" i="18" s="1"/>
  <c r="W17" i="18" s="1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AO13" i="5" l="1"/>
  <c r="W53" i="18"/>
  <c r="W55" i="18" s="1"/>
  <c r="W28" i="18"/>
  <c r="W21" i="18"/>
  <c r="E34" i="2"/>
  <c r="E36" i="2" s="1"/>
  <c r="G36" i="2" s="1"/>
  <c r="E23" i="2"/>
  <c r="G20" i="2"/>
  <c r="G19" i="2" s="1"/>
  <c r="E19" i="2"/>
  <c r="E14" i="2"/>
  <c r="G14" i="2" s="1"/>
  <c r="E17" i="2" s="1"/>
  <c r="G17" i="2" s="1"/>
  <c r="E16" i="2" l="1"/>
  <c r="G16" i="2" s="1"/>
  <c r="G23" i="2"/>
  <c r="G26" i="2" s="1"/>
  <c r="H15" i="5"/>
  <c r="F19" i="2"/>
  <c r="E15" i="2"/>
  <c r="G34" i="2"/>
  <c r="E24" i="2" l="1"/>
  <c r="G15" i="2"/>
  <c r="G11" i="2" s="1"/>
  <c r="E25" i="2"/>
  <c r="E11" i="2"/>
  <c r="E35" i="2"/>
  <c r="Q7" i="18"/>
  <c r="G24" i="2" l="1"/>
  <c r="E26" i="2"/>
  <c r="H16" i="5" s="1"/>
  <c r="F11" i="2"/>
  <c r="G35" i="2"/>
  <c r="G25" i="2"/>
  <c r="E27" i="2" l="1"/>
  <c r="E30" i="2" l="1"/>
  <c r="G30" i="2" s="1"/>
  <c r="G27" i="2"/>
  <c r="G22" i="2" l="1"/>
  <c r="E22" i="2"/>
  <c r="F22" i="2" s="1"/>
  <c r="W3" i="5"/>
  <c r="V3" i="5"/>
  <c r="E40" i="2" l="1"/>
  <c r="H14" i="5" s="1"/>
  <c r="J133" i="18"/>
  <c r="G133" i="18"/>
  <c r="G40" i="2" l="1"/>
  <c r="W134" i="18"/>
  <c r="W135" i="18" s="1"/>
  <c r="W136" i="18" s="1"/>
  <c r="W137" i="18" s="1"/>
  <c r="W126" i="18"/>
  <c r="T126" i="18" s="1"/>
  <c r="W46" i="18"/>
  <c r="I44" i="18"/>
  <c r="X124" i="18" l="1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74" i="18"/>
  <c r="T73" i="18"/>
  <c r="T72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Q14" i="18"/>
  <c r="K14" i="2" l="1"/>
  <c r="I17" i="2" s="1"/>
  <c r="I16" i="2"/>
  <c r="E41" i="2"/>
  <c r="N12" i="2"/>
  <c r="I15" i="2" l="1"/>
  <c r="I25" i="2" s="1"/>
  <c r="G41" i="2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0" i="18"/>
  <c r="I27" i="2" l="1"/>
  <c r="K27" i="2" s="1"/>
  <c r="I29" i="2"/>
  <c r="K29" i="2" s="1"/>
  <c r="F32" i="2"/>
  <c r="I11" i="2"/>
  <c r="K11" i="2"/>
  <c r="I20" i="2" s="1"/>
  <c r="I36" i="2" s="1"/>
  <c r="K20" i="2"/>
  <c r="I19" i="2"/>
  <c r="I34" i="2"/>
  <c r="I40" i="2"/>
  <c r="N14" i="2"/>
  <c r="W97" i="18" l="1"/>
  <c r="W96" i="18"/>
  <c r="I23" i="2"/>
  <c r="N29" i="2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Z33" i="18" s="1"/>
  <c r="J108" i="18"/>
  <c r="X79" i="18"/>
  <c r="I130" i="18"/>
  <c r="G140" i="18"/>
  <c r="G110" i="18"/>
  <c r="G109" i="18"/>
  <c r="Z17" i="18" s="1"/>
  <c r="Z32" i="18" s="1"/>
  <c r="G108" i="18"/>
  <c r="Z16" i="18" s="1"/>
  <c r="Z31" i="18" s="1"/>
  <c r="G96" i="18"/>
  <c r="G95" i="18"/>
  <c r="Z14" i="18" s="1"/>
  <c r="Z29" i="18" s="1"/>
  <c r="G52" i="18"/>
  <c r="Z12" i="18" s="1"/>
  <c r="G29" i="18"/>
  <c r="Z13" i="18" s="1"/>
  <c r="Z28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O32" i="18"/>
  <c r="Q36" i="18" s="1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9" i="18"/>
  <c r="Q34" i="18"/>
  <c r="Q38" i="18"/>
  <c r="Q32" i="18"/>
  <c r="Q37" i="18"/>
  <c r="Q35" i="18"/>
  <c r="Q33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V70" i="18" l="1"/>
  <c r="Q118" i="18"/>
  <c r="Q119" i="18"/>
  <c r="Z22" i="18"/>
  <c r="Z23" i="18" s="1"/>
  <c r="Z24" i="18" s="1"/>
  <c r="Z30" i="18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C9" i="6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X108" i="18"/>
  <c r="V79" i="18"/>
  <c r="V44" i="18"/>
  <c r="V21" i="18"/>
  <c r="U63" i="18" l="1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H18" i="3"/>
  <c r="J18" i="3" s="1"/>
  <c r="U109" i="18"/>
  <c r="U121" i="18"/>
  <c r="U108" i="18"/>
  <c r="U111" i="18"/>
  <c r="U110" i="18"/>
  <c r="U120" i="18"/>
  <c r="U118" i="18"/>
  <c r="U119" i="18"/>
  <c r="U112" i="18"/>
  <c r="U114" i="18"/>
  <c r="U115" i="18"/>
  <c r="V133" i="18"/>
  <c r="U116" i="18"/>
  <c r="U113" i="18"/>
  <c r="U117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D7" i="5" l="1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V52" i="18"/>
  <c r="V108" i="18"/>
  <c r="V28" i="18"/>
  <c r="X95" i="18" l="1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4" i="18" l="1"/>
  <c r="H125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1" i="2"/>
  <c r="N9" i="2"/>
  <c r="V21" i="2"/>
  <c r="U21" i="2"/>
  <c r="T124" i="18" l="1"/>
  <c r="T127" i="18"/>
  <c r="T133" i="18"/>
  <c r="F17" i="6" l="1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T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U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HD11" i="6" l="1"/>
  <c r="JI11" i="6"/>
  <c r="IN11" i="6"/>
  <c r="EL11" i="6"/>
  <c r="KB11" i="6"/>
  <c r="AG11" i="6"/>
  <c r="AF11" i="6"/>
  <c r="DR11" i="6"/>
  <c r="JM11" i="6"/>
  <c r="BH11" i="6"/>
  <c r="IB11" i="6"/>
  <c r="ET11" i="6"/>
  <c r="DA11" i="6"/>
  <c r="EJ11" i="6"/>
  <c r="HC11" i="6"/>
  <c r="V11" i="6"/>
  <c r="GL11" i="6"/>
  <c r="HG11" i="6"/>
  <c r="DB11" i="6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<sst xmlns="http://schemas.openxmlformats.org/spreadsheetml/2006/main" count="783" uniqueCount="449">
  <si>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</si>
  <si>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</si>
  <si>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</si>
  <si>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</si>
  <si>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</si>
  <si>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</si>
  <si>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</si>
  <si>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</si>
  <si>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</si>
  <si>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</si>
  <si>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</si>
  <si>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</si>
  <si>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</si>
  <si>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</si>
  <si>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</si>
  <si>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</si>
  <si>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</si>
  <si>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</si>
  <si>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</si>
  <si>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</si>
  <si>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</si>
  <si>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</si>
  <si>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</si>
  <si>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</si>
  <si>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</si>
  <si>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</si>
  <si>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</si>
  <si>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</si>
  <si>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</si>
  <si>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</si>
  <si>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</si>
  <si>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</si>
  <si>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</si>
  <si>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</si>
  <si>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</si>
  <si>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</si>
  <si>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</si>
  <si>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</si>
  <si>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</si>
  <si>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</si>
  <si>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</si>
  <si>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</si>
  <si>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</si>
  <si>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</si>
  <si>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</si>
  <si>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</si>
  <si>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</si>
  <si>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</si>
  <si>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</si>
  <si>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</si>
  <si>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</si>
  <si>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</si>
  <si>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</si>
  <si>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</si>
  <si>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</si>
  <si>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</si>
  <si>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</si>
  <si>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</si>
  <si>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</si>
  <si>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</si>
  <si>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</si>
  <si>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</si>
  <si>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</si>
  <si>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</si>
  <si>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</si>
  <si>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</si>
  <si>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</si>
  <si>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</si>
  <si>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</si>
  <si>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</si>
  <si>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</si>
  <si>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</si>
  <si>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</si>
  <si>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</si>
  <si>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</si>
  <si>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</si>
  <si>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</si>
  <si>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</si>
  <si>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</si>
  <si>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</si>
  <si>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</si>
  <si>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</si>
  <si>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</si>
  <si>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</si>
  <si>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</si>
  <si>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</si>
  <si>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</si>
  <si>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</si>
  <si>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</si>
  <si>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</si>
  <si>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</si>
  <si>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</si>
  <si>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</si>
  <si>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</si>
  <si>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</si>
  <si>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</si>
  <si>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</si>
  <si>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</si>
  <si>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</si>
  <si>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</si>
  <si>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</si>
  <si>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</si>
  <si>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</si>
  <si>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</si>
  <si>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</si>
  <si>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</si>
  <si>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</si>
  <si>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</si>
  <si>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</si>
  <si>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</si>
  <si>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</si>
  <si>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</si>
  <si>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</si>
  <si>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</si>
  <si>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</si>
  <si>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</si>
  <si>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</si>
  <si>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</si>
  <si>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</si>
  <si>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</si>
  <si>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</si>
  <si>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</si>
  <si>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</si>
  <si>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</si>
  <si>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</si>
  <si>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</si>
  <si>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</si>
  <si>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</si>
  <si>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</si>
  <si>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</si>
  <si>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</si>
  <si>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</si>
  <si>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</si>
  <si>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</si>
  <si>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</si>
  <si>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</si>
  <si>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</si>
  <si>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</si>
  <si>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</si>
  <si>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</si>
  <si>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</si>
  <si>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</si>
  <si>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</si>
  <si>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</si>
  <si>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</si>
  <si>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</si>
  <si>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</si>
  <si>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</si>
  <si>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</si>
  <si>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</si>
  <si>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</si>
  <si>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</si>
  <si>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</si>
  <si>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</si>
  <si>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</si>
  <si>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</si>
  <si>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</si>
  <si>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</si>
  <si>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</si>
  <si>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</si>
  <si>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</si>
  <si>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</si>
  <si>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</si>
  <si>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</si>
  <si>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</si>
  <si>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</si>
  <si>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</si>
  <si>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</si>
  <si>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</si>
  <si>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</si>
  <si>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</si>
  <si>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</si>
  <si>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</si>
  <si>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</si>
  <si>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</si>
  <si>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</si>
  <si>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</si>
  <si>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</si>
  <si>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</si>
  <si>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</si>
  <si>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</si>
  <si>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</si>
  <si>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</si>
  <si>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</si>
  <si>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</si>
  <si>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</si>
  <si>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</si>
  <si>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</si>
  <si>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</si>
  <si>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</si>
  <si>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</si>
  <si>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</si>
  <si>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</si>
  <si>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</si>
  <si>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</si>
  <si>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</si>
  <si>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</si>
  <si>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</si>
  <si>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</si>
  <si>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</si>
  <si>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</si>
  <si>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</si>
  <si>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</si>
  <si>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</si>
  <si>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</si>
  <si>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</si>
  <si>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</si>
  <si>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</si>
  <si>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</si>
  <si>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</si>
  <si>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</si>
  <si>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</si>
  <si>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</si>
  <si>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</si>
  <si>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</si>
  <si>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</si>
  <si>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</si>
  <si>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</si>
  <si>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</si>
  <si>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</si>
  <si>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</si>
  <si>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</si>
  <si>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</si>
  <si>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</si>
  <si>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</si>
  <si>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</si>
  <si>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</si>
  <si>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</si>
  <si>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</si>
  <si>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</si>
  <si>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</si>
  <si>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</si>
  <si>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</si>
  <si>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</si>
  <si>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</si>
  <si>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</si>
  <si>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</si>
  <si>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</si>
  <si>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</si>
  <si>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</si>
  <si>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</si>
  <si>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</si>
  <si>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</si>
  <si>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</si>
  <si>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</si>
  <si>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</si>
  <si>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</si>
  <si>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</si>
  <si>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</si>
  <si>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</si>
  <si>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</si>
  <si>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</si>
  <si>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</si>
  <si>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</si>
  <si>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</si>
  <si>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</si>
  <si>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</si>
  <si>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</si>
  <si>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</si>
  <si>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</si>
  <si>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</si>
  <si>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</si>
  <si>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</si>
  <si>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</si>
  <si>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</si>
  <si>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</si>
  <si>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</si>
  <si>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</si>
  <si>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</si>
  <si>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</si>
  <si>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</si>
  <si>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</si>
  <si>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</si>
  <si>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</si>
  <si>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</si>
  <si>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</si>
  <si>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</si>
  <si>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</si>
  <si>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</si>
  <si>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</si>
  <si>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</si>
  <si>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</si>
  <si>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</si>
  <si>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</si>
  <si>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</si>
  <si>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</si>
  <si>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</si>
  <si>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</si>
  <si>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</si>
  <si>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</si>
  <si>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</si>
  <si>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</si>
  <si>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</si>
  <si>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</si>
  <si>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</si>
  <si>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</si>
  <si>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</si>
  <si>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</si>
  <si>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</si>
  <si>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</si>
  <si>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</si>
  <si>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</si>
  <si>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</si>
  <si>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</si>
  <si>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</si>
  <si>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</si>
  <si>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</si>
  <si>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</si>
  <si>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</si>
  <si>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</si>
  <si>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</si>
  <si>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</si>
  <si>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</si>
  <si>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</si>
  <si>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</si>
  <si>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</si>
  <si>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</si>
  <si>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</si>
  <si>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</si>
  <si>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</si>
  <si>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</si>
  <si>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</si>
  <si>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</si>
  <si>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</si>
  <si>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</si>
  <si>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</si>
  <si>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</si>
  <si>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</si>
  <si>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</si>
  <si>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</si>
  <si>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</si>
  <si>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</si>
  <si>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</si>
  <si>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</si>
  <si>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</si>
  <si>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</si>
  <si>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</si>
  <si>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</si>
  <si>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</si>
  <si>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</si>
  <si>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</si>
  <si>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</si>
  <si>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</si>
  <si>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</si>
  <si>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</si>
  <si>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</si>
  <si>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</si>
  <si>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</si>
  <si>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</si>
  <si>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</si>
  <si>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</si>
  <si>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</si>
  <si>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</si>
  <si>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</si>
  <si>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</si>
  <si>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</si>
  <si>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</si>
  <si>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</si>
  <si>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</si>
  <si>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</si>
  <si>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</si>
  <si>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</si>
  <si>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</si>
  <si>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</si>
  <si>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</si>
  <si>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</si>
  <si>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</si>
  <si>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</si>
  <si>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</si>
  <si>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</si>
  <si>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</si>
  <si>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</si>
  <si>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</si>
  <si>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</si>
  <si>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</si>
  <si>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</si>
  <si>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</si>
  <si>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</si>
  <si>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</si>
  <si>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</si>
  <si>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</si>
  <si>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</si>
  <si>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</si>
  <si>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</si>
  <si>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</si>
  <si>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</si>
  <si>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</si>
  <si>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</si>
  <si>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</si>
  <si>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</si>
  <si>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</si>
  <si>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</si>
  <si>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</si>
  <si>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</si>
  <si>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</si>
  <si>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</si>
  <si>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PnP Bethal</t>
  </si>
  <si>
    <t>Megan Moore</t>
  </si>
  <si>
    <t>Inverter Budget - Sungrow 125kW</t>
  </si>
  <si>
    <t>Walkways</t>
  </si>
  <si>
    <t>Water Points</t>
  </si>
  <si>
    <t>Cat Ladders</t>
  </si>
  <si>
    <t>Generator Integration</t>
  </si>
  <si>
    <t>Aircon for the inverter room x 2 (battery room + Grid-tied room)</t>
  </si>
  <si>
    <t xml:space="preserve">Automatic change over switch </t>
  </si>
  <si>
    <t>Sungrow Wifi Comunication Module For Battery Inverter</t>
  </si>
  <si>
    <t>Sungrow warranty extension to 10 years on the 125kW string inverter and the 25kW hybrid inverter.</t>
  </si>
  <si>
    <t>Sungrow 50kW with104kWh</t>
  </si>
  <si>
    <t>Sungrow SBH Battery Parallel box + Acessory Box</t>
  </si>
  <si>
    <t>Ps and Gs</t>
  </si>
  <si>
    <t xml:space="preserve">Installation </t>
  </si>
  <si>
    <t>AC+DC Equipment</t>
  </si>
  <si>
    <t>Inverter Cables</t>
  </si>
  <si>
    <t>Main Gateway Cable (Tie-In)</t>
  </si>
  <si>
    <t>Grid Study - Outside of CoCT</t>
  </si>
  <si>
    <t>Lightning Risk Assessment</t>
  </si>
  <si>
    <t>Panels TBC - 610W as placeholder</t>
  </si>
  <si>
    <t>Sungrow 125kW</t>
  </si>
  <si>
    <t>APEX Controller</t>
  </si>
  <si>
    <t>BESS Installation</t>
  </si>
  <si>
    <t>Cat Ladders - Deposit</t>
  </si>
  <si>
    <t>Cat Ladders - Balance</t>
  </si>
  <si>
    <t>Water Points - Deposit</t>
  </si>
  <si>
    <t>Water Points - Balance</t>
  </si>
  <si>
    <t>Auto Change over Switch</t>
  </si>
  <si>
    <t>Aircon for the inverter room x 2 (battery room + Grid-tied room) - Deposit</t>
  </si>
  <si>
    <t>Aircon for the inverter room x 2 (battery room + Grid-tied room) - Balance</t>
  </si>
  <si>
    <t>Sungrow warranty extension to 10 years on the 125kW string inverter and the 25kW hybrid inverter</t>
  </si>
  <si>
    <t>Delivery of BESS</t>
  </si>
  <si>
    <t>Practical Completion Solar</t>
  </si>
  <si>
    <t>Practical Completion BESS</t>
  </si>
  <si>
    <t>Handover Solar</t>
  </si>
  <si>
    <t>Handover BESS</t>
  </si>
  <si>
    <t>BESS Delivery</t>
  </si>
  <si>
    <t>3.6</t>
  </si>
  <si>
    <t>Solar Commissioning</t>
  </si>
  <si>
    <t>AC Tie-In - BESS</t>
  </si>
  <si>
    <t>AC Works - Solar</t>
  </si>
  <si>
    <t>AC Tie-In - Solar</t>
  </si>
  <si>
    <t>AC Works - BESS</t>
  </si>
  <si>
    <t>3.7</t>
  </si>
  <si>
    <t>3.8</t>
  </si>
  <si>
    <t>BESS Commissioning</t>
  </si>
  <si>
    <t>VO PM LIMIT</t>
  </si>
  <si>
    <t>CURRENT VO Total</t>
  </si>
  <si>
    <t>Eon Van Rensburg</t>
  </si>
  <si>
    <t>Deposit</t>
  </si>
  <si>
    <t>Financial Close</t>
  </si>
  <si>
    <t>We have a SSEG requirment from Standard Bank. Causing delays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</si>
</sst>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50</c:v>
                  </c:pt>
                  <c:pt idx="1">
                    <c:v>1</c:v>
                  </c:pt>
                  <c:pt idx="2">
                    <c:v>63</c:v>
                  </c:pt>
                  <c:pt idx="3">
                    <c:v>25</c:v>
                  </c:pt>
                  <c:pt idx="4">
                    <c:v>19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46103</c:v>
                </c:pt>
                <c:pt idx="2">
                  <c:v>46071</c:v>
                </c:pt>
                <c:pt idx="3">
                  <c:v>46103</c:v>
                </c:pt>
                <c:pt idx="4">
                  <c:v>46103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1647842.7428508946</c:v>
                </c:pt>
                <c:pt idx="7">
                  <c:v>3089705.1428454276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4737547.8856963217</c:v>
                </c:pt>
                <c:pt idx="12">
                  <c:v>4840538.057124503</c:v>
                </c:pt>
                <c:pt idx="13">
                  <c:v>4840538.057124503</c:v>
                </c:pt>
                <c:pt idx="14">
                  <c:v>5149508.5714090457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215760.8</c:v>
                </c:pt>
                <c:pt idx="10">
                  <c:v>633376.80000000005</c:v>
                </c:pt>
                <c:pt idx="11">
                  <c:v>1419133.9111111113</c:v>
                </c:pt>
                <c:pt idx="12">
                  <c:v>2038514.6371980677</c:v>
                </c:pt>
                <c:pt idx="13">
                  <c:v>2038514.6371980677</c:v>
                </c:pt>
                <c:pt idx="14">
                  <c:v>3319900.388076087</c:v>
                </c:pt>
                <c:pt idx="15">
                  <c:v>3462114.9011195651</c:v>
                </c:pt>
                <c:pt idx="16">
                  <c:v>3462114.9011195651</c:v>
                </c:pt>
                <c:pt idx="17">
                  <c:v>3462114.9011195651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1558342.7428508946</c:v>
                </c:pt>
                <c:pt idx="7">
                  <c:v>3000205.1428454276</c:v>
                </c:pt>
                <c:pt idx="8">
                  <c:v>3000205.1428454276</c:v>
                </c:pt>
                <c:pt idx="9">
                  <c:v>2873944.3428454278</c:v>
                </c:pt>
                <c:pt idx="10">
                  <c:v>2456328.3428454278</c:v>
                </c:pt>
                <c:pt idx="11">
                  <c:v>3318413.9745852104</c:v>
                </c:pt>
                <c:pt idx="12">
                  <c:v>2802023.4199264352</c:v>
                </c:pt>
                <c:pt idx="13">
                  <c:v>2802023.4199264352</c:v>
                </c:pt>
                <c:pt idx="14">
                  <c:v>1829608.1833329587</c:v>
                </c:pt>
                <c:pt idx="15">
                  <c:v>1687393.6702894806</c:v>
                </c:pt>
                <c:pt idx="16">
                  <c:v>1687393.6702894806</c:v>
                </c:pt>
                <c:pt idx="17">
                  <c:v>1687393.6702894806</c:v>
                </c:pt>
                <c:pt idx="18">
                  <c:v>1687393.6702894806</c:v>
                </c:pt>
                <c:pt idx="19">
                  <c:v>1687393.6702894806</c:v>
                </c:pt>
                <c:pt idx="20">
                  <c:v>1687393.6702894806</c:v>
                </c:pt>
                <c:pt idx="21">
                  <c:v>1687393.6702894806</c:v>
                </c:pt>
                <c:pt idx="22">
                  <c:v>1687393.6702894806</c:v>
                </c:pt>
                <c:pt idx="23">
                  <c:v>1687393.6702894806</c:v>
                </c:pt>
                <c:pt idx="24">
                  <c:v>1687393.6702894806</c:v>
                </c:pt>
                <c:pt idx="25">
                  <c:v>1687393.6702894806</c:v>
                </c:pt>
                <c:pt idx="26">
                  <c:v>1687393.6702894806</c:v>
                </c:pt>
                <c:pt idx="27">
                  <c:v>1687393.6702894806</c:v>
                </c:pt>
                <c:pt idx="28">
                  <c:v>1687393.6702894806</c:v>
                </c:pt>
                <c:pt idx="29">
                  <c:v>1687393.6702894806</c:v>
                </c:pt>
                <c:pt idx="30">
                  <c:v>1687393.6702894806</c:v>
                </c:pt>
                <c:pt idx="31">
                  <c:v>1687393.6702894806</c:v>
                </c:pt>
                <c:pt idx="32">
                  <c:v>1687393.6702894806</c:v>
                </c:pt>
                <c:pt idx="33">
                  <c:v>1687393.6702894806</c:v>
                </c:pt>
                <c:pt idx="34">
                  <c:v>1687393.6702894806</c:v>
                </c:pt>
                <c:pt idx="35">
                  <c:v>1687393.6702894806</c:v>
                </c:pt>
                <c:pt idx="36">
                  <c:v>1687393.6702894806</c:v>
                </c:pt>
                <c:pt idx="37">
                  <c:v>1687393.6702894806</c:v>
                </c:pt>
                <c:pt idx="38">
                  <c:v>1687393.6702894806</c:v>
                </c:pt>
                <c:pt idx="39">
                  <c:v>1687393.6702894806</c:v>
                </c:pt>
                <c:pt idx="40">
                  <c:v>1687393.6702894806</c:v>
                </c:pt>
                <c:pt idx="41">
                  <c:v>1687393.6702894806</c:v>
                </c:pt>
                <c:pt idx="42">
                  <c:v>1687393.6702894806</c:v>
                </c:pt>
                <c:pt idx="43">
                  <c:v>1687393.6702894806</c:v>
                </c:pt>
                <c:pt idx="44">
                  <c:v>1687393.6702894806</c:v>
                </c:pt>
                <c:pt idx="45">
                  <c:v>1687393.6702894806</c:v>
                </c:pt>
                <c:pt idx="46">
                  <c:v>1687393.6702894806</c:v>
                </c:pt>
                <c:pt idx="47">
                  <c:v>1687393.6702894806</c:v>
                </c:pt>
                <c:pt idx="48">
                  <c:v>1687393.6702894806</c:v>
                </c:pt>
                <c:pt idx="49">
                  <c:v>1687393.6702894806</c:v>
                </c:pt>
                <c:pt idx="50">
                  <c:v>1687393.6702894806</c:v>
                </c:pt>
                <c:pt idx="51">
                  <c:v>1687393.6702894806</c:v>
                </c:pt>
                <c:pt idx="52">
                  <c:v>1687393.6702894806</c:v>
                </c:pt>
                <c:pt idx="53">
                  <c:v>1687393.6702894806</c:v>
                </c:pt>
                <c:pt idx="54">
                  <c:v>1687393.6702894806</c:v>
                </c:pt>
                <c:pt idx="55">
                  <c:v>1687393.6702894806</c:v>
                </c:pt>
                <c:pt idx="56">
                  <c:v>1687393.6702894806</c:v>
                </c:pt>
                <c:pt idx="57">
                  <c:v>1687393.6702894806</c:v>
                </c:pt>
                <c:pt idx="58">
                  <c:v>1687393.6702894806</c:v>
                </c:pt>
                <c:pt idx="59">
                  <c:v>1687393.6702894806</c:v>
                </c:pt>
                <c:pt idx="60">
                  <c:v>1687393.6702894806</c:v>
                </c:pt>
                <c:pt idx="61">
                  <c:v>1687393.6702894806</c:v>
                </c:pt>
                <c:pt idx="62">
                  <c:v>1687393.6702894806</c:v>
                </c:pt>
                <c:pt idx="63">
                  <c:v>1687393.6702894806</c:v>
                </c:pt>
                <c:pt idx="64">
                  <c:v>1687393.6702894806</c:v>
                </c:pt>
                <c:pt idx="65">
                  <c:v>1687393.6702894806</c:v>
                </c:pt>
                <c:pt idx="66">
                  <c:v>1687393.6702894806</c:v>
                </c:pt>
                <c:pt idx="67">
                  <c:v>1687393.6702894806</c:v>
                </c:pt>
                <c:pt idx="68">
                  <c:v>1687393.6702894806</c:v>
                </c:pt>
                <c:pt idx="69">
                  <c:v>1687393.6702894806</c:v>
                </c:pt>
                <c:pt idx="70">
                  <c:v>1687393.6702894806</c:v>
                </c:pt>
                <c:pt idx="71">
                  <c:v>1687393.6702894806</c:v>
                </c:pt>
                <c:pt idx="72">
                  <c:v>1687393.6702894806</c:v>
                </c:pt>
                <c:pt idx="73">
                  <c:v>1687393.6702894806</c:v>
                </c:pt>
                <c:pt idx="74">
                  <c:v>1687393.6702894806</c:v>
                </c:pt>
                <c:pt idx="75">
                  <c:v>1687393.6702894806</c:v>
                </c:pt>
                <c:pt idx="76">
                  <c:v>1687393.6702894806</c:v>
                </c:pt>
                <c:pt idx="77">
                  <c:v>1687393.6702894806</c:v>
                </c:pt>
                <c:pt idx="78">
                  <c:v>1687393.6702894806</c:v>
                </c:pt>
                <c:pt idx="79">
                  <c:v>1687393.6702894806</c:v>
                </c:pt>
                <c:pt idx="80">
                  <c:v>1687393.6702894806</c:v>
                </c:pt>
                <c:pt idx="81">
                  <c:v>1687393.6702894806</c:v>
                </c:pt>
                <c:pt idx="82">
                  <c:v>1687393.6702894806</c:v>
                </c:pt>
                <c:pt idx="83">
                  <c:v>1687393.6702894806</c:v>
                </c:pt>
                <c:pt idx="84">
                  <c:v>1687393.6702894806</c:v>
                </c:pt>
                <c:pt idx="85">
                  <c:v>1687393.6702894806</c:v>
                </c:pt>
                <c:pt idx="86">
                  <c:v>1687393.6702894806</c:v>
                </c:pt>
                <c:pt idx="87">
                  <c:v>1687393.6702894806</c:v>
                </c:pt>
                <c:pt idx="88">
                  <c:v>1687393.6702894806</c:v>
                </c:pt>
                <c:pt idx="89">
                  <c:v>1687393.6702894806</c:v>
                </c:pt>
                <c:pt idx="90">
                  <c:v>1687393.6702894806</c:v>
                </c:pt>
                <c:pt idx="91">
                  <c:v>1687393.6702894806</c:v>
                </c:pt>
                <c:pt idx="92">
                  <c:v>1687393.6702894806</c:v>
                </c:pt>
                <c:pt idx="93">
                  <c:v>1687393.6702894806</c:v>
                </c:pt>
                <c:pt idx="94">
                  <c:v>1687393.6702894806</c:v>
                </c:pt>
                <c:pt idx="95">
                  <c:v>1687393.6702894806</c:v>
                </c:pt>
                <c:pt idx="96">
                  <c:v>1687393.6702894806</c:v>
                </c:pt>
                <c:pt idx="97">
                  <c:v>1687393.6702894806</c:v>
                </c:pt>
                <c:pt idx="98">
                  <c:v>1687393.6702894806</c:v>
                </c:pt>
                <c:pt idx="99">
                  <c:v>1687393.6702894806</c:v>
                </c:pt>
                <c:pt idx="100">
                  <c:v>1687393.6702894806</c:v>
                </c:pt>
                <c:pt idx="101">
                  <c:v>1687393.6702894806</c:v>
                </c:pt>
                <c:pt idx="102">
                  <c:v>1687393.6702894806</c:v>
                </c:pt>
                <c:pt idx="103">
                  <c:v>1687393.6702894806</c:v>
                </c:pt>
                <c:pt idx="104">
                  <c:v>1687393.6702894806</c:v>
                </c:pt>
                <c:pt idx="105">
                  <c:v>1687393.6702894806</c:v>
                </c:pt>
                <c:pt idx="106">
                  <c:v>1687393.6702894806</c:v>
                </c:pt>
                <c:pt idx="107">
                  <c:v>1687393.6702894806</c:v>
                </c:pt>
                <c:pt idx="108">
                  <c:v>1687393.6702894806</c:v>
                </c:pt>
                <c:pt idx="109">
                  <c:v>1687393.6702894806</c:v>
                </c:pt>
                <c:pt idx="110">
                  <c:v>1687393.6702894806</c:v>
                </c:pt>
                <c:pt idx="111">
                  <c:v>1687393.6702894806</c:v>
                </c:pt>
                <c:pt idx="112">
                  <c:v>1687393.6702894806</c:v>
                </c:pt>
                <c:pt idx="113">
                  <c:v>1687393.6702894806</c:v>
                </c:pt>
                <c:pt idx="114">
                  <c:v>1687393.6702894806</c:v>
                </c:pt>
                <c:pt idx="115">
                  <c:v>1687393.6702894806</c:v>
                </c:pt>
                <c:pt idx="116">
                  <c:v>1687393.6702894806</c:v>
                </c:pt>
                <c:pt idx="117">
                  <c:v>1687393.6702894806</c:v>
                </c:pt>
                <c:pt idx="118">
                  <c:v>1687393.6702894806</c:v>
                </c:pt>
                <c:pt idx="119">
                  <c:v>1687393.6702894806</c:v>
                </c:pt>
                <c:pt idx="120">
                  <c:v>1687393.6702894806</c:v>
                </c:pt>
                <c:pt idx="121">
                  <c:v>1687393.6702894806</c:v>
                </c:pt>
                <c:pt idx="122">
                  <c:v>1687393.6702894806</c:v>
                </c:pt>
                <c:pt idx="123">
                  <c:v>1687393.6702894806</c:v>
                </c:pt>
                <c:pt idx="124">
                  <c:v>1687393.6702894806</c:v>
                </c:pt>
                <c:pt idx="125">
                  <c:v>1687393.6702894806</c:v>
                </c:pt>
                <c:pt idx="126">
                  <c:v>1687393.6702894806</c:v>
                </c:pt>
                <c:pt idx="127">
                  <c:v>1687393.6702894806</c:v>
                </c:pt>
                <c:pt idx="128">
                  <c:v>1687393.6702894806</c:v>
                </c:pt>
                <c:pt idx="129">
                  <c:v>1687393.6702894806</c:v>
                </c:pt>
                <c:pt idx="130">
                  <c:v>1687393.6702894806</c:v>
                </c:pt>
                <c:pt idx="131">
                  <c:v>1687393.6702894806</c:v>
                </c:pt>
                <c:pt idx="132">
                  <c:v>1687393.6702894806</c:v>
                </c:pt>
                <c:pt idx="133">
                  <c:v>1687393.6702894806</c:v>
                </c:pt>
                <c:pt idx="134">
                  <c:v>1687393.6702894806</c:v>
                </c:pt>
                <c:pt idx="135">
                  <c:v>1687393.6702894806</c:v>
                </c:pt>
                <c:pt idx="136">
                  <c:v>1687393.6702894806</c:v>
                </c:pt>
                <c:pt idx="137">
                  <c:v>1687393.6702894806</c:v>
                </c:pt>
                <c:pt idx="138">
                  <c:v>1687393.6702894806</c:v>
                </c:pt>
                <c:pt idx="139">
                  <c:v>1687393.6702894806</c:v>
                </c:pt>
                <c:pt idx="140">
                  <c:v>1687393.6702894806</c:v>
                </c:pt>
                <c:pt idx="141">
                  <c:v>1687393.6702894806</c:v>
                </c:pt>
                <c:pt idx="142">
                  <c:v>1687393.6702894806</c:v>
                </c:pt>
                <c:pt idx="143">
                  <c:v>1687393.6702894806</c:v>
                </c:pt>
                <c:pt idx="144">
                  <c:v>1687393.6702894806</c:v>
                </c:pt>
                <c:pt idx="145">
                  <c:v>1687393.6702894806</c:v>
                </c:pt>
                <c:pt idx="146">
                  <c:v>1687393.6702894806</c:v>
                </c:pt>
                <c:pt idx="147">
                  <c:v>1687393.6702894806</c:v>
                </c:pt>
                <c:pt idx="148">
                  <c:v>1687393.6702894806</c:v>
                </c:pt>
                <c:pt idx="149">
                  <c:v>1687393.6702894806</c:v>
                </c:pt>
                <c:pt idx="150">
                  <c:v>1687393.6702894806</c:v>
                </c:pt>
                <c:pt idx="151">
                  <c:v>1687393.6702894806</c:v>
                </c:pt>
                <c:pt idx="152">
                  <c:v>1687393.6702894806</c:v>
                </c:pt>
                <c:pt idx="153">
                  <c:v>1687393.6702894806</c:v>
                </c:pt>
                <c:pt idx="154">
                  <c:v>1687393.6702894806</c:v>
                </c:pt>
                <c:pt idx="155">
                  <c:v>1687393.6702894806</c:v>
                </c:pt>
                <c:pt idx="156">
                  <c:v>1687393.6702894806</c:v>
                </c:pt>
                <c:pt idx="157">
                  <c:v>1687393.6702894806</c:v>
                </c:pt>
                <c:pt idx="158">
                  <c:v>1687393.6702894806</c:v>
                </c:pt>
                <c:pt idx="159">
                  <c:v>1687393.6702894806</c:v>
                </c:pt>
                <c:pt idx="160">
                  <c:v>1687393.6702894806</c:v>
                </c:pt>
                <c:pt idx="161">
                  <c:v>1687393.6702894806</c:v>
                </c:pt>
                <c:pt idx="162">
                  <c:v>1687393.6702894806</c:v>
                </c:pt>
                <c:pt idx="163">
                  <c:v>1687393.6702894806</c:v>
                </c:pt>
                <c:pt idx="164">
                  <c:v>1687393.6702894806</c:v>
                </c:pt>
                <c:pt idx="165">
                  <c:v>1687393.6702894806</c:v>
                </c:pt>
                <c:pt idx="166">
                  <c:v>1687393.6702894806</c:v>
                </c:pt>
                <c:pt idx="167">
                  <c:v>1687393.6702894806</c:v>
                </c:pt>
                <c:pt idx="168">
                  <c:v>1687393.6702894806</c:v>
                </c:pt>
                <c:pt idx="169">
                  <c:v>1687393.6702894806</c:v>
                </c:pt>
                <c:pt idx="170">
                  <c:v>1687393.6702894806</c:v>
                </c:pt>
                <c:pt idx="171">
                  <c:v>1687393.6702894806</c:v>
                </c:pt>
                <c:pt idx="172">
                  <c:v>1687393.6702894806</c:v>
                </c:pt>
                <c:pt idx="173">
                  <c:v>1687393.6702894806</c:v>
                </c:pt>
                <c:pt idx="174">
                  <c:v>1687393.6702894806</c:v>
                </c:pt>
                <c:pt idx="175">
                  <c:v>1687393.6702894806</c:v>
                </c:pt>
                <c:pt idx="176">
                  <c:v>1687393.6702894806</c:v>
                </c:pt>
                <c:pt idx="177">
                  <c:v>1687393.6702894806</c:v>
                </c:pt>
                <c:pt idx="178">
                  <c:v>1687393.6702894806</c:v>
                </c:pt>
                <c:pt idx="179">
                  <c:v>1687393.6702894806</c:v>
                </c:pt>
                <c:pt idx="180">
                  <c:v>1687393.6702894806</c:v>
                </c:pt>
                <c:pt idx="181">
                  <c:v>1687393.6702894806</c:v>
                </c:pt>
                <c:pt idx="182">
                  <c:v>1687393.6702894806</c:v>
                </c:pt>
                <c:pt idx="183">
                  <c:v>1687393.6702894806</c:v>
                </c:pt>
                <c:pt idx="184">
                  <c:v>1687393.6702894806</c:v>
                </c:pt>
                <c:pt idx="185">
                  <c:v>1687393.6702894806</c:v>
                </c:pt>
                <c:pt idx="186">
                  <c:v>1687393.6702894806</c:v>
                </c:pt>
                <c:pt idx="187">
                  <c:v>1687393.6702894806</c:v>
                </c:pt>
                <c:pt idx="188">
                  <c:v>1687393.6702894806</c:v>
                </c:pt>
                <c:pt idx="189">
                  <c:v>1687393.6702894806</c:v>
                </c:pt>
                <c:pt idx="190">
                  <c:v>1687393.6702894806</c:v>
                </c:pt>
                <c:pt idx="191">
                  <c:v>1687393.6702894806</c:v>
                </c:pt>
                <c:pt idx="192">
                  <c:v>1687393.6702894806</c:v>
                </c:pt>
                <c:pt idx="193">
                  <c:v>1687393.6702894806</c:v>
                </c:pt>
                <c:pt idx="194">
                  <c:v>1687393.6702894806</c:v>
                </c:pt>
                <c:pt idx="195">
                  <c:v>1687393.6702894806</c:v>
                </c:pt>
                <c:pt idx="196">
                  <c:v>1687393.6702894806</c:v>
                </c:pt>
                <c:pt idx="197">
                  <c:v>1687393.6702894806</c:v>
                </c:pt>
                <c:pt idx="198">
                  <c:v>1687393.6702894806</c:v>
                </c:pt>
                <c:pt idx="199">
                  <c:v>1687393.6702894806</c:v>
                </c:pt>
                <c:pt idx="200">
                  <c:v>1687393.6702894806</c:v>
                </c:pt>
                <c:pt idx="201">
                  <c:v>1687393.6702894806</c:v>
                </c:pt>
                <c:pt idx="202">
                  <c:v>1687393.6702894806</c:v>
                </c:pt>
                <c:pt idx="203">
                  <c:v>1687393.6702894806</c:v>
                </c:pt>
                <c:pt idx="204">
                  <c:v>1687393.6702894806</c:v>
                </c:pt>
                <c:pt idx="205">
                  <c:v>1687393.6702894806</c:v>
                </c:pt>
                <c:pt idx="206">
                  <c:v>1687393.6702894806</c:v>
                </c:pt>
                <c:pt idx="207">
                  <c:v>1687393.6702894806</c:v>
                </c:pt>
                <c:pt idx="208">
                  <c:v>1687393.6702894806</c:v>
                </c:pt>
                <c:pt idx="209">
                  <c:v>1687393.6702894806</c:v>
                </c:pt>
                <c:pt idx="210">
                  <c:v>1687393.6702894806</c:v>
                </c:pt>
                <c:pt idx="211">
                  <c:v>1687393.6702894806</c:v>
                </c:pt>
                <c:pt idx="212">
                  <c:v>1687393.6702894806</c:v>
                </c:pt>
                <c:pt idx="213">
                  <c:v>1687393.6702894806</c:v>
                </c:pt>
                <c:pt idx="214">
                  <c:v>1687393.6702894806</c:v>
                </c:pt>
                <c:pt idx="215">
                  <c:v>1687393.6702894806</c:v>
                </c:pt>
                <c:pt idx="216">
                  <c:v>1687393.6702894806</c:v>
                </c:pt>
                <c:pt idx="217">
                  <c:v>1687393.6702894806</c:v>
                </c:pt>
                <c:pt idx="218">
                  <c:v>1687393.6702894806</c:v>
                </c:pt>
                <c:pt idx="219">
                  <c:v>1687393.6702894806</c:v>
                </c:pt>
                <c:pt idx="220">
                  <c:v>1687393.6702894806</c:v>
                </c:pt>
                <c:pt idx="221">
                  <c:v>1687393.6702894806</c:v>
                </c:pt>
                <c:pt idx="222">
                  <c:v>1687393.6702894806</c:v>
                </c:pt>
                <c:pt idx="223">
                  <c:v>1687393.6702894806</c:v>
                </c:pt>
                <c:pt idx="224">
                  <c:v>1687393.6702894806</c:v>
                </c:pt>
                <c:pt idx="225">
                  <c:v>1687393.6702894806</c:v>
                </c:pt>
                <c:pt idx="226">
                  <c:v>1687393.6702894806</c:v>
                </c:pt>
                <c:pt idx="227">
                  <c:v>1687393.6702894806</c:v>
                </c:pt>
                <c:pt idx="228">
                  <c:v>1687393.6702894806</c:v>
                </c:pt>
                <c:pt idx="229">
                  <c:v>1687393.6702894806</c:v>
                </c:pt>
                <c:pt idx="230">
                  <c:v>1687393.6702894806</c:v>
                </c:pt>
                <c:pt idx="231">
                  <c:v>1687393.6702894806</c:v>
                </c:pt>
                <c:pt idx="232">
                  <c:v>1687393.6702894806</c:v>
                </c:pt>
                <c:pt idx="233">
                  <c:v>1687393.6702894806</c:v>
                </c:pt>
                <c:pt idx="234">
                  <c:v>1687393.6702894806</c:v>
                </c:pt>
                <c:pt idx="235">
                  <c:v>1687393.6702894806</c:v>
                </c:pt>
                <c:pt idx="236">
                  <c:v>1687393.6702894806</c:v>
                </c:pt>
                <c:pt idx="237">
                  <c:v>1687393.6702894806</c:v>
                </c:pt>
                <c:pt idx="238">
                  <c:v>1687393.6702894806</c:v>
                </c:pt>
                <c:pt idx="239">
                  <c:v>1687393.6702894806</c:v>
                </c:pt>
                <c:pt idx="240">
                  <c:v>1687393.6702894806</c:v>
                </c:pt>
                <c:pt idx="241">
                  <c:v>1687393.6702894806</c:v>
                </c:pt>
                <c:pt idx="242">
                  <c:v>1687393.6702894806</c:v>
                </c:pt>
                <c:pt idx="243">
                  <c:v>1687393.6702894806</c:v>
                </c:pt>
                <c:pt idx="244">
                  <c:v>1687393.6702894806</c:v>
                </c:pt>
                <c:pt idx="245">
                  <c:v>1687393.6702894806</c:v>
                </c:pt>
                <c:pt idx="246">
                  <c:v>1687393.6702894806</c:v>
                </c:pt>
                <c:pt idx="247">
                  <c:v>1687393.6702894806</c:v>
                </c:pt>
                <c:pt idx="248">
                  <c:v>1687393.6702894806</c:v>
                </c:pt>
                <c:pt idx="249">
                  <c:v>1687393.6702894806</c:v>
                </c:pt>
                <c:pt idx="250">
                  <c:v>1687393.6702894806</c:v>
                </c:pt>
                <c:pt idx="251">
                  <c:v>1687393.6702894806</c:v>
                </c:pt>
                <c:pt idx="252">
                  <c:v>1687393.6702894806</c:v>
                </c:pt>
                <c:pt idx="253">
                  <c:v>1687393.6702894806</c:v>
                </c:pt>
                <c:pt idx="254">
                  <c:v>1687393.6702894806</c:v>
                </c:pt>
                <c:pt idx="255">
                  <c:v>1687393.6702894806</c:v>
                </c:pt>
                <c:pt idx="256">
                  <c:v>1687393.6702894806</c:v>
                </c:pt>
                <c:pt idx="257">
                  <c:v>1687393.6702894806</c:v>
                </c:pt>
                <c:pt idx="258">
                  <c:v>1687393.6702894806</c:v>
                </c:pt>
                <c:pt idx="259">
                  <c:v>1687393.6702894806</c:v>
                </c:pt>
                <c:pt idx="260">
                  <c:v>1687393.6702894806</c:v>
                </c:pt>
                <c:pt idx="261">
                  <c:v>1687393.6702894806</c:v>
                </c:pt>
                <c:pt idx="262">
                  <c:v>1687393.6702894806</c:v>
                </c:pt>
                <c:pt idx="263">
                  <c:v>1687393.6702894806</c:v>
                </c:pt>
                <c:pt idx="264">
                  <c:v>1687393.6702894806</c:v>
                </c:pt>
                <c:pt idx="265">
                  <c:v>1687393.6702894806</c:v>
                </c:pt>
                <c:pt idx="266">
                  <c:v>1687393.6702894806</c:v>
                </c:pt>
                <c:pt idx="267">
                  <c:v>1687393.6702894806</c:v>
                </c:pt>
                <c:pt idx="268">
                  <c:v>1687393.6702894806</c:v>
                </c:pt>
                <c:pt idx="269">
                  <c:v>1687393.6702894806</c:v>
                </c:pt>
                <c:pt idx="270">
                  <c:v>1687393.6702894806</c:v>
                </c:pt>
                <c:pt idx="271">
                  <c:v>1687393.6702894806</c:v>
                </c:pt>
                <c:pt idx="272">
                  <c:v>1687393.6702894806</c:v>
                </c:pt>
                <c:pt idx="273">
                  <c:v>1687393.6702894806</c:v>
                </c:pt>
                <c:pt idx="274">
                  <c:v>1687393.6702894806</c:v>
                </c:pt>
                <c:pt idx="275">
                  <c:v>1687393.6702894806</c:v>
                </c:pt>
                <c:pt idx="276">
                  <c:v>1687393.6702894806</c:v>
                </c:pt>
                <c:pt idx="277">
                  <c:v>1687393.6702894806</c:v>
                </c:pt>
                <c:pt idx="278">
                  <c:v>1687393.6702894806</c:v>
                </c:pt>
                <c:pt idx="279">
                  <c:v>1687393.6702894806</c:v>
                </c:pt>
                <c:pt idx="280">
                  <c:v>1687393.6702894806</c:v>
                </c:pt>
                <c:pt idx="281">
                  <c:v>1687393.6702894806</c:v>
                </c:pt>
                <c:pt idx="282">
                  <c:v>1687393.6702894806</c:v>
                </c:pt>
                <c:pt idx="283">
                  <c:v>1687393.6702894806</c:v>
                </c:pt>
                <c:pt idx="284">
                  <c:v>1687393.6702894806</c:v>
                </c:pt>
                <c:pt idx="285">
                  <c:v>1687393.6702894806</c:v>
                </c:pt>
                <c:pt idx="286">
                  <c:v>1687393.6702894806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1647842.7428508946</c:v>
                </c:pt>
                <c:pt idx="7">
                  <c:v>1647842.7428508946</c:v>
                </c:pt>
                <c:pt idx="8">
                  <c:v>1647842.7428508946</c:v>
                </c:pt>
                <c:pt idx="9">
                  <c:v>1647842.7428508946</c:v>
                </c:pt>
                <c:pt idx="10">
                  <c:v>2471764.1142763421</c:v>
                </c:pt>
                <c:pt idx="11">
                  <c:v>3089705.1428454276</c:v>
                </c:pt>
                <c:pt idx="12">
                  <c:v>3089705.1428454276</c:v>
                </c:pt>
                <c:pt idx="13">
                  <c:v>3089705.1428454276</c:v>
                </c:pt>
                <c:pt idx="14">
                  <c:v>3089705.1428454276</c:v>
                </c:pt>
                <c:pt idx="15">
                  <c:v>4737547.8856963217</c:v>
                </c:pt>
                <c:pt idx="16">
                  <c:v>4840538.057124503</c:v>
                </c:pt>
                <c:pt idx="17">
                  <c:v>4840538.057124503</c:v>
                </c:pt>
                <c:pt idx="18">
                  <c:v>4840538.057124503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48000</c:v>
                </c:pt>
                <c:pt idx="7">
                  <c:v>49400</c:v>
                </c:pt>
                <c:pt idx="8">
                  <c:v>49400</c:v>
                </c:pt>
                <c:pt idx="9">
                  <c:v>110400</c:v>
                </c:pt>
                <c:pt idx="10">
                  <c:v>268812.41263285035</c:v>
                </c:pt>
                <c:pt idx="11">
                  <c:v>471307.49834694079</c:v>
                </c:pt>
                <c:pt idx="12">
                  <c:v>472707.49834694079</c:v>
                </c:pt>
                <c:pt idx="13">
                  <c:v>472707.49834694079</c:v>
                </c:pt>
                <c:pt idx="14">
                  <c:v>631119.9109797912</c:v>
                </c:pt>
                <c:pt idx="15">
                  <c:v>2107859.3910860713</c:v>
                </c:pt>
                <c:pt idx="16">
                  <c:v>2109259.3910860713</c:v>
                </c:pt>
                <c:pt idx="17">
                  <c:v>2109259.3910860713</c:v>
                </c:pt>
                <c:pt idx="18">
                  <c:v>3254671.8037189217</c:v>
                </c:pt>
                <c:pt idx="19">
                  <c:v>3267249.3037189217</c:v>
                </c:pt>
                <c:pt idx="20">
                  <c:v>3268649.3037189217</c:v>
                </c:pt>
                <c:pt idx="21">
                  <c:v>3300331.7862454918</c:v>
                </c:pt>
                <c:pt idx="22">
                  <c:v>3300331.7862454918</c:v>
                </c:pt>
                <c:pt idx="23">
                  <c:v>3300331.7862454918</c:v>
                </c:pt>
                <c:pt idx="24">
                  <c:v>3300331.7862454918</c:v>
                </c:pt>
                <c:pt idx="25">
                  <c:v>3300331.7862454918</c:v>
                </c:pt>
                <c:pt idx="26">
                  <c:v>3300331.7862454918</c:v>
                </c:pt>
                <c:pt idx="27">
                  <c:v>3300331.7862454918</c:v>
                </c:pt>
                <c:pt idx="28">
                  <c:v>3300331.7862454918</c:v>
                </c:pt>
                <c:pt idx="29">
                  <c:v>3300331.7862454918</c:v>
                </c:pt>
                <c:pt idx="30">
                  <c:v>3300331.7862454918</c:v>
                </c:pt>
                <c:pt idx="31">
                  <c:v>3300331.7862454918</c:v>
                </c:pt>
                <c:pt idx="32">
                  <c:v>3300331.7862454918</c:v>
                </c:pt>
                <c:pt idx="33">
                  <c:v>3300331.7862454918</c:v>
                </c:pt>
                <c:pt idx="34">
                  <c:v>3300331.7862454918</c:v>
                </c:pt>
                <c:pt idx="35">
                  <c:v>3300331.7862454918</c:v>
                </c:pt>
                <c:pt idx="36">
                  <c:v>3300331.7862454918</c:v>
                </c:pt>
                <c:pt idx="37">
                  <c:v>3300331.7862454918</c:v>
                </c:pt>
                <c:pt idx="38">
                  <c:v>3300331.7862454918</c:v>
                </c:pt>
                <c:pt idx="39">
                  <c:v>3300331.7862454918</c:v>
                </c:pt>
                <c:pt idx="40">
                  <c:v>3300331.7862454918</c:v>
                </c:pt>
                <c:pt idx="41">
                  <c:v>3300331.7862454918</c:v>
                </c:pt>
                <c:pt idx="42">
                  <c:v>3300331.7862454918</c:v>
                </c:pt>
                <c:pt idx="43">
                  <c:v>3300331.7862454918</c:v>
                </c:pt>
                <c:pt idx="44">
                  <c:v>3300331.7862454918</c:v>
                </c:pt>
                <c:pt idx="45">
                  <c:v>3300331.7862454918</c:v>
                </c:pt>
                <c:pt idx="46">
                  <c:v>3300331.7862454918</c:v>
                </c:pt>
                <c:pt idx="47">
                  <c:v>3300331.7862454918</c:v>
                </c:pt>
                <c:pt idx="48">
                  <c:v>3300331.7862454918</c:v>
                </c:pt>
                <c:pt idx="49">
                  <c:v>3300331.7862454918</c:v>
                </c:pt>
                <c:pt idx="50">
                  <c:v>3300331.7862454918</c:v>
                </c:pt>
                <c:pt idx="51">
                  <c:v>3300331.7862454918</c:v>
                </c:pt>
                <c:pt idx="52">
                  <c:v>3300331.7862454918</c:v>
                </c:pt>
                <c:pt idx="53">
                  <c:v>3300331.7862454918</c:v>
                </c:pt>
                <c:pt idx="54">
                  <c:v>3300331.7862454918</c:v>
                </c:pt>
                <c:pt idx="55">
                  <c:v>3300331.7862454918</c:v>
                </c:pt>
                <c:pt idx="56">
                  <c:v>3300331.7862454918</c:v>
                </c:pt>
                <c:pt idx="57">
                  <c:v>3300331.7862454918</c:v>
                </c:pt>
                <c:pt idx="58">
                  <c:v>3300331.7862454918</c:v>
                </c:pt>
                <c:pt idx="59">
                  <c:v>3300331.7862454918</c:v>
                </c:pt>
                <c:pt idx="60">
                  <c:v>3300331.7862454918</c:v>
                </c:pt>
                <c:pt idx="61">
                  <c:v>3300331.7862454918</c:v>
                </c:pt>
                <c:pt idx="62">
                  <c:v>3300331.7862454918</c:v>
                </c:pt>
                <c:pt idx="63">
                  <c:v>3300331.7862454918</c:v>
                </c:pt>
                <c:pt idx="64">
                  <c:v>3300331.7862454918</c:v>
                </c:pt>
                <c:pt idx="65">
                  <c:v>3300331.7862454918</c:v>
                </c:pt>
                <c:pt idx="66">
                  <c:v>3300331.7862454918</c:v>
                </c:pt>
                <c:pt idx="67">
                  <c:v>3300331.7862454918</c:v>
                </c:pt>
                <c:pt idx="68">
                  <c:v>3300331.7862454918</c:v>
                </c:pt>
                <c:pt idx="69">
                  <c:v>3300331.7862454918</c:v>
                </c:pt>
                <c:pt idx="70">
                  <c:v>3300331.7862454918</c:v>
                </c:pt>
                <c:pt idx="71">
                  <c:v>3300331.7862454918</c:v>
                </c:pt>
                <c:pt idx="72">
                  <c:v>3300331.7862454918</c:v>
                </c:pt>
                <c:pt idx="73">
                  <c:v>3300331.7862454918</c:v>
                </c:pt>
                <c:pt idx="74">
                  <c:v>3300331.7862454918</c:v>
                </c:pt>
                <c:pt idx="75">
                  <c:v>3300331.7862454918</c:v>
                </c:pt>
                <c:pt idx="76">
                  <c:v>3300331.7862454918</c:v>
                </c:pt>
                <c:pt idx="77">
                  <c:v>3300331.7862454918</c:v>
                </c:pt>
                <c:pt idx="78">
                  <c:v>3300331.7862454918</c:v>
                </c:pt>
                <c:pt idx="79">
                  <c:v>3300331.7862454918</c:v>
                </c:pt>
                <c:pt idx="80">
                  <c:v>3300331.7862454918</c:v>
                </c:pt>
                <c:pt idx="81">
                  <c:v>3300331.7862454918</c:v>
                </c:pt>
                <c:pt idx="82">
                  <c:v>3300331.7862454918</c:v>
                </c:pt>
                <c:pt idx="83">
                  <c:v>3300331.7862454918</c:v>
                </c:pt>
                <c:pt idx="84">
                  <c:v>3300331.7862454918</c:v>
                </c:pt>
                <c:pt idx="85">
                  <c:v>3300331.7862454918</c:v>
                </c:pt>
                <c:pt idx="86">
                  <c:v>3300331.7862454918</c:v>
                </c:pt>
                <c:pt idx="87">
                  <c:v>3300331.7862454918</c:v>
                </c:pt>
                <c:pt idx="88">
                  <c:v>3300331.7862454918</c:v>
                </c:pt>
                <c:pt idx="89">
                  <c:v>3300331.7862454918</c:v>
                </c:pt>
                <c:pt idx="90">
                  <c:v>3300331.7862454918</c:v>
                </c:pt>
                <c:pt idx="91">
                  <c:v>3300331.7862454918</c:v>
                </c:pt>
                <c:pt idx="92">
                  <c:v>3300331.7862454918</c:v>
                </c:pt>
                <c:pt idx="93">
                  <c:v>3300331.7862454918</c:v>
                </c:pt>
                <c:pt idx="94">
                  <c:v>3300331.7862454918</c:v>
                </c:pt>
                <c:pt idx="95">
                  <c:v>3300331.7862454918</c:v>
                </c:pt>
                <c:pt idx="96">
                  <c:v>3300331.7862454918</c:v>
                </c:pt>
                <c:pt idx="97">
                  <c:v>3300331.7862454918</c:v>
                </c:pt>
                <c:pt idx="98">
                  <c:v>3300331.7862454918</c:v>
                </c:pt>
                <c:pt idx="99">
                  <c:v>3300331.7862454918</c:v>
                </c:pt>
                <c:pt idx="100">
                  <c:v>3300331.7862454918</c:v>
                </c:pt>
                <c:pt idx="101">
                  <c:v>3300331.7862454918</c:v>
                </c:pt>
                <c:pt idx="102">
                  <c:v>3300331.7862454918</c:v>
                </c:pt>
                <c:pt idx="103">
                  <c:v>3300331.7862454918</c:v>
                </c:pt>
                <c:pt idx="104">
                  <c:v>3300331.7862454918</c:v>
                </c:pt>
                <c:pt idx="105">
                  <c:v>3300331.7862454918</c:v>
                </c:pt>
                <c:pt idx="106">
                  <c:v>3300331.7862454918</c:v>
                </c:pt>
                <c:pt idx="107">
                  <c:v>3300331.7862454918</c:v>
                </c:pt>
                <c:pt idx="108">
                  <c:v>3300331.7862454918</c:v>
                </c:pt>
                <c:pt idx="109">
                  <c:v>3300331.7862454918</c:v>
                </c:pt>
                <c:pt idx="110">
                  <c:v>3300331.7862454918</c:v>
                </c:pt>
                <c:pt idx="111">
                  <c:v>3300331.7862454918</c:v>
                </c:pt>
                <c:pt idx="112">
                  <c:v>3300331.7862454918</c:v>
                </c:pt>
                <c:pt idx="113">
                  <c:v>3300331.7862454918</c:v>
                </c:pt>
                <c:pt idx="114">
                  <c:v>3300331.7862454918</c:v>
                </c:pt>
                <c:pt idx="115">
                  <c:v>3300331.7862454918</c:v>
                </c:pt>
                <c:pt idx="116">
                  <c:v>3300331.7862454918</c:v>
                </c:pt>
                <c:pt idx="117">
                  <c:v>3300331.7862454918</c:v>
                </c:pt>
                <c:pt idx="118">
                  <c:v>3300331.7862454918</c:v>
                </c:pt>
                <c:pt idx="119">
                  <c:v>3300331.7862454918</c:v>
                </c:pt>
                <c:pt idx="120">
                  <c:v>3300331.7862454918</c:v>
                </c:pt>
                <c:pt idx="121">
                  <c:v>3300331.7862454918</c:v>
                </c:pt>
                <c:pt idx="122">
                  <c:v>3300331.7862454918</c:v>
                </c:pt>
                <c:pt idx="123">
                  <c:v>3300331.7862454918</c:v>
                </c:pt>
                <c:pt idx="124">
                  <c:v>3300331.7862454918</c:v>
                </c:pt>
                <c:pt idx="125">
                  <c:v>3300331.7862454918</c:v>
                </c:pt>
                <c:pt idx="126">
                  <c:v>3300331.7862454918</c:v>
                </c:pt>
                <c:pt idx="127">
                  <c:v>3300331.7862454918</c:v>
                </c:pt>
                <c:pt idx="128">
                  <c:v>3300331.7862454918</c:v>
                </c:pt>
                <c:pt idx="129">
                  <c:v>3300331.7862454918</c:v>
                </c:pt>
                <c:pt idx="130">
                  <c:v>3300331.7862454918</c:v>
                </c:pt>
                <c:pt idx="131">
                  <c:v>3300331.7862454918</c:v>
                </c:pt>
                <c:pt idx="132">
                  <c:v>3300331.7862454918</c:v>
                </c:pt>
                <c:pt idx="133">
                  <c:v>3300331.7862454918</c:v>
                </c:pt>
                <c:pt idx="134">
                  <c:v>3300331.7862454918</c:v>
                </c:pt>
                <c:pt idx="135">
                  <c:v>3300331.7862454918</c:v>
                </c:pt>
                <c:pt idx="136">
                  <c:v>3300331.7862454918</c:v>
                </c:pt>
                <c:pt idx="137">
                  <c:v>3300331.7862454918</c:v>
                </c:pt>
                <c:pt idx="138">
                  <c:v>3300331.7862454918</c:v>
                </c:pt>
                <c:pt idx="139">
                  <c:v>3300331.7862454918</c:v>
                </c:pt>
                <c:pt idx="140">
                  <c:v>3300331.7862454918</c:v>
                </c:pt>
                <c:pt idx="141">
                  <c:v>3300331.7862454918</c:v>
                </c:pt>
                <c:pt idx="142">
                  <c:v>3300331.7862454918</c:v>
                </c:pt>
                <c:pt idx="143">
                  <c:v>3300331.7862454918</c:v>
                </c:pt>
                <c:pt idx="144">
                  <c:v>3300331.7862454918</c:v>
                </c:pt>
                <c:pt idx="145">
                  <c:v>3300331.7862454918</c:v>
                </c:pt>
                <c:pt idx="146">
                  <c:v>3300331.7862454918</c:v>
                </c:pt>
                <c:pt idx="147">
                  <c:v>3300331.7862454918</c:v>
                </c:pt>
                <c:pt idx="148">
                  <c:v>3300331.7862454918</c:v>
                </c:pt>
                <c:pt idx="149">
                  <c:v>3300331.7862454918</c:v>
                </c:pt>
                <c:pt idx="150">
                  <c:v>3300331.7862454918</c:v>
                </c:pt>
                <c:pt idx="151">
                  <c:v>3300331.7862454918</c:v>
                </c:pt>
                <c:pt idx="152">
                  <c:v>3300331.7862454918</c:v>
                </c:pt>
                <c:pt idx="153">
                  <c:v>3300331.7862454918</c:v>
                </c:pt>
                <c:pt idx="154">
                  <c:v>3300331.7862454918</c:v>
                </c:pt>
                <c:pt idx="155">
                  <c:v>3300331.7862454918</c:v>
                </c:pt>
                <c:pt idx="156">
                  <c:v>3300331.7862454918</c:v>
                </c:pt>
                <c:pt idx="157">
                  <c:v>3300331.7862454918</c:v>
                </c:pt>
                <c:pt idx="158">
                  <c:v>3300331.7862454918</c:v>
                </c:pt>
                <c:pt idx="159">
                  <c:v>3300331.7862454918</c:v>
                </c:pt>
                <c:pt idx="160">
                  <c:v>3300331.7862454918</c:v>
                </c:pt>
                <c:pt idx="161">
                  <c:v>3300331.7862454918</c:v>
                </c:pt>
                <c:pt idx="162">
                  <c:v>3300331.7862454918</c:v>
                </c:pt>
                <c:pt idx="163">
                  <c:v>3300331.7862454918</c:v>
                </c:pt>
                <c:pt idx="164">
                  <c:v>3300331.7862454918</c:v>
                </c:pt>
                <c:pt idx="165">
                  <c:v>3300331.7862454918</c:v>
                </c:pt>
                <c:pt idx="166">
                  <c:v>3300331.7862454918</c:v>
                </c:pt>
                <c:pt idx="167">
                  <c:v>3300331.7862454918</c:v>
                </c:pt>
                <c:pt idx="168">
                  <c:v>3300331.7862454918</c:v>
                </c:pt>
                <c:pt idx="169">
                  <c:v>3300331.7862454918</c:v>
                </c:pt>
                <c:pt idx="170">
                  <c:v>3300331.7862454918</c:v>
                </c:pt>
                <c:pt idx="171">
                  <c:v>3300331.7862454918</c:v>
                </c:pt>
                <c:pt idx="172">
                  <c:v>3300331.7862454918</c:v>
                </c:pt>
                <c:pt idx="173">
                  <c:v>3300331.7862454918</c:v>
                </c:pt>
                <c:pt idx="174">
                  <c:v>3300331.7862454918</c:v>
                </c:pt>
                <c:pt idx="175">
                  <c:v>3300331.7862454918</c:v>
                </c:pt>
                <c:pt idx="176">
                  <c:v>3300331.7862454918</c:v>
                </c:pt>
                <c:pt idx="177">
                  <c:v>3300331.7862454918</c:v>
                </c:pt>
                <c:pt idx="178">
                  <c:v>3300331.7862454918</c:v>
                </c:pt>
                <c:pt idx="179">
                  <c:v>3300331.7862454918</c:v>
                </c:pt>
                <c:pt idx="180">
                  <c:v>3300331.7862454918</c:v>
                </c:pt>
                <c:pt idx="181">
                  <c:v>3300331.7862454918</c:v>
                </c:pt>
                <c:pt idx="182">
                  <c:v>3300331.7862454918</c:v>
                </c:pt>
                <c:pt idx="183">
                  <c:v>3300331.7862454918</c:v>
                </c:pt>
                <c:pt idx="184">
                  <c:v>3300331.7862454918</c:v>
                </c:pt>
                <c:pt idx="185">
                  <c:v>3300331.7862454918</c:v>
                </c:pt>
                <c:pt idx="186">
                  <c:v>3300331.7862454918</c:v>
                </c:pt>
                <c:pt idx="187">
                  <c:v>3300331.7862454918</c:v>
                </c:pt>
                <c:pt idx="188">
                  <c:v>3300331.7862454918</c:v>
                </c:pt>
                <c:pt idx="189">
                  <c:v>3300331.7862454918</c:v>
                </c:pt>
                <c:pt idx="190">
                  <c:v>3300331.7862454918</c:v>
                </c:pt>
                <c:pt idx="191">
                  <c:v>3300331.7862454918</c:v>
                </c:pt>
                <c:pt idx="192">
                  <c:v>3300331.7862454918</c:v>
                </c:pt>
                <c:pt idx="193">
                  <c:v>3300331.7862454918</c:v>
                </c:pt>
                <c:pt idx="194">
                  <c:v>3300331.7862454918</c:v>
                </c:pt>
                <c:pt idx="195">
                  <c:v>3300331.7862454918</c:v>
                </c:pt>
                <c:pt idx="196">
                  <c:v>3300331.7862454918</c:v>
                </c:pt>
                <c:pt idx="197">
                  <c:v>3300331.7862454918</c:v>
                </c:pt>
                <c:pt idx="198">
                  <c:v>3300331.7862454918</c:v>
                </c:pt>
                <c:pt idx="199">
                  <c:v>3300331.7862454918</c:v>
                </c:pt>
                <c:pt idx="200">
                  <c:v>3300331.7862454918</c:v>
                </c:pt>
                <c:pt idx="201">
                  <c:v>3300331.7862454918</c:v>
                </c:pt>
                <c:pt idx="202">
                  <c:v>3300331.7862454918</c:v>
                </c:pt>
                <c:pt idx="203">
                  <c:v>3300331.7862454918</c:v>
                </c:pt>
                <c:pt idx="204">
                  <c:v>3300331.7862454918</c:v>
                </c:pt>
                <c:pt idx="205">
                  <c:v>3300331.7862454918</c:v>
                </c:pt>
                <c:pt idx="206">
                  <c:v>3300331.7862454918</c:v>
                </c:pt>
                <c:pt idx="207">
                  <c:v>3300331.7862454918</c:v>
                </c:pt>
                <c:pt idx="208">
                  <c:v>3300331.7862454918</c:v>
                </c:pt>
                <c:pt idx="209">
                  <c:v>3300331.7862454918</c:v>
                </c:pt>
                <c:pt idx="210">
                  <c:v>3300331.7862454918</c:v>
                </c:pt>
                <c:pt idx="211">
                  <c:v>3300331.7862454918</c:v>
                </c:pt>
                <c:pt idx="212">
                  <c:v>3300331.7862454918</c:v>
                </c:pt>
                <c:pt idx="213">
                  <c:v>3300331.7862454918</c:v>
                </c:pt>
                <c:pt idx="214">
                  <c:v>3300331.7862454918</c:v>
                </c:pt>
                <c:pt idx="215">
                  <c:v>3300331.7862454918</c:v>
                </c:pt>
                <c:pt idx="216">
                  <c:v>3300331.7862454918</c:v>
                </c:pt>
                <c:pt idx="217">
                  <c:v>3300331.7862454918</c:v>
                </c:pt>
                <c:pt idx="218">
                  <c:v>3300331.7862454918</c:v>
                </c:pt>
                <c:pt idx="219">
                  <c:v>3300331.7862454918</c:v>
                </c:pt>
                <c:pt idx="220">
                  <c:v>3300331.7862454918</c:v>
                </c:pt>
                <c:pt idx="221">
                  <c:v>3300331.7862454918</c:v>
                </c:pt>
                <c:pt idx="222">
                  <c:v>3300331.7862454918</c:v>
                </c:pt>
                <c:pt idx="223">
                  <c:v>3300331.7862454918</c:v>
                </c:pt>
                <c:pt idx="224">
                  <c:v>3300331.7862454918</c:v>
                </c:pt>
                <c:pt idx="225">
                  <c:v>3300331.7862454918</c:v>
                </c:pt>
                <c:pt idx="226">
                  <c:v>3300331.7862454918</c:v>
                </c:pt>
                <c:pt idx="227">
                  <c:v>3300331.7862454918</c:v>
                </c:pt>
                <c:pt idx="228">
                  <c:v>3300331.7862454918</c:v>
                </c:pt>
                <c:pt idx="229">
                  <c:v>3300331.7862454918</c:v>
                </c:pt>
                <c:pt idx="230">
                  <c:v>3300331.7862454918</c:v>
                </c:pt>
                <c:pt idx="231">
                  <c:v>3300331.7862454918</c:v>
                </c:pt>
                <c:pt idx="232">
                  <c:v>3300331.7862454918</c:v>
                </c:pt>
                <c:pt idx="233">
                  <c:v>3300331.7862454918</c:v>
                </c:pt>
                <c:pt idx="234">
                  <c:v>3300331.7862454918</c:v>
                </c:pt>
                <c:pt idx="235">
                  <c:v>3300331.7862454918</c:v>
                </c:pt>
                <c:pt idx="236">
                  <c:v>3300331.7862454918</c:v>
                </c:pt>
                <c:pt idx="237">
                  <c:v>3300331.7862454918</c:v>
                </c:pt>
                <c:pt idx="238">
                  <c:v>3300331.7862454918</c:v>
                </c:pt>
                <c:pt idx="239">
                  <c:v>3300331.7862454918</c:v>
                </c:pt>
                <c:pt idx="240">
                  <c:v>3300331.7862454918</c:v>
                </c:pt>
                <c:pt idx="241">
                  <c:v>3300331.7862454918</c:v>
                </c:pt>
                <c:pt idx="242">
                  <c:v>3300331.7862454918</c:v>
                </c:pt>
                <c:pt idx="243">
                  <c:v>3300331.7862454918</c:v>
                </c:pt>
                <c:pt idx="244">
                  <c:v>3300331.7862454918</c:v>
                </c:pt>
                <c:pt idx="245">
                  <c:v>3300331.7862454918</c:v>
                </c:pt>
                <c:pt idx="246">
                  <c:v>3300331.7862454918</c:v>
                </c:pt>
                <c:pt idx="247">
                  <c:v>3300331.7862454918</c:v>
                </c:pt>
                <c:pt idx="248">
                  <c:v>3300331.7862454918</c:v>
                </c:pt>
                <c:pt idx="249">
                  <c:v>3300331.7862454918</c:v>
                </c:pt>
                <c:pt idx="250">
                  <c:v>3300331.7862454918</c:v>
                </c:pt>
                <c:pt idx="251">
                  <c:v>3300331.7862454918</c:v>
                </c:pt>
                <c:pt idx="252">
                  <c:v>3300331.7862454918</c:v>
                </c:pt>
                <c:pt idx="253">
                  <c:v>3300331.7862454918</c:v>
                </c:pt>
                <c:pt idx="254">
                  <c:v>3300331.7862454918</c:v>
                </c:pt>
                <c:pt idx="255">
                  <c:v>3300331.7862454918</c:v>
                </c:pt>
                <c:pt idx="256">
                  <c:v>3300331.7862454918</c:v>
                </c:pt>
                <c:pt idx="257">
                  <c:v>3300331.7862454918</c:v>
                </c:pt>
                <c:pt idx="258">
                  <c:v>3300331.7862454918</c:v>
                </c:pt>
                <c:pt idx="259">
                  <c:v>3300331.7862454918</c:v>
                </c:pt>
                <c:pt idx="260">
                  <c:v>3300331.7862454918</c:v>
                </c:pt>
                <c:pt idx="261">
                  <c:v>3300331.7862454918</c:v>
                </c:pt>
                <c:pt idx="262">
                  <c:v>3300331.7862454918</c:v>
                </c:pt>
                <c:pt idx="263">
                  <c:v>3300331.7862454918</c:v>
                </c:pt>
                <c:pt idx="264">
                  <c:v>3300331.7862454918</c:v>
                </c:pt>
                <c:pt idx="265">
                  <c:v>3300331.7862454918</c:v>
                </c:pt>
                <c:pt idx="266">
                  <c:v>3300331.7862454918</c:v>
                </c:pt>
                <c:pt idx="267">
                  <c:v>3300331.7862454918</c:v>
                </c:pt>
                <c:pt idx="268">
                  <c:v>3300331.7862454918</c:v>
                </c:pt>
                <c:pt idx="269">
                  <c:v>3300331.7862454918</c:v>
                </c:pt>
                <c:pt idx="270">
                  <c:v>3300331.7862454918</c:v>
                </c:pt>
                <c:pt idx="271">
                  <c:v>3300331.7862454918</c:v>
                </c:pt>
                <c:pt idx="272">
                  <c:v>3300331.7862454918</c:v>
                </c:pt>
                <c:pt idx="273">
                  <c:v>3300331.7862454918</c:v>
                </c:pt>
                <c:pt idx="274">
                  <c:v>3300331.7862454918</c:v>
                </c:pt>
                <c:pt idx="275">
                  <c:v>3300331.7862454918</c:v>
                </c:pt>
                <c:pt idx="276">
                  <c:v>3300331.7862454918</c:v>
                </c:pt>
                <c:pt idx="277">
                  <c:v>3300331.7862454918</c:v>
                </c:pt>
                <c:pt idx="278">
                  <c:v>3300331.7862454918</c:v>
                </c:pt>
                <c:pt idx="279">
                  <c:v>3300331.7862454918</c:v>
                </c:pt>
                <c:pt idx="280">
                  <c:v>3300331.7862454918</c:v>
                </c:pt>
                <c:pt idx="281">
                  <c:v>3300331.7862454918</c:v>
                </c:pt>
                <c:pt idx="282">
                  <c:v>3300331.7862454918</c:v>
                </c:pt>
                <c:pt idx="283">
                  <c:v>3300331.7862454918</c:v>
                </c:pt>
                <c:pt idx="284">
                  <c:v>3300331.7862454918</c:v>
                </c:pt>
                <c:pt idx="285">
                  <c:v>3300331.7862454918</c:v>
                </c:pt>
                <c:pt idx="286">
                  <c:v>3300331.7862454918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1599842.7428508946</c:v>
                </c:pt>
                <c:pt idx="7">
                  <c:v>1598442.7428508946</c:v>
                </c:pt>
                <c:pt idx="8">
                  <c:v>1598442.7428508946</c:v>
                </c:pt>
                <c:pt idx="9">
                  <c:v>1537442.7428508946</c:v>
                </c:pt>
                <c:pt idx="10">
                  <c:v>2202951.7016434916</c:v>
                </c:pt>
                <c:pt idx="11">
                  <c:v>2618397.644498487</c:v>
                </c:pt>
                <c:pt idx="12">
                  <c:v>2616997.644498487</c:v>
                </c:pt>
                <c:pt idx="13">
                  <c:v>2616997.644498487</c:v>
                </c:pt>
                <c:pt idx="14">
                  <c:v>2458585.2318656365</c:v>
                </c:pt>
                <c:pt idx="15">
                  <c:v>2629688.4946102505</c:v>
                </c:pt>
                <c:pt idx="16">
                  <c:v>2731278.6660384317</c:v>
                </c:pt>
                <c:pt idx="17">
                  <c:v>2731278.6660384317</c:v>
                </c:pt>
                <c:pt idx="18">
                  <c:v>1585866.2534055812</c:v>
                </c:pt>
                <c:pt idx="19">
                  <c:v>1882259.267690124</c:v>
                </c:pt>
                <c:pt idx="20">
                  <c:v>1880859.267690124</c:v>
                </c:pt>
                <c:pt idx="21">
                  <c:v>1849176.7851635539</c:v>
                </c:pt>
                <c:pt idx="22">
                  <c:v>1849176.7851635539</c:v>
                </c:pt>
                <c:pt idx="23">
                  <c:v>1849176.7851635539</c:v>
                </c:pt>
                <c:pt idx="24">
                  <c:v>1849176.7851635539</c:v>
                </c:pt>
                <c:pt idx="25">
                  <c:v>1849176.7851635539</c:v>
                </c:pt>
                <c:pt idx="26">
                  <c:v>1849176.7851635539</c:v>
                </c:pt>
                <c:pt idx="27">
                  <c:v>1849176.7851635539</c:v>
                </c:pt>
                <c:pt idx="28">
                  <c:v>1849176.7851635539</c:v>
                </c:pt>
                <c:pt idx="29">
                  <c:v>1849176.7851635539</c:v>
                </c:pt>
                <c:pt idx="30">
                  <c:v>1849176.7851635539</c:v>
                </c:pt>
                <c:pt idx="31">
                  <c:v>1849176.7851635539</c:v>
                </c:pt>
                <c:pt idx="32">
                  <c:v>1849176.7851635539</c:v>
                </c:pt>
                <c:pt idx="33">
                  <c:v>1849176.7851635539</c:v>
                </c:pt>
                <c:pt idx="34">
                  <c:v>1849176.7851635539</c:v>
                </c:pt>
                <c:pt idx="35">
                  <c:v>1849176.7851635539</c:v>
                </c:pt>
                <c:pt idx="36">
                  <c:v>1849176.7851635539</c:v>
                </c:pt>
                <c:pt idx="37">
                  <c:v>1849176.7851635539</c:v>
                </c:pt>
                <c:pt idx="38">
                  <c:v>1849176.7851635539</c:v>
                </c:pt>
                <c:pt idx="39">
                  <c:v>1849176.7851635539</c:v>
                </c:pt>
                <c:pt idx="40">
                  <c:v>1849176.7851635539</c:v>
                </c:pt>
                <c:pt idx="41">
                  <c:v>1849176.7851635539</c:v>
                </c:pt>
                <c:pt idx="42">
                  <c:v>1849176.7851635539</c:v>
                </c:pt>
                <c:pt idx="43">
                  <c:v>1849176.7851635539</c:v>
                </c:pt>
                <c:pt idx="44">
                  <c:v>1849176.7851635539</c:v>
                </c:pt>
                <c:pt idx="45">
                  <c:v>1849176.7851635539</c:v>
                </c:pt>
                <c:pt idx="46">
                  <c:v>1849176.7851635539</c:v>
                </c:pt>
                <c:pt idx="47">
                  <c:v>1849176.7851635539</c:v>
                </c:pt>
                <c:pt idx="48">
                  <c:v>1849176.7851635539</c:v>
                </c:pt>
                <c:pt idx="49">
                  <c:v>1849176.7851635539</c:v>
                </c:pt>
                <c:pt idx="50">
                  <c:v>1849176.7851635539</c:v>
                </c:pt>
                <c:pt idx="51">
                  <c:v>1849176.7851635539</c:v>
                </c:pt>
                <c:pt idx="52">
                  <c:v>1849176.7851635539</c:v>
                </c:pt>
                <c:pt idx="53">
                  <c:v>1849176.7851635539</c:v>
                </c:pt>
                <c:pt idx="54">
                  <c:v>1849176.7851635539</c:v>
                </c:pt>
                <c:pt idx="55">
                  <c:v>1849176.7851635539</c:v>
                </c:pt>
                <c:pt idx="56">
                  <c:v>1849176.7851635539</c:v>
                </c:pt>
                <c:pt idx="57">
                  <c:v>1849176.7851635539</c:v>
                </c:pt>
                <c:pt idx="58">
                  <c:v>1849176.7851635539</c:v>
                </c:pt>
                <c:pt idx="59">
                  <c:v>1849176.7851635539</c:v>
                </c:pt>
                <c:pt idx="60">
                  <c:v>1849176.7851635539</c:v>
                </c:pt>
                <c:pt idx="61">
                  <c:v>1849176.7851635539</c:v>
                </c:pt>
                <c:pt idx="62">
                  <c:v>1849176.7851635539</c:v>
                </c:pt>
                <c:pt idx="63">
                  <c:v>1849176.7851635539</c:v>
                </c:pt>
                <c:pt idx="64">
                  <c:v>1849176.7851635539</c:v>
                </c:pt>
                <c:pt idx="65">
                  <c:v>1849176.7851635539</c:v>
                </c:pt>
                <c:pt idx="66">
                  <c:v>1849176.7851635539</c:v>
                </c:pt>
                <c:pt idx="67">
                  <c:v>1849176.7851635539</c:v>
                </c:pt>
                <c:pt idx="68">
                  <c:v>1849176.7851635539</c:v>
                </c:pt>
                <c:pt idx="69">
                  <c:v>1849176.7851635539</c:v>
                </c:pt>
                <c:pt idx="70">
                  <c:v>1849176.7851635539</c:v>
                </c:pt>
                <c:pt idx="71">
                  <c:v>1849176.7851635539</c:v>
                </c:pt>
                <c:pt idx="72">
                  <c:v>1849176.7851635539</c:v>
                </c:pt>
                <c:pt idx="73">
                  <c:v>1849176.7851635539</c:v>
                </c:pt>
                <c:pt idx="74">
                  <c:v>1849176.7851635539</c:v>
                </c:pt>
                <c:pt idx="75">
                  <c:v>1849176.7851635539</c:v>
                </c:pt>
                <c:pt idx="76">
                  <c:v>1849176.7851635539</c:v>
                </c:pt>
                <c:pt idx="77">
                  <c:v>1849176.7851635539</c:v>
                </c:pt>
                <c:pt idx="78">
                  <c:v>1849176.7851635539</c:v>
                </c:pt>
                <c:pt idx="79">
                  <c:v>1849176.7851635539</c:v>
                </c:pt>
                <c:pt idx="80">
                  <c:v>1849176.7851635539</c:v>
                </c:pt>
                <c:pt idx="81">
                  <c:v>1849176.7851635539</c:v>
                </c:pt>
                <c:pt idx="82">
                  <c:v>1849176.7851635539</c:v>
                </c:pt>
                <c:pt idx="83">
                  <c:v>1849176.7851635539</c:v>
                </c:pt>
                <c:pt idx="84">
                  <c:v>1849176.7851635539</c:v>
                </c:pt>
                <c:pt idx="85">
                  <c:v>1849176.7851635539</c:v>
                </c:pt>
                <c:pt idx="86">
                  <c:v>1849176.7851635539</c:v>
                </c:pt>
                <c:pt idx="87">
                  <c:v>1849176.7851635539</c:v>
                </c:pt>
                <c:pt idx="88">
                  <c:v>1849176.7851635539</c:v>
                </c:pt>
                <c:pt idx="89">
                  <c:v>1849176.7851635539</c:v>
                </c:pt>
                <c:pt idx="90">
                  <c:v>1849176.7851635539</c:v>
                </c:pt>
                <c:pt idx="91">
                  <c:v>1849176.7851635539</c:v>
                </c:pt>
                <c:pt idx="92">
                  <c:v>1849176.7851635539</c:v>
                </c:pt>
                <c:pt idx="93">
                  <c:v>1849176.7851635539</c:v>
                </c:pt>
                <c:pt idx="94">
                  <c:v>1849176.7851635539</c:v>
                </c:pt>
                <c:pt idx="95">
                  <c:v>1849176.7851635539</c:v>
                </c:pt>
                <c:pt idx="96">
                  <c:v>1849176.7851635539</c:v>
                </c:pt>
                <c:pt idx="97">
                  <c:v>1849176.7851635539</c:v>
                </c:pt>
                <c:pt idx="98">
                  <c:v>1849176.7851635539</c:v>
                </c:pt>
                <c:pt idx="99">
                  <c:v>1849176.7851635539</c:v>
                </c:pt>
                <c:pt idx="100">
                  <c:v>1849176.7851635539</c:v>
                </c:pt>
                <c:pt idx="101">
                  <c:v>1849176.7851635539</c:v>
                </c:pt>
                <c:pt idx="102">
                  <c:v>1849176.7851635539</c:v>
                </c:pt>
                <c:pt idx="103">
                  <c:v>1849176.7851635539</c:v>
                </c:pt>
                <c:pt idx="104">
                  <c:v>1849176.7851635539</c:v>
                </c:pt>
                <c:pt idx="105">
                  <c:v>1849176.7851635539</c:v>
                </c:pt>
                <c:pt idx="106">
                  <c:v>1849176.7851635539</c:v>
                </c:pt>
                <c:pt idx="107">
                  <c:v>1849176.7851635539</c:v>
                </c:pt>
                <c:pt idx="108">
                  <c:v>1849176.7851635539</c:v>
                </c:pt>
                <c:pt idx="109">
                  <c:v>1849176.7851635539</c:v>
                </c:pt>
                <c:pt idx="110">
                  <c:v>1849176.7851635539</c:v>
                </c:pt>
                <c:pt idx="111">
                  <c:v>1849176.7851635539</c:v>
                </c:pt>
                <c:pt idx="112">
                  <c:v>1849176.7851635539</c:v>
                </c:pt>
                <c:pt idx="113">
                  <c:v>1849176.7851635539</c:v>
                </c:pt>
                <c:pt idx="114">
                  <c:v>1849176.7851635539</c:v>
                </c:pt>
                <c:pt idx="115">
                  <c:v>1849176.7851635539</c:v>
                </c:pt>
                <c:pt idx="116">
                  <c:v>1849176.7851635539</c:v>
                </c:pt>
                <c:pt idx="117">
                  <c:v>1849176.7851635539</c:v>
                </c:pt>
                <c:pt idx="118">
                  <c:v>1849176.7851635539</c:v>
                </c:pt>
                <c:pt idx="119">
                  <c:v>1849176.7851635539</c:v>
                </c:pt>
                <c:pt idx="120">
                  <c:v>1849176.7851635539</c:v>
                </c:pt>
                <c:pt idx="121">
                  <c:v>1849176.7851635539</c:v>
                </c:pt>
                <c:pt idx="122">
                  <c:v>1849176.7851635539</c:v>
                </c:pt>
                <c:pt idx="123">
                  <c:v>1849176.7851635539</c:v>
                </c:pt>
                <c:pt idx="124">
                  <c:v>1849176.7851635539</c:v>
                </c:pt>
                <c:pt idx="125">
                  <c:v>1849176.7851635539</c:v>
                </c:pt>
                <c:pt idx="126">
                  <c:v>1849176.7851635539</c:v>
                </c:pt>
                <c:pt idx="127">
                  <c:v>1849176.7851635539</c:v>
                </c:pt>
                <c:pt idx="128">
                  <c:v>1849176.7851635539</c:v>
                </c:pt>
                <c:pt idx="129">
                  <c:v>1849176.7851635539</c:v>
                </c:pt>
                <c:pt idx="130">
                  <c:v>1849176.7851635539</c:v>
                </c:pt>
                <c:pt idx="131">
                  <c:v>1849176.7851635539</c:v>
                </c:pt>
                <c:pt idx="132">
                  <c:v>1849176.7851635539</c:v>
                </c:pt>
                <c:pt idx="133">
                  <c:v>1849176.7851635539</c:v>
                </c:pt>
                <c:pt idx="134">
                  <c:v>1849176.7851635539</c:v>
                </c:pt>
                <c:pt idx="135">
                  <c:v>1849176.7851635539</c:v>
                </c:pt>
                <c:pt idx="136">
                  <c:v>1849176.7851635539</c:v>
                </c:pt>
                <c:pt idx="137">
                  <c:v>1849176.7851635539</c:v>
                </c:pt>
                <c:pt idx="138">
                  <c:v>1849176.7851635539</c:v>
                </c:pt>
                <c:pt idx="139">
                  <c:v>1849176.7851635539</c:v>
                </c:pt>
                <c:pt idx="140">
                  <c:v>1849176.7851635539</c:v>
                </c:pt>
                <c:pt idx="141">
                  <c:v>1849176.7851635539</c:v>
                </c:pt>
                <c:pt idx="142">
                  <c:v>1849176.7851635539</c:v>
                </c:pt>
                <c:pt idx="143">
                  <c:v>1849176.7851635539</c:v>
                </c:pt>
                <c:pt idx="144">
                  <c:v>1849176.7851635539</c:v>
                </c:pt>
                <c:pt idx="145">
                  <c:v>1849176.7851635539</c:v>
                </c:pt>
                <c:pt idx="146">
                  <c:v>1849176.7851635539</c:v>
                </c:pt>
                <c:pt idx="147">
                  <c:v>1849176.7851635539</c:v>
                </c:pt>
                <c:pt idx="148">
                  <c:v>1849176.7851635539</c:v>
                </c:pt>
                <c:pt idx="149">
                  <c:v>1849176.7851635539</c:v>
                </c:pt>
                <c:pt idx="150">
                  <c:v>1849176.7851635539</c:v>
                </c:pt>
                <c:pt idx="151">
                  <c:v>1849176.7851635539</c:v>
                </c:pt>
                <c:pt idx="152">
                  <c:v>1849176.7851635539</c:v>
                </c:pt>
                <c:pt idx="153">
                  <c:v>1849176.7851635539</c:v>
                </c:pt>
                <c:pt idx="154">
                  <c:v>1849176.7851635539</c:v>
                </c:pt>
                <c:pt idx="155">
                  <c:v>1849176.7851635539</c:v>
                </c:pt>
                <c:pt idx="156">
                  <c:v>1849176.7851635539</c:v>
                </c:pt>
                <c:pt idx="157">
                  <c:v>1849176.7851635539</c:v>
                </c:pt>
                <c:pt idx="158">
                  <c:v>1849176.7851635539</c:v>
                </c:pt>
                <c:pt idx="159">
                  <c:v>1849176.7851635539</c:v>
                </c:pt>
                <c:pt idx="160">
                  <c:v>1849176.7851635539</c:v>
                </c:pt>
                <c:pt idx="161">
                  <c:v>1849176.7851635539</c:v>
                </c:pt>
                <c:pt idx="162">
                  <c:v>1849176.7851635539</c:v>
                </c:pt>
                <c:pt idx="163">
                  <c:v>1849176.7851635539</c:v>
                </c:pt>
                <c:pt idx="164">
                  <c:v>1849176.7851635539</c:v>
                </c:pt>
                <c:pt idx="165">
                  <c:v>1849176.7851635539</c:v>
                </c:pt>
                <c:pt idx="166">
                  <c:v>1849176.7851635539</c:v>
                </c:pt>
                <c:pt idx="167">
                  <c:v>1849176.7851635539</c:v>
                </c:pt>
                <c:pt idx="168">
                  <c:v>1849176.7851635539</c:v>
                </c:pt>
                <c:pt idx="169">
                  <c:v>1849176.7851635539</c:v>
                </c:pt>
                <c:pt idx="170">
                  <c:v>1849176.7851635539</c:v>
                </c:pt>
                <c:pt idx="171">
                  <c:v>1849176.7851635539</c:v>
                </c:pt>
                <c:pt idx="172">
                  <c:v>1849176.7851635539</c:v>
                </c:pt>
                <c:pt idx="173">
                  <c:v>1849176.7851635539</c:v>
                </c:pt>
                <c:pt idx="174">
                  <c:v>1849176.7851635539</c:v>
                </c:pt>
                <c:pt idx="175">
                  <c:v>1849176.7851635539</c:v>
                </c:pt>
                <c:pt idx="176">
                  <c:v>1849176.7851635539</c:v>
                </c:pt>
                <c:pt idx="177">
                  <c:v>1849176.7851635539</c:v>
                </c:pt>
                <c:pt idx="178">
                  <c:v>1849176.7851635539</c:v>
                </c:pt>
                <c:pt idx="179">
                  <c:v>1849176.7851635539</c:v>
                </c:pt>
                <c:pt idx="180">
                  <c:v>1849176.7851635539</c:v>
                </c:pt>
                <c:pt idx="181">
                  <c:v>1849176.7851635539</c:v>
                </c:pt>
                <c:pt idx="182">
                  <c:v>1849176.7851635539</c:v>
                </c:pt>
                <c:pt idx="183">
                  <c:v>1849176.7851635539</c:v>
                </c:pt>
                <c:pt idx="184">
                  <c:v>1849176.7851635539</c:v>
                </c:pt>
                <c:pt idx="185">
                  <c:v>1849176.7851635539</c:v>
                </c:pt>
                <c:pt idx="186">
                  <c:v>1849176.7851635539</c:v>
                </c:pt>
                <c:pt idx="187">
                  <c:v>1849176.7851635539</c:v>
                </c:pt>
                <c:pt idx="188">
                  <c:v>1849176.7851635539</c:v>
                </c:pt>
                <c:pt idx="189">
                  <c:v>1849176.7851635539</c:v>
                </c:pt>
                <c:pt idx="190">
                  <c:v>1849176.7851635539</c:v>
                </c:pt>
                <c:pt idx="191">
                  <c:v>1849176.7851635539</c:v>
                </c:pt>
                <c:pt idx="192">
                  <c:v>1849176.7851635539</c:v>
                </c:pt>
                <c:pt idx="193">
                  <c:v>1849176.7851635539</c:v>
                </c:pt>
                <c:pt idx="194">
                  <c:v>1849176.7851635539</c:v>
                </c:pt>
                <c:pt idx="195">
                  <c:v>1849176.7851635539</c:v>
                </c:pt>
                <c:pt idx="196">
                  <c:v>1849176.7851635539</c:v>
                </c:pt>
                <c:pt idx="197">
                  <c:v>1849176.7851635539</c:v>
                </c:pt>
                <c:pt idx="198">
                  <c:v>1849176.7851635539</c:v>
                </c:pt>
                <c:pt idx="199">
                  <c:v>1849176.7851635539</c:v>
                </c:pt>
                <c:pt idx="200">
                  <c:v>1849176.7851635539</c:v>
                </c:pt>
                <c:pt idx="201">
                  <c:v>1849176.7851635539</c:v>
                </c:pt>
                <c:pt idx="202">
                  <c:v>1849176.7851635539</c:v>
                </c:pt>
                <c:pt idx="203">
                  <c:v>1849176.7851635539</c:v>
                </c:pt>
                <c:pt idx="204">
                  <c:v>1849176.7851635539</c:v>
                </c:pt>
                <c:pt idx="205">
                  <c:v>1849176.7851635539</c:v>
                </c:pt>
                <c:pt idx="206">
                  <c:v>1849176.7851635539</c:v>
                </c:pt>
                <c:pt idx="207">
                  <c:v>1849176.7851635539</c:v>
                </c:pt>
                <c:pt idx="208">
                  <c:v>1849176.7851635539</c:v>
                </c:pt>
                <c:pt idx="209">
                  <c:v>1849176.7851635539</c:v>
                </c:pt>
                <c:pt idx="210">
                  <c:v>1849176.7851635539</c:v>
                </c:pt>
                <c:pt idx="211">
                  <c:v>1849176.7851635539</c:v>
                </c:pt>
                <c:pt idx="212">
                  <c:v>1849176.7851635539</c:v>
                </c:pt>
                <c:pt idx="213">
                  <c:v>1849176.7851635539</c:v>
                </c:pt>
                <c:pt idx="214">
                  <c:v>1849176.7851635539</c:v>
                </c:pt>
                <c:pt idx="215">
                  <c:v>1849176.7851635539</c:v>
                </c:pt>
                <c:pt idx="216">
                  <c:v>1849176.7851635539</c:v>
                </c:pt>
                <c:pt idx="217">
                  <c:v>1849176.7851635539</c:v>
                </c:pt>
                <c:pt idx="218">
                  <c:v>1849176.7851635539</c:v>
                </c:pt>
                <c:pt idx="219">
                  <c:v>1849176.7851635539</c:v>
                </c:pt>
                <c:pt idx="220">
                  <c:v>1849176.7851635539</c:v>
                </c:pt>
                <c:pt idx="221">
                  <c:v>1849176.7851635539</c:v>
                </c:pt>
                <c:pt idx="222">
                  <c:v>1849176.7851635539</c:v>
                </c:pt>
                <c:pt idx="223">
                  <c:v>1849176.7851635539</c:v>
                </c:pt>
                <c:pt idx="224">
                  <c:v>1849176.7851635539</c:v>
                </c:pt>
                <c:pt idx="225">
                  <c:v>1849176.7851635539</c:v>
                </c:pt>
                <c:pt idx="226">
                  <c:v>1849176.7851635539</c:v>
                </c:pt>
                <c:pt idx="227">
                  <c:v>1849176.7851635539</c:v>
                </c:pt>
                <c:pt idx="228">
                  <c:v>1849176.7851635539</c:v>
                </c:pt>
                <c:pt idx="229">
                  <c:v>1849176.7851635539</c:v>
                </c:pt>
                <c:pt idx="230">
                  <c:v>1849176.7851635539</c:v>
                </c:pt>
                <c:pt idx="231">
                  <c:v>1849176.7851635539</c:v>
                </c:pt>
                <c:pt idx="232">
                  <c:v>1849176.7851635539</c:v>
                </c:pt>
                <c:pt idx="233">
                  <c:v>1849176.7851635539</c:v>
                </c:pt>
                <c:pt idx="234">
                  <c:v>1849176.7851635539</c:v>
                </c:pt>
                <c:pt idx="235">
                  <c:v>1849176.7851635539</c:v>
                </c:pt>
                <c:pt idx="236">
                  <c:v>1849176.7851635539</c:v>
                </c:pt>
                <c:pt idx="237">
                  <c:v>1849176.7851635539</c:v>
                </c:pt>
                <c:pt idx="238">
                  <c:v>1849176.7851635539</c:v>
                </c:pt>
                <c:pt idx="239">
                  <c:v>1849176.7851635539</c:v>
                </c:pt>
                <c:pt idx="240">
                  <c:v>1849176.7851635539</c:v>
                </c:pt>
                <c:pt idx="241">
                  <c:v>1849176.7851635539</c:v>
                </c:pt>
                <c:pt idx="242">
                  <c:v>1849176.7851635539</c:v>
                </c:pt>
                <c:pt idx="243">
                  <c:v>1849176.7851635539</c:v>
                </c:pt>
                <c:pt idx="244">
                  <c:v>1849176.7851635539</c:v>
                </c:pt>
                <c:pt idx="245">
                  <c:v>1849176.7851635539</c:v>
                </c:pt>
                <c:pt idx="246">
                  <c:v>1849176.7851635539</c:v>
                </c:pt>
                <c:pt idx="247">
                  <c:v>1849176.7851635539</c:v>
                </c:pt>
                <c:pt idx="248">
                  <c:v>1849176.7851635539</c:v>
                </c:pt>
                <c:pt idx="249">
                  <c:v>1849176.7851635539</c:v>
                </c:pt>
                <c:pt idx="250">
                  <c:v>1849176.7851635539</c:v>
                </c:pt>
                <c:pt idx="251">
                  <c:v>1849176.7851635539</c:v>
                </c:pt>
                <c:pt idx="252">
                  <c:v>1849176.7851635539</c:v>
                </c:pt>
                <c:pt idx="253">
                  <c:v>1849176.7851635539</c:v>
                </c:pt>
                <c:pt idx="254">
                  <c:v>1849176.7851635539</c:v>
                </c:pt>
                <c:pt idx="255">
                  <c:v>1849176.7851635539</c:v>
                </c:pt>
                <c:pt idx="256">
                  <c:v>1849176.7851635539</c:v>
                </c:pt>
                <c:pt idx="257">
                  <c:v>1849176.7851635539</c:v>
                </c:pt>
                <c:pt idx="258">
                  <c:v>1849176.7851635539</c:v>
                </c:pt>
                <c:pt idx="259">
                  <c:v>1849176.7851635539</c:v>
                </c:pt>
                <c:pt idx="260">
                  <c:v>1849176.7851635539</c:v>
                </c:pt>
                <c:pt idx="261">
                  <c:v>1849176.7851635539</c:v>
                </c:pt>
                <c:pt idx="262">
                  <c:v>1849176.7851635539</c:v>
                </c:pt>
                <c:pt idx="263">
                  <c:v>1849176.7851635539</c:v>
                </c:pt>
                <c:pt idx="264">
                  <c:v>1849176.7851635539</c:v>
                </c:pt>
                <c:pt idx="265">
                  <c:v>1849176.7851635539</c:v>
                </c:pt>
                <c:pt idx="266">
                  <c:v>1849176.7851635539</c:v>
                </c:pt>
                <c:pt idx="267">
                  <c:v>1849176.7851635539</c:v>
                </c:pt>
                <c:pt idx="268">
                  <c:v>1849176.7851635539</c:v>
                </c:pt>
                <c:pt idx="269">
                  <c:v>1849176.7851635539</c:v>
                </c:pt>
                <c:pt idx="270">
                  <c:v>1849176.7851635539</c:v>
                </c:pt>
                <c:pt idx="271">
                  <c:v>1849176.7851635539</c:v>
                </c:pt>
                <c:pt idx="272">
                  <c:v>1849176.7851635539</c:v>
                </c:pt>
                <c:pt idx="273">
                  <c:v>1849176.7851635539</c:v>
                </c:pt>
                <c:pt idx="274">
                  <c:v>1849176.7851635539</c:v>
                </c:pt>
                <c:pt idx="275">
                  <c:v>1849176.7851635539</c:v>
                </c:pt>
                <c:pt idx="276">
                  <c:v>1849176.7851635539</c:v>
                </c:pt>
                <c:pt idx="277">
                  <c:v>1849176.7851635539</c:v>
                </c:pt>
                <c:pt idx="278">
                  <c:v>1849176.7851635539</c:v>
                </c:pt>
                <c:pt idx="279">
                  <c:v>1849176.7851635539</c:v>
                </c:pt>
                <c:pt idx="280">
                  <c:v>1849176.7851635539</c:v>
                </c:pt>
                <c:pt idx="281">
                  <c:v>1849176.7851635539</c:v>
                </c:pt>
                <c:pt idx="282">
                  <c:v>1849176.7851635539</c:v>
                </c:pt>
                <c:pt idx="283">
                  <c:v>1849176.7851635539</c:v>
                </c:pt>
                <c:pt idx="284">
                  <c:v>1849176.7851635539</c:v>
                </c:pt>
                <c:pt idx="285">
                  <c:v>1849176.7851635539</c:v>
                </c:pt>
                <c:pt idx="286">
                  <c:v>1849176.7851635539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3502904.0238250345</c:v>
                </c:pt>
                <c:pt idx="12">
                  <c:v>3502904.0238250345</c:v>
                </c:pt>
                <c:pt idx="13">
                  <c:v>3502904.0238250345</c:v>
                </c:pt>
                <c:pt idx="14">
                  <c:v>3502904.0238250345</c:v>
                </c:pt>
                <c:pt idx="15">
                  <c:v>3877402.1033368469</c:v>
                </c:pt>
                <c:pt idx="16">
                  <c:v>3877402.1033368469</c:v>
                </c:pt>
                <c:pt idx="17">
                  <c:v>3877402.1033368469</c:v>
                </c:pt>
                <c:pt idx="18">
                  <c:v>3877402.1033368469</c:v>
                </c:pt>
                <c:pt idx="19">
                  <c:v>4082737.0503011793</c:v>
                </c:pt>
                <c:pt idx="20">
                  <c:v>4082737.0503011793</c:v>
                </c:pt>
                <c:pt idx="21">
                  <c:v>4082737.0503011793</c:v>
                </c:pt>
                <c:pt idx="22">
                  <c:v>4082737.0503011793</c:v>
                </c:pt>
                <c:pt idx="23">
                  <c:v>4082737.0503011793</c:v>
                </c:pt>
                <c:pt idx="24">
                  <c:v>4119606.8571272367</c:v>
                </c:pt>
                <c:pt idx="25">
                  <c:v>4119606.8571272367</c:v>
                </c:pt>
                <c:pt idx="26">
                  <c:v>4119606.8571272367</c:v>
                </c:pt>
                <c:pt idx="27">
                  <c:v>4119606.8571272367</c:v>
                </c:pt>
                <c:pt idx="28">
                  <c:v>4119606.8571272367</c:v>
                </c:pt>
                <c:pt idx="29">
                  <c:v>4119606.8571272367</c:v>
                </c:pt>
                <c:pt idx="30">
                  <c:v>4119606.8571272367</c:v>
                </c:pt>
                <c:pt idx="31">
                  <c:v>4119606.8571272367</c:v>
                </c:pt>
                <c:pt idx="32">
                  <c:v>4119606.8571272367</c:v>
                </c:pt>
                <c:pt idx="33">
                  <c:v>4119606.8571272367</c:v>
                </c:pt>
                <c:pt idx="34">
                  <c:v>4119606.8571272367</c:v>
                </c:pt>
                <c:pt idx="35">
                  <c:v>4119606.8571272367</c:v>
                </c:pt>
                <c:pt idx="36">
                  <c:v>4119606.8571272367</c:v>
                </c:pt>
                <c:pt idx="37">
                  <c:v>4119606.8571272367</c:v>
                </c:pt>
                <c:pt idx="38">
                  <c:v>4119606.8571272367</c:v>
                </c:pt>
                <c:pt idx="39">
                  <c:v>4119606.8571272367</c:v>
                </c:pt>
                <c:pt idx="40">
                  <c:v>4119606.8571272367</c:v>
                </c:pt>
                <c:pt idx="41">
                  <c:v>4119606.8571272367</c:v>
                </c:pt>
                <c:pt idx="42">
                  <c:v>4119606.8571272367</c:v>
                </c:pt>
                <c:pt idx="43">
                  <c:v>4119606.8571272367</c:v>
                </c:pt>
                <c:pt idx="44">
                  <c:v>4119606.8571272367</c:v>
                </c:pt>
                <c:pt idx="45">
                  <c:v>4119606.8571272367</c:v>
                </c:pt>
                <c:pt idx="46">
                  <c:v>4119606.8571272367</c:v>
                </c:pt>
                <c:pt idx="47">
                  <c:v>4119606.8571272367</c:v>
                </c:pt>
                <c:pt idx="48">
                  <c:v>4119606.8571272367</c:v>
                </c:pt>
                <c:pt idx="49">
                  <c:v>4119606.8571272367</c:v>
                </c:pt>
                <c:pt idx="50">
                  <c:v>4119606.8571272367</c:v>
                </c:pt>
                <c:pt idx="51">
                  <c:v>4119606.8571272367</c:v>
                </c:pt>
                <c:pt idx="52">
                  <c:v>4119606.8571272367</c:v>
                </c:pt>
                <c:pt idx="53">
                  <c:v>4119606.8571272367</c:v>
                </c:pt>
                <c:pt idx="54">
                  <c:v>4119606.8571272367</c:v>
                </c:pt>
                <c:pt idx="55">
                  <c:v>4119606.8571272367</c:v>
                </c:pt>
                <c:pt idx="56">
                  <c:v>4119606.8571272367</c:v>
                </c:pt>
                <c:pt idx="57">
                  <c:v>4119606.8571272367</c:v>
                </c:pt>
                <c:pt idx="58">
                  <c:v>4119606.8571272367</c:v>
                </c:pt>
                <c:pt idx="59">
                  <c:v>4119606.8571272367</c:v>
                </c:pt>
                <c:pt idx="60">
                  <c:v>4119606.8571272367</c:v>
                </c:pt>
                <c:pt idx="61">
                  <c:v>4119606.8571272367</c:v>
                </c:pt>
                <c:pt idx="62">
                  <c:v>4119606.8571272367</c:v>
                </c:pt>
                <c:pt idx="63">
                  <c:v>4119606.8571272367</c:v>
                </c:pt>
                <c:pt idx="64">
                  <c:v>4119606.8571272367</c:v>
                </c:pt>
                <c:pt idx="65">
                  <c:v>4119606.8571272367</c:v>
                </c:pt>
                <c:pt idx="66">
                  <c:v>4119606.8571272367</c:v>
                </c:pt>
                <c:pt idx="67">
                  <c:v>4119606.8571272367</c:v>
                </c:pt>
                <c:pt idx="68">
                  <c:v>4119606.8571272367</c:v>
                </c:pt>
                <c:pt idx="69">
                  <c:v>4119606.8571272367</c:v>
                </c:pt>
                <c:pt idx="70">
                  <c:v>4119606.8571272367</c:v>
                </c:pt>
                <c:pt idx="71">
                  <c:v>4119606.8571272367</c:v>
                </c:pt>
                <c:pt idx="72">
                  <c:v>4119606.8571272367</c:v>
                </c:pt>
                <c:pt idx="73">
                  <c:v>4119606.8571272367</c:v>
                </c:pt>
                <c:pt idx="74">
                  <c:v>4119606.8571272367</c:v>
                </c:pt>
                <c:pt idx="75">
                  <c:v>4119606.8571272367</c:v>
                </c:pt>
                <c:pt idx="76">
                  <c:v>4119606.8571272367</c:v>
                </c:pt>
                <c:pt idx="77">
                  <c:v>4119606.8571272367</c:v>
                </c:pt>
                <c:pt idx="78">
                  <c:v>4119606.8571272367</c:v>
                </c:pt>
                <c:pt idx="79">
                  <c:v>4119606.8571272367</c:v>
                </c:pt>
                <c:pt idx="80">
                  <c:v>4119606.8571272367</c:v>
                </c:pt>
                <c:pt idx="81">
                  <c:v>4119606.8571272367</c:v>
                </c:pt>
                <c:pt idx="82">
                  <c:v>4119606.8571272367</c:v>
                </c:pt>
                <c:pt idx="83">
                  <c:v>4119606.8571272367</c:v>
                </c:pt>
                <c:pt idx="84">
                  <c:v>4119606.8571272367</c:v>
                </c:pt>
                <c:pt idx="85">
                  <c:v>4119606.8571272367</c:v>
                </c:pt>
                <c:pt idx="86">
                  <c:v>4119606.8571272367</c:v>
                </c:pt>
                <c:pt idx="87">
                  <c:v>4119606.8571272367</c:v>
                </c:pt>
                <c:pt idx="88">
                  <c:v>4119606.8571272367</c:v>
                </c:pt>
                <c:pt idx="89">
                  <c:v>4119606.8571272367</c:v>
                </c:pt>
                <c:pt idx="90">
                  <c:v>4119606.8571272367</c:v>
                </c:pt>
                <c:pt idx="91">
                  <c:v>4119606.8571272367</c:v>
                </c:pt>
                <c:pt idx="92">
                  <c:v>4119606.8571272367</c:v>
                </c:pt>
                <c:pt idx="93">
                  <c:v>4119606.8571272367</c:v>
                </c:pt>
                <c:pt idx="94">
                  <c:v>4119606.8571272367</c:v>
                </c:pt>
                <c:pt idx="95">
                  <c:v>4119606.8571272367</c:v>
                </c:pt>
                <c:pt idx="96">
                  <c:v>4119606.8571272367</c:v>
                </c:pt>
                <c:pt idx="97">
                  <c:v>4119606.8571272367</c:v>
                </c:pt>
                <c:pt idx="98">
                  <c:v>4119606.8571272367</c:v>
                </c:pt>
                <c:pt idx="99">
                  <c:v>4119606.8571272367</c:v>
                </c:pt>
                <c:pt idx="100">
                  <c:v>4119606.8571272367</c:v>
                </c:pt>
                <c:pt idx="101">
                  <c:v>4119606.8571272367</c:v>
                </c:pt>
                <c:pt idx="102">
                  <c:v>4119606.8571272367</c:v>
                </c:pt>
                <c:pt idx="103">
                  <c:v>4119606.8571272367</c:v>
                </c:pt>
                <c:pt idx="104">
                  <c:v>4119606.8571272367</c:v>
                </c:pt>
                <c:pt idx="105">
                  <c:v>4119606.8571272367</c:v>
                </c:pt>
                <c:pt idx="106">
                  <c:v>4119606.8571272367</c:v>
                </c:pt>
                <c:pt idx="107">
                  <c:v>4119606.8571272367</c:v>
                </c:pt>
                <c:pt idx="108">
                  <c:v>4119606.8571272367</c:v>
                </c:pt>
                <c:pt idx="109">
                  <c:v>4119606.8571272367</c:v>
                </c:pt>
                <c:pt idx="110">
                  <c:v>4119606.8571272367</c:v>
                </c:pt>
                <c:pt idx="111">
                  <c:v>4119606.8571272367</c:v>
                </c:pt>
                <c:pt idx="112">
                  <c:v>4119606.8571272367</c:v>
                </c:pt>
                <c:pt idx="113">
                  <c:v>4119606.8571272367</c:v>
                </c:pt>
                <c:pt idx="114">
                  <c:v>4119606.8571272367</c:v>
                </c:pt>
                <c:pt idx="115">
                  <c:v>4119606.8571272367</c:v>
                </c:pt>
                <c:pt idx="116">
                  <c:v>4119606.8571272367</c:v>
                </c:pt>
                <c:pt idx="117">
                  <c:v>4119606.8571272367</c:v>
                </c:pt>
                <c:pt idx="118">
                  <c:v>4119606.8571272367</c:v>
                </c:pt>
                <c:pt idx="119">
                  <c:v>4119606.8571272367</c:v>
                </c:pt>
                <c:pt idx="120">
                  <c:v>4119606.8571272367</c:v>
                </c:pt>
                <c:pt idx="121">
                  <c:v>4119606.8571272367</c:v>
                </c:pt>
                <c:pt idx="122">
                  <c:v>4119606.8571272367</c:v>
                </c:pt>
                <c:pt idx="123">
                  <c:v>4119606.8571272367</c:v>
                </c:pt>
                <c:pt idx="124">
                  <c:v>4119606.8571272367</c:v>
                </c:pt>
                <c:pt idx="125">
                  <c:v>4119606.8571272367</c:v>
                </c:pt>
                <c:pt idx="126">
                  <c:v>4119606.8571272367</c:v>
                </c:pt>
                <c:pt idx="127">
                  <c:v>4119606.8571272367</c:v>
                </c:pt>
                <c:pt idx="128">
                  <c:v>4119606.8571272367</c:v>
                </c:pt>
                <c:pt idx="129">
                  <c:v>4119606.8571272367</c:v>
                </c:pt>
                <c:pt idx="130">
                  <c:v>4119606.8571272367</c:v>
                </c:pt>
                <c:pt idx="131">
                  <c:v>4119606.8571272367</c:v>
                </c:pt>
                <c:pt idx="132">
                  <c:v>4119606.8571272367</c:v>
                </c:pt>
                <c:pt idx="133">
                  <c:v>4119606.8571272367</c:v>
                </c:pt>
                <c:pt idx="134">
                  <c:v>4119606.8571272367</c:v>
                </c:pt>
                <c:pt idx="135">
                  <c:v>4119606.8571272367</c:v>
                </c:pt>
                <c:pt idx="136">
                  <c:v>4119606.8571272367</c:v>
                </c:pt>
                <c:pt idx="137">
                  <c:v>4119606.8571272367</c:v>
                </c:pt>
                <c:pt idx="138">
                  <c:v>4119606.8571272367</c:v>
                </c:pt>
                <c:pt idx="139">
                  <c:v>4119606.8571272367</c:v>
                </c:pt>
                <c:pt idx="140">
                  <c:v>4119606.8571272367</c:v>
                </c:pt>
                <c:pt idx="141">
                  <c:v>4119606.8571272367</c:v>
                </c:pt>
                <c:pt idx="142">
                  <c:v>4119606.8571272367</c:v>
                </c:pt>
                <c:pt idx="143">
                  <c:v>4119606.8571272367</c:v>
                </c:pt>
                <c:pt idx="144">
                  <c:v>4119606.8571272367</c:v>
                </c:pt>
                <c:pt idx="145">
                  <c:v>4119606.8571272367</c:v>
                </c:pt>
                <c:pt idx="146">
                  <c:v>4119606.8571272367</c:v>
                </c:pt>
                <c:pt idx="147">
                  <c:v>4119606.8571272367</c:v>
                </c:pt>
                <c:pt idx="148">
                  <c:v>4119606.8571272367</c:v>
                </c:pt>
                <c:pt idx="149">
                  <c:v>4119606.8571272367</c:v>
                </c:pt>
                <c:pt idx="150">
                  <c:v>4119606.8571272367</c:v>
                </c:pt>
                <c:pt idx="151">
                  <c:v>4119606.8571272367</c:v>
                </c:pt>
                <c:pt idx="152">
                  <c:v>4119606.8571272367</c:v>
                </c:pt>
                <c:pt idx="153">
                  <c:v>4119606.8571272367</c:v>
                </c:pt>
                <c:pt idx="154">
                  <c:v>4119606.8571272367</c:v>
                </c:pt>
                <c:pt idx="155">
                  <c:v>4119606.8571272367</c:v>
                </c:pt>
                <c:pt idx="156">
                  <c:v>4119606.8571272367</c:v>
                </c:pt>
                <c:pt idx="157">
                  <c:v>4119606.8571272367</c:v>
                </c:pt>
                <c:pt idx="158">
                  <c:v>4119606.8571272367</c:v>
                </c:pt>
                <c:pt idx="159">
                  <c:v>4119606.8571272367</c:v>
                </c:pt>
                <c:pt idx="160">
                  <c:v>4119606.8571272367</c:v>
                </c:pt>
                <c:pt idx="161">
                  <c:v>4119606.8571272367</c:v>
                </c:pt>
                <c:pt idx="162">
                  <c:v>4119606.8571272367</c:v>
                </c:pt>
                <c:pt idx="163">
                  <c:v>4119606.8571272367</c:v>
                </c:pt>
                <c:pt idx="164">
                  <c:v>4119606.8571272367</c:v>
                </c:pt>
                <c:pt idx="165">
                  <c:v>4119606.8571272367</c:v>
                </c:pt>
                <c:pt idx="166">
                  <c:v>4119606.8571272367</c:v>
                </c:pt>
                <c:pt idx="167">
                  <c:v>4119606.8571272367</c:v>
                </c:pt>
                <c:pt idx="168">
                  <c:v>4119606.8571272367</c:v>
                </c:pt>
                <c:pt idx="169">
                  <c:v>4119606.8571272367</c:v>
                </c:pt>
                <c:pt idx="170">
                  <c:v>4119606.8571272367</c:v>
                </c:pt>
                <c:pt idx="171">
                  <c:v>4119606.8571272367</c:v>
                </c:pt>
                <c:pt idx="172">
                  <c:v>4119606.8571272367</c:v>
                </c:pt>
                <c:pt idx="173">
                  <c:v>4119606.8571272367</c:v>
                </c:pt>
                <c:pt idx="174">
                  <c:v>4119606.8571272367</c:v>
                </c:pt>
                <c:pt idx="175">
                  <c:v>4119606.8571272367</c:v>
                </c:pt>
                <c:pt idx="176">
                  <c:v>4119606.8571272367</c:v>
                </c:pt>
                <c:pt idx="177">
                  <c:v>4119606.8571272367</c:v>
                </c:pt>
                <c:pt idx="178">
                  <c:v>4119606.8571272367</c:v>
                </c:pt>
                <c:pt idx="179">
                  <c:v>4119606.8571272367</c:v>
                </c:pt>
                <c:pt idx="180">
                  <c:v>4119606.8571272367</c:v>
                </c:pt>
                <c:pt idx="181">
                  <c:v>4119606.8571272367</c:v>
                </c:pt>
                <c:pt idx="182">
                  <c:v>4119606.8571272367</c:v>
                </c:pt>
                <c:pt idx="183">
                  <c:v>4119606.8571272367</c:v>
                </c:pt>
                <c:pt idx="184">
                  <c:v>4119606.8571272367</c:v>
                </c:pt>
                <c:pt idx="185">
                  <c:v>4119606.8571272367</c:v>
                </c:pt>
                <c:pt idx="186">
                  <c:v>4119606.8571272367</c:v>
                </c:pt>
                <c:pt idx="187">
                  <c:v>4119606.8571272367</c:v>
                </c:pt>
                <c:pt idx="188">
                  <c:v>4119606.8571272367</c:v>
                </c:pt>
                <c:pt idx="189">
                  <c:v>4119606.8571272367</c:v>
                </c:pt>
                <c:pt idx="190">
                  <c:v>4119606.8571272367</c:v>
                </c:pt>
                <c:pt idx="191">
                  <c:v>4119606.8571272367</c:v>
                </c:pt>
                <c:pt idx="192">
                  <c:v>4119606.8571272367</c:v>
                </c:pt>
                <c:pt idx="193">
                  <c:v>4119606.8571272367</c:v>
                </c:pt>
                <c:pt idx="194">
                  <c:v>4119606.8571272367</c:v>
                </c:pt>
                <c:pt idx="195">
                  <c:v>4119606.8571272367</c:v>
                </c:pt>
                <c:pt idx="196">
                  <c:v>4119606.8571272367</c:v>
                </c:pt>
                <c:pt idx="197">
                  <c:v>4119606.8571272367</c:v>
                </c:pt>
                <c:pt idx="198">
                  <c:v>4119606.8571272367</c:v>
                </c:pt>
                <c:pt idx="199">
                  <c:v>4119606.8571272367</c:v>
                </c:pt>
                <c:pt idx="200">
                  <c:v>4119606.8571272367</c:v>
                </c:pt>
                <c:pt idx="201">
                  <c:v>4119606.8571272367</c:v>
                </c:pt>
                <c:pt idx="202">
                  <c:v>4119606.8571272367</c:v>
                </c:pt>
                <c:pt idx="203">
                  <c:v>4119606.8571272367</c:v>
                </c:pt>
                <c:pt idx="204">
                  <c:v>4119606.8571272367</c:v>
                </c:pt>
                <c:pt idx="205">
                  <c:v>4119606.8571272367</c:v>
                </c:pt>
                <c:pt idx="206">
                  <c:v>4119606.8571272367</c:v>
                </c:pt>
                <c:pt idx="207">
                  <c:v>4119606.8571272367</c:v>
                </c:pt>
                <c:pt idx="208">
                  <c:v>4119606.8571272367</c:v>
                </c:pt>
                <c:pt idx="209">
                  <c:v>4119606.8571272367</c:v>
                </c:pt>
                <c:pt idx="210">
                  <c:v>4119606.8571272367</c:v>
                </c:pt>
                <c:pt idx="211">
                  <c:v>4119606.8571272367</c:v>
                </c:pt>
                <c:pt idx="212">
                  <c:v>4119606.8571272367</c:v>
                </c:pt>
                <c:pt idx="213">
                  <c:v>4119606.8571272367</c:v>
                </c:pt>
                <c:pt idx="214">
                  <c:v>4119606.8571272367</c:v>
                </c:pt>
                <c:pt idx="215">
                  <c:v>4119606.8571272367</c:v>
                </c:pt>
                <c:pt idx="216">
                  <c:v>4119606.8571272367</c:v>
                </c:pt>
                <c:pt idx="217">
                  <c:v>4119606.8571272367</c:v>
                </c:pt>
                <c:pt idx="218">
                  <c:v>4119606.8571272367</c:v>
                </c:pt>
                <c:pt idx="219">
                  <c:v>4119606.8571272367</c:v>
                </c:pt>
                <c:pt idx="220">
                  <c:v>4119606.8571272367</c:v>
                </c:pt>
                <c:pt idx="221">
                  <c:v>4119606.8571272367</c:v>
                </c:pt>
                <c:pt idx="222">
                  <c:v>4119606.8571272367</c:v>
                </c:pt>
                <c:pt idx="223">
                  <c:v>4119606.8571272367</c:v>
                </c:pt>
                <c:pt idx="224">
                  <c:v>4119606.8571272367</c:v>
                </c:pt>
                <c:pt idx="225">
                  <c:v>4119606.8571272367</c:v>
                </c:pt>
                <c:pt idx="226">
                  <c:v>4119606.8571272367</c:v>
                </c:pt>
                <c:pt idx="227">
                  <c:v>4119606.8571272367</c:v>
                </c:pt>
                <c:pt idx="228">
                  <c:v>4119606.8571272367</c:v>
                </c:pt>
                <c:pt idx="229">
                  <c:v>4119606.8571272367</c:v>
                </c:pt>
                <c:pt idx="230">
                  <c:v>4119606.8571272367</c:v>
                </c:pt>
                <c:pt idx="231">
                  <c:v>4119606.8571272367</c:v>
                </c:pt>
                <c:pt idx="232">
                  <c:v>4119606.8571272367</c:v>
                </c:pt>
                <c:pt idx="233">
                  <c:v>4119606.8571272367</c:v>
                </c:pt>
                <c:pt idx="234">
                  <c:v>4119606.8571272367</c:v>
                </c:pt>
                <c:pt idx="235">
                  <c:v>4119606.8571272367</c:v>
                </c:pt>
                <c:pt idx="236">
                  <c:v>4119606.8571272367</c:v>
                </c:pt>
                <c:pt idx="237">
                  <c:v>4119606.8571272367</c:v>
                </c:pt>
                <c:pt idx="238">
                  <c:v>4119606.8571272367</c:v>
                </c:pt>
                <c:pt idx="239">
                  <c:v>4119606.8571272367</c:v>
                </c:pt>
                <c:pt idx="240">
                  <c:v>4119606.8571272367</c:v>
                </c:pt>
                <c:pt idx="241">
                  <c:v>4119606.8571272367</c:v>
                </c:pt>
                <c:pt idx="242">
                  <c:v>4119606.8571272367</c:v>
                </c:pt>
                <c:pt idx="243">
                  <c:v>4119606.8571272367</c:v>
                </c:pt>
                <c:pt idx="244">
                  <c:v>4119606.8571272367</c:v>
                </c:pt>
                <c:pt idx="245">
                  <c:v>4119606.8571272367</c:v>
                </c:pt>
                <c:pt idx="246">
                  <c:v>4119606.8571272367</c:v>
                </c:pt>
                <c:pt idx="247">
                  <c:v>4119606.8571272367</c:v>
                </c:pt>
                <c:pt idx="248">
                  <c:v>4119606.8571272367</c:v>
                </c:pt>
                <c:pt idx="249">
                  <c:v>4119606.8571272367</c:v>
                </c:pt>
                <c:pt idx="250">
                  <c:v>4119606.8571272367</c:v>
                </c:pt>
                <c:pt idx="251">
                  <c:v>4119606.8571272367</c:v>
                </c:pt>
                <c:pt idx="252">
                  <c:v>4119606.8571272367</c:v>
                </c:pt>
                <c:pt idx="253">
                  <c:v>4119606.8571272367</c:v>
                </c:pt>
                <c:pt idx="254">
                  <c:v>4119606.8571272367</c:v>
                </c:pt>
                <c:pt idx="255">
                  <c:v>4119606.8571272367</c:v>
                </c:pt>
                <c:pt idx="256">
                  <c:v>4119606.8571272367</c:v>
                </c:pt>
                <c:pt idx="257">
                  <c:v>4119606.8571272367</c:v>
                </c:pt>
                <c:pt idx="258">
                  <c:v>4119606.8571272367</c:v>
                </c:pt>
                <c:pt idx="259">
                  <c:v>4119606.8571272367</c:v>
                </c:pt>
                <c:pt idx="260">
                  <c:v>4119606.8571272367</c:v>
                </c:pt>
                <c:pt idx="261">
                  <c:v>4119606.8571272367</c:v>
                </c:pt>
                <c:pt idx="262">
                  <c:v>4119606.8571272367</c:v>
                </c:pt>
                <c:pt idx="263">
                  <c:v>4119606.8571272367</c:v>
                </c:pt>
                <c:pt idx="264">
                  <c:v>4119606.8571272367</c:v>
                </c:pt>
                <c:pt idx="265">
                  <c:v>4119606.8571272367</c:v>
                </c:pt>
                <c:pt idx="266">
                  <c:v>4119606.8571272367</c:v>
                </c:pt>
                <c:pt idx="267">
                  <c:v>4119606.8571272367</c:v>
                </c:pt>
                <c:pt idx="268">
                  <c:v>4119606.8571272367</c:v>
                </c:pt>
                <c:pt idx="269">
                  <c:v>4119606.8571272367</c:v>
                </c:pt>
                <c:pt idx="270">
                  <c:v>4119606.8571272367</c:v>
                </c:pt>
                <c:pt idx="271">
                  <c:v>4119606.8571272367</c:v>
                </c:pt>
                <c:pt idx="272">
                  <c:v>4119606.8571272367</c:v>
                </c:pt>
                <c:pt idx="273">
                  <c:v>4119606.8571272367</c:v>
                </c:pt>
                <c:pt idx="274">
                  <c:v>4119606.8571272367</c:v>
                </c:pt>
                <c:pt idx="275">
                  <c:v>4119606.8571272367</c:v>
                </c:pt>
                <c:pt idx="276">
                  <c:v>4119606.8571272367</c:v>
                </c:pt>
                <c:pt idx="277">
                  <c:v>4119606.8571272367</c:v>
                </c:pt>
                <c:pt idx="278">
                  <c:v>4119606.8571272367</c:v>
                </c:pt>
                <c:pt idx="279">
                  <c:v>4119606.8571272367</c:v>
                </c:pt>
                <c:pt idx="280">
                  <c:v>4119606.8571272367</c:v>
                </c:pt>
                <c:pt idx="281">
                  <c:v>4119606.8571272367</c:v>
                </c:pt>
                <c:pt idx="282">
                  <c:v>4119606.8571272367</c:v>
                </c:pt>
                <c:pt idx="283">
                  <c:v>4119606.8571272367</c:v>
                </c:pt>
                <c:pt idx="284">
                  <c:v>4119606.8571272367</c:v>
                </c:pt>
                <c:pt idx="285">
                  <c:v>4119606.8571272367</c:v>
                </c:pt>
                <c:pt idx="286">
                  <c:v>4119606.8571272367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4.556357175927" createdVersion="8" refreshedVersion="8" minRefreshableVersion="3" recordCount="160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343628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9">
        <m/>
        <d v="2026-03-31T00:00:00"/>
        <s v=""/>
        <d v="2026-04-30T00:00:00"/>
        <d v="2026-05-31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08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4-29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52150.6"/>
  </r>
  <r>
    <n v="2"/>
    <x v="2"/>
    <s v="Sungrow 125kW"/>
    <n v="3"/>
    <n v="68870"/>
    <n v="206610"/>
    <m/>
    <m/>
    <x v="1"/>
    <n v="203998.44813996466"/>
    <m/>
    <d v="2026-04-30T00:00:00"/>
    <m/>
  </r>
  <r>
    <n v="2"/>
    <x v="2"/>
    <s v="Sungrow Wifi Comunication Module For Battery Inverter"/>
    <m/>
    <m/>
    <n v="3900"/>
    <m/>
    <m/>
    <x v="3"/>
    <n v="3850.7039724401634"/>
    <m/>
    <d v="2026-04-30T00:00:00"/>
    <m/>
  </r>
  <r>
    <n v="2"/>
    <x v="2"/>
    <m/>
    <m/>
    <m/>
    <m/>
    <m/>
    <m/>
    <x v="2"/>
    <n v="0"/>
    <m/>
    <m/>
    <m/>
  </r>
  <r>
    <n v="2"/>
    <x v="2"/>
    <s v="Sungrow warranty extension to 10 years on the 125kW string inverter and the 25kW hybrid inverter"/>
    <m/>
    <m/>
    <n v="41640.600000000006"/>
    <m/>
    <m/>
    <x v="3"/>
    <n v="41114.262521741504"/>
    <m/>
    <d v="2026-04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07T00:00:00"/>
    <m/>
  </r>
  <r>
    <n v="4"/>
    <x v="4"/>
    <s v="Site Establishment"/>
    <m/>
    <n v="0.15"/>
    <n v="16098.251999999999"/>
    <m/>
    <m/>
    <x v="1"/>
    <n v="20024.000268784381"/>
    <m/>
    <d v="2026-03-07T00:00:00"/>
    <m/>
  </r>
  <r>
    <n v="4"/>
    <x v="4"/>
    <s v="AC Installation Complete"/>
    <m/>
    <n v="0.2"/>
    <n v="21464.335999999999"/>
    <m/>
    <m/>
    <x v="3"/>
    <n v="26698.667025045841"/>
    <m/>
    <d v="2026-04-06T00:00:00"/>
    <m/>
  </r>
  <r>
    <n v="4"/>
    <x v="4"/>
    <s v="DC Installation Complete"/>
    <m/>
    <n v="0.25"/>
    <n v="26830.42"/>
    <m/>
    <m/>
    <x v="1"/>
    <n v="33373.333781307301"/>
    <m/>
    <d v="2026-03-31T00:00:00"/>
    <m/>
  </r>
  <r>
    <n v="4"/>
    <x v="4"/>
    <s v="Commissioning Complete"/>
    <m/>
    <n v="0.1"/>
    <n v="10732.168"/>
    <m/>
    <m/>
    <x v="3"/>
    <n v="13349.333512522921"/>
    <m/>
    <d v="2026-04-22T00:00:00"/>
    <m/>
  </r>
  <r>
    <n v="4"/>
    <x v="4"/>
    <s v="Site De-establisment"/>
    <m/>
    <n v="0.1"/>
    <n v="10732.168"/>
    <m/>
    <m/>
    <x v="3"/>
    <n v="13349.333512522921"/>
    <m/>
    <d v="2026-04-23T00:00:00"/>
    <m/>
  </r>
  <r>
    <n v="4"/>
    <x v="4"/>
    <s v="Handover Document Complete"/>
    <m/>
    <n v="0.05"/>
    <n v="5366.0839999999998"/>
    <m/>
    <m/>
    <x v="3"/>
    <n v="6674.6667562614603"/>
    <m/>
    <d v="2026-04-23T00:00:00"/>
    <m/>
  </r>
  <r>
    <n v="4"/>
    <x v="4"/>
    <s v="End of Defects Period"/>
    <m/>
    <n v="0.05"/>
    <n v="5366.0839999999998"/>
    <m/>
    <m/>
    <x v="4"/>
    <n v="6674.6667562614603"/>
    <m/>
    <d v="2026-05-1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07T00:00:00"/>
    <m/>
  </r>
  <r>
    <n v="6"/>
    <x v="6"/>
    <s v="Site Establishment"/>
    <m/>
    <n v="0.15"/>
    <n v="24189.813913043548"/>
    <m/>
    <m/>
    <x v="1"/>
    <n v="31102.247423725014"/>
    <m/>
    <d v="2026-03-07T00:00:00"/>
    <m/>
  </r>
  <r>
    <n v="6"/>
    <x v="6"/>
    <s v="AC Installation Complete"/>
    <m/>
    <n v="0.2"/>
    <n v="32253.085217391399"/>
    <m/>
    <m/>
    <x v="3"/>
    <n v="41469.663231633356"/>
    <m/>
    <d v="2026-04-06T00:00:00"/>
    <m/>
  </r>
  <r>
    <n v="6"/>
    <x v="6"/>
    <s v="DC Installation Complete"/>
    <m/>
    <n v="0.25"/>
    <n v="40316.356521739246"/>
    <m/>
    <m/>
    <x v="1"/>
    <n v="51837.079039541684"/>
    <m/>
    <d v="2026-03-31T00:00:00"/>
    <m/>
  </r>
  <r>
    <n v="6"/>
    <x v="6"/>
    <s v="Commissioning Complete"/>
    <m/>
    <n v="0.1"/>
    <n v="16126.5426086957"/>
    <m/>
    <m/>
    <x v="3"/>
    <n v="20734.831615816678"/>
    <m/>
    <d v="2026-04-22T00:00:00"/>
    <m/>
  </r>
  <r>
    <n v="6"/>
    <x v="6"/>
    <s v="Site De-establisment"/>
    <m/>
    <n v="0.1"/>
    <n v="16126.5426086957"/>
    <m/>
    <m/>
    <x v="3"/>
    <n v="20734.831615816678"/>
    <m/>
    <d v="2026-04-23T00:00:00"/>
    <m/>
  </r>
  <r>
    <n v="6"/>
    <x v="6"/>
    <s v="Handover Document Complete"/>
    <m/>
    <n v="0.05"/>
    <n v="8063.2713043478498"/>
    <m/>
    <m/>
    <x v="3"/>
    <n v="10367.415807908339"/>
    <m/>
    <d v="2026-04-23T00:00:00"/>
    <m/>
  </r>
  <r>
    <n v="6"/>
    <x v="6"/>
    <s v="End of Defects Period"/>
    <m/>
    <n v="0.05"/>
    <n v="8063.2713043478498"/>
    <m/>
    <m/>
    <x v="4"/>
    <n v="10367.415807908339"/>
    <m/>
    <d v="2026-05-1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n v="428259.99999999994"/>
    <m/>
    <m/>
    <x v="1"/>
    <n v="579140.49794104393"/>
    <n v="0"/>
    <d v="2026-04-30T00:00:00"/>
    <n v="446452.99999999994"/>
  </r>
  <r>
    <n v="7"/>
    <x v="7"/>
    <s v="Sungrow SBH Battery Parallel box + Acessory Box"/>
    <m/>
    <m/>
    <n v="18193"/>
    <m/>
    <m/>
    <x v="1"/>
    <n v="24602.585062909013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07T00:00:00"/>
    <m/>
  </r>
  <r>
    <n v="9"/>
    <x v="9"/>
    <s v="Site Establishment"/>
    <m/>
    <n v="0.15"/>
    <n v="51544.2"/>
    <m/>
    <m/>
    <x v="1"/>
    <n v="55613.333333333321"/>
    <m/>
    <d v="2026-03-07T00:00:00"/>
    <m/>
  </r>
  <r>
    <n v="9"/>
    <x v="9"/>
    <s v="AC Installation Complete"/>
    <m/>
    <n v="0.2"/>
    <n v="68725.600000000006"/>
    <m/>
    <m/>
    <x v="3"/>
    <n v="74151.111111111109"/>
    <m/>
    <d v="2026-04-06T00:00:00"/>
    <m/>
  </r>
  <r>
    <n v="9"/>
    <x v="9"/>
    <s v="DC Installation Complete"/>
    <m/>
    <n v="0.25"/>
    <n v="85907"/>
    <m/>
    <m/>
    <x v="1"/>
    <n v="92688.888888888876"/>
    <m/>
    <d v="2026-03-31T00:00:00"/>
    <m/>
  </r>
  <r>
    <n v="9"/>
    <x v="9"/>
    <s v="Commissioning Complete"/>
    <m/>
    <n v="0.1"/>
    <n v="34362.800000000003"/>
    <m/>
    <m/>
    <x v="3"/>
    <n v="37075.555555555555"/>
    <m/>
    <d v="2026-04-22T00:00:00"/>
    <m/>
  </r>
  <r>
    <n v="9"/>
    <x v="9"/>
    <s v="Site De-establisment"/>
    <m/>
    <n v="0.1"/>
    <n v="34362.800000000003"/>
    <m/>
    <m/>
    <x v="3"/>
    <n v="37075.555555555555"/>
    <m/>
    <d v="2026-04-23T00:00:00"/>
    <m/>
  </r>
  <r>
    <n v="9"/>
    <x v="9"/>
    <s v="Handover Document Complete"/>
    <m/>
    <n v="0.05"/>
    <n v="17181.400000000001"/>
    <m/>
    <m/>
    <x v="3"/>
    <n v="18537.777777777777"/>
    <m/>
    <d v="2026-04-23T00:00:00"/>
    <m/>
  </r>
  <r>
    <n v="9"/>
    <x v="9"/>
    <s v="End of Defects Period"/>
    <m/>
    <n v="0.05"/>
    <n v="17181.400000000001"/>
    <m/>
    <m/>
    <x v="4"/>
    <n v="18537.777777777777"/>
    <m/>
    <d v="2026-05-1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5"/>
    <n v="28886.749330151546"/>
    <n v="0"/>
    <d v="2026-02-28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07T00:00:00"/>
    <m/>
  </r>
  <r>
    <n v="10"/>
    <x v="10"/>
    <s v="Site Establishment"/>
    <m/>
    <n v="0.15"/>
    <n v="3215.1816666666664"/>
    <m/>
    <m/>
    <x v="1"/>
    <n v="3869.839452329119"/>
    <m/>
    <d v="2026-03-07T00:00:00"/>
    <m/>
  </r>
  <r>
    <n v="10"/>
    <x v="10"/>
    <s v="AC Installation Complete"/>
    <m/>
    <n v="0.2"/>
    <n v="4286.9088888888891"/>
    <m/>
    <m/>
    <x v="3"/>
    <n v="5159.785936438826"/>
    <m/>
    <d v="2026-04-06T00:00:00"/>
    <m/>
  </r>
  <r>
    <n v="10"/>
    <x v="10"/>
    <s v="DC Installation Complete"/>
    <m/>
    <n v="0.25"/>
    <n v="5358.6361111111109"/>
    <m/>
    <m/>
    <x v="1"/>
    <n v="6449.732420548532"/>
    <m/>
    <d v="2026-03-31T00:00:00"/>
    <m/>
  </r>
  <r>
    <n v="10"/>
    <x v="10"/>
    <s v="Commissioning Complete"/>
    <m/>
    <n v="0.1"/>
    <n v="2143.4544444444446"/>
    <m/>
    <m/>
    <x v="3"/>
    <n v="2579.892968219413"/>
    <m/>
    <d v="2026-04-22T00:00:00"/>
    <m/>
  </r>
  <r>
    <n v="10"/>
    <x v="10"/>
    <s v="Site De-establisment"/>
    <m/>
    <n v="0.1"/>
    <n v="2143.4544444444446"/>
    <m/>
    <m/>
    <x v="3"/>
    <n v="2579.892968219413"/>
    <m/>
    <d v="2026-04-23T00:00:00"/>
    <m/>
  </r>
  <r>
    <n v="10"/>
    <x v="10"/>
    <s v="Handover Document Complete"/>
    <m/>
    <n v="0.05"/>
    <n v="1071.7272222222223"/>
    <m/>
    <m/>
    <x v="3"/>
    <n v="1289.9464841097065"/>
    <m/>
    <d v="2026-04-23T00:00:00"/>
    <m/>
  </r>
  <r>
    <n v="10"/>
    <x v="10"/>
    <s v="End of Defects Period"/>
    <m/>
    <n v="0.05"/>
    <n v="1071.7272222222223"/>
    <m/>
    <m/>
    <x v="4"/>
    <n v="1289.9464841097065"/>
    <m/>
    <d v="2026-05-1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3"/>
    <n v="19430.357278490257"/>
    <n v="0"/>
    <d v="2026-04-29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5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0"/>
        <item m="1" x="9"/>
        <item m="1" x="11"/>
        <item m="1" x="8"/>
        <item x="2"/>
        <item m="1" x="18"/>
        <item m="1" x="15"/>
        <item m="1" x="6"/>
        <item x="5"/>
        <item x="1"/>
        <item x="3"/>
        <item m="1" x="7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0"/>
        <item m="1" x="9"/>
        <item m="1" x="11"/>
        <item m="1" x="8"/>
        <item x="2"/>
        <item m="1" x="18"/>
        <item m="1" x="15"/>
        <item m="1" x="6"/>
        <item x="5"/>
        <item x="1"/>
        <item x="3"/>
        <item m="1" x="7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43" t="s">
        <v>0</v>
      </c>
      <c r="C2" s="643"/>
      <c r="D2" s="643"/>
      <c r="E2" s="643"/>
      <c r="H2" s="644" t="s">
        <v>1</v>
      </c>
      <c r="I2" s="645"/>
      <c r="J2" s="645"/>
      <c r="K2" s="645"/>
      <c r="L2" s="645"/>
      <c r="M2" s="645"/>
      <c r="N2" s="645"/>
      <c r="O2" s="646"/>
    </row>
    <row r="3" spans="2:15">
      <c r="B3" s="615"/>
      <c r="H3" s="647"/>
      <c r="I3" s="648"/>
      <c r="J3" s="648"/>
      <c r="K3" s="648"/>
      <c r="L3" s="648"/>
      <c r="M3" s="648"/>
      <c r="N3" s="648"/>
      <c r="O3" s="649"/>
    </row>
    <row r="4" spans="2:15">
      <c r="B4" s="616" t="s">
        <v>2</v>
      </c>
      <c r="C4" s="617" t="str">
        <f>'Project Plan'!E2</f>
        <v>PnP Bethal</v>
      </c>
      <c r="H4" s="647"/>
      <c r="I4" s="648"/>
      <c r="J4" s="648"/>
      <c r="K4" s="648"/>
      <c r="L4" s="648"/>
      <c r="M4" s="648"/>
      <c r="N4" s="648"/>
      <c r="O4" s="649"/>
    </row>
    <row r="5" spans="2:15">
      <c r="B5" s="616" t="s">
        <v>3</v>
      </c>
      <c r="C5" s="617" t="s">
        <v>4</v>
      </c>
      <c r="H5" s="647"/>
      <c r="I5" s="648"/>
      <c r="J5" s="648"/>
      <c r="K5" s="648"/>
      <c r="L5" s="648"/>
      <c r="M5" s="648"/>
      <c r="N5" s="648"/>
      <c r="O5" s="649"/>
    </row>
    <row r="6" spans="2:15">
      <c r="B6" s="616" t="s">
        <v>5</v>
      </c>
      <c r="C6" s="617" t="s">
        <v>6</v>
      </c>
      <c r="H6" s="647"/>
      <c r="I6" s="648"/>
      <c r="J6" s="648"/>
      <c r="K6" s="648"/>
      <c r="L6" s="648"/>
      <c r="M6" s="648"/>
      <c r="N6" s="648"/>
      <c r="O6" s="649"/>
    </row>
    <row r="7" spans="2:15">
      <c r="B7" s="616" t="s">
        <v>7</v>
      </c>
      <c r="C7" s="617" t="s">
        <v>8</v>
      </c>
      <c r="H7" s="647"/>
      <c r="I7" s="648"/>
      <c r="J7" s="648"/>
      <c r="K7" s="648"/>
      <c r="L7" s="648"/>
      <c r="M7" s="648"/>
      <c r="N7" s="648"/>
      <c r="O7" s="649"/>
    </row>
    <row r="8" spans="2:15">
      <c r="B8" s="615"/>
      <c r="H8" s="647"/>
      <c r="I8" s="648"/>
      <c r="J8" s="648"/>
      <c r="K8" s="648"/>
      <c r="L8" s="648"/>
      <c r="M8" s="648"/>
      <c r="N8" s="648"/>
      <c r="O8" s="649"/>
    </row>
    <row r="9" spans="2:15">
      <c r="B9" s="653" t="s">
        <v>9</v>
      </c>
      <c r="C9" s="653"/>
      <c r="D9" s="653"/>
      <c r="E9" s="653"/>
      <c r="H9" s="647"/>
      <c r="I9" s="648"/>
      <c r="J9" s="648"/>
      <c r="K9" s="648"/>
      <c r="L9" s="648"/>
      <c r="M9" s="648"/>
      <c r="N9" s="648"/>
      <c r="O9" s="649"/>
    </row>
    <row r="10" spans="2:15" ht="15" thickBot="1">
      <c r="B10" s="653" t="s">
        <v>10</v>
      </c>
      <c r="C10" s="653"/>
      <c r="D10" s="653"/>
      <c r="E10" s="653"/>
      <c r="H10" s="650"/>
      <c r="I10" s="651"/>
      <c r="J10" s="651"/>
      <c r="K10" s="651"/>
      <c r="L10" s="651"/>
      <c r="M10" s="651"/>
      <c r="N10" s="651"/>
      <c r="O10" s="652"/>
    </row>
    <row r="11" spans="2:15">
      <c r="B11" s="618" t="s">
        <v>11</v>
      </c>
      <c r="C11" s="641"/>
      <c r="D11" s="641"/>
      <c r="E11" s="641"/>
    </row>
    <row r="12" spans="2:15">
      <c r="B12" s="618" t="s">
        <v>12</v>
      </c>
      <c r="C12" s="641"/>
      <c r="D12" s="641"/>
      <c r="E12" s="641"/>
    </row>
    <row r="13" spans="2:15">
      <c r="B13" s="618" t="s">
        <v>13</v>
      </c>
      <c r="C13" s="641"/>
      <c r="D13" s="641"/>
      <c r="E13" s="641"/>
    </row>
    <row r="14" spans="2:15">
      <c r="B14" s="618" t="s">
        <v>14</v>
      </c>
      <c r="C14" s="641"/>
      <c r="D14" s="641"/>
      <c r="E14" s="641"/>
    </row>
    <row r="15" spans="2:15">
      <c r="B15" s="618" t="s">
        <v>15</v>
      </c>
      <c r="C15" s="641"/>
      <c r="D15" s="641"/>
      <c r="E15" s="641"/>
    </row>
    <row r="16" spans="2:15" ht="15" customHeight="1">
      <c r="B16" s="618" t="s">
        <v>16</v>
      </c>
      <c r="C16" s="641"/>
      <c r="D16" s="641"/>
      <c r="E16" s="641"/>
    </row>
    <row r="17" spans="2:5">
      <c r="B17" s="615"/>
    </row>
    <row r="18" spans="2:5">
      <c r="B18" s="642" t="s">
        <v>17</v>
      </c>
      <c r="C18" s="642"/>
      <c r="D18" s="642"/>
      <c r="E18" s="642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43" t="s">
        <v>22</v>
      </c>
      <c r="C2" s="643"/>
      <c r="D2" s="643"/>
      <c r="E2" s="643"/>
      <c r="H2" s="644" t="s">
        <v>23</v>
      </c>
      <c r="I2" s="645"/>
      <c r="J2" s="645"/>
      <c r="K2" s="645"/>
      <c r="L2" s="645"/>
      <c r="M2" s="645"/>
      <c r="N2" s="645"/>
      <c r="O2" s="646"/>
    </row>
    <row r="3" spans="2:15">
      <c r="B3" s="615"/>
      <c r="H3" s="647"/>
      <c r="I3" s="648"/>
      <c r="J3" s="648"/>
      <c r="K3" s="648"/>
      <c r="L3" s="648"/>
      <c r="M3" s="648"/>
      <c r="N3" s="648"/>
      <c r="O3" s="649"/>
    </row>
    <row r="4" spans="2:15">
      <c r="B4" s="616" t="s">
        <v>2</v>
      </c>
      <c r="C4" s="617" t="str">
        <f>'Project Plan'!E2</f>
        <v>PnP Bethal</v>
      </c>
      <c r="H4" s="647"/>
      <c r="I4" s="648"/>
      <c r="J4" s="648"/>
      <c r="K4" s="648"/>
      <c r="L4" s="648"/>
      <c r="M4" s="648"/>
      <c r="N4" s="648"/>
      <c r="O4" s="649"/>
    </row>
    <row r="5" spans="2:15">
      <c r="B5" s="616" t="s">
        <v>24</v>
      </c>
      <c r="C5" s="617"/>
      <c r="H5" s="647"/>
      <c r="I5" s="648"/>
      <c r="J5" s="648"/>
      <c r="K5" s="648"/>
      <c r="L5" s="648"/>
      <c r="M5" s="648"/>
      <c r="N5" s="648"/>
      <c r="O5" s="649"/>
    </row>
    <row r="6" spans="2:15">
      <c r="B6" s="616" t="s">
        <v>5</v>
      </c>
      <c r="C6" s="617" t="s">
        <v>6</v>
      </c>
      <c r="H6" s="647"/>
      <c r="I6" s="648"/>
      <c r="J6" s="648"/>
      <c r="K6" s="648"/>
      <c r="L6" s="648"/>
      <c r="M6" s="648"/>
      <c r="N6" s="648"/>
      <c r="O6" s="649"/>
    </row>
    <row r="7" spans="2:15">
      <c r="B7" s="616" t="s">
        <v>25</v>
      </c>
      <c r="C7" s="617" t="str">
        <f>'Project Plan'!E5</f>
        <v>Eon Van Rensburg</v>
      </c>
      <c r="H7" s="647"/>
      <c r="I7" s="648"/>
      <c r="J7" s="648"/>
      <c r="K7" s="648"/>
      <c r="L7" s="648"/>
      <c r="M7" s="648"/>
      <c r="N7" s="648"/>
      <c r="O7" s="649"/>
    </row>
    <row r="8" spans="2:15">
      <c r="B8" s="616" t="s">
        <v>26</v>
      </c>
      <c r="C8" s="617"/>
      <c r="H8" s="647"/>
      <c r="I8" s="648"/>
      <c r="J8" s="648"/>
      <c r="K8" s="648"/>
      <c r="L8" s="648"/>
      <c r="M8" s="648"/>
      <c r="N8" s="648"/>
      <c r="O8" s="649"/>
    </row>
    <row r="9" spans="2:15">
      <c r="B9" s="615"/>
      <c r="H9" s="647"/>
      <c r="I9" s="648"/>
      <c r="J9" s="648"/>
      <c r="K9" s="648"/>
      <c r="L9" s="648"/>
      <c r="M9" s="648"/>
      <c r="N9" s="648"/>
      <c r="O9" s="649"/>
    </row>
    <row r="10" spans="2:15">
      <c r="B10" s="653" t="s">
        <v>9</v>
      </c>
      <c r="C10" s="653"/>
      <c r="D10" s="653"/>
      <c r="E10" s="653"/>
      <c r="H10" s="647"/>
      <c r="I10" s="648"/>
      <c r="J10" s="648"/>
      <c r="K10" s="648"/>
      <c r="L10" s="648"/>
      <c r="M10" s="648"/>
      <c r="N10" s="648"/>
      <c r="O10" s="649"/>
    </row>
    <row r="11" spans="2:15" ht="15" thickBot="1">
      <c r="B11" s="653" t="s">
        <v>10</v>
      </c>
      <c r="C11" s="653"/>
      <c r="D11" s="653"/>
      <c r="E11" s="653"/>
      <c r="H11" s="650"/>
      <c r="I11" s="651"/>
      <c r="J11" s="651"/>
      <c r="K11" s="651"/>
      <c r="L11" s="651"/>
      <c r="M11" s="651"/>
      <c r="N11" s="651"/>
      <c r="O11" s="652"/>
    </row>
    <row r="12" spans="2:15" ht="25">
      <c r="B12" s="618" t="s">
        <v>27</v>
      </c>
      <c r="C12" s="641"/>
      <c r="D12" s="641"/>
      <c r="E12" s="641"/>
    </row>
    <row r="13" spans="2:15">
      <c r="B13" s="618" t="s">
        <v>28</v>
      </c>
      <c r="C13" s="641"/>
      <c r="D13" s="641"/>
      <c r="E13" s="641"/>
    </row>
    <row r="14" spans="2:15">
      <c r="B14" s="618" t="s">
        <v>29</v>
      </c>
      <c r="C14" s="641"/>
      <c r="D14" s="641"/>
      <c r="E14" s="641"/>
    </row>
    <row r="15" spans="2:15">
      <c r="B15" s="618" t="s">
        <v>30</v>
      </c>
      <c r="C15" s="641"/>
      <c r="D15" s="641"/>
      <c r="E15" s="641"/>
    </row>
    <row r="16" spans="2:15" ht="25">
      <c r="B16" s="618" t="s">
        <v>31</v>
      </c>
      <c r="C16" s="641"/>
      <c r="D16" s="641"/>
      <c r="E16" s="641"/>
    </row>
    <row r="17" spans="2:5">
      <c r="B17" s="618" t="s">
        <v>32</v>
      </c>
      <c r="C17" s="641"/>
      <c r="D17" s="641"/>
      <c r="E17" s="641"/>
    </row>
    <row r="18" spans="2:5">
      <c r="B18" s="618" t="s">
        <v>33</v>
      </c>
      <c r="C18" s="641"/>
      <c r="D18" s="641"/>
      <c r="E18" s="641"/>
    </row>
    <row r="19" spans="2:5">
      <c r="B19" s="618" t="s">
        <v>34</v>
      </c>
      <c r="C19" s="641"/>
      <c r="D19" s="641"/>
      <c r="E19" s="641"/>
    </row>
    <row r="20" spans="2:5">
      <c r="B20" s="618" t="s">
        <v>35</v>
      </c>
      <c r="C20" s="641"/>
      <c r="D20" s="641"/>
      <c r="E20" s="641"/>
    </row>
    <row r="21" spans="2:5">
      <c r="B21" s="618" t="s">
        <v>36</v>
      </c>
      <c r="C21" s="641"/>
      <c r="D21" s="641"/>
      <c r="E21" s="641"/>
    </row>
    <row r="22" spans="2:5" ht="15" customHeight="1">
      <c r="B22" s="618" t="s">
        <v>16</v>
      </c>
      <c r="C22" s="641"/>
      <c r="D22" s="641"/>
      <c r="E22" s="641"/>
    </row>
    <row r="23" spans="2:5">
      <c r="B23" s="615"/>
    </row>
    <row r="24" spans="2:5">
      <c r="B24" s="642" t="s">
        <v>17</v>
      </c>
      <c r="C24" s="642"/>
      <c r="D24" s="642"/>
      <c r="E24" s="642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6328125" customWidth="1"/>
  </cols>
  <sheetData>
    <row r="1" spans="2:15">
      <c r="B1" s="656"/>
      <c r="C1" s="657"/>
      <c r="D1" s="657"/>
      <c r="E1" s="657"/>
      <c r="F1" s="654" t="s">
        <v>37</v>
      </c>
      <c r="G1" s="654"/>
      <c r="H1" s="654"/>
      <c r="I1" s="654"/>
      <c r="J1" s="654"/>
      <c r="K1" s="655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58" t="s">
        <v>102</v>
      </c>
      <c r="C2" s="659"/>
      <c r="D2" s="659"/>
      <c r="E2" s="659"/>
      <c r="F2" s="660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8" t="s">
        <v>111</v>
      </c>
      <c r="C16" s="659"/>
      <c r="D16" s="659"/>
      <c r="E16" s="659"/>
      <c r="F16" s="660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abSelected="1" topLeftCell="A4" zoomScaleNormal="100" workbookViewId="0">
      <selection activeCell="M9" sqref="M9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5.63281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4.3632812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156</v>
      </c>
      <c r="D2" s="90"/>
      <c r="E2" s="566" t="s">
        <v>396</v>
      </c>
      <c r="F2" s="567"/>
      <c r="G2" s="567"/>
      <c r="H2" s="568"/>
      <c r="I2" s="661" t="s">
        <v>157</v>
      </c>
      <c r="J2" s="662"/>
      <c r="K2" s="587">
        <f>NETWORKDAYS(I19,K43,Data!C3:C60)</f>
        <v>32</v>
      </c>
      <c r="N2" s="306">
        <v>0</v>
      </c>
      <c r="O2" s="306">
        <v>1</v>
      </c>
    </row>
    <row r="3" spans="2:28" s="26" customFormat="1" ht="14.5" thickBot="1">
      <c r="B3" s="91"/>
      <c r="C3" s="92" t="s">
        <v>158</v>
      </c>
      <c r="D3" s="90"/>
      <c r="E3" s="312">
        <v>420</v>
      </c>
      <c r="F3" s="93"/>
      <c r="G3" s="94"/>
      <c r="H3" s="94"/>
      <c r="I3" s="661" t="s">
        <v>159</v>
      </c>
      <c r="J3" s="662"/>
      <c r="K3" s="587">
        <f>K2/5</f>
        <v>6.4</v>
      </c>
      <c r="Q3" s="1"/>
    </row>
    <row r="4" spans="2:28" s="26" customFormat="1" ht="14.5" thickBot="1">
      <c r="B4" s="91"/>
      <c r="C4" s="92" t="s">
        <v>160</v>
      </c>
      <c r="D4" s="90"/>
      <c r="E4" s="565" t="s">
        <v>397</v>
      </c>
      <c r="F4" s="94"/>
      <c r="G4" s="94"/>
      <c r="H4" s="94"/>
      <c r="I4" s="661" t="s">
        <v>161</v>
      </c>
      <c r="J4" s="662"/>
      <c r="K4" s="588">
        <f>E3/K3</f>
        <v>65.625</v>
      </c>
      <c r="Q4" s="1"/>
    </row>
    <row r="5" spans="2:28" s="26" customFormat="1">
      <c r="B5" s="91"/>
      <c r="C5" s="92" t="s">
        <v>162</v>
      </c>
      <c r="D5" s="90"/>
      <c r="E5" s="565" t="s">
        <v>445</v>
      </c>
      <c r="F5" s="94"/>
      <c r="G5" s="94"/>
      <c r="H5" s="94"/>
      <c r="Q5" s="1"/>
    </row>
    <row r="6" spans="2:28">
      <c r="B6" s="95"/>
      <c r="C6" s="96" t="s">
        <v>163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164</v>
      </c>
      <c r="E7" s="627" t="s">
        <v>447</v>
      </c>
      <c r="F7" s="80"/>
      <c r="G7" s="97"/>
      <c r="J7" s="27"/>
      <c r="Q7" s="1"/>
    </row>
    <row r="8" spans="2:28" ht="30" customHeight="1">
      <c r="B8" s="665" t="s">
        <v>130</v>
      </c>
      <c r="C8" s="666" t="s">
        <v>165</v>
      </c>
      <c r="D8" s="126"/>
      <c r="E8" s="667" t="s">
        <v>166</v>
      </c>
      <c r="F8" s="148" t="s">
        <v>167</v>
      </c>
      <c r="G8" s="667" t="s">
        <v>168</v>
      </c>
      <c r="H8" s="149"/>
      <c r="I8" s="667" t="s">
        <v>169</v>
      </c>
      <c r="J8" s="148" t="s">
        <v>167</v>
      </c>
      <c r="K8" s="667" t="s">
        <v>170</v>
      </c>
      <c r="M8" s="584" t="s">
        <v>44</v>
      </c>
      <c r="N8" s="585" t="s">
        <v>171</v>
      </c>
      <c r="O8" s="663" t="s">
        <v>172</v>
      </c>
      <c r="Z8" s="26"/>
      <c r="AA8" s="26"/>
      <c r="AB8" s="26"/>
    </row>
    <row r="9" spans="2:28">
      <c r="B9" s="665"/>
      <c r="C9" s="666"/>
      <c r="D9" s="126"/>
      <c r="E9" s="667"/>
      <c r="F9" s="40">
        <f>G43-E20</f>
        <v>46</v>
      </c>
      <c r="G9" s="667"/>
      <c r="H9" s="149"/>
      <c r="I9" s="667"/>
      <c r="J9" s="41">
        <f>K43-I20</f>
        <v>50</v>
      </c>
      <c r="K9" s="667"/>
      <c r="M9" s="265">
        <f>AVERAGE(M11,M19,M22,M32,M39,M43,M52,M48)</f>
        <v>3.2894736842105261E-3</v>
      </c>
      <c r="N9" s="265">
        <f ca="1">AVERAGE(N11,N19,N22,N32,N39,N43,N52,N48)</f>
        <v>3.2894736842105261E-3</v>
      </c>
      <c r="O9" s="664"/>
      <c r="S9" s="586">
        <f ca="1">TODAY()</f>
        <v>46065</v>
      </c>
      <c r="T9" s="586">
        <f ca="1">TODAY()</f>
        <v>46065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173</v>
      </c>
      <c r="D11" s="130"/>
      <c r="E11" s="571">
        <f>MIN(E12:E18)</f>
        <v>46043</v>
      </c>
      <c r="F11" s="572">
        <f>G11-E11</f>
        <v>28</v>
      </c>
      <c r="G11" s="571">
        <f>MAX(G12:G18)</f>
        <v>46071</v>
      </c>
      <c r="H11" s="573"/>
      <c r="I11" s="571">
        <f>MIN(I12:I18)</f>
        <v>46043</v>
      </c>
      <c r="J11" s="572">
        <f>K11-I11</f>
        <v>50</v>
      </c>
      <c r="K11" s="571">
        <f>MAX(K12:K18)</f>
        <v>46093</v>
      </c>
      <c r="L11" s="574"/>
      <c r="M11" s="575">
        <f>(J12*M12+J14*M14+J15*M15+J16*M16+J17*M17)/SUM(J12:J17)</f>
        <v>2.6315789473684209E-2</v>
      </c>
      <c r="N11" s="575">
        <f>(J12*M12+J14*M14+J15*M15+J16*M16+J17*M17)/SUM(J12:J17)</f>
        <v>2.6315789473684209E-2</v>
      </c>
      <c r="O11" s="33"/>
      <c r="P11" s="26"/>
      <c r="Q11" s="34"/>
    </row>
    <row r="12" spans="2:28" s="26" customFormat="1">
      <c r="B12" s="157" t="s">
        <v>174</v>
      </c>
      <c r="C12" s="158" t="s">
        <v>175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176</v>
      </c>
      <c r="T12" s="537" t="s">
        <v>124</v>
      </c>
      <c r="U12" s="537" t="s">
        <v>167</v>
      </c>
      <c r="V12" s="537" t="s">
        <v>177</v>
      </c>
    </row>
    <row r="13" spans="2:28" s="26" customFormat="1">
      <c r="B13" s="157"/>
      <c r="C13" s="158" t="s">
        <v>446</v>
      </c>
      <c r="D13" s="126"/>
      <c r="E13" s="576"/>
      <c r="F13" s="577"/>
      <c r="G13" s="576"/>
      <c r="H13" s="578"/>
      <c r="I13" s="576">
        <f>I12</f>
        <v>46043</v>
      </c>
      <c r="J13" s="577">
        <v>25</v>
      </c>
      <c r="K13" s="576">
        <f>WORKDAY.INTL(I13,J13,1,Data!$C$3:$C$60)</f>
        <v>46078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178</v>
      </c>
      <c r="C14" s="158" t="s">
        <v>179</v>
      </c>
      <c r="D14" s="126"/>
      <c r="E14" s="576">
        <f>G12</f>
        <v>46043</v>
      </c>
      <c r="F14" s="577">
        <v>15</v>
      </c>
      <c r="G14" s="576">
        <f>WORKDAY.INTL(E14,F14,1,Data!$C$3:$C$60)</f>
        <v>46064</v>
      </c>
      <c r="H14" s="578"/>
      <c r="I14" s="576">
        <f>K13</f>
        <v>46078</v>
      </c>
      <c r="J14" s="577">
        <v>5</v>
      </c>
      <c r="K14" s="576">
        <f>WORKDAY.INTL(I14,J14,1,Data!$C$3:$C$60)</f>
        <v>46085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50</v>
      </c>
      <c r="V14" s="538">
        <f>K11</f>
        <v>46093</v>
      </c>
    </row>
    <row r="15" spans="2:28" s="26" customFormat="1">
      <c r="B15" s="157" t="s">
        <v>180</v>
      </c>
      <c r="C15" s="158" t="s">
        <v>181</v>
      </c>
      <c r="D15" s="126"/>
      <c r="E15" s="576">
        <f>WORKDAY.INTL(G14,0,1,Data!$C$3:$C$60)</f>
        <v>46064</v>
      </c>
      <c r="F15" s="577">
        <v>1</v>
      </c>
      <c r="G15" s="576">
        <f>WORKDAY.INTL(E15,F15,1,Data!$C$3:$C$60)</f>
        <v>46065</v>
      </c>
      <c r="H15" s="578"/>
      <c r="I15" s="576">
        <f>WORKDAY.INTL(K14,0,1,Data!$C$3:$C$60)</f>
        <v>46085</v>
      </c>
      <c r="J15" s="577">
        <v>1</v>
      </c>
      <c r="K15" s="576">
        <f>WORKDAY.INTL(I15,J15,1,Data!$C$3:$C$60)</f>
        <v>46086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46103</v>
      </c>
      <c r="U15" s="539">
        <f>J19</f>
        <v>1</v>
      </c>
      <c r="V15" s="538">
        <f>K19</f>
        <v>46104</v>
      </c>
    </row>
    <row r="16" spans="2:28" s="26" customFormat="1">
      <c r="B16" s="157" t="s">
        <v>182</v>
      </c>
      <c r="C16" s="158" t="s">
        <v>183</v>
      </c>
      <c r="D16" s="126"/>
      <c r="E16" s="576">
        <f>WORKDAY.INTL(E14,0,1,Data!$C$3:$C$60)+14</f>
        <v>46057</v>
      </c>
      <c r="F16" s="577">
        <v>1</v>
      </c>
      <c r="G16" s="576">
        <f>WORKDAY.INTL(E16,F16,1,Data!$C$3:$C$60)</f>
        <v>46058</v>
      </c>
      <c r="H16" s="578"/>
      <c r="I16" s="576">
        <f>WORKDAY.INTL(I14,0,1,Data!$C$3:$C$60)+14</f>
        <v>46092</v>
      </c>
      <c r="J16" s="577">
        <v>1</v>
      </c>
      <c r="K16" s="576">
        <f>WORKDAY.INTL(I16,J16,1,Data!$C$3:$C$60)</f>
        <v>46093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46071</v>
      </c>
      <c r="U16" s="539">
        <f>J22</f>
        <v>63</v>
      </c>
      <c r="V16" s="538">
        <f>K22</f>
        <v>46134</v>
      </c>
    </row>
    <row r="17" spans="2:28" s="26" customFormat="1">
      <c r="B17" s="157" t="s">
        <v>184</v>
      </c>
      <c r="C17" s="158" t="s">
        <v>185</v>
      </c>
      <c r="D17" s="126"/>
      <c r="E17" s="576">
        <f>WORKDAY.INTL(G14,0,1,Data!$C$3:$C$60)</f>
        <v>46064</v>
      </c>
      <c r="F17" s="577">
        <v>5</v>
      </c>
      <c r="G17" s="576">
        <f>WORKDAY.INTL(E17,F17,1,Data!$C$3:$C$60)</f>
        <v>46071</v>
      </c>
      <c r="H17" s="578"/>
      <c r="I17" s="576">
        <f>WORKDAY.INTL(K14,0,1,Data!$C$3:$C$60)</f>
        <v>46085</v>
      </c>
      <c r="J17" s="577">
        <v>5</v>
      </c>
      <c r="K17" s="576">
        <f>WORKDAY.INTL(I17,J17,1,Data!$C$3:$C$60)</f>
        <v>46092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46103</v>
      </c>
      <c r="U17" s="539">
        <f>J32</f>
        <v>25</v>
      </c>
      <c r="V17" s="538">
        <f>K32</f>
        <v>46128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46103</v>
      </c>
      <c r="U18" s="539">
        <f>J39</f>
        <v>19</v>
      </c>
      <c r="V18" s="538">
        <f>K39</f>
        <v>46122</v>
      </c>
    </row>
    <row r="19" spans="2:28" s="28" customFormat="1">
      <c r="B19" s="155">
        <v>2</v>
      </c>
      <c r="C19" s="156" t="s">
        <v>186</v>
      </c>
      <c r="D19" s="130"/>
      <c r="E19" s="571">
        <f>MIN(E20:E21)</f>
        <v>46076</v>
      </c>
      <c r="F19" s="572">
        <f>G19-E19</f>
        <v>1</v>
      </c>
      <c r="G19" s="571">
        <f>MAX(G20:G21)</f>
        <v>46077</v>
      </c>
      <c r="H19" s="573"/>
      <c r="I19" s="571">
        <f>MIN(I20:I21)</f>
        <v>46103</v>
      </c>
      <c r="J19" s="572">
        <f>K19-I19</f>
        <v>1</v>
      </c>
      <c r="K19" s="571">
        <f>MAX(K20:K21)</f>
        <v>46104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46134</v>
      </c>
      <c r="U19" s="539">
        <f>J43</f>
        <v>19</v>
      </c>
      <c r="V19" s="538">
        <f>K43</f>
        <v>46153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187</v>
      </c>
      <c r="C20" s="158" t="s">
        <v>188</v>
      </c>
      <c r="D20" s="126"/>
      <c r="E20" s="576">
        <v>46076</v>
      </c>
      <c r="F20" s="577">
        <v>1</v>
      </c>
      <c r="G20" s="576">
        <f>E20+F20</f>
        <v>46077</v>
      </c>
      <c r="H20" s="578"/>
      <c r="I20" s="576">
        <f>K11+10</f>
        <v>46103</v>
      </c>
      <c r="J20" s="577">
        <v>1</v>
      </c>
      <c r="K20" s="576">
        <f>I20+J20</f>
        <v>46104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46146</v>
      </c>
      <c r="U20" s="539">
        <f>J48</f>
        <v>8</v>
      </c>
      <c r="V20" s="538">
        <f>K48</f>
        <v>46154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46149</v>
      </c>
      <c r="U21" s="539">
        <f>J52</f>
        <v>13</v>
      </c>
      <c r="V21" s="538">
        <f>K52</f>
        <v>46162</v>
      </c>
    </row>
    <row r="22" spans="2:28" s="28" customFormat="1">
      <c r="B22" s="155">
        <v>3</v>
      </c>
      <c r="C22" s="156" t="s">
        <v>189</v>
      </c>
      <c r="D22" s="130"/>
      <c r="E22" s="571">
        <f>MIN(E23:E31)</f>
        <v>46050</v>
      </c>
      <c r="F22" s="572">
        <f>G22-E22</f>
        <v>54</v>
      </c>
      <c r="G22" s="571">
        <f>MAX(G23:G31)</f>
        <v>46104</v>
      </c>
      <c r="H22" s="581"/>
      <c r="I22" s="571">
        <f>MIN(I23:I31)</f>
        <v>46071</v>
      </c>
      <c r="J22" s="572">
        <f>K22-I22</f>
        <v>63</v>
      </c>
      <c r="K22" s="571">
        <f>MAX(K23:K31)</f>
        <v>46134</v>
      </c>
      <c r="L22" s="574"/>
      <c r="M22" s="575">
        <f>(J23*M23+J24*M24+J25*M25+J27*M27+J30*M30)/SUM(J23:J30)</f>
        <v>0</v>
      </c>
      <c r="N22" s="575">
        <f>(J23*M23+J24*M24+J25*M25+J27*M27+J30*M30)/SUM(J23:J30)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190</v>
      </c>
      <c r="C23" s="158" t="s">
        <v>191</v>
      </c>
      <c r="D23" s="126"/>
      <c r="E23" s="576">
        <f>WORKDAY.INTL(E20,0,1,Data!$C$3:$C$60)</f>
        <v>46076</v>
      </c>
      <c r="F23" s="577">
        <v>1</v>
      </c>
      <c r="G23" s="576">
        <f>WORKDAY.INTL(E23,F23,1,Data!$C$3:$C$60)</f>
        <v>46077</v>
      </c>
      <c r="H23" s="578"/>
      <c r="I23" s="576">
        <f>WORKDAY.INTL(I20,0,1,Data!$C$3:$C$60)</f>
        <v>46103</v>
      </c>
      <c r="J23" s="577">
        <v>1</v>
      </c>
      <c r="K23" s="576">
        <f>WORKDAY.INTL(I23,J23,1,Data!$C$3:$C$60)</f>
        <v>46104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192</v>
      </c>
      <c r="C24" s="158" t="s">
        <v>193</v>
      </c>
      <c r="D24" s="126"/>
      <c r="E24" s="576">
        <f>WORKDAY.INTL(G23,0,1,Data!$C$3:$C$60)</f>
        <v>46077</v>
      </c>
      <c r="F24" s="577">
        <v>1</v>
      </c>
      <c r="G24" s="576">
        <f>WORKDAY.INTL(E24,F24,1,Data!$C$3:$C$60)</f>
        <v>46078</v>
      </c>
      <c r="H24" s="578"/>
      <c r="I24" s="576">
        <f>WORKDAY.INTL(K23,0,1,Data!$C$3:$C$60)</f>
        <v>46104</v>
      </c>
      <c r="J24" s="577">
        <v>1</v>
      </c>
      <c r="K24" s="576">
        <f>WORKDAY.INTL(I24,J24,1,Data!$C$3:$C$60)</f>
        <v>46105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194</v>
      </c>
      <c r="C25" s="158" t="s">
        <v>195</v>
      </c>
      <c r="D25" s="126"/>
      <c r="E25" s="576">
        <f>WORKDAY.INTL(E15,0,1,Data!$C$3:$C$60)-14</f>
        <v>46050</v>
      </c>
      <c r="F25" s="577">
        <v>30</v>
      </c>
      <c r="G25" s="576">
        <f>WORKDAY.INTL(E25,F25,1,Data!$C$3:$C$60)</f>
        <v>46092</v>
      </c>
      <c r="H25" s="578"/>
      <c r="I25" s="576">
        <f>WORKDAY.INTL(I15,0,1,Data!$C$3:$C$60)-14</f>
        <v>46071</v>
      </c>
      <c r="J25" s="577">
        <v>30</v>
      </c>
      <c r="K25" s="576">
        <f>WORKDAY.INTL(I25,J25,1,Data!$C$3:$C$60)</f>
        <v>46113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196</v>
      </c>
      <c r="C26" s="158" t="s">
        <v>433</v>
      </c>
      <c r="D26" s="126"/>
      <c r="E26" s="576">
        <f>E24</f>
        <v>46077</v>
      </c>
      <c r="F26" s="577">
        <v>1</v>
      </c>
      <c r="G26" s="576">
        <f>G23</f>
        <v>46077</v>
      </c>
      <c r="H26" s="578"/>
      <c r="I26" s="576">
        <f>I24</f>
        <v>46104</v>
      </c>
      <c r="J26" s="577">
        <v>1</v>
      </c>
      <c r="K26" s="576">
        <f>K23</f>
        <v>46104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197</v>
      </c>
      <c r="C27" s="158" t="s">
        <v>439</v>
      </c>
      <c r="D27" s="126"/>
      <c r="E27" s="576">
        <f>WORKDAY.INTL(G25,0,1,Data!$C$3:$C$60)</f>
        <v>46092</v>
      </c>
      <c r="F27" s="577">
        <v>8</v>
      </c>
      <c r="G27" s="576">
        <f>WORKDAY.INTL(E27,F27,1,Data!$C$3:$C$60)</f>
        <v>46104</v>
      </c>
      <c r="H27" s="578"/>
      <c r="I27" s="576">
        <f>WORKDAY.INTL(K25,0,1,Data!$C$3:$C$60)</f>
        <v>46113</v>
      </c>
      <c r="J27" s="577">
        <v>10</v>
      </c>
      <c r="K27" s="576">
        <f>WORKDAY.INTL(I27,J27,1,Data!$C$3:$C$60)</f>
        <v>46129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434</v>
      </c>
      <c r="C28" s="158" t="s">
        <v>436</v>
      </c>
      <c r="D28" s="126"/>
      <c r="E28" s="576"/>
      <c r="F28" s="577"/>
      <c r="G28" s="576"/>
      <c r="H28" s="578"/>
      <c r="I28" s="576">
        <f>WORKDAY.INTL(K27,0,1,Data!$C$3:$C$60)</f>
        <v>46129</v>
      </c>
      <c r="J28" s="577">
        <v>2</v>
      </c>
      <c r="K28" s="576">
        <f>WORKDAY.INTL(I28,J28,1,Data!$C$3:$C$60)</f>
        <v>46133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440</v>
      </c>
      <c r="C29" s="158" t="s">
        <v>437</v>
      </c>
      <c r="D29" s="126"/>
      <c r="E29" s="576"/>
      <c r="F29" s="577"/>
      <c r="G29" s="576"/>
      <c r="H29" s="578"/>
      <c r="I29" s="576">
        <f>K25</f>
        <v>46113</v>
      </c>
      <c r="J29" s="577">
        <v>12</v>
      </c>
      <c r="K29" s="576">
        <f>WORKDAY.INTL(I29,J29,1,Data!$C$3:$C$60)</f>
        <v>46133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441</v>
      </c>
      <c r="C30" s="158" t="s">
        <v>438</v>
      </c>
      <c r="D30" s="126"/>
      <c r="E30" s="576">
        <f>WORKDAY.INTL(E27,0,1,Data!$C$3:$C$60)</f>
        <v>46092</v>
      </c>
      <c r="F30" s="577">
        <v>1</v>
      </c>
      <c r="G30" s="576">
        <f>WORKDAY.INTL(E30,F30,1,Data!$C$3:$C$60)</f>
        <v>46093</v>
      </c>
      <c r="H30" s="578"/>
      <c r="I30" s="576">
        <f>K29</f>
        <v>46133</v>
      </c>
      <c r="J30" s="577">
        <v>1</v>
      </c>
      <c r="K30" s="576">
        <f>WORKDAY.INTL(I30,J30,1,Data!$C$3:$C$60)</f>
        <v>46134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198</v>
      </c>
      <c r="D32" s="130"/>
      <c r="E32" s="571">
        <f>MIN(E34:E38)</f>
        <v>46076</v>
      </c>
      <c r="F32" s="572">
        <f>G32-E32</f>
        <v>23</v>
      </c>
      <c r="G32" s="571">
        <f>MAX(G34:G38)</f>
        <v>46099</v>
      </c>
      <c r="H32" s="581"/>
      <c r="I32" s="571">
        <f>MIN(I34:I38)</f>
        <v>46103</v>
      </c>
      <c r="J32" s="572">
        <f>K32-I32</f>
        <v>25</v>
      </c>
      <c r="K32" s="571">
        <f>MAX(K34:K38)</f>
        <v>46128</v>
      </c>
      <c r="L32" s="574"/>
      <c r="M32" s="575">
        <f>(J34*M34+J35*M35+J37*M37)/SUM(J34:J37)</f>
        <v>0</v>
      </c>
      <c r="N32" s="575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199</v>
      </c>
      <c r="C34" s="158" t="s">
        <v>200</v>
      </c>
      <c r="D34" s="126"/>
      <c r="E34" s="576">
        <f>E20</f>
        <v>46076</v>
      </c>
      <c r="F34" s="577">
        <v>1</v>
      </c>
      <c r="G34" s="576">
        <f>WORKDAY.INTL(E34,F34,1,Data!$C$3:$C$60)</f>
        <v>46077</v>
      </c>
      <c r="H34" s="578"/>
      <c r="I34" s="576">
        <f>I20</f>
        <v>46103</v>
      </c>
      <c r="J34" s="577">
        <v>1</v>
      </c>
      <c r="K34" s="576">
        <f>WORKDAY.INTL(I34,J34,1,Data!$C$3:$C$60)</f>
        <v>46104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201</v>
      </c>
      <c r="C35" s="158" t="s">
        <v>202</v>
      </c>
      <c r="D35" s="126"/>
      <c r="E35" s="576">
        <f>WORKDAY.INTL(G34,0,1,Data!$C$3:$C$60)</f>
        <v>46077</v>
      </c>
      <c r="F35" s="577">
        <v>3</v>
      </c>
      <c r="G35" s="576">
        <f>WORKDAY.INTL(E35,F35,1,Data!$C$3:$C$60)</f>
        <v>46080</v>
      </c>
      <c r="H35" s="578"/>
      <c r="I35" s="576">
        <f>WORKDAY.INTL(K34,0,1,Data!$C$3:$C$60)</f>
        <v>46104</v>
      </c>
      <c r="J35" s="577">
        <v>3</v>
      </c>
      <c r="K35" s="576">
        <f>WORKDAY.INTL(I35,J35,1,Data!$C$3:$C$60)</f>
        <v>46107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203</v>
      </c>
      <c r="C36" s="158" t="s">
        <v>204</v>
      </c>
      <c r="D36" s="126"/>
      <c r="E36" s="576">
        <f>E34</f>
        <v>46076</v>
      </c>
      <c r="F36" s="577">
        <v>1</v>
      </c>
      <c r="G36" s="576">
        <f>WORKDAY.INTL(E36,F36,1,Data!$C$3:$C$60)</f>
        <v>46077</v>
      </c>
      <c r="H36" s="578"/>
      <c r="I36" s="576">
        <f>WORKDAY.INTL(I20,0,1,Data!$C$3:$C$60)</f>
        <v>46103</v>
      </c>
      <c r="J36" s="577">
        <v>1</v>
      </c>
      <c r="K36" s="576">
        <f>WORKDAY.INTL(I36,J36,1,Data!$C$3:$C$60)</f>
        <v>46104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205</v>
      </c>
      <c r="C37" s="154" t="s">
        <v>206</v>
      </c>
      <c r="D37" s="126"/>
      <c r="E37" s="582">
        <f>WORKDAY.INTL(G41,0,1,Data!$C$3:$C$60)-3</f>
        <v>46090</v>
      </c>
      <c r="F37" s="577">
        <v>7</v>
      </c>
      <c r="G37" s="582">
        <f>WORKDAY.INTL(E37,F37,1,Data!$C$3:$C$60)</f>
        <v>46099</v>
      </c>
      <c r="H37" s="578"/>
      <c r="I37" s="582">
        <f>WORKDAY.INTL(K41,0,1,Data!$C$3:$C$60)-3</f>
        <v>46119</v>
      </c>
      <c r="J37" s="577">
        <v>7</v>
      </c>
      <c r="K37" s="582">
        <f>WORKDAY.INTL(I37,J37,1,Data!$C$3:$C$60)</f>
        <v>46128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207</v>
      </c>
      <c r="D39" s="130"/>
      <c r="E39" s="571">
        <f>MIN(E40:E42)</f>
        <v>46076</v>
      </c>
      <c r="F39" s="572">
        <f>G39-E39</f>
        <v>17</v>
      </c>
      <c r="G39" s="571">
        <f>MAX(G40:G42)</f>
        <v>46093</v>
      </c>
      <c r="H39" s="573"/>
      <c r="I39" s="571">
        <f>MIN(I40:I42)</f>
        <v>46103</v>
      </c>
      <c r="J39" s="572">
        <f>K39-I39</f>
        <v>19</v>
      </c>
      <c r="K39" s="571">
        <f>MAX(K40:K42)</f>
        <v>46122</v>
      </c>
      <c r="L39" s="574"/>
      <c r="M39" s="575">
        <f>(J40*M40+J41*M41)/SUM(J40:J41)</f>
        <v>0</v>
      </c>
      <c r="N39" s="575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208</v>
      </c>
      <c r="C40" s="158" t="s">
        <v>209</v>
      </c>
      <c r="D40" s="126"/>
      <c r="E40" s="582">
        <f>WORKDAY.INTL(E20,0,1,Data!$C$3:$C$60)</f>
        <v>46076</v>
      </c>
      <c r="F40" s="577">
        <v>1</v>
      </c>
      <c r="G40" s="576">
        <f>WORKDAY.INTL(E40,F40,1,Data!$C$3:$C$60)</f>
        <v>46077</v>
      </c>
      <c r="H40" s="578"/>
      <c r="I40" s="582">
        <f>WORKDAY.INTL(I20,0,1,Data!$C$3:$C$60)</f>
        <v>46103</v>
      </c>
      <c r="J40" s="577">
        <v>1</v>
      </c>
      <c r="K40" s="576">
        <f>WORKDAY.INTL(I40,J40,1,Data!$C$3:$C$60)</f>
        <v>46104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210</v>
      </c>
      <c r="C41" s="158" t="s">
        <v>211</v>
      </c>
      <c r="D41" s="126"/>
      <c r="E41" s="582">
        <f>G35</f>
        <v>46080</v>
      </c>
      <c r="F41" s="577">
        <v>9</v>
      </c>
      <c r="G41" s="576">
        <f>WORKDAY.INTL(E41,F41,1,Data!$C$3:$C$60)</f>
        <v>46093</v>
      </c>
      <c r="H41" s="578"/>
      <c r="I41" s="582">
        <f>K35</f>
        <v>46107</v>
      </c>
      <c r="J41" s="577">
        <v>9</v>
      </c>
      <c r="K41" s="576">
        <f>WORKDAY.INTL(I41,J41,1,Data!$C$3:$C$60)</f>
        <v>46122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212</v>
      </c>
      <c r="D43" s="130"/>
      <c r="E43" s="571">
        <f>MIN(E44:E47)</f>
        <v>46104</v>
      </c>
      <c r="F43" s="572">
        <f>G43-E43</f>
        <v>18</v>
      </c>
      <c r="G43" s="571">
        <f>MAX(G44:G47)</f>
        <v>46122</v>
      </c>
      <c r="H43" s="573"/>
      <c r="I43" s="571">
        <f>MIN(I44:I47)</f>
        <v>46134</v>
      </c>
      <c r="J43" s="572">
        <f>K43-I43</f>
        <v>19</v>
      </c>
      <c r="K43" s="571">
        <f>MAX(K44:K47)</f>
        <v>46153</v>
      </c>
      <c r="L43" s="574"/>
      <c r="M43" s="575">
        <f>(J44*M44+J45*M45+J46*M46)/SUM(J44:J46)</f>
        <v>0</v>
      </c>
      <c r="N43" s="575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213</v>
      </c>
      <c r="C44" s="154" t="s">
        <v>435</v>
      </c>
      <c r="D44" s="126"/>
      <c r="E44" s="582">
        <f>WORKDAY.INTL(MAX(G22,G32,G39),0,1,Data!$C$3:$C$60)</f>
        <v>46104</v>
      </c>
      <c r="F44" s="577">
        <v>1</v>
      </c>
      <c r="G44" s="582">
        <f>WORKDAY.INTL(E44,F44,1,Data!$C$3:$C$60)</f>
        <v>46105</v>
      </c>
      <c r="H44" s="578"/>
      <c r="I44" s="582">
        <f>WORKDAY.INTL(MAX(K22,K32,K39),0,1,Data!$C$3:$C$60)</f>
        <v>46134</v>
      </c>
      <c r="J44" s="577">
        <v>1</v>
      </c>
      <c r="K44" s="582">
        <f>WORKDAY.INTL(I44,J44,1,Data!$C$3:$C$60)</f>
        <v>46135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214</v>
      </c>
      <c r="C45" s="154" t="s">
        <v>442</v>
      </c>
      <c r="D45" s="126"/>
      <c r="E45" s="582">
        <f>WORKDAY.INTL(G44,0,1,Data!$C$3:$C$60)+7</f>
        <v>46112</v>
      </c>
      <c r="F45" s="577">
        <v>1</v>
      </c>
      <c r="G45" s="582">
        <f>WORKDAY.INTL(E45,F45,1,Data!$C$3:$C$60)</f>
        <v>46113</v>
      </c>
      <c r="H45" s="578"/>
      <c r="I45" s="582">
        <f>WORKDAY.INTL(K44,0,1,Data!$C$3:$C$60)+7</f>
        <v>46142</v>
      </c>
      <c r="J45" s="577">
        <v>1</v>
      </c>
      <c r="K45" s="582">
        <f>WORKDAY.INTL(I45,J45,1,Data!$C$3:$C$60)</f>
        <v>46146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215</v>
      </c>
      <c r="C46" s="154" t="s">
        <v>216</v>
      </c>
      <c r="D46" s="126"/>
      <c r="E46" s="582">
        <f>WORKDAY.INTL(G45,0,1,Data!$C$3:$C$60)</f>
        <v>46113</v>
      </c>
      <c r="F46" s="577">
        <v>5</v>
      </c>
      <c r="G46" s="582">
        <f>WORKDAY.INTL(E46,F46,1,Data!$C$3:$C$60)</f>
        <v>46122</v>
      </c>
      <c r="H46" s="578"/>
      <c r="I46" s="582">
        <f>WORKDAY.INTL(K45,0,1,Data!$C$3:$C$60)</f>
        <v>46146</v>
      </c>
      <c r="J46" s="577">
        <v>5</v>
      </c>
      <c r="K46" s="582">
        <f>WORKDAY.INTL(I46,J46,1,Data!$C$3:$C$60)</f>
        <v>46153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217</v>
      </c>
      <c r="D48" s="130"/>
      <c r="E48" s="571">
        <f>MIN(E49:E51)</f>
        <v>46113</v>
      </c>
      <c r="F48" s="572">
        <f>G48-E48</f>
        <v>12</v>
      </c>
      <c r="G48" s="571">
        <f>MAX(G49:G51)</f>
        <v>46125</v>
      </c>
      <c r="H48" s="573"/>
      <c r="I48" s="571">
        <f>MIN(I49:I51)</f>
        <v>46146</v>
      </c>
      <c r="J48" s="572">
        <f>K48-I48</f>
        <v>8</v>
      </c>
      <c r="K48" s="571">
        <f>MAX(K49:K51)</f>
        <v>46154</v>
      </c>
      <c r="L48" s="574"/>
      <c r="M48" s="575">
        <f>(J49*M49+J50*M50)/SUM(J49:J50)</f>
        <v>0</v>
      </c>
      <c r="N48" s="575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218</v>
      </c>
      <c r="C49" s="154" t="s">
        <v>219</v>
      </c>
      <c r="D49" s="126"/>
      <c r="E49" s="582">
        <f>WORKDAY.INTL(E46,0,1,Data!$C$3:$C$60)</f>
        <v>46113</v>
      </c>
      <c r="F49" s="577">
        <v>3</v>
      </c>
      <c r="G49" s="582">
        <f>WORKDAY.INTL(E49,F49,1,Data!$C$3:$C$60)</f>
        <v>46120</v>
      </c>
      <c r="H49" s="578"/>
      <c r="I49" s="582">
        <f>WORKDAY.INTL(I46,0,1,Data!$C$3:$C$60)</f>
        <v>46146</v>
      </c>
      <c r="J49" s="577">
        <v>3</v>
      </c>
      <c r="K49" s="582">
        <f>WORKDAY.INTL(I49,J49,1,Data!$C$3:$C$60)</f>
        <v>46149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220</v>
      </c>
      <c r="C50" s="154" t="s">
        <v>221</v>
      </c>
      <c r="D50" s="126"/>
      <c r="E50" s="582">
        <f>G49</f>
        <v>46120</v>
      </c>
      <c r="F50" s="577">
        <v>3</v>
      </c>
      <c r="G50" s="582">
        <f>WORKDAY.INTL(E50,F50,1,Data!$C$3:$C$60)</f>
        <v>46125</v>
      </c>
      <c r="H50" s="578"/>
      <c r="I50" s="582">
        <f>K49</f>
        <v>46149</v>
      </c>
      <c r="J50" s="577">
        <v>3</v>
      </c>
      <c r="K50" s="582">
        <f>WORKDAY.INTL(I50,J50,1,Data!$C$3:$C$60)</f>
        <v>46154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222</v>
      </c>
      <c r="D52" s="130"/>
      <c r="E52" s="571">
        <f>MIN(E53:E55)</f>
        <v>46120</v>
      </c>
      <c r="F52" s="572">
        <f>G52-E52</f>
        <v>13</v>
      </c>
      <c r="G52" s="571">
        <f>MAX(G53:G55)</f>
        <v>46133</v>
      </c>
      <c r="H52" s="573"/>
      <c r="I52" s="571">
        <f>MIN(I53:I55)</f>
        <v>46149</v>
      </c>
      <c r="J52" s="572">
        <f>K52-I52</f>
        <v>13</v>
      </c>
      <c r="K52" s="571">
        <f>MAX(K53:K55)</f>
        <v>46162</v>
      </c>
      <c r="L52" s="574"/>
      <c r="M52" s="575">
        <f>(J53*M53+J54*M54+J55*M55)/SUM(J53:J55)</f>
        <v>0</v>
      </c>
      <c r="N52" s="575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223</v>
      </c>
      <c r="C53" s="154" t="s">
        <v>224</v>
      </c>
      <c r="D53" s="126"/>
      <c r="E53" s="582">
        <f>WORKDAY.INTL(E50,0,1,Data!$C$3:$C$60)</f>
        <v>46120</v>
      </c>
      <c r="F53" s="577">
        <v>4</v>
      </c>
      <c r="G53" s="582">
        <f>WORKDAY.INTL(E53,F53,1,Data!$C$3:$C$60)</f>
        <v>46126</v>
      </c>
      <c r="H53" s="578"/>
      <c r="I53" s="582">
        <f>WORKDAY.INTL(I50,0,1,Data!$C$3:$C$60)</f>
        <v>46149</v>
      </c>
      <c r="J53" s="577">
        <v>4</v>
      </c>
      <c r="K53" s="582">
        <f>WORKDAY.INTL(I53,J53,1,Data!$C$3:$C$60)</f>
        <v>46155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225</v>
      </c>
      <c r="C54" s="154" t="s">
        <v>226</v>
      </c>
      <c r="D54" s="126"/>
      <c r="E54" s="582">
        <f>WORKDAY.INTL(G53,0,1,Data!$C$3:$C$60)</f>
        <v>46126</v>
      </c>
      <c r="F54" s="577">
        <v>1</v>
      </c>
      <c r="G54" s="582">
        <f>WORKDAY.INTL(E54,F54,1,Data!$C$3:$C$60)</f>
        <v>46127</v>
      </c>
      <c r="H54" s="578"/>
      <c r="I54" s="582">
        <f>WORKDAY.INTL(K53,0,1,Data!$C$3:$C$60)</f>
        <v>46155</v>
      </c>
      <c r="J54" s="577">
        <v>1</v>
      </c>
      <c r="K54" s="582">
        <f>WORKDAY.INTL(I54,J54,1,Data!$C$3:$C$60)</f>
        <v>46156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227</v>
      </c>
      <c r="C55" s="154" t="s">
        <v>228</v>
      </c>
      <c r="D55" s="126"/>
      <c r="E55" s="582">
        <f>WORKDAY.INTL(G53,0,1,Data!$C$3:$C$60)</f>
        <v>46126</v>
      </c>
      <c r="F55" s="577">
        <v>5</v>
      </c>
      <c r="G55" s="582">
        <f>WORKDAY.INTL(E55,F55,1,Data!$C$3:$C$60)</f>
        <v>46133</v>
      </c>
      <c r="H55" s="578"/>
      <c r="I55" s="582">
        <f>WORKDAY.INTL(K53,0,1,Data!$C$3:$C$60)</f>
        <v>46155</v>
      </c>
      <c r="J55" s="577">
        <v>5</v>
      </c>
      <c r="K55" s="582">
        <f>WORKDAY.INTL(I55,J55,1,Data!$C$3:$C$60)</f>
        <v>46162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zoomScale="93" zoomScaleNormal="130" workbookViewId="0">
      <selection activeCell="I13" sqref="I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089843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4.453125" style="43" customWidth="1"/>
    <col min="20" max="20" width="18.81640625" style="43" bestFit="1" customWidth="1"/>
    <col min="21" max="21" width="14.1796875" style="24" bestFit="1" customWidth="1"/>
    <col min="22" max="22" width="8.453125" style="24" bestFit="1" customWidth="1"/>
    <col min="23" max="23" width="14.81640625" style="24" bestFit="1" customWidth="1"/>
    <col min="24" max="24" width="5.179687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179687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115</v>
      </c>
      <c r="U2" s="624" t="s">
        <v>116</v>
      </c>
      <c r="V2" s="624" t="s">
        <v>117</v>
      </c>
      <c r="W2" s="624" t="s">
        <v>118</v>
      </c>
    </row>
    <row r="3" spans="1:41" s="24" customFormat="1" ht="13">
      <c r="B3" s="31"/>
      <c r="D3" s="39" t="s">
        <v>119</v>
      </c>
      <c r="F3" s="39" t="s">
        <v>120</v>
      </c>
      <c r="J3" s="53"/>
      <c r="L3" s="310" t="s">
        <v>121</v>
      </c>
      <c r="N3" s="310" t="s">
        <v>122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4119606.8571272362</v>
      </c>
      <c r="U3" s="625">
        <f>SUMIFS('Expenditure Breakdown'!$Q:$Q,
        'Expenditure Breakdown'!$T:$T, "&gt;"&amp;DATE(2025,8,31),
        'Expenditure Breakdown'!$T:$T, "&lt;="&amp;DATE(2026,8,31))</f>
        <v>3300331.7862454918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123</v>
      </c>
      <c r="D4" s="258">
        <f>'Project Plan'!E6</f>
        <v>4119606.8571272362</v>
      </c>
      <c r="E4" s="259"/>
      <c r="F4" s="258">
        <f>F26</f>
        <v>5149508.5714090457</v>
      </c>
      <c r="J4" s="53"/>
      <c r="L4" s="276"/>
      <c r="N4" s="276" t="s">
        <v>124</v>
      </c>
      <c r="Q4" s="44"/>
      <c r="S4" s="53"/>
    </row>
    <row r="5" spans="1:41" s="24" customFormat="1" ht="15" customHeight="1">
      <c r="B5" s="256">
        <v>2</v>
      </c>
      <c r="C5" s="257" t="s">
        <v>125</v>
      </c>
      <c r="D5" s="258">
        <f>+'Expenditure Tracking'!F5</f>
        <v>3462114.9011195651</v>
      </c>
      <c r="E5" s="259"/>
      <c r="F5" s="258">
        <f>+'Expenditure Tracking'!H5</f>
        <v>3300331.7862454923</v>
      </c>
      <c r="G5" s="636" t="s">
        <v>443</v>
      </c>
      <c r="H5" s="636" t="s">
        <v>444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126</v>
      </c>
      <c r="D6" s="258">
        <f>+D4-D5</f>
        <v>657491.95600767108</v>
      </c>
      <c r="E6" s="259"/>
      <c r="F6" s="258">
        <f>+F4-F5</f>
        <v>1849176.7851635534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127</v>
      </c>
      <c r="S6" s="53"/>
    </row>
    <row r="7" spans="1:41" s="24" customFormat="1" ht="15" customHeight="1" thickBot="1">
      <c r="B7" s="256">
        <v>4</v>
      </c>
      <c r="C7" s="257" t="s">
        <v>128</v>
      </c>
      <c r="D7" s="260">
        <f>+D6/D4</f>
        <v>0.15960065579320015</v>
      </c>
      <c r="E7" s="259"/>
      <c r="F7" s="260">
        <f>+F6/F4</f>
        <v>0.35909771962134407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129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130</v>
      </c>
      <c r="C12" s="47" t="s">
        <v>131</v>
      </c>
      <c r="D12" s="48"/>
      <c r="E12" s="46" t="s">
        <v>132</v>
      </c>
      <c r="F12" s="46" t="s">
        <v>133</v>
      </c>
      <c r="H12" s="261" t="s">
        <v>134</v>
      </c>
      <c r="J12" s="53"/>
      <c r="L12" s="78" t="s">
        <v>135</v>
      </c>
      <c r="M12" s="49"/>
      <c r="N12" s="78" t="s">
        <v>136</v>
      </c>
      <c r="O12" s="49"/>
      <c r="P12" s="78" t="s">
        <v>137</v>
      </c>
      <c r="R12" s="279" t="s">
        <v>138</v>
      </c>
      <c r="S12" s="53"/>
    </row>
    <row r="13" spans="1:41" s="24" customFormat="1" ht="13">
      <c r="B13" s="589">
        <v>1</v>
      </c>
      <c r="C13" s="637" t="s">
        <v>139</v>
      </c>
      <c r="D13" s="638"/>
      <c r="E13" s="590">
        <v>0.4</v>
      </c>
      <c r="F13" s="591">
        <f>$D$4*E13</f>
        <v>1647842.7428508946</v>
      </c>
      <c r="G13" s="592"/>
      <c r="H13" s="593">
        <v>46081</v>
      </c>
      <c r="I13" s="594"/>
      <c r="J13" s="595"/>
      <c r="K13" s="594"/>
      <c r="L13" s="596"/>
      <c r="M13" s="594"/>
      <c r="N13" s="593"/>
      <c r="O13" s="597"/>
      <c r="P13" s="598">
        <v>46081</v>
      </c>
      <c r="R13" s="86" t="s">
        <v>448</v>
      </c>
      <c r="S13" s="53"/>
      <c r="AO13" s="525">
        <f>'Change Register'!$Q$14+ 7</f>
        <v>7</v>
      </c>
    </row>
    <row r="14" spans="1:41" s="24" customFormat="1" ht="12.5">
      <c r="B14" s="599">
        <v>2</v>
      </c>
      <c r="C14" s="637" t="s">
        <v>140</v>
      </c>
      <c r="D14" s="638"/>
      <c r="E14" s="590">
        <v>0.2</v>
      </c>
      <c r="F14" s="591">
        <f>$D$4*E14</f>
        <v>823921.37142544729</v>
      </c>
      <c r="G14" s="600"/>
      <c r="H14" s="593">
        <f>'Project Plan'!E40+7</f>
        <v>46083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46110</v>
      </c>
      <c r="R14" s="280"/>
      <c r="S14" s="53"/>
    </row>
    <row r="15" spans="1:41" s="24" customFormat="1" ht="12.5">
      <c r="B15" s="589">
        <v>3</v>
      </c>
      <c r="C15" s="637" t="s">
        <v>141</v>
      </c>
      <c r="D15" s="638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46083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46111</v>
      </c>
      <c r="R15" s="280"/>
      <c r="S15" s="53"/>
    </row>
    <row r="16" spans="1:41" s="24" customFormat="1" ht="12.5">
      <c r="B16" s="599">
        <v>4</v>
      </c>
      <c r="C16" s="639" t="s">
        <v>428</v>
      </c>
      <c r="D16" s="640"/>
      <c r="E16" s="590">
        <v>0.05</v>
      </c>
      <c r="F16" s="591">
        <f t="shared" si="0"/>
        <v>205980.34285636182</v>
      </c>
      <c r="G16" s="600"/>
      <c r="H16" s="593">
        <f>'Project Plan'!E26+7</f>
        <v>46084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46111</v>
      </c>
      <c r="R16" s="280"/>
      <c r="S16" s="53"/>
    </row>
    <row r="17" spans="2:19" s="24" customFormat="1" ht="12.5">
      <c r="B17" s="589">
        <v>5</v>
      </c>
      <c r="C17" s="639" t="s">
        <v>429</v>
      </c>
      <c r="D17" s="640"/>
      <c r="E17" s="590">
        <v>0.4</v>
      </c>
      <c r="F17" s="591">
        <f t="shared" si="0"/>
        <v>1647842.7428508946</v>
      </c>
      <c r="G17" s="600"/>
      <c r="H17" s="593">
        <f>'Project Plan'!E44+7</f>
        <v>46111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46141</v>
      </c>
      <c r="R17" s="280"/>
      <c r="S17" s="53"/>
    </row>
    <row r="18" spans="2:19" s="24" customFormat="1" ht="12.5">
      <c r="B18" s="599">
        <v>6</v>
      </c>
      <c r="C18" s="639" t="s">
        <v>430</v>
      </c>
      <c r="D18" s="640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46119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46149</v>
      </c>
      <c r="R18" s="280"/>
      <c r="S18" s="53"/>
    </row>
    <row r="19" spans="2:19" s="24" customFormat="1" ht="12.5">
      <c r="B19" s="589">
        <v>7</v>
      </c>
      <c r="C19" s="639" t="s">
        <v>431</v>
      </c>
      <c r="D19" s="640"/>
      <c r="E19" s="590">
        <v>0.05</v>
      </c>
      <c r="F19" s="591">
        <f t="shared" si="0"/>
        <v>205980.34285636182</v>
      </c>
      <c r="G19" s="600"/>
      <c r="H19" s="593">
        <f>'Project Plan'!G54+7</f>
        <v>46134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46169</v>
      </c>
      <c r="R19" s="280"/>
      <c r="S19" s="53"/>
    </row>
    <row r="20" spans="2:19" s="24" customFormat="1" ht="12.5">
      <c r="B20" s="599">
        <v>8</v>
      </c>
      <c r="C20" s="639" t="s">
        <v>432</v>
      </c>
      <c r="D20" s="640"/>
      <c r="E20" s="635">
        <v>2.5000000000000001E-2</v>
      </c>
      <c r="F20" s="591">
        <f t="shared" si="0"/>
        <v>102990.17142818091</v>
      </c>
      <c r="G20" s="600"/>
      <c r="H20" s="593">
        <f>H19</f>
        <v>46134</v>
      </c>
      <c r="I20" s="594"/>
      <c r="J20" s="595"/>
      <c r="K20" s="594"/>
      <c r="L20" s="596"/>
      <c r="M20" s="594"/>
      <c r="N20" s="593"/>
      <c r="O20" s="594"/>
      <c r="P20" s="598">
        <f>P19</f>
        <v>46169</v>
      </c>
      <c r="R20" s="280"/>
      <c r="S20" s="53"/>
    </row>
    <row r="21" spans="2:19" s="24" customFormat="1" ht="12.5">
      <c r="B21" s="589">
        <v>9</v>
      </c>
      <c r="C21" s="639" t="s">
        <v>143</v>
      </c>
      <c r="D21" s="640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5">
      <c r="B22" s="599">
        <v>10</v>
      </c>
      <c r="C22" s="639" t="s">
        <v>143</v>
      </c>
      <c r="D22" s="640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5">
      <c r="B23" s="589">
        <v>11</v>
      </c>
      <c r="C23" s="639" t="s">
        <v>143</v>
      </c>
      <c r="D23" s="640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5">
      <c r="B24" s="599">
        <v>12</v>
      </c>
      <c r="C24" s="637" t="s">
        <v>143</v>
      </c>
      <c r="D24" s="638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">
      <c r="B26" s="31"/>
      <c r="E26" s="263">
        <f>SUM(E13:E24)</f>
        <v>1.25</v>
      </c>
      <c r="F26" s="264">
        <f>SUM(F13:F24)</f>
        <v>5149508.5714090457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144</v>
      </c>
      <c r="C28" s="57" t="s">
        <v>145</v>
      </c>
      <c r="D28" s="57"/>
      <c r="F28" s="58"/>
      <c r="H28" s="30"/>
    </row>
    <row r="29" spans="2:19" s="24" customFormat="1" ht="12.5">
      <c r="C29" s="59" t="s">
        <v>146</v>
      </c>
      <c r="D29" s="60"/>
      <c r="F29" s="61"/>
    </row>
    <row r="30" spans="2:19" s="24" customFormat="1" ht="12.5">
      <c r="C30" s="59" t="s">
        <v>147</v>
      </c>
      <c r="D30" s="60"/>
    </row>
    <row r="31" spans="2:19" s="24" customFormat="1" ht="12.5">
      <c r="C31" s="62" t="s">
        <v>148</v>
      </c>
      <c r="D31" s="63"/>
    </row>
    <row r="32" spans="2:19" s="24" customFormat="1" ht="12.5">
      <c r="C32" s="64" t="s">
        <v>149</v>
      </c>
      <c r="D32" s="60"/>
    </row>
    <row r="33" spans="2:14" s="24" customFormat="1" ht="12.5">
      <c r="B33" s="31"/>
      <c r="C33" s="64" t="s">
        <v>150</v>
      </c>
      <c r="D33" s="60"/>
    </row>
    <row r="34" spans="2:14" s="24" customFormat="1" ht="12.5">
      <c r="B34" s="31"/>
      <c r="C34" s="24" t="s">
        <v>151</v>
      </c>
    </row>
    <row r="35" spans="2:14" s="24" customFormat="1" ht="27.75" customHeight="1">
      <c r="B35" s="31"/>
      <c r="C35" s="65" t="s">
        <v>152</v>
      </c>
      <c r="D35" s="65"/>
      <c r="F35" s="61"/>
    </row>
    <row r="36" spans="2:14" s="24" customFormat="1" ht="12.5">
      <c r="B36" s="31"/>
      <c r="F36" s="58"/>
      <c r="N36" s="543"/>
    </row>
    <row r="37" spans="2:14" s="24" customFormat="1" ht="12.5">
      <c r="B37" s="31"/>
      <c r="F37" s="58"/>
    </row>
    <row r="38" spans="2:14" s="24" customFormat="1" ht="12.5">
      <c r="B38" s="31"/>
      <c r="F38" s="58"/>
    </row>
    <row r="39" spans="2:14" s="24" customFormat="1" ht="12.5">
      <c r="B39" s="31"/>
      <c r="F39" s="58"/>
    </row>
    <row r="40" spans="2:14" s="24" customFormat="1" ht="12.5">
      <c r="B40" s="31"/>
    </row>
    <row r="41" spans="2:14" s="24" customFormat="1" ht="12.5">
      <c r="B41" s="31"/>
    </row>
    <row r="42" spans="2:14" s="24" customFormat="1" ht="12.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130</v>
      </c>
      <c r="C45" s="47" t="s">
        <v>131</v>
      </c>
      <c r="D45" s="48"/>
      <c r="E45" s="46" t="s">
        <v>132</v>
      </c>
      <c r="F45" s="46" t="s">
        <v>133</v>
      </c>
    </row>
    <row r="46" spans="2:14" s="24" customFormat="1" ht="12.75" hidden="1" customHeight="1">
      <c r="B46" s="66">
        <v>1</v>
      </c>
      <c r="C46" s="67" t="s">
        <v>153</v>
      </c>
      <c r="D46" s="67"/>
      <c r="E46" s="50">
        <v>0.35</v>
      </c>
      <c r="F46" s="51">
        <f>$F$52*E46</f>
        <v>1802327.999993166</v>
      </c>
    </row>
    <row r="47" spans="2:14" s="24" customFormat="1" ht="12.75" hidden="1" customHeight="1">
      <c r="B47" s="66">
        <v>2</v>
      </c>
      <c r="C47" s="67" t="s">
        <v>140</v>
      </c>
      <c r="D47" s="67"/>
      <c r="E47" s="50">
        <v>0.3</v>
      </c>
      <c r="F47" s="51">
        <f t="shared" ref="F47:F50" si="2">$F$52*E47</f>
        <v>1544852.5714227136</v>
      </c>
    </row>
    <row r="48" spans="2:14" s="24" customFormat="1" ht="12.75" hidden="1" customHeight="1">
      <c r="B48" s="66">
        <v>3</v>
      </c>
      <c r="C48" s="67" t="s">
        <v>141</v>
      </c>
      <c r="D48" s="67"/>
      <c r="E48" s="50">
        <v>0.2</v>
      </c>
      <c r="F48" s="51">
        <f t="shared" si="2"/>
        <v>1029901.7142818092</v>
      </c>
    </row>
    <row r="49" spans="2:6" s="24" customFormat="1" ht="12.75" hidden="1" customHeight="1">
      <c r="B49" s="66">
        <v>4</v>
      </c>
      <c r="C49" s="67" t="s">
        <v>154</v>
      </c>
      <c r="D49" s="67"/>
      <c r="E49" s="50">
        <v>0.1</v>
      </c>
      <c r="F49" s="51">
        <f t="shared" si="2"/>
        <v>514950.85714090458</v>
      </c>
    </row>
    <row r="50" spans="2:6" s="24" customFormat="1" ht="13.5" hidden="1" customHeight="1" thickBot="1">
      <c r="B50" s="68">
        <v>5</v>
      </c>
      <c r="C50" s="69" t="s">
        <v>142</v>
      </c>
      <c r="D50" s="69"/>
      <c r="E50" s="70">
        <v>0.05</v>
      </c>
      <c r="F50" s="71">
        <f t="shared" si="2"/>
        <v>257475.42857045229</v>
      </c>
    </row>
    <row r="51" spans="2:6" s="24" customFormat="1" ht="13.5" hidden="1" customHeight="1" thickBot="1">
      <c r="B51" s="72"/>
      <c r="C51" s="73" t="s">
        <v>155</v>
      </c>
      <c r="D51" s="73"/>
      <c r="E51" s="74">
        <f>SUM(E46:E50)</f>
        <v>0.99999999999999989</v>
      </c>
      <c r="F51" s="75">
        <f>SUM(F46:F50)</f>
        <v>5149508.5714090457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5149508.5714090457</v>
      </c>
    </row>
    <row r="53" spans="2:6" s="24" customFormat="1" ht="12.75" hidden="1" customHeight="1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13:D13"/>
    <mergeCell ref="C18:D18"/>
    <mergeCell ref="C19:D19"/>
    <mergeCell ref="C20:D20"/>
    <mergeCell ref="C21:D21"/>
    <mergeCell ref="C16:D16"/>
    <mergeCell ref="C24:D24"/>
    <mergeCell ref="C14:D14"/>
    <mergeCell ref="C15:D15"/>
    <mergeCell ref="C17:D17"/>
    <mergeCell ref="C23:D23"/>
    <mergeCell ref="C22:D22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25:XFD1048576 A13:B13 G13 I13:K13 Q13 A14:B14 G14 A15 F15:G15 O13 A16 A17 F16:G16 F17:G17 I16:O16 I17:O17 Q16:XFD16 Q17:XFD17 Q14:XFD14 Q15:XFD15 I14:K14 I15:O15 O14 A2:S3 X2:XFD3 A23:A24 C23:XFD24 S13:XFD1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229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8"/>
      <c r="C4" s="668"/>
      <c r="D4" s="668"/>
      <c r="E4" s="313"/>
      <c r="F4" s="131" t="s">
        <v>119</v>
      </c>
      <c r="G4" s="126"/>
      <c r="H4" s="131" t="s">
        <v>120</v>
      </c>
      <c r="I4" s="126"/>
      <c r="J4" s="132" t="s">
        <v>230</v>
      </c>
      <c r="K4" s="26"/>
      <c r="L4" s="26"/>
    </row>
    <row r="5" spans="1:12" ht="14.5" thickBot="1">
      <c r="A5" s="126"/>
      <c r="B5" s="669" t="s">
        <v>231</v>
      </c>
      <c r="C5" s="669"/>
      <c r="D5" s="669"/>
      <c r="E5" s="313"/>
      <c r="F5" s="133">
        <f>SUM(F9:F23)</f>
        <v>3462114.9011195651</v>
      </c>
      <c r="G5" s="128"/>
      <c r="H5" s="133">
        <f>SUM(H9:H23)</f>
        <v>3300331.7862454923</v>
      </c>
      <c r="I5" s="126"/>
      <c r="J5" s="134">
        <f>SUM(J9:J23)</f>
        <v>161783.1148740731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130</v>
      </c>
      <c r="C7" s="137"/>
      <c r="D7" s="136" t="s">
        <v>78</v>
      </c>
      <c r="E7" s="137"/>
      <c r="F7" s="138" t="s">
        <v>232</v>
      </c>
      <c r="G7" s="139"/>
      <c r="H7" s="138" t="s">
        <v>233</v>
      </c>
      <c r="I7" s="139"/>
      <c r="J7" s="138" t="s">
        <v>234</v>
      </c>
      <c r="K7" s="84"/>
      <c r="L7" s="29" t="s">
        <v>235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252150.6</v>
      </c>
      <c r="I10" s="23"/>
      <c r="J10" s="143">
        <f t="shared" si="0"/>
        <v>-48000.600000000006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219321.68000000005</v>
      </c>
      <c r="I12" s="23"/>
      <c r="J12" s="143">
        <f t="shared" si="0"/>
        <v>4379.1199999999371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156000</v>
      </c>
      <c r="I13" s="23"/>
      <c r="J13" s="143">
        <f t="shared" si="0"/>
        <v>18000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392097.37608695694</v>
      </c>
      <c r="I14" s="23"/>
      <c r="J14" s="143">
        <f t="shared" si="0"/>
        <v>21299.349999999569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446452.99999999994</v>
      </c>
      <c r="I15" s="23"/>
      <c r="J15" s="143">
        <f t="shared" si="0"/>
        <v>84840.913043478329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343628.00000000006</v>
      </c>
      <c r="I17" s="23"/>
      <c r="J17" s="143">
        <f t="shared" si="0"/>
        <v>-9948.0000000000582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45434.544444444451</v>
      </c>
      <c r="I18" s="23"/>
      <c r="J18" s="143">
        <f t="shared" si="0"/>
        <v>3782.5666666666584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85577.5</v>
      </c>
      <c r="I19" s="23"/>
      <c r="J19" s="143">
        <f t="shared" si="0"/>
        <v>33406.5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236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opLeftCell="N1" zoomScale="76" zoomScaleNormal="85" workbookViewId="0">
      <pane ySplit="4" topLeftCell="A5" activePane="bottomLeft" state="frozen"/>
      <selection activeCell="X33" sqref="X33"/>
      <selection pane="bottomLeft" activeCell="Q9" sqref="Q9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60.816406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89.54296875" style="26" bestFit="1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0" t="s">
        <v>237</v>
      </c>
      <c r="C2" s="671"/>
      <c r="D2" s="671"/>
      <c r="E2" s="671"/>
      <c r="F2" s="671"/>
      <c r="G2" s="671"/>
      <c r="H2" s="395"/>
      <c r="I2" s="162">
        <f>SUM(I6:I165)</f>
        <v>3462114.9011195651</v>
      </c>
      <c r="J2" s="162">
        <f>SUM(J6:J165)</f>
        <v>4119606.8571272367</v>
      </c>
      <c r="L2" s="672" t="s">
        <v>238</v>
      </c>
      <c r="M2" s="673"/>
      <c r="N2" s="673"/>
      <c r="O2" s="673"/>
      <c r="P2" s="673"/>
      <c r="Q2" s="673"/>
      <c r="R2" s="680" t="s">
        <v>239</v>
      </c>
      <c r="S2" s="681"/>
      <c r="T2" s="681"/>
      <c r="U2" s="681"/>
      <c r="V2" s="681"/>
      <c r="W2" s="682"/>
      <c r="X2" s="162">
        <f>SUM(X6:X165)</f>
        <v>3300331.7862454923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240</v>
      </c>
      <c r="C4" s="164" t="s">
        <v>241</v>
      </c>
      <c r="D4" s="164" t="s">
        <v>242</v>
      </c>
      <c r="E4" s="164" t="s">
        <v>243</v>
      </c>
      <c r="F4" s="363" t="s">
        <v>244</v>
      </c>
      <c r="G4" s="165" t="s">
        <v>245</v>
      </c>
      <c r="H4" s="273" t="s">
        <v>246</v>
      </c>
      <c r="I4" s="166" t="s">
        <v>247</v>
      </c>
      <c r="J4" s="166" t="str">
        <f>IF(J2-'Revenue Tracking'!D4&gt;=0, "Total Revenue", "ERROR on REV" )</f>
        <v>Total Revenue</v>
      </c>
      <c r="K4" s="77"/>
      <c r="L4" s="163" t="s">
        <v>240</v>
      </c>
      <c r="M4" s="164" t="s">
        <v>248</v>
      </c>
      <c r="N4" s="164" t="s">
        <v>242</v>
      </c>
      <c r="O4" s="164" t="s">
        <v>243</v>
      </c>
      <c r="P4" s="363" t="s">
        <v>244</v>
      </c>
      <c r="Q4" s="274" t="s">
        <v>249</v>
      </c>
      <c r="R4" s="496" t="s">
        <v>250</v>
      </c>
      <c r="S4" s="497" t="s">
        <v>135</v>
      </c>
      <c r="T4" s="521" t="s">
        <v>136</v>
      </c>
      <c r="U4" s="522" t="s">
        <v>251</v>
      </c>
      <c r="V4" s="274" t="s">
        <v>252</v>
      </c>
      <c r="W4" s="521" t="s">
        <v>253</v>
      </c>
      <c r="X4" s="166" t="s">
        <v>247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254</v>
      </c>
      <c r="D6" s="186" t="s">
        <v>255</v>
      </c>
      <c r="E6" s="187"/>
      <c r="F6" s="336"/>
      <c r="G6" s="292">
        <f>D166</f>
        <v>934547.91999999993</v>
      </c>
      <c r="H6" s="550">
        <f>'Project Plan'!E40+60</f>
        <v>46136</v>
      </c>
      <c r="I6" s="674">
        <f>SUM(G6:G11)</f>
        <v>934547.91999999993</v>
      </c>
      <c r="J6" s="677">
        <f>F166</f>
        <v>1139692.5853658535</v>
      </c>
      <c r="K6" s="289"/>
      <c r="L6" s="185">
        <v>1</v>
      </c>
      <c r="M6" s="316" t="s">
        <v>256</v>
      </c>
      <c r="N6" s="186" t="s">
        <v>416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46112</v>
      </c>
      <c r="U6" s="397">
        <f t="shared" ref="U6:U11" si="0">(Q6/$X$6*$J$6)</f>
        <v>1139692.5853658535</v>
      </c>
      <c r="V6" s="689">
        <f>J6-SUM(U6:U11)</f>
        <v>0</v>
      </c>
      <c r="W6" s="452">
        <f>'Project Plan'!I40+60</f>
        <v>46163</v>
      </c>
      <c r="X6" s="674">
        <f>SUM(Q6:Q11)</f>
        <v>987000.00000000012</v>
      </c>
    </row>
    <row r="7" spans="1:76" ht="15" customHeight="1">
      <c r="B7" s="215">
        <v>1</v>
      </c>
      <c r="C7" s="317"/>
      <c r="D7" s="290" t="s">
        <v>257</v>
      </c>
      <c r="E7" s="291"/>
      <c r="F7" s="357"/>
      <c r="G7" s="219"/>
      <c r="H7" s="541"/>
      <c r="I7" s="675"/>
      <c r="J7" s="678"/>
      <c r="K7" s="192"/>
      <c r="L7" s="215">
        <v>1</v>
      </c>
      <c r="M7" s="217" t="s">
        <v>256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90"/>
      <c r="W7" s="453"/>
      <c r="X7" s="675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5"/>
      <c r="J8" s="678"/>
      <c r="K8" s="192"/>
      <c r="L8" s="215">
        <v>1</v>
      </c>
      <c r="M8" s="217" t="s">
        <v>256</v>
      </c>
      <c r="N8" s="379"/>
      <c r="O8" s="434"/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90"/>
      <c r="W8" s="453"/>
      <c r="X8" s="675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5"/>
      <c r="J9" s="678"/>
      <c r="K9" s="192"/>
      <c r="L9" s="215">
        <v>1</v>
      </c>
      <c r="M9" s="217" t="s">
        <v>256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90"/>
      <c r="W9" s="454"/>
      <c r="X9" s="67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5"/>
      <c r="J10" s="678"/>
      <c r="K10" s="192"/>
      <c r="L10" s="215">
        <v>1</v>
      </c>
      <c r="M10" s="217" t="s">
        <v>256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90"/>
      <c r="W10" s="454"/>
      <c r="X10" s="67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6"/>
      <c r="J11" s="679"/>
      <c r="K11" s="193"/>
      <c r="L11" s="220">
        <v>1</v>
      </c>
      <c r="M11" s="318" t="s">
        <v>256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91"/>
      <c r="W11" s="455"/>
      <c r="X11" s="676"/>
      <c r="Y11" s="607" t="s">
        <v>258</v>
      </c>
      <c r="Z11" s="486" t="s">
        <v>259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260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84</v>
      </c>
      <c r="D13" s="223" t="s">
        <v>398</v>
      </c>
      <c r="E13" s="268"/>
      <c r="F13" s="355"/>
      <c r="G13" s="200">
        <f>D167</f>
        <v>204150</v>
      </c>
      <c r="H13" s="554">
        <f>'Project Plan'!E23+60</f>
        <v>46136</v>
      </c>
      <c r="I13" s="683">
        <f>SUM(G13:G19)</f>
        <v>204150</v>
      </c>
      <c r="J13" s="686">
        <f>F167</f>
        <v>248963.41463414632</v>
      </c>
      <c r="K13" s="201"/>
      <c r="L13" s="197">
        <v>2</v>
      </c>
      <c r="M13" s="319" t="s">
        <v>261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692">
        <f>J13-SUM(U13:U19)</f>
        <v>0</v>
      </c>
      <c r="W13" s="457"/>
      <c r="X13" s="683">
        <f>SUM(Q13:Q19)</f>
        <v>252150.6</v>
      </c>
      <c r="Y13" s="608" t="s">
        <v>262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4"/>
      <c r="J14" s="687"/>
      <c r="K14" s="205"/>
      <c r="L14" s="202">
        <v>2</v>
      </c>
      <c r="M14" s="325" t="s">
        <v>261</v>
      </c>
      <c r="N14" s="309" t="s">
        <v>417</v>
      </c>
      <c r="O14" s="438">
        <v>3</v>
      </c>
      <c r="P14" s="351">
        <v>68870</v>
      </c>
      <c r="Q14" s="375">
        <f>O14*P14</f>
        <v>206610</v>
      </c>
      <c r="R14" s="474"/>
      <c r="S14" s="505"/>
      <c r="T14" s="416">
        <f>T6</f>
        <v>46112</v>
      </c>
      <c r="U14" s="401">
        <f t="shared" si="2"/>
        <v>203998.44813996466</v>
      </c>
      <c r="V14" s="693"/>
      <c r="W14" s="458">
        <f>T14+30</f>
        <v>46142</v>
      </c>
      <c r="X14" s="684"/>
      <c r="Y14" s="608" t="s">
        <v>263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4"/>
      <c r="J15" s="687"/>
      <c r="K15" s="205"/>
      <c r="L15" s="202">
        <v>2</v>
      </c>
      <c r="M15" s="325" t="s">
        <v>261</v>
      </c>
      <c r="N15" s="309" t="s">
        <v>405</v>
      </c>
      <c r="O15" s="438"/>
      <c r="P15" s="351"/>
      <c r="Q15" s="375">
        <v>3900</v>
      </c>
      <c r="R15" s="474"/>
      <c r="S15" s="505"/>
      <c r="T15" s="416">
        <f>T14</f>
        <v>46112</v>
      </c>
      <c r="U15" s="401">
        <f t="shared" si="2"/>
        <v>3850.7039724401634</v>
      </c>
      <c r="V15" s="693"/>
      <c r="W15" s="458">
        <f>W14</f>
        <v>46142</v>
      </c>
      <c r="X15" s="684"/>
      <c r="Y15" s="608" t="s">
        <v>264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4"/>
      <c r="J16" s="687"/>
      <c r="K16" s="205"/>
      <c r="L16" s="202">
        <v>2</v>
      </c>
      <c r="M16" s="325" t="s">
        <v>261</v>
      </c>
      <c r="N16" s="309"/>
      <c r="O16" s="438"/>
      <c r="P16" s="351"/>
      <c r="Q16" s="375"/>
      <c r="R16" s="474"/>
      <c r="S16" s="505"/>
      <c r="T16" s="416" t="str">
        <f t="shared" si="1"/>
        <v/>
      </c>
      <c r="U16" s="401">
        <f t="shared" si="2"/>
        <v>0</v>
      </c>
      <c r="V16" s="693"/>
      <c r="W16" s="458"/>
      <c r="X16" s="684"/>
      <c r="Y16" s="608" t="s">
        <v>265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4"/>
      <c r="J17" s="687"/>
      <c r="K17" s="205"/>
      <c r="L17" s="202">
        <v>2</v>
      </c>
      <c r="M17" s="325" t="s">
        <v>261</v>
      </c>
      <c r="N17" s="309" t="s">
        <v>427</v>
      </c>
      <c r="O17" s="438"/>
      <c r="P17" s="351"/>
      <c r="Q17" s="375">
        <v>41640.600000000006</v>
      </c>
      <c r="R17" s="474"/>
      <c r="S17" s="505"/>
      <c r="T17" s="416">
        <f t="shared" si="1"/>
        <v>46142</v>
      </c>
      <c r="U17" s="401">
        <f t="shared" si="2"/>
        <v>41114.262521741504</v>
      </c>
      <c r="V17" s="693"/>
      <c r="W17" s="458">
        <f>W15</f>
        <v>46142</v>
      </c>
      <c r="X17" s="684"/>
      <c r="Y17" s="608" t="s">
        <v>266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4"/>
      <c r="J18" s="687"/>
      <c r="K18" s="205"/>
      <c r="L18" s="202">
        <v>2</v>
      </c>
      <c r="M18" s="325" t="s">
        <v>261</v>
      </c>
      <c r="N18" s="309"/>
      <c r="O18" s="438"/>
      <c r="P18" s="351"/>
      <c r="Q18" s="375"/>
      <c r="R18" s="474"/>
      <c r="S18" s="505"/>
      <c r="T18" s="416" t="str">
        <f t="shared" si="1"/>
        <v/>
      </c>
      <c r="U18" s="401">
        <f t="shared" si="2"/>
        <v>0</v>
      </c>
      <c r="V18" s="693"/>
      <c r="W18" s="458"/>
      <c r="X18" s="684"/>
      <c r="Y18" s="608" t="s">
        <v>267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85"/>
      <c r="J19" s="688"/>
      <c r="K19" s="210"/>
      <c r="L19" s="296">
        <v>2</v>
      </c>
      <c r="M19" s="320" t="s">
        <v>261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694"/>
      <c r="W19" s="459"/>
      <c r="X19" s="685"/>
      <c r="Y19" s="608" t="s">
        <v>268</v>
      </c>
      <c r="Z19" s="487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269</v>
      </c>
      <c r="Z20" s="487">
        <v>0</v>
      </c>
      <c r="AA20" s="526"/>
    </row>
    <row r="21" spans="1:27" ht="14.25" customHeight="1">
      <c r="B21" s="185">
        <v>3</v>
      </c>
      <c r="C21" s="213" t="s">
        <v>270</v>
      </c>
      <c r="D21" s="231" t="s">
        <v>271</v>
      </c>
      <c r="E21" s="187"/>
      <c r="F21" s="336"/>
      <c r="G21" s="188">
        <f>D168</f>
        <v>188856</v>
      </c>
      <c r="H21" s="542">
        <f>'Project Plan'!E34+30</f>
        <v>46106</v>
      </c>
      <c r="I21" s="674">
        <f>SUM(G21:G26)</f>
        <v>188856</v>
      </c>
      <c r="J21" s="677">
        <f>F168</f>
        <v>230312.19512195123</v>
      </c>
      <c r="K21" s="189"/>
      <c r="L21" s="185">
        <v>3</v>
      </c>
      <c r="M21" s="321" t="s">
        <v>272</v>
      </c>
      <c r="N21" s="231" t="s">
        <v>273</v>
      </c>
      <c r="O21" s="432"/>
      <c r="P21" s="336"/>
      <c r="Q21" s="188">
        <v>111074</v>
      </c>
      <c r="R21" s="476"/>
      <c r="S21" s="507"/>
      <c r="T21" s="606">
        <f>T6</f>
        <v>46112</v>
      </c>
      <c r="U21" s="397">
        <f t="shared" ref="U21:U26" si="3">(Q21/$X$21*$J$21)</f>
        <v>230312.19512195123</v>
      </c>
      <c r="V21" s="689">
        <f>J21-SUM(U21:U26)</f>
        <v>0</v>
      </c>
      <c r="W21" s="460">
        <f>T21+30</f>
        <v>46142</v>
      </c>
      <c r="X21" s="674">
        <f>SUM(Q21:Q26)</f>
        <v>111074</v>
      </c>
      <c r="Y21" s="608" t="s">
        <v>274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5"/>
      <c r="J22" s="678"/>
      <c r="K22" s="192"/>
      <c r="L22" s="215">
        <v>3</v>
      </c>
      <c r="M22" s="322" t="s">
        <v>272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90"/>
      <c r="W22" s="453"/>
      <c r="X22" s="675"/>
      <c r="Y22" s="608" t="s">
        <v>155</v>
      </c>
      <c r="Z22" s="487">
        <f>SUM(Z12:Z21)</f>
        <v>898554.63719806762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5"/>
      <c r="J23" s="678"/>
      <c r="K23" s="192"/>
      <c r="L23" s="215">
        <v>3</v>
      </c>
      <c r="M23" s="322" t="s">
        <v>272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90"/>
      <c r="W23" s="453"/>
      <c r="X23" s="675"/>
      <c r="Y23" s="608" t="s">
        <v>275</v>
      </c>
      <c r="Z23" s="490">
        <f>+Z22*0.85</f>
        <v>763771.44161835744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5"/>
      <c r="J24" s="678"/>
      <c r="K24" s="192"/>
      <c r="L24" s="215">
        <v>3</v>
      </c>
      <c r="M24" s="322" t="s">
        <v>272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90"/>
      <c r="W24" s="454"/>
      <c r="X24" s="675"/>
      <c r="Y24" s="609" t="s">
        <v>276</v>
      </c>
      <c r="Z24" s="489">
        <f>Z23/'Project Plan'!$E$3/1000</f>
        <v>1.8185034324246605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5"/>
      <c r="J25" s="678"/>
      <c r="K25" s="192"/>
      <c r="L25" s="215">
        <v>3</v>
      </c>
      <c r="M25" s="322" t="s">
        <v>272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90"/>
      <c r="W25" s="454"/>
      <c r="X25" s="67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6"/>
      <c r="J26" s="679"/>
      <c r="K26" s="193"/>
      <c r="L26" s="220">
        <v>3</v>
      </c>
      <c r="M26" s="323" t="s">
        <v>272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91"/>
      <c r="W26" s="455"/>
      <c r="X26" s="676"/>
      <c r="Y26" s="610" t="s">
        <v>120</v>
      </c>
      <c r="Z26" s="491" t="s">
        <v>277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f>121265.426086957+40000</f>
        <v>161265.42608695698</v>
      </c>
    </row>
    <row r="28" spans="1:27" ht="14.25" customHeight="1">
      <c r="B28" s="197">
        <v>4</v>
      </c>
      <c r="C28" s="198" t="s">
        <v>262</v>
      </c>
      <c r="D28" s="198" t="s">
        <v>278</v>
      </c>
      <c r="E28" s="268">
        <v>6960</v>
      </c>
      <c r="F28" s="355"/>
      <c r="G28" s="200">
        <v>97440</v>
      </c>
      <c r="H28" s="554">
        <f>'Project Plan'!E36+60</f>
        <v>46136</v>
      </c>
      <c r="I28" s="683">
        <f>SUM(G28:G42)</f>
        <v>223700.8</v>
      </c>
      <c r="J28" s="686">
        <f>F169</f>
        <v>272805.85365853657</v>
      </c>
      <c r="K28" s="201"/>
      <c r="L28" s="197">
        <v>4</v>
      </c>
      <c r="M28" s="324" t="s">
        <v>279</v>
      </c>
      <c r="N28" s="198" t="s">
        <v>280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f>T6</f>
        <v>46112</v>
      </c>
      <c r="U28" s="401">
        <f t="shared" ref="U28:U41" si="4">(Q28/$X$28*$J$28)</f>
        <v>139312.51853330727</v>
      </c>
      <c r="V28" s="692">
        <f>J28-SUM(U28:U42)</f>
        <v>0</v>
      </c>
      <c r="W28" s="457">
        <f>T28+30</f>
        <v>46142</v>
      </c>
      <c r="X28" s="683">
        <f>SUM(Q28:Q42)</f>
        <v>219321.68000000005</v>
      </c>
      <c r="Y28" s="611" t="str">
        <f t="shared" ref="Y28:Y30" si="5">Y13</f>
        <v>DC Equipment</v>
      </c>
      <c r="Z28" s="492">
        <f>Z13*0.85</f>
        <v>107321.68</v>
      </c>
    </row>
    <row r="29" spans="1:27" ht="14.25" customHeight="1">
      <c r="B29" s="224">
        <v>4</v>
      </c>
      <c r="C29" s="309"/>
      <c r="D29" s="309" t="s">
        <v>281</v>
      </c>
      <c r="E29" s="295"/>
      <c r="F29" s="351"/>
      <c r="G29" s="516">
        <f>D169-G28</f>
        <v>126260.79999999999</v>
      </c>
      <c r="H29" s="545">
        <f>'Project Plan'!G32</f>
        <v>46099</v>
      </c>
      <c r="I29" s="684"/>
      <c r="J29" s="687"/>
      <c r="K29" s="205"/>
      <c r="L29" s="202">
        <v>4</v>
      </c>
      <c r="M29" s="325" t="s">
        <v>279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693"/>
      <c r="W29" s="458"/>
      <c r="X29" s="684"/>
      <c r="Y29" s="611" t="str">
        <f t="shared" si="5"/>
        <v>AC Labour</v>
      </c>
      <c r="Z29" s="492">
        <f t="shared" ref="Z29:Z33" si="6">Z14*0.85</f>
        <v>89182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4"/>
      <c r="J30" s="687"/>
      <c r="K30" s="205"/>
      <c r="L30" s="202">
        <v>4</v>
      </c>
      <c r="M30" s="325" t="s">
        <v>279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693"/>
      <c r="W30" s="458"/>
      <c r="X30" s="684"/>
      <c r="Y30" s="611" t="str">
        <f t="shared" si="5"/>
        <v>DC Labour</v>
      </c>
      <c r="Z30" s="492">
        <f t="shared" si="6"/>
        <v>194446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4"/>
      <c r="J31" s="687"/>
      <c r="K31" s="205"/>
      <c r="L31" s="202">
        <v>4</v>
      </c>
      <c r="M31" s="325" t="s">
        <v>279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693"/>
      <c r="W31" s="458"/>
      <c r="X31" s="684"/>
      <c r="Y31" s="611" t="s">
        <v>282</v>
      </c>
      <c r="Z31" s="492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4"/>
      <c r="J32" s="687"/>
      <c r="K32" s="205"/>
      <c r="L32" s="202">
        <v>4</v>
      </c>
      <c r="M32" s="325" t="s">
        <v>279</v>
      </c>
      <c r="N32" s="309" t="s">
        <v>283</v>
      </c>
      <c r="O32" s="446">
        <f>Z28</f>
        <v>107321.68</v>
      </c>
      <c r="P32" s="447">
        <v>0.1</v>
      </c>
      <c r="Q32" s="204">
        <f>$O$32*P32</f>
        <v>10732.168</v>
      </c>
      <c r="R32" s="698"/>
      <c r="S32" s="505"/>
      <c r="T32" s="416">
        <f>T96</f>
        <v>46112</v>
      </c>
      <c r="U32" s="401">
        <f t="shared" si="4"/>
        <v>13349.333512522921</v>
      </c>
      <c r="V32" s="693"/>
      <c r="W32" s="458">
        <f>W96</f>
        <v>46110</v>
      </c>
      <c r="X32" s="684"/>
      <c r="Y32" s="611" t="s">
        <v>284</v>
      </c>
      <c r="Z32" s="492">
        <f t="shared" si="6"/>
        <v>12811.766666666666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4"/>
      <c r="J33" s="687"/>
      <c r="K33" s="205"/>
      <c r="L33" s="202">
        <v>4</v>
      </c>
      <c r="M33" s="325" t="s">
        <v>279</v>
      </c>
      <c r="N33" s="309" t="s">
        <v>186</v>
      </c>
      <c r="O33" s="438"/>
      <c r="P33" s="447">
        <v>0.15</v>
      </c>
      <c r="Q33" s="204">
        <f t="shared" ref="Q33:Q39" si="7">$O$32*P33</f>
        <v>16098.251999999999</v>
      </c>
      <c r="R33" s="699"/>
      <c r="S33" s="505"/>
      <c r="T33" s="416">
        <f t="shared" ref="T33:T39" si="8">T97</f>
        <v>46112</v>
      </c>
      <c r="U33" s="401">
        <f t="shared" si="4"/>
        <v>20024.000268784381</v>
      </c>
      <c r="V33" s="693"/>
      <c r="W33" s="458">
        <f t="shared" ref="W33:W39" si="9">W97</f>
        <v>46110</v>
      </c>
      <c r="X33" s="684"/>
      <c r="Y33" s="611" t="s">
        <v>285</v>
      </c>
      <c r="Z33" s="492">
        <f t="shared" si="6"/>
        <v>1397.7777777777776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4"/>
      <c r="J34" s="687"/>
      <c r="K34" s="205"/>
      <c r="L34" s="202">
        <v>4</v>
      </c>
      <c r="M34" s="325" t="s">
        <v>279</v>
      </c>
      <c r="N34" s="309" t="s">
        <v>286</v>
      </c>
      <c r="O34" s="438"/>
      <c r="P34" s="447">
        <v>0.2</v>
      </c>
      <c r="Q34" s="204">
        <f t="shared" si="7"/>
        <v>21464.335999999999</v>
      </c>
      <c r="R34" s="699"/>
      <c r="S34" s="505"/>
      <c r="T34" s="416">
        <f t="shared" si="8"/>
        <v>46142</v>
      </c>
      <c r="U34" s="401">
        <f t="shared" si="4"/>
        <v>26698.667025045841</v>
      </c>
      <c r="V34" s="693"/>
      <c r="W34" s="458">
        <f t="shared" si="9"/>
        <v>46141</v>
      </c>
      <c r="X34" s="684"/>
      <c r="Y34" s="611" t="s">
        <v>419</v>
      </c>
      <c r="Z34" s="492">
        <v>60000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4"/>
      <c r="J35" s="687"/>
      <c r="K35" s="205"/>
      <c r="L35" s="202">
        <v>4</v>
      </c>
      <c r="M35" s="325" t="s">
        <v>279</v>
      </c>
      <c r="N35" s="309" t="s">
        <v>287</v>
      </c>
      <c r="O35" s="438"/>
      <c r="P35" s="447">
        <v>0.25</v>
      </c>
      <c r="Q35" s="204">
        <f t="shared" si="7"/>
        <v>26830.42</v>
      </c>
      <c r="R35" s="699"/>
      <c r="S35" s="505"/>
      <c r="T35" s="416">
        <f t="shared" si="8"/>
        <v>46142</v>
      </c>
      <c r="U35" s="401">
        <f t="shared" si="4"/>
        <v>33373.333781307301</v>
      </c>
      <c r="V35" s="693"/>
      <c r="W35" s="458">
        <f t="shared" si="9"/>
        <v>46135</v>
      </c>
      <c r="X35" s="684"/>
      <c r="Y35" s="611" t="s">
        <v>269</v>
      </c>
      <c r="Z35" s="492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4"/>
      <c r="J36" s="687"/>
      <c r="K36" s="205"/>
      <c r="L36" s="202">
        <v>4</v>
      </c>
      <c r="M36" s="325" t="s">
        <v>279</v>
      </c>
      <c r="N36" s="309" t="s">
        <v>288</v>
      </c>
      <c r="O36" s="438"/>
      <c r="P36" s="447">
        <v>0.1</v>
      </c>
      <c r="Q36" s="204">
        <f t="shared" si="7"/>
        <v>10732.168</v>
      </c>
      <c r="R36" s="699"/>
      <c r="S36" s="505"/>
      <c r="T36" s="416">
        <f t="shared" si="8"/>
        <v>46173</v>
      </c>
      <c r="U36" s="401">
        <f t="shared" si="4"/>
        <v>13349.333512522921</v>
      </c>
      <c r="V36" s="693"/>
      <c r="W36" s="458">
        <f t="shared" si="9"/>
        <v>46160</v>
      </c>
      <c r="X36" s="684"/>
      <c r="Y36" s="611" t="s">
        <v>274</v>
      </c>
      <c r="Z36" s="492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4"/>
      <c r="J37" s="687"/>
      <c r="K37" s="205"/>
      <c r="L37" s="202">
        <v>4</v>
      </c>
      <c r="M37" s="325" t="s">
        <v>279</v>
      </c>
      <c r="N37" s="309" t="s">
        <v>289</v>
      </c>
      <c r="O37" s="438"/>
      <c r="P37" s="447">
        <v>0.1</v>
      </c>
      <c r="Q37" s="204">
        <f t="shared" si="7"/>
        <v>10732.168</v>
      </c>
      <c r="R37" s="699"/>
      <c r="S37" s="505"/>
      <c r="T37" s="416">
        <f t="shared" si="8"/>
        <v>46173</v>
      </c>
      <c r="U37" s="401">
        <f t="shared" si="4"/>
        <v>13349.333512522921</v>
      </c>
      <c r="V37" s="693"/>
      <c r="W37" s="458">
        <f t="shared" si="9"/>
        <v>46161</v>
      </c>
      <c r="X37" s="684"/>
      <c r="Y37" s="611" t="s">
        <v>274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4"/>
      <c r="J38" s="687"/>
      <c r="K38" s="205"/>
      <c r="L38" s="202">
        <v>4</v>
      </c>
      <c r="M38" s="325" t="s">
        <v>279</v>
      </c>
      <c r="N38" s="309" t="s">
        <v>290</v>
      </c>
      <c r="O38" s="438"/>
      <c r="P38" s="447">
        <v>0.05</v>
      </c>
      <c r="Q38" s="204">
        <f t="shared" si="7"/>
        <v>5366.0839999999998</v>
      </c>
      <c r="R38" s="699"/>
      <c r="S38" s="505"/>
      <c r="T38" s="416">
        <f t="shared" si="8"/>
        <v>46173</v>
      </c>
      <c r="U38" s="401">
        <f t="shared" si="4"/>
        <v>6674.6667562614603</v>
      </c>
      <c r="V38" s="693"/>
      <c r="W38" s="458">
        <f t="shared" si="9"/>
        <v>46161</v>
      </c>
      <c r="X38" s="684"/>
      <c r="Y38" s="611" t="s">
        <v>155</v>
      </c>
      <c r="Z38" s="492">
        <f>SUM(Z27:Z37)</f>
        <v>633649.65053140151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4"/>
      <c r="J39" s="687"/>
      <c r="K39" s="205"/>
      <c r="L39" s="202">
        <v>4</v>
      </c>
      <c r="M39" s="325" t="s">
        <v>279</v>
      </c>
      <c r="N39" s="309" t="s">
        <v>291</v>
      </c>
      <c r="O39" s="438"/>
      <c r="P39" s="447">
        <v>0.05</v>
      </c>
      <c r="Q39" s="204">
        <f t="shared" si="7"/>
        <v>5366.0839999999998</v>
      </c>
      <c r="R39" s="700"/>
      <c r="S39" s="505"/>
      <c r="T39" s="416">
        <f t="shared" si="8"/>
        <v>46203</v>
      </c>
      <c r="U39" s="401">
        <f t="shared" si="4"/>
        <v>6674.6667562614603</v>
      </c>
      <c r="V39" s="693"/>
      <c r="W39" s="458">
        <f t="shared" si="9"/>
        <v>46184</v>
      </c>
      <c r="X39" s="684"/>
      <c r="Y39" s="612" t="s">
        <v>276</v>
      </c>
      <c r="Z39" s="493">
        <f>Z38/'Project Plan'!$E$3/1000</f>
        <v>1.5086896441223847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4"/>
      <c r="J40" s="687"/>
      <c r="K40" s="205"/>
      <c r="L40" s="202">
        <v>4</v>
      </c>
      <c r="M40" s="325" t="s">
        <v>279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693"/>
      <c r="W40" s="458"/>
      <c r="X40" s="68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4"/>
      <c r="J41" s="687"/>
      <c r="K41" s="205"/>
      <c r="L41" s="202">
        <v>4</v>
      </c>
      <c r="M41" s="325" t="s">
        <v>279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693"/>
      <c r="W41" s="458"/>
      <c r="X41" s="68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85"/>
      <c r="J42" s="688"/>
      <c r="K42" s="210"/>
      <c r="L42" s="206">
        <v>4</v>
      </c>
      <c r="M42" s="326" t="s">
        <v>279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694"/>
      <c r="W42" s="459"/>
      <c r="X42" s="685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6" ht="14.25" customHeight="1">
      <c r="B44" s="185">
        <v>5</v>
      </c>
      <c r="C44" s="213" t="s">
        <v>292</v>
      </c>
      <c r="D44" s="231" t="s">
        <v>293</v>
      </c>
      <c r="E44" s="187"/>
      <c r="F44" s="336"/>
      <c r="G44" s="188">
        <v>26000</v>
      </c>
      <c r="H44" s="542">
        <f>H52</f>
        <v>46122</v>
      </c>
      <c r="I44" s="674">
        <f>D171</f>
        <v>174000</v>
      </c>
      <c r="J44" s="677">
        <f>F171</f>
        <v>212195.12195121951</v>
      </c>
      <c r="K44" s="189"/>
      <c r="L44" s="185">
        <v>5</v>
      </c>
      <c r="M44" s="321" t="s">
        <v>294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89">
        <f>J44-SUM(U44:U50)</f>
        <v>0</v>
      </c>
      <c r="W44" s="460"/>
      <c r="X44" s="674">
        <f>SUM(Q44:Q50)</f>
        <v>156000</v>
      </c>
    </row>
    <row r="45" spans="1:26" ht="14.25" customHeight="1">
      <c r="B45" s="190">
        <v>5</v>
      </c>
      <c r="C45" s="214"/>
      <c r="D45" s="217" t="s">
        <v>295</v>
      </c>
      <c r="E45" s="349"/>
      <c r="F45" s="350"/>
      <c r="G45" s="219">
        <v>8000</v>
      </c>
      <c r="H45" s="541">
        <f>H44</f>
        <v>46122</v>
      </c>
      <c r="I45" s="675"/>
      <c r="J45" s="678"/>
      <c r="K45" s="192"/>
      <c r="L45" s="190">
        <v>5</v>
      </c>
      <c r="M45" s="327" t="s">
        <v>294</v>
      </c>
      <c r="N45" s="191" t="s">
        <v>295</v>
      </c>
      <c r="O45" s="440"/>
      <c r="P45" s="350"/>
      <c r="Q45" s="219">
        <v>26000</v>
      </c>
      <c r="R45" s="517"/>
      <c r="S45" s="500"/>
      <c r="T45" s="411">
        <f>$T$6</f>
        <v>46112</v>
      </c>
      <c r="U45" s="396">
        <f t="shared" ref="U45:U50" si="10">(Q45/$X$44*$J$44)</f>
        <v>35365.85365853658</v>
      </c>
      <c r="V45" s="690"/>
      <c r="W45" s="453">
        <v>46081</v>
      </c>
      <c r="X45" s="675"/>
    </row>
    <row r="46" spans="1:26" ht="14.25" customHeight="1">
      <c r="B46" s="190">
        <v>5</v>
      </c>
      <c r="C46" s="214"/>
      <c r="D46" s="288" t="s">
        <v>296</v>
      </c>
      <c r="E46" s="218"/>
      <c r="F46" s="357"/>
      <c r="G46" s="219">
        <v>15000</v>
      </c>
      <c r="H46" s="541">
        <f>H45</f>
        <v>46122</v>
      </c>
      <c r="I46" s="675"/>
      <c r="J46" s="678"/>
      <c r="K46" s="192"/>
      <c r="L46" s="190">
        <v>5</v>
      </c>
      <c r="M46" s="327" t="s">
        <v>294</v>
      </c>
      <c r="N46" s="217" t="s">
        <v>296</v>
      </c>
      <c r="O46" s="433"/>
      <c r="P46" s="357"/>
      <c r="Q46" s="219">
        <v>15000</v>
      </c>
      <c r="R46" s="469"/>
      <c r="S46" s="500"/>
      <c r="T46" s="411">
        <f>$T$6</f>
        <v>46112</v>
      </c>
      <c r="U46" s="396">
        <f t="shared" si="10"/>
        <v>20403.377110694186</v>
      </c>
      <c r="V46" s="690"/>
      <c r="W46" s="453">
        <f>W45</f>
        <v>46081</v>
      </c>
      <c r="X46" s="675"/>
    </row>
    <row r="47" spans="1:26" ht="14.25" customHeight="1">
      <c r="B47" s="215">
        <v>5</v>
      </c>
      <c r="C47" s="216"/>
      <c r="D47" s="217" t="s">
        <v>402</v>
      </c>
      <c r="E47" s="218"/>
      <c r="F47" s="357"/>
      <c r="G47" s="219">
        <v>125000</v>
      </c>
      <c r="H47" s="541">
        <f>H46</f>
        <v>46122</v>
      </c>
      <c r="I47" s="675"/>
      <c r="J47" s="678"/>
      <c r="K47" s="192"/>
      <c r="L47" s="215">
        <v>5</v>
      </c>
      <c r="M47" s="327" t="s">
        <v>294</v>
      </c>
      <c r="N47" s="217" t="s">
        <v>418</v>
      </c>
      <c r="O47" s="433"/>
      <c r="P47" s="357"/>
      <c r="Q47" s="219">
        <v>90000</v>
      </c>
      <c r="R47" s="469"/>
      <c r="S47" s="500"/>
      <c r="T47" s="411">
        <f>$T$6</f>
        <v>46112</v>
      </c>
      <c r="U47" s="396">
        <f t="shared" si="10"/>
        <v>122420.26266416509</v>
      </c>
      <c r="V47" s="690"/>
      <c r="W47" s="453">
        <f>T47+30</f>
        <v>46142</v>
      </c>
      <c r="X47" s="67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5"/>
      <c r="J48" s="678"/>
      <c r="K48" s="192"/>
      <c r="L48" s="215">
        <v>5</v>
      </c>
      <c r="M48" s="327" t="s">
        <v>294</v>
      </c>
      <c r="N48" s="288" t="s">
        <v>405</v>
      </c>
      <c r="O48" s="434"/>
      <c r="P48" s="343"/>
      <c r="Q48" s="287">
        <v>25000</v>
      </c>
      <c r="R48" s="470"/>
      <c r="S48" s="501"/>
      <c r="T48" s="411">
        <f>$T$6</f>
        <v>46112</v>
      </c>
      <c r="U48" s="396">
        <f t="shared" si="10"/>
        <v>34005.628517823643</v>
      </c>
      <c r="V48" s="690"/>
      <c r="W48" s="453">
        <f>T48+30</f>
        <v>46142</v>
      </c>
      <c r="X48" s="67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5"/>
      <c r="J49" s="678"/>
      <c r="K49" s="192"/>
      <c r="L49" s="215">
        <v>5</v>
      </c>
      <c r="M49" s="327" t="s">
        <v>294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10"/>
        <v>0</v>
      </c>
      <c r="V49" s="690"/>
      <c r="W49" s="454"/>
      <c r="X49" s="67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6"/>
      <c r="J50" s="679"/>
      <c r="K50" s="193"/>
      <c r="L50" s="220">
        <v>5</v>
      </c>
      <c r="M50" s="323" t="s">
        <v>294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10"/>
        <v>0</v>
      </c>
      <c r="V50" s="691"/>
      <c r="W50" s="455"/>
      <c r="X50" s="676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260</v>
      </c>
      <c r="D52" s="199" t="s">
        <v>297</v>
      </c>
      <c r="E52" s="373"/>
      <c r="F52" s="355"/>
      <c r="G52" s="200">
        <f>D170</f>
        <v>413396.72608695651</v>
      </c>
      <c r="H52" s="554">
        <f>'Project Plan'!G25+30</f>
        <v>46122</v>
      </c>
      <c r="I52" s="683">
        <f>SUM(G52:G68)</f>
        <v>413396.72608695651</v>
      </c>
      <c r="J52" s="686">
        <f>F170</f>
        <v>504142.3488865323</v>
      </c>
      <c r="K52" s="201"/>
      <c r="L52" s="197">
        <v>6</v>
      </c>
      <c r="M52" s="330" t="s">
        <v>298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1">(Q52/$X$52*$J$52)</f>
        <v>0</v>
      </c>
      <c r="V52" s="692">
        <f>J52-SUM(U52:U68)</f>
        <v>0</v>
      </c>
      <c r="W52" s="457"/>
      <c r="X52" s="683">
        <f>SUM(Q52:Q68)</f>
        <v>392097.37608695694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84"/>
      <c r="J53" s="687"/>
      <c r="K53" s="205"/>
      <c r="L53" s="202">
        <v>6</v>
      </c>
      <c r="M53" s="328" t="s">
        <v>298</v>
      </c>
      <c r="N53" s="342" t="s">
        <v>93</v>
      </c>
      <c r="O53" s="438"/>
      <c r="P53" s="351"/>
      <c r="Q53" s="225">
        <v>190831.95</v>
      </c>
      <c r="R53" s="474"/>
      <c r="S53" s="505"/>
      <c r="T53" s="416">
        <f>T6</f>
        <v>46112</v>
      </c>
      <c r="U53" s="401">
        <f t="shared" si="11"/>
        <v>245363.71162621913</v>
      </c>
      <c r="V53" s="693"/>
      <c r="W53" s="458">
        <f>T53+30</f>
        <v>46142</v>
      </c>
      <c r="X53" s="68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4"/>
      <c r="J54" s="687"/>
      <c r="K54" s="205"/>
      <c r="L54" s="202">
        <v>6</v>
      </c>
      <c r="M54" s="328" t="s">
        <v>298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1"/>
        <v>0</v>
      </c>
      <c r="V54" s="693"/>
      <c r="W54" s="458"/>
      <c r="X54" s="68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4"/>
      <c r="J55" s="687"/>
      <c r="K55" s="205"/>
      <c r="L55" s="202">
        <v>6</v>
      </c>
      <c r="M55" s="328" t="s">
        <v>298</v>
      </c>
      <c r="N55" s="342" t="s">
        <v>424</v>
      </c>
      <c r="O55" s="438"/>
      <c r="P55" s="351"/>
      <c r="Q55" s="225">
        <v>40000</v>
      </c>
      <c r="R55" s="474"/>
      <c r="S55" s="505"/>
      <c r="T55" s="416">
        <f>T53</f>
        <v>46112</v>
      </c>
      <c r="U55" s="401">
        <f t="shared" si="11"/>
        <v>51430.321102146496</v>
      </c>
      <c r="V55" s="693"/>
      <c r="W55" s="458">
        <f>W53</f>
        <v>46142</v>
      </c>
      <c r="X55" s="68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4"/>
      <c r="J56" s="687"/>
      <c r="K56" s="205"/>
      <c r="L56" s="202">
        <v>6</v>
      </c>
      <c r="M56" s="328" t="s">
        <v>298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1"/>
        <v>0</v>
      </c>
      <c r="V56" s="693"/>
      <c r="W56" s="458"/>
      <c r="X56" s="68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4"/>
      <c r="J57" s="687"/>
      <c r="K57" s="205"/>
      <c r="L57" s="202">
        <v>6</v>
      </c>
      <c r="M57" s="328" t="s">
        <v>298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1"/>
        <v>0</v>
      </c>
      <c r="V57" s="693"/>
      <c r="W57" s="458"/>
      <c r="X57" s="68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84"/>
      <c r="J58" s="687"/>
      <c r="K58" s="205"/>
      <c r="L58" s="202">
        <v>6</v>
      </c>
      <c r="M58" s="328" t="s">
        <v>298</v>
      </c>
      <c r="N58" s="309" t="s">
        <v>283</v>
      </c>
      <c r="O58" s="446">
        <f>Z27</f>
        <v>161265.42608695698</v>
      </c>
      <c r="P58" s="447">
        <v>0.1</v>
      </c>
      <c r="Q58" s="204">
        <f>$O$58*P58</f>
        <v>16126.5426086957</v>
      </c>
      <c r="R58" s="698"/>
      <c r="S58" s="505"/>
      <c r="T58" s="419">
        <f>T96</f>
        <v>46112</v>
      </c>
      <c r="U58" s="401">
        <f t="shared" si="11"/>
        <v>20734.831615816678</v>
      </c>
      <c r="V58" s="693"/>
      <c r="W58" s="458">
        <f>W96</f>
        <v>46110</v>
      </c>
      <c r="X58" s="68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84"/>
      <c r="J59" s="687"/>
      <c r="K59" s="205"/>
      <c r="L59" s="202">
        <v>6</v>
      </c>
      <c r="M59" s="329" t="s">
        <v>298</v>
      </c>
      <c r="N59" s="309" t="s">
        <v>186</v>
      </c>
      <c r="O59" s="438"/>
      <c r="P59" s="447">
        <v>0.15</v>
      </c>
      <c r="Q59" s="204">
        <f t="shared" ref="Q59:Q65" si="12">$O$58*P59</f>
        <v>24189.813913043548</v>
      </c>
      <c r="R59" s="699"/>
      <c r="S59" s="505"/>
      <c r="T59" s="419">
        <f t="shared" si="1"/>
        <v>46112</v>
      </c>
      <c r="U59" s="401">
        <f t="shared" si="11"/>
        <v>31102.247423725014</v>
      </c>
      <c r="V59" s="693"/>
      <c r="W59" s="458">
        <f t="shared" ref="W59:W65" si="13">W97</f>
        <v>46110</v>
      </c>
      <c r="X59" s="68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4"/>
      <c r="J60" s="687"/>
      <c r="K60" s="205"/>
      <c r="L60" s="202">
        <v>6</v>
      </c>
      <c r="M60" s="329" t="s">
        <v>298</v>
      </c>
      <c r="N60" s="309" t="s">
        <v>286</v>
      </c>
      <c r="O60" s="438"/>
      <c r="P60" s="447">
        <v>0.2</v>
      </c>
      <c r="Q60" s="204">
        <f t="shared" si="12"/>
        <v>32253.085217391399</v>
      </c>
      <c r="R60" s="699"/>
      <c r="S60" s="505"/>
      <c r="T60" s="419">
        <f t="shared" si="1"/>
        <v>46142</v>
      </c>
      <c r="U60" s="401">
        <f t="shared" si="11"/>
        <v>41469.663231633356</v>
      </c>
      <c r="V60" s="693"/>
      <c r="W60" s="458">
        <f t="shared" si="13"/>
        <v>46141</v>
      </c>
      <c r="X60" s="68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4"/>
      <c r="J61" s="687"/>
      <c r="K61" s="205"/>
      <c r="L61" s="202">
        <v>6</v>
      </c>
      <c r="M61" s="329" t="s">
        <v>298</v>
      </c>
      <c r="N61" s="309" t="s">
        <v>287</v>
      </c>
      <c r="O61" s="438"/>
      <c r="P61" s="447">
        <v>0.25</v>
      </c>
      <c r="Q61" s="204">
        <f t="shared" si="12"/>
        <v>40316.356521739246</v>
      </c>
      <c r="R61" s="699"/>
      <c r="S61" s="505"/>
      <c r="T61" s="419">
        <f t="shared" si="1"/>
        <v>46142</v>
      </c>
      <c r="U61" s="401">
        <f t="shared" si="11"/>
        <v>51837.079039541684</v>
      </c>
      <c r="V61" s="693"/>
      <c r="W61" s="458">
        <f t="shared" si="13"/>
        <v>46135</v>
      </c>
      <c r="X61" s="68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4"/>
      <c r="J62" s="687"/>
      <c r="K62" s="205"/>
      <c r="L62" s="202">
        <v>6</v>
      </c>
      <c r="M62" s="329" t="s">
        <v>298</v>
      </c>
      <c r="N62" s="309" t="s">
        <v>288</v>
      </c>
      <c r="O62" s="438"/>
      <c r="P62" s="447">
        <v>0.1</v>
      </c>
      <c r="Q62" s="204">
        <f t="shared" si="12"/>
        <v>16126.5426086957</v>
      </c>
      <c r="R62" s="699"/>
      <c r="S62" s="505"/>
      <c r="T62" s="419">
        <f t="shared" si="1"/>
        <v>46173</v>
      </c>
      <c r="U62" s="401">
        <f t="shared" si="11"/>
        <v>20734.831615816678</v>
      </c>
      <c r="V62" s="693"/>
      <c r="W62" s="458">
        <f t="shared" si="13"/>
        <v>46160</v>
      </c>
      <c r="X62" s="68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84"/>
      <c r="J63" s="687"/>
      <c r="K63" s="205"/>
      <c r="L63" s="202">
        <v>6</v>
      </c>
      <c r="M63" s="329" t="s">
        <v>298</v>
      </c>
      <c r="N63" s="309" t="s">
        <v>289</v>
      </c>
      <c r="O63" s="438"/>
      <c r="P63" s="447">
        <v>0.1</v>
      </c>
      <c r="Q63" s="204">
        <f t="shared" si="12"/>
        <v>16126.5426086957</v>
      </c>
      <c r="R63" s="699"/>
      <c r="S63" s="509"/>
      <c r="T63" s="419">
        <f t="shared" si="1"/>
        <v>46173</v>
      </c>
      <c r="U63" s="406">
        <f t="shared" si="11"/>
        <v>20734.831615816678</v>
      </c>
      <c r="V63" s="693"/>
      <c r="W63" s="458">
        <f t="shared" si="13"/>
        <v>46161</v>
      </c>
      <c r="X63" s="68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4"/>
      <c r="J64" s="687"/>
      <c r="K64" s="205"/>
      <c r="L64" s="202">
        <v>6</v>
      </c>
      <c r="M64" s="329" t="s">
        <v>298</v>
      </c>
      <c r="N64" s="309" t="s">
        <v>290</v>
      </c>
      <c r="O64" s="438"/>
      <c r="P64" s="447">
        <v>0.05</v>
      </c>
      <c r="Q64" s="204">
        <f t="shared" si="12"/>
        <v>8063.2713043478498</v>
      </c>
      <c r="R64" s="699"/>
      <c r="S64" s="509"/>
      <c r="T64" s="419">
        <f t="shared" si="1"/>
        <v>46173</v>
      </c>
      <c r="U64" s="406">
        <f t="shared" si="11"/>
        <v>10367.415807908339</v>
      </c>
      <c r="V64" s="693"/>
      <c r="W64" s="458">
        <f t="shared" si="13"/>
        <v>46161</v>
      </c>
      <c r="X64" s="68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4"/>
      <c r="J65" s="687"/>
      <c r="K65" s="205"/>
      <c r="L65" s="202">
        <v>6</v>
      </c>
      <c r="M65" s="329" t="s">
        <v>298</v>
      </c>
      <c r="N65" s="309" t="s">
        <v>291</v>
      </c>
      <c r="O65" s="438"/>
      <c r="P65" s="447">
        <v>0.05</v>
      </c>
      <c r="Q65" s="204">
        <f t="shared" si="12"/>
        <v>8063.2713043478498</v>
      </c>
      <c r="R65" s="700"/>
      <c r="S65" s="509"/>
      <c r="T65" s="419">
        <f t="shared" si="1"/>
        <v>46203</v>
      </c>
      <c r="U65" s="406">
        <f t="shared" si="11"/>
        <v>10367.415807908339</v>
      </c>
      <c r="V65" s="693"/>
      <c r="W65" s="458">
        <f t="shared" si="13"/>
        <v>46184</v>
      </c>
      <c r="X65" s="68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4"/>
      <c r="J66" s="687"/>
      <c r="K66" s="205"/>
      <c r="L66" s="202">
        <v>6</v>
      </c>
      <c r="M66" s="329" t="s">
        <v>298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1"/>
        <v>0</v>
      </c>
      <c r="V66" s="693"/>
      <c r="W66" s="461"/>
      <c r="X66" s="68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4"/>
      <c r="J67" s="687"/>
      <c r="K67" s="205"/>
      <c r="L67" s="202">
        <v>6</v>
      </c>
      <c r="M67" s="329" t="s">
        <v>298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1"/>
        <v>0</v>
      </c>
      <c r="V67" s="693"/>
      <c r="W67" s="461"/>
      <c r="X67" s="68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85"/>
      <c r="J68" s="688"/>
      <c r="K68" s="210"/>
      <c r="L68" s="206">
        <v>6</v>
      </c>
      <c r="M68" s="331" t="s">
        <v>298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694"/>
      <c r="W68" s="459"/>
      <c r="X68" s="685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299</v>
      </c>
      <c r="D70" s="282" t="s">
        <v>407</v>
      </c>
      <c r="E70" s="360"/>
      <c r="F70" s="366"/>
      <c r="G70" s="283">
        <v>372400</v>
      </c>
      <c r="H70" s="558">
        <v>46112</v>
      </c>
      <c r="I70" s="674">
        <f>SUM(G70:G77)</f>
        <v>531293.91304347827</v>
      </c>
      <c r="J70" s="677">
        <v>603743.08300395298</v>
      </c>
      <c r="K70" s="189"/>
      <c r="L70" s="281">
        <v>7</v>
      </c>
      <c r="M70" s="213" t="s">
        <v>300</v>
      </c>
      <c r="N70" s="282" t="s">
        <v>407</v>
      </c>
      <c r="O70" s="360"/>
      <c r="P70" s="366"/>
      <c r="Q70" s="283">
        <f>372400*1.15</f>
        <v>428259.99999999994</v>
      </c>
      <c r="R70" s="480"/>
      <c r="S70" s="511"/>
      <c r="T70" s="421">
        <f>T6</f>
        <v>46112</v>
      </c>
      <c r="U70" s="524">
        <f>(Q70/$X$70*$J$70)</f>
        <v>579140.49794104393</v>
      </c>
      <c r="V70" s="695">
        <f>J70-SUM(U70:U77)</f>
        <v>0</v>
      </c>
      <c r="W70" s="463">
        <f>T70+30</f>
        <v>46142</v>
      </c>
      <c r="X70" s="674">
        <f>SUM(Q70:Q77)</f>
        <v>446452.99999999994</v>
      </c>
    </row>
    <row r="71" spans="1:24" ht="14.25" customHeight="1">
      <c r="B71" s="284">
        <v>7</v>
      </c>
      <c r="C71" s="285"/>
      <c r="D71" s="286" t="s">
        <v>408</v>
      </c>
      <c r="E71" s="307"/>
      <c r="F71" s="343"/>
      <c r="G71" s="287">
        <v>15820</v>
      </c>
      <c r="H71" s="541">
        <v>46112</v>
      </c>
      <c r="I71" s="675"/>
      <c r="J71" s="678"/>
      <c r="K71" s="192"/>
      <c r="L71" s="284">
        <v>7</v>
      </c>
      <c r="M71" s="285" t="s">
        <v>300</v>
      </c>
      <c r="N71" s="286" t="s">
        <v>408</v>
      </c>
      <c r="O71" s="307"/>
      <c r="P71" s="343"/>
      <c r="Q71" s="287">
        <f>15820*1.15</f>
        <v>18193</v>
      </c>
      <c r="R71" s="470"/>
      <c r="S71" s="501"/>
      <c r="T71" s="412">
        <f>T70</f>
        <v>46112</v>
      </c>
      <c r="U71" s="397">
        <f t="shared" ref="U71:U77" si="14">(Q71/$X$70*$J$70)</f>
        <v>24602.585062909013</v>
      </c>
      <c r="V71" s="696"/>
      <c r="W71" s="454">
        <f>T71+30</f>
        <v>46142</v>
      </c>
      <c r="X71" s="675"/>
    </row>
    <row r="72" spans="1:24" ht="14.25" customHeight="1">
      <c r="B72" s="284">
        <v>7</v>
      </c>
      <c r="C72" s="285"/>
      <c r="D72" s="286" t="s">
        <v>409</v>
      </c>
      <c r="E72" s="307"/>
      <c r="F72" s="343"/>
      <c r="G72" s="287">
        <v>15000</v>
      </c>
      <c r="H72" s="541">
        <v>46112</v>
      </c>
      <c r="I72" s="675"/>
      <c r="J72" s="678"/>
      <c r="K72" s="192"/>
      <c r="L72" s="284">
        <v>7</v>
      </c>
      <c r="M72" s="285" t="s">
        <v>300</v>
      </c>
      <c r="N72" s="286"/>
      <c r="O72" s="307"/>
      <c r="P72" s="343"/>
      <c r="Q72" s="287"/>
      <c r="R72" s="470"/>
      <c r="S72" s="501"/>
      <c r="T72" s="412" t="str">
        <f t="shared" ref="T72:T139" si="15">IF(W72&gt;1,EOMONTH(W72,0),"")</f>
        <v/>
      </c>
      <c r="U72" s="397">
        <f t="shared" si="14"/>
        <v>0</v>
      </c>
      <c r="V72" s="696"/>
      <c r="W72" s="454"/>
      <c r="X72" s="675"/>
    </row>
    <row r="73" spans="1:24" ht="14.25" customHeight="1">
      <c r="B73" s="284">
        <v>7</v>
      </c>
      <c r="C73" s="285"/>
      <c r="D73" s="286" t="s">
        <v>410</v>
      </c>
      <c r="E73" s="307"/>
      <c r="F73" s="343"/>
      <c r="G73" s="287">
        <v>40000</v>
      </c>
      <c r="H73" s="541">
        <v>46112</v>
      </c>
      <c r="I73" s="675"/>
      <c r="J73" s="678"/>
      <c r="K73" s="192"/>
      <c r="L73" s="284">
        <v>7</v>
      </c>
      <c r="M73" s="285" t="s">
        <v>300</v>
      </c>
      <c r="N73" s="286"/>
      <c r="O73" s="307"/>
      <c r="P73" s="343"/>
      <c r="Q73" s="287"/>
      <c r="R73" s="470"/>
      <c r="S73" s="501"/>
      <c r="T73" s="412" t="str">
        <f t="shared" si="15"/>
        <v/>
      </c>
      <c r="U73" s="397">
        <f t="shared" si="14"/>
        <v>0</v>
      </c>
      <c r="V73" s="696"/>
      <c r="W73" s="454"/>
      <c r="X73" s="675"/>
    </row>
    <row r="74" spans="1:24" ht="14.25" customHeight="1">
      <c r="B74" s="284">
        <v>7</v>
      </c>
      <c r="C74" s="285"/>
      <c r="D74" s="286" t="s">
        <v>411</v>
      </c>
      <c r="E74" s="307"/>
      <c r="F74" s="343"/>
      <c r="G74" s="287">
        <v>60000</v>
      </c>
      <c r="H74" s="541">
        <v>46112</v>
      </c>
      <c r="I74" s="675"/>
      <c r="J74" s="678"/>
      <c r="K74" s="192"/>
      <c r="L74" s="284">
        <v>7</v>
      </c>
      <c r="M74" s="285" t="s">
        <v>300</v>
      </c>
      <c r="N74" s="286"/>
      <c r="O74" s="307"/>
      <c r="P74" s="343"/>
      <c r="Q74" s="287"/>
      <c r="R74" s="470"/>
      <c r="S74" s="501"/>
      <c r="T74" s="412" t="str">
        <f t="shared" si="15"/>
        <v/>
      </c>
      <c r="U74" s="397">
        <f t="shared" si="14"/>
        <v>0</v>
      </c>
      <c r="V74" s="696"/>
      <c r="W74" s="454"/>
      <c r="X74" s="675"/>
    </row>
    <row r="75" spans="1:24" ht="14.25" customHeight="1">
      <c r="B75" s="284">
        <v>7</v>
      </c>
      <c r="C75" s="285"/>
      <c r="D75" s="286" t="s">
        <v>412</v>
      </c>
      <c r="E75" s="307"/>
      <c r="F75" s="343"/>
      <c r="G75" s="287">
        <v>7500</v>
      </c>
      <c r="H75" s="541">
        <v>46112</v>
      </c>
      <c r="I75" s="675"/>
      <c r="J75" s="678"/>
      <c r="K75" s="192"/>
      <c r="L75" s="284">
        <v>7</v>
      </c>
      <c r="M75" s="285" t="s">
        <v>300</v>
      </c>
      <c r="N75" s="286"/>
      <c r="O75" s="434"/>
      <c r="P75" s="343"/>
      <c r="Q75" s="287"/>
      <c r="R75" s="470"/>
      <c r="S75" s="501"/>
      <c r="T75" s="412" t="str">
        <f t="shared" si="15"/>
        <v/>
      </c>
      <c r="U75" s="397">
        <f t="shared" si="14"/>
        <v>0</v>
      </c>
      <c r="V75" s="696"/>
      <c r="W75" s="454"/>
      <c r="X75" s="675"/>
    </row>
    <row r="76" spans="1:24" ht="14.25" customHeight="1">
      <c r="B76" s="284">
        <v>7</v>
      </c>
      <c r="C76" s="285"/>
      <c r="D76" s="286" t="s">
        <v>413</v>
      </c>
      <c r="E76" s="307"/>
      <c r="F76" s="343"/>
      <c r="G76" s="287">
        <v>20573.913043478264</v>
      </c>
      <c r="H76" s="541">
        <v>46142</v>
      </c>
      <c r="I76" s="675"/>
      <c r="J76" s="678"/>
      <c r="K76" s="192"/>
      <c r="L76" s="284">
        <v>7</v>
      </c>
      <c r="M76" s="285" t="s">
        <v>300</v>
      </c>
      <c r="N76" s="286"/>
      <c r="O76" s="434"/>
      <c r="P76" s="343"/>
      <c r="Q76" s="287"/>
      <c r="R76" s="470"/>
      <c r="S76" s="501"/>
      <c r="T76" s="412" t="str">
        <f t="shared" si="15"/>
        <v/>
      </c>
      <c r="U76" s="397">
        <f t="shared" si="14"/>
        <v>0</v>
      </c>
      <c r="V76" s="696"/>
      <c r="W76" s="454"/>
      <c r="X76" s="67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6"/>
      <c r="J77" s="679"/>
      <c r="K77" s="193"/>
      <c r="L77" s="220">
        <v>7</v>
      </c>
      <c r="M77" s="241" t="s">
        <v>300</v>
      </c>
      <c r="N77" s="233"/>
      <c r="O77" s="435"/>
      <c r="P77" s="358"/>
      <c r="Q77" s="234"/>
      <c r="R77" s="471"/>
      <c r="S77" s="502"/>
      <c r="T77" s="413" t="str">
        <f t="shared" si="15"/>
        <v/>
      </c>
      <c r="U77" s="398">
        <f t="shared" si="14"/>
        <v>0</v>
      </c>
      <c r="V77" s="697"/>
      <c r="W77" s="455"/>
      <c r="X77" s="676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5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301</v>
      </c>
      <c r="D79" s="237" t="s">
        <v>399</v>
      </c>
      <c r="E79" s="361"/>
      <c r="F79" s="315"/>
      <c r="G79" s="238">
        <v>82500</v>
      </c>
      <c r="H79" s="554">
        <v>46081</v>
      </c>
      <c r="I79" s="683">
        <f>SUM(G79:G93)</f>
        <v>245040.6</v>
      </c>
      <c r="J79" s="686">
        <f>151829.268292683+147000.731707317</f>
        <v>298830</v>
      </c>
      <c r="K79" s="201"/>
      <c r="L79" s="236">
        <v>8</v>
      </c>
      <c r="M79" s="324" t="s">
        <v>302</v>
      </c>
      <c r="N79" s="237" t="s">
        <v>399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f>T6</f>
        <v>46112</v>
      </c>
      <c r="U79" s="400">
        <f>(Q79/$X$79*$J$79)</f>
        <v>120554.88997555013</v>
      </c>
      <c r="V79" s="713">
        <f>J79-SUM(U79:U93)</f>
        <v>0</v>
      </c>
      <c r="W79" s="457">
        <f>T79+30</f>
        <v>46142</v>
      </c>
      <c r="X79" s="683">
        <f>SUM(Q79:Q93)</f>
        <v>204500</v>
      </c>
    </row>
    <row r="80" spans="1:24" ht="14.25" customHeight="1">
      <c r="B80" s="226">
        <v>8</v>
      </c>
      <c r="C80" s="227"/>
      <c r="D80" s="239" t="s">
        <v>400</v>
      </c>
      <c r="E80" s="314"/>
      <c r="F80" s="359"/>
      <c r="G80" s="228">
        <v>12000</v>
      </c>
      <c r="H80" s="545">
        <v>46112</v>
      </c>
      <c r="I80" s="684"/>
      <c r="J80" s="687"/>
      <c r="K80" s="205"/>
      <c r="L80" s="226">
        <v>8</v>
      </c>
      <c r="M80" s="332" t="s">
        <v>302</v>
      </c>
      <c r="N80" s="239"/>
      <c r="O80" s="632"/>
      <c r="P80" s="533"/>
      <c r="Q80" s="228"/>
      <c r="R80" s="474"/>
      <c r="S80" s="505"/>
      <c r="T80" s="416"/>
      <c r="U80" s="400">
        <f t="shared" ref="U80:U91" si="16">(Q80/$X$79*$J$79)</f>
        <v>0</v>
      </c>
      <c r="V80" s="714"/>
      <c r="W80" s="457"/>
      <c r="X80" s="684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684"/>
      <c r="J81" s="687"/>
      <c r="K81" s="205"/>
      <c r="L81" s="226">
        <v>8</v>
      </c>
      <c r="M81" s="332" t="s">
        <v>302</v>
      </c>
      <c r="N81" s="239" t="s">
        <v>422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6"/>
        <v>8767.6283618581911</v>
      </c>
      <c r="V81" s="714"/>
      <c r="W81" s="457">
        <f>T81-14</f>
        <v>46098</v>
      </c>
      <c r="X81" s="684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684"/>
      <c r="J82" s="687"/>
      <c r="K82" s="205"/>
      <c r="L82" s="226">
        <v>8</v>
      </c>
      <c r="M82" s="332" t="s">
        <v>302</v>
      </c>
      <c r="N82" s="239" t="s">
        <v>423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6"/>
        <v>8767.6283618581911</v>
      </c>
      <c r="V82" s="714"/>
      <c r="W82" s="457">
        <v>46112</v>
      </c>
      <c r="X82" s="684"/>
    </row>
    <row r="83" spans="1:24" ht="14.25" customHeight="1">
      <c r="B83" s="226">
        <v>8</v>
      </c>
      <c r="C83" s="227"/>
      <c r="D83" s="239" t="s">
        <v>401</v>
      </c>
      <c r="E83" s="314"/>
      <c r="F83" s="359"/>
      <c r="G83" s="228">
        <v>30000</v>
      </c>
      <c r="H83" s="545">
        <v>46112</v>
      </c>
      <c r="I83" s="684"/>
      <c r="J83" s="687"/>
      <c r="K83" s="205"/>
      <c r="L83" s="226">
        <v>8</v>
      </c>
      <c r="M83" s="332" t="s">
        <v>302</v>
      </c>
      <c r="N83" s="239" t="s">
        <v>420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6"/>
        <v>40184.96332518338</v>
      </c>
      <c r="V83" s="714"/>
      <c r="W83" s="457">
        <f t="shared" ref="W83" si="17">T83-14</f>
        <v>46098</v>
      </c>
      <c r="X83" s="684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684"/>
      <c r="J84" s="687"/>
      <c r="K84" s="205"/>
      <c r="L84" s="226">
        <v>8</v>
      </c>
      <c r="M84" s="332" t="s">
        <v>302</v>
      </c>
      <c r="N84" s="239" t="s">
        <v>421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6"/>
        <v>40184.96332518338</v>
      </c>
      <c r="V84" s="714"/>
      <c r="W84" s="457">
        <v>46112</v>
      </c>
      <c r="X84" s="684"/>
    </row>
    <row r="85" spans="1:24" ht="14.25" customHeight="1">
      <c r="B85" s="226">
        <v>8</v>
      </c>
      <c r="C85" s="227"/>
      <c r="D85" s="239" t="s">
        <v>403</v>
      </c>
      <c r="E85" s="314"/>
      <c r="F85" s="359"/>
      <c r="G85" s="228">
        <v>35000</v>
      </c>
      <c r="H85" s="545">
        <v>46112</v>
      </c>
      <c r="I85" s="684"/>
      <c r="J85" s="687"/>
      <c r="K85" s="205"/>
      <c r="L85" s="226">
        <v>8</v>
      </c>
      <c r="M85" s="332" t="s">
        <v>302</v>
      </c>
      <c r="N85" s="239" t="s">
        <v>425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6"/>
        <v>40184.96332518338</v>
      </c>
      <c r="V85" s="714"/>
      <c r="W85" s="457">
        <f t="shared" ref="W85" si="18">T85-14</f>
        <v>46098</v>
      </c>
      <c r="X85" s="684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684"/>
      <c r="J86" s="687"/>
      <c r="K86" s="205"/>
      <c r="L86" s="226">
        <v>8</v>
      </c>
      <c r="M86" s="332" t="s">
        <v>302</v>
      </c>
      <c r="N86" s="239" t="s">
        <v>426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6"/>
        <v>40184.96332518338</v>
      </c>
      <c r="V86" s="714"/>
      <c r="W86" s="457">
        <v>46112</v>
      </c>
      <c r="X86" s="684"/>
    </row>
    <row r="87" spans="1:24" ht="14" customHeight="1">
      <c r="B87" s="226">
        <v>8</v>
      </c>
      <c r="C87" s="227"/>
      <c r="D87" s="239" t="s">
        <v>404</v>
      </c>
      <c r="E87" s="314"/>
      <c r="F87" s="359"/>
      <c r="G87" s="228">
        <v>40000</v>
      </c>
      <c r="H87" s="545">
        <v>46112</v>
      </c>
      <c r="I87" s="684"/>
      <c r="J87" s="687"/>
      <c r="K87" s="205"/>
      <c r="L87" s="226">
        <v>8</v>
      </c>
      <c r="M87" s="332" t="s">
        <v>302</v>
      </c>
      <c r="N87" s="239"/>
      <c r="O87" s="632"/>
      <c r="P87" s="533"/>
      <c r="Q87" s="228"/>
      <c r="R87" s="474"/>
      <c r="S87" s="505"/>
      <c r="T87" s="416" t="str">
        <f t="shared" si="15"/>
        <v/>
      </c>
      <c r="U87" s="400">
        <f t="shared" si="16"/>
        <v>0</v>
      </c>
      <c r="V87" s="714"/>
      <c r="W87" s="458"/>
      <c r="X87" s="684"/>
    </row>
    <row r="88" spans="1:24" ht="14" customHeight="1">
      <c r="B88" s="226"/>
      <c r="C88" s="227"/>
      <c r="D88" s="239"/>
      <c r="E88" s="314"/>
      <c r="F88" s="359"/>
      <c r="G88" s="228"/>
      <c r="H88" s="545"/>
      <c r="I88" s="684"/>
      <c r="J88" s="687"/>
      <c r="K88" s="205"/>
      <c r="L88" s="226">
        <v>8</v>
      </c>
      <c r="M88" s="332" t="s">
        <v>302</v>
      </c>
      <c r="N88" s="239"/>
      <c r="O88" s="632"/>
      <c r="P88" s="533"/>
      <c r="Q88" s="228"/>
      <c r="R88" s="474"/>
      <c r="S88" s="505"/>
      <c r="T88" s="416"/>
      <c r="U88" s="400">
        <f t="shared" si="16"/>
        <v>0</v>
      </c>
      <c r="V88" s="714"/>
      <c r="W88" s="458"/>
      <c r="X88" s="684"/>
    </row>
    <row r="89" spans="1:24" ht="14.25" customHeight="1">
      <c r="B89" s="226">
        <v>8</v>
      </c>
      <c r="C89" s="227"/>
      <c r="D89" s="239" t="s">
        <v>405</v>
      </c>
      <c r="E89" s="314"/>
      <c r="F89" s="359"/>
      <c r="G89" s="228">
        <v>3900</v>
      </c>
      <c r="H89" s="545">
        <v>46112</v>
      </c>
      <c r="I89" s="684"/>
      <c r="J89" s="687"/>
      <c r="K89" s="205"/>
      <c r="L89" s="226">
        <v>8</v>
      </c>
      <c r="M89" s="332" t="s">
        <v>302</v>
      </c>
      <c r="N89" s="239"/>
      <c r="O89" s="633"/>
      <c r="P89" s="533"/>
      <c r="Q89" s="228"/>
      <c r="R89" s="474"/>
      <c r="S89" s="505"/>
      <c r="T89" s="416"/>
      <c r="U89" s="400">
        <f t="shared" si="16"/>
        <v>0</v>
      </c>
      <c r="V89" s="714"/>
      <c r="W89" s="458"/>
      <c r="X89" s="684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684"/>
      <c r="J90" s="687"/>
      <c r="K90" s="205"/>
      <c r="L90" s="226">
        <v>8</v>
      </c>
      <c r="M90" s="332" t="s">
        <v>302</v>
      </c>
      <c r="N90" s="239"/>
      <c r="O90" s="633"/>
      <c r="P90" s="533"/>
      <c r="Q90" s="228"/>
      <c r="R90" s="474"/>
      <c r="S90" s="505"/>
      <c r="T90" s="416"/>
      <c r="U90" s="400">
        <f t="shared" si="16"/>
        <v>0</v>
      </c>
      <c r="V90" s="714"/>
      <c r="W90" s="458"/>
      <c r="X90" s="684"/>
    </row>
    <row r="91" spans="1:24" ht="14.25" customHeight="1">
      <c r="B91" s="226">
        <v>8</v>
      </c>
      <c r="C91" s="227"/>
      <c r="D91" s="239" t="s">
        <v>406</v>
      </c>
      <c r="E91" s="314"/>
      <c r="F91" s="359"/>
      <c r="G91" s="228">
        <v>41640.600000000006</v>
      </c>
      <c r="H91" s="545">
        <v>46142</v>
      </c>
      <c r="I91" s="684"/>
      <c r="J91" s="687"/>
      <c r="K91" s="205"/>
      <c r="L91" s="226">
        <v>8</v>
      </c>
      <c r="M91" s="332" t="s">
        <v>302</v>
      </c>
      <c r="N91" s="239"/>
      <c r="O91" s="633"/>
      <c r="P91" s="533"/>
      <c r="Q91" s="228"/>
      <c r="R91" s="474"/>
      <c r="S91" s="505"/>
      <c r="T91" s="545" t="str">
        <f t="shared" si="15"/>
        <v/>
      </c>
      <c r="U91" s="400">
        <f t="shared" si="16"/>
        <v>0</v>
      </c>
      <c r="V91" s="714"/>
      <c r="W91" s="458"/>
      <c r="X91" s="684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684"/>
      <c r="J92" s="687"/>
      <c r="K92" s="205"/>
      <c r="L92" s="226">
        <v>8</v>
      </c>
      <c r="M92" s="332" t="s">
        <v>302</v>
      </c>
      <c r="N92" s="239"/>
      <c r="O92" s="633"/>
      <c r="P92" s="533"/>
      <c r="Q92" s="228"/>
      <c r="R92" s="478"/>
      <c r="S92" s="509"/>
      <c r="T92" s="419" t="str">
        <f t="shared" si="15"/>
        <v/>
      </c>
      <c r="U92" s="406">
        <f t="shared" ref="U92:U93" si="19">(Q92/$X$79*$J$79)</f>
        <v>0</v>
      </c>
      <c r="V92" s="714"/>
      <c r="W92" s="461"/>
      <c r="X92" s="684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685"/>
      <c r="J93" s="688"/>
      <c r="K93" s="210"/>
      <c r="L93" s="206">
        <v>8</v>
      </c>
      <c r="M93" s="331" t="s">
        <v>302</v>
      </c>
      <c r="N93" s="208"/>
      <c r="O93" s="634"/>
      <c r="P93" s="630"/>
      <c r="Q93" s="209"/>
      <c r="R93" s="475"/>
      <c r="S93" s="506"/>
      <c r="T93" s="417" t="str">
        <f t="shared" si="15"/>
        <v/>
      </c>
      <c r="U93" s="402">
        <f t="shared" si="19"/>
        <v>0</v>
      </c>
      <c r="V93" s="715"/>
      <c r="W93" s="459"/>
      <c r="X93" s="685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303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5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304</v>
      </c>
      <c r="D95" s="231" t="s">
        <v>305</v>
      </c>
      <c r="E95" s="218"/>
      <c r="F95" s="336"/>
      <c r="G95" s="495">
        <f>D179</f>
        <v>104920</v>
      </c>
      <c r="H95" s="542">
        <f>'Project Plan'!G22+7</f>
        <v>46111</v>
      </c>
      <c r="I95" s="707">
        <f>SUM(G95:G106)</f>
        <v>333680</v>
      </c>
      <c r="J95" s="677">
        <f>F179+F180</f>
        <v>370755.55555555556</v>
      </c>
      <c r="K95" s="192"/>
      <c r="L95" s="215">
        <v>9</v>
      </c>
      <c r="M95" s="322" t="s">
        <v>306</v>
      </c>
      <c r="N95" s="231"/>
      <c r="O95" s="433"/>
      <c r="P95" s="336"/>
      <c r="Q95" s="219"/>
      <c r="R95" s="476"/>
      <c r="S95" s="507"/>
      <c r="T95" s="418" t="str">
        <f t="shared" si="15"/>
        <v/>
      </c>
      <c r="U95" s="404">
        <f t="shared" ref="U95:U106" si="20">(Q95/$X$95*$J$95)</f>
        <v>0</v>
      </c>
      <c r="V95" s="689">
        <f>J95-SUM(U95:U106)</f>
        <v>0</v>
      </c>
      <c r="W95" s="460"/>
      <c r="X95" s="674">
        <f>SUM(Q95:Q106)</f>
        <v>343628.00000000006</v>
      </c>
    </row>
    <row r="96" spans="1:24" ht="15" customHeight="1">
      <c r="B96" s="215">
        <v>9</v>
      </c>
      <c r="C96" s="341"/>
      <c r="D96" s="232" t="s">
        <v>307</v>
      </c>
      <c r="E96" s="218"/>
      <c r="F96" s="357"/>
      <c r="G96" s="495">
        <f>D180</f>
        <v>228760</v>
      </c>
      <c r="H96" s="541">
        <f>'Project Plan'!G32+7</f>
        <v>46106</v>
      </c>
      <c r="I96" s="708"/>
      <c r="J96" s="678"/>
      <c r="K96" s="192"/>
      <c r="L96" s="215">
        <v>9</v>
      </c>
      <c r="M96" s="322" t="s">
        <v>306</v>
      </c>
      <c r="N96" s="232" t="s">
        <v>283</v>
      </c>
      <c r="O96" s="449">
        <f>Z30+Z29+Z34</f>
        <v>343628</v>
      </c>
      <c r="P96" s="450">
        <v>0.1</v>
      </c>
      <c r="Q96" s="219">
        <f>$O$96*P96</f>
        <v>34362.800000000003</v>
      </c>
      <c r="R96" s="719"/>
      <c r="S96" s="500"/>
      <c r="T96" s="412">
        <f t="shared" si="15"/>
        <v>46112</v>
      </c>
      <c r="U96" s="397">
        <f t="shared" si="20"/>
        <v>37075.555555555555</v>
      </c>
      <c r="V96" s="690"/>
      <c r="W96" s="453">
        <f>'Project Plan'!I20+7</f>
        <v>46110</v>
      </c>
      <c r="X96" s="67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8"/>
      <c r="J97" s="678"/>
      <c r="K97" s="192"/>
      <c r="L97" s="284">
        <v>9</v>
      </c>
      <c r="M97" s="394" t="s">
        <v>306</v>
      </c>
      <c r="N97" s="286" t="s">
        <v>186</v>
      </c>
      <c r="O97" s="434"/>
      <c r="P97" s="448">
        <v>0.15</v>
      </c>
      <c r="Q97" s="219">
        <f t="shared" ref="Q97:Q103" si="21">$O$96*P97</f>
        <v>51544.2</v>
      </c>
      <c r="R97" s="720"/>
      <c r="S97" s="501"/>
      <c r="T97" s="412">
        <f t="shared" si="15"/>
        <v>46112</v>
      </c>
      <c r="U97" s="397">
        <f t="shared" si="20"/>
        <v>55613.333333333321</v>
      </c>
      <c r="V97" s="690"/>
      <c r="W97" s="454">
        <f>'Project Plan'!I20+7</f>
        <v>46110</v>
      </c>
      <c r="X97" s="67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8"/>
      <c r="J98" s="678"/>
      <c r="K98" s="192"/>
      <c r="L98" s="284">
        <v>9</v>
      </c>
      <c r="M98" s="394" t="s">
        <v>306</v>
      </c>
      <c r="N98" s="286" t="s">
        <v>286</v>
      </c>
      <c r="O98" s="434"/>
      <c r="P98" s="448">
        <v>0.2</v>
      </c>
      <c r="Q98" s="219">
        <f t="shared" si="21"/>
        <v>68725.600000000006</v>
      </c>
      <c r="R98" s="720"/>
      <c r="S98" s="501"/>
      <c r="T98" s="412">
        <f t="shared" si="15"/>
        <v>46142</v>
      </c>
      <c r="U98" s="397">
        <f t="shared" si="20"/>
        <v>74151.111111111109</v>
      </c>
      <c r="V98" s="690"/>
      <c r="W98" s="454">
        <f>'Project Plan'!K22+7</f>
        <v>46141</v>
      </c>
      <c r="X98" s="67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8"/>
      <c r="J99" s="678"/>
      <c r="K99" s="192"/>
      <c r="L99" s="284">
        <v>9</v>
      </c>
      <c r="M99" s="394" t="s">
        <v>306</v>
      </c>
      <c r="N99" s="286" t="s">
        <v>287</v>
      </c>
      <c r="O99" s="434"/>
      <c r="P99" s="448">
        <v>0.25</v>
      </c>
      <c r="Q99" s="219">
        <f t="shared" si="21"/>
        <v>85907</v>
      </c>
      <c r="R99" s="720"/>
      <c r="S99" s="501"/>
      <c r="T99" s="412">
        <f t="shared" si="15"/>
        <v>46142</v>
      </c>
      <c r="U99" s="397">
        <f t="shared" si="20"/>
        <v>92688.888888888876</v>
      </c>
      <c r="V99" s="690"/>
      <c r="W99" s="454">
        <f>'Project Plan'!K32+7</f>
        <v>46135</v>
      </c>
      <c r="X99" s="675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08"/>
      <c r="J100" s="678"/>
      <c r="K100" s="192"/>
      <c r="L100" s="284">
        <v>9</v>
      </c>
      <c r="M100" s="394" t="s">
        <v>306</v>
      </c>
      <c r="N100" s="286" t="s">
        <v>288</v>
      </c>
      <c r="O100" s="434"/>
      <c r="P100" s="448">
        <v>0.1</v>
      </c>
      <c r="Q100" s="219">
        <f t="shared" si="21"/>
        <v>34362.800000000003</v>
      </c>
      <c r="R100" s="720"/>
      <c r="S100" s="501"/>
      <c r="T100" s="412">
        <f t="shared" si="15"/>
        <v>46173</v>
      </c>
      <c r="U100" s="397">
        <f t="shared" si="20"/>
        <v>37075.555555555555</v>
      </c>
      <c r="V100" s="690"/>
      <c r="W100" s="454">
        <f>'Project Plan'!K43+7</f>
        <v>46160</v>
      </c>
      <c r="X100" s="675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08"/>
      <c r="J101" s="678"/>
      <c r="K101" s="192"/>
      <c r="L101" s="284">
        <v>9</v>
      </c>
      <c r="M101" s="394" t="s">
        <v>306</v>
      </c>
      <c r="N101" s="286" t="s">
        <v>289</v>
      </c>
      <c r="O101" s="434"/>
      <c r="P101" s="448">
        <v>0.1</v>
      </c>
      <c r="Q101" s="219">
        <f t="shared" si="21"/>
        <v>34362.800000000003</v>
      </c>
      <c r="R101" s="720"/>
      <c r="S101" s="501"/>
      <c r="T101" s="412">
        <f t="shared" si="15"/>
        <v>46173</v>
      </c>
      <c r="U101" s="397">
        <f t="shared" si="20"/>
        <v>37075.555555555555</v>
      </c>
      <c r="V101" s="690"/>
      <c r="W101" s="454">
        <f>'Project Plan'!K50+7</f>
        <v>46161</v>
      </c>
      <c r="X101" s="675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08"/>
      <c r="J102" s="678"/>
      <c r="K102" s="192"/>
      <c r="L102" s="284">
        <v>9</v>
      </c>
      <c r="M102" s="394" t="s">
        <v>306</v>
      </c>
      <c r="N102" s="286" t="s">
        <v>290</v>
      </c>
      <c r="O102" s="434"/>
      <c r="P102" s="448">
        <v>0.05</v>
      </c>
      <c r="Q102" s="219">
        <f t="shared" si="21"/>
        <v>17181.400000000001</v>
      </c>
      <c r="R102" s="720"/>
      <c r="S102" s="501"/>
      <c r="T102" s="412">
        <f t="shared" si="15"/>
        <v>46173</v>
      </c>
      <c r="U102" s="397">
        <f t="shared" si="20"/>
        <v>18537.777777777777</v>
      </c>
      <c r="V102" s="690"/>
      <c r="W102" s="454">
        <f>'Project Plan'!K50+7</f>
        <v>46161</v>
      </c>
      <c r="X102" s="675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08"/>
      <c r="J103" s="678"/>
      <c r="K103" s="192"/>
      <c r="L103" s="284">
        <v>9</v>
      </c>
      <c r="M103" s="394" t="s">
        <v>306</v>
      </c>
      <c r="N103" s="286" t="s">
        <v>291</v>
      </c>
      <c r="O103" s="434"/>
      <c r="P103" s="448">
        <v>0.05</v>
      </c>
      <c r="Q103" s="219">
        <f t="shared" si="21"/>
        <v>17181.400000000001</v>
      </c>
      <c r="R103" s="721"/>
      <c r="S103" s="501"/>
      <c r="T103" s="412">
        <f t="shared" si="15"/>
        <v>46203</v>
      </c>
      <c r="U103" s="397">
        <f t="shared" si="20"/>
        <v>18537.777777777777</v>
      </c>
      <c r="V103" s="690"/>
      <c r="W103" s="454">
        <f>'Project Plan'!K50+30</f>
        <v>46184</v>
      </c>
      <c r="X103" s="675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08"/>
      <c r="J104" s="678"/>
      <c r="K104" s="192"/>
      <c r="L104" s="284">
        <v>9</v>
      </c>
      <c r="M104" s="394" t="s">
        <v>306</v>
      </c>
      <c r="N104" s="286"/>
      <c r="O104" s="434"/>
      <c r="P104" s="343"/>
      <c r="Q104" s="287"/>
      <c r="R104" s="470"/>
      <c r="S104" s="501"/>
      <c r="T104" s="412" t="str">
        <f t="shared" si="15"/>
        <v/>
      </c>
      <c r="U104" s="397">
        <f t="shared" si="20"/>
        <v>0</v>
      </c>
      <c r="V104" s="690"/>
      <c r="W104" s="454"/>
      <c r="X104" s="675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08"/>
      <c r="J105" s="678"/>
      <c r="K105" s="192"/>
      <c r="L105" s="284">
        <v>9</v>
      </c>
      <c r="M105" s="394" t="s">
        <v>306</v>
      </c>
      <c r="N105" s="286"/>
      <c r="O105" s="434"/>
      <c r="P105" s="343"/>
      <c r="Q105" s="287"/>
      <c r="R105" s="470"/>
      <c r="S105" s="501"/>
      <c r="T105" s="412" t="str">
        <f t="shared" si="15"/>
        <v/>
      </c>
      <c r="U105" s="397">
        <f t="shared" si="20"/>
        <v>0</v>
      </c>
      <c r="V105" s="690"/>
      <c r="W105" s="454"/>
      <c r="X105" s="675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09"/>
      <c r="J106" s="679"/>
      <c r="K106" s="267"/>
      <c r="L106" s="220">
        <v>9</v>
      </c>
      <c r="M106" s="340" t="s">
        <v>306</v>
      </c>
      <c r="N106" s="233"/>
      <c r="O106" s="435"/>
      <c r="P106" s="358"/>
      <c r="Q106" s="234"/>
      <c r="R106" s="471"/>
      <c r="S106" s="502"/>
      <c r="T106" s="413" t="str">
        <f t="shared" si="15"/>
        <v/>
      </c>
      <c r="U106" s="398">
        <f t="shared" si="20"/>
        <v>0</v>
      </c>
      <c r="V106" s="691"/>
      <c r="W106" s="455"/>
      <c r="X106" s="676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5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308</v>
      </c>
      <c r="D108" s="174" t="s">
        <v>265</v>
      </c>
      <c r="E108" s="175"/>
      <c r="F108" s="368"/>
      <c r="G108" s="242">
        <f>D183</f>
        <v>8500</v>
      </c>
      <c r="H108" s="561">
        <f>H95</f>
        <v>46111</v>
      </c>
      <c r="I108" s="701">
        <f>SUM(G108:G122)</f>
        <v>49217.111111111109</v>
      </c>
      <c r="J108" s="704">
        <f>F183+F186+F187+F185+F184</f>
        <v>54685.679012345681</v>
      </c>
      <c r="K108" s="243"/>
      <c r="L108" s="173">
        <v>10</v>
      </c>
      <c r="M108" s="333" t="s">
        <v>309</v>
      </c>
      <c r="N108" s="174" t="s">
        <v>310</v>
      </c>
      <c r="O108" s="443"/>
      <c r="P108" s="368"/>
      <c r="Q108" s="242">
        <v>24000</v>
      </c>
      <c r="R108" s="482"/>
      <c r="S108" s="512"/>
      <c r="T108" s="423">
        <v>46112</v>
      </c>
      <c r="U108" s="408">
        <f t="shared" ref="U108:U121" si="22">(Q108/$X$108*$J$108)</f>
        <v>28886.749330151546</v>
      </c>
      <c r="V108" s="710">
        <f>J108-SUM(U108:U122)</f>
        <v>0</v>
      </c>
      <c r="W108" s="464">
        <f>T108</f>
        <v>46112</v>
      </c>
      <c r="X108" s="701">
        <f>SUM(Q108:Q122)</f>
        <v>45434.544444444451</v>
      </c>
    </row>
    <row r="109" spans="1:24" ht="14.25" customHeight="1">
      <c r="B109" s="244">
        <v>10</v>
      </c>
      <c r="C109" s="245"/>
      <c r="D109" s="245" t="s">
        <v>266</v>
      </c>
      <c r="E109" s="246"/>
      <c r="F109" s="369"/>
      <c r="G109" s="247">
        <f>D187</f>
        <v>15072.666666666666</v>
      </c>
      <c r="H109" s="562">
        <f>H95</f>
        <v>46111</v>
      </c>
      <c r="I109" s="702"/>
      <c r="J109" s="705"/>
      <c r="K109" s="176"/>
      <c r="L109" s="244">
        <v>10</v>
      </c>
      <c r="M109" s="334" t="s">
        <v>309</v>
      </c>
      <c r="N109" s="245"/>
      <c r="O109" s="444"/>
      <c r="P109" s="369"/>
      <c r="Q109" s="247"/>
      <c r="R109" s="483"/>
      <c r="S109" s="513"/>
      <c r="T109" s="424" t="str">
        <f t="shared" si="15"/>
        <v/>
      </c>
      <c r="U109" s="523">
        <f t="shared" si="22"/>
        <v>0</v>
      </c>
      <c r="V109" s="711"/>
      <c r="W109" s="465"/>
      <c r="X109" s="702"/>
    </row>
    <row r="110" spans="1:24" ht="14.25" customHeight="1">
      <c r="B110" s="244">
        <v>10</v>
      </c>
      <c r="C110" s="245"/>
      <c r="D110" s="245" t="s">
        <v>310</v>
      </c>
      <c r="E110" s="246"/>
      <c r="F110" s="369"/>
      <c r="G110" s="247">
        <f>D186</f>
        <v>24000</v>
      </c>
      <c r="H110" s="562">
        <f>H95</f>
        <v>46111</v>
      </c>
      <c r="I110" s="702"/>
      <c r="J110" s="705"/>
      <c r="K110" s="176"/>
      <c r="L110" s="244">
        <v>10</v>
      </c>
      <c r="M110" s="334" t="s">
        <v>309</v>
      </c>
      <c r="N110" s="245"/>
      <c r="O110" s="444"/>
      <c r="P110" s="369"/>
      <c r="Q110" s="247"/>
      <c r="R110" s="483"/>
      <c r="S110" s="513"/>
      <c r="T110" s="424" t="str">
        <f t="shared" si="15"/>
        <v/>
      </c>
      <c r="U110" s="409">
        <f t="shared" si="22"/>
        <v>0</v>
      </c>
      <c r="V110" s="711"/>
      <c r="W110" s="465"/>
      <c r="X110" s="702"/>
    </row>
    <row r="111" spans="1:24" ht="14.25" customHeight="1">
      <c r="B111" s="244">
        <v>10</v>
      </c>
      <c r="C111" s="245"/>
      <c r="D111" s="245" t="s">
        <v>267</v>
      </c>
      <c r="E111" s="246"/>
      <c r="F111" s="369"/>
      <c r="G111" s="247">
        <f>D185</f>
        <v>1644.4444444444443</v>
      </c>
      <c r="H111" s="562">
        <f>H95</f>
        <v>46111</v>
      </c>
      <c r="I111" s="702"/>
      <c r="J111" s="705"/>
      <c r="K111" s="176"/>
      <c r="L111" s="244">
        <v>10</v>
      </c>
      <c r="M111" s="334" t="s">
        <v>309</v>
      </c>
      <c r="N111" s="245"/>
      <c r="O111" s="444"/>
      <c r="P111" s="369"/>
      <c r="Q111" s="247"/>
      <c r="R111" s="483"/>
      <c r="S111" s="513"/>
      <c r="T111" s="424" t="str">
        <f t="shared" si="15"/>
        <v/>
      </c>
      <c r="U111" s="409">
        <f t="shared" si="22"/>
        <v>0</v>
      </c>
      <c r="V111" s="711"/>
      <c r="W111" s="465"/>
      <c r="X111" s="70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02"/>
      <c r="J112" s="705"/>
      <c r="K112" s="176"/>
      <c r="L112" s="244">
        <v>10</v>
      </c>
      <c r="M112" s="334" t="s">
        <v>309</v>
      </c>
      <c r="N112" s="245" t="s">
        <v>283</v>
      </c>
      <c r="O112" s="494">
        <f>SUM(Z31:Z33)</f>
        <v>21434.544444444444</v>
      </c>
      <c r="P112" s="451">
        <v>0.1</v>
      </c>
      <c r="Q112" s="247">
        <f>$O$112*P112</f>
        <v>2143.4544444444446</v>
      </c>
      <c r="R112" s="716"/>
      <c r="S112" s="514"/>
      <c r="T112" s="425">
        <f>T96</f>
        <v>46112</v>
      </c>
      <c r="U112" s="409">
        <f t="shared" si="22"/>
        <v>2579.892968219413</v>
      </c>
      <c r="V112" s="711"/>
      <c r="W112" s="466">
        <f>W96</f>
        <v>46110</v>
      </c>
      <c r="X112" s="70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02"/>
      <c r="J113" s="705"/>
      <c r="K113" s="176"/>
      <c r="L113" s="244">
        <v>10</v>
      </c>
      <c r="M113" s="334" t="s">
        <v>309</v>
      </c>
      <c r="N113" s="245" t="s">
        <v>186</v>
      </c>
      <c r="O113" s="444"/>
      <c r="P113" s="451">
        <v>0.15</v>
      </c>
      <c r="Q113" s="247">
        <f t="shared" ref="Q113:Q119" si="23">$O$112*P113</f>
        <v>3215.1816666666664</v>
      </c>
      <c r="R113" s="717"/>
      <c r="S113" s="519"/>
      <c r="T113" s="425">
        <f t="shared" ref="T113:T119" si="24">T97</f>
        <v>46112</v>
      </c>
      <c r="U113" s="409">
        <f t="shared" si="22"/>
        <v>3869.839452329119</v>
      </c>
      <c r="V113" s="711"/>
      <c r="W113" s="466">
        <f t="shared" ref="W113:W119" si="25">W97</f>
        <v>46110</v>
      </c>
      <c r="X113" s="70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02"/>
      <c r="J114" s="705"/>
      <c r="K114" s="176"/>
      <c r="L114" s="244">
        <v>10</v>
      </c>
      <c r="M114" s="334" t="s">
        <v>309</v>
      </c>
      <c r="N114" s="245" t="s">
        <v>286</v>
      </c>
      <c r="O114" s="444"/>
      <c r="P114" s="451">
        <v>0.2</v>
      </c>
      <c r="Q114" s="247">
        <f t="shared" si="23"/>
        <v>4286.9088888888891</v>
      </c>
      <c r="R114" s="717"/>
      <c r="S114" s="514"/>
      <c r="T114" s="425">
        <f t="shared" si="24"/>
        <v>46142</v>
      </c>
      <c r="U114" s="409">
        <f t="shared" si="22"/>
        <v>5159.785936438826</v>
      </c>
      <c r="V114" s="711"/>
      <c r="W114" s="466">
        <f t="shared" si="25"/>
        <v>46141</v>
      </c>
      <c r="X114" s="70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02"/>
      <c r="J115" s="705"/>
      <c r="K115" s="176"/>
      <c r="L115" s="244">
        <v>10</v>
      </c>
      <c r="M115" s="334" t="s">
        <v>309</v>
      </c>
      <c r="N115" s="245" t="s">
        <v>287</v>
      </c>
      <c r="O115" s="444"/>
      <c r="P115" s="451">
        <v>0.25</v>
      </c>
      <c r="Q115" s="247">
        <f t="shared" si="23"/>
        <v>5358.6361111111109</v>
      </c>
      <c r="R115" s="717"/>
      <c r="S115" s="514"/>
      <c r="T115" s="425">
        <f t="shared" si="24"/>
        <v>46142</v>
      </c>
      <c r="U115" s="409">
        <f t="shared" si="22"/>
        <v>6449.732420548532</v>
      </c>
      <c r="V115" s="711"/>
      <c r="W115" s="466">
        <f t="shared" si="25"/>
        <v>46135</v>
      </c>
      <c r="X115" s="70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02"/>
      <c r="J116" s="705"/>
      <c r="K116" s="176"/>
      <c r="L116" s="244">
        <v>10</v>
      </c>
      <c r="M116" s="334" t="s">
        <v>309</v>
      </c>
      <c r="N116" s="245" t="s">
        <v>288</v>
      </c>
      <c r="O116" s="444"/>
      <c r="P116" s="451">
        <v>0.1</v>
      </c>
      <c r="Q116" s="247">
        <f t="shared" si="23"/>
        <v>2143.4544444444446</v>
      </c>
      <c r="R116" s="717"/>
      <c r="S116" s="514"/>
      <c r="T116" s="425">
        <f t="shared" si="24"/>
        <v>46173</v>
      </c>
      <c r="U116" s="409">
        <f t="shared" si="22"/>
        <v>2579.892968219413</v>
      </c>
      <c r="V116" s="711"/>
      <c r="W116" s="466">
        <f t="shared" si="25"/>
        <v>46160</v>
      </c>
      <c r="X116" s="702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02"/>
      <c r="J117" s="705"/>
      <c r="K117" s="176"/>
      <c r="L117" s="244">
        <v>10</v>
      </c>
      <c r="M117" s="334" t="s">
        <v>309</v>
      </c>
      <c r="N117" s="245" t="s">
        <v>289</v>
      </c>
      <c r="O117" s="444"/>
      <c r="P117" s="451">
        <v>0.1</v>
      </c>
      <c r="Q117" s="247">
        <f t="shared" si="23"/>
        <v>2143.4544444444446</v>
      </c>
      <c r="R117" s="717"/>
      <c r="S117" s="514"/>
      <c r="T117" s="425">
        <f t="shared" si="24"/>
        <v>46173</v>
      </c>
      <c r="U117" s="409">
        <f t="shared" si="22"/>
        <v>2579.892968219413</v>
      </c>
      <c r="V117" s="711"/>
      <c r="W117" s="466">
        <f t="shared" si="25"/>
        <v>46161</v>
      </c>
      <c r="X117" s="70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02"/>
      <c r="J118" s="705"/>
      <c r="K118" s="176"/>
      <c r="L118" s="244">
        <v>10</v>
      </c>
      <c r="M118" s="334" t="s">
        <v>309</v>
      </c>
      <c r="N118" s="245" t="s">
        <v>290</v>
      </c>
      <c r="O118" s="444"/>
      <c r="P118" s="451">
        <v>0.05</v>
      </c>
      <c r="Q118" s="247">
        <f t="shared" si="23"/>
        <v>1071.7272222222223</v>
      </c>
      <c r="R118" s="717"/>
      <c r="S118" s="514"/>
      <c r="T118" s="425">
        <f t="shared" si="24"/>
        <v>46173</v>
      </c>
      <c r="U118" s="409">
        <f t="shared" si="22"/>
        <v>1289.9464841097065</v>
      </c>
      <c r="V118" s="711"/>
      <c r="W118" s="466">
        <f t="shared" si="25"/>
        <v>46161</v>
      </c>
      <c r="X118" s="702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02"/>
      <c r="J119" s="705"/>
      <c r="K119" s="176"/>
      <c r="L119" s="244">
        <v>10</v>
      </c>
      <c r="M119" s="334" t="s">
        <v>309</v>
      </c>
      <c r="N119" s="245" t="s">
        <v>291</v>
      </c>
      <c r="O119" s="444"/>
      <c r="P119" s="451">
        <v>0.05</v>
      </c>
      <c r="Q119" s="247">
        <f t="shared" si="23"/>
        <v>1071.7272222222223</v>
      </c>
      <c r="R119" s="718"/>
      <c r="S119" s="514"/>
      <c r="T119" s="425">
        <f t="shared" si="24"/>
        <v>46203</v>
      </c>
      <c r="U119" s="409">
        <f t="shared" si="22"/>
        <v>1289.9464841097065</v>
      </c>
      <c r="V119" s="711"/>
      <c r="W119" s="466">
        <f t="shared" si="25"/>
        <v>46184</v>
      </c>
      <c r="X119" s="702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02"/>
      <c r="J120" s="705"/>
      <c r="K120" s="176"/>
      <c r="L120" s="244">
        <v>10</v>
      </c>
      <c r="M120" s="334" t="s">
        <v>309</v>
      </c>
      <c r="N120" s="245"/>
      <c r="O120" s="444"/>
      <c r="P120" s="369"/>
      <c r="Q120" s="247"/>
      <c r="R120" s="484"/>
      <c r="S120" s="514"/>
      <c r="T120" s="425" t="str">
        <f t="shared" si="15"/>
        <v/>
      </c>
      <c r="U120" s="409">
        <f t="shared" si="22"/>
        <v>0</v>
      </c>
      <c r="V120" s="711"/>
      <c r="W120" s="466"/>
      <c r="X120" s="702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02"/>
      <c r="J121" s="705"/>
      <c r="K121" s="176"/>
      <c r="L121" s="244">
        <v>10</v>
      </c>
      <c r="M121" s="334" t="s">
        <v>309</v>
      </c>
      <c r="N121" s="245"/>
      <c r="O121" s="444"/>
      <c r="P121" s="369"/>
      <c r="Q121" s="247"/>
      <c r="R121" s="484"/>
      <c r="S121" s="514"/>
      <c r="T121" s="425" t="str">
        <f t="shared" si="15"/>
        <v/>
      </c>
      <c r="U121" s="409">
        <f t="shared" si="22"/>
        <v>0</v>
      </c>
      <c r="V121" s="711"/>
      <c r="W121" s="466"/>
      <c r="X121" s="702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703"/>
      <c r="J122" s="706"/>
      <c r="K122" s="179"/>
      <c r="L122" s="177">
        <v>10</v>
      </c>
      <c r="M122" s="335" t="s">
        <v>309</v>
      </c>
      <c r="N122" s="248"/>
      <c r="O122" s="445"/>
      <c r="P122" s="370"/>
      <c r="Q122" s="178"/>
      <c r="R122" s="485"/>
      <c r="S122" s="515"/>
      <c r="T122" s="426" t="str">
        <f t="shared" si="15"/>
        <v/>
      </c>
      <c r="U122" s="410"/>
      <c r="V122" s="712"/>
      <c r="W122" s="467"/>
      <c r="X122" s="703"/>
    </row>
    <row r="123" spans="1:24" ht="14.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5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311</v>
      </c>
      <c r="D124" s="255" t="s">
        <v>312</v>
      </c>
      <c r="E124" s="187"/>
      <c r="F124" s="336"/>
      <c r="G124" s="188">
        <v>11000</v>
      </c>
      <c r="H124" s="542">
        <f>'Project Plan'!G43</f>
        <v>46122</v>
      </c>
      <c r="I124" s="674">
        <f>SUM(G124:G128)</f>
        <v>118984</v>
      </c>
      <c r="J124" s="677">
        <f>F182</f>
        <v>132204.44444444444</v>
      </c>
      <c r="K124" s="189"/>
      <c r="L124" s="185">
        <v>11</v>
      </c>
      <c r="M124" s="255" t="s">
        <v>313</v>
      </c>
      <c r="N124" s="255" t="s">
        <v>312</v>
      </c>
      <c r="O124" s="187"/>
      <c r="P124" s="336"/>
      <c r="Q124" s="188">
        <v>12577.5</v>
      </c>
      <c r="R124" s="535"/>
      <c r="S124" s="507"/>
      <c r="T124" s="418">
        <f t="shared" si="15"/>
        <v>46173</v>
      </c>
      <c r="U124" s="397">
        <f>(Q124/$X$124*$J$124)</f>
        <v>19430.357278490257</v>
      </c>
      <c r="V124" s="689">
        <f>J124-SUM(U124:U128)</f>
        <v>0</v>
      </c>
      <c r="W124" s="460">
        <f>'Project Plan'!K43+14</f>
        <v>46167</v>
      </c>
      <c r="X124" s="674">
        <f>SUM(Q124:Q128)</f>
        <v>85577.5</v>
      </c>
    </row>
    <row r="125" spans="1:24" ht="15" customHeight="1">
      <c r="B125" s="215">
        <v>11</v>
      </c>
      <c r="C125" s="217"/>
      <c r="D125" s="217" t="s">
        <v>314</v>
      </c>
      <c r="E125" s="218"/>
      <c r="F125" s="357"/>
      <c r="G125" s="219">
        <v>20984</v>
      </c>
      <c r="H125" s="542">
        <f>H124</f>
        <v>46122</v>
      </c>
      <c r="I125" s="675"/>
      <c r="J125" s="678"/>
      <c r="K125" s="192"/>
      <c r="L125" s="215">
        <v>11</v>
      </c>
      <c r="M125" s="290" t="s">
        <v>313</v>
      </c>
      <c r="N125" s="217" t="s">
        <v>315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90"/>
      <c r="W125" s="453"/>
      <c r="X125" s="675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75"/>
      <c r="J126" s="678"/>
      <c r="K126" s="192"/>
      <c r="L126" s="215">
        <v>11</v>
      </c>
      <c r="M126" s="290" t="s">
        <v>313</v>
      </c>
      <c r="N126" s="217" t="s">
        <v>414</v>
      </c>
      <c r="O126" s="218"/>
      <c r="P126" s="357"/>
      <c r="Q126" s="219">
        <v>60000</v>
      </c>
      <c r="R126" s="469"/>
      <c r="S126" s="500"/>
      <c r="T126" s="411">
        <f t="shared" si="15"/>
        <v>46112</v>
      </c>
      <c r="U126" s="397">
        <f>(Q126/$X$124*$J$124)</f>
        <v>92691.030547359609</v>
      </c>
      <c r="V126" s="690"/>
      <c r="W126" s="453">
        <f>W127</f>
        <v>46111</v>
      </c>
      <c r="X126" s="675"/>
    </row>
    <row r="127" spans="1:24" ht="15" customHeight="1">
      <c r="B127" s="215">
        <v>11</v>
      </c>
      <c r="C127" s="288"/>
      <c r="D127" s="288" t="s">
        <v>414</v>
      </c>
      <c r="E127" s="307"/>
      <c r="F127" s="343"/>
      <c r="G127" s="287">
        <v>80000</v>
      </c>
      <c r="H127" s="551">
        <v>46142</v>
      </c>
      <c r="I127" s="675"/>
      <c r="J127" s="678"/>
      <c r="K127" s="192"/>
      <c r="L127" s="215">
        <v>11</v>
      </c>
      <c r="M127" s="290" t="s">
        <v>313</v>
      </c>
      <c r="N127" s="288" t="s">
        <v>316</v>
      </c>
      <c r="O127" s="434"/>
      <c r="P127" s="343"/>
      <c r="Q127" s="287">
        <v>6000</v>
      </c>
      <c r="R127" s="470"/>
      <c r="S127" s="501"/>
      <c r="T127" s="411">
        <f t="shared" si="15"/>
        <v>46112</v>
      </c>
      <c r="U127" s="397">
        <f>(Q127/$X$124*$J$124)</f>
        <v>9269.1030547359605</v>
      </c>
      <c r="V127" s="690"/>
      <c r="W127" s="454">
        <v>46111</v>
      </c>
      <c r="X127" s="675"/>
    </row>
    <row r="128" spans="1:24" ht="15" customHeight="1" thickBot="1">
      <c r="B128" s="220">
        <v>11</v>
      </c>
      <c r="C128" s="221"/>
      <c r="D128" s="221" t="s">
        <v>415</v>
      </c>
      <c r="E128" s="222"/>
      <c r="F128" s="358"/>
      <c r="G128" s="234">
        <v>7000</v>
      </c>
      <c r="H128" s="552">
        <v>46081</v>
      </c>
      <c r="I128" s="676"/>
      <c r="J128" s="679"/>
      <c r="K128" s="193"/>
      <c r="L128" s="220">
        <v>11</v>
      </c>
      <c r="M128" s="318" t="s">
        <v>313</v>
      </c>
      <c r="N128" s="221" t="s">
        <v>415</v>
      </c>
      <c r="O128" s="222"/>
      <c r="P128" s="358"/>
      <c r="Q128" s="234">
        <v>7000</v>
      </c>
      <c r="R128" s="471"/>
      <c r="S128" s="502"/>
      <c r="T128" s="413">
        <f>T127</f>
        <v>46112</v>
      </c>
      <c r="U128" s="398">
        <f>(Q128/$X$124*$J$124)</f>
        <v>10813.95356385862</v>
      </c>
      <c r="V128" s="691"/>
      <c r="W128" s="455">
        <v>46081</v>
      </c>
      <c r="X128" s="676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5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317</v>
      </c>
      <c r="D130" s="174" t="s">
        <v>318</v>
      </c>
      <c r="E130" s="175"/>
      <c r="F130" s="368"/>
      <c r="G130" s="242">
        <v>0</v>
      </c>
      <c r="H130" s="561"/>
      <c r="I130" s="701">
        <f>SUM(G130:G131)</f>
        <v>0</v>
      </c>
      <c r="J130" s="704">
        <v>0</v>
      </c>
      <c r="K130" s="722"/>
      <c r="L130" s="173">
        <v>12</v>
      </c>
      <c r="M130" s="174" t="s">
        <v>319</v>
      </c>
      <c r="N130" s="174" t="s">
        <v>318</v>
      </c>
      <c r="O130" s="443"/>
      <c r="P130" s="368"/>
      <c r="Q130" s="242">
        <f>G130</f>
        <v>0</v>
      </c>
      <c r="R130" s="482"/>
      <c r="S130" s="512"/>
      <c r="T130" s="423" t="str">
        <f t="shared" si="15"/>
        <v/>
      </c>
      <c r="U130" s="408"/>
      <c r="V130" s="384"/>
      <c r="W130" s="464"/>
      <c r="X130" s="701">
        <f>SUM(Q130:Q131)</f>
        <v>0</v>
      </c>
    </row>
    <row r="131" spans="1:24" ht="15" customHeight="1" thickBot="1">
      <c r="B131" s="177">
        <v>12</v>
      </c>
      <c r="C131" s="248" t="s">
        <v>317</v>
      </c>
      <c r="D131" s="248"/>
      <c r="E131" s="249"/>
      <c r="F131" s="370"/>
      <c r="G131" s="178"/>
      <c r="H131" s="564"/>
      <c r="I131" s="703"/>
      <c r="J131" s="706"/>
      <c r="K131" s="723"/>
      <c r="L131" s="177">
        <v>12</v>
      </c>
      <c r="M131" s="248" t="s">
        <v>319</v>
      </c>
      <c r="N131" s="248"/>
      <c r="O131" s="445"/>
      <c r="P131" s="370"/>
      <c r="Q131" s="178"/>
      <c r="R131" s="485"/>
      <c r="S131" s="515"/>
      <c r="T131" s="426" t="str">
        <f t="shared" si="15"/>
        <v/>
      </c>
      <c r="U131" s="410"/>
      <c r="V131" s="383"/>
      <c r="W131" s="467"/>
      <c r="X131" s="703"/>
    </row>
    <row r="132" spans="1:24" ht="14.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5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320</v>
      </c>
      <c r="D133" s="255" t="s">
        <v>321</v>
      </c>
      <c r="E133" s="187"/>
      <c r="F133" s="336"/>
      <c r="G133" s="188">
        <f>D181</f>
        <v>39647.830878019326</v>
      </c>
      <c r="H133" s="542">
        <f>'Project Plan'!G52</f>
        <v>46133</v>
      </c>
      <c r="I133" s="674">
        <f>SUM(G133:G137)</f>
        <v>39647.830878019326</v>
      </c>
      <c r="J133" s="677">
        <f>F181</f>
        <v>45054.353270476509</v>
      </c>
      <c r="K133" s="189"/>
      <c r="L133" s="185">
        <v>13</v>
      </c>
      <c r="M133" s="255" t="s">
        <v>322</v>
      </c>
      <c r="N133" s="255" t="s">
        <v>323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5"/>
        <v>46112</v>
      </c>
      <c r="U133" s="404">
        <f t="shared" ref="U133:U138" si="26">(Q133/$X$133*$J$133)</f>
        <v>45054.353270476509</v>
      </c>
      <c r="V133" s="689">
        <f>J133-SUM(U133:U138)</f>
        <v>0</v>
      </c>
      <c r="W133" s="460">
        <v>46112</v>
      </c>
      <c r="X133" s="674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75"/>
      <c r="J134" s="678"/>
      <c r="K134" s="192"/>
      <c r="L134" s="215">
        <v>13</v>
      </c>
      <c r="M134" s="290" t="s">
        <v>322</v>
      </c>
      <c r="N134" s="217" t="s">
        <v>324</v>
      </c>
      <c r="O134" s="218"/>
      <c r="P134" s="357"/>
      <c r="Q134" s="219"/>
      <c r="R134" s="469"/>
      <c r="S134" s="500"/>
      <c r="T134" s="411">
        <f t="shared" si="15"/>
        <v>46112</v>
      </c>
      <c r="U134" s="396">
        <f t="shared" si="26"/>
        <v>0</v>
      </c>
      <c r="V134" s="690"/>
      <c r="W134" s="453">
        <f>W133</f>
        <v>46112</v>
      </c>
      <c r="X134" s="675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75"/>
      <c r="J135" s="678"/>
      <c r="K135" s="192"/>
      <c r="L135" s="215">
        <v>13</v>
      </c>
      <c r="M135" s="290" t="s">
        <v>322</v>
      </c>
      <c r="N135" s="217" t="s">
        <v>325</v>
      </c>
      <c r="O135" s="218"/>
      <c r="P135" s="357"/>
      <c r="Q135" s="219"/>
      <c r="R135" s="469"/>
      <c r="S135" s="500"/>
      <c r="T135" s="411">
        <f t="shared" si="15"/>
        <v>46112</v>
      </c>
      <c r="U135" s="396">
        <f t="shared" si="26"/>
        <v>0</v>
      </c>
      <c r="V135" s="690"/>
      <c r="W135" s="453">
        <f t="shared" ref="W135:W137" si="27">W134</f>
        <v>46112</v>
      </c>
      <c r="X135" s="675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75"/>
      <c r="J136" s="678"/>
      <c r="K136" s="192"/>
      <c r="L136" s="215">
        <v>13</v>
      </c>
      <c r="M136" s="290" t="s">
        <v>322</v>
      </c>
      <c r="N136" s="217" t="s">
        <v>326</v>
      </c>
      <c r="O136" s="218"/>
      <c r="P136" s="357"/>
      <c r="Q136" s="219"/>
      <c r="R136" s="469"/>
      <c r="S136" s="500"/>
      <c r="T136" s="411">
        <f t="shared" si="15"/>
        <v>46112</v>
      </c>
      <c r="U136" s="396">
        <f t="shared" si="26"/>
        <v>0</v>
      </c>
      <c r="V136" s="690"/>
      <c r="W136" s="453">
        <f t="shared" si="27"/>
        <v>46112</v>
      </c>
      <c r="X136" s="675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75"/>
      <c r="J137" s="678"/>
      <c r="K137" s="192"/>
      <c r="L137" s="215">
        <v>13</v>
      </c>
      <c r="M137" s="290" t="s">
        <v>322</v>
      </c>
      <c r="N137" s="217" t="s">
        <v>327</v>
      </c>
      <c r="O137" s="218"/>
      <c r="P137" s="357"/>
      <c r="Q137" s="219"/>
      <c r="R137" s="469"/>
      <c r="S137" s="500"/>
      <c r="T137" s="411">
        <f t="shared" si="15"/>
        <v>46112</v>
      </c>
      <c r="U137" s="396">
        <f t="shared" si="26"/>
        <v>0</v>
      </c>
      <c r="V137" s="690"/>
      <c r="W137" s="453">
        <f t="shared" si="27"/>
        <v>46112</v>
      </c>
      <c r="X137" s="675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76"/>
      <c r="J138" s="679"/>
      <c r="K138" s="267"/>
      <c r="L138" s="220">
        <v>13</v>
      </c>
      <c r="M138" s="318" t="s">
        <v>322</v>
      </c>
      <c r="N138" s="221"/>
      <c r="O138" s="435"/>
      <c r="P138" s="358"/>
      <c r="Q138" s="234"/>
      <c r="R138" s="471"/>
      <c r="S138" s="502"/>
      <c r="T138" s="413" t="str">
        <f t="shared" si="15"/>
        <v/>
      </c>
      <c r="U138" s="398">
        <f t="shared" si="26"/>
        <v>0</v>
      </c>
      <c r="V138" s="691"/>
      <c r="W138" s="455"/>
      <c r="X138" s="676"/>
    </row>
    <row r="139" spans="1:24" ht="14.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5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328</v>
      </c>
      <c r="D140" s="174" t="s">
        <v>329</v>
      </c>
      <c r="E140" s="175"/>
      <c r="F140" s="368"/>
      <c r="G140" s="242">
        <f>D192</f>
        <v>5600</v>
      </c>
      <c r="H140" s="561">
        <f>'Project Plan'!G52</f>
        <v>46133</v>
      </c>
      <c r="I140" s="701">
        <f>SUM(G140:G151)</f>
        <v>5600</v>
      </c>
      <c r="J140" s="704">
        <f>F192</f>
        <v>6222.2222222222226</v>
      </c>
      <c r="K140" s="243"/>
      <c r="L140" s="173">
        <v>14</v>
      </c>
      <c r="M140" s="333" t="s">
        <v>330</v>
      </c>
      <c r="N140" s="174" t="s">
        <v>331</v>
      </c>
      <c r="O140" s="443"/>
      <c r="P140" s="527"/>
      <c r="Q140" s="532">
        <f>$G$140/4</f>
        <v>1400</v>
      </c>
      <c r="R140" s="529"/>
      <c r="S140" s="518"/>
      <c r="T140" s="423">
        <v>46081</v>
      </c>
      <c r="U140" s="408">
        <f t="shared" ref="U140:U151" si="28">(Q140/$X$140*$J$140)</f>
        <v>1555.5555555555557</v>
      </c>
      <c r="V140" s="710">
        <f>J140-SUM(U140:U151)</f>
        <v>0</v>
      </c>
      <c r="W140" s="466">
        <f>T140+7</f>
        <v>46088</v>
      </c>
      <c r="X140" s="701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02"/>
      <c r="J141" s="705"/>
      <c r="K141" s="176"/>
      <c r="L141" s="244">
        <v>14</v>
      </c>
      <c r="M141" s="334" t="s">
        <v>330</v>
      </c>
      <c r="N141" s="245" t="s">
        <v>331</v>
      </c>
      <c r="O141" s="444"/>
      <c r="P141" s="528"/>
      <c r="Q141" s="531">
        <f>$G$140/4</f>
        <v>1400</v>
      </c>
      <c r="R141" s="530"/>
      <c r="S141" s="518"/>
      <c r="T141" s="425">
        <v>46112</v>
      </c>
      <c r="U141" s="409">
        <f t="shared" si="28"/>
        <v>1555.5555555555557</v>
      </c>
      <c r="V141" s="711"/>
      <c r="W141" s="466">
        <f>T141+7</f>
        <v>46119</v>
      </c>
      <c r="X141" s="70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02"/>
      <c r="J142" s="705"/>
      <c r="K142" s="176"/>
      <c r="L142" s="244">
        <v>14</v>
      </c>
      <c r="M142" s="334" t="s">
        <v>330</v>
      </c>
      <c r="N142" s="245" t="s">
        <v>331</v>
      </c>
      <c r="O142" s="444"/>
      <c r="P142" s="369"/>
      <c r="Q142" s="247">
        <f>$G$140/4</f>
        <v>1400</v>
      </c>
      <c r="R142" s="484"/>
      <c r="S142" s="518"/>
      <c r="T142" s="425">
        <v>46142</v>
      </c>
      <c r="U142" s="409">
        <f t="shared" si="28"/>
        <v>1555.5555555555557</v>
      </c>
      <c r="V142" s="711"/>
      <c r="W142" s="466">
        <f>T142+7</f>
        <v>46149</v>
      </c>
      <c r="X142" s="70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02"/>
      <c r="J143" s="705"/>
      <c r="K143" s="176"/>
      <c r="L143" s="244">
        <v>14</v>
      </c>
      <c r="M143" s="334" t="s">
        <v>330</v>
      </c>
      <c r="N143" s="245" t="s">
        <v>331</v>
      </c>
      <c r="O143" s="444"/>
      <c r="P143" s="369"/>
      <c r="Q143" s="247">
        <f>$G$140/4</f>
        <v>1400</v>
      </c>
      <c r="R143" s="484"/>
      <c r="S143" s="512"/>
      <c r="T143" s="425">
        <v>46173</v>
      </c>
      <c r="U143" s="409">
        <f t="shared" si="28"/>
        <v>1555.5555555555557</v>
      </c>
      <c r="V143" s="711"/>
      <c r="W143" s="466">
        <f>T143+7</f>
        <v>46180</v>
      </c>
      <c r="X143" s="70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02"/>
      <c r="J144" s="705"/>
      <c r="K144" s="176"/>
      <c r="L144" s="244">
        <v>14</v>
      </c>
      <c r="M144" s="334" t="s">
        <v>330</v>
      </c>
      <c r="N144" s="245" t="s">
        <v>331</v>
      </c>
      <c r="O144" s="444"/>
      <c r="P144" s="369"/>
      <c r="Q144" s="247"/>
      <c r="R144" s="484"/>
      <c r="S144" s="512"/>
      <c r="T144" s="425" t="str">
        <f t="shared" ref="T144:T164" si="29">IF(W144&gt;1,EOMONTH(W144,0),"")</f>
        <v/>
      </c>
      <c r="U144" s="409">
        <f t="shared" si="28"/>
        <v>0</v>
      </c>
      <c r="V144" s="711"/>
      <c r="W144" s="466"/>
      <c r="X144" s="70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02"/>
      <c r="J145" s="705"/>
      <c r="K145" s="176"/>
      <c r="L145" s="244">
        <v>14</v>
      </c>
      <c r="M145" s="334" t="s">
        <v>330</v>
      </c>
      <c r="N145" s="245" t="s">
        <v>331</v>
      </c>
      <c r="O145" s="444"/>
      <c r="P145" s="369"/>
      <c r="Q145" s="247"/>
      <c r="R145" s="484"/>
      <c r="S145" s="512"/>
      <c r="T145" s="425" t="str">
        <f t="shared" si="29"/>
        <v/>
      </c>
      <c r="U145" s="409">
        <f t="shared" si="28"/>
        <v>0</v>
      </c>
      <c r="V145" s="711"/>
      <c r="W145" s="466"/>
      <c r="X145" s="70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02"/>
      <c r="J146" s="705"/>
      <c r="K146" s="176"/>
      <c r="L146" s="244">
        <v>14</v>
      </c>
      <c r="M146" s="334" t="s">
        <v>330</v>
      </c>
      <c r="N146" s="245" t="s">
        <v>331</v>
      </c>
      <c r="O146" s="444"/>
      <c r="P146" s="369"/>
      <c r="Q146" s="247"/>
      <c r="R146" s="484"/>
      <c r="S146" s="512"/>
      <c r="T146" s="425" t="str">
        <f t="shared" si="29"/>
        <v/>
      </c>
      <c r="U146" s="409">
        <f t="shared" si="28"/>
        <v>0</v>
      </c>
      <c r="V146" s="711"/>
      <c r="W146" s="466"/>
      <c r="X146" s="70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02"/>
      <c r="J147" s="705"/>
      <c r="K147" s="176"/>
      <c r="L147" s="244">
        <v>14</v>
      </c>
      <c r="M147" s="334" t="s">
        <v>330</v>
      </c>
      <c r="N147" s="245" t="s">
        <v>331</v>
      </c>
      <c r="O147" s="444"/>
      <c r="P147" s="369"/>
      <c r="Q147" s="247"/>
      <c r="R147" s="484"/>
      <c r="S147" s="512"/>
      <c r="T147" s="425" t="str">
        <f t="shared" si="29"/>
        <v/>
      </c>
      <c r="U147" s="409">
        <f t="shared" si="28"/>
        <v>0</v>
      </c>
      <c r="V147" s="711"/>
      <c r="W147" s="466"/>
      <c r="X147" s="702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02"/>
      <c r="J148" s="705"/>
      <c r="K148" s="176"/>
      <c r="L148" s="244">
        <v>14</v>
      </c>
      <c r="M148" s="334" t="s">
        <v>330</v>
      </c>
      <c r="N148" s="245" t="s">
        <v>331</v>
      </c>
      <c r="O148" s="444"/>
      <c r="P148" s="369"/>
      <c r="Q148" s="247"/>
      <c r="R148" s="484"/>
      <c r="S148" s="512"/>
      <c r="T148" s="425" t="str">
        <f t="shared" si="29"/>
        <v/>
      </c>
      <c r="U148" s="409">
        <f t="shared" si="28"/>
        <v>0</v>
      </c>
      <c r="V148" s="711"/>
      <c r="W148" s="466"/>
      <c r="X148" s="702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02"/>
      <c r="J149" s="705"/>
      <c r="K149" s="176"/>
      <c r="L149" s="244">
        <v>14</v>
      </c>
      <c r="M149" s="334" t="s">
        <v>330</v>
      </c>
      <c r="N149" s="245" t="s">
        <v>331</v>
      </c>
      <c r="O149" s="444"/>
      <c r="P149" s="369"/>
      <c r="Q149" s="247"/>
      <c r="R149" s="484"/>
      <c r="S149" s="512"/>
      <c r="T149" s="425" t="str">
        <f t="shared" si="29"/>
        <v/>
      </c>
      <c r="U149" s="409">
        <f t="shared" si="28"/>
        <v>0</v>
      </c>
      <c r="V149" s="711"/>
      <c r="W149" s="466"/>
      <c r="X149" s="702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02"/>
      <c r="J150" s="705"/>
      <c r="K150" s="176"/>
      <c r="L150" s="244">
        <v>14</v>
      </c>
      <c r="M150" s="334" t="s">
        <v>330</v>
      </c>
      <c r="N150" s="245"/>
      <c r="O150" s="444"/>
      <c r="P150" s="369"/>
      <c r="Q150" s="247"/>
      <c r="R150" s="484"/>
      <c r="S150" s="514"/>
      <c r="T150" s="425" t="str">
        <f t="shared" si="29"/>
        <v/>
      </c>
      <c r="U150" s="409">
        <f t="shared" si="28"/>
        <v>0</v>
      </c>
      <c r="V150" s="711"/>
      <c r="W150" s="466"/>
      <c r="X150" s="702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703"/>
      <c r="J151" s="706"/>
      <c r="K151" s="179"/>
      <c r="L151" s="177">
        <v>14</v>
      </c>
      <c r="M151" s="335" t="s">
        <v>330</v>
      </c>
      <c r="N151" s="248"/>
      <c r="O151" s="445"/>
      <c r="P151" s="370"/>
      <c r="Q151" s="178"/>
      <c r="R151" s="485"/>
      <c r="S151" s="515"/>
      <c r="T151" s="426" t="str">
        <f t="shared" si="29"/>
        <v/>
      </c>
      <c r="U151" s="410">
        <f t="shared" si="28"/>
        <v>0</v>
      </c>
      <c r="V151" s="712"/>
      <c r="W151" s="467"/>
      <c r="X151" s="703"/>
    </row>
    <row r="152" spans="1:24" ht="14.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9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332</v>
      </c>
      <c r="D153" s="186"/>
      <c r="E153" s="187"/>
      <c r="F153" s="336"/>
      <c r="G153" s="188"/>
      <c r="H153" s="542"/>
      <c r="I153" s="674">
        <f>SUM(G153:G164)</f>
        <v>0</v>
      </c>
      <c r="J153" s="677">
        <v>0</v>
      </c>
      <c r="K153" s="189"/>
      <c r="L153" s="185">
        <v>15</v>
      </c>
      <c r="M153" s="255" t="s">
        <v>333</v>
      </c>
      <c r="N153" s="186"/>
      <c r="O153" s="187"/>
      <c r="P153" s="336"/>
      <c r="Q153" s="188"/>
      <c r="R153" s="476"/>
      <c r="S153" s="507"/>
      <c r="T153" s="418" t="str">
        <f t="shared" si="29"/>
        <v/>
      </c>
      <c r="U153" s="404"/>
      <c r="V153" s="689">
        <v>0</v>
      </c>
      <c r="W153" s="460"/>
      <c r="X153" s="674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5"/>
      <c r="J154" s="678"/>
      <c r="K154" s="192"/>
      <c r="L154" s="215">
        <v>15</v>
      </c>
      <c r="M154" s="290" t="s">
        <v>333</v>
      </c>
      <c r="N154" s="217"/>
      <c r="O154" s="433"/>
      <c r="P154" s="357"/>
      <c r="Q154" s="219"/>
      <c r="R154" s="469"/>
      <c r="S154" s="500"/>
      <c r="T154" s="411" t="str">
        <f t="shared" si="29"/>
        <v/>
      </c>
      <c r="U154" s="396"/>
      <c r="V154" s="690"/>
      <c r="W154" s="453"/>
      <c r="X154" s="675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5"/>
      <c r="J155" s="678"/>
      <c r="K155" s="192"/>
      <c r="L155" s="215">
        <v>15</v>
      </c>
      <c r="M155" s="290" t="s">
        <v>333</v>
      </c>
      <c r="N155" s="217"/>
      <c r="O155" s="433"/>
      <c r="P155" s="357"/>
      <c r="Q155" s="219"/>
      <c r="R155" s="469"/>
      <c r="S155" s="500"/>
      <c r="T155" s="411" t="str">
        <f t="shared" si="29"/>
        <v/>
      </c>
      <c r="U155" s="396"/>
      <c r="V155" s="690"/>
      <c r="W155" s="453"/>
      <c r="X155" s="675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5"/>
      <c r="J156" s="678"/>
      <c r="K156" s="192"/>
      <c r="L156" s="215">
        <v>15</v>
      </c>
      <c r="M156" s="290" t="s">
        <v>333</v>
      </c>
      <c r="N156" s="217"/>
      <c r="O156" s="433"/>
      <c r="P156" s="357"/>
      <c r="Q156" s="219"/>
      <c r="R156" s="469"/>
      <c r="S156" s="500"/>
      <c r="T156" s="411" t="str">
        <f t="shared" si="29"/>
        <v/>
      </c>
      <c r="U156" s="396"/>
      <c r="V156" s="690"/>
      <c r="W156" s="453"/>
      <c r="X156" s="675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5"/>
      <c r="J157" s="678"/>
      <c r="K157" s="192"/>
      <c r="L157" s="215">
        <v>15</v>
      </c>
      <c r="M157" s="290" t="s">
        <v>333</v>
      </c>
      <c r="N157" s="217"/>
      <c r="O157" s="433"/>
      <c r="P157" s="357"/>
      <c r="Q157" s="219"/>
      <c r="R157" s="469"/>
      <c r="S157" s="500"/>
      <c r="T157" s="411" t="str">
        <f t="shared" si="29"/>
        <v/>
      </c>
      <c r="U157" s="396"/>
      <c r="V157" s="690"/>
      <c r="W157" s="453"/>
      <c r="X157" s="675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75"/>
      <c r="J158" s="678"/>
      <c r="K158" s="192"/>
      <c r="L158" s="215">
        <v>15</v>
      </c>
      <c r="M158" s="290" t="s">
        <v>333</v>
      </c>
      <c r="N158" s="217"/>
      <c r="O158" s="433"/>
      <c r="P158" s="357"/>
      <c r="Q158" s="219"/>
      <c r="R158" s="469"/>
      <c r="S158" s="500"/>
      <c r="T158" s="411" t="str">
        <f t="shared" si="29"/>
        <v/>
      </c>
      <c r="U158" s="396"/>
      <c r="V158" s="690"/>
      <c r="W158" s="453"/>
      <c r="X158" s="675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75"/>
      <c r="J159" s="678"/>
      <c r="K159" s="192"/>
      <c r="L159" s="215">
        <v>15</v>
      </c>
      <c r="M159" s="290" t="s">
        <v>333</v>
      </c>
      <c r="N159" s="217"/>
      <c r="O159" s="433"/>
      <c r="P159" s="357"/>
      <c r="Q159" s="219"/>
      <c r="R159" s="469"/>
      <c r="S159" s="500"/>
      <c r="T159" s="411" t="str">
        <f t="shared" si="29"/>
        <v/>
      </c>
      <c r="U159" s="396"/>
      <c r="V159" s="690"/>
      <c r="W159" s="453"/>
      <c r="X159" s="675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75"/>
      <c r="J160" s="678"/>
      <c r="K160" s="192"/>
      <c r="L160" s="215">
        <v>15</v>
      </c>
      <c r="M160" s="290" t="s">
        <v>333</v>
      </c>
      <c r="N160" s="217"/>
      <c r="O160" s="433"/>
      <c r="P160" s="357"/>
      <c r="Q160" s="219"/>
      <c r="R160" s="469"/>
      <c r="S160" s="500"/>
      <c r="T160" s="411" t="str">
        <f t="shared" si="29"/>
        <v/>
      </c>
      <c r="U160" s="396"/>
      <c r="V160" s="690"/>
      <c r="W160" s="453"/>
      <c r="X160" s="675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75"/>
      <c r="J161" s="678"/>
      <c r="K161" s="192"/>
      <c r="L161" s="215">
        <v>15</v>
      </c>
      <c r="M161" s="290" t="s">
        <v>333</v>
      </c>
      <c r="N161" s="217"/>
      <c r="O161" s="433"/>
      <c r="P161" s="357"/>
      <c r="Q161" s="219"/>
      <c r="R161" s="469"/>
      <c r="S161" s="500"/>
      <c r="T161" s="411" t="str">
        <f t="shared" si="29"/>
        <v/>
      </c>
      <c r="U161" s="396"/>
      <c r="V161" s="690"/>
      <c r="W161" s="453"/>
      <c r="X161" s="675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75"/>
      <c r="J162" s="678"/>
      <c r="K162" s="192"/>
      <c r="L162" s="215">
        <v>15</v>
      </c>
      <c r="M162" s="290" t="s">
        <v>333</v>
      </c>
      <c r="N162" s="217"/>
      <c r="O162" s="433"/>
      <c r="P162" s="357"/>
      <c r="Q162" s="219"/>
      <c r="R162" s="469"/>
      <c r="S162" s="500"/>
      <c r="T162" s="411" t="str">
        <f t="shared" si="29"/>
        <v/>
      </c>
      <c r="U162" s="396"/>
      <c r="V162" s="690"/>
      <c r="W162" s="453"/>
      <c r="X162" s="675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75"/>
      <c r="J163" s="678"/>
      <c r="K163" s="192"/>
      <c r="L163" s="215">
        <v>15</v>
      </c>
      <c r="M163" s="290" t="s">
        <v>333</v>
      </c>
      <c r="N163" s="217"/>
      <c r="O163" s="433"/>
      <c r="P163" s="357"/>
      <c r="Q163" s="219"/>
      <c r="R163" s="469"/>
      <c r="S163" s="500"/>
      <c r="T163" s="411" t="str">
        <f t="shared" si="29"/>
        <v/>
      </c>
      <c r="U163" s="396"/>
      <c r="V163" s="690"/>
      <c r="W163" s="453"/>
      <c r="X163" s="675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76"/>
      <c r="J164" s="679"/>
      <c r="K164" s="193"/>
      <c r="L164" s="220">
        <v>15</v>
      </c>
      <c r="M164" s="318" t="s">
        <v>333</v>
      </c>
      <c r="N164" s="221"/>
      <c r="O164" s="435"/>
      <c r="P164" s="358"/>
      <c r="Q164" s="234"/>
      <c r="R164" s="471"/>
      <c r="S164" s="502"/>
      <c r="T164" s="413" t="str">
        <f t="shared" si="29"/>
        <v/>
      </c>
      <c r="U164" s="398"/>
      <c r="V164" s="691"/>
      <c r="W164" s="455"/>
      <c r="X164" s="676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334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335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336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281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297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337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338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339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340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341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342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343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344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345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346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347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348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349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350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351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352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353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340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354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355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356</v>
      </c>
      <c r="E1" s="99"/>
      <c r="F1" s="100">
        <v>46034</v>
      </c>
      <c r="G1" s="101">
        <f>F1+7</f>
        <v>46041</v>
      </c>
      <c r="H1" s="101">
        <f>G1+7</f>
        <v>46048</v>
      </c>
      <c r="I1" s="101">
        <f t="shared" ref="I1:BT1" si="0">H1+7</f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 t="shared" si="0"/>
        <v>46083</v>
      </c>
      <c r="N1" s="101">
        <f t="shared" si="0"/>
        <v>46090</v>
      </c>
      <c r="O1" s="101">
        <f t="shared" si="0"/>
        <v>46097</v>
      </c>
      <c r="P1" s="101">
        <f t="shared" si="0"/>
        <v>46104</v>
      </c>
      <c r="Q1" s="101">
        <f t="shared" si="0"/>
        <v>46111</v>
      </c>
      <c r="R1" s="101">
        <f t="shared" si="0"/>
        <v>46118</v>
      </c>
      <c r="S1" s="101">
        <f t="shared" si="0"/>
        <v>46125</v>
      </c>
      <c r="T1" s="101">
        <f t="shared" si="0"/>
        <v>46132</v>
      </c>
      <c r="U1" s="101">
        <f t="shared" si="0"/>
        <v>46139</v>
      </c>
      <c r="V1" s="101">
        <f t="shared" si="0"/>
        <v>46146</v>
      </c>
      <c r="W1" s="101">
        <f t="shared" si="0"/>
        <v>46153</v>
      </c>
      <c r="X1" s="101">
        <f t="shared" si="0"/>
        <v>46160</v>
      </c>
      <c r="Y1" s="101">
        <f t="shared" si="0"/>
        <v>46167</v>
      </c>
      <c r="Z1" s="101">
        <f t="shared" si="0"/>
        <v>46174</v>
      </c>
      <c r="AA1" s="101">
        <f t="shared" si="0"/>
        <v>46181</v>
      </c>
      <c r="AB1" s="101">
        <f t="shared" si="0"/>
        <v>46188</v>
      </c>
      <c r="AC1" s="101">
        <f t="shared" si="0"/>
        <v>46195</v>
      </c>
      <c r="AD1" s="101">
        <f>AC1+7</f>
        <v>46202</v>
      </c>
      <c r="AE1" s="101">
        <f t="shared" si="0"/>
        <v>46209</v>
      </c>
      <c r="AF1" s="101">
        <f t="shared" si="0"/>
        <v>46216</v>
      </c>
      <c r="AG1" s="101">
        <f t="shared" si="0"/>
        <v>46223</v>
      </c>
      <c r="AH1" s="101">
        <f t="shared" si="0"/>
        <v>46230</v>
      </c>
      <c r="AI1" s="101">
        <f t="shared" si="0"/>
        <v>46237</v>
      </c>
      <c r="AJ1" s="101">
        <f t="shared" si="0"/>
        <v>46244</v>
      </c>
      <c r="AK1" s="101">
        <f t="shared" si="0"/>
        <v>46251</v>
      </c>
      <c r="AL1" s="101">
        <f t="shared" si="0"/>
        <v>46258</v>
      </c>
      <c r="AM1" s="101">
        <f t="shared" si="0"/>
        <v>46265</v>
      </c>
      <c r="AN1" s="101">
        <f t="shared" si="0"/>
        <v>46272</v>
      </c>
      <c r="AO1" s="101">
        <f t="shared" si="0"/>
        <v>46279</v>
      </c>
      <c r="AP1" s="101">
        <f t="shared" si="0"/>
        <v>46286</v>
      </c>
      <c r="AQ1" s="101">
        <f t="shared" si="0"/>
        <v>46293</v>
      </c>
      <c r="AR1" s="101">
        <f t="shared" si="0"/>
        <v>46300</v>
      </c>
      <c r="AS1" s="101">
        <f t="shared" si="0"/>
        <v>46307</v>
      </c>
      <c r="AT1" s="101">
        <f t="shared" si="0"/>
        <v>46314</v>
      </c>
      <c r="AU1" s="101">
        <f t="shared" si="0"/>
        <v>46321</v>
      </c>
      <c r="AV1" s="101">
        <f t="shared" si="0"/>
        <v>46328</v>
      </c>
      <c r="AW1" s="101">
        <f t="shared" si="0"/>
        <v>46335</v>
      </c>
      <c r="AX1" s="101">
        <f t="shared" si="0"/>
        <v>46342</v>
      </c>
      <c r="AY1" s="101">
        <f t="shared" si="0"/>
        <v>46349</v>
      </c>
      <c r="AZ1" s="101">
        <f t="shared" si="0"/>
        <v>46356</v>
      </c>
      <c r="BA1" s="101">
        <f t="shared" si="0"/>
        <v>46363</v>
      </c>
      <c r="BB1" s="101">
        <f t="shared" si="0"/>
        <v>46370</v>
      </c>
      <c r="BC1" s="101">
        <f t="shared" si="0"/>
        <v>46377</v>
      </c>
      <c r="BD1" s="101">
        <f t="shared" si="0"/>
        <v>46384</v>
      </c>
      <c r="BE1" s="101">
        <f t="shared" si="0"/>
        <v>46391</v>
      </c>
      <c r="BF1" s="101">
        <f t="shared" si="0"/>
        <v>46398</v>
      </c>
      <c r="BG1" s="101">
        <f t="shared" si="0"/>
        <v>46405</v>
      </c>
      <c r="BH1" s="101">
        <f t="shared" si="0"/>
        <v>46412</v>
      </c>
      <c r="BI1" s="101">
        <f t="shared" si="0"/>
        <v>46419</v>
      </c>
      <c r="BJ1" s="101">
        <f t="shared" si="0"/>
        <v>46426</v>
      </c>
      <c r="BK1" s="101">
        <f t="shared" si="0"/>
        <v>46433</v>
      </c>
      <c r="BL1" s="101">
        <f t="shared" si="0"/>
        <v>46440</v>
      </c>
      <c r="BM1" s="101">
        <f t="shared" si="0"/>
        <v>46447</v>
      </c>
      <c r="BN1" s="101">
        <f t="shared" si="0"/>
        <v>46454</v>
      </c>
      <c r="BO1" s="101">
        <f t="shared" si="0"/>
        <v>46461</v>
      </c>
      <c r="BP1" s="101">
        <f t="shared" si="0"/>
        <v>46468</v>
      </c>
      <c r="BQ1" s="101">
        <f t="shared" si="0"/>
        <v>46475</v>
      </c>
      <c r="BR1" s="101">
        <f t="shared" si="0"/>
        <v>46482</v>
      </c>
      <c r="BS1" s="101">
        <f t="shared" si="0"/>
        <v>46489</v>
      </c>
      <c r="BT1" s="101">
        <f t="shared" si="0"/>
        <v>46496</v>
      </c>
      <c r="BU1" s="101">
        <f t="shared" ref="BU1:EF1" si="1">BT1+7</f>
        <v>46503</v>
      </c>
      <c r="BV1" s="101">
        <f t="shared" si="1"/>
        <v>46510</v>
      </c>
      <c r="BW1" s="101">
        <f t="shared" si="1"/>
        <v>46517</v>
      </c>
      <c r="BX1" s="101">
        <f t="shared" si="1"/>
        <v>46524</v>
      </c>
      <c r="BY1" s="101">
        <f t="shared" si="1"/>
        <v>46531</v>
      </c>
      <c r="BZ1" s="101">
        <f t="shared" si="1"/>
        <v>46538</v>
      </c>
      <c r="CA1" s="101">
        <f t="shared" si="1"/>
        <v>46545</v>
      </c>
      <c r="CB1" s="101">
        <f t="shared" si="1"/>
        <v>46552</v>
      </c>
      <c r="CC1" s="101">
        <f t="shared" si="1"/>
        <v>46559</v>
      </c>
      <c r="CD1" s="101">
        <f t="shared" si="1"/>
        <v>46566</v>
      </c>
      <c r="CE1" s="101">
        <f t="shared" si="1"/>
        <v>46573</v>
      </c>
      <c r="CF1" s="101">
        <f t="shared" si="1"/>
        <v>46580</v>
      </c>
      <c r="CG1" s="101">
        <f t="shared" si="1"/>
        <v>46587</v>
      </c>
      <c r="CH1" s="101">
        <f t="shared" si="1"/>
        <v>46594</v>
      </c>
      <c r="CI1" s="101">
        <f t="shared" si="1"/>
        <v>46601</v>
      </c>
      <c r="CJ1" s="101">
        <f t="shared" si="1"/>
        <v>46608</v>
      </c>
      <c r="CK1" s="101">
        <f t="shared" si="1"/>
        <v>46615</v>
      </c>
      <c r="CL1" s="101">
        <f t="shared" si="1"/>
        <v>46622</v>
      </c>
      <c r="CM1" s="101">
        <f t="shared" si="1"/>
        <v>46629</v>
      </c>
      <c r="CN1" s="101">
        <f t="shared" si="1"/>
        <v>46636</v>
      </c>
      <c r="CO1" s="101">
        <f t="shared" si="1"/>
        <v>46643</v>
      </c>
      <c r="CP1" s="101">
        <f t="shared" si="1"/>
        <v>46650</v>
      </c>
      <c r="CQ1" s="101">
        <f t="shared" si="1"/>
        <v>46657</v>
      </c>
      <c r="CR1" s="101">
        <f t="shared" si="1"/>
        <v>46664</v>
      </c>
      <c r="CS1" s="101">
        <f t="shared" si="1"/>
        <v>46671</v>
      </c>
      <c r="CT1" s="101">
        <f t="shared" si="1"/>
        <v>46678</v>
      </c>
      <c r="CU1" s="101">
        <f t="shared" si="1"/>
        <v>46685</v>
      </c>
      <c r="CV1" s="101">
        <f t="shared" si="1"/>
        <v>46692</v>
      </c>
      <c r="CW1" s="101">
        <f t="shared" si="1"/>
        <v>46699</v>
      </c>
      <c r="CX1" s="101">
        <f t="shared" si="1"/>
        <v>46706</v>
      </c>
      <c r="CY1" s="101">
        <f t="shared" si="1"/>
        <v>46713</v>
      </c>
      <c r="CZ1" s="101">
        <f t="shared" si="1"/>
        <v>46720</v>
      </c>
      <c r="DA1" s="101">
        <f t="shared" si="1"/>
        <v>46727</v>
      </c>
      <c r="DB1" s="101">
        <f t="shared" si="1"/>
        <v>46734</v>
      </c>
      <c r="DC1" s="101">
        <f t="shared" si="1"/>
        <v>46741</v>
      </c>
      <c r="DD1" s="101">
        <f t="shared" si="1"/>
        <v>46748</v>
      </c>
      <c r="DE1" s="101">
        <f t="shared" si="1"/>
        <v>46755</v>
      </c>
      <c r="DF1" s="101">
        <f t="shared" si="1"/>
        <v>46762</v>
      </c>
      <c r="DG1" s="101">
        <f t="shared" si="1"/>
        <v>46769</v>
      </c>
      <c r="DH1" s="101">
        <f t="shared" si="1"/>
        <v>46776</v>
      </c>
      <c r="DI1" s="101">
        <f t="shared" si="1"/>
        <v>46783</v>
      </c>
      <c r="DJ1" s="101">
        <f t="shared" si="1"/>
        <v>46790</v>
      </c>
      <c r="DK1" s="101">
        <f t="shared" si="1"/>
        <v>46797</v>
      </c>
      <c r="DL1" s="101">
        <f t="shared" si="1"/>
        <v>46804</v>
      </c>
      <c r="DM1" s="101">
        <f t="shared" si="1"/>
        <v>46811</v>
      </c>
      <c r="DN1" s="101">
        <f t="shared" si="1"/>
        <v>46818</v>
      </c>
      <c r="DO1" s="101">
        <f t="shared" si="1"/>
        <v>46825</v>
      </c>
      <c r="DP1" s="101">
        <f t="shared" si="1"/>
        <v>46832</v>
      </c>
      <c r="DQ1" s="101">
        <f t="shared" si="1"/>
        <v>46839</v>
      </c>
      <c r="DR1" s="101">
        <f t="shared" si="1"/>
        <v>46846</v>
      </c>
      <c r="DS1" s="101">
        <f t="shared" si="1"/>
        <v>46853</v>
      </c>
      <c r="DT1" s="101">
        <f t="shared" si="1"/>
        <v>46860</v>
      </c>
      <c r="DU1" s="101">
        <f t="shared" si="1"/>
        <v>46867</v>
      </c>
      <c r="DV1" s="101">
        <f t="shared" si="1"/>
        <v>46874</v>
      </c>
      <c r="DW1" s="101">
        <f t="shared" si="1"/>
        <v>46881</v>
      </c>
      <c r="DX1" s="101">
        <f t="shared" si="1"/>
        <v>46888</v>
      </c>
      <c r="DY1" s="101">
        <f t="shared" si="1"/>
        <v>46895</v>
      </c>
      <c r="DZ1" s="101">
        <f t="shared" si="1"/>
        <v>46902</v>
      </c>
      <c r="EA1" s="101">
        <f t="shared" si="1"/>
        <v>46909</v>
      </c>
      <c r="EB1" s="101">
        <f t="shared" si="1"/>
        <v>46916</v>
      </c>
      <c r="EC1" s="101">
        <f t="shared" si="1"/>
        <v>46923</v>
      </c>
      <c r="ED1" s="101">
        <f t="shared" si="1"/>
        <v>46930</v>
      </c>
      <c r="EE1" s="101">
        <f t="shared" si="1"/>
        <v>46937</v>
      </c>
      <c r="EF1" s="101">
        <f t="shared" si="1"/>
        <v>46944</v>
      </c>
      <c r="EG1" s="101">
        <f t="shared" ref="EG1:GR1" si="2">EF1+7</f>
        <v>46951</v>
      </c>
      <c r="EH1" s="101">
        <f t="shared" si="2"/>
        <v>46958</v>
      </c>
      <c r="EI1" s="101">
        <f t="shared" si="2"/>
        <v>46965</v>
      </c>
      <c r="EJ1" s="101">
        <f t="shared" si="2"/>
        <v>46972</v>
      </c>
      <c r="EK1" s="101">
        <f t="shared" si="2"/>
        <v>46979</v>
      </c>
      <c r="EL1" s="101">
        <f t="shared" si="2"/>
        <v>46986</v>
      </c>
      <c r="EM1" s="101">
        <f t="shared" si="2"/>
        <v>46993</v>
      </c>
      <c r="EN1" s="101">
        <f t="shared" si="2"/>
        <v>47000</v>
      </c>
      <c r="EO1" s="101">
        <f t="shared" si="2"/>
        <v>47007</v>
      </c>
      <c r="EP1" s="101">
        <f t="shared" si="2"/>
        <v>47014</v>
      </c>
      <c r="EQ1" s="101">
        <f t="shared" si="2"/>
        <v>47021</v>
      </c>
      <c r="ER1" s="101">
        <f t="shared" si="2"/>
        <v>47028</v>
      </c>
      <c r="ES1" s="101">
        <f t="shared" si="2"/>
        <v>47035</v>
      </c>
      <c r="ET1" s="101">
        <f t="shared" si="2"/>
        <v>47042</v>
      </c>
      <c r="EU1" s="101">
        <f t="shared" si="2"/>
        <v>47049</v>
      </c>
      <c r="EV1" s="101">
        <f t="shared" si="2"/>
        <v>47056</v>
      </c>
      <c r="EW1" s="101">
        <f t="shared" si="2"/>
        <v>47063</v>
      </c>
      <c r="EX1" s="101">
        <f t="shared" si="2"/>
        <v>47070</v>
      </c>
      <c r="EY1" s="101">
        <f t="shared" si="2"/>
        <v>47077</v>
      </c>
      <c r="EZ1" s="101">
        <f t="shared" si="2"/>
        <v>47084</v>
      </c>
      <c r="FA1" s="101">
        <f t="shared" si="2"/>
        <v>47091</v>
      </c>
      <c r="FB1" s="101">
        <f t="shared" si="2"/>
        <v>47098</v>
      </c>
      <c r="FC1" s="101">
        <f t="shared" si="2"/>
        <v>47105</v>
      </c>
      <c r="FD1" s="101">
        <f t="shared" si="2"/>
        <v>47112</v>
      </c>
      <c r="FE1" s="101">
        <f t="shared" si="2"/>
        <v>47119</v>
      </c>
      <c r="FF1" s="101">
        <f t="shared" si="2"/>
        <v>47126</v>
      </c>
      <c r="FG1" s="101">
        <f t="shared" si="2"/>
        <v>47133</v>
      </c>
      <c r="FH1" s="101">
        <f t="shared" si="2"/>
        <v>47140</v>
      </c>
      <c r="FI1" s="101">
        <f t="shared" si="2"/>
        <v>47147</v>
      </c>
      <c r="FJ1" s="101">
        <f t="shared" si="2"/>
        <v>47154</v>
      </c>
      <c r="FK1" s="101">
        <f t="shared" si="2"/>
        <v>47161</v>
      </c>
      <c r="FL1" s="101">
        <f t="shared" si="2"/>
        <v>47168</v>
      </c>
      <c r="FM1" s="101">
        <f t="shared" si="2"/>
        <v>47175</v>
      </c>
      <c r="FN1" s="101">
        <f t="shared" si="2"/>
        <v>47182</v>
      </c>
      <c r="FO1" s="101">
        <f t="shared" si="2"/>
        <v>47189</v>
      </c>
      <c r="FP1" s="101">
        <f t="shared" si="2"/>
        <v>47196</v>
      </c>
      <c r="FQ1" s="101">
        <f t="shared" si="2"/>
        <v>47203</v>
      </c>
      <c r="FR1" s="101">
        <f t="shared" si="2"/>
        <v>47210</v>
      </c>
      <c r="FS1" s="101">
        <f t="shared" si="2"/>
        <v>47217</v>
      </c>
      <c r="FT1" s="101">
        <f t="shared" si="2"/>
        <v>47224</v>
      </c>
      <c r="FU1" s="101">
        <f t="shared" si="2"/>
        <v>47231</v>
      </c>
      <c r="FV1" s="101">
        <f t="shared" si="2"/>
        <v>47238</v>
      </c>
      <c r="FW1" s="101">
        <f t="shared" si="2"/>
        <v>47245</v>
      </c>
      <c r="FX1" s="101">
        <f t="shared" si="2"/>
        <v>47252</v>
      </c>
      <c r="FY1" s="101">
        <f t="shared" si="2"/>
        <v>47259</v>
      </c>
      <c r="FZ1" s="101">
        <f t="shared" si="2"/>
        <v>47266</v>
      </c>
      <c r="GA1" s="101">
        <f t="shared" si="2"/>
        <v>47273</v>
      </c>
      <c r="GB1" s="101">
        <f t="shared" si="2"/>
        <v>47280</v>
      </c>
      <c r="GC1" s="101">
        <f t="shared" si="2"/>
        <v>47287</v>
      </c>
      <c r="GD1" s="101">
        <f t="shared" si="2"/>
        <v>47294</v>
      </c>
      <c r="GE1" s="101">
        <f t="shared" si="2"/>
        <v>47301</v>
      </c>
      <c r="GF1" s="101">
        <f t="shared" si="2"/>
        <v>47308</v>
      </c>
      <c r="GG1" s="101">
        <f t="shared" si="2"/>
        <v>47315</v>
      </c>
      <c r="GH1" s="101">
        <f t="shared" si="2"/>
        <v>47322</v>
      </c>
      <c r="GI1" s="101">
        <f t="shared" si="2"/>
        <v>47329</v>
      </c>
      <c r="GJ1" s="101">
        <f t="shared" si="2"/>
        <v>47336</v>
      </c>
      <c r="GK1" s="101">
        <f t="shared" si="2"/>
        <v>47343</v>
      </c>
      <c r="GL1" s="101">
        <f t="shared" si="2"/>
        <v>47350</v>
      </c>
      <c r="GM1" s="101">
        <f t="shared" si="2"/>
        <v>47357</v>
      </c>
      <c r="GN1" s="101">
        <f t="shared" si="2"/>
        <v>47364</v>
      </c>
      <c r="GO1" s="101">
        <f t="shared" si="2"/>
        <v>47371</v>
      </c>
      <c r="GP1" s="101">
        <f t="shared" si="2"/>
        <v>47378</v>
      </c>
      <c r="GQ1" s="101">
        <f t="shared" si="2"/>
        <v>47385</v>
      </c>
      <c r="GR1" s="101">
        <f t="shared" si="2"/>
        <v>47392</v>
      </c>
      <c r="GS1" s="101">
        <f t="shared" ref="GS1:JD1" si="3">GR1+7</f>
        <v>47399</v>
      </c>
      <c r="GT1" s="101">
        <f t="shared" si="3"/>
        <v>47406</v>
      </c>
      <c r="GU1" s="101">
        <f t="shared" si="3"/>
        <v>47413</v>
      </c>
      <c r="GV1" s="101">
        <f t="shared" si="3"/>
        <v>47420</v>
      </c>
      <c r="GW1" s="101">
        <f t="shared" si="3"/>
        <v>47427</v>
      </c>
      <c r="GX1" s="101">
        <f t="shared" si="3"/>
        <v>47434</v>
      </c>
      <c r="GY1" s="101">
        <f t="shared" si="3"/>
        <v>47441</v>
      </c>
      <c r="GZ1" s="101">
        <f t="shared" si="3"/>
        <v>47448</v>
      </c>
      <c r="HA1" s="101">
        <f t="shared" si="3"/>
        <v>47455</v>
      </c>
      <c r="HB1" s="101">
        <f t="shared" si="3"/>
        <v>47462</v>
      </c>
      <c r="HC1" s="101">
        <f t="shared" si="3"/>
        <v>47469</v>
      </c>
      <c r="HD1" s="101">
        <f t="shared" si="3"/>
        <v>47476</v>
      </c>
      <c r="HE1" s="101">
        <f t="shared" si="3"/>
        <v>47483</v>
      </c>
      <c r="HF1" s="101">
        <f t="shared" si="3"/>
        <v>47490</v>
      </c>
      <c r="HG1" s="101">
        <f t="shared" si="3"/>
        <v>47497</v>
      </c>
      <c r="HH1" s="101">
        <f t="shared" si="3"/>
        <v>47504</v>
      </c>
      <c r="HI1" s="101">
        <f t="shared" si="3"/>
        <v>47511</v>
      </c>
      <c r="HJ1" s="101">
        <f t="shared" si="3"/>
        <v>47518</v>
      </c>
      <c r="HK1" s="101">
        <f t="shared" si="3"/>
        <v>47525</v>
      </c>
      <c r="HL1" s="101">
        <f t="shared" si="3"/>
        <v>47532</v>
      </c>
      <c r="HM1" s="101">
        <f t="shared" si="3"/>
        <v>47539</v>
      </c>
      <c r="HN1" s="101">
        <f t="shared" si="3"/>
        <v>47546</v>
      </c>
      <c r="HO1" s="101">
        <f t="shared" si="3"/>
        <v>47553</v>
      </c>
      <c r="HP1" s="101">
        <f t="shared" si="3"/>
        <v>47560</v>
      </c>
      <c r="HQ1" s="101">
        <f t="shared" si="3"/>
        <v>47567</v>
      </c>
      <c r="HR1" s="101">
        <f t="shared" si="3"/>
        <v>47574</v>
      </c>
      <c r="HS1" s="101">
        <f t="shared" si="3"/>
        <v>47581</v>
      </c>
      <c r="HT1" s="101">
        <f t="shared" si="3"/>
        <v>47588</v>
      </c>
      <c r="HU1" s="101">
        <f t="shared" si="3"/>
        <v>47595</v>
      </c>
      <c r="HV1" s="101">
        <f t="shared" si="3"/>
        <v>47602</v>
      </c>
      <c r="HW1" s="101">
        <f t="shared" si="3"/>
        <v>47609</v>
      </c>
      <c r="HX1" s="101">
        <f t="shared" si="3"/>
        <v>47616</v>
      </c>
      <c r="HY1" s="101">
        <f t="shared" si="3"/>
        <v>47623</v>
      </c>
      <c r="HZ1" s="101">
        <f t="shared" si="3"/>
        <v>47630</v>
      </c>
      <c r="IA1" s="101">
        <f t="shared" si="3"/>
        <v>47637</v>
      </c>
      <c r="IB1" s="101">
        <f t="shared" si="3"/>
        <v>47644</v>
      </c>
      <c r="IC1" s="101">
        <f t="shared" si="3"/>
        <v>47651</v>
      </c>
      <c r="ID1" s="101">
        <f t="shared" si="3"/>
        <v>47658</v>
      </c>
      <c r="IE1" s="101">
        <f t="shared" si="3"/>
        <v>47665</v>
      </c>
      <c r="IF1" s="101">
        <f t="shared" si="3"/>
        <v>47672</v>
      </c>
      <c r="IG1" s="101">
        <f t="shared" si="3"/>
        <v>47679</v>
      </c>
      <c r="IH1" s="101">
        <f t="shared" si="3"/>
        <v>47686</v>
      </c>
      <c r="II1" s="101">
        <f t="shared" si="3"/>
        <v>47693</v>
      </c>
      <c r="IJ1" s="101">
        <f t="shared" si="3"/>
        <v>47700</v>
      </c>
      <c r="IK1" s="101">
        <f t="shared" si="3"/>
        <v>47707</v>
      </c>
      <c r="IL1" s="101">
        <f t="shared" si="3"/>
        <v>47714</v>
      </c>
      <c r="IM1" s="101">
        <f t="shared" si="3"/>
        <v>47721</v>
      </c>
      <c r="IN1" s="101">
        <f t="shared" si="3"/>
        <v>47728</v>
      </c>
      <c r="IO1" s="101">
        <f t="shared" si="3"/>
        <v>47735</v>
      </c>
      <c r="IP1" s="101">
        <f t="shared" si="3"/>
        <v>47742</v>
      </c>
      <c r="IQ1" s="101">
        <f t="shared" si="3"/>
        <v>47749</v>
      </c>
      <c r="IR1" s="101">
        <f t="shared" si="3"/>
        <v>47756</v>
      </c>
      <c r="IS1" s="101">
        <f t="shared" si="3"/>
        <v>47763</v>
      </c>
      <c r="IT1" s="101">
        <f t="shared" si="3"/>
        <v>47770</v>
      </c>
      <c r="IU1" s="101">
        <f t="shared" si="3"/>
        <v>47777</v>
      </c>
      <c r="IV1" s="101">
        <f t="shared" si="3"/>
        <v>47784</v>
      </c>
      <c r="IW1" s="101">
        <f t="shared" si="3"/>
        <v>47791</v>
      </c>
      <c r="IX1" s="101">
        <f t="shared" si="3"/>
        <v>47798</v>
      </c>
      <c r="IY1" s="101">
        <f t="shared" si="3"/>
        <v>47805</v>
      </c>
      <c r="IZ1" s="101">
        <f t="shared" si="3"/>
        <v>47812</v>
      </c>
      <c r="JA1" s="101">
        <f t="shared" si="3"/>
        <v>47819</v>
      </c>
      <c r="JB1" s="101">
        <f t="shared" si="3"/>
        <v>47826</v>
      </c>
      <c r="JC1" s="101">
        <f t="shared" si="3"/>
        <v>47833</v>
      </c>
      <c r="JD1" s="101">
        <f t="shared" si="3"/>
        <v>47840</v>
      </c>
      <c r="JE1" s="101">
        <f t="shared" ref="JE1:KF1" si="4">JD1+7</f>
        <v>47847</v>
      </c>
      <c r="JF1" s="101">
        <f t="shared" si="4"/>
        <v>47854</v>
      </c>
      <c r="JG1" s="101">
        <f t="shared" si="4"/>
        <v>47861</v>
      </c>
      <c r="JH1" s="101">
        <f t="shared" si="4"/>
        <v>47868</v>
      </c>
      <c r="JI1" s="101">
        <f t="shared" si="4"/>
        <v>47875</v>
      </c>
      <c r="JJ1" s="101">
        <f t="shared" si="4"/>
        <v>47882</v>
      </c>
      <c r="JK1" s="101">
        <f t="shared" si="4"/>
        <v>47889</v>
      </c>
      <c r="JL1" s="101">
        <f t="shared" si="4"/>
        <v>47896</v>
      </c>
      <c r="JM1" s="101">
        <f t="shared" si="4"/>
        <v>47903</v>
      </c>
      <c r="JN1" s="101">
        <f t="shared" si="4"/>
        <v>47910</v>
      </c>
      <c r="JO1" s="101">
        <f t="shared" si="4"/>
        <v>47917</v>
      </c>
      <c r="JP1" s="101">
        <f t="shared" si="4"/>
        <v>47924</v>
      </c>
      <c r="JQ1" s="101">
        <f t="shared" si="4"/>
        <v>47931</v>
      </c>
      <c r="JR1" s="101">
        <f t="shared" si="4"/>
        <v>47938</v>
      </c>
      <c r="JS1" s="101">
        <f t="shared" si="4"/>
        <v>47945</v>
      </c>
      <c r="JT1" s="101">
        <f t="shared" si="4"/>
        <v>47952</v>
      </c>
      <c r="JU1" s="101">
        <f t="shared" si="4"/>
        <v>47959</v>
      </c>
      <c r="JV1" s="101">
        <f t="shared" si="4"/>
        <v>47966</v>
      </c>
      <c r="JW1" s="101">
        <f t="shared" si="4"/>
        <v>47973</v>
      </c>
      <c r="JX1" s="101">
        <f t="shared" si="4"/>
        <v>47980</v>
      </c>
      <c r="JY1" s="101">
        <f t="shared" si="4"/>
        <v>47987</v>
      </c>
      <c r="JZ1" s="101">
        <f t="shared" si="4"/>
        <v>47994</v>
      </c>
      <c r="KA1" s="101">
        <f t="shared" si="4"/>
        <v>48001</v>
      </c>
      <c r="KB1" s="101">
        <f t="shared" si="4"/>
        <v>48008</v>
      </c>
      <c r="KC1" s="101">
        <f t="shared" si="4"/>
        <v>48015</v>
      </c>
      <c r="KD1" s="101">
        <f t="shared" si="4"/>
        <v>48022</v>
      </c>
      <c r="KE1" s="101">
        <f t="shared" si="4"/>
        <v>48029</v>
      </c>
      <c r="KF1" s="101">
        <f t="shared" si="4"/>
        <v>48036</v>
      </c>
    </row>
    <row r="2" spans="1:770" s="102" customFormat="1">
      <c r="A2" s="724" t="s">
        <v>357</v>
      </c>
      <c r="B2" s="103"/>
      <c r="C2" s="104" t="s">
        <v>252</v>
      </c>
      <c r="D2" s="104" t="s">
        <v>252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5"/>
      <c r="B3" s="106" t="s">
        <v>123</v>
      </c>
      <c r="C3" s="107">
        <f>'Revenue Tracking'!D4</f>
        <v>4119606.8571272362</v>
      </c>
      <c r="D3" s="107">
        <f>SUM(F3:KF3)</f>
        <v>5149508.5714090457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1647842.7428508946</v>
      </c>
      <c r="M3" s="109">
        <f>SUMIFS('Revenue Tracking'!$F$13:$F$24, 'Revenue Tracking'!$H$13:$H$24, "&gt;="&amp;M1,'Revenue Tracking'!$H$13:$H$24, "&lt;"&amp;N1)</f>
        <v>1441862.3999945328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0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1647842.7428508946</v>
      </c>
      <c r="R3" s="109">
        <f>SUMIFS('Revenue Tracking'!$F$13:$F$24, 'Revenue Tracking'!$H$13:$H$24, "&gt;="&amp;R1,'Revenue Tracking'!$H$13:$H$24, "&lt;"&amp;S1)</f>
        <v>102990.17142818091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308970.51428454276</v>
      </c>
      <c r="U3" s="109">
        <f>SUMIFS('Revenue Tracking'!$F$13:$F$24, 'Revenue Tracking'!$H$13:$H$24, "&gt;="&amp;U1,'Revenue Tracking'!$H$13:$H$24, "&lt;"&amp;V1)</f>
        <v>0</v>
      </c>
      <c r="V3" s="109">
        <f>SUMIFS('Revenue Tracking'!$F$13:$F$24, 'Revenue Tracking'!$H$13:$H$24, "&gt;="&amp;V1,'Revenue Tracking'!$H$13:$H$24, "&lt;"&amp;W1)</f>
        <v>0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0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5"/>
      <c r="B4" s="106" t="s">
        <v>358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1647842.7428508946</v>
      </c>
      <c r="M4" s="109">
        <f t="shared" si="5"/>
        <v>3089705.1428454276</v>
      </c>
      <c r="N4" s="109">
        <f t="shared" si="5"/>
        <v>3089705.1428454276</v>
      </c>
      <c r="O4" s="109">
        <f t="shared" si="5"/>
        <v>3089705.1428454276</v>
      </c>
      <c r="P4" s="109">
        <f t="shared" si="5"/>
        <v>3089705.1428454276</v>
      </c>
      <c r="Q4" s="109">
        <f t="shared" si="5"/>
        <v>4737547.8856963217</v>
      </c>
      <c r="R4" s="109">
        <f t="shared" si="5"/>
        <v>4840538.057124503</v>
      </c>
      <c r="S4" s="109">
        <f t="shared" si="5"/>
        <v>4840538.057124503</v>
      </c>
      <c r="T4" s="109">
        <f t="shared" si="5"/>
        <v>5149508.5714090457</v>
      </c>
      <c r="U4" s="109">
        <f t="shared" si="5"/>
        <v>5149508.5714090457</v>
      </c>
      <c r="V4" s="109">
        <f t="shared" si="5"/>
        <v>5149508.5714090457</v>
      </c>
      <c r="W4" s="109">
        <f t="shared" si="5"/>
        <v>5149508.5714090457</v>
      </c>
      <c r="X4" s="109">
        <f t="shared" si="5"/>
        <v>5149508.5714090457</v>
      </c>
      <c r="Y4" s="109">
        <f t="shared" si="5"/>
        <v>5149508.5714090457</v>
      </c>
      <c r="Z4" s="109">
        <f t="shared" si="5"/>
        <v>5149508.5714090457</v>
      </c>
      <c r="AA4" s="109">
        <f t="shared" si="5"/>
        <v>5149508.5714090457</v>
      </c>
      <c r="AB4" s="109">
        <f t="shared" si="5"/>
        <v>5149508.5714090457</v>
      </c>
      <c r="AC4" s="109">
        <f t="shared" si="5"/>
        <v>5149508.5714090457</v>
      </c>
      <c r="AD4" s="109">
        <f>AC4+AD3</f>
        <v>5149508.5714090457</v>
      </c>
      <c r="AE4" s="109">
        <f t="shared" si="5"/>
        <v>5149508.5714090457</v>
      </c>
      <c r="AF4" s="109">
        <f t="shared" si="5"/>
        <v>5149508.5714090457</v>
      </c>
      <c r="AG4" s="109">
        <f t="shared" si="5"/>
        <v>5149508.5714090457</v>
      </c>
      <c r="AH4" s="109">
        <f t="shared" si="5"/>
        <v>5149508.5714090457</v>
      </c>
      <c r="AI4" s="109">
        <f t="shared" si="5"/>
        <v>5149508.5714090457</v>
      </c>
      <c r="AJ4" s="109">
        <f t="shared" si="5"/>
        <v>5149508.5714090457</v>
      </c>
      <c r="AK4" s="109">
        <f t="shared" si="5"/>
        <v>5149508.5714090457</v>
      </c>
      <c r="AL4" s="109">
        <f t="shared" si="5"/>
        <v>5149508.5714090457</v>
      </c>
      <c r="AM4" s="109">
        <f t="shared" si="5"/>
        <v>5149508.5714090457</v>
      </c>
      <c r="AN4" s="109">
        <f t="shared" si="5"/>
        <v>5149508.5714090457</v>
      </c>
      <c r="AO4" s="109">
        <f t="shared" si="5"/>
        <v>5149508.5714090457</v>
      </c>
      <c r="AP4" s="109">
        <f t="shared" si="5"/>
        <v>5149508.5714090457</v>
      </c>
      <c r="AQ4" s="109">
        <f t="shared" si="5"/>
        <v>5149508.5714090457</v>
      </c>
      <c r="AR4" s="109">
        <f t="shared" si="5"/>
        <v>5149508.5714090457</v>
      </c>
      <c r="AS4" s="109">
        <f t="shared" si="5"/>
        <v>5149508.5714090457</v>
      </c>
      <c r="AT4" s="109">
        <f t="shared" si="5"/>
        <v>5149508.5714090457</v>
      </c>
      <c r="AU4" s="109">
        <f t="shared" si="5"/>
        <v>5149508.5714090457</v>
      </c>
      <c r="AV4" s="109">
        <f t="shared" si="5"/>
        <v>5149508.5714090457</v>
      </c>
      <c r="AW4" s="109">
        <f t="shared" si="5"/>
        <v>5149508.5714090457</v>
      </c>
      <c r="AX4" s="109">
        <f t="shared" si="5"/>
        <v>5149508.5714090457</v>
      </c>
      <c r="AY4" s="109">
        <f t="shared" si="5"/>
        <v>5149508.5714090457</v>
      </c>
      <c r="AZ4" s="109">
        <f t="shared" si="5"/>
        <v>5149508.5714090457</v>
      </c>
      <c r="BA4" s="109">
        <f t="shared" si="5"/>
        <v>5149508.5714090457</v>
      </c>
      <c r="BB4" s="109">
        <f t="shared" si="5"/>
        <v>5149508.5714090457</v>
      </c>
      <c r="BC4" s="109">
        <f t="shared" si="5"/>
        <v>5149508.5714090457</v>
      </c>
      <c r="BD4" s="109">
        <f t="shared" si="5"/>
        <v>5149508.5714090457</v>
      </c>
      <c r="BE4" s="109">
        <f t="shared" si="5"/>
        <v>5149508.5714090457</v>
      </c>
      <c r="BF4" s="109">
        <f t="shared" si="5"/>
        <v>5149508.5714090457</v>
      </c>
      <c r="BG4" s="109">
        <f t="shared" si="5"/>
        <v>5149508.5714090457</v>
      </c>
      <c r="BH4" s="109">
        <f t="shared" si="5"/>
        <v>5149508.5714090457</v>
      </c>
      <c r="BI4" s="109">
        <f t="shared" si="5"/>
        <v>5149508.5714090457</v>
      </c>
      <c r="BJ4" s="109">
        <f t="shared" si="5"/>
        <v>5149508.5714090457</v>
      </c>
      <c r="BK4" s="109">
        <f t="shared" si="5"/>
        <v>5149508.5714090457</v>
      </c>
      <c r="BL4" s="109">
        <f t="shared" si="5"/>
        <v>5149508.5714090457</v>
      </c>
      <c r="BM4" s="109">
        <f t="shared" si="5"/>
        <v>5149508.5714090457</v>
      </c>
      <c r="BN4" s="109">
        <f t="shared" si="5"/>
        <v>5149508.5714090457</v>
      </c>
      <c r="BO4" s="109">
        <f t="shared" si="5"/>
        <v>5149508.5714090457</v>
      </c>
      <c r="BP4" s="109">
        <f t="shared" si="5"/>
        <v>5149508.5714090457</v>
      </c>
      <c r="BQ4" s="109">
        <f t="shared" si="5"/>
        <v>5149508.5714090457</v>
      </c>
      <c r="BR4" s="109">
        <f t="shared" si="5"/>
        <v>5149508.5714090457</v>
      </c>
      <c r="BS4" s="109">
        <f t="shared" si="5"/>
        <v>5149508.5714090457</v>
      </c>
      <c r="BT4" s="109">
        <f t="shared" si="5"/>
        <v>5149508.5714090457</v>
      </c>
      <c r="BU4" s="109">
        <f t="shared" ref="BU4:EF4" si="6">BT4+BU3</f>
        <v>5149508.5714090457</v>
      </c>
      <c r="BV4" s="109">
        <f t="shared" si="6"/>
        <v>5149508.5714090457</v>
      </c>
      <c r="BW4" s="109">
        <f t="shared" si="6"/>
        <v>5149508.5714090457</v>
      </c>
      <c r="BX4" s="109">
        <f t="shared" si="6"/>
        <v>5149508.5714090457</v>
      </c>
      <c r="BY4" s="109">
        <f t="shared" si="6"/>
        <v>5149508.5714090457</v>
      </c>
      <c r="BZ4" s="109">
        <f t="shared" si="6"/>
        <v>5149508.5714090457</v>
      </c>
      <c r="CA4" s="109">
        <f t="shared" si="6"/>
        <v>5149508.5714090457</v>
      </c>
      <c r="CB4" s="109">
        <f t="shared" si="6"/>
        <v>5149508.5714090457</v>
      </c>
      <c r="CC4" s="109">
        <f t="shared" si="6"/>
        <v>5149508.5714090457</v>
      </c>
      <c r="CD4" s="109">
        <f t="shared" si="6"/>
        <v>5149508.5714090457</v>
      </c>
      <c r="CE4" s="109">
        <f t="shared" si="6"/>
        <v>5149508.5714090457</v>
      </c>
      <c r="CF4" s="109">
        <f t="shared" si="6"/>
        <v>5149508.5714090457</v>
      </c>
      <c r="CG4" s="109">
        <f t="shared" si="6"/>
        <v>5149508.5714090457</v>
      </c>
      <c r="CH4" s="109">
        <f t="shared" si="6"/>
        <v>5149508.5714090457</v>
      </c>
      <c r="CI4" s="109">
        <f t="shared" si="6"/>
        <v>5149508.5714090457</v>
      </c>
      <c r="CJ4" s="109">
        <f t="shared" si="6"/>
        <v>5149508.5714090457</v>
      </c>
      <c r="CK4" s="109">
        <f t="shared" si="6"/>
        <v>5149508.5714090457</v>
      </c>
      <c r="CL4" s="109">
        <f t="shared" si="6"/>
        <v>5149508.5714090457</v>
      </c>
      <c r="CM4" s="109">
        <f t="shared" si="6"/>
        <v>5149508.5714090457</v>
      </c>
      <c r="CN4" s="109">
        <f t="shared" si="6"/>
        <v>5149508.5714090457</v>
      </c>
      <c r="CO4" s="109">
        <f t="shared" si="6"/>
        <v>5149508.5714090457</v>
      </c>
      <c r="CP4" s="109">
        <f t="shared" si="6"/>
        <v>5149508.5714090457</v>
      </c>
      <c r="CQ4" s="109">
        <f t="shared" si="6"/>
        <v>5149508.5714090457</v>
      </c>
      <c r="CR4" s="109">
        <f t="shared" si="6"/>
        <v>5149508.5714090457</v>
      </c>
      <c r="CS4" s="109">
        <f t="shared" si="6"/>
        <v>5149508.5714090457</v>
      </c>
      <c r="CT4" s="109">
        <f t="shared" si="6"/>
        <v>5149508.5714090457</v>
      </c>
      <c r="CU4" s="109">
        <f t="shared" si="6"/>
        <v>5149508.5714090457</v>
      </c>
      <c r="CV4" s="109">
        <f t="shared" si="6"/>
        <v>5149508.5714090457</v>
      </c>
      <c r="CW4" s="109">
        <f t="shared" si="6"/>
        <v>5149508.5714090457</v>
      </c>
      <c r="CX4" s="109">
        <f t="shared" si="6"/>
        <v>5149508.5714090457</v>
      </c>
      <c r="CY4" s="109">
        <f t="shared" si="6"/>
        <v>5149508.5714090457</v>
      </c>
      <c r="CZ4" s="109">
        <f t="shared" si="6"/>
        <v>5149508.5714090457</v>
      </c>
      <c r="DA4" s="109">
        <f t="shared" si="6"/>
        <v>5149508.5714090457</v>
      </c>
      <c r="DB4" s="109">
        <f t="shared" si="6"/>
        <v>5149508.5714090457</v>
      </c>
      <c r="DC4" s="109">
        <f t="shared" si="6"/>
        <v>5149508.5714090457</v>
      </c>
      <c r="DD4" s="109">
        <f t="shared" si="6"/>
        <v>5149508.5714090457</v>
      </c>
      <c r="DE4" s="109">
        <f t="shared" si="6"/>
        <v>5149508.5714090457</v>
      </c>
      <c r="DF4" s="109">
        <f t="shared" si="6"/>
        <v>5149508.5714090457</v>
      </c>
      <c r="DG4" s="109">
        <f t="shared" si="6"/>
        <v>5149508.5714090457</v>
      </c>
      <c r="DH4" s="109">
        <f t="shared" si="6"/>
        <v>5149508.5714090457</v>
      </c>
      <c r="DI4" s="109">
        <f t="shared" si="6"/>
        <v>5149508.5714090457</v>
      </c>
      <c r="DJ4" s="109">
        <f t="shared" si="6"/>
        <v>5149508.5714090457</v>
      </c>
      <c r="DK4" s="109">
        <f t="shared" si="6"/>
        <v>5149508.5714090457</v>
      </c>
      <c r="DL4" s="109">
        <f t="shared" si="6"/>
        <v>5149508.5714090457</v>
      </c>
      <c r="DM4" s="109">
        <f t="shared" si="6"/>
        <v>5149508.5714090457</v>
      </c>
      <c r="DN4" s="109">
        <f t="shared" si="6"/>
        <v>5149508.5714090457</v>
      </c>
      <c r="DO4" s="109">
        <f t="shared" si="6"/>
        <v>5149508.5714090457</v>
      </c>
      <c r="DP4" s="109">
        <f t="shared" si="6"/>
        <v>5149508.5714090457</v>
      </c>
      <c r="DQ4" s="109">
        <f t="shared" si="6"/>
        <v>5149508.5714090457</v>
      </c>
      <c r="DR4" s="109">
        <f t="shared" si="6"/>
        <v>5149508.5714090457</v>
      </c>
      <c r="DS4" s="109">
        <f t="shared" si="6"/>
        <v>5149508.5714090457</v>
      </c>
      <c r="DT4" s="109">
        <f t="shared" si="6"/>
        <v>5149508.5714090457</v>
      </c>
      <c r="DU4" s="109">
        <f t="shared" si="6"/>
        <v>5149508.5714090457</v>
      </c>
      <c r="DV4" s="109">
        <f t="shared" si="6"/>
        <v>5149508.5714090457</v>
      </c>
      <c r="DW4" s="109">
        <f t="shared" si="6"/>
        <v>5149508.5714090457</v>
      </c>
      <c r="DX4" s="109">
        <f t="shared" si="6"/>
        <v>5149508.5714090457</v>
      </c>
      <c r="DY4" s="109">
        <f t="shared" si="6"/>
        <v>5149508.5714090457</v>
      </c>
      <c r="DZ4" s="109">
        <f t="shared" si="6"/>
        <v>5149508.5714090457</v>
      </c>
      <c r="EA4" s="109">
        <f t="shared" si="6"/>
        <v>5149508.5714090457</v>
      </c>
      <c r="EB4" s="109">
        <f t="shared" si="6"/>
        <v>5149508.5714090457</v>
      </c>
      <c r="EC4" s="109">
        <f t="shared" si="6"/>
        <v>5149508.5714090457</v>
      </c>
      <c r="ED4" s="109">
        <f t="shared" si="6"/>
        <v>5149508.5714090457</v>
      </c>
      <c r="EE4" s="109">
        <f t="shared" si="6"/>
        <v>5149508.5714090457</v>
      </c>
      <c r="EF4" s="109">
        <f t="shared" si="6"/>
        <v>5149508.5714090457</v>
      </c>
      <c r="EG4" s="109">
        <f t="shared" ref="EG4:GR4" si="7">EF4+EG3</f>
        <v>5149508.5714090457</v>
      </c>
      <c r="EH4" s="109">
        <f t="shared" si="7"/>
        <v>5149508.5714090457</v>
      </c>
      <c r="EI4" s="109">
        <f t="shared" si="7"/>
        <v>5149508.5714090457</v>
      </c>
      <c r="EJ4" s="109">
        <f t="shared" si="7"/>
        <v>5149508.5714090457</v>
      </c>
      <c r="EK4" s="109">
        <f t="shared" si="7"/>
        <v>5149508.5714090457</v>
      </c>
      <c r="EL4" s="109">
        <f t="shared" si="7"/>
        <v>5149508.5714090457</v>
      </c>
      <c r="EM4" s="109">
        <f t="shared" si="7"/>
        <v>5149508.5714090457</v>
      </c>
      <c r="EN4" s="109">
        <f t="shared" si="7"/>
        <v>5149508.5714090457</v>
      </c>
      <c r="EO4" s="109">
        <f t="shared" si="7"/>
        <v>5149508.5714090457</v>
      </c>
      <c r="EP4" s="109">
        <f t="shared" si="7"/>
        <v>5149508.5714090457</v>
      </c>
      <c r="EQ4" s="109">
        <f t="shared" si="7"/>
        <v>5149508.5714090457</v>
      </c>
      <c r="ER4" s="109">
        <f t="shared" si="7"/>
        <v>5149508.5714090457</v>
      </c>
      <c r="ES4" s="109">
        <f t="shared" si="7"/>
        <v>5149508.5714090457</v>
      </c>
      <c r="ET4" s="109">
        <f t="shared" si="7"/>
        <v>5149508.5714090457</v>
      </c>
      <c r="EU4" s="109">
        <f t="shared" si="7"/>
        <v>5149508.5714090457</v>
      </c>
      <c r="EV4" s="109">
        <f t="shared" si="7"/>
        <v>5149508.5714090457</v>
      </c>
      <c r="EW4" s="109">
        <f t="shared" si="7"/>
        <v>5149508.5714090457</v>
      </c>
      <c r="EX4" s="109">
        <f t="shared" si="7"/>
        <v>5149508.5714090457</v>
      </c>
      <c r="EY4" s="109">
        <f t="shared" si="7"/>
        <v>5149508.5714090457</v>
      </c>
      <c r="EZ4" s="109">
        <f t="shared" si="7"/>
        <v>5149508.5714090457</v>
      </c>
      <c r="FA4" s="109">
        <f t="shared" si="7"/>
        <v>5149508.5714090457</v>
      </c>
      <c r="FB4" s="109">
        <f t="shared" si="7"/>
        <v>5149508.5714090457</v>
      </c>
      <c r="FC4" s="109">
        <f t="shared" si="7"/>
        <v>5149508.5714090457</v>
      </c>
      <c r="FD4" s="109">
        <f t="shared" si="7"/>
        <v>5149508.5714090457</v>
      </c>
      <c r="FE4" s="109">
        <f t="shared" si="7"/>
        <v>5149508.5714090457</v>
      </c>
      <c r="FF4" s="109">
        <f t="shared" si="7"/>
        <v>5149508.5714090457</v>
      </c>
      <c r="FG4" s="109">
        <f t="shared" si="7"/>
        <v>5149508.5714090457</v>
      </c>
      <c r="FH4" s="109">
        <f t="shared" si="7"/>
        <v>5149508.5714090457</v>
      </c>
      <c r="FI4" s="109">
        <f t="shared" si="7"/>
        <v>5149508.5714090457</v>
      </c>
      <c r="FJ4" s="109">
        <f t="shared" si="7"/>
        <v>5149508.5714090457</v>
      </c>
      <c r="FK4" s="109">
        <f t="shared" si="7"/>
        <v>5149508.5714090457</v>
      </c>
      <c r="FL4" s="109">
        <f t="shared" si="7"/>
        <v>5149508.5714090457</v>
      </c>
      <c r="FM4" s="109">
        <f t="shared" si="7"/>
        <v>5149508.5714090457</v>
      </c>
      <c r="FN4" s="109">
        <f t="shared" si="7"/>
        <v>5149508.5714090457</v>
      </c>
      <c r="FO4" s="109">
        <f t="shared" si="7"/>
        <v>5149508.5714090457</v>
      </c>
      <c r="FP4" s="109">
        <f t="shared" si="7"/>
        <v>5149508.5714090457</v>
      </c>
      <c r="FQ4" s="109">
        <f t="shared" si="7"/>
        <v>5149508.5714090457</v>
      </c>
      <c r="FR4" s="109">
        <f t="shared" si="7"/>
        <v>5149508.5714090457</v>
      </c>
      <c r="FS4" s="109">
        <f t="shared" si="7"/>
        <v>5149508.5714090457</v>
      </c>
      <c r="FT4" s="109">
        <f t="shared" si="7"/>
        <v>5149508.5714090457</v>
      </c>
      <c r="FU4" s="109">
        <f t="shared" si="7"/>
        <v>5149508.5714090457</v>
      </c>
      <c r="FV4" s="109">
        <f t="shared" si="7"/>
        <v>5149508.5714090457</v>
      </c>
      <c r="FW4" s="109">
        <f t="shared" si="7"/>
        <v>5149508.5714090457</v>
      </c>
      <c r="FX4" s="109">
        <f t="shared" si="7"/>
        <v>5149508.5714090457</v>
      </c>
      <c r="FY4" s="109">
        <f t="shared" si="7"/>
        <v>5149508.5714090457</v>
      </c>
      <c r="FZ4" s="109">
        <f t="shared" si="7"/>
        <v>5149508.5714090457</v>
      </c>
      <c r="GA4" s="109">
        <f t="shared" si="7"/>
        <v>5149508.5714090457</v>
      </c>
      <c r="GB4" s="109">
        <f t="shared" si="7"/>
        <v>5149508.5714090457</v>
      </c>
      <c r="GC4" s="109">
        <f t="shared" si="7"/>
        <v>5149508.5714090457</v>
      </c>
      <c r="GD4" s="109">
        <f t="shared" si="7"/>
        <v>5149508.5714090457</v>
      </c>
      <c r="GE4" s="109">
        <f t="shared" si="7"/>
        <v>5149508.5714090457</v>
      </c>
      <c r="GF4" s="109">
        <f t="shared" si="7"/>
        <v>5149508.5714090457</v>
      </c>
      <c r="GG4" s="109">
        <f t="shared" si="7"/>
        <v>5149508.5714090457</v>
      </c>
      <c r="GH4" s="109">
        <f t="shared" si="7"/>
        <v>5149508.5714090457</v>
      </c>
      <c r="GI4" s="109">
        <f t="shared" si="7"/>
        <v>5149508.5714090457</v>
      </c>
      <c r="GJ4" s="109">
        <f t="shared" si="7"/>
        <v>5149508.5714090457</v>
      </c>
      <c r="GK4" s="109">
        <f t="shared" si="7"/>
        <v>5149508.5714090457</v>
      </c>
      <c r="GL4" s="109">
        <f t="shared" si="7"/>
        <v>5149508.5714090457</v>
      </c>
      <c r="GM4" s="109">
        <f t="shared" si="7"/>
        <v>5149508.5714090457</v>
      </c>
      <c r="GN4" s="109">
        <f t="shared" si="7"/>
        <v>5149508.5714090457</v>
      </c>
      <c r="GO4" s="109">
        <f t="shared" si="7"/>
        <v>5149508.5714090457</v>
      </c>
      <c r="GP4" s="109">
        <f t="shared" si="7"/>
        <v>5149508.5714090457</v>
      </c>
      <c r="GQ4" s="109">
        <f t="shared" si="7"/>
        <v>5149508.5714090457</v>
      </c>
      <c r="GR4" s="109">
        <f t="shared" si="7"/>
        <v>5149508.5714090457</v>
      </c>
      <c r="GS4" s="109">
        <f t="shared" ref="GS4:JD4" si="8">GR4+GS3</f>
        <v>5149508.5714090457</v>
      </c>
      <c r="GT4" s="109">
        <f t="shared" si="8"/>
        <v>5149508.5714090457</v>
      </c>
      <c r="GU4" s="109">
        <f t="shared" si="8"/>
        <v>5149508.5714090457</v>
      </c>
      <c r="GV4" s="109">
        <f t="shared" si="8"/>
        <v>5149508.5714090457</v>
      </c>
      <c r="GW4" s="109">
        <f t="shared" si="8"/>
        <v>5149508.5714090457</v>
      </c>
      <c r="GX4" s="109">
        <f t="shared" si="8"/>
        <v>5149508.5714090457</v>
      </c>
      <c r="GY4" s="109">
        <f t="shared" si="8"/>
        <v>5149508.5714090457</v>
      </c>
      <c r="GZ4" s="109">
        <f t="shared" si="8"/>
        <v>5149508.5714090457</v>
      </c>
      <c r="HA4" s="109">
        <f t="shared" si="8"/>
        <v>5149508.5714090457</v>
      </c>
      <c r="HB4" s="109">
        <f t="shared" si="8"/>
        <v>5149508.5714090457</v>
      </c>
      <c r="HC4" s="109">
        <f t="shared" si="8"/>
        <v>5149508.5714090457</v>
      </c>
      <c r="HD4" s="109">
        <f t="shared" si="8"/>
        <v>5149508.5714090457</v>
      </c>
      <c r="HE4" s="109">
        <f t="shared" si="8"/>
        <v>5149508.5714090457</v>
      </c>
      <c r="HF4" s="109">
        <f t="shared" si="8"/>
        <v>5149508.5714090457</v>
      </c>
      <c r="HG4" s="109">
        <f t="shared" si="8"/>
        <v>5149508.5714090457</v>
      </c>
      <c r="HH4" s="109">
        <f t="shared" si="8"/>
        <v>5149508.5714090457</v>
      </c>
      <c r="HI4" s="109">
        <f t="shared" si="8"/>
        <v>5149508.5714090457</v>
      </c>
      <c r="HJ4" s="109">
        <f t="shared" si="8"/>
        <v>5149508.5714090457</v>
      </c>
      <c r="HK4" s="109">
        <f t="shared" si="8"/>
        <v>5149508.5714090457</v>
      </c>
      <c r="HL4" s="109">
        <f t="shared" si="8"/>
        <v>5149508.5714090457</v>
      </c>
      <c r="HM4" s="109">
        <f t="shared" si="8"/>
        <v>5149508.5714090457</v>
      </c>
      <c r="HN4" s="109">
        <f t="shared" si="8"/>
        <v>5149508.5714090457</v>
      </c>
      <c r="HO4" s="109">
        <f t="shared" si="8"/>
        <v>5149508.5714090457</v>
      </c>
      <c r="HP4" s="109">
        <f t="shared" si="8"/>
        <v>5149508.5714090457</v>
      </c>
      <c r="HQ4" s="109">
        <f t="shared" si="8"/>
        <v>5149508.5714090457</v>
      </c>
      <c r="HR4" s="109">
        <f t="shared" si="8"/>
        <v>5149508.5714090457</v>
      </c>
      <c r="HS4" s="109">
        <f t="shared" si="8"/>
        <v>5149508.5714090457</v>
      </c>
      <c r="HT4" s="109">
        <f t="shared" si="8"/>
        <v>5149508.5714090457</v>
      </c>
      <c r="HU4" s="109">
        <f t="shared" si="8"/>
        <v>5149508.5714090457</v>
      </c>
      <c r="HV4" s="109">
        <f t="shared" si="8"/>
        <v>5149508.5714090457</v>
      </c>
      <c r="HW4" s="109">
        <f t="shared" si="8"/>
        <v>5149508.5714090457</v>
      </c>
      <c r="HX4" s="109">
        <f t="shared" si="8"/>
        <v>5149508.5714090457</v>
      </c>
      <c r="HY4" s="109">
        <f t="shared" si="8"/>
        <v>5149508.5714090457</v>
      </c>
      <c r="HZ4" s="109">
        <f t="shared" si="8"/>
        <v>5149508.5714090457</v>
      </c>
      <c r="IA4" s="109">
        <f t="shared" si="8"/>
        <v>5149508.5714090457</v>
      </c>
      <c r="IB4" s="109">
        <f t="shared" si="8"/>
        <v>5149508.5714090457</v>
      </c>
      <c r="IC4" s="109">
        <f t="shared" si="8"/>
        <v>5149508.5714090457</v>
      </c>
      <c r="ID4" s="109">
        <f t="shared" si="8"/>
        <v>5149508.5714090457</v>
      </c>
      <c r="IE4" s="109">
        <f t="shared" si="8"/>
        <v>5149508.5714090457</v>
      </c>
      <c r="IF4" s="109">
        <f t="shared" si="8"/>
        <v>5149508.5714090457</v>
      </c>
      <c r="IG4" s="109">
        <f t="shared" si="8"/>
        <v>5149508.5714090457</v>
      </c>
      <c r="IH4" s="109">
        <f t="shared" si="8"/>
        <v>5149508.5714090457</v>
      </c>
      <c r="II4" s="109">
        <f t="shared" si="8"/>
        <v>5149508.5714090457</v>
      </c>
      <c r="IJ4" s="109">
        <f t="shared" si="8"/>
        <v>5149508.5714090457</v>
      </c>
      <c r="IK4" s="109">
        <f t="shared" si="8"/>
        <v>5149508.5714090457</v>
      </c>
      <c r="IL4" s="109">
        <f t="shared" si="8"/>
        <v>5149508.5714090457</v>
      </c>
      <c r="IM4" s="109">
        <f t="shared" si="8"/>
        <v>5149508.5714090457</v>
      </c>
      <c r="IN4" s="109">
        <f t="shared" si="8"/>
        <v>5149508.5714090457</v>
      </c>
      <c r="IO4" s="109">
        <f t="shared" si="8"/>
        <v>5149508.5714090457</v>
      </c>
      <c r="IP4" s="109">
        <f t="shared" si="8"/>
        <v>5149508.5714090457</v>
      </c>
      <c r="IQ4" s="109">
        <f t="shared" si="8"/>
        <v>5149508.5714090457</v>
      </c>
      <c r="IR4" s="109">
        <f t="shared" si="8"/>
        <v>5149508.5714090457</v>
      </c>
      <c r="IS4" s="109">
        <f t="shared" si="8"/>
        <v>5149508.5714090457</v>
      </c>
      <c r="IT4" s="109">
        <f t="shared" si="8"/>
        <v>5149508.5714090457</v>
      </c>
      <c r="IU4" s="109">
        <f t="shared" si="8"/>
        <v>5149508.5714090457</v>
      </c>
      <c r="IV4" s="109">
        <f t="shared" si="8"/>
        <v>5149508.5714090457</v>
      </c>
      <c r="IW4" s="109">
        <f t="shared" si="8"/>
        <v>5149508.5714090457</v>
      </c>
      <c r="IX4" s="109">
        <f t="shared" si="8"/>
        <v>5149508.5714090457</v>
      </c>
      <c r="IY4" s="109">
        <f t="shared" si="8"/>
        <v>5149508.5714090457</v>
      </c>
      <c r="IZ4" s="109">
        <f t="shared" si="8"/>
        <v>5149508.5714090457</v>
      </c>
      <c r="JA4" s="109">
        <f t="shared" si="8"/>
        <v>5149508.5714090457</v>
      </c>
      <c r="JB4" s="109">
        <f t="shared" si="8"/>
        <v>5149508.5714090457</v>
      </c>
      <c r="JC4" s="109">
        <f t="shared" si="8"/>
        <v>5149508.5714090457</v>
      </c>
      <c r="JD4" s="109">
        <f t="shared" si="8"/>
        <v>5149508.5714090457</v>
      </c>
      <c r="JE4" s="109">
        <f t="shared" ref="JE4:KF4" si="9">JD4+JE3</f>
        <v>5149508.5714090457</v>
      </c>
      <c r="JF4" s="109">
        <f t="shared" si="9"/>
        <v>5149508.5714090457</v>
      </c>
      <c r="JG4" s="109">
        <f t="shared" si="9"/>
        <v>5149508.5714090457</v>
      </c>
      <c r="JH4" s="109">
        <f t="shared" si="9"/>
        <v>5149508.5714090457</v>
      </c>
      <c r="JI4" s="109">
        <f t="shared" si="9"/>
        <v>5149508.5714090457</v>
      </c>
      <c r="JJ4" s="109">
        <f t="shared" si="9"/>
        <v>5149508.5714090457</v>
      </c>
      <c r="JK4" s="109">
        <f t="shared" si="9"/>
        <v>5149508.5714090457</v>
      </c>
      <c r="JL4" s="109">
        <f t="shared" si="9"/>
        <v>5149508.5714090457</v>
      </c>
      <c r="JM4" s="109">
        <f t="shared" si="9"/>
        <v>5149508.5714090457</v>
      </c>
      <c r="JN4" s="109">
        <f t="shared" si="9"/>
        <v>5149508.5714090457</v>
      </c>
      <c r="JO4" s="109">
        <f t="shared" si="9"/>
        <v>5149508.5714090457</v>
      </c>
      <c r="JP4" s="109">
        <f t="shared" si="9"/>
        <v>5149508.5714090457</v>
      </c>
      <c r="JQ4" s="109">
        <f t="shared" si="9"/>
        <v>5149508.5714090457</v>
      </c>
      <c r="JR4" s="109">
        <f t="shared" si="9"/>
        <v>5149508.5714090457</v>
      </c>
      <c r="JS4" s="109">
        <f t="shared" si="9"/>
        <v>5149508.5714090457</v>
      </c>
      <c r="JT4" s="109">
        <f t="shared" si="9"/>
        <v>5149508.5714090457</v>
      </c>
      <c r="JU4" s="109">
        <f t="shared" si="9"/>
        <v>5149508.5714090457</v>
      </c>
      <c r="JV4" s="109">
        <f t="shared" si="9"/>
        <v>5149508.5714090457</v>
      </c>
      <c r="JW4" s="109">
        <f t="shared" si="9"/>
        <v>5149508.5714090457</v>
      </c>
      <c r="JX4" s="109">
        <f t="shared" si="9"/>
        <v>5149508.5714090457</v>
      </c>
      <c r="JY4" s="109">
        <f t="shared" si="9"/>
        <v>5149508.5714090457</v>
      </c>
      <c r="JZ4" s="109">
        <f t="shared" si="9"/>
        <v>5149508.5714090457</v>
      </c>
      <c r="KA4" s="109">
        <f t="shared" si="9"/>
        <v>5149508.5714090457</v>
      </c>
      <c r="KB4" s="109">
        <f t="shared" si="9"/>
        <v>5149508.5714090457</v>
      </c>
      <c r="KC4" s="109">
        <f t="shared" si="9"/>
        <v>5149508.5714090457</v>
      </c>
      <c r="KD4" s="109">
        <f t="shared" si="9"/>
        <v>5149508.5714090457</v>
      </c>
      <c r="KE4" s="109">
        <f t="shared" si="9"/>
        <v>5149508.5714090457</v>
      </c>
      <c r="KF4" s="109">
        <f t="shared" si="9"/>
        <v>5149508.5714090457</v>
      </c>
    </row>
    <row r="5" spans="1:770" s="114" customFormat="1">
      <c r="A5" s="725"/>
      <c r="B5" s="110" t="s">
        <v>125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126260.79999999999</v>
      </c>
      <c r="P5" s="112">
        <f>SUMIFS('Expenditure Breakdown'!$G$6:$G$172, 'Expenditure Breakdown'!$H$6:$H$172, "&gt;="&amp;P1,'Expenditure Breakdown'!$H$6:$H$172, "&lt;"&amp;Q1)</f>
        <v>417616</v>
      </c>
      <c r="Q5" s="112">
        <f>SUMIFS('Expenditure Breakdown'!$G$6:$G$172, 'Expenditure Breakdown'!$H$6:$H$172, "&gt;="&amp;Q1,'Expenditure Breakdown'!$H$6:$H$172, "&lt;"&amp;R1)</f>
        <v>785757.11111111112</v>
      </c>
      <c r="R5" s="112">
        <f>SUMIFS('Expenditure Breakdown'!$G$6:$G$172, 'Expenditure Breakdown'!$H$6:$H$172, "&gt;="&amp;R1,'Expenditure Breakdown'!$H$6:$H$172, "&lt;"&amp;S1)</f>
        <v>619380.72608695645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1281385.7508780193</v>
      </c>
      <c r="U5" s="112">
        <f>SUMIFS('Expenditure Breakdown'!$G$6:$G$172, 'Expenditure Breakdown'!$H$6:$H$172, "&gt;="&amp;U1,'Expenditure Breakdown'!$H$6:$H$172, "&lt;"&amp;V1)</f>
        <v>142214.51304347828</v>
      </c>
      <c r="V5" s="112">
        <f>SUMIFS('Expenditure Breakdown'!$G$6:$G$172, 'Expenditure Breakdown'!$H$6:$H$172, "&gt;="&amp;V1,'Expenditure Breakdown'!$H$6:$H$172, "&lt;"&amp;W1)</f>
        <v>0</v>
      </c>
      <c r="W5" s="112">
        <f>SUMIFS('Expenditure Breakdown'!$G$6:$G$172, 'Expenditure Breakdown'!$H$6:$H$172, "&gt;="&amp;W1,'Expenditure Breakdown'!$H$6:$H$172, "&lt;"&amp;X1)</f>
        <v>0</v>
      </c>
      <c r="X5" s="112">
        <f>SUMIFS('Expenditure Breakdown'!$G$6:$G$172, 'Expenditure Breakdown'!$H$6:$H$172, "&gt;="&amp;X1,'Expenditure Breakdown'!$H$6:$H$172, "&lt;"&amp;Y1)</f>
        <v>0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5"/>
      <c r="B6" s="110" t="s">
        <v>359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89500</v>
      </c>
      <c r="M6" s="112">
        <f t="shared" si="10"/>
        <v>89500</v>
      </c>
      <c r="N6" s="112">
        <f t="shared" si="10"/>
        <v>89500</v>
      </c>
      <c r="O6" s="112">
        <f t="shared" si="10"/>
        <v>215760.8</v>
      </c>
      <c r="P6" s="112">
        <f t="shared" si="10"/>
        <v>633376.80000000005</v>
      </c>
      <c r="Q6" s="112">
        <f t="shared" si="10"/>
        <v>1419133.9111111113</v>
      </c>
      <c r="R6" s="112">
        <f t="shared" si="10"/>
        <v>2038514.6371980677</v>
      </c>
      <c r="S6" s="112">
        <f t="shared" si="10"/>
        <v>2038514.6371980677</v>
      </c>
      <c r="T6" s="112">
        <f t="shared" si="10"/>
        <v>3319900.388076087</v>
      </c>
      <c r="U6" s="112">
        <f t="shared" si="10"/>
        <v>3462114.9011195651</v>
      </c>
      <c r="V6" s="112">
        <f t="shared" si="10"/>
        <v>3462114.9011195651</v>
      </c>
      <c r="W6" s="112">
        <f t="shared" si="10"/>
        <v>3462114.9011195651</v>
      </c>
      <c r="X6" s="112">
        <f t="shared" si="10"/>
        <v>3462114.9011195651</v>
      </c>
      <c r="Y6" s="112">
        <f t="shared" si="10"/>
        <v>3462114.9011195651</v>
      </c>
      <c r="Z6" s="112">
        <f t="shared" si="10"/>
        <v>3462114.9011195651</v>
      </c>
      <c r="AA6" s="112">
        <f t="shared" si="10"/>
        <v>3462114.9011195651</v>
      </c>
      <c r="AB6" s="112">
        <f t="shared" si="10"/>
        <v>3462114.9011195651</v>
      </c>
      <c r="AC6" s="112">
        <f t="shared" si="10"/>
        <v>3462114.9011195651</v>
      </c>
      <c r="AD6" s="112">
        <f>AC6+AD5</f>
        <v>3462114.9011195651</v>
      </c>
      <c r="AE6" s="112">
        <f t="shared" si="10"/>
        <v>3462114.9011195651</v>
      </c>
      <c r="AF6" s="112">
        <f t="shared" si="10"/>
        <v>3462114.9011195651</v>
      </c>
      <c r="AG6" s="112">
        <f t="shared" si="10"/>
        <v>3462114.9011195651</v>
      </c>
      <c r="AH6" s="112">
        <f t="shared" si="10"/>
        <v>3462114.9011195651</v>
      </c>
      <c r="AI6" s="112">
        <f t="shared" si="10"/>
        <v>3462114.9011195651</v>
      </c>
      <c r="AJ6" s="112">
        <f t="shared" si="10"/>
        <v>3462114.9011195651</v>
      </c>
      <c r="AK6" s="112">
        <f t="shared" si="10"/>
        <v>3462114.9011195651</v>
      </c>
      <c r="AL6" s="112">
        <f t="shared" si="10"/>
        <v>3462114.9011195651</v>
      </c>
      <c r="AM6" s="112">
        <f t="shared" si="10"/>
        <v>3462114.9011195651</v>
      </c>
      <c r="AN6" s="112">
        <f t="shared" si="10"/>
        <v>3462114.9011195651</v>
      </c>
      <c r="AO6" s="112">
        <f t="shared" si="10"/>
        <v>3462114.9011195651</v>
      </c>
      <c r="AP6" s="112">
        <f t="shared" si="10"/>
        <v>3462114.9011195651</v>
      </c>
      <c r="AQ6" s="112">
        <f t="shared" si="10"/>
        <v>3462114.9011195651</v>
      </c>
      <c r="AR6" s="112">
        <f t="shared" si="10"/>
        <v>3462114.9011195651</v>
      </c>
      <c r="AS6" s="112">
        <f t="shared" si="10"/>
        <v>3462114.9011195651</v>
      </c>
      <c r="AT6" s="112">
        <f t="shared" si="10"/>
        <v>3462114.9011195651</v>
      </c>
      <c r="AU6" s="112">
        <f t="shared" si="10"/>
        <v>3462114.9011195651</v>
      </c>
      <c r="AV6" s="112">
        <f t="shared" si="10"/>
        <v>3462114.9011195651</v>
      </c>
      <c r="AW6" s="112">
        <f t="shared" si="10"/>
        <v>3462114.9011195651</v>
      </c>
      <c r="AX6" s="112">
        <f t="shared" si="10"/>
        <v>3462114.9011195651</v>
      </c>
      <c r="AY6" s="112">
        <f t="shared" si="10"/>
        <v>3462114.9011195651</v>
      </c>
      <c r="AZ6" s="112">
        <f t="shared" si="10"/>
        <v>3462114.9011195651</v>
      </c>
      <c r="BA6" s="112">
        <f t="shared" si="10"/>
        <v>3462114.9011195651</v>
      </c>
      <c r="BB6" s="112">
        <f t="shared" si="10"/>
        <v>3462114.9011195651</v>
      </c>
      <c r="BC6" s="112">
        <f t="shared" si="10"/>
        <v>3462114.9011195651</v>
      </c>
      <c r="BD6" s="112">
        <f t="shared" si="10"/>
        <v>3462114.9011195651</v>
      </c>
      <c r="BE6" s="112">
        <f t="shared" si="10"/>
        <v>3462114.9011195651</v>
      </c>
      <c r="BF6" s="112">
        <f t="shared" si="10"/>
        <v>3462114.9011195651</v>
      </c>
      <c r="BG6" s="112">
        <f t="shared" si="10"/>
        <v>3462114.9011195651</v>
      </c>
      <c r="BH6" s="112">
        <f t="shared" si="10"/>
        <v>3462114.9011195651</v>
      </c>
      <c r="BI6" s="112">
        <f t="shared" si="10"/>
        <v>3462114.9011195651</v>
      </c>
      <c r="BJ6" s="112">
        <f t="shared" si="10"/>
        <v>3462114.9011195651</v>
      </c>
      <c r="BK6" s="112">
        <f t="shared" si="10"/>
        <v>3462114.9011195651</v>
      </c>
      <c r="BL6" s="112">
        <f t="shared" si="10"/>
        <v>3462114.9011195651</v>
      </c>
      <c r="BM6" s="112">
        <f t="shared" si="10"/>
        <v>3462114.9011195651</v>
      </c>
      <c r="BN6" s="112">
        <f t="shared" si="10"/>
        <v>3462114.9011195651</v>
      </c>
      <c r="BO6" s="112">
        <f t="shared" si="10"/>
        <v>3462114.9011195651</v>
      </c>
      <c r="BP6" s="112">
        <f t="shared" si="10"/>
        <v>3462114.9011195651</v>
      </c>
      <c r="BQ6" s="112">
        <f t="shared" si="10"/>
        <v>3462114.9011195651</v>
      </c>
      <c r="BR6" s="112">
        <f t="shared" si="10"/>
        <v>3462114.9011195651</v>
      </c>
      <c r="BS6" s="112">
        <f t="shared" si="10"/>
        <v>3462114.9011195651</v>
      </c>
      <c r="BT6" s="112">
        <f t="shared" si="10"/>
        <v>3462114.9011195651</v>
      </c>
      <c r="BU6" s="112">
        <f t="shared" ref="BU6:EF6" si="11">BT6+BU5</f>
        <v>3462114.9011195651</v>
      </c>
      <c r="BV6" s="112">
        <f t="shared" si="11"/>
        <v>3462114.9011195651</v>
      </c>
      <c r="BW6" s="112">
        <f t="shared" si="11"/>
        <v>3462114.9011195651</v>
      </c>
      <c r="BX6" s="112">
        <f t="shared" si="11"/>
        <v>3462114.9011195651</v>
      </c>
      <c r="BY6" s="112">
        <f t="shared" si="11"/>
        <v>3462114.9011195651</v>
      </c>
      <c r="BZ6" s="112">
        <f t="shared" si="11"/>
        <v>3462114.9011195651</v>
      </c>
      <c r="CA6" s="112">
        <f t="shared" si="11"/>
        <v>3462114.9011195651</v>
      </c>
      <c r="CB6" s="112">
        <f t="shared" si="11"/>
        <v>3462114.9011195651</v>
      </c>
      <c r="CC6" s="112">
        <f t="shared" si="11"/>
        <v>3462114.9011195651</v>
      </c>
      <c r="CD6" s="112">
        <f t="shared" si="11"/>
        <v>3462114.9011195651</v>
      </c>
      <c r="CE6" s="112">
        <f t="shared" si="11"/>
        <v>3462114.9011195651</v>
      </c>
      <c r="CF6" s="112">
        <f t="shared" si="11"/>
        <v>3462114.9011195651</v>
      </c>
      <c r="CG6" s="112">
        <f t="shared" si="11"/>
        <v>3462114.9011195651</v>
      </c>
      <c r="CH6" s="112">
        <f t="shared" si="11"/>
        <v>3462114.9011195651</v>
      </c>
      <c r="CI6" s="112">
        <f t="shared" si="11"/>
        <v>3462114.9011195651</v>
      </c>
      <c r="CJ6" s="112">
        <f t="shared" si="11"/>
        <v>3462114.9011195651</v>
      </c>
      <c r="CK6" s="112">
        <f t="shared" si="11"/>
        <v>3462114.9011195651</v>
      </c>
      <c r="CL6" s="112">
        <f t="shared" si="11"/>
        <v>3462114.9011195651</v>
      </c>
      <c r="CM6" s="112">
        <f t="shared" si="11"/>
        <v>3462114.9011195651</v>
      </c>
      <c r="CN6" s="112">
        <f t="shared" si="11"/>
        <v>3462114.9011195651</v>
      </c>
      <c r="CO6" s="112">
        <f t="shared" si="11"/>
        <v>3462114.9011195651</v>
      </c>
      <c r="CP6" s="112">
        <f t="shared" si="11"/>
        <v>3462114.9011195651</v>
      </c>
      <c r="CQ6" s="112">
        <f t="shared" si="11"/>
        <v>3462114.9011195651</v>
      </c>
      <c r="CR6" s="112">
        <f t="shared" si="11"/>
        <v>3462114.9011195651</v>
      </c>
      <c r="CS6" s="112">
        <f t="shared" si="11"/>
        <v>3462114.9011195651</v>
      </c>
      <c r="CT6" s="112">
        <f t="shared" si="11"/>
        <v>3462114.9011195651</v>
      </c>
      <c r="CU6" s="112">
        <f t="shared" si="11"/>
        <v>3462114.9011195651</v>
      </c>
      <c r="CV6" s="112">
        <f t="shared" si="11"/>
        <v>3462114.9011195651</v>
      </c>
      <c r="CW6" s="112">
        <f t="shared" si="11"/>
        <v>3462114.9011195651</v>
      </c>
      <c r="CX6" s="112">
        <f t="shared" si="11"/>
        <v>3462114.9011195651</v>
      </c>
      <c r="CY6" s="112">
        <f t="shared" si="11"/>
        <v>3462114.9011195651</v>
      </c>
      <c r="CZ6" s="112">
        <f t="shared" si="11"/>
        <v>3462114.9011195651</v>
      </c>
      <c r="DA6" s="112">
        <f t="shared" si="11"/>
        <v>3462114.9011195651</v>
      </c>
      <c r="DB6" s="112">
        <f t="shared" si="11"/>
        <v>3462114.9011195651</v>
      </c>
      <c r="DC6" s="112">
        <f t="shared" si="11"/>
        <v>3462114.9011195651</v>
      </c>
      <c r="DD6" s="112">
        <f t="shared" si="11"/>
        <v>3462114.9011195651</v>
      </c>
      <c r="DE6" s="112">
        <f t="shared" si="11"/>
        <v>3462114.9011195651</v>
      </c>
      <c r="DF6" s="112">
        <f t="shared" si="11"/>
        <v>3462114.9011195651</v>
      </c>
      <c r="DG6" s="112">
        <f t="shared" si="11"/>
        <v>3462114.9011195651</v>
      </c>
      <c r="DH6" s="112">
        <f t="shared" si="11"/>
        <v>3462114.9011195651</v>
      </c>
      <c r="DI6" s="112">
        <f t="shared" si="11"/>
        <v>3462114.9011195651</v>
      </c>
      <c r="DJ6" s="112">
        <f t="shared" si="11"/>
        <v>3462114.9011195651</v>
      </c>
      <c r="DK6" s="112">
        <f t="shared" si="11"/>
        <v>3462114.9011195651</v>
      </c>
      <c r="DL6" s="112">
        <f t="shared" si="11"/>
        <v>3462114.9011195651</v>
      </c>
      <c r="DM6" s="112">
        <f t="shared" si="11"/>
        <v>3462114.9011195651</v>
      </c>
      <c r="DN6" s="112">
        <f t="shared" si="11"/>
        <v>3462114.9011195651</v>
      </c>
      <c r="DO6" s="112">
        <f t="shared" si="11"/>
        <v>3462114.9011195651</v>
      </c>
      <c r="DP6" s="112">
        <f t="shared" si="11"/>
        <v>3462114.9011195651</v>
      </c>
      <c r="DQ6" s="112">
        <f t="shared" si="11"/>
        <v>3462114.9011195651</v>
      </c>
      <c r="DR6" s="112">
        <f t="shared" si="11"/>
        <v>3462114.9011195651</v>
      </c>
      <c r="DS6" s="112">
        <f t="shared" si="11"/>
        <v>3462114.9011195651</v>
      </c>
      <c r="DT6" s="112">
        <f t="shared" si="11"/>
        <v>3462114.9011195651</v>
      </c>
      <c r="DU6" s="112">
        <f t="shared" si="11"/>
        <v>3462114.9011195651</v>
      </c>
      <c r="DV6" s="112">
        <f t="shared" si="11"/>
        <v>3462114.9011195651</v>
      </c>
      <c r="DW6" s="112">
        <f t="shared" si="11"/>
        <v>3462114.9011195651</v>
      </c>
      <c r="DX6" s="112">
        <f t="shared" si="11"/>
        <v>3462114.9011195651</v>
      </c>
      <c r="DY6" s="112">
        <f t="shared" si="11"/>
        <v>3462114.9011195651</v>
      </c>
      <c r="DZ6" s="112">
        <f t="shared" si="11"/>
        <v>3462114.9011195651</v>
      </c>
      <c r="EA6" s="112">
        <f t="shared" si="11"/>
        <v>3462114.9011195651</v>
      </c>
      <c r="EB6" s="112">
        <f t="shared" si="11"/>
        <v>3462114.9011195651</v>
      </c>
      <c r="EC6" s="112">
        <f t="shared" si="11"/>
        <v>3462114.9011195651</v>
      </c>
      <c r="ED6" s="112">
        <f t="shared" si="11"/>
        <v>3462114.9011195651</v>
      </c>
      <c r="EE6" s="112">
        <f t="shared" si="11"/>
        <v>3462114.9011195651</v>
      </c>
      <c r="EF6" s="112">
        <f t="shared" si="11"/>
        <v>3462114.9011195651</v>
      </c>
      <c r="EG6" s="112">
        <f t="shared" ref="EG6:GR6" si="12">EF6+EG5</f>
        <v>3462114.9011195651</v>
      </c>
      <c r="EH6" s="112">
        <f t="shared" si="12"/>
        <v>3462114.9011195651</v>
      </c>
      <c r="EI6" s="112">
        <f t="shared" si="12"/>
        <v>3462114.9011195651</v>
      </c>
      <c r="EJ6" s="112">
        <f t="shared" si="12"/>
        <v>3462114.9011195651</v>
      </c>
      <c r="EK6" s="112">
        <f t="shared" si="12"/>
        <v>3462114.9011195651</v>
      </c>
      <c r="EL6" s="112">
        <f t="shared" si="12"/>
        <v>3462114.9011195651</v>
      </c>
      <c r="EM6" s="112">
        <f t="shared" si="12"/>
        <v>3462114.9011195651</v>
      </c>
      <c r="EN6" s="112">
        <f t="shared" si="12"/>
        <v>3462114.9011195651</v>
      </c>
      <c r="EO6" s="112">
        <f t="shared" si="12"/>
        <v>3462114.9011195651</v>
      </c>
      <c r="EP6" s="112">
        <f t="shared" si="12"/>
        <v>3462114.9011195651</v>
      </c>
      <c r="EQ6" s="112">
        <f t="shared" si="12"/>
        <v>3462114.9011195651</v>
      </c>
      <c r="ER6" s="112">
        <f t="shared" si="12"/>
        <v>3462114.9011195651</v>
      </c>
      <c r="ES6" s="112">
        <f t="shared" si="12"/>
        <v>3462114.9011195651</v>
      </c>
      <c r="ET6" s="112">
        <f t="shared" si="12"/>
        <v>3462114.9011195651</v>
      </c>
      <c r="EU6" s="112">
        <f t="shared" si="12"/>
        <v>3462114.9011195651</v>
      </c>
      <c r="EV6" s="112">
        <f t="shared" si="12"/>
        <v>3462114.9011195651</v>
      </c>
      <c r="EW6" s="112">
        <f t="shared" si="12"/>
        <v>3462114.9011195651</v>
      </c>
      <c r="EX6" s="112">
        <f t="shared" si="12"/>
        <v>3462114.9011195651</v>
      </c>
      <c r="EY6" s="112">
        <f t="shared" si="12"/>
        <v>3462114.9011195651</v>
      </c>
      <c r="EZ6" s="112">
        <f t="shared" si="12"/>
        <v>3462114.9011195651</v>
      </c>
      <c r="FA6" s="112">
        <f t="shared" si="12"/>
        <v>3462114.9011195651</v>
      </c>
      <c r="FB6" s="112">
        <f t="shared" si="12"/>
        <v>3462114.9011195651</v>
      </c>
      <c r="FC6" s="112">
        <f t="shared" si="12"/>
        <v>3462114.9011195651</v>
      </c>
      <c r="FD6" s="112">
        <f t="shared" si="12"/>
        <v>3462114.9011195651</v>
      </c>
      <c r="FE6" s="112">
        <f t="shared" si="12"/>
        <v>3462114.9011195651</v>
      </c>
      <c r="FF6" s="112">
        <f t="shared" si="12"/>
        <v>3462114.9011195651</v>
      </c>
      <c r="FG6" s="112">
        <f t="shared" si="12"/>
        <v>3462114.9011195651</v>
      </c>
      <c r="FH6" s="112">
        <f t="shared" si="12"/>
        <v>3462114.9011195651</v>
      </c>
      <c r="FI6" s="112">
        <f t="shared" si="12"/>
        <v>3462114.9011195651</v>
      </c>
      <c r="FJ6" s="112">
        <f t="shared" si="12"/>
        <v>3462114.9011195651</v>
      </c>
      <c r="FK6" s="112">
        <f t="shared" si="12"/>
        <v>3462114.9011195651</v>
      </c>
      <c r="FL6" s="112">
        <f t="shared" si="12"/>
        <v>3462114.9011195651</v>
      </c>
      <c r="FM6" s="112">
        <f t="shared" si="12"/>
        <v>3462114.9011195651</v>
      </c>
      <c r="FN6" s="112">
        <f t="shared" si="12"/>
        <v>3462114.9011195651</v>
      </c>
      <c r="FO6" s="112">
        <f t="shared" si="12"/>
        <v>3462114.9011195651</v>
      </c>
      <c r="FP6" s="112">
        <f t="shared" si="12"/>
        <v>3462114.9011195651</v>
      </c>
      <c r="FQ6" s="112">
        <f t="shared" si="12"/>
        <v>3462114.9011195651</v>
      </c>
      <c r="FR6" s="112">
        <f t="shared" si="12"/>
        <v>3462114.9011195651</v>
      </c>
      <c r="FS6" s="112">
        <f t="shared" si="12"/>
        <v>3462114.9011195651</v>
      </c>
      <c r="FT6" s="112">
        <f t="shared" si="12"/>
        <v>3462114.9011195651</v>
      </c>
      <c r="FU6" s="112">
        <f t="shared" si="12"/>
        <v>3462114.9011195651</v>
      </c>
      <c r="FV6" s="112">
        <f t="shared" si="12"/>
        <v>3462114.9011195651</v>
      </c>
      <c r="FW6" s="112">
        <f t="shared" si="12"/>
        <v>3462114.9011195651</v>
      </c>
      <c r="FX6" s="112">
        <f t="shared" si="12"/>
        <v>3462114.9011195651</v>
      </c>
      <c r="FY6" s="112">
        <f t="shared" si="12"/>
        <v>3462114.9011195651</v>
      </c>
      <c r="FZ6" s="112">
        <f t="shared" si="12"/>
        <v>3462114.9011195651</v>
      </c>
      <c r="GA6" s="112">
        <f t="shared" si="12"/>
        <v>3462114.9011195651</v>
      </c>
      <c r="GB6" s="112">
        <f t="shared" si="12"/>
        <v>3462114.9011195651</v>
      </c>
      <c r="GC6" s="112">
        <f t="shared" si="12"/>
        <v>3462114.9011195651</v>
      </c>
      <c r="GD6" s="112">
        <f t="shared" si="12"/>
        <v>3462114.9011195651</v>
      </c>
      <c r="GE6" s="112">
        <f t="shared" si="12"/>
        <v>3462114.9011195651</v>
      </c>
      <c r="GF6" s="112">
        <f t="shared" si="12"/>
        <v>3462114.9011195651</v>
      </c>
      <c r="GG6" s="112">
        <f t="shared" si="12"/>
        <v>3462114.9011195651</v>
      </c>
      <c r="GH6" s="112">
        <f t="shared" si="12"/>
        <v>3462114.9011195651</v>
      </c>
      <c r="GI6" s="112">
        <f t="shared" si="12"/>
        <v>3462114.9011195651</v>
      </c>
      <c r="GJ6" s="112">
        <f t="shared" si="12"/>
        <v>3462114.9011195651</v>
      </c>
      <c r="GK6" s="112">
        <f t="shared" si="12"/>
        <v>3462114.9011195651</v>
      </c>
      <c r="GL6" s="112">
        <f t="shared" si="12"/>
        <v>3462114.9011195651</v>
      </c>
      <c r="GM6" s="112">
        <f t="shared" si="12"/>
        <v>3462114.9011195651</v>
      </c>
      <c r="GN6" s="112">
        <f t="shared" si="12"/>
        <v>3462114.9011195651</v>
      </c>
      <c r="GO6" s="112">
        <f t="shared" si="12"/>
        <v>3462114.9011195651</v>
      </c>
      <c r="GP6" s="112">
        <f t="shared" si="12"/>
        <v>3462114.9011195651</v>
      </c>
      <c r="GQ6" s="112">
        <f t="shared" si="12"/>
        <v>3462114.9011195651</v>
      </c>
      <c r="GR6" s="112">
        <f t="shared" si="12"/>
        <v>3462114.9011195651</v>
      </c>
      <c r="GS6" s="112">
        <f t="shared" ref="GS6:JD6" si="13">GR6+GS5</f>
        <v>3462114.9011195651</v>
      </c>
      <c r="GT6" s="112">
        <f t="shared" si="13"/>
        <v>3462114.9011195651</v>
      </c>
      <c r="GU6" s="112">
        <f t="shared" si="13"/>
        <v>3462114.9011195651</v>
      </c>
      <c r="GV6" s="112">
        <f t="shared" si="13"/>
        <v>3462114.9011195651</v>
      </c>
      <c r="GW6" s="112">
        <f t="shared" si="13"/>
        <v>3462114.9011195651</v>
      </c>
      <c r="GX6" s="112">
        <f t="shared" si="13"/>
        <v>3462114.9011195651</v>
      </c>
      <c r="GY6" s="112">
        <f t="shared" si="13"/>
        <v>3462114.9011195651</v>
      </c>
      <c r="GZ6" s="112">
        <f t="shared" si="13"/>
        <v>3462114.9011195651</v>
      </c>
      <c r="HA6" s="112">
        <f t="shared" si="13"/>
        <v>3462114.9011195651</v>
      </c>
      <c r="HB6" s="112">
        <f t="shared" si="13"/>
        <v>3462114.9011195651</v>
      </c>
      <c r="HC6" s="112">
        <f t="shared" si="13"/>
        <v>3462114.9011195651</v>
      </c>
      <c r="HD6" s="112">
        <f t="shared" si="13"/>
        <v>3462114.9011195651</v>
      </c>
      <c r="HE6" s="112">
        <f t="shared" si="13"/>
        <v>3462114.9011195651</v>
      </c>
      <c r="HF6" s="112">
        <f t="shared" si="13"/>
        <v>3462114.9011195651</v>
      </c>
      <c r="HG6" s="112">
        <f t="shared" si="13"/>
        <v>3462114.9011195651</v>
      </c>
      <c r="HH6" s="112">
        <f t="shared" si="13"/>
        <v>3462114.9011195651</v>
      </c>
      <c r="HI6" s="112">
        <f t="shared" si="13"/>
        <v>3462114.9011195651</v>
      </c>
      <c r="HJ6" s="112">
        <f t="shared" si="13"/>
        <v>3462114.9011195651</v>
      </c>
      <c r="HK6" s="112">
        <f t="shared" si="13"/>
        <v>3462114.9011195651</v>
      </c>
      <c r="HL6" s="112">
        <f t="shared" si="13"/>
        <v>3462114.9011195651</v>
      </c>
      <c r="HM6" s="112">
        <f t="shared" si="13"/>
        <v>3462114.9011195651</v>
      </c>
      <c r="HN6" s="112">
        <f t="shared" si="13"/>
        <v>3462114.9011195651</v>
      </c>
      <c r="HO6" s="112">
        <f t="shared" si="13"/>
        <v>3462114.9011195651</v>
      </c>
      <c r="HP6" s="112">
        <f t="shared" si="13"/>
        <v>3462114.9011195651</v>
      </c>
      <c r="HQ6" s="112">
        <f t="shared" si="13"/>
        <v>3462114.9011195651</v>
      </c>
      <c r="HR6" s="112">
        <f t="shared" si="13"/>
        <v>3462114.9011195651</v>
      </c>
      <c r="HS6" s="112">
        <f t="shared" si="13"/>
        <v>3462114.9011195651</v>
      </c>
      <c r="HT6" s="112">
        <f t="shared" si="13"/>
        <v>3462114.9011195651</v>
      </c>
      <c r="HU6" s="112">
        <f t="shared" si="13"/>
        <v>3462114.9011195651</v>
      </c>
      <c r="HV6" s="112">
        <f t="shared" si="13"/>
        <v>3462114.9011195651</v>
      </c>
      <c r="HW6" s="112">
        <f t="shared" si="13"/>
        <v>3462114.9011195651</v>
      </c>
      <c r="HX6" s="112">
        <f t="shared" si="13"/>
        <v>3462114.9011195651</v>
      </c>
      <c r="HY6" s="112">
        <f t="shared" si="13"/>
        <v>3462114.9011195651</v>
      </c>
      <c r="HZ6" s="112">
        <f t="shared" si="13"/>
        <v>3462114.9011195651</v>
      </c>
      <c r="IA6" s="112">
        <f t="shared" si="13"/>
        <v>3462114.9011195651</v>
      </c>
      <c r="IB6" s="112">
        <f t="shared" si="13"/>
        <v>3462114.9011195651</v>
      </c>
      <c r="IC6" s="112">
        <f t="shared" si="13"/>
        <v>3462114.9011195651</v>
      </c>
      <c r="ID6" s="112">
        <f t="shared" si="13"/>
        <v>3462114.9011195651</v>
      </c>
      <c r="IE6" s="112">
        <f t="shared" si="13"/>
        <v>3462114.9011195651</v>
      </c>
      <c r="IF6" s="112">
        <f t="shared" si="13"/>
        <v>3462114.9011195651</v>
      </c>
      <c r="IG6" s="112">
        <f t="shared" si="13"/>
        <v>3462114.9011195651</v>
      </c>
      <c r="IH6" s="112">
        <f t="shared" si="13"/>
        <v>3462114.9011195651</v>
      </c>
      <c r="II6" s="112">
        <f t="shared" si="13"/>
        <v>3462114.9011195651</v>
      </c>
      <c r="IJ6" s="112">
        <f t="shared" si="13"/>
        <v>3462114.9011195651</v>
      </c>
      <c r="IK6" s="112">
        <f t="shared" si="13"/>
        <v>3462114.9011195651</v>
      </c>
      <c r="IL6" s="112">
        <f t="shared" si="13"/>
        <v>3462114.9011195651</v>
      </c>
      <c r="IM6" s="112">
        <f t="shared" si="13"/>
        <v>3462114.9011195651</v>
      </c>
      <c r="IN6" s="112">
        <f t="shared" si="13"/>
        <v>3462114.9011195651</v>
      </c>
      <c r="IO6" s="112">
        <f t="shared" si="13"/>
        <v>3462114.9011195651</v>
      </c>
      <c r="IP6" s="112">
        <f t="shared" si="13"/>
        <v>3462114.9011195651</v>
      </c>
      <c r="IQ6" s="112">
        <f t="shared" si="13"/>
        <v>3462114.9011195651</v>
      </c>
      <c r="IR6" s="112">
        <f t="shared" si="13"/>
        <v>3462114.9011195651</v>
      </c>
      <c r="IS6" s="112">
        <f t="shared" si="13"/>
        <v>3462114.9011195651</v>
      </c>
      <c r="IT6" s="112">
        <f t="shared" si="13"/>
        <v>3462114.9011195651</v>
      </c>
      <c r="IU6" s="112">
        <f t="shared" si="13"/>
        <v>3462114.9011195651</v>
      </c>
      <c r="IV6" s="112">
        <f t="shared" si="13"/>
        <v>3462114.9011195651</v>
      </c>
      <c r="IW6" s="112">
        <f t="shared" si="13"/>
        <v>3462114.9011195651</v>
      </c>
      <c r="IX6" s="112">
        <f t="shared" si="13"/>
        <v>3462114.9011195651</v>
      </c>
      <c r="IY6" s="112">
        <f t="shared" si="13"/>
        <v>3462114.9011195651</v>
      </c>
      <c r="IZ6" s="112">
        <f t="shared" si="13"/>
        <v>3462114.9011195651</v>
      </c>
      <c r="JA6" s="112">
        <f t="shared" si="13"/>
        <v>3462114.9011195651</v>
      </c>
      <c r="JB6" s="112">
        <f t="shared" si="13"/>
        <v>3462114.9011195651</v>
      </c>
      <c r="JC6" s="112">
        <f t="shared" si="13"/>
        <v>3462114.9011195651</v>
      </c>
      <c r="JD6" s="112">
        <f t="shared" si="13"/>
        <v>3462114.9011195651</v>
      </c>
      <c r="JE6" s="112">
        <f t="shared" ref="JE6:KF6" si="14">JD6+JE5</f>
        <v>3462114.9011195651</v>
      </c>
      <c r="JF6" s="112">
        <f t="shared" si="14"/>
        <v>3462114.9011195651</v>
      </c>
      <c r="JG6" s="112">
        <f t="shared" si="14"/>
        <v>3462114.9011195651</v>
      </c>
      <c r="JH6" s="112">
        <f t="shared" si="14"/>
        <v>3462114.9011195651</v>
      </c>
      <c r="JI6" s="112">
        <f t="shared" si="14"/>
        <v>3462114.9011195651</v>
      </c>
      <c r="JJ6" s="112">
        <f t="shared" si="14"/>
        <v>3462114.9011195651</v>
      </c>
      <c r="JK6" s="112">
        <f t="shared" si="14"/>
        <v>3462114.9011195651</v>
      </c>
      <c r="JL6" s="112">
        <f t="shared" si="14"/>
        <v>3462114.9011195651</v>
      </c>
      <c r="JM6" s="112">
        <f t="shared" si="14"/>
        <v>3462114.9011195651</v>
      </c>
      <c r="JN6" s="112">
        <f t="shared" si="14"/>
        <v>3462114.9011195651</v>
      </c>
      <c r="JO6" s="112">
        <f t="shared" si="14"/>
        <v>3462114.9011195651</v>
      </c>
      <c r="JP6" s="112">
        <f t="shared" si="14"/>
        <v>3462114.9011195651</v>
      </c>
      <c r="JQ6" s="112">
        <f t="shared" si="14"/>
        <v>3462114.9011195651</v>
      </c>
      <c r="JR6" s="112">
        <f t="shared" si="14"/>
        <v>3462114.9011195651</v>
      </c>
      <c r="JS6" s="112">
        <f t="shared" si="14"/>
        <v>3462114.9011195651</v>
      </c>
      <c r="JT6" s="112">
        <f t="shared" si="14"/>
        <v>3462114.9011195651</v>
      </c>
      <c r="JU6" s="112">
        <f t="shared" si="14"/>
        <v>3462114.9011195651</v>
      </c>
      <c r="JV6" s="112">
        <f t="shared" si="14"/>
        <v>3462114.9011195651</v>
      </c>
      <c r="JW6" s="112">
        <f t="shared" si="14"/>
        <v>3462114.9011195651</v>
      </c>
      <c r="JX6" s="112">
        <f t="shared" si="14"/>
        <v>3462114.9011195651</v>
      </c>
      <c r="JY6" s="112">
        <f t="shared" si="14"/>
        <v>3462114.9011195651</v>
      </c>
      <c r="JZ6" s="112">
        <f t="shared" si="14"/>
        <v>3462114.9011195651</v>
      </c>
      <c r="KA6" s="112">
        <f t="shared" si="14"/>
        <v>3462114.9011195651</v>
      </c>
      <c r="KB6" s="112">
        <f t="shared" si="14"/>
        <v>3462114.9011195651</v>
      </c>
      <c r="KC6" s="112">
        <f t="shared" si="14"/>
        <v>3462114.9011195651</v>
      </c>
      <c r="KD6" s="112">
        <f t="shared" si="14"/>
        <v>3462114.9011195651</v>
      </c>
      <c r="KE6" s="112">
        <f t="shared" si="14"/>
        <v>3462114.9011195651</v>
      </c>
      <c r="KF6" s="112">
        <f t="shared" si="14"/>
        <v>3462114.9011195651</v>
      </c>
      <c r="KG6" s="102"/>
      <c r="KH6" s="113"/>
    </row>
    <row r="7" spans="1:770">
      <c r="A7" s="725"/>
      <c r="B7" s="115" t="s">
        <v>360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1558342.7428508946</v>
      </c>
      <c r="M7" s="118">
        <f t="shared" si="16"/>
        <v>3000205.1428454276</v>
      </c>
      <c r="N7" s="118">
        <f t="shared" si="16"/>
        <v>3000205.1428454276</v>
      </c>
      <c r="O7" s="118">
        <f t="shared" si="16"/>
        <v>2873944.3428454278</v>
      </c>
      <c r="P7" s="118">
        <f t="shared" si="16"/>
        <v>2456328.3428454278</v>
      </c>
      <c r="Q7" s="118">
        <f t="shared" si="16"/>
        <v>3318413.9745852104</v>
      </c>
      <c r="R7" s="118">
        <f t="shared" si="16"/>
        <v>2802023.4199264352</v>
      </c>
      <c r="S7" s="118">
        <f t="shared" si="16"/>
        <v>2802023.4199264352</v>
      </c>
      <c r="T7" s="118">
        <f t="shared" si="16"/>
        <v>1829608.1833329587</v>
      </c>
      <c r="U7" s="118">
        <f t="shared" si="16"/>
        <v>1687393.6702894806</v>
      </c>
      <c r="V7" s="118">
        <f t="shared" si="16"/>
        <v>1687393.6702894806</v>
      </c>
      <c r="W7" s="118">
        <f t="shared" si="16"/>
        <v>1687393.6702894806</v>
      </c>
      <c r="X7" s="118">
        <f t="shared" si="16"/>
        <v>1687393.6702894806</v>
      </c>
      <c r="Y7" s="118">
        <f t="shared" si="16"/>
        <v>1687393.6702894806</v>
      </c>
      <c r="Z7" s="118">
        <f t="shared" si="16"/>
        <v>1687393.6702894806</v>
      </c>
      <c r="AA7" s="118">
        <f t="shared" si="16"/>
        <v>1687393.6702894806</v>
      </c>
      <c r="AB7" s="118">
        <f t="shared" si="16"/>
        <v>1687393.6702894806</v>
      </c>
      <c r="AC7" s="118">
        <f t="shared" si="16"/>
        <v>1687393.6702894806</v>
      </c>
      <c r="AD7" s="118">
        <f t="shared" si="16"/>
        <v>1687393.6702894806</v>
      </c>
      <c r="AE7" s="118">
        <f t="shared" si="16"/>
        <v>1687393.6702894806</v>
      </c>
      <c r="AF7" s="118">
        <f t="shared" si="16"/>
        <v>1687393.6702894806</v>
      </c>
      <c r="AG7" s="118">
        <f t="shared" si="16"/>
        <v>1687393.6702894806</v>
      </c>
      <c r="AH7" s="118">
        <f t="shared" si="16"/>
        <v>1687393.6702894806</v>
      </c>
      <c r="AI7" s="118">
        <f t="shared" si="16"/>
        <v>1687393.6702894806</v>
      </c>
      <c r="AJ7" s="118">
        <f t="shared" si="16"/>
        <v>1687393.6702894806</v>
      </c>
      <c r="AK7" s="118">
        <f t="shared" si="16"/>
        <v>1687393.6702894806</v>
      </c>
      <c r="AL7" s="118">
        <f t="shared" si="16"/>
        <v>1687393.6702894806</v>
      </c>
      <c r="AM7" s="118">
        <f t="shared" si="16"/>
        <v>1687393.6702894806</v>
      </c>
      <c r="AN7" s="118">
        <f t="shared" si="16"/>
        <v>1687393.6702894806</v>
      </c>
      <c r="AO7" s="118">
        <f t="shared" si="16"/>
        <v>1687393.6702894806</v>
      </c>
      <c r="AP7" s="118">
        <f t="shared" si="16"/>
        <v>1687393.6702894806</v>
      </c>
      <c r="AQ7" s="118">
        <f t="shared" si="16"/>
        <v>1687393.6702894806</v>
      </c>
      <c r="AR7" s="118">
        <f t="shared" si="16"/>
        <v>1687393.6702894806</v>
      </c>
      <c r="AS7" s="118">
        <f t="shared" si="16"/>
        <v>1687393.6702894806</v>
      </c>
      <c r="AT7" s="118">
        <f t="shared" si="16"/>
        <v>1687393.6702894806</v>
      </c>
      <c r="AU7" s="118">
        <f t="shared" si="16"/>
        <v>1687393.6702894806</v>
      </c>
      <c r="AV7" s="118">
        <f t="shared" si="16"/>
        <v>1687393.6702894806</v>
      </c>
      <c r="AW7" s="118">
        <f t="shared" si="16"/>
        <v>1687393.6702894806</v>
      </c>
      <c r="AX7" s="118">
        <f t="shared" si="16"/>
        <v>1687393.6702894806</v>
      </c>
      <c r="AY7" s="118">
        <f t="shared" si="16"/>
        <v>1687393.6702894806</v>
      </c>
      <c r="AZ7" s="118">
        <f t="shared" si="16"/>
        <v>1687393.6702894806</v>
      </c>
      <c r="BA7" s="118">
        <f t="shared" si="16"/>
        <v>1687393.6702894806</v>
      </c>
      <c r="BB7" s="118">
        <f t="shared" si="16"/>
        <v>1687393.6702894806</v>
      </c>
      <c r="BC7" s="118">
        <f t="shared" si="16"/>
        <v>1687393.6702894806</v>
      </c>
      <c r="BD7" s="118">
        <f t="shared" si="16"/>
        <v>1687393.6702894806</v>
      </c>
      <c r="BE7" s="118">
        <f t="shared" si="16"/>
        <v>1687393.6702894806</v>
      </c>
      <c r="BF7" s="118">
        <f t="shared" si="16"/>
        <v>1687393.6702894806</v>
      </c>
      <c r="BG7" s="118">
        <f t="shared" si="16"/>
        <v>1687393.6702894806</v>
      </c>
      <c r="BH7" s="118">
        <f t="shared" si="16"/>
        <v>1687393.6702894806</v>
      </c>
      <c r="BI7" s="118">
        <f t="shared" si="16"/>
        <v>1687393.6702894806</v>
      </c>
      <c r="BJ7" s="118">
        <f t="shared" si="16"/>
        <v>1687393.6702894806</v>
      </c>
      <c r="BK7" s="118">
        <f t="shared" si="16"/>
        <v>1687393.6702894806</v>
      </c>
      <c r="BL7" s="118">
        <f t="shared" si="16"/>
        <v>1687393.6702894806</v>
      </c>
      <c r="BM7" s="118">
        <f t="shared" si="16"/>
        <v>1687393.6702894806</v>
      </c>
      <c r="BN7" s="118">
        <f t="shared" si="16"/>
        <v>1687393.6702894806</v>
      </c>
      <c r="BO7" s="118">
        <f t="shared" si="16"/>
        <v>1687393.6702894806</v>
      </c>
      <c r="BP7" s="118">
        <f t="shared" si="16"/>
        <v>1687393.6702894806</v>
      </c>
      <c r="BQ7" s="118">
        <f t="shared" si="16"/>
        <v>1687393.6702894806</v>
      </c>
      <c r="BR7" s="118">
        <f t="shared" si="16"/>
        <v>1687393.6702894806</v>
      </c>
      <c r="BS7" s="118">
        <f t="shared" si="16"/>
        <v>1687393.6702894806</v>
      </c>
      <c r="BT7" s="118">
        <f t="shared" si="16"/>
        <v>1687393.6702894806</v>
      </c>
      <c r="BU7" s="118">
        <f t="shared" ref="BU7:EF7" si="17">BU4-BU6</f>
        <v>1687393.6702894806</v>
      </c>
      <c r="BV7" s="118">
        <f t="shared" si="17"/>
        <v>1687393.6702894806</v>
      </c>
      <c r="BW7" s="118">
        <f t="shared" si="17"/>
        <v>1687393.6702894806</v>
      </c>
      <c r="BX7" s="118">
        <f t="shared" si="17"/>
        <v>1687393.6702894806</v>
      </c>
      <c r="BY7" s="118">
        <f t="shared" si="17"/>
        <v>1687393.6702894806</v>
      </c>
      <c r="BZ7" s="118">
        <f t="shared" si="17"/>
        <v>1687393.6702894806</v>
      </c>
      <c r="CA7" s="118">
        <f t="shared" si="17"/>
        <v>1687393.6702894806</v>
      </c>
      <c r="CB7" s="118">
        <f t="shared" si="17"/>
        <v>1687393.6702894806</v>
      </c>
      <c r="CC7" s="118">
        <f t="shared" si="17"/>
        <v>1687393.6702894806</v>
      </c>
      <c r="CD7" s="118">
        <f t="shared" si="17"/>
        <v>1687393.6702894806</v>
      </c>
      <c r="CE7" s="118">
        <f t="shared" si="17"/>
        <v>1687393.6702894806</v>
      </c>
      <c r="CF7" s="118">
        <f t="shared" si="17"/>
        <v>1687393.6702894806</v>
      </c>
      <c r="CG7" s="118">
        <f t="shared" si="17"/>
        <v>1687393.6702894806</v>
      </c>
      <c r="CH7" s="118">
        <f t="shared" si="17"/>
        <v>1687393.6702894806</v>
      </c>
      <c r="CI7" s="118">
        <f t="shared" si="17"/>
        <v>1687393.6702894806</v>
      </c>
      <c r="CJ7" s="118">
        <f t="shared" si="17"/>
        <v>1687393.6702894806</v>
      </c>
      <c r="CK7" s="118">
        <f t="shared" si="17"/>
        <v>1687393.6702894806</v>
      </c>
      <c r="CL7" s="118">
        <f t="shared" si="17"/>
        <v>1687393.6702894806</v>
      </c>
      <c r="CM7" s="118">
        <f t="shared" si="17"/>
        <v>1687393.6702894806</v>
      </c>
      <c r="CN7" s="118">
        <f t="shared" si="17"/>
        <v>1687393.6702894806</v>
      </c>
      <c r="CO7" s="118">
        <f t="shared" si="17"/>
        <v>1687393.6702894806</v>
      </c>
      <c r="CP7" s="118">
        <f t="shared" si="17"/>
        <v>1687393.6702894806</v>
      </c>
      <c r="CQ7" s="118">
        <f t="shared" si="17"/>
        <v>1687393.6702894806</v>
      </c>
      <c r="CR7" s="118">
        <f t="shared" si="17"/>
        <v>1687393.6702894806</v>
      </c>
      <c r="CS7" s="118">
        <f t="shared" si="17"/>
        <v>1687393.6702894806</v>
      </c>
      <c r="CT7" s="118">
        <f t="shared" si="17"/>
        <v>1687393.6702894806</v>
      </c>
      <c r="CU7" s="118">
        <f t="shared" si="17"/>
        <v>1687393.6702894806</v>
      </c>
      <c r="CV7" s="118">
        <f t="shared" si="17"/>
        <v>1687393.6702894806</v>
      </c>
      <c r="CW7" s="118">
        <f t="shared" si="17"/>
        <v>1687393.6702894806</v>
      </c>
      <c r="CX7" s="118">
        <f t="shared" si="17"/>
        <v>1687393.6702894806</v>
      </c>
      <c r="CY7" s="118">
        <f t="shared" si="17"/>
        <v>1687393.6702894806</v>
      </c>
      <c r="CZ7" s="118">
        <f t="shared" si="17"/>
        <v>1687393.6702894806</v>
      </c>
      <c r="DA7" s="118">
        <f t="shared" si="17"/>
        <v>1687393.6702894806</v>
      </c>
      <c r="DB7" s="118">
        <f t="shared" si="17"/>
        <v>1687393.6702894806</v>
      </c>
      <c r="DC7" s="118">
        <f t="shared" si="17"/>
        <v>1687393.6702894806</v>
      </c>
      <c r="DD7" s="118">
        <f t="shared" si="17"/>
        <v>1687393.6702894806</v>
      </c>
      <c r="DE7" s="118">
        <f t="shared" si="17"/>
        <v>1687393.6702894806</v>
      </c>
      <c r="DF7" s="118">
        <f t="shared" si="17"/>
        <v>1687393.6702894806</v>
      </c>
      <c r="DG7" s="118">
        <f t="shared" si="17"/>
        <v>1687393.6702894806</v>
      </c>
      <c r="DH7" s="118">
        <f t="shared" si="17"/>
        <v>1687393.6702894806</v>
      </c>
      <c r="DI7" s="118">
        <f t="shared" si="17"/>
        <v>1687393.6702894806</v>
      </c>
      <c r="DJ7" s="118">
        <f t="shared" si="17"/>
        <v>1687393.6702894806</v>
      </c>
      <c r="DK7" s="118">
        <f t="shared" si="17"/>
        <v>1687393.6702894806</v>
      </c>
      <c r="DL7" s="118">
        <f t="shared" si="17"/>
        <v>1687393.6702894806</v>
      </c>
      <c r="DM7" s="118">
        <f t="shared" si="17"/>
        <v>1687393.6702894806</v>
      </c>
      <c r="DN7" s="118">
        <f t="shared" si="17"/>
        <v>1687393.6702894806</v>
      </c>
      <c r="DO7" s="118">
        <f t="shared" si="17"/>
        <v>1687393.6702894806</v>
      </c>
      <c r="DP7" s="118">
        <f t="shared" si="17"/>
        <v>1687393.6702894806</v>
      </c>
      <c r="DQ7" s="118">
        <f t="shared" si="17"/>
        <v>1687393.6702894806</v>
      </c>
      <c r="DR7" s="118">
        <f t="shared" si="17"/>
        <v>1687393.6702894806</v>
      </c>
      <c r="DS7" s="118">
        <f t="shared" si="17"/>
        <v>1687393.6702894806</v>
      </c>
      <c r="DT7" s="118">
        <f t="shared" si="17"/>
        <v>1687393.6702894806</v>
      </c>
      <c r="DU7" s="118">
        <f t="shared" si="17"/>
        <v>1687393.6702894806</v>
      </c>
      <c r="DV7" s="118">
        <f t="shared" si="17"/>
        <v>1687393.6702894806</v>
      </c>
      <c r="DW7" s="118">
        <f t="shared" si="17"/>
        <v>1687393.6702894806</v>
      </c>
      <c r="DX7" s="118">
        <f t="shared" si="17"/>
        <v>1687393.6702894806</v>
      </c>
      <c r="DY7" s="118">
        <f t="shared" si="17"/>
        <v>1687393.6702894806</v>
      </c>
      <c r="DZ7" s="118">
        <f t="shared" si="17"/>
        <v>1687393.6702894806</v>
      </c>
      <c r="EA7" s="118">
        <f t="shared" si="17"/>
        <v>1687393.6702894806</v>
      </c>
      <c r="EB7" s="118">
        <f t="shared" si="17"/>
        <v>1687393.6702894806</v>
      </c>
      <c r="EC7" s="118">
        <f t="shared" si="17"/>
        <v>1687393.6702894806</v>
      </c>
      <c r="ED7" s="118">
        <f t="shared" si="17"/>
        <v>1687393.6702894806</v>
      </c>
      <c r="EE7" s="118">
        <f t="shared" si="17"/>
        <v>1687393.6702894806</v>
      </c>
      <c r="EF7" s="118">
        <f t="shared" si="17"/>
        <v>1687393.6702894806</v>
      </c>
      <c r="EG7" s="118">
        <f t="shared" ref="EG7:GR7" si="18">EG4-EG6</f>
        <v>1687393.6702894806</v>
      </c>
      <c r="EH7" s="118">
        <f t="shared" si="18"/>
        <v>1687393.6702894806</v>
      </c>
      <c r="EI7" s="118">
        <f t="shared" si="18"/>
        <v>1687393.6702894806</v>
      </c>
      <c r="EJ7" s="118">
        <f t="shared" si="18"/>
        <v>1687393.6702894806</v>
      </c>
      <c r="EK7" s="118">
        <f t="shared" si="18"/>
        <v>1687393.6702894806</v>
      </c>
      <c r="EL7" s="118">
        <f t="shared" si="18"/>
        <v>1687393.6702894806</v>
      </c>
      <c r="EM7" s="118">
        <f t="shared" si="18"/>
        <v>1687393.6702894806</v>
      </c>
      <c r="EN7" s="118">
        <f t="shared" si="18"/>
        <v>1687393.6702894806</v>
      </c>
      <c r="EO7" s="118">
        <f t="shared" si="18"/>
        <v>1687393.6702894806</v>
      </c>
      <c r="EP7" s="118">
        <f t="shared" si="18"/>
        <v>1687393.6702894806</v>
      </c>
      <c r="EQ7" s="118">
        <f t="shared" si="18"/>
        <v>1687393.6702894806</v>
      </c>
      <c r="ER7" s="118">
        <f t="shared" si="18"/>
        <v>1687393.6702894806</v>
      </c>
      <c r="ES7" s="118">
        <f t="shared" si="18"/>
        <v>1687393.6702894806</v>
      </c>
      <c r="ET7" s="118">
        <f t="shared" si="18"/>
        <v>1687393.6702894806</v>
      </c>
      <c r="EU7" s="118">
        <f t="shared" si="18"/>
        <v>1687393.6702894806</v>
      </c>
      <c r="EV7" s="118">
        <f t="shared" si="18"/>
        <v>1687393.6702894806</v>
      </c>
      <c r="EW7" s="118">
        <f t="shared" si="18"/>
        <v>1687393.6702894806</v>
      </c>
      <c r="EX7" s="118">
        <f t="shared" si="18"/>
        <v>1687393.6702894806</v>
      </c>
      <c r="EY7" s="118">
        <f t="shared" si="18"/>
        <v>1687393.6702894806</v>
      </c>
      <c r="EZ7" s="118">
        <f t="shared" si="18"/>
        <v>1687393.6702894806</v>
      </c>
      <c r="FA7" s="118">
        <f t="shared" si="18"/>
        <v>1687393.6702894806</v>
      </c>
      <c r="FB7" s="118">
        <f t="shared" si="18"/>
        <v>1687393.6702894806</v>
      </c>
      <c r="FC7" s="118">
        <f t="shared" si="18"/>
        <v>1687393.6702894806</v>
      </c>
      <c r="FD7" s="118">
        <f t="shared" si="18"/>
        <v>1687393.6702894806</v>
      </c>
      <c r="FE7" s="118">
        <f t="shared" si="18"/>
        <v>1687393.6702894806</v>
      </c>
      <c r="FF7" s="118">
        <f t="shared" si="18"/>
        <v>1687393.6702894806</v>
      </c>
      <c r="FG7" s="118">
        <f t="shared" si="18"/>
        <v>1687393.6702894806</v>
      </c>
      <c r="FH7" s="118">
        <f t="shared" si="18"/>
        <v>1687393.6702894806</v>
      </c>
      <c r="FI7" s="118">
        <f t="shared" si="18"/>
        <v>1687393.6702894806</v>
      </c>
      <c r="FJ7" s="118">
        <f t="shared" si="18"/>
        <v>1687393.6702894806</v>
      </c>
      <c r="FK7" s="118">
        <f t="shared" si="18"/>
        <v>1687393.6702894806</v>
      </c>
      <c r="FL7" s="118">
        <f t="shared" si="18"/>
        <v>1687393.6702894806</v>
      </c>
      <c r="FM7" s="118">
        <f t="shared" si="18"/>
        <v>1687393.6702894806</v>
      </c>
      <c r="FN7" s="118">
        <f t="shared" si="18"/>
        <v>1687393.6702894806</v>
      </c>
      <c r="FO7" s="118">
        <f t="shared" si="18"/>
        <v>1687393.6702894806</v>
      </c>
      <c r="FP7" s="118">
        <f t="shared" si="18"/>
        <v>1687393.6702894806</v>
      </c>
      <c r="FQ7" s="118">
        <f t="shared" si="18"/>
        <v>1687393.6702894806</v>
      </c>
      <c r="FR7" s="118">
        <f t="shared" si="18"/>
        <v>1687393.6702894806</v>
      </c>
      <c r="FS7" s="118">
        <f t="shared" si="18"/>
        <v>1687393.6702894806</v>
      </c>
      <c r="FT7" s="118">
        <f t="shared" si="18"/>
        <v>1687393.6702894806</v>
      </c>
      <c r="FU7" s="118">
        <f t="shared" si="18"/>
        <v>1687393.6702894806</v>
      </c>
      <c r="FV7" s="118">
        <f t="shared" si="18"/>
        <v>1687393.6702894806</v>
      </c>
      <c r="FW7" s="118">
        <f t="shared" si="18"/>
        <v>1687393.6702894806</v>
      </c>
      <c r="FX7" s="118">
        <f t="shared" si="18"/>
        <v>1687393.6702894806</v>
      </c>
      <c r="FY7" s="118">
        <f t="shared" si="18"/>
        <v>1687393.6702894806</v>
      </c>
      <c r="FZ7" s="118">
        <f t="shared" si="18"/>
        <v>1687393.6702894806</v>
      </c>
      <c r="GA7" s="118">
        <f t="shared" si="18"/>
        <v>1687393.6702894806</v>
      </c>
      <c r="GB7" s="118">
        <f t="shared" si="18"/>
        <v>1687393.6702894806</v>
      </c>
      <c r="GC7" s="118">
        <f t="shared" si="18"/>
        <v>1687393.6702894806</v>
      </c>
      <c r="GD7" s="118">
        <f t="shared" si="18"/>
        <v>1687393.6702894806</v>
      </c>
      <c r="GE7" s="118">
        <f t="shared" si="18"/>
        <v>1687393.6702894806</v>
      </c>
      <c r="GF7" s="118">
        <f t="shared" si="18"/>
        <v>1687393.6702894806</v>
      </c>
      <c r="GG7" s="118">
        <f t="shared" si="18"/>
        <v>1687393.6702894806</v>
      </c>
      <c r="GH7" s="118">
        <f t="shared" si="18"/>
        <v>1687393.6702894806</v>
      </c>
      <c r="GI7" s="118">
        <f t="shared" si="18"/>
        <v>1687393.6702894806</v>
      </c>
      <c r="GJ7" s="118">
        <f t="shared" si="18"/>
        <v>1687393.6702894806</v>
      </c>
      <c r="GK7" s="118">
        <f t="shared" si="18"/>
        <v>1687393.6702894806</v>
      </c>
      <c r="GL7" s="118">
        <f t="shared" si="18"/>
        <v>1687393.6702894806</v>
      </c>
      <c r="GM7" s="118">
        <f t="shared" si="18"/>
        <v>1687393.6702894806</v>
      </c>
      <c r="GN7" s="118">
        <f t="shared" si="18"/>
        <v>1687393.6702894806</v>
      </c>
      <c r="GO7" s="118">
        <f t="shared" si="18"/>
        <v>1687393.6702894806</v>
      </c>
      <c r="GP7" s="118">
        <f t="shared" si="18"/>
        <v>1687393.6702894806</v>
      </c>
      <c r="GQ7" s="118">
        <f t="shared" si="18"/>
        <v>1687393.6702894806</v>
      </c>
      <c r="GR7" s="118">
        <f t="shared" si="18"/>
        <v>1687393.6702894806</v>
      </c>
      <c r="GS7" s="118">
        <f t="shared" ref="GS7:JD7" si="19">GS4-GS6</f>
        <v>1687393.6702894806</v>
      </c>
      <c r="GT7" s="118">
        <f t="shared" si="19"/>
        <v>1687393.6702894806</v>
      </c>
      <c r="GU7" s="118">
        <f t="shared" si="19"/>
        <v>1687393.6702894806</v>
      </c>
      <c r="GV7" s="118">
        <f t="shared" si="19"/>
        <v>1687393.6702894806</v>
      </c>
      <c r="GW7" s="118">
        <f t="shared" si="19"/>
        <v>1687393.6702894806</v>
      </c>
      <c r="GX7" s="118">
        <f t="shared" si="19"/>
        <v>1687393.6702894806</v>
      </c>
      <c r="GY7" s="118">
        <f t="shared" si="19"/>
        <v>1687393.6702894806</v>
      </c>
      <c r="GZ7" s="118">
        <f t="shared" si="19"/>
        <v>1687393.6702894806</v>
      </c>
      <c r="HA7" s="118">
        <f t="shared" si="19"/>
        <v>1687393.6702894806</v>
      </c>
      <c r="HB7" s="118">
        <f t="shared" si="19"/>
        <v>1687393.6702894806</v>
      </c>
      <c r="HC7" s="118">
        <f t="shared" si="19"/>
        <v>1687393.6702894806</v>
      </c>
      <c r="HD7" s="118">
        <f t="shared" si="19"/>
        <v>1687393.6702894806</v>
      </c>
      <c r="HE7" s="118">
        <f t="shared" si="19"/>
        <v>1687393.6702894806</v>
      </c>
      <c r="HF7" s="118">
        <f t="shared" si="19"/>
        <v>1687393.6702894806</v>
      </c>
      <c r="HG7" s="118">
        <f t="shared" si="19"/>
        <v>1687393.6702894806</v>
      </c>
      <c r="HH7" s="118">
        <f t="shared" si="19"/>
        <v>1687393.6702894806</v>
      </c>
      <c r="HI7" s="118">
        <f t="shared" si="19"/>
        <v>1687393.6702894806</v>
      </c>
      <c r="HJ7" s="118">
        <f t="shared" si="19"/>
        <v>1687393.6702894806</v>
      </c>
      <c r="HK7" s="118">
        <f t="shared" si="19"/>
        <v>1687393.6702894806</v>
      </c>
      <c r="HL7" s="118">
        <f t="shared" si="19"/>
        <v>1687393.6702894806</v>
      </c>
      <c r="HM7" s="118">
        <f t="shared" si="19"/>
        <v>1687393.6702894806</v>
      </c>
      <c r="HN7" s="118">
        <f t="shared" si="19"/>
        <v>1687393.6702894806</v>
      </c>
      <c r="HO7" s="118">
        <f t="shared" si="19"/>
        <v>1687393.6702894806</v>
      </c>
      <c r="HP7" s="118">
        <f t="shared" si="19"/>
        <v>1687393.6702894806</v>
      </c>
      <c r="HQ7" s="118">
        <f t="shared" si="19"/>
        <v>1687393.6702894806</v>
      </c>
      <c r="HR7" s="118">
        <f t="shared" si="19"/>
        <v>1687393.6702894806</v>
      </c>
      <c r="HS7" s="118">
        <f t="shared" si="19"/>
        <v>1687393.6702894806</v>
      </c>
      <c r="HT7" s="118">
        <f t="shared" si="19"/>
        <v>1687393.6702894806</v>
      </c>
      <c r="HU7" s="118">
        <f t="shared" si="19"/>
        <v>1687393.6702894806</v>
      </c>
      <c r="HV7" s="118">
        <f t="shared" si="19"/>
        <v>1687393.6702894806</v>
      </c>
      <c r="HW7" s="118">
        <f t="shared" si="19"/>
        <v>1687393.6702894806</v>
      </c>
      <c r="HX7" s="118">
        <f t="shared" si="19"/>
        <v>1687393.6702894806</v>
      </c>
      <c r="HY7" s="118">
        <f t="shared" si="19"/>
        <v>1687393.6702894806</v>
      </c>
      <c r="HZ7" s="118">
        <f t="shared" si="19"/>
        <v>1687393.6702894806</v>
      </c>
      <c r="IA7" s="118">
        <f t="shared" si="19"/>
        <v>1687393.6702894806</v>
      </c>
      <c r="IB7" s="118">
        <f t="shared" si="19"/>
        <v>1687393.6702894806</v>
      </c>
      <c r="IC7" s="118">
        <f t="shared" si="19"/>
        <v>1687393.6702894806</v>
      </c>
      <c r="ID7" s="118">
        <f t="shared" si="19"/>
        <v>1687393.6702894806</v>
      </c>
      <c r="IE7" s="118">
        <f t="shared" si="19"/>
        <v>1687393.6702894806</v>
      </c>
      <c r="IF7" s="118">
        <f t="shared" si="19"/>
        <v>1687393.6702894806</v>
      </c>
      <c r="IG7" s="118">
        <f t="shared" si="19"/>
        <v>1687393.6702894806</v>
      </c>
      <c r="IH7" s="118">
        <f t="shared" si="19"/>
        <v>1687393.6702894806</v>
      </c>
      <c r="II7" s="118">
        <f t="shared" si="19"/>
        <v>1687393.6702894806</v>
      </c>
      <c r="IJ7" s="118">
        <f t="shared" si="19"/>
        <v>1687393.6702894806</v>
      </c>
      <c r="IK7" s="118">
        <f t="shared" si="19"/>
        <v>1687393.6702894806</v>
      </c>
      <c r="IL7" s="118">
        <f t="shared" si="19"/>
        <v>1687393.6702894806</v>
      </c>
      <c r="IM7" s="118">
        <f t="shared" si="19"/>
        <v>1687393.6702894806</v>
      </c>
      <c r="IN7" s="118">
        <f t="shared" si="19"/>
        <v>1687393.6702894806</v>
      </c>
      <c r="IO7" s="118">
        <f t="shared" si="19"/>
        <v>1687393.6702894806</v>
      </c>
      <c r="IP7" s="118">
        <f t="shared" si="19"/>
        <v>1687393.6702894806</v>
      </c>
      <c r="IQ7" s="118">
        <f t="shared" si="19"/>
        <v>1687393.6702894806</v>
      </c>
      <c r="IR7" s="118">
        <f t="shared" si="19"/>
        <v>1687393.6702894806</v>
      </c>
      <c r="IS7" s="118">
        <f t="shared" si="19"/>
        <v>1687393.6702894806</v>
      </c>
      <c r="IT7" s="118">
        <f t="shared" si="19"/>
        <v>1687393.6702894806</v>
      </c>
      <c r="IU7" s="118">
        <f t="shared" si="19"/>
        <v>1687393.6702894806</v>
      </c>
      <c r="IV7" s="118">
        <f t="shared" si="19"/>
        <v>1687393.6702894806</v>
      </c>
      <c r="IW7" s="118">
        <f t="shared" si="19"/>
        <v>1687393.6702894806</v>
      </c>
      <c r="IX7" s="118">
        <f t="shared" si="19"/>
        <v>1687393.6702894806</v>
      </c>
      <c r="IY7" s="118">
        <f t="shared" si="19"/>
        <v>1687393.6702894806</v>
      </c>
      <c r="IZ7" s="118">
        <f t="shared" si="19"/>
        <v>1687393.6702894806</v>
      </c>
      <c r="JA7" s="118">
        <f t="shared" si="19"/>
        <v>1687393.6702894806</v>
      </c>
      <c r="JB7" s="118">
        <f t="shared" si="19"/>
        <v>1687393.6702894806</v>
      </c>
      <c r="JC7" s="118">
        <f t="shared" si="19"/>
        <v>1687393.6702894806</v>
      </c>
      <c r="JD7" s="118">
        <f t="shared" si="19"/>
        <v>1687393.6702894806</v>
      </c>
      <c r="JE7" s="118">
        <f t="shared" ref="JE7:KF7" si="20">JE4-JE6</f>
        <v>1687393.6702894806</v>
      </c>
      <c r="JF7" s="118">
        <f t="shared" si="20"/>
        <v>1687393.6702894806</v>
      </c>
      <c r="JG7" s="118">
        <f t="shared" si="20"/>
        <v>1687393.6702894806</v>
      </c>
      <c r="JH7" s="118">
        <f t="shared" si="20"/>
        <v>1687393.6702894806</v>
      </c>
      <c r="JI7" s="118">
        <f t="shared" si="20"/>
        <v>1687393.6702894806</v>
      </c>
      <c r="JJ7" s="118">
        <f t="shared" si="20"/>
        <v>1687393.6702894806</v>
      </c>
      <c r="JK7" s="118">
        <f t="shared" si="20"/>
        <v>1687393.6702894806</v>
      </c>
      <c r="JL7" s="118">
        <f t="shared" si="20"/>
        <v>1687393.6702894806</v>
      </c>
      <c r="JM7" s="118">
        <f t="shared" si="20"/>
        <v>1687393.6702894806</v>
      </c>
      <c r="JN7" s="118">
        <f t="shared" si="20"/>
        <v>1687393.6702894806</v>
      </c>
      <c r="JO7" s="118">
        <f t="shared" si="20"/>
        <v>1687393.6702894806</v>
      </c>
      <c r="JP7" s="118">
        <f t="shared" si="20"/>
        <v>1687393.6702894806</v>
      </c>
      <c r="JQ7" s="118">
        <f t="shared" si="20"/>
        <v>1687393.6702894806</v>
      </c>
      <c r="JR7" s="118">
        <f t="shared" si="20"/>
        <v>1687393.6702894806</v>
      </c>
      <c r="JS7" s="118">
        <f t="shared" si="20"/>
        <v>1687393.6702894806</v>
      </c>
      <c r="JT7" s="118">
        <f t="shared" si="20"/>
        <v>1687393.6702894806</v>
      </c>
      <c r="JU7" s="118">
        <f t="shared" si="20"/>
        <v>1687393.6702894806</v>
      </c>
      <c r="JV7" s="118">
        <f t="shared" si="20"/>
        <v>1687393.6702894806</v>
      </c>
      <c r="JW7" s="118">
        <f t="shared" si="20"/>
        <v>1687393.6702894806</v>
      </c>
      <c r="JX7" s="118">
        <f t="shared" si="20"/>
        <v>1687393.6702894806</v>
      </c>
      <c r="JY7" s="118">
        <f t="shared" si="20"/>
        <v>1687393.6702894806</v>
      </c>
      <c r="JZ7" s="118">
        <f t="shared" si="20"/>
        <v>1687393.6702894806</v>
      </c>
      <c r="KA7" s="118">
        <f t="shared" si="20"/>
        <v>1687393.6702894806</v>
      </c>
      <c r="KB7" s="118">
        <f t="shared" si="20"/>
        <v>1687393.6702894806</v>
      </c>
      <c r="KC7" s="118">
        <f t="shared" si="20"/>
        <v>1687393.6702894806</v>
      </c>
      <c r="KD7" s="118">
        <f t="shared" si="20"/>
        <v>1687393.6702894806</v>
      </c>
      <c r="KE7" s="118">
        <f t="shared" si="20"/>
        <v>1687393.6702894806</v>
      </c>
      <c r="KF7" s="118">
        <f t="shared" si="20"/>
        <v>1687393.6702894806</v>
      </c>
    </row>
    <row r="8" spans="1:770" s="102" customFormat="1">
      <c r="A8" s="724" t="s">
        <v>120</v>
      </c>
      <c r="B8" s="103"/>
      <c r="C8" s="104" t="s">
        <v>252</v>
      </c>
      <c r="D8" s="104" t="s">
        <v>252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5"/>
      <c r="B9" s="120" t="s">
        <v>361</v>
      </c>
      <c r="C9" s="121">
        <f>'Revenue Tracking'!F4</f>
        <v>5149508.5714090457</v>
      </c>
      <c r="D9" s="121">
        <f>SUM(F9:KF9)</f>
        <v>5149508.5714090457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0</v>
      </c>
      <c r="L9" s="122">
        <f>SUMIFS('Revenue Tracking'!$F$13:$F$24, 'Revenue Tracking'!$P$13:$P$24, "&gt;="&amp;L1,'Revenue Tracking'!$P$13:$P$24, "&lt;"&amp;M1)</f>
        <v>1647842.7428508946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0</v>
      </c>
      <c r="P9" s="122">
        <f>SUMIFS('Revenue Tracking'!$F$13:$F$24, 'Revenue Tracking'!$P$13:$P$24, "&gt;="&amp;P1,'Revenue Tracking'!$P$13:$P$24, "&lt;"&amp;Q1)</f>
        <v>823921.37142544729</v>
      </c>
      <c r="Q9" s="122">
        <f>SUMIFS('Revenue Tracking'!$F$13:$F$24, 'Revenue Tracking'!$P$13:$P$24, "&gt;="&amp;Q1,'Revenue Tracking'!$P$13:$P$24, "&lt;"&amp;R1)</f>
        <v>617941.02856908552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1647842.7428508946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5"/>
      <c r="B10" s="120" t="s">
        <v>362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1647842.7428508946</v>
      </c>
      <c r="M10" s="122">
        <f t="shared" si="21"/>
        <v>1647842.7428508946</v>
      </c>
      <c r="N10" s="122">
        <f t="shared" si="21"/>
        <v>1647842.7428508946</v>
      </c>
      <c r="O10" s="122">
        <f t="shared" si="21"/>
        <v>1647842.7428508946</v>
      </c>
      <c r="P10" s="122">
        <f t="shared" si="21"/>
        <v>2471764.1142763421</v>
      </c>
      <c r="Q10" s="122">
        <f t="shared" si="21"/>
        <v>3089705.1428454276</v>
      </c>
      <c r="R10" s="122">
        <f t="shared" si="21"/>
        <v>3089705.1428454276</v>
      </c>
      <c r="S10" s="122">
        <f t="shared" si="21"/>
        <v>3089705.1428454276</v>
      </c>
      <c r="T10" s="122">
        <f t="shared" si="21"/>
        <v>3089705.1428454276</v>
      </c>
      <c r="U10" s="122">
        <f t="shared" si="21"/>
        <v>4737547.8856963217</v>
      </c>
      <c r="V10" s="122">
        <f t="shared" si="21"/>
        <v>4840538.057124503</v>
      </c>
      <c r="W10" s="122">
        <f t="shared" si="21"/>
        <v>4840538.057124503</v>
      </c>
      <c r="X10" s="122">
        <f t="shared" si="21"/>
        <v>4840538.057124503</v>
      </c>
      <c r="Y10" s="122">
        <f t="shared" si="21"/>
        <v>5149508.5714090457</v>
      </c>
      <c r="Z10" s="122">
        <f t="shared" si="21"/>
        <v>5149508.5714090457</v>
      </c>
      <c r="AA10" s="122">
        <f t="shared" si="21"/>
        <v>5149508.5714090457</v>
      </c>
      <c r="AB10" s="122">
        <f t="shared" si="21"/>
        <v>5149508.5714090457</v>
      </c>
      <c r="AC10" s="122">
        <f t="shared" si="21"/>
        <v>5149508.5714090457</v>
      </c>
      <c r="AD10" s="122">
        <f>AC10+AD9</f>
        <v>5149508.5714090457</v>
      </c>
      <c r="AE10" s="122">
        <f t="shared" si="21"/>
        <v>5149508.5714090457</v>
      </c>
      <c r="AF10" s="122">
        <f t="shared" si="21"/>
        <v>5149508.5714090457</v>
      </c>
      <c r="AG10" s="122">
        <f t="shared" si="21"/>
        <v>5149508.5714090457</v>
      </c>
      <c r="AH10" s="122">
        <f t="shared" si="21"/>
        <v>5149508.5714090457</v>
      </c>
      <c r="AI10" s="122">
        <f t="shared" si="21"/>
        <v>5149508.5714090457</v>
      </c>
      <c r="AJ10" s="122">
        <f t="shared" si="21"/>
        <v>5149508.5714090457</v>
      </c>
      <c r="AK10" s="122">
        <f t="shared" si="21"/>
        <v>5149508.5714090457</v>
      </c>
      <c r="AL10" s="122">
        <f t="shared" si="21"/>
        <v>5149508.5714090457</v>
      </c>
      <c r="AM10" s="122">
        <f t="shared" si="21"/>
        <v>5149508.5714090457</v>
      </c>
      <c r="AN10" s="122">
        <f t="shared" si="21"/>
        <v>5149508.5714090457</v>
      </c>
      <c r="AO10" s="122">
        <f t="shared" si="21"/>
        <v>5149508.5714090457</v>
      </c>
      <c r="AP10" s="122">
        <f t="shared" si="21"/>
        <v>5149508.5714090457</v>
      </c>
      <c r="AQ10" s="122">
        <f t="shared" si="21"/>
        <v>5149508.5714090457</v>
      </c>
      <c r="AR10" s="122">
        <f t="shared" si="21"/>
        <v>5149508.5714090457</v>
      </c>
      <c r="AS10" s="122">
        <f t="shared" si="21"/>
        <v>5149508.5714090457</v>
      </c>
      <c r="AT10" s="122">
        <f t="shared" si="21"/>
        <v>5149508.5714090457</v>
      </c>
      <c r="AU10" s="122">
        <f t="shared" si="21"/>
        <v>5149508.5714090457</v>
      </c>
      <c r="AV10" s="122">
        <f t="shared" si="21"/>
        <v>5149508.5714090457</v>
      </c>
      <c r="AW10" s="122">
        <f t="shared" si="21"/>
        <v>5149508.5714090457</v>
      </c>
      <c r="AX10" s="122">
        <f t="shared" si="21"/>
        <v>5149508.5714090457</v>
      </c>
      <c r="AY10" s="122">
        <f t="shared" si="21"/>
        <v>5149508.5714090457</v>
      </c>
      <c r="AZ10" s="122">
        <f t="shared" si="21"/>
        <v>5149508.5714090457</v>
      </c>
      <c r="BA10" s="122">
        <f t="shared" si="21"/>
        <v>5149508.5714090457</v>
      </c>
      <c r="BB10" s="122">
        <f t="shared" si="21"/>
        <v>5149508.5714090457</v>
      </c>
      <c r="BC10" s="122">
        <f t="shared" si="21"/>
        <v>5149508.5714090457</v>
      </c>
      <c r="BD10" s="122">
        <f t="shared" si="21"/>
        <v>5149508.5714090457</v>
      </c>
      <c r="BE10" s="122">
        <f t="shared" si="21"/>
        <v>5149508.5714090457</v>
      </c>
      <c r="BF10" s="122">
        <f t="shared" si="21"/>
        <v>5149508.5714090457</v>
      </c>
      <c r="BG10" s="122">
        <f t="shared" si="21"/>
        <v>5149508.5714090457</v>
      </c>
      <c r="BH10" s="122">
        <f t="shared" si="21"/>
        <v>5149508.5714090457</v>
      </c>
      <c r="BI10" s="122">
        <f t="shared" si="21"/>
        <v>5149508.5714090457</v>
      </c>
      <c r="BJ10" s="122">
        <f t="shared" si="21"/>
        <v>5149508.5714090457</v>
      </c>
      <c r="BK10" s="122">
        <f t="shared" si="21"/>
        <v>5149508.5714090457</v>
      </c>
      <c r="BL10" s="122">
        <f t="shared" si="21"/>
        <v>5149508.5714090457</v>
      </c>
      <c r="BM10" s="122">
        <f t="shared" si="21"/>
        <v>5149508.5714090457</v>
      </c>
      <c r="BN10" s="122">
        <f t="shared" si="21"/>
        <v>5149508.5714090457</v>
      </c>
      <c r="BO10" s="122">
        <f t="shared" si="21"/>
        <v>5149508.5714090457</v>
      </c>
      <c r="BP10" s="122">
        <f t="shared" si="21"/>
        <v>5149508.5714090457</v>
      </c>
      <c r="BQ10" s="122">
        <f t="shared" si="21"/>
        <v>5149508.5714090457</v>
      </c>
      <c r="BR10" s="122">
        <f t="shared" si="21"/>
        <v>5149508.5714090457</v>
      </c>
      <c r="BS10" s="122">
        <f t="shared" si="21"/>
        <v>5149508.5714090457</v>
      </c>
      <c r="BT10" s="122">
        <f t="shared" si="21"/>
        <v>5149508.5714090457</v>
      </c>
      <c r="BU10" s="122">
        <f t="shared" ref="BU10:EF10" si="22">BT10+BU9</f>
        <v>5149508.5714090457</v>
      </c>
      <c r="BV10" s="122">
        <f t="shared" si="22"/>
        <v>5149508.5714090457</v>
      </c>
      <c r="BW10" s="122">
        <f t="shared" si="22"/>
        <v>5149508.5714090457</v>
      </c>
      <c r="BX10" s="122">
        <f t="shared" si="22"/>
        <v>5149508.5714090457</v>
      </c>
      <c r="BY10" s="122">
        <f t="shared" si="22"/>
        <v>5149508.5714090457</v>
      </c>
      <c r="BZ10" s="122">
        <f t="shared" si="22"/>
        <v>5149508.5714090457</v>
      </c>
      <c r="CA10" s="122">
        <f t="shared" si="22"/>
        <v>5149508.5714090457</v>
      </c>
      <c r="CB10" s="122">
        <f t="shared" si="22"/>
        <v>5149508.5714090457</v>
      </c>
      <c r="CC10" s="122">
        <f t="shared" si="22"/>
        <v>5149508.5714090457</v>
      </c>
      <c r="CD10" s="122">
        <f t="shared" si="22"/>
        <v>5149508.5714090457</v>
      </c>
      <c r="CE10" s="122">
        <f t="shared" si="22"/>
        <v>5149508.5714090457</v>
      </c>
      <c r="CF10" s="122">
        <f t="shared" si="22"/>
        <v>5149508.5714090457</v>
      </c>
      <c r="CG10" s="122">
        <f t="shared" si="22"/>
        <v>5149508.5714090457</v>
      </c>
      <c r="CH10" s="122">
        <f t="shared" si="22"/>
        <v>5149508.5714090457</v>
      </c>
      <c r="CI10" s="122">
        <f t="shared" si="22"/>
        <v>5149508.5714090457</v>
      </c>
      <c r="CJ10" s="122">
        <f t="shared" si="22"/>
        <v>5149508.5714090457</v>
      </c>
      <c r="CK10" s="122">
        <f t="shared" si="22"/>
        <v>5149508.5714090457</v>
      </c>
      <c r="CL10" s="122">
        <f t="shared" si="22"/>
        <v>5149508.5714090457</v>
      </c>
      <c r="CM10" s="122">
        <f t="shared" si="22"/>
        <v>5149508.5714090457</v>
      </c>
      <c r="CN10" s="122">
        <f t="shared" si="22"/>
        <v>5149508.5714090457</v>
      </c>
      <c r="CO10" s="122">
        <f t="shared" si="22"/>
        <v>5149508.5714090457</v>
      </c>
      <c r="CP10" s="122">
        <f t="shared" si="22"/>
        <v>5149508.5714090457</v>
      </c>
      <c r="CQ10" s="122">
        <f t="shared" si="22"/>
        <v>5149508.5714090457</v>
      </c>
      <c r="CR10" s="122">
        <f t="shared" si="22"/>
        <v>5149508.5714090457</v>
      </c>
      <c r="CS10" s="122">
        <f t="shared" si="22"/>
        <v>5149508.5714090457</v>
      </c>
      <c r="CT10" s="122">
        <f t="shared" si="22"/>
        <v>5149508.5714090457</v>
      </c>
      <c r="CU10" s="122">
        <f t="shared" si="22"/>
        <v>5149508.5714090457</v>
      </c>
      <c r="CV10" s="122">
        <f t="shared" si="22"/>
        <v>5149508.5714090457</v>
      </c>
      <c r="CW10" s="122">
        <f t="shared" si="22"/>
        <v>5149508.5714090457</v>
      </c>
      <c r="CX10" s="122">
        <f t="shared" si="22"/>
        <v>5149508.5714090457</v>
      </c>
      <c r="CY10" s="122">
        <f t="shared" si="22"/>
        <v>5149508.5714090457</v>
      </c>
      <c r="CZ10" s="122">
        <f t="shared" si="22"/>
        <v>5149508.5714090457</v>
      </c>
      <c r="DA10" s="122">
        <f t="shared" si="22"/>
        <v>5149508.5714090457</v>
      </c>
      <c r="DB10" s="122">
        <f t="shared" si="22"/>
        <v>5149508.5714090457</v>
      </c>
      <c r="DC10" s="122">
        <f t="shared" si="22"/>
        <v>5149508.5714090457</v>
      </c>
      <c r="DD10" s="122">
        <f t="shared" si="22"/>
        <v>5149508.5714090457</v>
      </c>
      <c r="DE10" s="122">
        <f t="shared" si="22"/>
        <v>5149508.5714090457</v>
      </c>
      <c r="DF10" s="122">
        <f t="shared" si="22"/>
        <v>5149508.5714090457</v>
      </c>
      <c r="DG10" s="122">
        <f t="shared" si="22"/>
        <v>5149508.5714090457</v>
      </c>
      <c r="DH10" s="122">
        <f t="shared" si="22"/>
        <v>5149508.5714090457</v>
      </c>
      <c r="DI10" s="122">
        <f t="shared" si="22"/>
        <v>5149508.5714090457</v>
      </c>
      <c r="DJ10" s="122">
        <f t="shared" si="22"/>
        <v>5149508.5714090457</v>
      </c>
      <c r="DK10" s="122">
        <f t="shared" si="22"/>
        <v>5149508.5714090457</v>
      </c>
      <c r="DL10" s="122">
        <f t="shared" si="22"/>
        <v>5149508.5714090457</v>
      </c>
      <c r="DM10" s="122">
        <f t="shared" si="22"/>
        <v>5149508.5714090457</v>
      </c>
      <c r="DN10" s="122">
        <f t="shared" si="22"/>
        <v>5149508.5714090457</v>
      </c>
      <c r="DO10" s="122">
        <f t="shared" si="22"/>
        <v>5149508.5714090457</v>
      </c>
      <c r="DP10" s="122">
        <f t="shared" si="22"/>
        <v>5149508.5714090457</v>
      </c>
      <c r="DQ10" s="122">
        <f t="shared" si="22"/>
        <v>5149508.5714090457</v>
      </c>
      <c r="DR10" s="122">
        <f t="shared" si="22"/>
        <v>5149508.5714090457</v>
      </c>
      <c r="DS10" s="122">
        <f t="shared" si="22"/>
        <v>5149508.5714090457</v>
      </c>
      <c r="DT10" s="122">
        <f t="shared" si="22"/>
        <v>5149508.5714090457</v>
      </c>
      <c r="DU10" s="122">
        <f t="shared" si="22"/>
        <v>5149508.5714090457</v>
      </c>
      <c r="DV10" s="122">
        <f t="shared" si="22"/>
        <v>5149508.5714090457</v>
      </c>
      <c r="DW10" s="122">
        <f t="shared" si="22"/>
        <v>5149508.5714090457</v>
      </c>
      <c r="DX10" s="122">
        <f t="shared" si="22"/>
        <v>5149508.5714090457</v>
      </c>
      <c r="DY10" s="122">
        <f t="shared" si="22"/>
        <v>5149508.5714090457</v>
      </c>
      <c r="DZ10" s="122">
        <f t="shared" si="22"/>
        <v>5149508.5714090457</v>
      </c>
      <c r="EA10" s="122">
        <f t="shared" si="22"/>
        <v>5149508.5714090457</v>
      </c>
      <c r="EB10" s="122">
        <f t="shared" si="22"/>
        <v>5149508.5714090457</v>
      </c>
      <c r="EC10" s="122">
        <f t="shared" si="22"/>
        <v>5149508.5714090457</v>
      </c>
      <c r="ED10" s="122">
        <f t="shared" si="22"/>
        <v>5149508.5714090457</v>
      </c>
      <c r="EE10" s="122">
        <f t="shared" si="22"/>
        <v>5149508.5714090457</v>
      </c>
      <c r="EF10" s="122">
        <f t="shared" si="22"/>
        <v>5149508.5714090457</v>
      </c>
      <c r="EG10" s="122">
        <f t="shared" ref="EG10:GR10" si="23">EF10+EG9</f>
        <v>5149508.5714090457</v>
      </c>
      <c r="EH10" s="122">
        <f t="shared" si="23"/>
        <v>5149508.5714090457</v>
      </c>
      <c r="EI10" s="122">
        <f t="shared" si="23"/>
        <v>5149508.5714090457</v>
      </c>
      <c r="EJ10" s="122">
        <f t="shared" si="23"/>
        <v>5149508.5714090457</v>
      </c>
      <c r="EK10" s="122">
        <f t="shared" si="23"/>
        <v>5149508.5714090457</v>
      </c>
      <c r="EL10" s="122">
        <f t="shared" si="23"/>
        <v>5149508.5714090457</v>
      </c>
      <c r="EM10" s="122">
        <f t="shared" si="23"/>
        <v>5149508.5714090457</v>
      </c>
      <c r="EN10" s="122">
        <f t="shared" si="23"/>
        <v>5149508.5714090457</v>
      </c>
      <c r="EO10" s="122">
        <f t="shared" si="23"/>
        <v>5149508.5714090457</v>
      </c>
      <c r="EP10" s="122">
        <f t="shared" si="23"/>
        <v>5149508.5714090457</v>
      </c>
      <c r="EQ10" s="122">
        <f t="shared" si="23"/>
        <v>5149508.5714090457</v>
      </c>
      <c r="ER10" s="122">
        <f t="shared" si="23"/>
        <v>5149508.5714090457</v>
      </c>
      <c r="ES10" s="122">
        <f t="shared" si="23"/>
        <v>5149508.5714090457</v>
      </c>
      <c r="ET10" s="122">
        <f t="shared" si="23"/>
        <v>5149508.5714090457</v>
      </c>
      <c r="EU10" s="122">
        <f t="shared" si="23"/>
        <v>5149508.5714090457</v>
      </c>
      <c r="EV10" s="122">
        <f t="shared" si="23"/>
        <v>5149508.5714090457</v>
      </c>
      <c r="EW10" s="122">
        <f t="shared" si="23"/>
        <v>5149508.5714090457</v>
      </c>
      <c r="EX10" s="122">
        <f t="shared" si="23"/>
        <v>5149508.5714090457</v>
      </c>
      <c r="EY10" s="122">
        <f t="shared" si="23"/>
        <v>5149508.5714090457</v>
      </c>
      <c r="EZ10" s="122">
        <f t="shared" si="23"/>
        <v>5149508.5714090457</v>
      </c>
      <c r="FA10" s="122">
        <f t="shared" si="23"/>
        <v>5149508.5714090457</v>
      </c>
      <c r="FB10" s="122">
        <f t="shared" si="23"/>
        <v>5149508.5714090457</v>
      </c>
      <c r="FC10" s="122">
        <f t="shared" si="23"/>
        <v>5149508.5714090457</v>
      </c>
      <c r="FD10" s="122">
        <f t="shared" si="23"/>
        <v>5149508.5714090457</v>
      </c>
      <c r="FE10" s="122">
        <f t="shared" si="23"/>
        <v>5149508.5714090457</v>
      </c>
      <c r="FF10" s="122">
        <f t="shared" si="23"/>
        <v>5149508.5714090457</v>
      </c>
      <c r="FG10" s="122">
        <f t="shared" si="23"/>
        <v>5149508.5714090457</v>
      </c>
      <c r="FH10" s="122">
        <f t="shared" si="23"/>
        <v>5149508.5714090457</v>
      </c>
      <c r="FI10" s="122">
        <f t="shared" si="23"/>
        <v>5149508.5714090457</v>
      </c>
      <c r="FJ10" s="122">
        <f t="shared" si="23"/>
        <v>5149508.5714090457</v>
      </c>
      <c r="FK10" s="122">
        <f t="shared" si="23"/>
        <v>5149508.5714090457</v>
      </c>
      <c r="FL10" s="122">
        <f t="shared" si="23"/>
        <v>5149508.5714090457</v>
      </c>
      <c r="FM10" s="122">
        <f t="shared" si="23"/>
        <v>5149508.5714090457</v>
      </c>
      <c r="FN10" s="122">
        <f t="shared" si="23"/>
        <v>5149508.5714090457</v>
      </c>
      <c r="FO10" s="122">
        <f t="shared" si="23"/>
        <v>5149508.5714090457</v>
      </c>
      <c r="FP10" s="122">
        <f t="shared" si="23"/>
        <v>5149508.5714090457</v>
      </c>
      <c r="FQ10" s="122">
        <f t="shared" si="23"/>
        <v>5149508.5714090457</v>
      </c>
      <c r="FR10" s="122">
        <f t="shared" si="23"/>
        <v>5149508.5714090457</v>
      </c>
      <c r="FS10" s="122">
        <f t="shared" si="23"/>
        <v>5149508.5714090457</v>
      </c>
      <c r="FT10" s="122">
        <f t="shared" si="23"/>
        <v>5149508.5714090457</v>
      </c>
      <c r="FU10" s="122">
        <f t="shared" si="23"/>
        <v>5149508.5714090457</v>
      </c>
      <c r="FV10" s="122">
        <f t="shared" si="23"/>
        <v>5149508.5714090457</v>
      </c>
      <c r="FW10" s="122">
        <f t="shared" si="23"/>
        <v>5149508.5714090457</v>
      </c>
      <c r="FX10" s="122">
        <f t="shared" si="23"/>
        <v>5149508.5714090457</v>
      </c>
      <c r="FY10" s="122">
        <f t="shared" si="23"/>
        <v>5149508.5714090457</v>
      </c>
      <c r="FZ10" s="122">
        <f t="shared" si="23"/>
        <v>5149508.5714090457</v>
      </c>
      <c r="GA10" s="122">
        <f t="shared" si="23"/>
        <v>5149508.5714090457</v>
      </c>
      <c r="GB10" s="122">
        <f t="shared" si="23"/>
        <v>5149508.5714090457</v>
      </c>
      <c r="GC10" s="122">
        <f t="shared" si="23"/>
        <v>5149508.5714090457</v>
      </c>
      <c r="GD10" s="122">
        <f t="shared" si="23"/>
        <v>5149508.5714090457</v>
      </c>
      <c r="GE10" s="122">
        <f t="shared" si="23"/>
        <v>5149508.5714090457</v>
      </c>
      <c r="GF10" s="122">
        <f t="shared" si="23"/>
        <v>5149508.5714090457</v>
      </c>
      <c r="GG10" s="122">
        <f t="shared" si="23"/>
        <v>5149508.5714090457</v>
      </c>
      <c r="GH10" s="122">
        <f t="shared" si="23"/>
        <v>5149508.5714090457</v>
      </c>
      <c r="GI10" s="122">
        <f t="shared" si="23"/>
        <v>5149508.5714090457</v>
      </c>
      <c r="GJ10" s="122">
        <f t="shared" si="23"/>
        <v>5149508.5714090457</v>
      </c>
      <c r="GK10" s="122">
        <f t="shared" si="23"/>
        <v>5149508.5714090457</v>
      </c>
      <c r="GL10" s="122">
        <f t="shared" si="23"/>
        <v>5149508.5714090457</v>
      </c>
      <c r="GM10" s="122">
        <f t="shared" si="23"/>
        <v>5149508.5714090457</v>
      </c>
      <c r="GN10" s="122">
        <f t="shared" si="23"/>
        <v>5149508.5714090457</v>
      </c>
      <c r="GO10" s="122">
        <f t="shared" si="23"/>
        <v>5149508.5714090457</v>
      </c>
      <c r="GP10" s="122">
        <f t="shared" si="23"/>
        <v>5149508.5714090457</v>
      </c>
      <c r="GQ10" s="122">
        <f t="shared" si="23"/>
        <v>5149508.5714090457</v>
      </c>
      <c r="GR10" s="122">
        <f t="shared" si="23"/>
        <v>5149508.5714090457</v>
      </c>
      <c r="GS10" s="122">
        <f t="shared" ref="GS10:JD10" si="24">GR10+GS9</f>
        <v>5149508.5714090457</v>
      </c>
      <c r="GT10" s="122">
        <f t="shared" si="24"/>
        <v>5149508.5714090457</v>
      </c>
      <c r="GU10" s="122">
        <f t="shared" si="24"/>
        <v>5149508.5714090457</v>
      </c>
      <c r="GV10" s="122">
        <f t="shared" si="24"/>
        <v>5149508.5714090457</v>
      </c>
      <c r="GW10" s="122">
        <f t="shared" si="24"/>
        <v>5149508.5714090457</v>
      </c>
      <c r="GX10" s="122">
        <f t="shared" si="24"/>
        <v>5149508.5714090457</v>
      </c>
      <c r="GY10" s="122">
        <f t="shared" si="24"/>
        <v>5149508.5714090457</v>
      </c>
      <c r="GZ10" s="122">
        <f t="shared" si="24"/>
        <v>5149508.5714090457</v>
      </c>
      <c r="HA10" s="122">
        <f t="shared" si="24"/>
        <v>5149508.5714090457</v>
      </c>
      <c r="HB10" s="122">
        <f t="shared" si="24"/>
        <v>5149508.5714090457</v>
      </c>
      <c r="HC10" s="122">
        <f t="shared" si="24"/>
        <v>5149508.5714090457</v>
      </c>
      <c r="HD10" s="122">
        <f t="shared" si="24"/>
        <v>5149508.5714090457</v>
      </c>
      <c r="HE10" s="122">
        <f t="shared" si="24"/>
        <v>5149508.5714090457</v>
      </c>
      <c r="HF10" s="122">
        <f t="shared" si="24"/>
        <v>5149508.5714090457</v>
      </c>
      <c r="HG10" s="122">
        <f t="shared" si="24"/>
        <v>5149508.5714090457</v>
      </c>
      <c r="HH10" s="122">
        <f t="shared" si="24"/>
        <v>5149508.5714090457</v>
      </c>
      <c r="HI10" s="122">
        <f t="shared" si="24"/>
        <v>5149508.5714090457</v>
      </c>
      <c r="HJ10" s="122">
        <f t="shared" si="24"/>
        <v>5149508.5714090457</v>
      </c>
      <c r="HK10" s="122">
        <f t="shared" si="24"/>
        <v>5149508.5714090457</v>
      </c>
      <c r="HL10" s="122">
        <f t="shared" si="24"/>
        <v>5149508.5714090457</v>
      </c>
      <c r="HM10" s="122">
        <f t="shared" si="24"/>
        <v>5149508.5714090457</v>
      </c>
      <c r="HN10" s="122">
        <f t="shared" si="24"/>
        <v>5149508.5714090457</v>
      </c>
      <c r="HO10" s="122">
        <f t="shared" si="24"/>
        <v>5149508.5714090457</v>
      </c>
      <c r="HP10" s="122">
        <f t="shared" si="24"/>
        <v>5149508.5714090457</v>
      </c>
      <c r="HQ10" s="122">
        <f t="shared" si="24"/>
        <v>5149508.5714090457</v>
      </c>
      <c r="HR10" s="122">
        <f t="shared" si="24"/>
        <v>5149508.5714090457</v>
      </c>
      <c r="HS10" s="122">
        <f t="shared" si="24"/>
        <v>5149508.5714090457</v>
      </c>
      <c r="HT10" s="122">
        <f t="shared" si="24"/>
        <v>5149508.5714090457</v>
      </c>
      <c r="HU10" s="122">
        <f t="shared" si="24"/>
        <v>5149508.5714090457</v>
      </c>
      <c r="HV10" s="122">
        <f t="shared" si="24"/>
        <v>5149508.5714090457</v>
      </c>
      <c r="HW10" s="122">
        <f t="shared" si="24"/>
        <v>5149508.5714090457</v>
      </c>
      <c r="HX10" s="122">
        <f t="shared" si="24"/>
        <v>5149508.5714090457</v>
      </c>
      <c r="HY10" s="122">
        <f t="shared" si="24"/>
        <v>5149508.5714090457</v>
      </c>
      <c r="HZ10" s="122">
        <f t="shared" si="24"/>
        <v>5149508.5714090457</v>
      </c>
      <c r="IA10" s="122">
        <f t="shared" si="24"/>
        <v>5149508.5714090457</v>
      </c>
      <c r="IB10" s="122">
        <f t="shared" si="24"/>
        <v>5149508.5714090457</v>
      </c>
      <c r="IC10" s="122">
        <f t="shared" si="24"/>
        <v>5149508.5714090457</v>
      </c>
      <c r="ID10" s="122">
        <f t="shared" si="24"/>
        <v>5149508.5714090457</v>
      </c>
      <c r="IE10" s="122">
        <f t="shared" si="24"/>
        <v>5149508.5714090457</v>
      </c>
      <c r="IF10" s="122">
        <f t="shared" si="24"/>
        <v>5149508.5714090457</v>
      </c>
      <c r="IG10" s="122">
        <f t="shared" si="24"/>
        <v>5149508.5714090457</v>
      </c>
      <c r="IH10" s="122">
        <f t="shared" si="24"/>
        <v>5149508.5714090457</v>
      </c>
      <c r="II10" s="122">
        <f t="shared" si="24"/>
        <v>5149508.5714090457</v>
      </c>
      <c r="IJ10" s="122">
        <f t="shared" si="24"/>
        <v>5149508.5714090457</v>
      </c>
      <c r="IK10" s="122">
        <f t="shared" si="24"/>
        <v>5149508.5714090457</v>
      </c>
      <c r="IL10" s="122">
        <f t="shared" si="24"/>
        <v>5149508.5714090457</v>
      </c>
      <c r="IM10" s="122">
        <f t="shared" si="24"/>
        <v>5149508.5714090457</v>
      </c>
      <c r="IN10" s="122">
        <f t="shared" si="24"/>
        <v>5149508.5714090457</v>
      </c>
      <c r="IO10" s="122">
        <f t="shared" si="24"/>
        <v>5149508.5714090457</v>
      </c>
      <c r="IP10" s="122">
        <f t="shared" si="24"/>
        <v>5149508.5714090457</v>
      </c>
      <c r="IQ10" s="122">
        <f t="shared" si="24"/>
        <v>5149508.5714090457</v>
      </c>
      <c r="IR10" s="122">
        <f t="shared" si="24"/>
        <v>5149508.5714090457</v>
      </c>
      <c r="IS10" s="122">
        <f t="shared" si="24"/>
        <v>5149508.5714090457</v>
      </c>
      <c r="IT10" s="122">
        <f t="shared" si="24"/>
        <v>5149508.5714090457</v>
      </c>
      <c r="IU10" s="122">
        <f t="shared" si="24"/>
        <v>5149508.5714090457</v>
      </c>
      <c r="IV10" s="122">
        <f t="shared" si="24"/>
        <v>5149508.5714090457</v>
      </c>
      <c r="IW10" s="122">
        <f t="shared" si="24"/>
        <v>5149508.5714090457</v>
      </c>
      <c r="IX10" s="122">
        <f t="shared" si="24"/>
        <v>5149508.5714090457</v>
      </c>
      <c r="IY10" s="122">
        <f t="shared" si="24"/>
        <v>5149508.5714090457</v>
      </c>
      <c r="IZ10" s="122">
        <f t="shared" si="24"/>
        <v>5149508.5714090457</v>
      </c>
      <c r="JA10" s="122">
        <f t="shared" si="24"/>
        <v>5149508.5714090457</v>
      </c>
      <c r="JB10" s="122">
        <f t="shared" si="24"/>
        <v>5149508.5714090457</v>
      </c>
      <c r="JC10" s="122">
        <f t="shared" si="24"/>
        <v>5149508.5714090457</v>
      </c>
      <c r="JD10" s="122">
        <f t="shared" si="24"/>
        <v>5149508.5714090457</v>
      </c>
      <c r="JE10" s="122">
        <f t="shared" ref="JE10:KF10" si="25">JD10+JE9</f>
        <v>5149508.5714090457</v>
      </c>
      <c r="JF10" s="122">
        <f t="shared" si="25"/>
        <v>5149508.5714090457</v>
      </c>
      <c r="JG10" s="122">
        <f t="shared" si="25"/>
        <v>5149508.5714090457</v>
      </c>
      <c r="JH10" s="122">
        <f t="shared" si="25"/>
        <v>5149508.5714090457</v>
      </c>
      <c r="JI10" s="122">
        <f t="shared" si="25"/>
        <v>5149508.5714090457</v>
      </c>
      <c r="JJ10" s="122">
        <f t="shared" si="25"/>
        <v>5149508.5714090457</v>
      </c>
      <c r="JK10" s="122">
        <f t="shared" si="25"/>
        <v>5149508.5714090457</v>
      </c>
      <c r="JL10" s="122">
        <f t="shared" si="25"/>
        <v>5149508.5714090457</v>
      </c>
      <c r="JM10" s="122">
        <f t="shared" si="25"/>
        <v>5149508.5714090457</v>
      </c>
      <c r="JN10" s="122">
        <f t="shared" si="25"/>
        <v>5149508.5714090457</v>
      </c>
      <c r="JO10" s="122">
        <f t="shared" si="25"/>
        <v>5149508.5714090457</v>
      </c>
      <c r="JP10" s="122">
        <f t="shared" si="25"/>
        <v>5149508.5714090457</v>
      </c>
      <c r="JQ10" s="122">
        <f t="shared" si="25"/>
        <v>5149508.5714090457</v>
      </c>
      <c r="JR10" s="122">
        <f t="shared" si="25"/>
        <v>5149508.5714090457</v>
      </c>
      <c r="JS10" s="122">
        <f t="shared" si="25"/>
        <v>5149508.5714090457</v>
      </c>
      <c r="JT10" s="122">
        <f t="shared" si="25"/>
        <v>5149508.5714090457</v>
      </c>
      <c r="JU10" s="122">
        <f t="shared" si="25"/>
        <v>5149508.5714090457</v>
      </c>
      <c r="JV10" s="122">
        <f t="shared" si="25"/>
        <v>5149508.5714090457</v>
      </c>
      <c r="JW10" s="122">
        <f t="shared" si="25"/>
        <v>5149508.5714090457</v>
      </c>
      <c r="JX10" s="122">
        <f t="shared" si="25"/>
        <v>5149508.5714090457</v>
      </c>
      <c r="JY10" s="122">
        <f t="shared" si="25"/>
        <v>5149508.5714090457</v>
      </c>
      <c r="JZ10" s="122">
        <f t="shared" si="25"/>
        <v>5149508.5714090457</v>
      </c>
      <c r="KA10" s="122">
        <f t="shared" si="25"/>
        <v>5149508.5714090457</v>
      </c>
      <c r="KB10" s="122">
        <f t="shared" si="25"/>
        <v>5149508.5714090457</v>
      </c>
      <c r="KC10" s="122">
        <f t="shared" si="25"/>
        <v>5149508.5714090457</v>
      </c>
      <c r="KD10" s="122">
        <f t="shared" si="25"/>
        <v>5149508.5714090457</v>
      </c>
      <c r="KE10" s="122">
        <f t="shared" si="25"/>
        <v>5149508.5714090457</v>
      </c>
      <c r="KF10" s="122">
        <f t="shared" si="25"/>
        <v>5149508.5714090457</v>
      </c>
    </row>
    <row r="11" spans="1:770" s="114" customFormat="1">
      <c r="A11" s="725"/>
      <c r="B11" s="123" t="s">
        <v>363</v>
      </c>
      <c r="C11" s="124">
        <f>'Revenue Tracking'!F5</f>
        <v>3300331.7862454923</v>
      </c>
      <c r="D11" s="124">
        <f>SUM(F11:KF11)</f>
        <v>3300331.7862454918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0</v>
      </c>
      <c r="J11" s="125">
        <f>SUMIFS('Expenditure Breakdown'!$Q$6:$Q$172, 'Expenditure Breakdown'!$W$6:$W$172, "&gt;="&amp;J1,'Expenditure Breakdown'!$W$6:$W$172, "&lt;"&amp;K1)</f>
        <v>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48000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61000</v>
      </c>
      <c r="P11" s="125">
        <f>SUMIFS('Expenditure Breakdown'!$Q$6:$Q$172, 'Expenditure Breakdown'!$W$6:$W$172, "&gt;="&amp;P1,'Expenditure Breakdown'!$W$6:$W$172, "&lt;"&amp;Q1)</f>
        <v>158412.41263285038</v>
      </c>
      <c r="Q11" s="125">
        <f>SUMIFS('Expenditure Breakdown'!$Q$6:$Q$172, 'Expenditure Breakdown'!$W$6:$W$172, "&gt;="&amp;Q1,'Expenditure Breakdown'!$W$6:$W$172, "&lt;"&amp;R1)</f>
        <v>202495.08571409044</v>
      </c>
      <c r="R11" s="125">
        <f>SUMIFS('Expenditure Breakdown'!$Q$6:$Q$172, 'Expenditure Breakdown'!$W$6:$W$172, "&gt;="&amp;R1,'Expenditure Breakdown'!$W$6:$W$172, "&lt;"&amp;S1)</f>
        <v>1400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158412.41263285038</v>
      </c>
      <c r="U11" s="125">
        <f>SUMIFS('Expenditure Breakdown'!$Q$6:$Q$172, 'Expenditure Breakdown'!$W$6:$W$172, "&gt;="&amp;U1,'Expenditure Breakdown'!$W$6:$W$172, "&lt;"&amp;V1)</f>
        <v>1476739.4801062802</v>
      </c>
      <c r="V11" s="125">
        <f>SUMIFS('Expenditure Breakdown'!$Q$6:$Q$172, 'Expenditure Breakdown'!$W$6:$W$172, "&gt;="&amp;V1,'Expenditure Breakdown'!$W$6:$W$172, "&lt;"&amp;W1)</f>
        <v>1400</v>
      </c>
      <c r="W11" s="125">
        <f>SUMIFS('Expenditure Breakdown'!$Q$6:$Q$172, 'Expenditure Breakdown'!$W$6:$W$172, "&gt;="&amp;W1,'Expenditure Breakdown'!$W$6:$W$172, "&lt;"&amp;X1)</f>
        <v>0</v>
      </c>
      <c r="X11" s="125">
        <f>SUMIFS('Expenditure Breakdown'!$Q$6:$Q$172, 'Expenditure Breakdown'!$W$6:$W$172, "&gt;="&amp;X1,'Expenditure Breakdown'!$W$6:$W$172, "&lt;"&amp;Y1)</f>
        <v>1145412.4126328505</v>
      </c>
      <c r="Y11" s="125">
        <f>SUMIFS('Expenditure Breakdown'!$Q$6:$Q$172, 'Expenditure Breakdown'!$W$6:$W$172, "&gt;="&amp;Y1,'Expenditure Breakdown'!$W$6:$W$172, "&lt;"&amp;Z1)</f>
        <v>12577.5</v>
      </c>
      <c r="Z11" s="125">
        <f>SUMIFS('Expenditure Breakdown'!$Q$6:$Q$172, 'Expenditure Breakdown'!$W$6:$W$172, "&gt;="&amp;Z1,'Expenditure Breakdown'!$W$6:$W$172, "&lt;"&amp;AA1)</f>
        <v>1400</v>
      </c>
      <c r="AA11" s="125">
        <f>SUMIFS('Expenditure Breakdown'!$Q$6:$Q$172, 'Expenditure Breakdown'!$W$6:$W$172, "&gt;="&amp;AA1,'Expenditure Breakdown'!$W$6:$W$172, "&lt;"&amp;AB1)</f>
        <v>31682.482526570075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5"/>
      <c r="B12" s="123" t="s">
        <v>364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48000</v>
      </c>
      <c r="M12" s="125">
        <f t="shared" si="26"/>
        <v>49400</v>
      </c>
      <c r="N12" s="125">
        <f t="shared" si="26"/>
        <v>49400</v>
      </c>
      <c r="O12" s="125">
        <f t="shared" si="26"/>
        <v>110400</v>
      </c>
      <c r="P12" s="125">
        <f t="shared" si="26"/>
        <v>268812.41263285035</v>
      </c>
      <c r="Q12" s="125">
        <f t="shared" si="26"/>
        <v>471307.49834694079</v>
      </c>
      <c r="R12" s="125">
        <f t="shared" si="26"/>
        <v>472707.49834694079</v>
      </c>
      <c r="S12" s="125">
        <f t="shared" si="26"/>
        <v>472707.49834694079</v>
      </c>
      <c r="T12" s="125">
        <f t="shared" si="26"/>
        <v>631119.9109797912</v>
      </c>
      <c r="U12" s="125">
        <f t="shared" si="26"/>
        <v>2107859.3910860713</v>
      </c>
      <c r="V12" s="125">
        <f t="shared" si="26"/>
        <v>2109259.3910860713</v>
      </c>
      <c r="W12" s="125">
        <f t="shared" si="26"/>
        <v>2109259.3910860713</v>
      </c>
      <c r="X12" s="125">
        <f t="shared" si="26"/>
        <v>3254671.8037189217</v>
      </c>
      <c r="Y12" s="125">
        <f t="shared" si="26"/>
        <v>3267249.3037189217</v>
      </c>
      <c r="Z12" s="125">
        <f t="shared" si="26"/>
        <v>3268649.3037189217</v>
      </c>
      <c r="AA12" s="125">
        <f t="shared" si="26"/>
        <v>3300331.7862454918</v>
      </c>
      <c r="AB12" s="125">
        <f t="shared" si="26"/>
        <v>3300331.7862454918</v>
      </c>
      <c r="AC12" s="125">
        <f t="shared" si="26"/>
        <v>3300331.7862454918</v>
      </c>
      <c r="AD12" s="125">
        <f>AC12+AD11</f>
        <v>3300331.7862454918</v>
      </c>
      <c r="AE12" s="125">
        <f t="shared" si="26"/>
        <v>3300331.7862454918</v>
      </c>
      <c r="AF12" s="125">
        <f t="shared" si="26"/>
        <v>3300331.7862454918</v>
      </c>
      <c r="AG12" s="125">
        <f t="shared" si="26"/>
        <v>3300331.7862454918</v>
      </c>
      <c r="AH12" s="125">
        <f t="shared" si="26"/>
        <v>3300331.7862454918</v>
      </c>
      <c r="AI12" s="125">
        <f t="shared" si="26"/>
        <v>3300331.7862454918</v>
      </c>
      <c r="AJ12" s="125">
        <f t="shared" si="26"/>
        <v>3300331.7862454918</v>
      </c>
      <c r="AK12" s="125">
        <f t="shared" si="26"/>
        <v>3300331.7862454918</v>
      </c>
      <c r="AL12" s="125">
        <f t="shared" si="26"/>
        <v>3300331.7862454918</v>
      </c>
      <c r="AM12" s="125">
        <f t="shared" si="26"/>
        <v>3300331.7862454918</v>
      </c>
      <c r="AN12" s="125">
        <f t="shared" si="26"/>
        <v>3300331.7862454918</v>
      </c>
      <c r="AO12" s="125">
        <f t="shared" si="26"/>
        <v>3300331.7862454918</v>
      </c>
      <c r="AP12" s="125">
        <f t="shared" si="26"/>
        <v>3300331.7862454918</v>
      </c>
      <c r="AQ12" s="125">
        <f t="shared" si="26"/>
        <v>3300331.7862454918</v>
      </c>
      <c r="AR12" s="125">
        <f t="shared" si="26"/>
        <v>3300331.7862454918</v>
      </c>
      <c r="AS12" s="125">
        <f t="shared" si="26"/>
        <v>3300331.7862454918</v>
      </c>
      <c r="AT12" s="125">
        <f t="shared" si="26"/>
        <v>3300331.7862454918</v>
      </c>
      <c r="AU12" s="125">
        <f t="shared" si="26"/>
        <v>3300331.7862454918</v>
      </c>
      <c r="AV12" s="125">
        <f t="shared" si="26"/>
        <v>3300331.7862454918</v>
      </c>
      <c r="AW12" s="125">
        <f t="shared" si="26"/>
        <v>3300331.7862454918</v>
      </c>
      <c r="AX12" s="125">
        <f t="shared" si="26"/>
        <v>3300331.7862454918</v>
      </c>
      <c r="AY12" s="125">
        <f t="shared" si="26"/>
        <v>3300331.7862454918</v>
      </c>
      <c r="AZ12" s="125">
        <f t="shared" si="26"/>
        <v>3300331.7862454918</v>
      </c>
      <c r="BA12" s="125">
        <f t="shared" si="26"/>
        <v>3300331.7862454918</v>
      </c>
      <c r="BB12" s="125">
        <f t="shared" si="26"/>
        <v>3300331.7862454918</v>
      </c>
      <c r="BC12" s="125">
        <f t="shared" si="26"/>
        <v>3300331.7862454918</v>
      </c>
      <c r="BD12" s="125">
        <f t="shared" si="26"/>
        <v>3300331.7862454918</v>
      </c>
      <c r="BE12" s="125">
        <f t="shared" si="26"/>
        <v>3300331.7862454918</v>
      </c>
      <c r="BF12" s="125">
        <f t="shared" si="26"/>
        <v>3300331.7862454918</v>
      </c>
      <c r="BG12" s="125">
        <f t="shared" si="26"/>
        <v>3300331.7862454918</v>
      </c>
      <c r="BH12" s="125">
        <f t="shared" si="26"/>
        <v>3300331.7862454918</v>
      </c>
      <c r="BI12" s="125">
        <f t="shared" si="26"/>
        <v>3300331.7862454918</v>
      </c>
      <c r="BJ12" s="125">
        <f t="shared" si="26"/>
        <v>3300331.7862454918</v>
      </c>
      <c r="BK12" s="125">
        <f t="shared" si="26"/>
        <v>3300331.7862454918</v>
      </c>
      <c r="BL12" s="125">
        <f t="shared" si="26"/>
        <v>3300331.7862454918</v>
      </c>
      <c r="BM12" s="125">
        <f t="shared" si="26"/>
        <v>3300331.7862454918</v>
      </c>
      <c r="BN12" s="125">
        <f t="shared" si="26"/>
        <v>3300331.7862454918</v>
      </c>
      <c r="BO12" s="125">
        <f t="shared" si="26"/>
        <v>3300331.7862454918</v>
      </c>
      <c r="BP12" s="125">
        <f t="shared" si="26"/>
        <v>3300331.7862454918</v>
      </c>
      <c r="BQ12" s="125">
        <f t="shared" si="26"/>
        <v>3300331.7862454918</v>
      </c>
      <c r="BR12" s="125">
        <f t="shared" si="26"/>
        <v>3300331.7862454918</v>
      </c>
      <c r="BS12" s="125">
        <f t="shared" si="26"/>
        <v>3300331.7862454918</v>
      </c>
      <c r="BT12" s="125">
        <f t="shared" si="26"/>
        <v>3300331.7862454918</v>
      </c>
      <c r="BU12" s="125">
        <f t="shared" ref="BU12:EF12" si="27">BT12+BU11</f>
        <v>3300331.7862454918</v>
      </c>
      <c r="BV12" s="125">
        <f t="shared" si="27"/>
        <v>3300331.7862454918</v>
      </c>
      <c r="BW12" s="125">
        <f t="shared" si="27"/>
        <v>3300331.7862454918</v>
      </c>
      <c r="BX12" s="125">
        <f t="shared" si="27"/>
        <v>3300331.7862454918</v>
      </c>
      <c r="BY12" s="125">
        <f t="shared" si="27"/>
        <v>3300331.7862454918</v>
      </c>
      <c r="BZ12" s="125">
        <f t="shared" si="27"/>
        <v>3300331.7862454918</v>
      </c>
      <c r="CA12" s="125">
        <f t="shared" si="27"/>
        <v>3300331.7862454918</v>
      </c>
      <c r="CB12" s="125">
        <f t="shared" si="27"/>
        <v>3300331.7862454918</v>
      </c>
      <c r="CC12" s="125">
        <f t="shared" si="27"/>
        <v>3300331.7862454918</v>
      </c>
      <c r="CD12" s="125">
        <f t="shared" si="27"/>
        <v>3300331.7862454918</v>
      </c>
      <c r="CE12" s="125">
        <f t="shared" si="27"/>
        <v>3300331.7862454918</v>
      </c>
      <c r="CF12" s="125">
        <f t="shared" si="27"/>
        <v>3300331.7862454918</v>
      </c>
      <c r="CG12" s="125">
        <f t="shared" si="27"/>
        <v>3300331.7862454918</v>
      </c>
      <c r="CH12" s="125">
        <f t="shared" si="27"/>
        <v>3300331.7862454918</v>
      </c>
      <c r="CI12" s="125">
        <f t="shared" si="27"/>
        <v>3300331.7862454918</v>
      </c>
      <c r="CJ12" s="125">
        <f t="shared" si="27"/>
        <v>3300331.7862454918</v>
      </c>
      <c r="CK12" s="125">
        <f t="shared" si="27"/>
        <v>3300331.7862454918</v>
      </c>
      <c r="CL12" s="125">
        <f t="shared" si="27"/>
        <v>3300331.7862454918</v>
      </c>
      <c r="CM12" s="125">
        <f t="shared" si="27"/>
        <v>3300331.7862454918</v>
      </c>
      <c r="CN12" s="125">
        <f t="shared" si="27"/>
        <v>3300331.7862454918</v>
      </c>
      <c r="CO12" s="125">
        <f t="shared" si="27"/>
        <v>3300331.7862454918</v>
      </c>
      <c r="CP12" s="125">
        <f t="shared" si="27"/>
        <v>3300331.7862454918</v>
      </c>
      <c r="CQ12" s="125">
        <f t="shared" si="27"/>
        <v>3300331.7862454918</v>
      </c>
      <c r="CR12" s="125">
        <f t="shared" si="27"/>
        <v>3300331.7862454918</v>
      </c>
      <c r="CS12" s="125">
        <f t="shared" si="27"/>
        <v>3300331.7862454918</v>
      </c>
      <c r="CT12" s="125">
        <f t="shared" si="27"/>
        <v>3300331.7862454918</v>
      </c>
      <c r="CU12" s="125">
        <f t="shared" si="27"/>
        <v>3300331.7862454918</v>
      </c>
      <c r="CV12" s="125">
        <f t="shared" si="27"/>
        <v>3300331.7862454918</v>
      </c>
      <c r="CW12" s="125">
        <f t="shared" si="27"/>
        <v>3300331.7862454918</v>
      </c>
      <c r="CX12" s="125">
        <f t="shared" si="27"/>
        <v>3300331.7862454918</v>
      </c>
      <c r="CY12" s="125">
        <f t="shared" si="27"/>
        <v>3300331.7862454918</v>
      </c>
      <c r="CZ12" s="125">
        <f t="shared" si="27"/>
        <v>3300331.7862454918</v>
      </c>
      <c r="DA12" s="125">
        <f t="shared" si="27"/>
        <v>3300331.7862454918</v>
      </c>
      <c r="DB12" s="125">
        <f t="shared" si="27"/>
        <v>3300331.7862454918</v>
      </c>
      <c r="DC12" s="125">
        <f t="shared" si="27"/>
        <v>3300331.7862454918</v>
      </c>
      <c r="DD12" s="125">
        <f t="shared" si="27"/>
        <v>3300331.7862454918</v>
      </c>
      <c r="DE12" s="125">
        <f t="shared" si="27"/>
        <v>3300331.7862454918</v>
      </c>
      <c r="DF12" s="125">
        <f t="shared" si="27"/>
        <v>3300331.7862454918</v>
      </c>
      <c r="DG12" s="125">
        <f t="shared" si="27"/>
        <v>3300331.7862454918</v>
      </c>
      <c r="DH12" s="125">
        <f t="shared" si="27"/>
        <v>3300331.7862454918</v>
      </c>
      <c r="DI12" s="125">
        <f t="shared" si="27"/>
        <v>3300331.7862454918</v>
      </c>
      <c r="DJ12" s="125">
        <f t="shared" si="27"/>
        <v>3300331.7862454918</v>
      </c>
      <c r="DK12" s="125">
        <f t="shared" si="27"/>
        <v>3300331.7862454918</v>
      </c>
      <c r="DL12" s="125">
        <f t="shared" si="27"/>
        <v>3300331.7862454918</v>
      </c>
      <c r="DM12" s="125">
        <f t="shared" si="27"/>
        <v>3300331.7862454918</v>
      </c>
      <c r="DN12" s="125">
        <f t="shared" si="27"/>
        <v>3300331.7862454918</v>
      </c>
      <c r="DO12" s="125">
        <f t="shared" si="27"/>
        <v>3300331.7862454918</v>
      </c>
      <c r="DP12" s="125">
        <f t="shared" si="27"/>
        <v>3300331.7862454918</v>
      </c>
      <c r="DQ12" s="125">
        <f t="shared" si="27"/>
        <v>3300331.7862454918</v>
      </c>
      <c r="DR12" s="125">
        <f t="shared" si="27"/>
        <v>3300331.7862454918</v>
      </c>
      <c r="DS12" s="125">
        <f t="shared" si="27"/>
        <v>3300331.7862454918</v>
      </c>
      <c r="DT12" s="125">
        <f t="shared" si="27"/>
        <v>3300331.7862454918</v>
      </c>
      <c r="DU12" s="125">
        <f t="shared" si="27"/>
        <v>3300331.7862454918</v>
      </c>
      <c r="DV12" s="125">
        <f t="shared" si="27"/>
        <v>3300331.7862454918</v>
      </c>
      <c r="DW12" s="125">
        <f t="shared" si="27"/>
        <v>3300331.7862454918</v>
      </c>
      <c r="DX12" s="125">
        <f t="shared" si="27"/>
        <v>3300331.7862454918</v>
      </c>
      <c r="DY12" s="125">
        <f t="shared" si="27"/>
        <v>3300331.7862454918</v>
      </c>
      <c r="DZ12" s="125">
        <f t="shared" si="27"/>
        <v>3300331.7862454918</v>
      </c>
      <c r="EA12" s="125">
        <f t="shared" si="27"/>
        <v>3300331.7862454918</v>
      </c>
      <c r="EB12" s="125">
        <f t="shared" si="27"/>
        <v>3300331.7862454918</v>
      </c>
      <c r="EC12" s="125">
        <f t="shared" si="27"/>
        <v>3300331.7862454918</v>
      </c>
      <c r="ED12" s="125">
        <f t="shared" si="27"/>
        <v>3300331.7862454918</v>
      </c>
      <c r="EE12" s="125">
        <f t="shared" si="27"/>
        <v>3300331.7862454918</v>
      </c>
      <c r="EF12" s="125">
        <f t="shared" si="27"/>
        <v>3300331.7862454918</v>
      </c>
      <c r="EG12" s="125">
        <f t="shared" ref="EG12:GR12" si="28">EF12+EG11</f>
        <v>3300331.7862454918</v>
      </c>
      <c r="EH12" s="125">
        <f t="shared" si="28"/>
        <v>3300331.7862454918</v>
      </c>
      <c r="EI12" s="125">
        <f t="shared" si="28"/>
        <v>3300331.7862454918</v>
      </c>
      <c r="EJ12" s="125">
        <f t="shared" si="28"/>
        <v>3300331.7862454918</v>
      </c>
      <c r="EK12" s="125">
        <f t="shared" si="28"/>
        <v>3300331.7862454918</v>
      </c>
      <c r="EL12" s="125">
        <f t="shared" si="28"/>
        <v>3300331.7862454918</v>
      </c>
      <c r="EM12" s="125">
        <f t="shared" si="28"/>
        <v>3300331.7862454918</v>
      </c>
      <c r="EN12" s="125">
        <f t="shared" si="28"/>
        <v>3300331.7862454918</v>
      </c>
      <c r="EO12" s="125">
        <f t="shared" si="28"/>
        <v>3300331.7862454918</v>
      </c>
      <c r="EP12" s="125">
        <f t="shared" si="28"/>
        <v>3300331.7862454918</v>
      </c>
      <c r="EQ12" s="125">
        <f t="shared" si="28"/>
        <v>3300331.7862454918</v>
      </c>
      <c r="ER12" s="125">
        <f t="shared" si="28"/>
        <v>3300331.7862454918</v>
      </c>
      <c r="ES12" s="125">
        <f t="shared" si="28"/>
        <v>3300331.7862454918</v>
      </c>
      <c r="ET12" s="125">
        <f t="shared" si="28"/>
        <v>3300331.7862454918</v>
      </c>
      <c r="EU12" s="125">
        <f t="shared" si="28"/>
        <v>3300331.7862454918</v>
      </c>
      <c r="EV12" s="125">
        <f t="shared" si="28"/>
        <v>3300331.7862454918</v>
      </c>
      <c r="EW12" s="125">
        <f t="shared" si="28"/>
        <v>3300331.7862454918</v>
      </c>
      <c r="EX12" s="125">
        <f t="shared" si="28"/>
        <v>3300331.7862454918</v>
      </c>
      <c r="EY12" s="125">
        <f t="shared" si="28"/>
        <v>3300331.7862454918</v>
      </c>
      <c r="EZ12" s="125">
        <f t="shared" si="28"/>
        <v>3300331.7862454918</v>
      </c>
      <c r="FA12" s="125">
        <f t="shared" si="28"/>
        <v>3300331.7862454918</v>
      </c>
      <c r="FB12" s="125">
        <f t="shared" si="28"/>
        <v>3300331.7862454918</v>
      </c>
      <c r="FC12" s="125">
        <f t="shared" si="28"/>
        <v>3300331.7862454918</v>
      </c>
      <c r="FD12" s="125">
        <f t="shared" si="28"/>
        <v>3300331.7862454918</v>
      </c>
      <c r="FE12" s="125">
        <f t="shared" si="28"/>
        <v>3300331.7862454918</v>
      </c>
      <c r="FF12" s="125">
        <f t="shared" si="28"/>
        <v>3300331.7862454918</v>
      </c>
      <c r="FG12" s="125">
        <f t="shared" si="28"/>
        <v>3300331.7862454918</v>
      </c>
      <c r="FH12" s="125">
        <f t="shared" si="28"/>
        <v>3300331.7862454918</v>
      </c>
      <c r="FI12" s="125">
        <f t="shared" si="28"/>
        <v>3300331.7862454918</v>
      </c>
      <c r="FJ12" s="125">
        <f t="shared" si="28"/>
        <v>3300331.7862454918</v>
      </c>
      <c r="FK12" s="125">
        <f t="shared" si="28"/>
        <v>3300331.7862454918</v>
      </c>
      <c r="FL12" s="125">
        <f t="shared" si="28"/>
        <v>3300331.7862454918</v>
      </c>
      <c r="FM12" s="125">
        <f t="shared" si="28"/>
        <v>3300331.7862454918</v>
      </c>
      <c r="FN12" s="125">
        <f t="shared" si="28"/>
        <v>3300331.7862454918</v>
      </c>
      <c r="FO12" s="125">
        <f t="shared" si="28"/>
        <v>3300331.7862454918</v>
      </c>
      <c r="FP12" s="125">
        <f t="shared" si="28"/>
        <v>3300331.7862454918</v>
      </c>
      <c r="FQ12" s="125">
        <f t="shared" si="28"/>
        <v>3300331.7862454918</v>
      </c>
      <c r="FR12" s="125">
        <f t="shared" si="28"/>
        <v>3300331.7862454918</v>
      </c>
      <c r="FS12" s="125">
        <f t="shared" si="28"/>
        <v>3300331.7862454918</v>
      </c>
      <c r="FT12" s="125">
        <f t="shared" si="28"/>
        <v>3300331.7862454918</v>
      </c>
      <c r="FU12" s="125">
        <f t="shared" si="28"/>
        <v>3300331.7862454918</v>
      </c>
      <c r="FV12" s="125">
        <f t="shared" si="28"/>
        <v>3300331.7862454918</v>
      </c>
      <c r="FW12" s="125">
        <f t="shared" si="28"/>
        <v>3300331.7862454918</v>
      </c>
      <c r="FX12" s="125">
        <f t="shared" si="28"/>
        <v>3300331.7862454918</v>
      </c>
      <c r="FY12" s="125">
        <f t="shared" si="28"/>
        <v>3300331.7862454918</v>
      </c>
      <c r="FZ12" s="125">
        <f t="shared" si="28"/>
        <v>3300331.7862454918</v>
      </c>
      <c r="GA12" s="125">
        <f t="shared" si="28"/>
        <v>3300331.7862454918</v>
      </c>
      <c r="GB12" s="125">
        <f t="shared" si="28"/>
        <v>3300331.7862454918</v>
      </c>
      <c r="GC12" s="125">
        <f t="shared" si="28"/>
        <v>3300331.7862454918</v>
      </c>
      <c r="GD12" s="125">
        <f t="shared" si="28"/>
        <v>3300331.7862454918</v>
      </c>
      <c r="GE12" s="125">
        <f t="shared" si="28"/>
        <v>3300331.7862454918</v>
      </c>
      <c r="GF12" s="125">
        <f t="shared" si="28"/>
        <v>3300331.7862454918</v>
      </c>
      <c r="GG12" s="125">
        <f t="shared" si="28"/>
        <v>3300331.7862454918</v>
      </c>
      <c r="GH12" s="125">
        <f t="shared" si="28"/>
        <v>3300331.7862454918</v>
      </c>
      <c r="GI12" s="125">
        <f t="shared" si="28"/>
        <v>3300331.7862454918</v>
      </c>
      <c r="GJ12" s="125">
        <f t="shared" si="28"/>
        <v>3300331.7862454918</v>
      </c>
      <c r="GK12" s="125">
        <f t="shared" si="28"/>
        <v>3300331.7862454918</v>
      </c>
      <c r="GL12" s="125">
        <f t="shared" si="28"/>
        <v>3300331.7862454918</v>
      </c>
      <c r="GM12" s="125">
        <f t="shared" si="28"/>
        <v>3300331.7862454918</v>
      </c>
      <c r="GN12" s="125">
        <f t="shared" si="28"/>
        <v>3300331.7862454918</v>
      </c>
      <c r="GO12" s="125">
        <f t="shared" si="28"/>
        <v>3300331.7862454918</v>
      </c>
      <c r="GP12" s="125">
        <f t="shared" si="28"/>
        <v>3300331.7862454918</v>
      </c>
      <c r="GQ12" s="125">
        <f t="shared" si="28"/>
        <v>3300331.7862454918</v>
      </c>
      <c r="GR12" s="125">
        <f t="shared" si="28"/>
        <v>3300331.7862454918</v>
      </c>
      <c r="GS12" s="125">
        <f t="shared" ref="GS12:JD12" si="29">GR12+GS11</f>
        <v>3300331.7862454918</v>
      </c>
      <c r="GT12" s="125">
        <f t="shared" si="29"/>
        <v>3300331.7862454918</v>
      </c>
      <c r="GU12" s="125">
        <f t="shared" si="29"/>
        <v>3300331.7862454918</v>
      </c>
      <c r="GV12" s="125">
        <f t="shared" si="29"/>
        <v>3300331.7862454918</v>
      </c>
      <c r="GW12" s="125">
        <f t="shared" si="29"/>
        <v>3300331.7862454918</v>
      </c>
      <c r="GX12" s="125">
        <f t="shared" si="29"/>
        <v>3300331.7862454918</v>
      </c>
      <c r="GY12" s="125">
        <f t="shared" si="29"/>
        <v>3300331.7862454918</v>
      </c>
      <c r="GZ12" s="125">
        <f t="shared" si="29"/>
        <v>3300331.7862454918</v>
      </c>
      <c r="HA12" s="125">
        <f t="shared" si="29"/>
        <v>3300331.7862454918</v>
      </c>
      <c r="HB12" s="125">
        <f t="shared" si="29"/>
        <v>3300331.7862454918</v>
      </c>
      <c r="HC12" s="125">
        <f t="shared" si="29"/>
        <v>3300331.7862454918</v>
      </c>
      <c r="HD12" s="125">
        <f t="shared" si="29"/>
        <v>3300331.7862454918</v>
      </c>
      <c r="HE12" s="125">
        <f t="shared" si="29"/>
        <v>3300331.7862454918</v>
      </c>
      <c r="HF12" s="125">
        <f t="shared" si="29"/>
        <v>3300331.7862454918</v>
      </c>
      <c r="HG12" s="125">
        <f t="shared" si="29"/>
        <v>3300331.7862454918</v>
      </c>
      <c r="HH12" s="125">
        <f t="shared" si="29"/>
        <v>3300331.7862454918</v>
      </c>
      <c r="HI12" s="125">
        <f t="shared" si="29"/>
        <v>3300331.7862454918</v>
      </c>
      <c r="HJ12" s="125">
        <f t="shared" si="29"/>
        <v>3300331.7862454918</v>
      </c>
      <c r="HK12" s="125">
        <f t="shared" si="29"/>
        <v>3300331.7862454918</v>
      </c>
      <c r="HL12" s="125">
        <f t="shared" si="29"/>
        <v>3300331.7862454918</v>
      </c>
      <c r="HM12" s="125">
        <f t="shared" si="29"/>
        <v>3300331.7862454918</v>
      </c>
      <c r="HN12" s="125">
        <f t="shared" si="29"/>
        <v>3300331.7862454918</v>
      </c>
      <c r="HO12" s="125">
        <f t="shared" si="29"/>
        <v>3300331.7862454918</v>
      </c>
      <c r="HP12" s="125">
        <f t="shared" si="29"/>
        <v>3300331.7862454918</v>
      </c>
      <c r="HQ12" s="125">
        <f t="shared" si="29"/>
        <v>3300331.7862454918</v>
      </c>
      <c r="HR12" s="125">
        <f t="shared" si="29"/>
        <v>3300331.7862454918</v>
      </c>
      <c r="HS12" s="125">
        <f t="shared" si="29"/>
        <v>3300331.7862454918</v>
      </c>
      <c r="HT12" s="125">
        <f t="shared" si="29"/>
        <v>3300331.7862454918</v>
      </c>
      <c r="HU12" s="125">
        <f t="shared" si="29"/>
        <v>3300331.7862454918</v>
      </c>
      <c r="HV12" s="125">
        <f t="shared" si="29"/>
        <v>3300331.7862454918</v>
      </c>
      <c r="HW12" s="125">
        <f t="shared" si="29"/>
        <v>3300331.7862454918</v>
      </c>
      <c r="HX12" s="125">
        <f t="shared" si="29"/>
        <v>3300331.7862454918</v>
      </c>
      <c r="HY12" s="125">
        <f t="shared" si="29"/>
        <v>3300331.7862454918</v>
      </c>
      <c r="HZ12" s="125">
        <f t="shared" si="29"/>
        <v>3300331.7862454918</v>
      </c>
      <c r="IA12" s="125">
        <f t="shared" si="29"/>
        <v>3300331.7862454918</v>
      </c>
      <c r="IB12" s="125">
        <f t="shared" si="29"/>
        <v>3300331.7862454918</v>
      </c>
      <c r="IC12" s="125">
        <f t="shared" si="29"/>
        <v>3300331.7862454918</v>
      </c>
      <c r="ID12" s="125">
        <f t="shared" si="29"/>
        <v>3300331.7862454918</v>
      </c>
      <c r="IE12" s="125">
        <f t="shared" si="29"/>
        <v>3300331.7862454918</v>
      </c>
      <c r="IF12" s="125">
        <f t="shared" si="29"/>
        <v>3300331.7862454918</v>
      </c>
      <c r="IG12" s="125">
        <f t="shared" si="29"/>
        <v>3300331.7862454918</v>
      </c>
      <c r="IH12" s="125">
        <f t="shared" si="29"/>
        <v>3300331.7862454918</v>
      </c>
      <c r="II12" s="125">
        <f t="shared" si="29"/>
        <v>3300331.7862454918</v>
      </c>
      <c r="IJ12" s="125">
        <f t="shared" si="29"/>
        <v>3300331.7862454918</v>
      </c>
      <c r="IK12" s="125">
        <f t="shared" si="29"/>
        <v>3300331.7862454918</v>
      </c>
      <c r="IL12" s="125">
        <f t="shared" si="29"/>
        <v>3300331.7862454918</v>
      </c>
      <c r="IM12" s="125">
        <f t="shared" si="29"/>
        <v>3300331.7862454918</v>
      </c>
      <c r="IN12" s="125">
        <f t="shared" si="29"/>
        <v>3300331.7862454918</v>
      </c>
      <c r="IO12" s="125">
        <f t="shared" si="29"/>
        <v>3300331.7862454918</v>
      </c>
      <c r="IP12" s="125">
        <f t="shared" si="29"/>
        <v>3300331.7862454918</v>
      </c>
      <c r="IQ12" s="125">
        <f t="shared" si="29"/>
        <v>3300331.7862454918</v>
      </c>
      <c r="IR12" s="125">
        <f t="shared" si="29"/>
        <v>3300331.7862454918</v>
      </c>
      <c r="IS12" s="125">
        <f t="shared" si="29"/>
        <v>3300331.7862454918</v>
      </c>
      <c r="IT12" s="125">
        <f t="shared" si="29"/>
        <v>3300331.7862454918</v>
      </c>
      <c r="IU12" s="125">
        <f t="shared" si="29"/>
        <v>3300331.7862454918</v>
      </c>
      <c r="IV12" s="125">
        <f t="shared" si="29"/>
        <v>3300331.7862454918</v>
      </c>
      <c r="IW12" s="125">
        <f t="shared" si="29"/>
        <v>3300331.7862454918</v>
      </c>
      <c r="IX12" s="125">
        <f t="shared" si="29"/>
        <v>3300331.7862454918</v>
      </c>
      <c r="IY12" s="125">
        <f t="shared" si="29"/>
        <v>3300331.7862454918</v>
      </c>
      <c r="IZ12" s="125">
        <f t="shared" si="29"/>
        <v>3300331.7862454918</v>
      </c>
      <c r="JA12" s="125">
        <f t="shared" si="29"/>
        <v>3300331.7862454918</v>
      </c>
      <c r="JB12" s="125">
        <f t="shared" si="29"/>
        <v>3300331.7862454918</v>
      </c>
      <c r="JC12" s="125">
        <f t="shared" si="29"/>
        <v>3300331.7862454918</v>
      </c>
      <c r="JD12" s="125">
        <f t="shared" si="29"/>
        <v>3300331.7862454918</v>
      </c>
      <c r="JE12" s="125">
        <f t="shared" ref="JE12:KF12" si="30">JD12+JE11</f>
        <v>3300331.7862454918</v>
      </c>
      <c r="JF12" s="125">
        <f t="shared" si="30"/>
        <v>3300331.7862454918</v>
      </c>
      <c r="JG12" s="125">
        <f t="shared" si="30"/>
        <v>3300331.7862454918</v>
      </c>
      <c r="JH12" s="125">
        <f t="shared" si="30"/>
        <v>3300331.7862454918</v>
      </c>
      <c r="JI12" s="125">
        <f t="shared" si="30"/>
        <v>3300331.7862454918</v>
      </c>
      <c r="JJ12" s="125">
        <f t="shared" si="30"/>
        <v>3300331.7862454918</v>
      </c>
      <c r="JK12" s="125">
        <f t="shared" si="30"/>
        <v>3300331.7862454918</v>
      </c>
      <c r="JL12" s="125">
        <f t="shared" si="30"/>
        <v>3300331.7862454918</v>
      </c>
      <c r="JM12" s="125">
        <f t="shared" si="30"/>
        <v>3300331.7862454918</v>
      </c>
      <c r="JN12" s="125">
        <f t="shared" si="30"/>
        <v>3300331.7862454918</v>
      </c>
      <c r="JO12" s="125">
        <f t="shared" si="30"/>
        <v>3300331.7862454918</v>
      </c>
      <c r="JP12" s="125">
        <f t="shared" si="30"/>
        <v>3300331.7862454918</v>
      </c>
      <c r="JQ12" s="125">
        <f t="shared" si="30"/>
        <v>3300331.7862454918</v>
      </c>
      <c r="JR12" s="125">
        <f t="shared" si="30"/>
        <v>3300331.7862454918</v>
      </c>
      <c r="JS12" s="125">
        <f t="shared" si="30"/>
        <v>3300331.7862454918</v>
      </c>
      <c r="JT12" s="125">
        <f t="shared" si="30"/>
        <v>3300331.7862454918</v>
      </c>
      <c r="JU12" s="125">
        <f t="shared" si="30"/>
        <v>3300331.7862454918</v>
      </c>
      <c r="JV12" s="125">
        <f t="shared" si="30"/>
        <v>3300331.7862454918</v>
      </c>
      <c r="JW12" s="125">
        <f t="shared" si="30"/>
        <v>3300331.7862454918</v>
      </c>
      <c r="JX12" s="125">
        <f t="shared" si="30"/>
        <v>3300331.7862454918</v>
      </c>
      <c r="JY12" s="125">
        <f t="shared" si="30"/>
        <v>3300331.7862454918</v>
      </c>
      <c r="JZ12" s="125">
        <f t="shared" si="30"/>
        <v>3300331.7862454918</v>
      </c>
      <c r="KA12" s="125">
        <f t="shared" si="30"/>
        <v>3300331.7862454918</v>
      </c>
      <c r="KB12" s="125">
        <f t="shared" si="30"/>
        <v>3300331.7862454918</v>
      </c>
      <c r="KC12" s="125">
        <f t="shared" si="30"/>
        <v>3300331.7862454918</v>
      </c>
      <c r="KD12" s="125">
        <f t="shared" si="30"/>
        <v>3300331.7862454918</v>
      </c>
      <c r="KE12" s="125">
        <f t="shared" si="30"/>
        <v>3300331.7862454918</v>
      </c>
      <c r="KF12" s="125">
        <f t="shared" si="30"/>
        <v>3300331.7862454918</v>
      </c>
      <c r="KG12" s="102"/>
      <c r="KH12" s="113"/>
    </row>
    <row r="13" spans="1:770" s="102" customFormat="1">
      <c r="A13" s="72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5"/>
      <c r="B14" s="115" t="s">
        <v>365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1599842.7428508946</v>
      </c>
      <c r="M14" s="118">
        <f t="shared" si="32"/>
        <v>1598442.7428508946</v>
      </c>
      <c r="N14" s="118">
        <f t="shared" si="32"/>
        <v>1598442.7428508946</v>
      </c>
      <c r="O14" s="118">
        <f t="shared" si="32"/>
        <v>1537442.7428508946</v>
      </c>
      <c r="P14" s="118">
        <f t="shared" si="32"/>
        <v>2202951.7016434916</v>
      </c>
      <c r="Q14" s="118">
        <f t="shared" si="32"/>
        <v>2618397.644498487</v>
      </c>
      <c r="R14" s="118">
        <f t="shared" si="32"/>
        <v>2616997.644498487</v>
      </c>
      <c r="S14" s="118">
        <f t="shared" si="32"/>
        <v>2616997.644498487</v>
      </c>
      <c r="T14" s="118">
        <f t="shared" si="32"/>
        <v>2458585.2318656365</v>
      </c>
      <c r="U14" s="118">
        <f t="shared" si="32"/>
        <v>2629688.4946102505</v>
      </c>
      <c r="V14" s="118">
        <f t="shared" si="32"/>
        <v>2731278.6660384317</v>
      </c>
      <c r="W14" s="118">
        <f t="shared" si="32"/>
        <v>2731278.6660384317</v>
      </c>
      <c r="X14" s="118">
        <f t="shared" si="32"/>
        <v>1585866.2534055812</v>
      </c>
      <c r="Y14" s="118">
        <f t="shared" si="32"/>
        <v>1882259.267690124</v>
      </c>
      <c r="Z14" s="118">
        <f t="shared" si="32"/>
        <v>1880859.267690124</v>
      </c>
      <c r="AA14" s="118">
        <f t="shared" si="32"/>
        <v>1849176.7851635539</v>
      </c>
      <c r="AB14" s="118">
        <f t="shared" si="32"/>
        <v>1849176.7851635539</v>
      </c>
      <c r="AC14" s="118">
        <f t="shared" si="32"/>
        <v>1849176.7851635539</v>
      </c>
      <c r="AD14" s="118">
        <f t="shared" si="32"/>
        <v>1849176.7851635539</v>
      </c>
      <c r="AE14" s="118">
        <f t="shared" si="32"/>
        <v>1849176.7851635539</v>
      </c>
      <c r="AF14" s="118">
        <f t="shared" si="32"/>
        <v>1849176.7851635539</v>
      </c>
      <c r="AG14" s="118">
        <f t="shared" si="32"/>
        <v>1849176.7851635539</v>
      </c>
      <c r="AH14" s="118">
        <f t="shared" si="32"/>
        <v>1849176.7851635539</v>
      </c>
      <c r="AI14" s="118">
        <f t="shared" si="32"/>
        <v>1849176.7851635539</v>
      </c>
      <c r="AJ14" s="118">
        <f t="shared" si="32"/>
        <v>1849176.7851635539</v>
      </c>
      <c r="AK14" s="118">
        <f t="shared" si="32"/>
        <v>1849176.7851635539</v>
      </c>
      <c r="AL14" s="118">
        <f t="shared" si="32"/>
        <v>1849176.7851635539</v>
      </c>
      <c r="AM14" s="118">
        <f t="shared" si="32"/>
        <v>1849176.7851635539</v>
      </c>
      <c r="AN14" s="118">
        <f t="shared" si="32"/>
        <v>1849176.7851635539</v>
      </c>
      <c r="AO14" s="118">
        <f t="shared" si="32"/>
        <v>1849176.7851635539</v>
      </c>
      <c r="AP14" s="118">
        <f t="shared" si="32"/>
        <v>1849176.7851635539</v>
      </c>
      <c r="AQ14" s="118">
        <f t="shared" si="32"/>
        <v>1849176.7851635539</v>
      </c>
      <c r="AR14" s="118">
        <f t="shared" si="32"/>
        <v>1849176.7851635539</v>
      </c>
      <c r="AS14" s="118">
        <f t="shared" si="32"/>
        <v>1849176.7851635539</v>
      </c>
      <c r="AT14" s="118">
        <f t="shared" si="32"/>
        <v>1849176.7851635539</v>
      </c>
      <c r="AU14" s="118">
        <f t="shared" si="32"/>
        <v>1849176.7851635539</v>
      </c>
      <c r="AV14" s="118">
        <f t="shared" si="32"/>
        <v>1849176.7851635539</v>
      </c>
      <c r="AW14" s="118">
        <f t="shared" si="32"/>
        <v>1849176.7851635539</v>
      </c>
      <c r="AX14" s="118">
        <f t="shared" si="32"/>
        <v>1849176.7851635539</v>
      </c>
      <c r="AY14" s="118">
        <f t="shared" si="32"/>
        <v>1849176.7851635539</v>
      </c>
      <c r="AZ14" s="118">
        <f t="shared" si="32"/>
        <v>1849176.7851635539</v>
      </c>
      <c r="BA14" s="118">
        <f t="shared" si="32"/>
        <v>1849176.7851635539</v>
      </c>
      <c r="BB14" s="118">
        <f t="shared" si="32"/>
        <v>1849176.7851635539</v>
      </c>
      <c r="BC14" s="118">
        <f t="shared" si="32"/>
        <v>1849176.7851635539</v>
      </c>
      <c r="BD14" s="118">
        <f t="shared" si="32"/>
        <v>1849176.7851635539</v>
      </c>
      <c r="BE14" s="118">
        <f t="shared" si="32"/>
        <v>1849176.7851635539</v>
      </c>
      <c r="BF14" s="118">
        <f t="shared" si="32"/>
        <v>1849176.7851635539</v>
      </c>
      <c r="BG14" s="118">
        <f t="shared" si="32"/>
        <v>1849176.7851635539</v>
      </c>
      <c r="BH14" s="118">
        <f t="shared" si="32"/>
        <v>1849176.7851635539</v>
      </c>
      <c r="BI14" s="118">
        <f t="shared" si="32"/>
        <v>1849176.7851635539</v>
      </c>
      <c r="BJ14" s="118">
        <f t="shared" si="32"/>
        <v>1849176.7851635539</v>
      </c>
      <c r="BK14" s="118">
        <f t="shared" si="32"/>
        <v>1849176.7851635539</v>
      </c>
      <c r="BL14" s="118">
        <f t="shared" si="32"/>
        <v>1849176.7851635539</v>
      </c>
      <c r="BM14" s="118">
        <f t="shared" si="32"/>
        <v>1849176.7851635539</v>
      </c>
      <c r="BN14" s="118">
        <f t="shared" si="32"/>
        <v>1849176.7851635539</v>
      </c>
      <c r="BO14" s="118">
        <f t="shared" si="32"/>
        <v>1849176.7851635539</v>
      </c>
      <c r="BP14" s="118">
        <f t="shared" si="32"/>
        <v>1849176.7851635539</v>
      </c>
      <c r="BQ14" s="118">
        <f t="shared" si="32"/>
        <v>1849176.7851635539</v>
      </c>
      <c r="BR14" s="118">
        <f t="shared" si="32"/>
        <v>1849176.7851635539</v>
      </c>
      <c r="BS14" s="118">
        <f t="shared" si="32"/>
        <v>1849176.7851635539</v>
      </c>
      <c r="BT14" s="118">
        <f t="shared" si="32"/>
        <v>1849176.7851635539</v>
      </c>
      <c r="BU14" s="118">
        <f t="shared" ref="BU14:EF14" si="33">BU10-BU12</f>
        <v>1849176.7851635539</v>
      </c>
      <c r="BV14" s="118">
        <f t="shared" si="33"/>
        <v>1849176.7851635539</v>
      </c>
      <c r="BW14" s="118">
        <f t="shared" si="33"/>
        <v>1849176.7851635539</v>
      </c>
      <c r="BX14" s="118">
        <f t="shared" si="33"/>
        <v>1849176.7851635539</v>
      </c>
      <c r="BY14" s="118">
        <f t="shared" si="33"/>
        <v>1849176.7851635539</v>
      </c>
      <c r="BZ14" s="118">
        <f t="shared" si="33"/>
        <v>1849176.7851635539</v>
      </c>
      <c r="CA14" s="118">
        <f t="shared" si="33"/>
        <v>1849176.7851635539</v>
      </c>
      <c r="CB14" s="118">
        <f t="shared" si="33"/>
        <v>1849176.7851635539</v>
      </c>
      <c r="CC14" s="118">
        <f t="shared" si="33"/>
        <v>1849176.7851635539</v>
      </c>
      <c r="CD14" s="118">
        <f t="shared" si="33"/>
        <v>1849176.7851635539</v>
      </c>
      <c r="CE14" s="118">
        <f t="shared" si="33"/>
        <v>1849176.7851635539</v>
      </c>
      <c r="CF14" s="118">
        <f t="shared" si="33"/>
        <v>1849176.7851635539</v>
      </c>
      <c r="CG14" s="118">
        <f t="shared" si="33"/>
        <v>1849176.7851635539</v>
      </c>
      <c r="CH14" s="118">
        <f t="shared" si="33"/>
        <v>1849176.7851635539</v>
      </c>
      <c r="CI14" s="118">
        <f t="shared" si="33"/>
        <v>1849176.7851635539</v>
      </c>
      <c r="CJ14" s="118">
        <f t="shared" si="33"/>
        <v>1849176.7851635539</v>
      </c>
      <c r="CK14" s="118">
        <f t="shared" si="33"/>
        <v>1849176.7851635539</v>
      </c>
      <c r="CL14" s="118">
        <f t="shared" si="33"/>
        <v>1849176.7851635539</v>
      </c>
      <c r="CM14" s="118">
        <f t="shared" si="33"/>
        <v>1849176.7851635539</v>
      </c>
      <c r="CN14" s="118">
        <f t="shared" si="33"/>
        <v>1849176.7851635539</v>
      </c>
      <c r="CO14" s="118">
        <f t="shared" si="33"/>
        <v>1849176.7851635539</v>
      </c>
      <c r="CP14" s="118">
        <f t="shared" si="33"/>
        <v>1849176.7851635539</v>
      </c>
      <c r="CQ14" s="118">
        <f t="shared" si="33"/>
        <v>1849176.7851635539</v>
      </c>
      <c r="CR14" s="118">
        <f t="shared" si="33"/>
        <v>1849176.7851635539</v>
      </c>
      <c r="CS14" s="118">
        <f t="shared" si="33"/>
        <v>1849176.7851635539</v>
      </c>
      <c r="CT14" s="118">
        <f t="shared" si="33"/>
        <v>1849176.7851635539</v>
      </c>
      <c r="CU14" s="118">
        <f t="shared" si="33"/>
        <v>1849176.7851635539</v>
      </c>
      <c r="CV14" s="118">
        <f t="shared" si="33"/>
        <v>1849176.7851635539</v>
      </c>
      <c r="CW14" s="118">
        <f t="shared" si="33"/>
        <v>1849176.7851635539</v>
      </c>
      <c r="CX14" s="118">
        <f t="shared" si="33"/>
        <v>1849176.7851635539</v>
      </c>
      <c r="CY14" s="118">
        <f t="shared" si="33"/>
        <v>1849176.7851635539</v>
      </c>
      <c r="CZ14" s="118">
        <f t="shared" si="33"/>
        <v>1849176.7851635539</v>
      </c>
      <c r="DA14" s="118">
        <f t="shared" si="33"/>
        <v>1849176.7851635539</v>
      </c>
      <c r="DB14" s="118">
        <f t="shared" si="33"/>
        <v>1849176.7851635539</v>
      </c>
      <c r="DC14" s="118">
        <f t="shared" si="33"/>
        <v>1849176.7851635539</v>
      </c>
      <c r="DD14" s="118">
        <f t="shared" si="33"/>
        <v>1849176.7851635539</v>
      </c>
      <c r="DE14" s="118">
        <f t="shared" si="33"/>
        <v>1849176.7851635539</v>
      </c>
      <c r="DF14" s="118">
        <f t="shared" si="33"/>
        <v>1849176.7851635539</v>
      </c>
      <c r="DG14" s="118">
        <f t="shared" si="33"/>
        <v>1849176.7851635539</v>
      </c>
      <c r="DH14" s="118">
        <f t="shared" si="33"/>
        <v>1849176.7851635539</v>
      </c>
      <c r="DI14" s="118">
        <f t="shared" si="33"/>
        <v>1849176.7851635539</v>
      </c>
      <c r="DJ14" s="118">
        <f t="shared" si="33"/>
        <v>1849176.7851635539</v>
      </c>
      <c r="DK14" s="118">
        <f t="shared" si="33"/>
        <v>1849176.7851635539</v>
      </c>
      <c r="DL14" s="118">
        <f t="shared" si="33"/>
        <v>1849176.7851635539</v>
      </c>
      <c r="DM14" s="118">
        <f t="shared" si="33"/>
        <v>1849176.7851635539</v>
      </c>
      <c r="DN14" s="118">
        <f t="shared" si="33"/>
        <v>1849176.7851635539</v>
      </c>
      <c r="DO14" s="118">
        <f t="shared" si="33"/>
        <v>1849176.7851635539</v>
      </c>
      <c r="DP14" s="118">
        <f t="shared" si="33"/>
        <v>1849176.7851635539</v>
      </c>
      <c r="DQ14" s="118">
        <f t="shared" si="33"/>
        <v>1849176.7851635539</v>
      </c>
      <c r="DR14" s="118">
        <f t="shared" si="33"/>
        <v>1849176.7851635539</v>
      </c>
      <c r="DS14" s="118">
        <f t="shared" si="33"/>
        <v>1849176.7851635539</v>
      </c>
      <c r="DT14" s="118">
        <f t="shared" si="33"/>
        <v>1849176.7851635539</v>
      </c>
      <c r="DU14" s="118">
        <f t="shared" si="33"/>
        <v>1849176.7851635539</v>
      </c>
      <c r="DV14" s="118">
        <f t="shared" si="33"/>
        <v>1849176.7851635539</v>
      </c>
      <c r="DW14" s="118">
        <f t="shared" si="33"/>
        <v>1849176.7851635539</v>
      </c>
      <c r="DX14" s="118">
        <f t="shared" si="33"/>
        <v>1849176.7851635539</v>
      </c>
      <c r="DY14" s="118">
        <f t="shared" si="33"/>
        <v>1849176.7851635539</v>
      </c>
      <c r="DZ14" s="118">
        <f t="shared" si="33"/>
        <v>1849176.7851635539</v>
      </c>
      <c r="EA14" s="118">
        <f t="shared" si="33"/>
        <v>1849176.7851635539</v>
      </c>
      <c r="EB14" s="118">
        <f t="shared" si="33"/>
        <v>1849176.7851635539</v>
      </c>
      <c r="EC14" s="118">
        <f t="shared" si="33"/>
        <v>1849176.7851635539</v>
      </c>
      <c r="ED14" s="118">
        <f t="shared" si="33"/>
        <v>1849176.7851635539</v>
      </c>
      <c r="EE14" s="118">
        <f t="shared" si="33"/>
        <v>1849176.7851635539</v>
      </c>
      <c r="EF14" s="118">
        <f t="shared" si="33"/>
        <v>1849176.7851635539</v>
      </c>
      <c r="EG14" s="118">
        <f t="shared" ref="EG14:GR14" si="34">EG10-EG12</f>
        <v>1849176.7851635539</v>
      </c>
      <c r="EH14" s="118">
        <f t="shared" si="34"/>
        <v>1849176.7851635539</v>
      </c>
      <c r="EI14" s="118">
        <f t="shared" si="34"/>
        <v>1849176.7851635539</v>
      </c>
      <c r="EJ14" s="118">
        <f t="shared" si="34"/>
        <v>1849176.7851635539</v>
      </c>
      <c r="EK14" s="118">
        <f t="shared" si="34"/>
        <v>1849176.7851635539</v>
      </c>
      <c r="EL14" s="118">
        <f t="shared" si="34"/>
        <v>1849176.7851635539</v>
      </c>
      <c r="EM14" s="118">
        <f t="shared" si="34"/>
        <v>1849176.7851635539</v>
      </c>
      <c r="EN14" s="118">
        <f t="shared" si="34"/>
        <v>1849176.7851635539</v>
      </c>
      <c r="EO14" s="118">
        <f t="shared" si="34"/>
        <v>1849176.7851635539</v>
      </c>
      <c r="EP14" s="118">
        <f t="shared" si="34"/>
        <v>1849176.7851635539</v>
      </c>
      <c r="EQ14" s="118">
        <f t="shared" si="34"/>
        <v>1849176.7851635539</v>
      </c>
      <c r="ER14" s="118">
        <f t="shared" si="34"/>
        <v>1849176.7851635539</v>
      </c>
      <c r="ES14" s="118">
        <f t="shared" si="34"/>
        <v>1849176.7851635539</v>
      </c>
      <c r="ET14" s="118">
        <f t="shared" si="34"/>
        <v>1849176.7851635539</v>
      </c>
      <c r="EU14" s="118">
        <f t="shared" si="34"/>
        <v>1849176.7851635539</v>
      </c>
      <c r="EV14" s="118">
        <f t="shared" si="34"/>
        <v>1849176.7851635539</v>
      </c>
      <c r="EW14" s="118">
        <f t="shared" si="34"/>
        <v>1849176.7851635539</v>
      </c>
      <c r="EX14" s="118">
        <f t="shared" si="34"/>
        <v>1849176.7851635539</v>
      </c>
      <c r="EY14" s="118">
        <f t="shared" si="34"/>
        <v>1849176.7851635539</v>
      </c>
      <c r="EZ14" s="118">
        <f t="shared" si="34"/>
        <v>1849176.7851635539</v>
      </c>
      <c r="FA14" s="118">
        <f t="shared" si="34"/>
        <v>1849176.7851635539</v>
      </c>
      <c r="FB14" s="118">
        <f t="shared" si="34"/>
        <v>1849176.7851635539</v>
      </c>
      <c r="FC14" s="118">
        <f t="shared" si="34"/>
        <v>1849176.7851635539</v>
      </c>
      <c r="FD14" s="118">
        <f t="shared" si="34"/>
        <v>1849176.7851635539</v>
      </c>
      <c r="FE14" s="118">
        <f t="shared" si="34"/>
        <v>1849176.7851635539</v>
      </c>
      <c r="FF14" s="118">
        <f t="shared" si="34"/>
        <v>1849176.7851635539</v>
      </c>
      <c r="FG14" s="118">
        <f t="shared" si="34"/>
        <v>1849176.7851635539</v>
      </c>
      <c r="FH14" s="118">
        <f t="shared" si="34"/>
        <v>1849176.7851635539</v>
      </c>
      <c r="FI14" s="118">
        <f t="shared" si="34"/>
        <v>1849176.7851635539</v>
      </c>
      <c r="FJ14" s="118">
        <f t="shared" si="34"/>
        <v>1849176.7851635539</v>
      </c>
      <c r="FK14" s="118">
        <f t="shared" si="34"/>
        <v>1849176.7851635539</v>
      </c>
      <c r="FL14" s="118">
        <f t="shared" si="34"/>
        <v>1849176.7851635539</v>
      </c>
      <c r="FM14" s="118">
        <f t="shared" si="34"/>
        <v>1849176.7851635539</v>
      </c>
      <c r="FN14" s="118">
        <f t="shared" si="34"/>
        <v>1849176.7851635539</v>
      </c>
      <c r="FO14" s="118">
        <f t="shared" si="34"/>
        <v>1849176.7851635539</v>
      </c>
      <c r="FP14" s="118">
        <f t="shared" si="34"/>
        <v>1849176.7851635539</v>
      </c>
      <c r="FQ14" s="118">
        <f t="shared" si="34"/>
        <v>1849176.7851635539</v>
      </c>
      <c r="FR14" s="118">
        <f t="shared" si="34"/>
        <v>1849176.7851635539</v>
      </c>
      <c r="FS14" s="118">
        <f t="shared" si="34"/>
        <v>1849176.7851635539</v>
      </c>
      <c r="FT14" s="118">
        <f t="shared" si="34"/>
        <v>1849176.7851635539</v>
      </c>
      <c r="FU14" s="118">
        <f t="shared" si="34"/>
        <v>1849176.7851635539</v>
      </c>
      <c r="FV14" s="118">
        <f t="shared" si="34"/>
        <v>1849176.7851635539</v>
      </c>
      <c r="FW14" s="118">
        <f t="shared" si="34"/>
        <v>1849176.7851635539</v>
      </c>
      <c r="FX14" s="118">
        <f t="shared" si="34"/>
        <v>1849176.7851635539</v>
      </c>
      <c r="FY14" s="118">
        <f t="shared" si="34"/>
        <v>1849176.7851635539</v>
      </c>
      <c r="FZ14" s="118">
        <f t="shared" si="34"/>
        <v>1849176.7851635539</v>
      </c>
      <c r="GA14" s="118">
        <f t="shared" si="34"/>
        <v>1849176.7851635539</v>
      </c>
      <c r="GB14" s="118">
        <f t="shared" si="34"/>
        <v>1849176.7851635539</v>
      </c>
      <c r="GC14" s="118">
        <f t="shared" si="34"/>
        <v>1849176.7851635539</v>
      </c>
      <c r="GD14" s="118">
        <f t="shared" si="34"/>
        <v>1849176.7851635539</v>
      </c>
      <c r="GE14" s="118">
        <f t="shared" si="34"/>
        <v>1849176.7851635539</v>
      </c>
      <c r="GF14" s="118">
        <f t="shared" si="34"/>
        <v>1849176.7851635539</v>
      </c>
      <c r="GG14" s="118">
        <f t="shared" si="34"/>
        <v>1849176.7851635539</v>
      </c>
      <c r="GH14" s="118">
        <f t="shared" si="34"/>
        <v>1849176.7851635539</v>
      </c>
      <c r="GI14" s="118">
        <f t="shared" si="34"/>
        <v>1849176.7851635539</v>
      </c>
      <c r="GJ14" s="118">
        <f t="shared" si="34"/>
        <v>1849176.7851635539</v>
      </c>
      <c r="GK14" s="118">
        <f t="shared" si="34"/>
        <v>1849176.7851635539</v>
      </c>
      <c r="GL14" s="118">
        <f t="shared" si="34"/>
        <v>1849176.7851635539</v>
      </c>
      <c r="GM14" s="118">
        <f t="shared" si="34"/>
        <v>1849176.7851635539</v>
      </c>
      <c r="GN14" s="118">
        <f t="shared" si="34"/>
        <v>1849176.7851635539</v>
      </c>
      <c r="GO14" s="118">
        <f t="shared" si="34"/>
        <v>1849176.7851635539</v>
      </c>
      <c r="GP14" s="118">
        <f t="shared" si="34"/>
        <v>1849176.7851635539</v>
      </c>
      <c r="GQ14" s="118">
        <f t="shared" si="34"/>
        <v>1849176.7851635539</v>
      </c>
      <c r="GR14" s="118">
        <f t="shared" si="34"/>
        <v>1849176.7851635539</v>
      </c>
      <c r="GS14" s="118">
        <f t="shared" ref="GS14:JD14" si="35">GS10-GS12</f>
        <v>1849176.7851635539</v>
      </c>
      <c r="GT14" s="118">
        <f t="shared" si="35"/>
        <v>1849176.7851635539</v>
      </c>
      <c r="GU14" s="118">
        <f t="shared" si="35"/>
        <v>1849176.7851635539</v>
      </c>
      <c r="GV14" s="118">
        <f t="shared" si="35"/>
        <v>1849176.7851635539</v>
      </c>
      <c r="GW14" s="118">
        <f t="shared" si="35"/>
        <v>1849176.7851635539</v>
      </c>
      <c r="GX14" s="118">
        <f t="shared" si="35"/>
        <v>1849176.7851635539</v>
      </c>
      <c r="GY14" s="118">
        <f t="shared" si="35"/>
        <v>1849176.7851635539</v>
      </c>
      <c r="GZ14" s="118">
        <f t="shared" si="35"/>
        <v>1849176.7851635539</v>
      </c>
      <c r="HA14" s="118">
        <f t="shared" si="35"/>
        <v>1849176.7851635539</v>
      </c>
      <c r="HB14" s="118">
        <f t="shared" si="35"/>
        <v>1849176.7851635539</v>
      </c>
      <c r="HC14" s="118">
        <f t="shared" si="35"/>
        <v>1849176.7851635539</v>
      </c>
      <c r="HD14" s="118">
        <f t="shared" si="35"/>
        <v>1849176.7851635539</v>
      </c>
      <c r="HE14" s="118">
        <f t="shared" si="35"/>
        <v>1849176.7851635539</v>
      </c>
      <c r="HF14" s="118">
        <f t="shared" si="35"/>
        <v>1849176.7851635539</v>
      </c>
      <c r="HG14" s="118">
        <f t="shared" si="35"/>
        <v>1849176.7851635539</v>
      </c>
      <c r="HH14" s="118">
        <f t="shared" si="35"/>
        <v>1849176.7851635539</v>
      </c>
      <c r="HI14" s="118">
        <f t="shared" si="35"/>
        <v>1849176.7851635539</v>
      </c>
      <c r="HJ14" s="118">
        <f t="shared" si="35"/>
        <v>1849176.7851635539</v>
      </c>
      <c r="HK14" s="118">
        <f t="shared" si="35"/>
        <v>1849176.7851635539</v>
      </c>
      <c r="HL14" s="118">
        <f t="shared" si="35"/>
        <v>1849176.7851635539</v>
      </c>
      <c r="HM14" s="118">
        <f t="shared" si="35"/>
        <v>1849176.7851635539</v>
      </c>
      <c r="HN14" s="118">
        <f t="shared" si="35"/>
        <v>1849176.7851635539</v>
      </c>
      <c r="HO14" s="118">
        <f t="shared" si="35"/>
        <v>1849176.7851635539</v>
      </c>
      <c r="HP14" s="118">
        <f t="shared" si="35"/>
        <v>1849176.7851635539</v>
      </c>
      <c r="HQ14" s="118">
        <f t="shared" si="35"/>
        <v>1849176.7851635539</v>
      </c>
      <c r="HR14" s="118">
        <f t="shared" si="35"/>
        <v>1849176.7851635539</v>
      </c>
      <c r="HS14" s="118">
        <f t="shared" si="35"/>
        <v>1849176.7851635539</v>
      </c>
      <c r="HT14" s="118">
        <f t="shared" si="35"/>
        <v>1849176.7851635539</v>
      </c>
      <c r="HU14" s="118">
        <f t="shared" si="35"/>
        <v>1849176.7851635539</v>
      </c>
      <c r="HV14" s="118">
        <f t="shared" si="35"/>
        <v>1849176.7851635539</v>
      </c>
      <c r="HW14" s="118">
        <f t="shared" si="35"/>
        <v>1849176.7851635539</v>
      </c>
      <c r="HX14" s="118">
        <f t="shared" si="35"/>
        <v>1849176.7851635539</v>
      </c>
      <c r="HY14" s="118">
        <f t="shared" si="35"/>
        <v>1849176.7851635539</v>
      </c>
      <c r="HZ14" s="118">
        <f t="shared" si="35"/>
        <v>1849176.7851635539</v>
      </c>
      <c r="IA14" s="118">
        <f t="shared" si="35"/>
        <v>1849176.7851635539</v>
      </c>
      <c r="IB14" s="118">
        <f t="shared" si="35"/>
        <v>1849176.7851635539</v>
      </c>
      <c r="IC14" s="118">
        <f t="shared" si="35"/>
        <v>1849176.7851635539</v>
      </c>
      <c r="ID14" s="118">
        <f t="shared" si="35"/>
        <v>1849176.7851635539</v>
      </c>
      <c r="IE14" s="118">
        <f t="shared" si="35"/>
        <v>1849176.7851635539</v>
      </c>
      <c r="IF14" s="118">
        <f t="shared" si="35"/>
        <v>1849176.7851635539</v>
      </c>
      <c r="IG14" s="118">
        <f t="shared" si="35"/>
        <v>1849176.7851635539</v>
      </c>
      <c r="IH14" s="118">
        <f t="shared" si="35"/>
        <v>1849176.7851635539</v>
      </c>
      <c r="II14" s="118">
        <f t="shared" si="35"/>
        <v>1849176.7851635539</v>
      </c>
      <c r="IJ14" s="118">
        <f t="shared" si="35"/>
        <v>1849176.7851635539</v>
      </c>
      <c r="IK14" s="118">
        <f t="shared" si="35"/>
        <v>1849176.7851635539</v>
      </c>
      <c r="IL14" s="118">
        <f t="shared" si="35"/>
        <v>1849176.7851635539</v>
      </c>
      <c r="IM14" s="118">
        <f t="shared" si="35"/>
        <v>1849176.7851635539</v>
      </c>
      <c r="IN14" s="118">
        <f t="shared" si="35"/>
        <v>1849176.7851635539</v>
      </c>
      <c r="IO14" s="118">
        <f t="shared" si="35"/>
        <v>1849176.7851635539</v>
      </c>
      <c r="IP14" s="118">
        <f t="shared" si="35"/>
        <v>1849176.7851635539</v>
      </c>
      <c r="IQ14" s="118">
        <f t="shared" si="35"/>
        <v>1849176.7851635539</v>
      </c>
      <c r="IR14" s="118">
        <f t="shared" si="35"/>
        <v>1849176.7851635539</v>
      </c>
      <c r="IS14" s="118">
        <f t="shared" si="35"/>
        <v>1849176.7851635539</v>
      </c>
      <c r="IT14" s="118">
        <f t="shared" si="35"/>
        <v>1849176.7851635539</v>
      </c>
      <c r="IU14" s="118">
        <f t="shared" si="35"/>
        <v>1849176.7851635539</v>
      </c>
      <c r="IV14" s="118">
        <f t="shared" si="35"/>
        <v>1849176.7851635539</v>
      </c>
      <c r="IW14" s="118">
        <f t="shared" si="35"/>
        <v>1849176.7851635539</v>
      </c>
      <c r="IX14" s="118">
        <f t="shared" si="35"/>
        <v>1849176.7851635539</v>
      </c>
      <c r="IY14" s="118">
        <f t="shared" si="35"/>
        <v>1849176.7851635539</v>
      </c>
      <c r="IZ14" s="118">
        <f t="shared" si="35"/>
        <v>1849176.7851635539</v>
      </c>
      <c r="JA14" s="118">
        <f t="shared" si="35"/>
        <v>1849176.7851635539</v>
      </c>
      <c r="JB14" s="118">
        <f t="shared" si="35"/>
        <v>1849176.7851635539</v>
      </c>
      <c r="JC14" s="118">
        <f t="shared" si="35"/>
        <v>1849176.7851635539</v>
      </c>
      <c r="JD14" s="118">
        <f t="shared" si="35"/>
        <v>1849176.7851635539</v>
      </c>
      <c r="JE14" s="118">
        <f t="shared" ref="JE14:KF14" si="36">JE10-JE12</f>
        <v>1849176.7851635539</v>
      </c>
      <c r="JF14" s="118">
        <f t="shared" si="36"/>
        <v>1849176.7851635539</v>
      </c>
      <c r="JG14" s="118">
        <f t="shared" si="36"/>
        <v>1849176.7851635539</v>
      </c>
      <c r="JH14" s="118">
        <f t="shared" si="36"/>
        <v>1849176.7851635539</v>
      </c>
      <c r="JI14" s="118">
        <f t="shared" si="36"/>
        <v>1849176.7851635539</v>
      </c>
      <c r="JJ14" s="118">
        <f t="shared" si="36"/>
        <v>1849176.7851635539</v>
      </c>
      <c r="JK14" s="118">
        <f t="shared" si="36"/>
        <v>1849176.7851635539</v>
      </c>
      <c r="JL14" s="118">
        <f t="shared" si="36"/>
        <v>1849176.7851635539</v>
      </c>
      <c r="JM14" s="118">
        <f t="shared" si="36"/>
        <v>1849176.7851635539</v>
      </c>
      <c r="JN14" s="118">
        <f t="shared" si="36"/>
        <v>1849176.7851635539</v>
      </c>
      <c r="JO14" s="118">
        <f t="shared" si="36"/>
        <v>1849176.7851635539</v>
      </c>
      <c r="JP14" s="118">
        <f t="shared" si="36"/>
        <v>1849176.7851635539</v>
      </c>
      <c r="JQ14" s="118">
        <f t="shared" si="36"/>
        <v>1849176.7851635539</v>
      </c>
      <c r="JR14" s="118">
        <f t="shared" si="36"/>
        <v>1849176.7851635539</v>
      </c>
      <c r="JS14" s="118">
        <f t="shared" si="36"/>
        <v>1849176.7851635539</v>
      </c>
      <c r="JT14" s="118">
        <f t="shared" si="36"/>
        <v>1849176.7851635539</v>
      </c>
      <c r="JU14" s="118">
        <f t="shared" si="36"/>
        <v>1849176.7851635539</v>
      </c>
      <c r="JV14" s="118">
        <f t="shared" si="36"/>
        <v>1849176.7851635539</v>
      </c>
      <c r="JW14" s="118">
        <f t="shared" si="36"/>
        <v>1849176.7851635539</v>
      </c>
      <c r="JX14" s="118">
        <f t="shared" si="36"/>
        <v>1849176.7851635539</v>
      </c>
      <c r="JY14" s="118">
        <f t="shared" si="36"/>
        <v>1849176.7851635539</v>
      </c>
      <c r="JZ14" s="118">
        <f t="shared" si="36"/>
        <v>1849176.7851635539</v>
      </c>
      <c r="KA14" s="118">
        <f t="shared" si="36"/>
        <v>1849176.7851635539</v>
      </c>
      <c r="KB14" s="118">
        <f t="shared" si="36"/>
        <v>1849176.7851635539</v>
      </c>
      <c r="KC14" s="118">
        <f t="shared" si="36"/>
        <v>1849176.7851635539</v>
      </c>
      <c r="KD14" s="118">
        <f t="shared" si="36"/>
        <v>1849176.7851635539</v>
      </c>
      <c r="KE14" s="118">
        <f t="shared" si="36"/>
        <v>1849176.7851635539</v>
      </c>
      <c r="KF14" s="118">
        <f t="shared" si="36"/>
        <v>1849176.7851635539</v>
      </c>
    </row>
    <row r="15" spans="1:770" s="102" customFormat="1"/>
    <row r="16" spans="1:770" s="102" customFormat="1">
      <c r="C16" s="104" t="s">
        <v>252</v>
      </c>
      <c r="D16" s="104" t="s">
        <v>252</v>
      </c>
    </row>
    <row r="17" spans="1:292">
      <c r="A17" s="726"/>
      <c r="B17" s="106" t="s">
        <v>366</v>
      </c>
      <c r="C17" s="275">
        <f>C3-D17</f>
        <v>0</v>
      </c>
      <c r="D17" s="107">
        <f>SUM(F17:KF17)</f>
        <v>4119606.8571272367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0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1555.5555555555557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3501348.468269479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374498.07951181254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205334.94696433225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36869.806826057284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6"/>
      <c r="B18" s="106" t="s">
        <v>367</v>
      </c>
      <c r="C18" s="275">
        <f>D17-D18</f>
        <v>0</v>
      </c>
      <c r="D18" s="107">
        <f>MAX(F18:KF18)</f>
        <v>4119606.8571272367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1555.5555555555557</v>
      </c>
      <c r="M18" s="125">
        <f t="shared" si="37"/>
        <v>1555.5555555555557</v>
      </c>
      <c r="N18" s="125">
        <f t="shared" si="37"/>
        <v>1555.5555555555557</v>
      </c>
      <c r="O18" s="125">
        <f t="shared" si="37"/>
        <v>1555.5555555555557</v>
      </c>
      <c r="P18" s="125">
        <f t="shared" si="37"/>
        <v>1555.5555555555557</v>
      </c>
      <c r="Q18" s="125">
        <f t="shared" si="37"/>
        <v>3502904.0238250345</v>
      </c>
      <c r="R18" s="125">
        <f t="shared" si="37"/>
        <v>3502904.0238250345</v>
      </c>
      <c r="S18" s="125">
        <f t="shared" si="37"/>
        <v>3502904.0238250345</v>
      </c>
      <c r="T18" s="125">
        <f t="shared" si="37"/>
        <v>3502904.0238250345</v>
      </c>
      <c r="U18" s="125">
        <f t="shared" si="37"/>
        <v>3877402.1033368469</v>
      </c>
      <c r="V18" s="125">
        <f t="shared" si="37"/>
        <v>3877402.1033368469</v>
      </c>
      <c r="W18" s="125">
        <f t="shared" si="37"/>
        <v>3877402.1033368469</v>
      </c>
      <c r="X18" s="125">
        <f t="shared" si="37"/>
        <v>3877402.1033368469</v>
      </c>
      <c r="Y18" s="125">
        <f t="shared" si="37"/>
        <v>4082737.0503011793</v>
      </c>
      <c r="Z18" s="125">
        <f t="shared" si="37"/>
        <v>4082737.0503011793</v>
      </c>
      <c r="AA18" s="125">
        <f t="shared" si="37"/>
        <v>4082737.0503011793</v>
      </c>
      <c r="AB18" s="125">
        <f t="shared" si="37"/>
        <v>4082737.0503011793</v>
      </c>
      <c r="AC18" s="125">
        <f t="shared" si="37"/>
        <v>4082737.0503011793</v>
      </c>
      <c r="AD18" s="125">
        <f>AC18+AD17</f>
        <v>4119606.8571272367</v>
      </c>
      <c r="AE18" s="125">
        <f t="shared" si="37"/>
        <v>4119606.8571272367</v>
      </c>
      <c r="AF18" s="125">
        <f t="shared" si="37"/>
        <v>4119606.8571272367</v>
      </c>
      <c r="AG18" s="125">
        <f t="shared" si="37"/>
        <v>4119606.8571272367</v>
      </c>
      <c r="AH18" s="125">
        <f t="shared" si="37"/>
        <v>4119606.8571272367</v>
      </c>
      <c r="AI18" s="125">
        <f t="shared" si="37"/>
        <v>4119606.8571272367</v>
      </c>
      <c r="AJ18" s="125">
        <f t="shared" si="37"/>
        <v>4119606.8571272367</v>
      </c>
      <c r="AK18" s="125">
        <f t="shared" si="37"/>
        <v>4119606.8571272367</v>
      </c>
      <c r="AL18" s="125">
        <f t="shared" si="37"/>
        <v>4119606.8571272367</v>
      </c>
      <c r="AM18" s="125">
        <f t="shared" si="37"/>
        <v>4119606.8571272367</v>
      </c>
      <c r="AN18" s="125">
        <f t="shared" si="37"/>
        <v>4119606.8571272367</v>
      </c>
      <c r="AO18" s="125">
        <f t="shared" si="37"/>
        <v>4119606.8571272367</v>
      </c>
      <c r="AP18" s="125">
        <f t="shared" si="37"/>
        <v>4119606.8571272367</v>
      </c>
      <c r="AQ18" s="125">
        <f t="shared" si="37"/>
        <v>4119606.8571272367</v>
      </c>
      <c r="AR18" s="125">
        <f t="shared" si="37"/>
        <v>4119606.8571272367</v>
      </c>
      <c r="AS18" s="125">
        <f t="shared" si="37"/>
        <v>4119606.8571272367</v>
      </c>
      <c r="AT18" s="125">
        <f t="shared" si="37"/>
        <v>4119606.8571272367</v>
      </c>
      <c r="AU18" s="125">
        <f t="shared" si="37"/>
        <v>4119606.8571272367</v>
      </c>
      <c r="AV18" s="125">
        <f t="shared" si="37"/>
        <v>4119606.8571272367</v>
      </c>
      <c r="AW18" s="125">
        <f t="shared" si="37"/>
        <v>4119606.8571272367</v>
      </c>
      <c r="AX18" s="125">
        <f t="shared" si="37"/>
        <v>4119606.8571272367</v>
      </c>
      <c r="AY18" s="125">
        <f t="shared" si="37"/>
        <v>4119606.8571272367</v>
      </c>
      <c r="AZ18" s="125">
        <f t="shared" si="37"/>
        <v>4119606.8571272367</v>
      </c>
      <c r="BA18" s="125">
        <f t="shared" si="37"/>
        <v>4119606.8571272367</v>
      </c>
      <c r="BB18" s="125">
        <f t="shared" si="37"/>
        <v>4119606.8571272367</v>
      </c>
      <c r="BC18" s="125">
        <f t="shared" si="37"/>
        <v>4119606.8571272367</v>
      </c>
      <c r="BD18" s="125">
        <f t="shared" si="37"/>
        <v>4119606.8571272367</v>
      </c>
      <c r="BE18" s="125">
        <f t="shared" si="37"/>
        <v>4119606.8571272367</v>
      </c>
      <c r="BF18" s="125">
        <f t="shared" si="37"/>
        <v>4119606.8571272367</v>
      </c>
      <c r="BG18" s="125">
        <f t="shared" si="37"/>
        <v>4119606.8571272367</v>
      </c>
      <c r="BH18" s="125">
        <f t="shared" si="37"/>
        <v>4119606.8571272367</v>
      </c>
      <c r="BI18" s="125">
        <f t="shared" si="37"/>
        <v>4119606.8571272367</v>
      </c>
      <c r="BJ18" s="125">
        <f t="shared" si="37"/>
        <v>4119606.8571272367</v>
      </c>
      <c r="BK18" s="125">
        <f t="shared" si="37"/>
        <v>4119606.8571272367</v>
      </c>
      <c r="BL18" s="125">
        <f t="shared" si="37"/>
        <v>4119606.8571272367</v>
      </c>
      <c r="BM18" s="125">
        <f t="shared" si="37"/>
        <v>4119606.8571272367</v>
      </c>
      <c r="BN18" s="125">
        <f t="shared" si="37"/>
        <v>4119606.8571272367</v>
      </c>
      <c r="BO18" s="125">
        <f t="shared" si="37"/>
        <v>4119606.8571272367</v>
      </c>
      <c r="BP18" s="125">
        <f t="shared" si="37"/>
        <v>4119606.8571272367</v>
      </c>
      <c r="BQ18" s="125">
        <f t="shared" si="37"/>
        <v>4119606.8571272367</v>
      </c>
      <c r="BR18" s="125">
        <f t="shared" si="37"/>
        <v>4119606.8571272367</v>
      </c>
      <c r="BS18" s="125">
        <f t="shared" si="37"/>
        <v>4119606.8571272367</v>
      </c>
      <c r="BT18" s="125">
        <f t="shared" si="37"/>
        <v>4119606.8571272367</v>
      </c>
      <c r="BU18" s="125">
        <f t="shared" ref="BU18:EF18" si="38">BT18+BU17</f>
        <v>4119606.8571272367</v>
      </c>
      <c r="BV18" s="125">
        <f t="shared" si="38"/>
        <v>4119606.8571272367</v>
      </c>
      <c r="BW18" s="125">
        <f t="shared" si="38"/>
        <v>4119606.8571272367</v>
      </c>
      <c r="BX18" s="125">
        <f t="shared" si="38"/>
        <v>4119606.8571272367</v>
      </c>
      <c r="BY18" s="125">
        <f t="shared" si="38"/>
        <v>4119606.8571272367</v>
      </c>
      <c r="BZ18" s="125">
        <f t="shared" si="38"/>
        <v>4119606.8571272367</v>
      </c>
      <c r="CA18" s="125">
        <f t="shared" si="38"/>
        <v>4119606.8571272367</v>
      </c>
      <c r="CB18" s="125">
        <f t="shared" si="38"/>
        <v>4119606.8571272367</v>
      </c>
      <c r="CC18" s="125">
        <f t="shared" si="38"/>
        <v>4119606.8571272367</v>
      </c>
      <c r="CD18" s="125">
        <f t="shared" si="38"/>
        <v>4119606.8571272367</v>
      </c>
      <c r="CE18" s="125">
        <f t="shared" si="38"/>
        <v>4119606.8571272367</v>
      </c>
      <c r="CF18" s="125">
        <f t="shared" si="38"/>
        <v>4119606.8571272367</v>
      </c>
      <c r="CG18" s="125">
        <f t="shared" si="38"/>
        <v>4119606.8571272367</v>
      </c>
      <c r="CH18" s="125">
        <f t="shared" si="38"/>
        <v>4119606.8571272367</v>
      </c>
      <c r="CI18" s="125">
        <f t="shared" si="38"/>
        <v>4119606.8571272367</v>
      </c>
      <c r="CJ18" s="125">
        <f t="shared" si="38"/>
        <v>4119606.8571272367</v>
      </c>
      <c r="CK18" s="125">
        <f t="shared" si="38"/>
        <v>4119606.8571272367</v>
      </c>
      <c r="CL18" s="125">
        <f t="shared" si="38"/>
        <v>4119606.8571272367</v>
      </c>
      <c r="CM18" s="125">
        <f t="shared" si="38"/>
        <v>4119606.8571272367</v>
      </c>
      <c r="CN18" s="125">
        <f t="shared" si="38"/>
        <v>4119606.8571272367</v>
      </c>
      <c r="CO18" s="125">
        <f t="shared" si="38"/>
        <v>4119606.8571272367</v>
      </c>
      <c r="CP18" s="125">
        <f t="shared" si="38"/>
        <v>4119606.8571272367</v>
      </c>
      <c r="CQ18" s="125">
        <f t="shared" si="38"/>
        <v>4119606.8571272367</v>
      </c>
      <c r="CR18" s="125">
        <f t="shared" si="38"/>
        <v>4119606.8571272367</v>
      </c>
      <c r="CS18" s="125">
        <f t="shared" si="38"/>
        <v>4119606.8571272367</v>
      </c>
      <c r="CT18" s="125">
        <f t="shared" si="38"/>
        <v>4119606.8571272367</v>
      </c>
      <c r="CU18" s="125">
        <f t="shared" si="38"/>
        <v>4119606.8571272367</v>
      </c>
      <c r="CV18" s="125">
        <f t="shared" si="38"/>
        <v>4119606.8571272367</v>
      </c>
      <c r="CW18" s="125">
        <f t="shared" si="38"/>
        <v>4119606.8571272367</v>
      </c>
      <c r="CX18" s="125">
        <f t="shared" si="38"/>
        <v>4119606.8571272367</v>
      </c>
      <c r="CY18" s="125">
        <f t="shared" si="38"/>
        <v>4119606.8571272367</v>
      </c>
      <c r="CZ18" s="125">
        <f t="shared" si="38"/>
        <v>4119606.8571272367</v>
      </c>
      <c r="DA18" s="125">
        <f t="shared" si="38"/>
        <v>4119606.8571272367</v>
      </c>
      <c r="DB18" s="125">
        <f t="shared" si="38"/>
        <v>4119606.8571272367</v>
      </c>
      <c r="DC18" s="125">
        <f t="shared" si="38"/>
        <v>4119606.8571272367</v>
      </c>
      <c r="DD18" s="125">
        <f t="shared" si="38"/>
        <v>4119606.8571272367</v>
      </c>
      <c r="DE18" s="125">
        <f t="shared" si="38"/>
        <v>4119606.8571272367</v>
      </c>
      <c r="DF18" s="125">
        <f t="shared" si="38"/>
        <v>4119606.8571272367</v>
      </c>
      <c r="DG18" s="125">
        <f t="shared" si="38"/>
        <v>4119606.8571272367</v>
      </c>
      <c r="DH18" s="125">
        <f t="shared" si="38"/>
        <v>4119606.8571272367</v>
      </c>
      <c r="DI18" s="125">
        <f t="shared" si="38"/>
        <v>4119606.8571272367</v>
      </c>
      <c r="DJ18" s="125">
        <f t="shared" si="38"/>
        <v>4119606.8571272367</v>
      </c>
      <c r="DK18" s="125">
        <f t="shared" si="38"/>
        <v>4119606.8571272367</v>
      </c>
      <c r="DL18" s="125">
        <f t="shared" si="38"/>
        <v>4119606.8571272367</v>
      </c>
      <c r="DM18" s="125">
        <f t="shared" si="38"/>
        <v>4119606.8571272367</v>
      </c>
      <c r="DN18" s="125">
        <f t="shared" si="38"/>
        <v>4119606.8571272367</v>
      </c>
      <c r="DO18" s="125">
        <f t="shared" si="38"/>
        <v>4119606.8571272367</v>
      </c>
      <c r="DP18" s="125">
        <f t="shared" si="38"/>
        <v>4119606.8571272367</v>
      </c>
      <c r="DQ18" s="125">
        <f t="shared" si="38"/>
        <v>4119606.8571272367</v>
      </c>
      <c r="DR18" s="125">
        <f t="shared" si="38"/>
        <v>4119606.8571272367</v>
      </c>
      <c r="DS18" s="125">
        <f t="shared" si="38"/>
        <v>4119606.8571272367</v>
      </c>
      <c r="DT18" s="125">
        <f t="shared" si="38"/>
        <v>4119606.8571272367</v>
      </c>
      <c r="DU18" s="125">
        <f t="shared" si="38"/>
        <v>4119606.8571272367</v>
      </c>
      <c r="DV18" s="125">
        <f t="shared" si="38"/>
        <v>4119606.8571272367</v>
      </c>
      <c r="DW18" s="125">
        <f t="shared" si="38"/>
        <v>4119606.8571272367</v>
      </c>
      <c r="DX18" s="125">
        <f t="shared" si="38"/>
        <v>4119606.8571272367</v>
      </c>
      <c r="DY18" s="125">
        <f t="shared" si="38"/>
        <v>4119606.8571272367</v>
      </c>
      <c r="DZ18" s="125">
        <f t="shared" si="38"/>
        <v>4119606.8571272367</v>
      </c>
      <c r="EA18" s="125">
        <f t="shared" si="38"/>
        <v>4119606.8571272367</v>
      </c>
      <c r="EB18" s="125">
        <f t="shared" si="38"/>
        <v>4119606.8571272367</v>
      </c>
      <c r="EC18" s="125">
        <f t="shared" si="38"/>
        <v>4119606.8571272367</v>
      </c>
      <c r="ED18" s="125">
        <f t="shared" si="38"/>
        <v>4119606.8571272367</v>
      </c>
      <c r="EE18" s="125">
        <f t="shared" si="38"/>
        <v>4119606.8571272367</v>
      </c>
      <c r="EF18" s="125">
        <f t="shared" si="38"/>
        <v>4119606.8571272367</v>
      </c>
      <c r="EG18" s="125">
        <f t="shared" ref="EG18:GR18" si="39">EF18+EG17</f>
        <v>4119606.8571272367</v>
      </c>
      <c r="EH18" s="125">
        <f t="shared" si="39"/>
        <v>4119606.8571272367</v>
      </c>
      <c r="EI18" s="125">
        <f t="shared" si="39"/>
        <v>4119606.8571272367</v>
      </c>
      <c r="EJ18" s="125">
        <f t="shared" si="39"/>
        <v>4119606.8571272367</v>
      </c>
      <c r="EK18" s="125">
        <f t="shared" si="39"/>
        <v>4119606.8571272367</v>
      </c>
      <c r="EL18" s="125">
        <f t="shared" si="39"/>
        <v>4119606.8571272367</v>
      </c>
      <c r="EM18" s="125">
        <f t="shared" si="39"/>
        <v>4119606.8571272367</v>
      </c>
      <c r="EN18" s="125">
        <f t="shared" si="39"/>
        <v>4119606.8571272367</v>
      </c>
      <c r="EO18" s="125">
        <f t="shared" si="39"/>
        <v>4119606.8571272367</v>
      </c>
      <c r="EP18" s="125">
        <f t="shared" si="39"/>
        <v>4119606.8571272367</v>
      </c>
      <c r="EQ18" s="125">
        <f t="shared" si="39"/>
        <v>4119606.8571272367</v>
      </c>
      <c r="ER18" s="125">
        <f t="shared" si="39"/>
        <v>4119606.8571272367</v>
      </c>
      <c r="ES18" s="125">
        <f t="shared" si="39"/>
        <v>4119606.8571272367</v>
      </c>
      <c r="ET18" s="125">
        <f t="shared" si="39"/>
        <v>4119606.8571272367</v>
      </c>
      <c r="EU18" s="125">
        <f t="shared" si="39"/>
        <v>4119606.8571272367</v>
      </c>
      <c r="EV18" s="125">
        <f t="shared" si="39"/>
        <v>4119606.8571272367</v>
      </c>
      <c r="EW18" s="125">
        <f t="shared" si="39"/>
        <v>4119606.8571272367</v>
      </c>
      <c r="EX18" s="125">
        <f t="shared" si="39"/>
        <v>4119606.8571272367</v>
      </c>
      <c r="EY18" s="125">
        <f t="shared" si="39"/>
        <v>4119606.8571272367</v>
      </c>
      <c r="EZ18" s="125">
        <f t="shared" si="39"/>
        <v>4119606.8571272367</v>
      </c>
      <c r="FA18" s="125">
        <f t="shared" si="39"/>
        <v>4119606.8571272367</v>
      </c>
      <c r="FB18" s="125">
        <f t="shared" si="39"/>
        <v>4119606.8571272367</v>
      </c>
      <c r="FC18" s="125">
        <f t="shared" si="39"/>
        <v>4119606.8571272367</v>
      </c>
      <c r="FD18" s="125">
        <f t="shared" si="39"/>
        <v>4119606.8571272367</v>
      </c>
      <c r="FE18" s="125">
        <f t="shared" si="39"/>
        <v>4119606.8571272367</v>
      </c>
      <c r="FF18" s="125">
        <f t="shared" si="39"/>
        <v>4119606.8571272367</v>
      </c>
      <c r="FG18" s="125">
        <f t="shared" si="39"/>
        <v>4119606.8571272367</v>
      </c>
      <c r="FH18" s="125">
        <f t="shared" si="39"/>
        <v>4119606.8571272367</v>
      </c>
      <c r="FI18" s="125">
        <f t="shared" si="39"/>
        <v>4119606.8571272367</v>
      </c>
      <c r="FJ18" s="125">
        <f t="shared" si="39"/>
        <v>4119606.8571272367</v>
      </c>
      <c r="FK18" s="125">
        <f t="shared" si="39"/>
        <v>4119606.8571272367</v>
      </c>
      <c r="FL18" s="125">
        <f t="shared" si="39"/>
        <v>4119606.8571272367</v>
      </c>
      <c r="FM18" s="125">
        <f t="shared" si="39"/>
        <v>4119606.8571272367</v>
      </c>
      <c r="FN18" s="125">
        <f t="shared" si="39"/>
        <v>4119606.8571272367</v>
      </c>
      <c r="FO18" s="125">
        <f t="shared" si="39"/>
        <v>4119606.8571272367</v>
      </c>
      <c r="FP18" s="125">
        <f t="shared" si="39"/>
        <v>4119606.8571272367</v>
      </c>
      <c r="FQ18" s="125">
        <f t="shared" si="39"/>
        <v>4119606.8571272367</v>
      </c>
      <c r="FR18" s="125">
        <f t="shared" si="39"/>
        <v>4119606.8571272367</v>
      </c>
      <c r="FS18" s="125">
        <f t="shared" si="39"/>
        <v>4119606.8571272367</v>
      </c>
      <c r="FT18" s="125">
        <f t="shared" si="39"/>
        <v>4119606.8571272367</v>
      </c>
      <c r="FU18" s="125">
        <f t="shared" si="39"/>
        <v>4119606.8571272367</v>
      </c>
      <c r="FV18" s="125">
        <f t="shared" si="39"/>
        <v>4119606.8571272367</v>
      </c>
      <c r="FW18" s="125">
        <f t="shared" si="39"/>
        <v>4119606.8571272367</v>
      </c>
      <c r="FX18" s="125">
        <f t="shared" si="39"/>
        <v>4119606.8571272367</v>
      </c>
      <c r="FY18" s="125">
        <f t="shared" si="39"/>
        <v>4119606.8571272367</v>
      </c>
      <c r="FZ18" s="125">
        <f t="shared" si="39"/>
        <v>4119606.8571272367</v>
      </c>
      <c r="GA18" s="125">
        <f t="shared" si="39"/>
        <v>4119606.8571272367</v>
      </c>
      <c r="GB18" s="125">
        <f t="shared" si="39"/>
        <v>4119606.8571272367</v>
      </c>
      <c r="GC18" s="125">
        <f t="shared" si="39"/>
        <v>4119606.8571272367</v>
      </c>
      <c r="GD18" s="125">
        <f t="shared" si="39"/>
        <v>4119606.8571272367</v>
      </c>
      <c r="GE18" s="125">
        <f t="shared" si="39"/>
        <v>4119606.8571272367</v>
      </c>
      <c r="GF18" s="125">
        <f t="shared" si="39"/>
        <v>4119606.8571272367</v>
      </c>
      <c r="GG18" s="125">
        <f t="shared" si="39"/>
        <v>4119606.8571272367</v>
      </c>
      <c r="GH18" s="125">
        <f t="shared" si="39"/>
        <v>4119606.8571272367</v>
      </c>
      <c r="GI18" s="125">
        <f t="shared" si="39"/>
        <v>4119606.8571272367</v>
      </c>
      <c r="GJ18" s="125">
        <f t="shared" si="39"/>
        <v>4119606.8571272367</v>
      </c>
      <c r="GK18" s="125">
        <f t="shared" si="39"/>
        <v>4119606.8571272367</v>
      </c>
      <c r="GL18" s="125">
        <f t="shared" si="39"/>
        <v>4119606.8571272367</v>
      </c>
      <c r="GM18" s="125">
        <f t="shared" si="39"/>
        <v>4119606.8571272367</v>
      </c>
      <c r="GN18" s="125">
        <f t="shared" si="39"/>
        <v>4119606.8571272367</v>
      </c>
      <c r="GO18" s="125">
        <f t="shared" si="39"/>
        <v>4119606.8571272367</v>
      </c>
      <c r="GP18" s="125">
        <f t="shared" si="39"/>
        <v>4119606.8571272367</v>
      </c>
      <c r="GQ18" s="125">
        <f t="shared" si="39"/>
        <v>4119606.8571272367</v>
      </c>
      <c r="GR18" s="125">
        <f t="shared" si="39"/>
        <v>4119606.8571272367</v>
      </c>
      <c r="GS18" s="125">
        <f t="shared" ref="GS18:JD18" si="40">GR18+GS17</f>
        <v>4119606.8571272367</v>
      </c>
      <c r="GT18" s="125">
        <f t="shared" si="40"/>
        <v>4119606.8571272367</v>
      </c>
      <c r="GU18" s="125">
        <f t="shared" si="40"/>
        <v>4119606.8571272367</v>
      </c>
      <c r="GV18" s="125">
        <f t="shared" si="40"/>
        <v>4119606.8571272367</v>
      </c>
      <c r="GW18" s="125">
        <f t="shared" si="40"/>
        <v>4119606.8571272367</v>
      </c>
      <c r="GX18" s="125">
        <f t="shared" si="40"/>
        <v>4119606.8571272367</v>
      </c>
      <c r="GY18" s="125">
        <f t="shared" si="40"/>
        <v>4119606.8571272367</v>
      </c>
      <c r="GZ18" s="125">
        <f t="shared" si="40"/>
        <v>4119606.8571272367</v>
      </c>
      <c r="HA18" s="125">
        <f t="shared" si="40"/>
        <v>4119606.8571272367</v>
      </c>
      <c r="HB18" s="125">
        <f t="shared" si="40"/>
        <v>4119606.8571272367</v>
      </c>
      <c r="HC18" s="125">
        <f t="shared" si="40"/>
        <v>4119606.8571272367</v>
      </c>
      <c r="HD18" s="125">
        <f t="shared" si="40"/>
        <v>4119606.8571272367</v>
      </c>
      <c r="HE18" s="125">
        <f t="shared" si="40"/>
        <v>4119606.8571272367</v>
      </c>
      <c r="HF18" s="125">
        <f t="shared" si="40"/>
        <v>4119606.8571272367</v>
      </c>
      <c r="HG18" s="125">
        <f t="shared" si="40"/>
        <v>4119606.8571272367</v>
      </c>
      <c r="HH18" s="125">
        <f t="shared" si="40"/>
        <v>4119606.8571272367</v>
      </c>
      <c r="HI18" s="125">
        <f t="shared" si="40"/>
        <v>4119606.8571272367</v>
      </c>
      <c r="HJ18" s="125">
        <f t="shared" si="40"/>
        <v>4119606.8571272367</v>
      </c>
      <c r="HK18" s="125">
        <f t="shared" si="40"/>
        <v>4119606.8571272367</v>
      </c>
      <c r="HL18" s="125">
        <f t="shared" si="40"/>
        <v>4119606.8571272367</v>
      </c>
      <c r="HM18" s="125">
        <f t="shared" si="40"/>
        <v>4119606.8571272367</v>
      </c>
      <c r="HN18" s="125">
        <f t="shared" si="40"/>
        <v>4119606.8571272367</v>
      </c>
      <c r="HO18" s="125">
        <f t="shared" si="40"/>
        <v>4119606.8571272367</v>
      </c>
      <c r="HP18" s="125">
        <f t="shared" si="40"/>
        <v>4119606.8571272367</v>
      </c>
      <c r="HQ18" s="125">
        <f t="shared" si="40"/>
        <v>4119606.8571272367</v>
      </c>
      <c r="HR18" s="125">
        <f t="shared" si="40"/>
        <v>4119606.8571272367</v>
      </c>
      <c r="HS18" s="125">
        <f t="shared" si="40"/>
        <v>4119606.8571272367</v>
      </c>
      <c r="HT18" s="125">
        <f t="shared" si="40"/>
        <v>4119606.8571272367</v>
      </c>
      <c r="HU18" s="125">
        <f t="shared" si="40"/>
        <v>4119606.8571272367</v>
      </c>
      <c r="HV18" s="125">
        <f t="shared" si="40"/>
        <v>4119606.8571272367</v>
      </c>
      <c r="HW18" s="125">
        <f t="shared" si="40"/>
        <v>4119606.8571272367</v>
      </c>
      <c r="HX18" s="125">
        <f t="shared" si="40"/>
        <v>4119606.8571272367</v>
      </c>
      <c r="HY18" s="125">
        <f t="shared" si="40"/>
        <v>4119606.8571272367</v>
      </c>
      <c r="HZ18" s="125">
        <f t="shared" si="40"/>
        <v>4119606.8571272367</v>
      </c>
      <c r="IA18" s="125">
        <f t="shared" si="40"/>
        <v>4119606.8571272367</v>
      </c>
      <c r="IB18" s="125">
        <f t="shared" si="40"/>
        <v>4119606.8571272367</v>
      </c>
      <c r="IC18" s="125">
        <f t="shared" si="40"/>
        <v>4119606.8571272367</v>
      </c>
      <c r="ID18" s="125">
        <f t="shared" si="40"/>
        <v>4119606.8571272367</v>
      </c>
      <c r="IE18" s="125">
        <f t="shared" si="40"/>
        <v>4119606.8571272367</v>
      </c>
      <c r="IF18" s="125">
        <f t="shared" si="40"/>
        <v>4119606.8571272367</v>
      </c>
      <c r="IG18" s="125">
        <f t="shared" si="40"/>
        <v>4119606.8571272367</v>
      </c>
      <c r="IH18" s="125">
        <f t="shared" si="40"/>
        <v>4119606.8571272367</v>
      </c>
      <c r="II18" s="125">
        <f t="shared" si="40"/>
        <v>4119606.8571272367</v>
      </c>
      <c r="IJ18" s="125">
        <f t="shared" si="40"/>
        <v>4119606.8571272367</v>
      </c>
      <c r="IK18" s="125">
        <f t="shared" si="40"/>
        <v>4119606.8571272367</v>
      </c>
      <c r="IL18" s="125">
        <f t="shared" si="40"/>
        <v>4119606.8571272367</v>
      </c>
      <c r="IM18" s="125">
        <f t="shared" si="40"/>
        <v>4119606.8571272367</v>
      </c>
      <c r="IN18" s="125">
        <f t="shared" si="40"/>
        <v>4119606.8571272367</v>
      </c>
      <c r="IO18" s="125">
        <f t="shared" si="40"/>
        <v>4119606.8571272367</v>
      </c>
      <c r="IP18" s="125">
        <f t="shared" si="40"/>
        <v>4119606.8571272367</v>
      </c>
      <c r="IQ18" s="125">
        <f t="shared" si="40"/>
        <v>4119606.8571272367</v>
      </c>
      <c r="IR18" s="125">
        <f t="shared" si="40"/>
        <v>4119606.8571272367</v>
      </c>
      <c r="IS18" s="125">
        <f t="shared" si="40"/>
        <v>4119606.8571272367</v>
      </c>
      <c r="IT18" s="125">
        <f t="shared" si="40"/>
        <v>4119606.8571272367</v>
      </c>
      <c r="IU18" s="125">
        <f t="shared" si="40"/>
        <v>4119606.8571272367</v>
      </c>
      <c r="IV18" s="125">
        <f t="shared" si="40"/>
        <v>4119606.8571272367</v>
      </c>
      <c r="IW18" s="125">
        <f t="shared" si="40"/>
        <v>4119606.8571272367</v>
      </c>
      <c r="IX18" s="125">
        <f t="shared" si="40"/>
        <v>4119606.8571272367</v>
      </c>
      <c r="IY18" s="125">
        <f t="shared" si="40"/>
        <v>4119606.8571272367</v>
      </c>
      <c r="IZ18" s="125">
        <f t="shared" si="40"/>
        <v>4119606.8571272367</v>
      </c>
      <c r="JA18" s="125">
        <f t="shared" si="40"/>
        <v>4119606.8571272367</v>
      </c>
      <c r="JB18" s="125">
        <f t="shared" si="40"/>
        <v>4119606.8571272367</v>
      </c>
      <c r="JC18" s="125">
        <f t="shared" si="40"/>
        <v>4119606.8571272367</v>
      </c>
      <c r="JD18" s="125">
        <f t="shared" si="40"/>
        <v>4119606.8571272367</v>
      </c>
      <c r="JE18" s="125">
        <f t="shared" ref="JE18:KF18" si="41">JD18+JE17</f>
        <v>4119606.8571272367</v>
      </c>
      <c r="JF18" s="125">
        <f t="shared" si="41"/>
        <v>4119606.8571272367</v>
      </c>
      <c r="JG18" s="125">
        <f t="shared" si="41"/>
        <v>4119606.8571272367</v>
      </c>
      <c r="JH18" s="125">
        <f t="shared" si="41"/>
        <v>4119606.8571272367</v>
      </c>
      <c r="JI18" s="125">
        <f t="shared" si="41"/>
        <v>4119606.8571272367</v>
      </c>
      <c r="JJ18" s="125">
        <f t="shared" si="41"/>
        <v>4119606.8571272367</v>
      </c>
      <c r="JK18" s="125">
        <f t="shared" si="41"/>
        <v>4119606.8571272367</v>
      </c>
      <c r="JL18" s="125">
        <f t="shared" si="41"/>
        <v>4119606.8571272367</v>
      </c>
      <c r="JM18" s="125">
        <f t="shared" si="41"/>
        <v>4119606.8571272367</v>
      </c>
      <c r="JN18" s="125">
        <f t="shared" si="41"/>
        <v>4119606.8571272367</v>
      </c>
      <c r="JO18" s="125">
        <f t="shared" si="41"/>
        <v>4119606.8571272367</v>
      </c>
      <c r="JP18" s="125">
        <f t="shared" si="41"/>
        <v>4119606.8571272367</v>
      </c>
      <c r="JQ18" s="125">
        <f t="shared" si="41"/>
        <v>4119606.8571272367</v>
      </c>
      <c r="JR18" s="125">
        <f t="shared" si="41"/>
        <v>4119606.8571272367</v>
      </c>
      <c r="JS18" s="125">
        <f t="shared" si="41"/>
        <v>4119606.8571272367</v>
      </c>
      <c r="JT18" s="125">
        <f t="shared" si="41"/>
        <v>4119606.8571272367</v>
      </c>
      <c r="JU18" s="125">
        <f t="shared" si="41"/>
        <v>4119606.8571272367</v>
      </c>
      <c r="JV18" s="125">
        <f t="shared" si="41"/>
        <v>4119606.8571272367</v>
      </c>
      <c r="JW18" s="125">
        <f t="shared" si="41"/>
        <v>4119606.8571272367</v>
      </c>
      <c r="JX18" s="125">
        <f t="shared" si="41"/>
        <v>4119606.8571272367</v>
      </c>
      <c r="JY18" s="125">
        <f t="shared" si="41"/>
        <v>4119606.8571272367</v>
      </c>
      <c r="JZ18" s="125">
        <f t="shared" si="41"/>
        <v>4119606.8571272367</v>
      </c>
      <c r="KA18" s="125">
        <f t="shared" si="41"/>
        <v>4119606.8571272367</v>
      </c>
      <c r="KB18" s="125">
        <f t="shared" si="41"/>
        <v>4119606.8571272367</v>
      </c>
      <c r="KC18" s="125">
        <f t="shared" si="41"/>
        <v>4119606.8571272367</v>
      </c>
      <c r="KD18" s="125">
        <f t="shared" si="41"/>
        <v>4119606.8571272367</v>
      </c>
      <c r="KE18" s="125">
        <f t="shared" si="41"/>
        <v>4119606.8571272367</v>
      </c>
      <c r="KF18" s="125">
        <f t="shared" si="41"/>
        <v>4119606.8571272367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4.81640625" style="269" bestFit="1" customWidth="1"/>
    <col min="2" max="2" width="14.81640625" style="270" bestFit="1" customWidth="1"/>
    <col min="3" max="3" width="5.90625" style="269" bestFit="1" customWidth="1"/>
    <col min="4" max="4" width="10.90625" style="269" bestFit="1" customWidth="1"/>
    <col min="5" max="5" width="13.453125" style="269" bestFit="1" customWidth="1"/>
    <col min="6" max="6" width="11.90625" style="269" bestFit="1" customWidth="1"/>
    <col min="7" max="7" width="10.90625" style="269" bestFit="1" customWidth="1"/>
    <col min="8" max="8" width="13.453125" style="269" bestFit="1" customWidth="1"/>
    <col min="9" max="9" width="11.8164062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368</v>
      </c>
      <c r="B3" s="540" t="s">
        <v>369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370</v>
      </c>
      <c r="B4" t="s">
        <v>371</v>
      </c>
      <c r="C4"/>
      <c r="D4" s="346">
        <v>46081</v>
      </c>
      <c r="E4" s="346">
        <v>46112</v>
      </c>
      <c r="F4" s="346">
        <v>46142</v>
      </c>
      <c r="G4" s="346">
        <v>46173</v>
      </c>
      <c r="H4" t="s">
        <v>372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371</v>
      </c>
      <c r="B5" s="272"/>
      <c r="C5" s="272"/>
      <c r="D5" s="272"/>
      <c r="E5" s="272"/>
      <c r="F5" s="272"/>
      <c r="G5" s="272"/>
      <c r="H5" s="2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256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>
        <v>1139692.5853658535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261</v>
      </c>
      <c r="B7" s="272">
        <v>0</v>
      </c>
      <c r="C7" s="272">
        <v>0</v>
      </c>
      <c r="D7" s="272"/>
      <c r="E7" s="272">
        <v>203998.44813996466</v>
      </c>
      <c r="F7" s="272">
        <v>44964.966494181666</v>
      </c>
      <c r="G7" s="272"/>
      <c r="H7" s="272">
        <v>248963.41463414632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272</v>
      </c>
      <c r="B8" s="272"/>
      <c r="C8" s="272">
        <v>0</v>
      </c>
      <c r="D8" s="272"/>
      <c r="E8" s="272">
        <v>230312.19512195123</v>
      </c>
      <c r="F8" s="272"/>
      <c r="G8" s="272"/>
      <c r="H8" s="272">
        <v>230312.19512195123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279</v>
      </c>
      <c r="B9" s="272"/>
      <c r="C9" s="272">
        <v>0</v>
      </c>
      <c r="D9" s="272"/>
      <c r="E9" s="272">
        <v>206059.18609592188</v>
      </c>
      <c r="F9" s="272">
        <v>60072.000806353142</v>
      </c>
      <c r="G9" s="272">
        <v>6674.6667562614603</v>
      </c>
      <c r="H9" s="272">
        <v>272805.85365853645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294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>
        <v>212195.12195121951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298</v>
      </c>
      <c r="B11" s="272"/>
      <c r="C11" s="272">
        <v>0</v>
      </c>
      <c r="D11" s="272"/>
      <c r="E11" s="272">
        <v>400468.19080744905</v>
      </c>
      <c r="F11" s="272">
        <v>93306.742271175055</v>
      </c>
      <c r="G11" s="272">
        <v>10367.415807908339</v>
      </c>
      <c r="H11" s="272">
        <v>504142.34888653242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302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>
        <v>298830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306</v>
      </c>
      <c r="B13" s="272"/>
      <c r="C13" s="272">
        <v>0</v>
      </c>
      <c r="D13" s="272"/>
      <c r="E13" s="272">
        <v>185377.77777777775</v>
      </c>
      <c r="F13" s="272">
        <v>166840</v>
      </c>
      <c r="G13" s="272">
        <v>18537.777777777777</v>
      </c>
      <c r="H13" s="272">
        <v>370755.5555555555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309</v>
      </c>
      <c r="B14" s="272"/>
      <c r="C14" s="272">
        <v>0</v>
      </c>
      <c r="D14" s="272">
        <v>28886.749330151546</v>
      </c>
      <c r="E14" s="272">
        <v>12899.464841097064</v>
      </c>
      <c r="F14" s="272">
        <v>11609.518356987359</v>
      </c>
      <c r="G14" s="272">
        <v>1289.9464841097065</v>
      </c>
      <c r="H14" s="272">
        <v>54685.679012345674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313</v>
      </c>
      <c r="B15" s="272">
        <v>0</v>
      </c>
      <c r="C15" s="272"/>
      <c r="D15" s="272"/>
      <c r="E15" s="272">
        <v>112774.08716595419</v>
      </c>
      <c r="F15" s="272">
        <v>19430.357278490257</v>
      </c>
      <c r="G15" s="272"/>
      <c r="H15" s="272">
        <v>132204.44444444444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322</v>
      </c>
      <c r="B16" s="272"/>
      <c r="C16" s="272">
        <v>0</v>
      </c>
      <c r="D16" s="272"/>
      <c r="E16" s="272">
        <v>45054.353270476509</v>
      </c>
      <c r="F16" s="272"/>
      <c r="G16" s="272"/>
      <c r="H16" s="272">
        <v>45054.353270476509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330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>
        <v>6222.2222222222226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333</v>
      </c>
      <c r="B18" s="272"/>
      <c r="C18" s="272"/>
      <c r="D18" s="272"/>
      <c r="E18" s="272"/>
      <c r="F18" s="272"/>
      <c r="G18" s="272"/>
      <c r="H18" s="2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319</v>
      </c>
      <c r="B19" s="272"/>
      <c r="C19" s="272"/>
      <c r="D19" s="272"/>
      <c r="E19" s="272"/>
      <c r="F19" s="272"/>
      <c r="G19" s="272"/>
      <c r="H19" s="2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300</v>
      </c>
      <c r="B20" s="272"/>
      <c r="C20" s="272">
        <v>0</v>
      </c>
      <c r="D20" s="272"/>
      <c r="E20" s="272">
        <v>603743.08300395298</v>
      </c>
      <c r="F20" s="272"/>
      <c r="G20" s="272"/>
      <c r="H20" s="272">
        <v>603743.08300395298</v>
      </c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372</v>
      </c>
      <c r="B21" s="272">
        <v>0</v>
      </c>
      <c r="C21" s="272">
        <v>0</v>
      </c>
      <c r="D21" s="272">
        <v>30442.304885707101</v>
      </c>
      <c r="E21" s="272">
        <v>3652960.0490971743</v>
      </c>
      <c r="F21" s="272">
        <v>397779.14076274302</v>
      </c>
      <c r="G21" s="272">
        <v>38425.362381612838</v>
      </c>
      <c r="H21" s="272">
        <v>4119606.8571272367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453125" bestFit="1" customWidth="1"/>
    <col min="2" max="2" width="14.81640625" style="308" bestFit="1" customWidth="1"/>
    <col min="3" max="3" width="5.90625" style="308" bestFit="1" customWidth="1"/>
    <col min="4" max="4" width="10.90625" style="308" bestFit="1" customWidth="1"/>
    <col min="5" max="5" width="13.453125" style="308" bestFit="1" customWidth="1"/>
    <col min="6" max="6" width="11.90625" style="308" bestFit="1" customWidth="1"/>
    <col min="7" max="7" width="10.90625" style="308" bestFit="1" customWidth="1"/>
    <col min="8" max="8" width="13.453125" style="308" bestFit="1" customWidth="1"/>
    <col min="9" max="9" width="11.8164062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373</v>
      </c>
      <c r="B3" s="540" t="s">
        <v>369</v>
      </c>
      <c r="C3"/>
      <c r="D3"/>
      <c r="E3"/>
      <c r="F3"/>
      <c r="G3"/>
      <c r="H3"/>
      <c r="I3"/>
    </row>
    <row r="4" spans="1:9">
      <c r="A4" s="540" t="s">
        <v>370</v>
      </c>
      <c r="B4" t="s">
        <v>371</v>
      </c>
      <c r="C4"/>
      <c r="D4" s="346">
        <v>46081</v>
      </c>
      <c r="E4" s="346">
        <v>46112</v>
      </c>
      <c r="F4" s="346">
        <v>46142</v>
      </c>
      <c r="G4" s="346">
        <v>46173</v>
      </c>
      <c r="H4" t="s">
        <v>372</v>
      </c>
      <c r="I4"/>
    </row>
    <row r="5" spans="1:9">
      <c r="A5" s="345" t="s">
        <v>371</v>
      </c>
      <c r="B5" s="347"/>
      <c r="C5" s="347"/>
      <c r="D5" s="347"/>
      <c r="E5" s="347"/>
      <c r="F5" s="347"/>
      <c r="G5" s="347"/>
      <c r="H5" s="347"/>
      <c r="I5"/>
    </row>
    <row r="6" spans="1:9">
      <c r="A6" s="345" t="s">
        <v>256</v>
      </c>
      <c r="B6" s="347">
        <v>0</v>
      </c>
      <c r="C6" s="347"/>
      <c r="D6" s="347"/>
      <c r="E6" s="347">
        <v>987000.00000000012</v>
      </c>
      <c r="F6" s="347"/>
      <c r="G6" s="347"/>
      <c r="H6" s="347">
        <v>987000.00000000012</v>
      </c>
      <c r="I6"/>
    </row>
    <row r="7" spans="1:9">
      <c r="A7" s="345" t="s">
        <v>261</v>
      </c>
      <c r="B7" s="347"/>
      <c r="C7" s="347"/>
      <c r="D7" s="347"/>
      <c r="E7" s="347">
        <v>206610</v>
      </c>
      <c r="F7" s="347">
        <v>45540.600000000006</v>
      </c>
      <c r="G7" s="347"/>
      <c r="H7" s="347">
        <v>252150.6</v>
      </c>
      <c r="I7"/>
    </row>
    <row r="8" spans="1:9">
      <c r="A8" s="345" t="s">
        <v>272</v>
      </c>
      <c r="B8" s="347"/>
      <c r="C8" s="347"/>
      <c r="D8" s="347"/>
      <c r="E8" s="347">
        <v>111074</v>
      </c>
      <c r="F8" s="347"/>
      <c r="G8" s="347"/>
      <c r="H8" s="347">
        <v>111074</v>
      </c>
      <c r="I8"/>
    </row>
    <row r="9" spans="1:9">
      <c r="A9" s="345" t="s">
        <v>279</v>
      </c>
      <c r="B9" s="347"/>
      <c r="C9" s="347"/>
      <c r="D9" s="347"/>
      <c r="E9" s="347">
        <v>165660.84000000003</v>
      </c>
      <c r="F9" s="347">
        <v>48294.756000000001</v>
      </c>
      <c r="G9" s="347">
        <v>5366.0839999999998</v>
      </c>
      <c r="H9" s="347">
        <v>219321.68000000002</v>
      </c>
      <c r="I9"/>
    </row>
    <row r="10" spans="1:9">
      <c r="A10" s="345" t="s">
        <v>294</v>
      </c>
      <c r="B10" s="347"/>
      <c r="C10" s="347"/>
      <c r="D10" s="347"/>
      <c r="E10" s="347">
        <v>156000</v>
      </c>
      <c r="F10" s="347"/>
      <c r="G10" s="347"/>
      <c r="H10" s="347">
        <v>156000</v>
      </c>
      <c r="I10"/>
    </row>
    <row r="11" spans="1:9">
      <c r="A11" s="345" t="s">
        <v>298</v>
      </c>
      <c r="B11" s="347"/>
      <c r="C11" s="347"/>
      <c r="D11" s="347"/>
      <c r="E11" s="347">
        <v>311464.6630434785</v>
      </c>
      <c r="F11" s="347">
        <v>72569.441739130649</v>
      </c>
      <c r="G11" s="347">
        <v>8063.2713043478498</v>
      </c>
      <c r="H11" s="347">
        <v>392097.376086957</v>
      </c>
      <c r="I11"/>
    </row>
    <row r="12" spans="1:9">
      <c r="A12" s="345" t="s">
        <v>302</v>
      </c>
      <c r="B12" s="347"/>
      <c r="C12" s="347"/>
      <c r="D12" s="347"/>
      <c r="E12" s="347">
        <v>204500</v>
      </c>
      <c r="F12" s="347"/>
      <c r="G12" s="347"/>
      <c r="H12" s="347">
        <v>204500</v>
      </c>
      <c r="I12"/>
    </row>
    <row r="13" spans="1:9">
      <c r="A13" s="345" t="s">
        <v>306</v>
      </c>
      <c r="B13" s="347"/>
      <c r="C13" s="347"/>
      <c r="D13" s="347"/>
      <c r="E13" s="347">
        <v>171814</v>
      </c>
      <c r="F13" s="347">
        <v>154632.6</v>
      </c>
      <c r="G13" s="347">
        <v>17181.400000000001</v>
      </c>
      <c r="H13" s="347">
        <v>343628</v>
      </c>
      <c r="I13"/>
    </row>
    <row r="14" spans="1:9">
      <c r="A14" s="345" t="s">
        <v>309</v>
      </c>
      <c r="B14" s="347"/>
      <c r="C14" s="347"/>
      <c r="D14" s="347">
        <v>24000</v>
      </c>
      <c r="E14" s="347">
        <v>10717.272222222222</v>
      </c>
      <c r="F14" s="347">
        <v>9645.5450000000001</v>
      </c>
      <c r="G14" s="347">
        <v>1071.7272222222223</v>
      </c>
      <c r="H14" s="347">
        <v>45434.544444444444</v>
      </c>
      <c r="I14"/>
    </row>
    <row r="15" spans="1:9">
      <c r="A15" s="345" t="s">
        <v>313</v>
      </c>
      <c r="B15" s="347"/>
      <c r="C15" s="347"/>
      <c r="D15" s="347"/>
      <c r="E15" s="347">
        <v>73000</v>
      </c>
      <c r="F15" s="347">
        <v>12577.5</v>
      </c>
      <c r="G15" s="347"/>
      <c r="H15" s="347">
        <v>85577.5</v>
      </c>
      <c r="I15"/>
    </row>
    <row r="16" spans="1:9">
      <c r="A16" s="345" t="s">
        <v>322</v>
      </c>
      <c r="B16" s="347"/>
      <c r="C16" s="347"/>
      <c r="D16" s="347"/>
      <c r="E16" s="347">
        <v>51495.085714090455</v>
      </c>
      <c r="F16" s="347"/>
      <c r="G16" s="347"/>
      <c r="H16" s="347">
        <v>51495.085714090455</v>
      </c>
      <c r="I16"/>
    </row>
    <row r="17" spans="1:9">
      <c r="A17" s="345" t="s">
        <v>330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>
        <v>5600</v>
      </c>
      <c r="I17"/>
    </row>
    <row r="18" spans="1:9">
      <c r="A18" s="345" t="s">
        <v>333</v>
      </c>
      <c r="B18" s="347"/>
      <c r="C18" s="347"/>
      <c r="D18" s="347"/>
      <c r="E18" s="347"/>
      <c r="F18" s="347"/>
      <c r="G18" s="347"/>
      <c r="H18" s="347"/>
      <c r="I18"/>
    </row>
    <row r="19" spans="1:9">
      <c r="A19" s="345" t="s">
        <v>319</v>
      </c>
      <c r="B19" s="347"/>
      <c r="C19" s="347">
        <v>0</v>
      </c>
      <c r="D19" s="347"/>
      <c r="E19" s="347"/>
      <c r="F19" s="347"/>
      <c r="G19" s="347"/>
      <c r="H19" s="347">
        <v>0</v>
      </c>
      <c r="I19"/>
    </row>
    <row r="20" spans="1:9">
      <c r="A20" s="345" t="s">
        <v>300</v>
      </c>
      <c r="B20" s="347"/>
      <c r="C20" s="347"/>
      <c r="D20" s="347"/>
      <c r="E20" s="347">
        <v>446452.99999999994</v>
      </c>
      <c r="F20" s="347"/>
      <c r="G20" s="347"/>
      <c r="H20" s="347">
        <v>446452.99999999994</v>
      </c>
      <c r="I20"/>
    </row>
    <row r="21" spans="1:9">
      <c r="A21" s="345" t="s">
        <v>372</v>
      </c>
      <c r="B21" s="347">
        <v>0</v>
      </c>
      <c r="C21" s="347">
        <v>0</v>
      </c>
      <c r="D21" s="347">
        <v>25400</v>
      </c>
      <c r="E21" s="347">
        <v>2897188.8609797913</v>
      </c>
      <c r="F21" s="347">
        <v>344660.44273913064</v>
      </c>
      <c r="G21" s="347">
        <v>33082.482526570078</v>
      </c>
      <c r="H21" s="347">
        <v>3300331.7862454923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374</v>
      </c>
      <c r="F2" s="19" t="s">
        <v>375</v>
      </c>
    </row>
    <row r="3" spans="3:8">
      <c r="C3" s="15">
        <v>45658</v>
      </c>
      <c r="D3" s="9" t="s">
        <v>376</v>
      </c>
      <c r="F3" s="17" t="s">
        <v>377</v>
      </c>
    </row>
    <row r="4" spans="3:8">
      <c r="C4" s="15">
        <v>45737</v>
      </c>
      <c r="D4" s="9" t="s">
        <v>378</v>
      </c>
      <c r="F4" s="17" t="s">
        <v>379</v>
      </c>
    </row>
    <row r="5" spans="3:8">
      <c r="C5" s="15">
        <v>45765</v>
      </c>
      <c r="D5" s="9" t="s">
        <v>380</v>
      </c>
      <c r="F5" s="17" t="s">
        <v>381</v>
      </c>
    </row>
    <row r="6" spans="3:8" ht="13" thickBot="1">
      <c r="C6" s="15">
        <v>45768</v>
      </c>
      <c r="D6" s="9" t="s">
        <v>382</v>
      </c>
      <c r="F6" s="18" t="s">
        <v>383</v>
      </c>
    </row>
    <row r="7" spans="3:8">
      <c r="C7" s="15">
        <v>45774</v>
      </c>
      <c r="D7" s="9" t="s">
        <v>384</v>
      </c>
    </row>
    <row r="8" spans="3:8">
      <c r="C8" s="15">
        <v>45765</v>
      </c>
      <c r="D8" s="9" t="s">
        <v>385</v>
      </c>
    </row>
    <row r="9" spans="3:8">
      <c r="C9" s="15">
        <v>45778</v>
      </c>
      <c r="D9" s="9" t="s">
        <v>386</v>
      </c>
    </row>
    <row r="10" spans="3:8">
      <c r="C10" s="15">
        <v>45824</v>
      </c>
      <c r="D10" s="9" t="s">
        <v>387</v>
      </c>
    </row>
    <row r="11" spans="3:8">
      <c r="C11" s="15">
        <v>45878</v>
      </c>
      <c r="D11" s="9" t="s">
        <v>388</v>
      </c>
    </row>
    <row r="12" spans="3:8">
      <c r="C12" s="15">
        <v>45924</v>
      </c>
      <c r="D12" s="9" t="s">
        <v>389</v>
      </c>
    </row>
    <row r="13" spans="3:8">
      <c r="C13" s="15">
        <v>46007</v>
      </c>
      <c r="D13" s="9" t="s">
        <v>390</v>
      </c>
      <c r="F13" s="20"/>
      <c r="H13" s="9" t="s">
        <v>391</v>
      </c>
    </row>
    <row r="14" spans="3:8">
      <c r="C14" s="15">
        <v>46016</v>
      </c>
      <c r="D14" s="9" t="s">
        <v>392</v>
      </c>
    </row>
    <row r="15" spans="3:8">
      <c r="C15" s="15">
        <v>46017</v>
      </c>
      <c r="D15" s="9" t="s">
        <v>393</v>
      </c>
    </row>
    <row r="16" spans="3:8">
      <c r="C16" s="15">
        <v>46006</v>
      </c>
      <c r="D16" s="9" t="s">
        <v>394</v>
      </c>
    </row>
    <row r="17" spans="3:4">
      <c r="C17" s="15">
        <v>46007</v>
      </c>
      <c r="D17" s="9" t="s">
        <v>394</v>
      </c>
    </row>
    <row r="18" spans="3:4">
      <c r="C18" s="15">
        <v>46008</v>
      </c>
      <c r="D18" s="9" t="s">
        <v>394</v>
      </c>
    </row>
    <row r="19" spans="3:4">
      <c r="C19" s="15">
        <v>46009</v>
      </c>
      <c r="D19" s="9" t="s">
        <v>394</v>
      </c>
    </row>
    <row r="20" spans="3:4">
      <c r="C20" s="15">
        <v>46010</v>
      </c>
      <c r="D20" s="9" t="s">
        <v>394</v>
      </c>
    </row>
    <row r="21" spans="3:4">
      <c r="C21" s="15">
        <v>46011</v>
      </c>
      <c r="D21" s="9" t="s">
        <v>394</v>
      </c>
    </row>
    <row r="22" spans="3:4">
      <c r="C22" s="15">
        <v>46012</v>
      </c>
      <c r="D22" s="9" t="s">
        <v>394</v>
      </c>
    </row>
    <row r="23" spans="3:4">
      <c r="C23" s="15">
        <v>46013</v>
      </c>
      <c r="D23" s="9" t="s">
        <v>394</v>
      </c>
    </row>
    <row r="24" spans="3:4">
      <c r="C24" s="15">
        <v>46014</v>
      </c>
      <c r="D24" s="9" t="s">
        <v>394</v>
      </c>
    </row>
    <row r="25" spans="3:4">
      <c r="C25" s="15">
        <v>46015</v>
      </c>
      <c r="D25" s="9" t="s">
        <v>394</v>
      </c>
    </row>
    <row r="26" spans="3:4">
      <c r="C26" s="15">
        <v>46016</v>
      </c>
      <c r="D26" s="9" t="s">
        <v>394</v>
      </c>
    </row>
    <row r="27" spans="3:4">
      <c r="C27" s="15">
        <v>46017</v>
      </c>
      <c r="D27" s="9" t="s">
        <v>394</v>
      </c>
    </row>
    <row r="28" spans="3:4">
      <c r="C28" s="15">
        <v>46018</v>
      </c>
      <c r="D28" s="9" t="s">
        <v>394</v>
      </c>
    </row>
    <row r="29" spans="3:4">
      <c r="C29" s="15">
        <v>46019</v>
      </c>
      <c r="D29" s="9" t="s">
        <v>394</v>
      </c>
    </row>
    <row r="30" spans="3:4">
      <c r="C30" s="15">
        <v>46020</v>
      </c>
      <c r="D30" s="9" t="s">
        <v>394</v>
      </c>
    </row>
    <row r="31" spans="3:4">
      <c r="C31" s="15">
        <v>46021</v>
      </c>
      <c r="D31" s="9" t="s">
        <v>394</v>
      </c>
    </row>
    <row r="32" spans="3:4">
      <c r="C32" s="15">
        <v>46022</v>
      </c>
      <c r="D32" s="9" t="s">
        <v>394</v>
      </c>
    </row>
    <row r="33" spans="3:4">
      <c r="C33" s="15">
        <v>46023</v>
      </c>
      <c r="D33" s="9" t="s">
        <v>394</v>
      </c>
    </row>
    <row r="34" spans="3:4">
      <c r="C34" s="15">
        <v>46024</v>
      </c>
      <c r="D34" s="9" t="s">
        <v>394</v>
      </c>
    </row>
    <row r="35" spans="3:4">
      <c r="C35" s="15">
        <v>46025</v>
      </c>
      <c r="D35" s="9" t="s">
        <v>394</v>
      </c>
    </row>
    <row r="36" spans="3:4">
      <c r="C36" s="15">
        <v>46026</v>
      </c>
      <c r="D36" s="9" t="s">
        <v>394</v>
      </c>
    </row>
    <row r="37" spans="3:4">
      <c r="C37" s="15">
        <v>46027</v>
      </c>
      <c r="D37" s="9" t="s">
        <v>394</v>
      </c>
    </row>
    <row r="38" spans="3:4">
      <c r="C38" s="15">
        <v>46028</v>
      </c>
      <c r="D38" s="9" t="s">
        <v>394</v>
      </c>
    </row>
    <row r="39" spans="3:4">
      <c r="C39" s="15">
        <v>46029</v>
      </c>
      <c r="D39" s="9" t="s">
        <v>394</v>
      </c>
    </row>
    <row r="40" spans="3:4">
      <c r="C40" s="15">
        <v>46030</v>
      </c>
      <c r="D40" s="9" t="s">
        <v>394</v>
      </c>
    </row>
    <row r="41" spans="3:4">
      <c r="C41" s="15"/>
      <c r="D41" s="9" t="s">
        <v>394</v>
      </c>
    </row>
    <row r="42" spans="3:4">
      <c r="C42" s="15"/>
      <c r="D42" s="9" t="s">
        <v>394</v>
      </c>
    </row>
    <row r="43" spans="3:4">
      <c r="C43" s="15"/>
      <c r="D43" s="9" t="s">
        <v>394</v>
      </c>
    </row>
    <row r="44" spans="3:4">
      <c r="C44" s="15"/>
      <c r="D44" s="9" t="s">
        <v>394</v>
      </c>
    </row>
    <row r="45" spans="3:4">
      <c r="C45" s="15"/>
      <c r="D45" s="9" t="s">
        <v>394</v>
      </c>
    </row>
    <row r="46" spans="3:4">
      <c r="C46" s="15"/>
      <c r="D46" s="9" t="s">
        <v>394</v>
      </c>
    </row>
    <row r="47" spans="3:4">
      <c r="C47" s="15"/>
      <c r="D47" s="9" t="s">
        <v>394</v>
      </c>
    </row>
    <row r="48" spans="3:4">
      <c r="C48" s="15"/>
      <c r="D48" s="9" t="s">
        <v>394</v>
      </c>
    </row>
    <row r="49" spans="3:4">
      <c r="C49" s="15">
        <v>46102</v>
      </c>
      <c r="D49" s="9" t="s">
        <v>378</v>
      </c>
    </row>
    <row r="50" spans="3:4">
      <c r="C50" s="15">
        <v>46115</v>
      </c>
      <c r="D50" s="9" t="s">
        <v>380</v>
      </c>
    </row>
    <row r="51" spans="3:4">
      <c r="C51" s="15">
        <v>46118</v>
      </c>
      <c r="D51" s="9" t="s">
        <v>382</v>
      </c>
    </row>
    <row r="52" spans="3:4">
      <c r="C52" s="15">
        <v>46139</v>
      </c>
      <c r="D52" s="9" t="s">
        <v>384</v>
      </c>
    </row>
    <row r="53" spans="3:4">
      <c r="C53" s="15">
        <v>46143</v>
      </c>
      <c r="D53" s="9" t="s">
        <v>386</v>
      </c>
    </row>
    <row r="54" spans="3:4">
      <c r="C54" s="15">
        <v>46189</v>
      </c>
      <c r="D54" s="9" t="s">
        <v>387</v>
      </c>
    </row>
    <row r="55" spans="3:4">
      <c r="C55" s="15">
        <v>46243</v>
      </c>
      <c r="D55" s="9" t="s">
        <v>388</v>
      </c>
    </row>
    <row r="56" spans="3:4">
      <c r="C56" s="15">
        <v>46244</v>
      </c>
      <c r="D56" s="9" t="s">
        <v>395</v>
      </c>
    </row>
    <row r="57" spans="3:4">
      <c r="C57" s="15">
        <v>46289</v>
      </c>
      <c r="D57" s="9" t="s">
        <v>389</v>
      </c>
    </row>
    <row r="58" spans="3:4">
      <c r="C58" s="15">
        <v>46372</v>
      </c>
      <c r="D58" s="9" t="s">
        <v>390</v>
      </c>
    </row>
    <row r="59" spans="3:4">
      <c r="C59" s="15">
        <v>46381</v>
      </c>
      <c r="D59" s="9" t="s">
        <v>392</v>
      </c>
    </row>
    <row r="60" spans="3:4" ht="13" thickBot="1">
      <c r="C60" s="16">
        <v>46382</v>
      </c>
      <c r="D60" s="9" t="s">
        <v>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acfecf2-4047-4d7b-9ec8-592b51a52bf7"/>
    <ds:schemaRef ds:uri="ab964f2b-203c-4425-a556-91316bb05fea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2026-02-12T09:24:31Z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