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7" documentId="13_ncr:1_{457F1F40-F6F4-415A-9055-9CBF9B2A3DC8}" xr6:coauthVersionLast="47" xr6:coauthVersionMax="47" xr10:uidLastSave="{22119A38-8067-4692-AE09-A0D0A069EEA5}"/>
  <bookViews>
    <workbookView xWindow="28680" yWindow="-120" windowWidth="29040" windowHeight="15720" tabRatio="878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8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<sst xmlns="http://schemas.openxmlformats.org/spreadsheetml/2006/main" count="913" uniqueCount="535">
  <si>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</si>
  <si>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</si>
  <si>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</si>
  <si>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</si>
  <si>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</si>
  <si>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</si>
  <si>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</si>
  <si>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</si>
  <si>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</si>
  <si>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</si>
  <si>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</si>
  <si>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</si>
  <si>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</si>
  <si>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</si>
  <si>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</si>
  <si>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</si>
  <si>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</si>
  <si>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</si>
  <si>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</si>
  <si>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</si>
  <si>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</si>
  <si>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</si>
  <si>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</si>
  <si>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</si>
  <si>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</si>
  <si>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</si>
  <si>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</si>
  <si>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</si>
  <si>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</si>
  <si>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</si>
  <si>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</si>
  <si>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</si>
  <si>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</si>
  <si>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</si>
  <si>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</si>
  <si>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</si>
  <si>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</si>
  <si>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</si>
  <si>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</si>
  <si>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</si>
  <si>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</si>
  <si>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</si>
  <si>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</si>
  <si>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</si>
  <si>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</si>
  <si>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</si>
  <si>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</si>
  <si>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</si>
  <si>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</si>
  <si>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</si>
  <si>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</si>
  <si>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</si>
  <si>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</si>
  <si>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</si>
  <si>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</si>
  <si>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</si>
  <si>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</si>
  <si>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</si>
  <si>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</si>
  <si>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</si>
  <si>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</si>
  <si>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</si>
  <si>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</si>
  <si>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</si>
  <si>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</si>
  <si>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</si>
  <si>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</si>
  <si>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</si>
  <si>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</si>
  <si>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</si>
  <si>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</si>
  <si>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</si>
  <si>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</si>
  <si>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</si>
  <si>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</si>
  <si>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</si>
  <si>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</si>
  <si>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</si>
  <si>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</si>
  <si>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</si>
  <si>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</si>
  <si>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</si>
  <si>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</si>
  <si>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</si>
  <si>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</si>
  <si>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</si>
  <si>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</si>
  <si>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</si>
  <si>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</si>
  <si>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</si>
  <si>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</si>
  <si>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</si>
  <si>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</si>
  <si>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</si>
  <si>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</si>
  <si>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</si>
  <si>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</si>
  <si>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</si>
  <si>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</si>
  <si>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</si>
  <si>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</si>
  <si>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</si>
  <si>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</si>
  <si>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</si>
  <si>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</si>
  <si>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</si>
  <si>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</si>
  <si>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</si>
  <si>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</si>
  <si>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</si>
  <si>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</si>
  <si>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</si>
  <si>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</si>
  <si>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</si>
  <si>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</si>
  <si>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</si>
  <si>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</si>
  <si>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</si>
  <si>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</si>
  <si>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</si>
  <si>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</si>
  <si>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</si>
  <si>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</si>
  <si>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</si>
  <si>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</si>
  <si>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</si>
  <si>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</si>
  <si>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</si>
  <si>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</si>
  <si>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</si>
  <si>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</si>
  <si>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</si>
  <si>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</si>
  <si>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</si>
  <si>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</si>
  <si>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</si>
  <si>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</si>
  <si>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</si>
  <si>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</si>
  <si>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</si>
  <si>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</si>
  <si>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</si>
  <si>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</si>
  <si>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</si>
  <si>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</si>
  <si>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</si>
  <si>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</si>
  <si>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</si>
  <si>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</si>
  <si>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</si>
  <si>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</si>
  <si>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</si>
  <si>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</si>
  <si>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</si>
  <si>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</si>
  <si>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</si>
  <si>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</si>
  <si>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</si>
  <si>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</si>
  <si>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</si>
  <si>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</si>
  <si>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</si>
  <si>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</si>
  <si>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</si>
  <si>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</si>
  <si>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</si>
  <si>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</si>
  <si>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</si>
  <si>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</si>
  <si>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</si>
  <si>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</si>
  <si>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</si>
  <si>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</si>
  <si>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</si>
  <si>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</si>
  <si>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</si>
  <si>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</si>
  <si>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</si>
  <si>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</si>
  <si>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</si>
  <si>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</si>
  <si>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</si>
  <si>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</si>
  <si>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</si>
  <si>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</si>
  <si>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</si>
  <si>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</si>
  <si>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</si>
  <si>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</si>
  <si>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</si>
  <si>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</si>
  <si>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</si>
  <si>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</si>
  <si>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</si>
  <si>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</si>
  <si>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</si>
  <si>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</si>
  <si>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</si>
  <si>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</si>
  <si>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</si>
  <si>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</si>
  <si>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</si>
  <si>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</si>
  <si>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</si>
  <si>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</si>
  <si>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</si>
  <si>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</si>
  <si>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</si>
  <si>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</si>
  <si>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</si>
  <si>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</si>
  <si>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</si>
  <si>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</si>
  <si>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</si>
  <si>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</si>
  <si>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</si>
  <si>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</si>
  <si>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</si>
  <si>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</si>
  <si>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</si>
  <si>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</si>
  <si>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</si>
  <si>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</si>
  <si>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</si>
  <si>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</si>
  <si>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</si>
  <si>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</si>
  <si>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</si>
  <si>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</si>
  <si>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</si>
  <si>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</si>
  <si>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</si>
  <si>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</si>
  <si>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</si>
  <si>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</si>
  <si>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</si>
  <si>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</si>
  <si>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</si>
  <si>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</si>
  <si>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</si>
  <si>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</si>
  <si>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</si>
  <si>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</si>
  <si>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</si>
  <si>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</si>
  <si>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</si>
  <si>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</si>
  <si>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</si>
  <si>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</si>
  <si>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</si>
  <si>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</si>
  <si>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</si>
  <si>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</si>
  <si>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</si>
  <si>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</si>
  <si>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</si>
  <si>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</si>
  <si>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</si>
  <si>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</si>
  <si>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</si>
  <si>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</si>
  <si>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</si>
  <si>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</si>
  <si>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</si>
  <si>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</si>
  <si>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</si>
  <si>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</si>
  <si>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</si>
  <si>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</si>
  <si>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</si>
  <si>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</si>
  <si>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</si>
  <si>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</si>
  <si>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</si>
  <si>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</si>
  <si>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</si>
  <si>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</si>
  <si>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</si>
  <si>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</si>
  <si>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</si>
  <si>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</si>
  <si>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</si>
  <si>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</si>
  <si>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</si>
  <si>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</si>
  <si>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</si>
  <si>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</si>
  <si>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</si>
  <si>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</si>
  <si>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</si>
  <si>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</si>
  <si>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</si>
  <si>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</si>
  <si>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</si>
  <si>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</si>
  <si>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</si>
  <si>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</si>
  <si>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</si>
  <si>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</si>
  <si>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</si>
  <si>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</si>
  <si>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</si>
  <si>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</si>
  <si>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</si>
  <si>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</si>
  <si>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</si>
  <si>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</si>
  <si>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</si>
  <si>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</si>
  <si>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</si>
  <si>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</si>
  <si>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</si>
  <si>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</si>
  <si>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</si>
  <si>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</si>
  <si>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</si>
  <si>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</si>
  <si>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</si>
  <si>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</si>
  <si>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</si>
  <si>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</si>
  <si>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</si>
  <si>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</si>
  <si>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</si>
  <si>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</si>
  <si>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</si>
  <si>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</si>
  <si>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</si>
  <si>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</si>
  <si>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</si>
  <si>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</si>
  <si>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</si>
  <si>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</si>
  <si>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</si>
  <si>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</si>
  <si>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</si>
  <si>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</si>
  <si>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</si>
  <si>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</si>
  <si>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</si>
  <si>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</si>
  <si>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</si>
  <si>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</si>
  <si>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</si>
  <si>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</si>
  <si>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</si>
  <si>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</si>
  <si>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</si>
  <si>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</si>
  <si>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</si>
  <si>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</si>
  <si>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</si>
  <si>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</si>
  <si>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</si>
  <si>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</si>
  <si>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</si>
  <si>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</si>
  <si>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</si>
  <si>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</si>
  <si>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</si>
  <si>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</si>
  <si>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</si>
  <si>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</si>
  <si>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</si>
  <si>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</si>
  <si>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</si>
  <si>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</si>
  <si>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</si>
  <si>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</si>
  <si>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</si>
  <si>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</si>
  <si>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</si>
  <si>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</si>
  <si>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</si>
  <si>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</si>
  <si>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</si>
  <si>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</si>
  <si>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</si>
  <si>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</si>
  <si>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</si>
  <si>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</si>
  <si>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</si>
  <si>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</si>
  <si>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</si>
  <si>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</si>
  <si>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</si>
  <si>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</si>
  <si>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</si>
  <si>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</si>
  <si>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</si>
  <si>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</si>
  <si>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</si>
  <si>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</si>
  <si>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</si>
  <si>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</si>
  <si>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</si>
  <si>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</si>
  <si>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</si>
  <si>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</si>
  <si>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</si>
  <si>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</si>
  <si>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</si>
  <si>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</si>
  <si>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</si>
  <si>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</si>
  <si>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</si>
  <si>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</si>
  <si>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</si>
  <si>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</si>
  <si>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</si>
  <si>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</si>
  <si>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</si>
  <si>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</si>
  <si>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</si>
  <si>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</si>
  <si>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</si>
  <si>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</si>
  <si>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</si>
  <si>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</si>
  <si>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</si>
  <si>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</si>
  <si>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</si>
  <si>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</si>
  <si>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</si>
  <si>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</si>
  <si>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</si>
  <si>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</si>
  <si>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</si>
  <si>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</si>
  <si>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</si>
  <si>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</si>
  <si>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</si>
  <si>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</si>
  <si>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</si>
  <si>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</si>
  <si>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</si>
  <si>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</si>
  <si>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</si>
  <si>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</si>
  <si>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</si>
  <si>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</si>
  <si>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</si>
  <si>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</si>
  <si>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</si>
  <si>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</si>
  <si>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</si>
  <si>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</si>
  <si>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</si>
  <si>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</si>
  <si>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</si>
  <si>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</si>
  <si>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</si>
  <si>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</si>
  <si>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</si>
  <si>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</si>
  <si>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</si>
  <si>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</si>
  <si>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</si>
  <si>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</si>
  <si>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</si>
  <si>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</si>
  <si>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</si>
  <si>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</si>
  <si>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</si>
  <si>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</si>
  <si>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</si>
  <si>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</si>
  <si>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</si>
  <si>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</si>
  <si>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</si>
  <si>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</si>
  <si>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</si>
  <si>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</si>
  <si>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</si>
  <si>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</si>
  <si>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</si>
  <si>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</si>
  <si>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</si>
  <si>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</si>
  <si>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</si>
  <si>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</si>
  <si>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</si>
  <si>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</si>
  <si>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</si>
  <si>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</si>
  <si>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</si>
  <si>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</si>
  <si>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</si>
  <si>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</si>
  <si>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</si>
  <si>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</si>
  <si>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</si>
  <si>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</si>
  <si>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</si>
  <si>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</si>
  <si>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</si>
  <si>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</si>
  <si>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</si>
  <si>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</si>
  <si>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</si>
  <si>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</si>
  <si>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</si>
  <si>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</si>
  <si>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</si>
  <si>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</si>
  <si>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</si>
  <si>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</si>
  <si>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</si>
  <si>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</si>
  <si>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</si>
  <si>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</si>
  <si>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</si>
  <si>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</si>
  <si>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</si>
  <si>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</si>
  <si>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</si>
  <si>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</si>
  <si>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</si>
  <si>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</si>
  <si>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</si>
  <si>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</si>
  <si>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</si>
  <si>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</si>
  <si>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</si>
  <si>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</si>
  <si>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</si>
  <si>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</si>
  <si>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Replacement of Earth Cable - VO</t>
  </si>
  <si>
    <t>Delays and standing time - VO</t>
  </si>
  <si>
    <t>VO PM Limit</t>
  </si>
  <si>
    <t>Current VO Total</t>
  </si>
  <si>
    <t>Modification on inverter cage</t>
  </si>
  <si>
    <t>The Engineering Hub Inv: INV/2026/01/0252</t>
  </si>
  <si>
    <t>JerryG &amp; Sons INV26</t>
  </si>
  <si>
    <t>PO4573-MARSH-20260126 -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</si>
</sst>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4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042106481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5-12-31T00:00:00"/>
        <d v="2025-09-30T00:00:00"/>
        <d v="2025-08-31T00:00:00"/>
        <d v="2025-11-30T00:00:00"/>
        <d v="2026-01-31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2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1-29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2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1-29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1082.9314999998"/>
  </r>
  <r>
    <n v="8"/>
    <x v="8"/>
    <m/>
    <m/>
    <m/>
    <m/>
    <m/>
    <m/>
    <x v="2"/>
    <n v="0"/>
    <m/>
    <m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7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8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8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9"/>
    <n v="158832.35294117648"/>
    <m/>
    <d v="2025-10-16T00:00:00"/>
    <m/>
  </r>
  <r>
    <n v="9"/>
    <x v="9"/>
    <s v="DC Installation Complete"/>
    <m/>
    <n v="0.25"/>
    <n v="216687.15"/>
    <m/>
    <s v="Greenway Solar: INV0001425"/>
    <x v="8"/>
    <n v="198540.44117647057"/>
    <m/>
    <d v="2025-10-16T00:00:00"/>
    <m/>
  </r>
  <r>
    <n v="9"/>
    <x v="9"/>
    <s v="Commissioning Complete"/>
    <m/>
    <n v="0.1"/>
    <n v="86674.86"/>
    <m/>
    <s v="Greenway Solar: INV0001425"/>
    <x v="8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2T00:00:00"/>
    <m/>
  </r>
  <r>
    <n v="9"/>
    <x v="9"/>
    <s v="Handover Document Complete"/>
    <m/>
    <n v="0.05"/>
    <n v="43337.43"/>
    <m/>
    <s v="Greenway Solar: INV0001425"/>
    <x v="5"/>
    <n v="39708.088235294119"/>
    <m/>
    <d v="2026-01-29T00:00:00"/>
    <m/>
  </r>
  <r>
    <n v="9"/>
    <x v="9"/>
    <s v="End of Defects Period"/>
    <m/>
    <n v="0.05"/>
    <n v="43337.43"/>
    <m/>
    <s v="Greenway Solar: INV0001425"/>
    <x v="5"/>
    <n v="39708.08823529411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6073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9"/>
    <n v="19979.22"/>
    <m/>
    <d v="2025-09-01T00:00:00"/>
    <m/>
  </r>
  <r>
    <n v="10"/>
    <x v="10"/>
    <s v="Security - September"/>
    <m/>
    <m/>
    <n v="39900"/>
    <m/>
    <s v="JerryG &amp; Sons: INV14"/>
    <x v="8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0"/>
    <m/>
    <m/>
    <d v="2025-11-28T00:00:00"/>
    <m/>
  </r>
  <r>
    <n v="10"/>
    <x v="10"/>
    <s v="Security - December"/>
    <m/>
    <m/>
    <n v="41230"/>
    <m/>
    <s v="JerryG &amp; Sons INV23"/>
    <x v="7"/>
    <m/>
    <m/>
    <d v="2026-01-09T00:00:00"/>
    <m/>
  </r>
  <r>
    <n v="10"/>
    <x v="10"/>
    <s v="Security - January"/>
    <m/>
    <m/>
    <n v="63700"/>
    <m/>
    <m/>
    <x v="11"/>
    <m/>
    <m/>
    <d v="2026-01-31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2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1-29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9"/>
    <n v="1494.1"/>
    <m/>
    <d v="2025-08-31T00:00:00"/>
    <m/>
  </r>
  <r>
    <n v="14"/>
    <x v="14"/>
    <s v="Travel"/>
    <m/>
    <m/>
    <n v="862.99"/>
    <m/>
    <s v="Expense Claim"/>
    <x v="8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0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2-28T00:00:00"/>
    <m/>
  </r>
  <r>
    <n v="15"/>
    <x v="15"/>
    <m/>
    <m/>
    <m/>
    <m/>
    <m/>
    <m/>
    <x v="10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9"/>
        <item x="8"/>
        <item x="5"/>
        <item x="10"/>
        <item x="7"/>
        <item x="2"/>
        <item m="1" x="13"/>
        <item m="1" x="12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9"/>
        <item x="8"/>
        <item x="5"/>
        <item x="10"/>
        <item x="7"/>
        <item x="2"/>
        <item m="1" x="13"/>
        <item m="1" x="12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218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1" zoomScaleNormal="100" workbookViewId="0">
      <selection activeCell="C7" sqref="C7:E7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2187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" style="112" bestFit="1" customWidth="1"/>
    <col min="15" max="15" width="106.21875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46055</v>
      </c>
      <c r="O1" s="405">
        <f ca="1">TODAY()</f>
        <v>46055</v>
      </c>
      <c r="Q1" s="3"/>
    </row>
    <row r="2" spans="2:28">
      <c r="B2" s="176"/>
      <c r="C2" s="177" t="s">
        <v>0</v>
      </c>
      <c r="D2" s="178"/>
      <c r="E2" s="723" t="s">
        <v>73</v>
      </c>
      <c r="F2" s="724"/>
      <c r="G2" s="724"/>
      <c r="H2" s="725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6" t="s">
        <v>76</v>
      </c>
      <c r="F4" s="727"/>
      <c r="G4" s="727"/>
      <c r="H4" s="728"/>
      <c r="J4" s="113"/>
      <c r="Q4" s="3"/>
    </row>
    <row r="5" spans="2:28" s="112" customFormat="1">
      <c r="B5" s="179"/>
      <c r="C5" s="180" t="s">
        <v>77</v>
      </c>
      <c r="D5" s="178"/>
      <c r="E5" s="726" t="s">
        <v>78</v>
      </c>
      <c r="F5" s="727"/>
      <c r="G5" s="727"/>
      <c r="H5" s="728"/>
      <c r="J5" s="113"/>
      <c r="Q5" s="3"/>
    </row>
    <row r="6" spans="2:28">
      <c r="B6" s="184"/>
      <c r="C6" s="185" t="s">
        <v>79</v>
      </c>
      <c r="D6" s="178"/>
      <c r="E6" s="729">
        <v>8906375</v>
      </c>
      <c r="F6" s="730"/>
      <c r="G6" s="730"/>
      <c r="H6" s="731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35" t="s">
        <v>81</v>
      </c>
      <c r="C8" s="736" t="s">
        <v>82</v>
      </c>
      <c r="D8" s="215"/>
      <c r="E8" s="734" t="s">
        <v>83</v>
      </c>
      <c r="F8" s="237" t="s">
        <v>84</v>
      </c>
      <c r="G8" s="734" t="s">
        <v>85</v>
      </c>
      <c r="H8" s="238"/>
      <c r="I8" s="734" t="s">
        <v>86</v>
      </c>
      <c r="J8" s="237" t="s">
        <v>84</v>
      </c>
      <c r="K8" s="734" t="s">
        <v>87</v>
      </c>
      <c r="M8" s="412" t="s">
        <v>60</v>
      </c>
      <c r="N8" s="678" t="s">
        <v>88</v>
      </c>
      <c r="O8" s="732" t="s">
        <v>89</v>
      </c>
      <c r="Z8" s="112"/>
      <c r="AA8" s="112"/>
      <c r="AB8" s="112"/>
    </row>
    <row r="9" spans="2:28">
      <c r="B9" s="735"/>
      <c r="C9" s="736"/>
      <c r="D9" s="215"/>
      <c r="E9" s="734"/>
      <c r="F9" s="126">
        <f>G41-E19</f>
        <v>90</v>
      </c>
      <c r="G9" s="734"/>
      <c r="H9" s="238"/>
      <c r="I9" s="734"/>
      <c r="J9" s="127">
        <f>K41-I19</f>
        <v>117</v>
      </c>
      <c r="K9" s="734"/>
      <c r="M9" s="362">
        <f>AVERAGE(M11,M18,M21,M28,M35,M39,M46,M43)</f>
        <v>0.97596153846153844</v>
      </c>
      <c r="N9" s="362">
        <f ca="1">AVERAGE(N11,N18,N21,N28,N35,N39,N46,N43)</f>
        <v>1</v>
      </c>
      <c r="O9" s="73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0.80769230769230771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21875" style="129" bestFit="1" customWidth="1"/>
    <col min="8" max="8" width="15.44140625" style="129" customWidth="1"/>
    <col min="9" max="9" width="1.44140625" style="129" customWidth="1"/>
    <col min="10" max="10" width="3.2187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129" customWidth="1"/>
    <col min="16" max="16" width="20.5546875" style="129" bestFit="1" customWidth="1"/>
    <col min="17" max="17" width="16.21875" style="129" bestFit="1" customWidth="1"/>
    <col min="18" max="18" width="20.5546875" style="129" customWidth="1"/>
    <col min="19" max="19" width="16.77734375" style="93" bestFit="1" customWidth="1"/>
    <col min="20" max="20" width="20.5546875" style="129" bestFit="1" customWidth="1"/>
    <col min="21" max="21" width="16.2187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.2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529</v>
      </c>
      <c r="H5" s="714" t="s">
        <v>530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159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160</v>
      </c>
    </row>
    <row r="7" spans="1:21" s="93" customFormat="1" ht="15" customHeight="1" thickBot="1">
      <c r="B7" s="352">
        <v>4</v>
      </c>
      <c r="C7" s="353" t="s">
        <v>161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81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34"/>
      <c r="P12" s="166" t="s">
        <v>169</v>
      </c>
      <c r="R12" s="379" t="s">
        <v>170</v>
      </c>
    </row>
    <row r="13" spans="1:21" s="93" customFormat="1" ht="13.2">
      <c r="B13" s="352">
        <v>1</v>
      </c>
      <c r="C13" s="739" t="s">
        <v>171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172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3.2">
      <c r="B14" s="154">
        <v>2</v>
      </c>
      <c r="C14" s="739" t="s">
        <v>173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172</v>
      </c>
      <c r="N14" s="138">
        <v>45778</v>
      </c>
      <c r="P14" s="138">
        <v>45842</v>
      </c>
      <c r="R14" s="380"/>
    </row>
    <row r="15" spans="1:21" s="93" customFormat="1" ht="13.2">
      <c r="B15" s="352">
        <v>3</v>
      </c>
      <c r="C15" s="739" t="s">
        <v>174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172</v>
      </c>
      <c r="N15" s="138">
        <v>45778</v>
      </c>
      <c r="P15" s="138">
        <v>45828</v>
      </c>
      <c r="R15" s="380"/>
    </row>
    <row r="16" spans="1:21" s="93" customFormat="1" ht="13.2">
      <c r="B16" s="352">
        <v>4</v>
      </c>
      <c r="C16" s="737" t="s">
        <v>175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172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3.2">
      <c r="B17" s="352">
        <v>5</v>
      </c>
      <c r="C17" s="737" t="s">
        <v>176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172</v>
      </c>
      <c r="N17" s="138">
        <v>45778</v>
      </c>
      <c r="P17" s="707">
        <v>45975</v>
      </c>
      <c r="R17" s="380"/>
    </row>
    <row r="18" spans="2:19" s="93" customFormat="1" ht="13.2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172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3.2">
      <c r="B19" s="352">
        <v>7</v>
      </c>
      <c r="C19" s="739" t="s">
        <v>177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</row>
    <row r="24" spans="2:19" s="93" customFormat="1" ht="13.2">
      <c r="C24" s="147" t="s">
        <v>180</v>
      </c>
      <c r="D24" s="148"/>
      <c r="F24" s="149"/>
    </row>
    <row r="25" spans="2:19" s="93" customFormat="1" ht="13.2">
      <c r="C25" s="147" t="s">
        <v>181</v>
      </c>
      <c r="D25" s="148"/>
    </row>
    <row r="26" spans="2:19" s="93" customFormat="1" ht="13.2">
      <c r="C26" s="150" t="s">
        <v>182</v>
      </c>
      <c r="D26" s="151"/>
    </row>
    <row r="27" spans="2:19" s="93" customFormat="1" ht="13.2">
      <c r="C27" s="152" t="s">
        <v>183</v>
      </c>
      <c r="D27" s="148"/>
    </row>
    <row r="28" spans="2:19" s="93" customFormat="1" ht="13.2">
      <c r="B28" s="117"/>
      <c r="C28" s="152" t="s">
        <v>184</v>
      </c>
      <c r="D28" s="148"/>
      <c r="L28" s="116">
        <f>F16*1.15</f>
        <v>1536349.6874999998</v>
      </c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1.44140625" style="24" customWidth="1"/>
    <col min="10" max="10" width="18.44140625" style="24" customWidth="1"/>
    <col min="11" max="11" width="3.21875" style="24" customWidth="1"/>
    <col min="12" max="12" width="21.5546875" style="24" customWidth="1"/>
    <col min="13" max="13" width="2" style="24" customWidth="1"/>
    <col min="14" max="14" width="24.44140625" style="24" customWidth="1"/>
    <col min="15" max="15" width="2" style="24" customWidth="1"/>
    <col min="16" max="16" width="53.44140625" style="24" customWidth="1"/>
    <col min="17" max="16384" width="8.441406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4" thickBot="1">
      <c r="A4" s="215"/>
      <c r="B4" s="741"/>
      <c r="C4" s="741"/>
      <c r="D4" s="741"/>
      <c r="E4" s="414"/>
      <c r="F4" s="220" t="s">
        <v>146</v>
      </c>
      <c r="G4" s="215"/>
      <c r="H4" s="220" t="s">
        <v>211</v>
      </c>
      <c r="I4" s="215"/>
      <c r="J4" s="220" t="s">
        <v>147</v>
      </c>
      <c r="K4" s="215"/>
      <c r="L4" s="221" t="s">
        <v>212</v>
      </c>
      <c r="M4" s="112"/>
      <c r="N4" s="221" t="s">
        <v>213</v>
      </c>
      <c r="O4" s="112"/>
      <c r="P4" s="112"/>
    </row>
    <row r="5" spans="1:16" ht="14.4" thickBot="1">
      <c r="A5" s="215"/>
      <c r="B5" s="742" t="s">
        <v>214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7" thickBot="1">
      <c r="A7" s="215"/>
      <c r="B7" s="225" t="s">
        <v>81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228"/>
      <c r="L7" s="227" t="s">
        <v>219</v>
      </c>
      <c r="M7" s="172"/>
      <c r="N7" s="227" t="s">
        <v>219</v>
      </c>
      <c r="O7" s="172"/>
      <c r="P7" s="115" t="s">
        <v>220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70" zoomScaleNormal="70" workbookViewId="0">
      <pane ySplit="4" topLeftCell="A124" activePane="bottomLeft" state="frozen"/>
      <selection activeCell="X33" sqref="X33"/>
      <selection pane="bottomLeft" activeCell="S104" sqref="S104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9.21875" style="70" hidden="1" customWidth="1"/>
    <col min="6" max="6" width="16.5546875" style="475" hidden="1" customWidth="1"/>
    <col min="7" max="7" width="17.21875" style="24" hidden="1" customWidth="1"/>
    <col min="8" max="8" width="17.44140625" style="112" hidden="1" customWidth="1"/>
    <col min="9" max="9" width="22.21875" style="350" hidden="1" customWidth="1"/>
    <col min="10" max="10" width="22.44140625" style="350" customWidth="1"/>
    <col min="11" max="12" width="5.5546875" style="112" customWidth="1"/>
    <col min="13" max="13" width="25.5546875" style="112" customWidth="1"/>
    <col min="14" max="14" width="48.21875" style="112" customWidth="1"/>
    <col min="15" max="15" width="15.5546875" style="112" customWidth="1"/>
    <col min="16" max="17" width="17.44140625" style="112" customWidth="1"/>
    <col min="18" max="18" width="46.44140625" style="112" bestFit="1" customWidth="1"/>
    <col min="19" max="19" width="41.77734375" style="112" bestFit="1" customWidth="1"/>
    <col min="20" max="23" width="17.44140625" style="112" customWidth="1"/>
    <col min="24" max="24" width="21.21875" style="112" customWidth="1"/>
    <col min="25" max="25" width="29.21875" style="112" bestFit="1" customWidth="1"/>
    <col min="26" max="26" width="24.777343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3" t="s">
        <v>222</v>
      </c>
      <c r="C2" s="784"/>
      <c r="D2" s="784"/>
      <c r="E2" s="784"/>
      <c r="F2" s="784"/>
      <c r="G2" s="784"/>
      <c r="H2" s="677"/>
      <c r="I2" s="258">
        <f>SUM(I6:I168)</f>
        <v>8264787.1907145996</v>
      </c>
      <c r="J2" s="258">
        <f>SUM(J6:J168)</f>
        <v>8906374.7836404331</v>
      </c>
      <c r="L2" s="785" t="s">
        <v>223</v>
      </c>
      <c r="M2" s="786"/>
      <c r="N2" s="786"/>
      <c r="O2" s="786"/>
      <c r="P2" s="786"/>
      <c r="Q2" s="786"/>
      <c r="R2" s="787" t="s">
        <v>224</v>
      </c>
      <c r="S2" s="788"/>
      <c r="T2" s="788"/>
      <c r="U2" s="788"/>
      <c r="V2" s="788"/>
      <c r="W2" s="789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6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6" t="s">
        <v>229</v>
      </c>
      <c r="Q4" s="374" t="s">
        <v>234</v>
      </c>
      <c r="R4" s="622" t="s">
        <v>235</v>
      </c>
      <c r="S4" s="623" t="s">
        <v>167</v>
      </c>
      <c r="T4" s="372" t="s">
        <v>168</v>
      </c>
      <c r="U4" s="373" t="s">
        <v>236</v>
      </c>
      <c r="V4" s="374" t="s">
        <v>237</v>
      </c>
      <c r="W4" s="372" t="s">
        <v>231</v>
      </c>
      <c r="X4" s="481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8"/>
      <c r="G6" s="392">
        <f>D169</f>
        <v>1793009.85</v>
      </c>
      <c r="H6" s="537">
        <v>45863</v>
      </c>
      <c r="I6" s="743">
        <f>SUM(G6:G11)</f>
        <v>1793009.85</v>
      </c>
      <c r="J6" s="743">
        <f>F169</f>
        <v>2037511.1931818184</v>
      </c>
      <c r="K6" s="389"/>
      <c r="L6" s="281">
        <v>1</v>
      </c>
      <c r="M6" s="418" t="s">
        <v>240</v>
      </c>
      <c r="N6" s="282" t="s">
        <v>241</v>
      </c>
      <c r="O6" s="550">
        <v>1262</v>
      </c>
      <c r="P6" s="438">
        <v>1327.95</v>
      </c>
      <c r="Q6" s="392">
        <v>1675872.9000000001</v>
      </c>
      <c r="R6" s="588" t="s">
        <v>242</v>
      </c>
      <c r="S6" s="625" t="s">
        <v>243</v>
      </c>
      <c r="T6" s="645">
        <v>45777</v>
      </c>
      <c r="U6" s="654">
        <v>1822352.321612654</v>
      </c>
      <c r="V6" s="755">
        <f>J6-SUM(U6:U11)</f>
        <v>-1.5449556522071362E-3</v>
      </c>
      <c r="W6" s="535">
        <f>T6+90</f>
        <v>45867</v>
      </c>
      <c r="X6" s="746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244</v>
      </c>
      <c r="E7" s="391"/>
      <c r="F7" s="460"/>
      <c r="G7" s="315"/>
      <c r="H7" s="537">
        <v>45864</v>
      </c>
      <c r="I7" s="744"/>
      <c r="J7" s="744"/>
      <c r="K7" s="288"/>
      <c r="L7" s="311">
        <v>1</v>
      </c>
      <c r="M7" s="313" t="s">
        <v>240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56"/>
      <c r="W7" s="573"/>
      <c r="X7" s="74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44"/>
      <c r="J8" s="744"/>
      <c r="K8" s="288"/>
      <c r="L8" s="311">
        <v>1</v>
      </c>
      <c r="M8" s="313" t="s">
        <v>240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56"/>
      <c r="W8" s="573"/>
      <c r="X8" s="74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44"/>
      <c r="J9" s="744"/>
      <c r="K9" s="288"/>
      <c r="L9" s="311">
        <v>1</v>
      </c>
      <c r="M9" s="313" t="s">
        <v>240</v>
      </c>
      <c r="N9" s="486" t="s">
        <v>245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246</v>
      </c>
      <c r="T9" s="662">
        <v>45808</v>
      </c>
      <c r="U9" s="664">
        <v>215158.87311411992</v>
      </c>
      <c r="V9" s="756"/>
      <c r="W9" s="537">
        <v>45866</v>
      </c>
      <c r="X9" s="74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44"/>
      <c r="J10" s="744"/>
      <c r="K10" s="288"/>
      <c r="L10" s="311">
        <v>1</v>
      </c>
      <c r="M10" s="313" t="s">
        <v>240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56"/>
      <c r="W10" s="574"/>
      <c r="X10" s="74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45"/>
      <c r="J11" s="745"/>
      <c r="K11" s="289"/>
      <c r="L11" s="316">
        <v>1</v>
      </c>
      <c r="M11" s="420" t="s">
        <v>240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57"/>
      <c r="W11" s="575"/>
      <c r="X11" s="748"/>
      <c r="Y11" s="606" t="s">
        <v>247</v>
      </c>
      <c r="Z11" s="607" t="s">
        <v>248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249</v>
      </c>
      <c r="Z12" s="609">
        <f>G53</f>
        <v>792658.7130434782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D170</f>
        <v>480000</v>
      </c>
      <c r="H13" s="538">
        <v>45867</v>
      </c>
      <c r="I13" s="774">
        <f>SUM(G13:G19)</f>
        <v>480000</v>
      </c>
      <c r="J13" s="774">
        <f>F170</f>
        <v>545454.54545454541</v>
      </c>
      <c r="K13" s="297"/>
      <c r="L13" s="293">
        <v>2</v>
      </c>
      <c r="M13" s="421" t="s">
        <v>252</v>
      </c>
      <c r="N13" s="700" t="s">
        <v>253</v>
      </c>
      <c r="O13" s="555">
        <v>7</v>
      </c>
      <c r="P13" s="458">
        <v>68870</v>
      </c>
      <c r="Q13" s="296">
        <v>482092.45</v>
      </c>
      <c r="R13" s="593" t="s">
        <v>254</v>
      </c>
      <c r="S13" s="630" t="s">
        <v>255</v>
      </c>
      <c r="T13" s="646">
        <v>45838</v>
      </c>
      <c r="U13" s="671">
        <v>545454.54545454541</v>
      </c>
      <c r="V13" s="765">
        <f>J13-SUM(U13:U19)</f>
        <v>0</v>
      </c>
      <c r="W13" s="538">
        <v>45867</v>
      </c>
      <c r="X13" s="777">
        <f>SUM(Q13:Q19)</f>
        <v>483092.45000000007</v>
      </c>
      <c r="Y13" s="608" t="s">
        <v>256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75"/>
      <c r="J14" s="775"/>
      <c r="K14" s="301"/>
      <c r="L14" s="298">
        <v>2</v>
      </c>
      <c r="M14" s="427" t="s">
        <v>252</v>
      </c>
      <c r="N14" s="701" t="s">
        <v>253</v>
      </c>
      <c r="O14" s="556"/>
      <c r="P14" s="454"/>
      <c r="Q14" s="478">
        <v>68870.350000000006</v>
      </c>
      <c r="R14" s="594"/>
      <c r="S14" s="631" t="s">
        <v>257</v>
      </c>
      <c r="T14" s="659">
        <v>45961</v>
      </c>
      <c r="U14" s="666">
        <v>0</v>
      </c>
      <c r="V14" s="766"/>
      <c r="W14" s="697">
        <v>45995</v>
      </c>
      <c r="X14" s="778"/>
      <c r="Y14" s="608" t="s">
        <v>258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75"/>
      <c r="J15" s="775"/>
      <c r="K15" s="301"/>
      <c r="L15" s="298">
        <v>2</v>
      </c>
      <c r="M15" s="427" t="s">
        <v>252</v>
      </c>
      <c r="N15" s="409"/>
      <c r="O15" s="556"/>
      <c r="P15" s="454"/>
      <c r="Q15" s="478">
        <v>1000</v>
      </c>
      <c r="R15" s="594"/>
      <c r="S15" s="631" t="s">
        <v>257</v>
      </c>
      <c r="T15" s="659">
        <v>45961</v>
      </c>
      <c r="U15" s="666">
        <v>0</v>
      </c>
      <c r="V15" s="766"/>
      <c r="W15" s="697">
        <v>45995</v>
      </c>
      <c r="X15" s="778"/>
      <c r="Y15" s="608" t="s">
        <v>259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75"/>
      <c r="J16" s="775"/>
      <c r="K16" s="301"/>
      <c r="L16" s="298">
        <v>2</v>
      </c>
      <c r="M16" s="427" t="s">
        <v>252</v>
      </c>
      <c r="N16" s="409"/>
      <c r="O16" s="556"/>
      <c r="P16" s="454"/>
      <c r="Q16" s="478">
        <v>-68870.350000000006</v>
      </c>
      <c r="R16" s="594"/>
      <c r="S16" s="631" t="s">
        <v>260</v>
      </c>
      <c r="T16" s="659">
        <v>45961</v>
      </c>
      <c r="U16" s="666">
        <v>0</v>
      </c>
      <c r="V16" s="766"/>
      <c r="W16" s="539">
        <v>45991</v>
      </c>
      <c r="X16" s="778"/>
      <c r="Y16" s="608" t="s">
        <v>261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75"/>
      <c r="J17" s="775"/>
      <c r="K17" s="301"/>
      <c r="L17" s="298">
        <v>2</v>
      </c>
      <c r="M17" s="427" t="s">
        <v>252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66"/>
      <c r="W17" s="578"/>
      <c r="X17" s="778"/>
      <c r="Y17" s="608" t="s">
        <v>262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75"/>
      <c r="J18" s="775"/>
      <c r="K18" s="301"/>
      <c r="L18" s="298">
        <v>2</v>
      </c>
      <c r="M18" s="427" t="s">
        <v>252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66"/>
      <c r="W18" s="578"/>
      <c r="X18" s="778"/>
      <c r="Y18" s="608" t="s">
        <v>263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76"/>
      <c r="J19" s="776"/>
      <c r="K19" s="306"/>
      <c r="L19" s="396">
        <v>2</v>
      </c>
      <c r="M19" s="422" t="s">
        <v>252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67"/>
      <c r="W19" s="579"/>
      <c r="X19" s="779"/>
      <c r="Y19" s="608" t="s">
        <v>264</v>
      </c>
      <c r="Z19" s="609">
        <v>0</v>
      </c>
    </row>
    <row r="20" spans="1:27" ht="14.4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8"/>
      <c r="G21" s="284">
        <f>D171</f>
        <v>371182.5</v>
      </c>
      <c r="H21" s="540">
        <v>45867</v>
      </c>
      <c r="I21" s="743">
        <f>SUM(G21:G26)</f>
        <v>371182.5</v>
      </c>
      <c r="J21" s="743">
        <f>F171</f>
        <v>421798.29545454547</v>
      </c>
      <c r="K21" s="285"/>
      <c r="L21" s="281">
        <v>3</v>
      </c>
      <c r="M21" s="423" t="s">
        <v>267</v>
      </c>
      <c r="N21" s="327" t="s">
        <v>268</v>
      </c>
      <c r="O21" s="550"/>
      <c r="P21" s="438"/>
      <c r="Q21" s="284">
        <v>161223.6</v>
      </c>
      <c r="R21" s="596" t="s">
        <v>269</v>
      </c>
      <c r="S21" s="633" t="s">
        <v>270</v>
      </c>
      <c r="T21" s="661">
        <v>45838</v>
      </c>
      <c r="U21" s="667">
        <v>391583.72662460909</v>
      </c>
      <c r="V21" s="755">
        <f>J21-SUM(U21:U26)</f>
        <v>0</v>
      </c>
      <c r="W21" s="540">
        <v>45867</v>
      </c>
      <c r="X21" s="746">
        <f>SUM(Q21:Q26)</f>
        <v>166868.6</v>
      </c>
      <c r="Y21" s="608" t="s">
        <v>271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44"/>
      <c r="J22" s="744"/>
      <c r="K22" s="288"/>
      <c r="L22" s="311">
        <v>3</v>
      </c>
      <c r="M22" s="424" t="s">
        <v>267</v>
      </c>
      <c r="N22" s="328" t="s">
        <v>272</v>
      </c>
      <c r="O22" s="551"/>
      <c r="P22" s="460"/>
      <c r="Q22" s="315">
        <v>12440</v>
      </c>
      <c r="R22" s="589"/>
      <c r="S22" s="626" t="s">
        <v>273</v>
      </c>
      <c r="T22" s="647">
        <v>45838</v>
      </c>
      <c r="U22" s="663">
        <v>30214.568829936416</v>
      </c>
      <c r="V22" s="756"/>
      <c r="W22" s="536">
        <v>45838</v>
      </c>
      <c r="X22" s="747"/>
      <c r="Y22" s="608" t="s">
        <v>189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44"/>
      <c r="J23" s="744"/>
      <c r="K23" s="288"/>
      <c r="L23" s="311">
        <v>3</v>
      </c>
      <c r="M23" s="424" t="s">
        <v>267</v>
      </c>
      <c r="N23" s="328" t="s">
        <v>274</v>
      </c>
      <c r="O23" s="551"/>
      <c r="P23" s="460"/>
      <c r="Q23" s="315">
        <v>-12440</v>
      </c>
      <c r="R23" s="589"/>
      <c r="S23" s="626" t="s">
        <v>275</v>
      </c>
      <c r="T23" s="647">
        <v>45869</v>
      </c>
      <c r="U23" s="663">
        <v>0</v>
      </c>
      <c r="V23" s="756"/>
      <c r="W23" s="647">
        <v>45869</v>
      </c>
      <c r="X23" s="747"/>
      <c r="Y23" s="608" t="s">
        <v>276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44"/>
      <c r="J24" s="744"/>
      <c r="K24" s="288"/>
      <c r="L24" s="311">
        <v>3</v>
      </c>
      <c r="M24" s="424" t="s">
        <v>267</v>
      </c>
      <c r="N24" s="386" t="s">
        <v>277</v>
      </c>
      <c r="O24" s="552"/>
      <c r="P24" s="445"/>
      <c r="Q24" s="387">
        <v>5645</v>
      </c>
      <c r="R24" s="590"/>
      <c r="S24" s="626" t="s">
        <v>273</v>
      </c>
      <c r="T24" s="647">
        <v>45869</v>
      </c>
      <c r="U24" s="664">
        <v>0</v>
      </c>
      <c r="V24" s="756"/>
      <c r="W24" s="647">
        <v>45869</v>
      </c>
      <c r="X24" s="747"/>
      <c r="Y24" s="613" t="s">
        <v>278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44"/>
      <c r="J25" s="744"/>
      <c r="K25" s="288"/>
      <c r="L25" s="311">
        <v>3</v>
      </c>
      <c r="M25" s="424" t="s">
        <v>267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56"/>
      <c r="W25" s="574"/>
      <c r="X25" s="747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45"/>
      <c r="J26" s="745"/>
      <c r="K26" s="289"/>
      <c r="L26" s="316">
        <v>3</v>
      </c>
      <c r="M26" s="425" t="s">
        <v>267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57"/>
      <c r="W26" s="575"/>
      <c r="X26" s="748"/>
      <c r="Y26" s="614" t="s">
        <v>147</v>
      </c>
      <c r="Z26" s="615" t="s">
        <v>279</v>
      </c>
    </row>
    <row r="27" spans="1:27" ht="14.4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256</v>
      </c>
      <c r="D28" s="294" t="s">
        <v>280</v>
      </c>
      <c r="E28" s="365">
        <f>G28/14*1.15</f>
        <v>22422.699999999997</v>
      </c>
      <c r="F28" s="458"/>
      <c r="G28" s="296">
        <v>272972</v>
      </c>
      <c r="H28" s="647">
        <v>45873</v>
      </c>
      <c r="I28" s="774">
        <f>SUM(G28:G42)</f>
        <v>650651</v>
      </c>
      <c r="J28" s="774">
        <f>F172</f>
        <v>739376.13636363635</v>
      </c>
      <c r="K28" s="297"/>
      <c r="L28" s="293">
        <v>4</v>
      </c>
      <c r="M28" s="426" t="s">
        <v>281</v>
      </c>
      <c r="N28" s="294" t="s">
        <v>282</v>
      </c>
      <c r="O28" s="547">
        <v>16000</v>
      </c>
      <c r="P28" s="458">
        <v>13.3</v>
      </c>
      <c r="Q28" s="296">
        <f>O28*P28</f>
        <v>212800</v>
      </c>
      <c r="R28" s="593" t="s">
        <v>283</v>
      </c>
      <c r="S28" s="630" t="s">
        <v>243</v>
      </c>
      <c r="T28" s="646">
        <f>T6</f>
        <v>45777</v>
      </c>
      <c r="U28" s="655">
        <v>266460.35137266834</v>
      </c>
      <c r="V28" s="765">
        <f>J28-SUM(U28:U42)</f>
        <v>4.1254821699112654E-3</v>
      </c>
      <c r="W28" s="538">
        <f>W6</f>
        <v>45867</v>
      </c>
      <c r="X28" s="777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284</v>
      </c>
      <c r="E29" s="395"/>
      <c r="F29" s="454"/>
      <c r="G29" s="642">
        <f>D172-G28</f>
        <v>377679</v>
      </c>
      <c r="H29" s="647">
        <v>45874</v>
      </c>
      <c r="I29" s="775"/>
      <c r="J29" s="775"/>
      <c r="K29" s="301"/>
      <c r="L29" s="298">
        <v>4</v>
      </c>
      <c r="M29" s="427" t="s">
        <v>281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66"/>
      <c r="W29" s="578"/>
      <c r="X29" s="778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75"/>
      <c r="J30" s="775"/>
      <c r="K30" s="301"/>
      <c r="L30" s="298">
        <v>4</v>
      </c>
      <c r="M30" s="427" t="s">
        <v>281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66"/>
      <c r="W30" s="578"/>
      <c r="X30" s="778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75"/>
      <c r="J31" s="775"/>
      <c r="K31" s="301"/>
      <c r="L31" s="298">
        <v>4</v>
      </c>
      <c r="M31" s="427" t="s">
        <v>281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66"/>
      <c r="W31" s="578"/>
      <c r="X31" s="778"/>
      <c r="Y31" s="616" t="s">
        <v>285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75"/>
      <c r="J32" s="775"/>
      <c r="K32" s="301"/>
      <c r="L32" s="298">
        <v>4</v>
      </c>
      <c r="M32" s="427" t="s">
        <v>281</v>
      </c>
      <c r="N32" s="409" t="s">
        <v>286</v>
      </c>
      <c r="O32" s="567">
        <f>Z28</f>
        <v>188519.83</v>
      </c>
      <c r="P32" s="568">
        <v>0.1</v>
      </c>
      <c r="Q32" s="300">
        <f>$O$32*P32</f>
        <v>18851.983</v>
      </c>
      <c r="R32" s="768" t="s">
        <v>287</v>
      </c>
      <c r="S32" s="631" t="s">
        <v>288</v>
      </c>
      <c r="T32" s="659">
        <v>45808</v>
      </c>
      <c r="U32" s="666">
        <v>34732.164501646854</v>
      </c>
      <c r="V32" s="766"/>
      <c r="W32" s="539">
        <f>W91</f>
        <v>45813</v>
      </c>
      <c r="X32" s="778"/>
      <c r="Y32" s="616" t="s">
        <v>289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75"/>
      <c r="J33" s="775"/>
      <c r="K33" s="301"/>
      <c r="L33" s="298">
        <v>4</v>
      </c>
      <c r="M33" s="427" t="s">
        <v>281</v>
      </c>
      <c r="N33" s="409" t="s">
        <v>100</v>
      </c>
      <c r="O33" s="556"/>
      <c r="P33" s="568">
        <v>0.15</v>
      </c>
      <c r="Q33" s="300">
        <v>28277.98</v>
      </c>
      <c r="R33" s="769"/>
      <c r="S33" s="631" t="s">
        <v>290</v>
      </c>
      <c r="T33" s="659">
        <f t="shared" si="0"/>
        <v>45838</v>
      </c>
      <c r="U33" s="666">
        <v>93962.946171462478</v>
      </c>
      <c r="V33" s="766"/>
      <c r="W33" s="539">
        <v>45827</v>
      </c>
      <c r="X33" s="778"/>
      <c r="Y33" s="616" t="s">
        <v>291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75"/>
      <c r="J34" s="775"/>
      <c r="K34" s="301"/>
      <c r="L34" s="298">
        <v>4</v>
      </c>
      <c r="M34" s="427" t="s">
        <v>281</v>
      </c>
      <c r="N34" s="409" t="s">
        <v>292</v>
      </c>
      <c r="O34" s="556"/>
      <c r="P34" s="568">
        <v>0.2</v>
      </c>
      <c r="Q34" s="300">
        <f t="shared" ref="Q34:Q39" si="3">$O$32*P34</f>
        <v>37703.966</v>
      </c>
      <c r="R34" s="769"/>
      <c r="S34" s="631" t="s">
        <v>293</v>
      </c>
      <c r="T34" s="659">
        <v>45869</v>
      </c>
      <c r="U34" s="666">
        <v>111329.06805130039</v>
      </c>
      <c r="V34" s="766"/>
      <c r="W34" s="539">
        <f t="shared" ref="W34:W39" si="4">W93</f>
        <v>45946</v>
      </c>
      <c r="X34" s="778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75"/>
      <c r="J35" s="775"/>
      <c r="K35" s="301"/>
      <c r="L35" s="298">
        <v>4</v>
      </c>
      <c r="M35" s="427" t="s">
        <v>281</v>
      </c>
      <c r="N35" s="409" t="s">
        <v>294</v>
      </c>
      <c r="O35" s="556"/>
      <c r="P35" s="568">
        <v>0.25</v>
      </c>
      <c r="Q35" s="300">
        <f t="shared" si="3"/>
        <v>47129.957499999997</v>
      </c>
      <c r="R35" s="769"/>
      <c r="S35" s="631" t="s">
        <v>293</v>
      </c>
      <c r="T35" s="659">
        <v>45869</v>
      </c>
      <c r="U35" s="666">
        <v>128695.11006412546</v>
      </c>
      <c r="V35" s="766"/>
      <c r="W35" s="539">
        <f t="shared" si="4"/>
        <v>45946</v>
      </c>
      <c r="X35" s="778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75"/>
      <c r="J36" s="775"/>
      <c r="K36" s="301"/>
      <c r="L36" s="298">
        <v>4</v>
      </c>
      <c r="M36" s="427" t="s">
        <v>281</v>
      </c>
      <c r="N36" s="409" t="s">
        <v>175</v>
      </c>
      <c r="O36" s="556"/>
      <c r="P36" s="568">
        <v>0.1</v>
      </c>
      <c r="Q36" s="300">
        <f t="shared" si="3"/>
        <v>18851.983</v>
      </c>
      <c r="R36" s="769"/>
      <c r="S36" s="631" t="s">
        <v>293</v>
      </c>
      <c r="T36" s="659">
        <v>45869</v>
      </c>
      <c r="U36" s="666">
        <v>34732.164025650192</v>
      </c>
      <c r="V36" s="766"/>
      <c r="W36" s="539">
        <v>45946</v>
      </c>
      <c r="X36" s="778"/>
      <c r="Y36" s="616" t="s">
        <v>271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75"/>
      <c r="J37" s="775"/>
      <c r="K37" s="301"/>
      <c r="L37" s="298">
        <v>4</v>
      </c>
      <c r="M37" s="427" t="s">
        <v>281</v>
      </c>
      <c r="N37" s="409" t="s">
        <v>295</v>
      </c>
      <c r="O37" s="556"/>
      <c r="P37" s="568">
        <v>0.1</v>
      </c>
      <c r="Q37" s="300">
        <f t="shared" si="3"/>
        <v>18851.983</v>
      </c>
      <c r="R37" s="769"/>
      <c r="S37" s="631" t="s">
        <v>293</v>
      </c>
      <c r="T37" s="659">
        <v>45869</v>
      </c>
      <c r="U37" s="666">
        <v>34732.164025650192</v>
      </c>
      <c r="V37" s="766"/>
      <c r="W37" s="539">
        <v>46051</v>
      </c>
      <c r="X37" s="778"/>
      <c r="Y37" s="616" t="s">
        <v>271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75"/>
      <c r="J38" s="775"/>
      <c r="K38" s="301"/>
      <c r="L38" s="298">
        <v>4</v>
      </c>
      <c r="M38" s="427" t="s">
        <v>281</v>
      </c>
      <c r="N38" s="409" t="s">
        <v>296</v>
      </c>
      <c r="O38" s="556"/>
      <c r="P38" s="568">
        <v>0.05</v>
      </c>
      <c r="Q38" s="300">
        <f t="shared" si="3"/>
        <v>9425.9915000000001</v>
      </c>
      <c r="R38" s="769"/>
      <c r="S38" s="631" t="s">
        <v>293</v>
      </c>
      <c r="T38" s="659">
        <v>45869</v>
      </c>
      <c r="U38" s="666">
        <v>17366.082012825096</v>
      </c>
      <c r="V38" s="766"/>
      <c r="W38" s="578">
        <f t="shared" si="4"/>
        <v>46058</v>
      </c>
      <c r="X38" s="778"/>
      <c r="Y38" s="616" t="s">
        <v>189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75"/>
      <c r="J39" s="775"/>
      <c r="K39" s="301"/>
      <c r="L39" s="298">
        <v>4</v>
      </c>
      <c r="M39" s="427" t="s">
        <v>281</v>
      </c>
      <c r="N39" s="409" t="s">
        <v>297</v>
      </c>
      <c r="O39" s="556"/>
      <c r="P39" s="568">
        <v>0.05</v>
      </c>
      <c r="Q39" s="300">
        <f t="shared" si="3"/>
        <v>9425.9915000000001</v>
      </c>
      <c r="R39" s="770"/>
      <c r="S39" s="631" t="s">
        <v>293</v>
      </c>
      <c r="T39" s="659">
        <v>45869</v>
      </c>
      <c r="U39" s="666">
        <v>17366.082012825096</v>
      </c>
      <c r="V39" s="766"/>
      <c r="W39" s="578">
        <f t="shared" si="4"/>
        <v>46088</v>
      </c>
      <c r="X39" s="778"/>
      <c r="Y39" s="619" t="s">
        <v>278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75"/>
      <c r="J40" s="775"/>
      <c r="K40" s="301"/>
      <c r="L40" s="298">
        <v>4</v>
      </c>
      <c r="M40" s="427" t="s">
        <v>281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66"/>
      <c r="W40" s="578"/>
      <c r="X40" s="778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75"/>
      <c r="J41" s="775"/>
      <c r="K41" s="301"/>
      <c r="L41" s="298">
        <v>4</v>
      </c>
      <c r="M41" s="427" t="s">
        <v>281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66"/>
      <c r="W41" s="578"/>
      <c r="X41" s="778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76"/>
      <c r="J42" s="776"/>
      <c r="K42" s="306"/>
      <c r="L42" s="302">
        <v>4</v>
      </c>
      <c r="M42" s="428" t="s">
        <v>281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67"/>
      <c r="W42" s="579"/>
      <c r="X42" s="779"/>
      <c r="Y42" s="483"/>
    </row>
    <row r="43" spans="1:26" ht="14.4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298</v>
      </c>
      <c r="D44" s="327" t="s">
        <v>299</v>
      </c>
      <c r="E44" s="283"/>
      <c r="F44" s="438"/>
      <c r="G44" s="284">
        <f>D174-G45</f>
        <v>34000</v>
      </c>
      <c r="H44" s="540">
        <v>45855</v>
      </c>
      <c r="I44" s="743">
        <f>SUM(G44:G51)</f>
        <v>49000</v>
      </c>
      <c r="J44" s="743">
        <f>F174</f>
        <v>55681.818181818184</v>
      </c>
      <c r="K44" s="285"/>
      <c r="L44" s="281">
        <v>5</v>
      </c>
      <c r="M44" s="423" t="s">
        <v>300</v>
      </c>
      <c r="N44" s="327" t="s">
        <v>301</v>
      </c>
      <c r="O44" s="550"/>
      <c r="P44" s="438"/>
      <c r="Q44" s="284">
        <v>8598.35</v>
      </c>
      <c r="R44" s="596" t="s">
        <v>302</v>
      </c>
      <c r="S44" s="633" t="s">
        <v>303</v>
      </c>
      <c r="T44" s="661">
        <v>45808</v>
      </c>
      <c r="U44" s="667">
        <v>11776.537717857876</v>
      </c>
      <c r="V44" s="755">
        <f>J44-SUM(U44:U51)</f>
        <v>-1.9466186495264992E-4</v>
      </c>
      <c r="W44" s="540">
        <v>45855</v>
      </c>
      <c r="X44" s="746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304</v>
      </c>
      <c r="E45" s="452"/>
      <c r="F45" s="453"/>
      <c r="G45" s="315">
        <v>15000</v>
      </c>
      <c r="H45" s="536">
        <v>45806</v>
      </c>
      <c r="I45" s="744"/>
      <c r="J45" s="744"/>
      <c r="K45" s="288"/>
      <c r="L45" s="286">
        <v>5</v>
      </c>
      <c r="M45" s="429" t="s">
        <v>300</v>
      </c>
      <c r="N45" s="287" t="s">
        <v>305</v>
      </c>
      <c r="O45" s="558"/>
      <c r="P45" s="453"/>
      <c r="Q45" s="315">
        <v>14805</v>
      </c>
      <c r="R45" s="644" t="s">
        <v>306</v>
      </c>
      <c r="S45" s="626" t="s">
        <v>307</v>
      </c>
      <c r="T45" s="647">
        <v>45777</v>
      </c>
      <c r="U45" s="656">
        <v>20104.117014554766</v>
      </c>
      <c r="V45" s="756"/>
      <c r="W45" s="536">
        <v>45806</v>
      </c>
      <c r="X45" s="747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44"/>
      <c r="J46" s="744"/>
      <c r="K46" s="288"/>
      <c r="L46" s="286">
        <v>5</v>
      </c>
      <c r="M46" s="429" t="s">
        <v>300</v>
      </c>
      <c r="N46" s="287" t="s">
        <v>308</v>
      </c>
      <c r="O46" s="558"/>
      <c r="P46" s="453"/>
      <c r="Q46" s="315">
        <v>214.29</v>
      </c>
      <c r="R46" s="644"/>
      <c r="S46" s="626" t="s">
        <v>309</v>
      </c>
      <c r="T46" s="647">
        <v>45838</v>
      </c>
      <c r="U46" s="663">
        <v>349.57703438549589</v>
      </c>
      <c r="V46" s="756"/>
      <c r="W46" s="674">
        <v>45867</v>
      </c>
      <c r="X46" s="747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44"/>
      <c r="J47" s="744"/>
      <c r="K47" s="288"/>
      <c r="L47" s="286">
        <v>5</v>
      </c>
      <c r="M47" s="429" t="s">
        <v>300</v>
      </c>
      <c r="N47" s="313" t="s">
        <v>310</v>
      </c>
      <c r="O47" s="551"/>
      <c r="P47" s="460"/>
      <c r="Q47" s="315">
        <v>14934</v>
      </c>
      <c r="R47" s="589"/>
      <c r="S47" s="626" t="s">
        <v>311</v>
      </c>
      <c r="T47" s="647">
        <v>45838</v>
      </c>
      <c r="U47" s="663">
        <v>20195.274198110019</v>
      </c>
      <c r="V47" s="756"/>
      <c r="W47" s="536">
        <v>45838</v>
      </c>
      <c r="X47" s="747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44"/>
      <c r="J48" s="744"/>
      <c r="K48" s="288"/>
      <c r="L48" s="311">
        <v>5</v>
      </c>
      <c r="M48" s="429" t="s">
        <v>300</v>
      </c>
      <c r="N48" s="313" t="s">
        <v>312</v>
      </c>
      <c r="O48" s="551"/>
      <c r="P48" s="460"/>
      <c r="Q48" s="315">
        <v>2250.5</v>
      </c>
      <c r="R48" s="589" t="s">
        <v>313</v>
      </c>
      <c r="S48" s="626" t="s">
        <v>314</v>
      </c>
      <c r="T48" s="647">
        <f t="shared" si="0"/>
        <v>45808</v>
      </c>
      <c r="U48" s="663">
        <v>3256.3124115718888</v>
      </c>
      <c r="V48" s="756"/>
      <c r="W48" s="536">
        <v>45799</v>
      </c>
      <c r="X48" s="747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44"/>
      <c r="J49" s="744"/>
      <c r="K49" s="288"/>
      <c r="L49" s="311">
        <v>5</v>
      </c>
      <c r="M49" s="429" t="s">
        <v>300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56"/>
      <c r="W49" s="574"/>
      <c r="X49" s="747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44"/>
      <c r="J50" s="744"/>
      <c r="K50" s="288"/>
      <c r="L50" s="311">
        <v>5</v>
      </c>
      <c r="M50" s="429" t="s">
        <v>300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56"/>
      <c r="W50" s="574"/>
      <c r="X50" s="747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45"/>
      <c r="J51" s="745"/>
      <c r="K51" s="289"/>
      <c r="L51" s="316">
        <v>5</v>
      </c>
      <c r="M51" s="425" t="s">
        <v>300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57"/>
      <c r="W51" s="575"/>
      <c r="X51" s="748"/>
      <c r="Y51" s="483"/>
    </row>
    <row r="52" spans="1:25" ht="14.4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249</v>
      </c>
      <c r="D53" s="295" t="s">
        <v>315</v>
      </c>
      <c r="E53" s="476"/>
      <c r="F53" s="458"/>
      <c r="G53" s="296">
        <f>D173</f>
        <v>792658.7130434782</v>
      </c>
      <c r="H53" s="539">
        <v>45898</v>
      </c>
      <c r="I53" s="774">
        <f>SUM(G53:G69)</f>
        <v>792658.7130434782</v>
      </c>
      <c r="J53" s="774">
        <f>F173</f>
        <v>900748.53754940699</v>
      </c>
      <c r="K53" s="297"/>
      <c r="L53" s="293">
        <v>6</v>
      </c>
      <c r="M53" s="432" t="s">
        <v>316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65">
        <f>J53-SUM(U53:U69)</f>
        <v>4.6744045102968812E-3</v>
      </c>
      <c r="W53" s="577"/>
      <c r="X53" s="777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75"/>
      <c r="J54" s="775"/>
      <c r="K54" s="301"/>
      <c r="L54" s="298">
        <v>6</v>
      </c>
      <c r="M54" s="430" t="s">
        <v>316</v>
      </c>
      <c r="N54" s="444" t="s">
        <v>317</v>
      </c>
      <c r="O54" s="556"/>
      <c r="P54" s="454"/>
      <c r="Q54" s="321">
        <v>218675.07</v>
      </c>
      <c r="R54" s="594" t="s">
        <v>318</v>
      </c>
      <c r="S54" s="631" t="s">
        <v>319</v>
      </c>
      <c r="T54" s="659">
        <v>45869</v>
      </c>
      <c r="U54" s="666">
        <v>520577.21755056444</v>
      </c>
      <c r="V54" s="766"/>
      <c r="W54" s="539">
        <v>45899</v>
      </c>
      <c r="X54" s="778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75"/>
      <c r="J55" s="775"/>
      <c r="K55" s="301"/>
      <c r="L55" s="298">
        <v>6</v>
      </c>
      <c r="M55" s="430" t="s">
        <v>316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66"/>
      <c r="W55" s="578"/>
      <c r="X55" s="778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75"/>
      <c r="J56" s="775"/>
      <c r="K56" s="301"/>
      <c r="L56" s="298">
        <v>6</v>
      </c>
      <c r="M56" s="430" t="s">
        <v>316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66"/>
      <c r="W56" s="578"/>
      <c r="X56" s="778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75"/>
      <c r="J57" s="775"/>
      <c r="K57" s="301"/>
      <c r="L57" s="298">
        <v>6</v>
      </c>
      <c r="M57" s="430" t="s">
        <v>316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66"/>
      <c r="W57" s="578"/>
      <c r="X57" s="778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75"/>
      <c r="J58" s="775"/>
      <c r="K58" s="301"/>
      <c r="L58" s="298">
        <v>6</v>
      </c>
      <c r="M58" s="430" t="s">
        <v>316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66"/>
      <c r="W58" s="578"/>
      <c r="X58" s="778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75"/>
      <c r="J59" s="775"/>
      <c r="K59" s="301"/>
      <c r="L59" s="298">
        <v>6</v>
      </c>
      <c r="M59" s="430" t="s">
        <v>316</v>
      </c>
      <c r="N59" s="409" t="s">
        <v>286</v>
      </c>
      <c r="O59" s="567">
        <f>Z27</f>
        <v>159695.79</v>
      </c>
      <c r="P59" s="568">
        <v>0.1</v>
      </c>
      <c r="Q59" s="300">
        <f>$O$59*P59</f>
        <v>15969.579000000002</v>
      </c>
      <c r="R59" s="768" t="s">
        <v>287</v>
      </c>
      <c r="S59" s="631" t="s">
        <v>288</v>
      </c>
      <c r="T59" s="659">
        <v>45808</v>
      </c>
      <c r="U59" s="666">
        <v>38574.474130122508</v>
      </c>
      <c r="V59" s="766"/>
      <c r="W59" s="539">
        <f>W91</f>
        <v>45813</v>
      </c>
      <c r="X59" s="778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75"/>
      <c r="J60" s="775"/>
      <c r="K60" s="301"/>
      <c r="L60" s="298">
        <v>6</v>
      </c>
      <c r="M60" s="431" t="s">
        <v>316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69"/>
      <c r="S60" s="631" t="s">
        <v>290</v>
      </c>
      <c r="T60" s="659">
        <f t="shared" si="0"/>
        <v>45838</v>
      </c>
      <c r="U60" s="666">
        <v>57861.711195183751</v>
      </c>
      <c r="V60" s="766"/>
      <c r="W60" s="539">
        <v>45827</v>
      </c>
      <c r="X60" s="778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75"/>
      <c r="J61" s="775"/>
      <c r="K61" s="301"/>
      <c r="L61" s="298">
        <v>6</v>
      </c>
      <c r="M61" s="431" t="s">
        <v>316</v>
      </c>
      <c r="N61" s="409" t="s">
        <v>292</v>
      </c>
      <c r="O61" s="556"/>
      <c r="P61" s="568">
        <v>0.2</v>
      </c>
      <c r="Q61" s="300">
        <f t="shared" si="6"/>
        <v>31939.158000000003</v>
      </c>
      <c r="R61" s="769"/>
      <c r="S61" s="631" t="s">
        <v>293</v>
      </c>
      <c r="T61" s="659">
        <v>45869</v>
      </c>
      <c r="U61" s="666">
        <v>74640.903999768474</v>
      </c>
      <c r="V61" s="766"/>
      <c r="W61" s="539">
        <f t="shared" ref="W61:W66" si="8">W93</f>
        <v>45946</v>
      </c>
      <c r="X61" s="778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75"/>
      <c r="J62" s="775"/>
      <c r="K62" s="301"/>
      <c r="L62" s="298">
        <v>6</v>
      </c>
      <c r="M62" s="431" t="s">
        <v>316</v>
      </c>
      <c r="N62" s="409" t="s">
        <v>294</v>
      </c>
      <c r="O62" s="556"/>
      <c r="P62" s="568">
        <v>0.25</v>
      </c>
      <c r="Q62" s="300">
        <f t="shared" si="6"/>
        <v>39923.947500000002</v>
      </c>
      <c r="R62" s="769"/>
      <c r="S62" s="631" t="s">
        <v>293</v>
      </c>
      <c r="T62" s="659">
        <v>45869</v>
      </c>
      <c r="U62" s="666">
        <v>95042.829999710593</v>
      </c>
      <c r="V62" s="766"/>
      <c r="W62" s="539">
        <f t="shared" si="8"/>
        <v>45946</v>
      </c>
      <c r="X62" s="778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75"/>
      <c r="J63" s="775"/>
      <c r="K63" s="301"/>
      <c r="L63" s="298">
        <v>6</v>
      </c>
      <c r="M63" s="431" t="s">
        <v>316</v>
      </c>
      <c r="N63" s="409" t="s">
        <v>175</v>
      </c>
      <c r="O63" s="556"/>
      <c r="P63" s="568">
        <v>0.1</v>
      </c>
      <c r="Q63" s="300">
        <f t="shared" si="6"/>
        <v>15969.579000000002</v>
      </c>
      <c r="R63" s="769"/>
      <c r="S63" s="631" t="s">
        <v>293</v>
      </c>
      <c r="T63" s="659">
        <v>45869</v>
      </c>
      <c r="U63" s="666">
        <v>38017.131999884237</v>
      </c>
      <c r="V63" s="766"/>
      <c r="W63" s="539">
        <f t="shared" si="8"/>
        <v>45946</v>
      </c>
      <c r="X63" s="778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75"/>
      <c r="J64" s="775"/>
      <c r="K64" s="301"/>
      <c r="L64" s="298">
        <v>6</v>
      </c>
      <c r="M64" s="431" t="s">
        <v>316</v>
      </c>
      <c r="N64" s="409" t="s">
        <v>295</v>
      </c>
      <c r="O64" s="556"/>
      <c r="P64" s="568">
        <v>0.1</v>
      </c>
      <c r="Q64" s="300">
        <f t="shared" si="6"/>
        <v>15969.579000000002</v>
      </c>
      <c r="R64" s="769"/>
      <c r="S64" s="635" t="s">
        <v>293</v>
      </c>
      <c r="T64" s="659">
        <v>45869</v>
      </c>
      <c r="U64" s="675">
        <v>38017.131999884237</v>
      </c>
      <c r="V64" s="766"/>
      <c r="W64" s="539">
        <v>46051</v>
      </c>
      <c r="X64" s="778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75"/>
      <c r="J65" s="775"/>
      <c r="K65" s="301"/>
      <c r="L65" s="298">
        <v>6</v>
      </c>
      <c r="M65" s="431" t="s">
        <v>316</v>
      </c>
      <c r="N65" s="409" t="s">
        <v>296</v>
      </c>
      <c r="O65" s="556"/>
      <c r="P65" s="568">
        <v>0.05</v>
      </c>
      <c r="Q65" s="300">
        <f t="shared" si="6"/>
        <v>7984.7895000000008</v>
      </c>
      <c r="R65" s="769"/>
      <c r="S65" s="635" t="s">
        <v>293</v>
      </c>
      <c r="T65" s="659">
        <v>45869</v>
      </c>
      <c r="U65" s="675">
        <v>19008.565999942119</v>
      </c>
      <c r="V65" s="766"/>
      <c r="W65" s="578">
        <f>W97</f>
        <v>46058</v>
      </c>
      <c r="X65" s="778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75"/>
      <c r="J66" s="775"/>
      <c r="K66" s="301"/>
      <c r="L66" s="298">
        <v>6</v>
      </c>
      <c r="M66" s="431" t="s">
        <v>316</v>
      </c>
      <c r="N66" s="409" t="s">
        <v>297</v>
      </c>
      <c r="O66" s="556"/>
      <c r="P66" s="568">
        <v>0.05</v>
      </c>
      <c r="Q66" s="300">
        <f t="shared" si="6"/>
        <v>7984.7895000000008</v>
      </c>
      <c r="R66" s="770"/>
      <c r="S66" s="635" t="s">
        <v>293</v>
      </c>
      <c r="T66" s="659">
        <v>45869</v>
      </c>
      <c r="U66" s="675">
        <v>19008.565999942119</v>
      </c>
      <c r="V66" s="766"/>
      <c r="W66" s="578">
        <f t="shared" si="8"/>
        <v>46088</v>
      </c>
      <c r="X66" s="778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75"/>
      <c r="J67" s="775"/>
      <c r="K67" s="301"/>
      <c r="L67" s="298">
        <v>6</v>
      </c>
      <c r="M67" s="431" t="s">
        <v>316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66"/>
      <c r="W67" s="581"/>
      <c r="X67" s="778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75"/>
      <c r="J68" s="775"/>
      <c r="K68" s="301"/>
      <c r="L68" s="298">
        <v>6</v>
      </c>
      <c r="M68" s="431" t="s">
        <v>316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66"/>
      <c r="W68" s="581"/>
      <c r="X68" s="778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76"/>
      <c r="J69" s="776"/>
      <c r="K69" s="306"/>
      <c r="L69" s="302">
        <v>6</v>
      </c>
      <c r="M69" s="433" t="s">
        <v>316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67"/>
      <c r="W69" s="579"/>
      <c r="X69" s="779"/>
      <c r="Y69" s="483"/>
    </row>
    <row r="70" spans="1:25" ht="14.4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320</v>
      </c>
      <c r="D71" s="382"/>
      <c r="E71" s="463"/>
      <c r="F71" s="469"/>
      <c r="G71" s="383"/>
      <c r="H71" s="583"/>
      <c r="I71" s="743">
        <f>SUM(G71:G78)</f>
        <v>0</v>
      </c>
      <c r="J71" s="743">
        <v>0</v>
      </c>
      <c r="K71" s="285"/>
      <c r="L71" s="381">
        <v>7</v>
      </c>
      <c r="M71" s="309" t="s">
        <v>321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80">
        <f>J71-SUM(U71:U78)</f>
        <v>0</v>
      </c>
      <c r="W71" s="583"/>
      <c r="X71" s="746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44"/>
      <c r="J72" s="744"/>
      <c r="K72" s="288"/>
      <c r="L72" s="384">
        <v>7</v>
      </c>
      <c r="M72" s="385" t="s">
        <v>321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81"/>
      <c r="W72" s="574"/>
      <c r="X72" s="747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44"/>
      <c r="J73" s="744"/>
      <c r="K73" s="288"/>
      <c r="L73" s="384">
        <v>7</v>
      </c>
      <c r="M73" s="385" t="s">
        <v>321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81"/>
      <c r="W73" s="574"/>
      <c r="X73" s="747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44"/>
      <c r="J74" s="744"/>
      <c r="K74" s="288"/>
      <c r="L74" s="384">
        <v>7</v>
      </c>
      <c r="M74" s="385" t="s">
        <v>321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81"/>
      <c r="W74" s="574"/>
      <c r="X74" s="747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44"/>
      <c r="J75" s="744"/>
      <c r="K75" s="288"/>
      <c r="L75" s="384">
        <v>7</v>
      </c>
      <c r="M75" s="385" t="s">
        <v>321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81"/>
      <c r="W75" s="574"/>
      <c r="X75" s="747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44"/>
      <c r="J76" s="744"/>
      <c r="K76" s="288"/>
      <c r="L76" s="384">
        <v>7</v>
      </c>
      <c r="M76" s="385" t="s">
        <v>321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81"/>
      <c r="W76" s="574"/>
      <c r="X76" s="747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44"/>
      <c r="J77" s="744"/>
      <c r="K77" s="288"/>
      <c r="L77" s="384">
        <v>7</v>
      </c>
      <c r="M77" s="385" t="s">
        <v>321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81"/>
      <c r="W77" s="574"/>
      <c r="X77" s="747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45"/>
      <c r="J78" s="745"/>
      <c r="K78" s="289"/>
      <c r="L78" s="316">
        <v>7</v>
      </c>
      <c r="M78" s="337" t="s">
        <v>321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82"/>
      <c r="W78" s="575"/>
      <c r="X78" s="748"/>
      <c r="Y78" s="483"/>
    </row>
    <row r="79" spans="1:25" ht="14.4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322</v>
      </c>
      <c r="D80" s="333"/>
      <c r="E80" s="464"/>
      <c r="F80" s="417"/>
      <c r="G80" s="334"/>
      <c r="H80" s="577"/>
      <c r="I80" s="774">
        <f>D176</f>
        <v>200000</v>
      </c>
      <c r="J80" s="774">
        <f>F176</f>
        <v>227272.72727272726</v>
      </c>
      <c r="K80" s="297"/>
      <c r="L80" s="332">
        <v>8</v>
      </c>
      <c r="M80" s="426" t="s">
        <v>323</v>
      </c>
      <c r="N80" s="333" t="s">
        <v>324</v>
      </c>
      <c r="O80" s="562"/>
      <c r="P80" s="417"/>
      <c r="Q80" s="334">
        <v>695</v>
      </c>
      <c r="R80" s="593" t="s">
        <v>325</v>
      </c>
      <c r="S80" s="630" t="s">
        <v>326</v>
      </c>
      <c r="T80" s="646">
        <v>45961</v>
      </c>
      <c r="U80" s="655">
        <v>0</v>
      </c>
      <c r="V80" s="796">
        <f>J80-SUM(U80:U88)</f>
        <v>0</v>
      </c>
      <c r="W80" s="695">
        <v>45961</v>
      </c>
      <c r="X80" s="777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75"/>
      <c r="J81" s="775"/>
      <c r="K81" s="301"/>
      <c r="L81" s="322">
        <v>8</v>
      </c>
      <c r="M81" s="434" t="s">
        <v>323</v>
      </c>
      <c r="N81" s="335" t="s">
        <v>531</v>
      </c>
      <c r="O81" s="559"/>
      <c r="P81" s="462"/>
      <c r="Q81" s="324">
        <v>8375</v>
      </c>
      <c r="R81" s="594" t="s">
        <v>534</v>
      </c>
      <c r="S81" s="631" t="s">
        <v>532</v>
      </c>
      <c r="T81" s="659">
        <v>46053</v>
      </c>
      <c r="U81" s="703">
        <v>0</v>
      </c>
      <c r="V81" s="797"/>
      <c r="W81" s="578">
        <v>46081</v>
      </c>
      <c r="X81" s="778"/>
      <c r="Y81" s="483"/>
    </row>
    <row r="82" spans="1:25" ht="14.25" customHeight="1">
      <c r="B82" s="322">
        <v>8</v>
      </c>
      <c r="C82" s="323"/>
      <c r="D82" s="335" t="s">
        <v>327</v>
      </c>
      <c r="E82" s="416"/>
      <c r="F82" s="462"/>
      <c r="G82" s="324">
        <v>200000</v>
      </c>
      <c r="H82" s="539">
        <v>45869</v>
      </c>
      <c r="I82" s="775"/>
      <c r="J82" s="775"/>
      <c r="K82" s="301"/>
      <c r="L82" s="322">
        <v>8</v>
      </c>
      <c r="M82" s="434" t="s">
        <v>323</v>
      </c>
      <c r="N82" s="335" t="s">
        <v>328</v>
      </c>
      <c r="O82" s="416"/>
      <c r="P82" s="462"/>
      <c r="Q82" s="324">
        <v>94626.271499999799</v>
      </c>
      <c r="R82" s="594"/>
      <c r="S82" s="631" t="s">
        <v>329</v>
      </c>
      <c r="T82" s="670">
        <v>45838</v>
      </c>
      <c r="U82" s="703">
        <v>227272.72727272726</v>
      </c>
      <c r="V82" s="797"/>
      <c r="W82" s="539">
        <v>45869</v>
      </c>
      <c r="X82" s="778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75"/>
      <c r="J83" s="775"/>
      <c r="K83" s="301"/>
      <c r="L83" s="322">
        <v>8</v>
      </c>
      <c r="M83" s="434" t="s">
        <v>323</v>
      </c>
      <c r="N83" s="335" t="s">
        <v>330</v>
      </c>
      <c r="O83" s="559"/>
      <c r="P83" s="462"/>
      <c r="Q83" s="324">
        <v>8260</v>
      </c>
      <c r="R83" s="594" t="s">
        <v>331</v>
      </c>
      <c r="S83" s="631" t="s">
        <v>332</v>
      </c>
      <c r="T83" s="670">
        <v>46022</v>
      </c>
      <c r="U83" s="703"/>
      <c r="V83" s="797"/>
      <c r="W83" s="539">
        <v>46037</v>
      </c>
      <c r="X83" s="778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75"/>
      <c r="J84" s="775"/>
      <c r="K84" s="301"/>
      <c r="L84" s="322">
        <v>8</v>
      </c>
      <c r="M84" s="434" t="s">
        <v>323</v>
      </c>
      <c r="N84" s="335" t="s">
        <v>333</v>
      </c>
      <c r="O84" s="676">
        <v>0.75</v>
      </c>
      <c r="P84" s="462">
        <v>81501</v>
      </c>
      <c r="Q84" s="324">
        <f>O84*P84</f>
        <v>61125.75</v>
      </c>
      <c r="R84" s="594" t="s">
        <v>334</v>
      </c>
      <c r="S84" s="631" t="s">
        <v>335</v>
      </c>
      <c r="T84" s="659">
        <v>45930</v>
      </c>
      <c r="U84" s="703">
        <v>0</v>
      </c>
      <c r="V84" s="797"/>
      <c r="W84" s="539">
        <v>45932</v>
      </c>
      <c r="X84" s="778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75"/>
      <c r="J85" s="775"/>
      <c r="K85" s="301"/>
      <c r="L85" s="322">
        <v>8</v>
      </c>
      <c r="M85" s="434" t="s">
        <v>323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336</v>
      </c>
      <c r="T85" s="670">
        <v>45961</v>
      </c>
      <c r="U85" s="703" t="s">
        <v>177</v>
      </c>
      <c r="V85" s="797"/>
      <c r="W85" s="697">
        <v>45961</v>
      </c>
      <c r="X85" s="778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75"/>
      <c r="J86" s="775"/>
      <c r="K86" s="301"/>
      <c r="L86" s="322">
        <v>8</v>
      </c>
      <c r="M86" s="434" t="s">
        <v>323</v>
      </c>
      <c r="N86" s="335" t="s">
        <v>337</v>
      </c>
      <c r="O86" s="559"/>
      <c r="P86" s="462"/>
      <c r="Q86" s="324">
        <f>6483.33*2</f>
        <v>12966.66</v>
      </c>
      <c r="R86" s="594" t="s">
        <v>338</v>
      </c>
      <c r="S86" s="631" t="s">
        <v>339</v>
      </c>
      <c r="T86" s="680">
        <v>45930</v>
      </c>
      <c r="U86" s="703">
        <v>0</v>
      </c>
      <c r="V86" s="797"/>
      <c r="W86" s="692">
        <v>45943</v>
      </c>
      <c r="X86" s="778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75"/>
      <c r="J87" s="775"/>
      <c r="K87" s="301"/>
      <c r="L87" s="322">
        <v>8</v>
      </c>
      <c r="M87" s="434" t="s">
        <v>323</v>
      </c>
      <c r="N87" s="335" t="s">
        <v>340</v>
      </c>
      <c r="O87" s="559"/>
      <c r="P87" s="462"/>
      <c r="Q87" s="324">
        <v>6844</v>
      </c>
      <c r="R87" s="598" t="s">
        <v>341</v>
      </c>
      <c r="S87" s="635" t="s">
        <v>342</v>
      </c>
      <c r="T87" s="694">
        <v>45961</v>
      </c>
      <c r="U87" s="704">
        <v>0</v>
      </c>
      <c r="V87" s="797"/>
      <c r="W87" s="698">
        <v>45960</v>
      </c>
      <c r="X87" s="778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76"/>
      <c r="J88" s="776"/>
      <c r="K88" s="306"/>
      <c r="L88" s="302">
        <v>8</v>
      </c>
      <c r="M88" s="433" t="s">
        <v>323</v>
      </c>
      <c r="N88" s="304" t="s">
        <v>527</v>
      </c>
      <c r="O88" s="560"/>
      <c r="P88" s="456"/>
      <c r="Q88" s="305">
        <v>6190</v>
      </c>
      <c r="R88" s="595" t="s">
        <v>343</v>
      </c>
      <c r="S88" s="632" t="s">
        <v>344</v>
      </c>
      <c r="T88" s="693">
        <v>45961</v>
      </c>
      <c r="U88" s="705">
        <v>0</v>
      </c>
      <c r="V88" s="798"/>
      <c r="W88" s="696">
        <f>T88</f>
        <v>45961</v>
      </c>
      <c r="X88" s="779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345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346</v>
      </c>
      <c r="D90" s="327" t="s">
        <v>347</v>
      </c>
      <c r="E90" s="314"/>
      <c r="F90" s="438"/>
      <c r="G90" s="621">
        <f>D182</f>
        <v>206212.5</v>
      </c>
      <c r="H90" s="536">
        <v>45812</v>
      </c>
      <c r="I90" s="790">
        <f>SUM(G90:G101)</f>
        <v>675037.5</v>
      </c>
      <c r="J90" s="743">
        <f>F182+F183</f>
        <v>794161.76470588241</v>
      </c>
      <c r="K90" s="288"/>
      <c r="L90" s="311">
        <v>9</v>
      </c>
      <c r="M90" s="424" t="s">
        <v>348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55">
        <f>J90-SUM(U90:U101)</f>
        <v>0</v>
      </c>
      <c r="W90" s="580"/>
      <c r="X90" s="793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349</v>
      </c>
      <c r="E91" s="314"/>
      <c r="F91" s="460"/>
      <c r="G91" s="621">
        <f>D183</f>
        <v>468825</v>
      </c>
      <c r="H91" s="536">
        <v>45813</v>
      </c>
      <c r="I91" s="791"/>
      <c r="J91" s="744"/>
      <c r="K91" s="288"/>
      <c r="L91" s="311">
        <v>9</v>
      </c>
      <c r="M91" s="424" t="s">
        <v>348</v>
      </c>
      <c r="N91" s="328" t="s">
        <v>286</v>
      </c>
      <c r="O91" s="570">
        <f>Z30+Z29</f>
        <v>866748.6</v>
      </c>
      <c r="P91" s="571">
        <v>0.1</v>
      </c>
      <c r="Q91" s="315">
        <f>$O$91*P91</f>
        <v>86674.86</v>
      </c>
      <c r="R91" s="763" t="s">
        <v>287</v>
      </c>
      <c r="S91" s="626" t="s">
        <v>288</v>
      </c>
      <c r="T91" s="647">
        <v>45808</v>
      </c>
      <c r="U91" s="663">
        <v>79416.176470588238</v>
      </c>
      <c r="V91" s="756"/>
      <c r="W91" s="536">
        <v>45813</v>
      </c>
      <c r="X91" s="794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91"/>
      <c r="J92" s="744"/>
      <c r="K92" s="288"/>
      <c r="L92" s="384">
        <v>9</v>
      </c>
      <c r="M92" s="502" t="s">
        <v>348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99"/>
      <c r="S92" s="627" t="s">
        <v>290</v>
      </c>
      <c r="T92" s="662">
        <f t="shared" si="9"/>
        <v>45838</v>
      </c>
      <c r="U92" s="664">
        <v>119124.26470588233</v>
      </c>
      <c r="V92" s="756"/>
      <c r="W92" s="537">
        <v>45827</v>
      </c>
      <c r="X92" s="794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91"/>
      <c r="J93" s="744"/>
      <c r="K93" s="288"/>
      <c r="L93" s="384">
        <v>9</v>
      </c>
      <c r="M93" s="502" t="s">
        <v>348</v>
      </c>
      <c r="N93" s="386" t="s">
        <v>292</v>
      </c>
      <c r="O93" s="552"/>
      <c r="P93" s="569">
        <v>0.2</v>
      </c>
      <c r="Q93" s="315">
        <f t="shared" si="10"/>
        <v>173349.72</v>
      </c>
      <c r="R93" s="799"/>
      <c r="S93" s="627" t="s">
        <v>293</v>
      </c>
      <c r="T93" s="662">
        <v>45900</v>
      </c>
      <c r="U93" s="681">
        <v>158832.35294117648</v>
      </c>
      <c r="V93" s="756"/>
      <c r="W93" s="537">
        <v>45946</v>
      </c>
      <c r="X93" s="794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91"/>
      <c r="J94" s="744"/>
      <c r="K94" s="288"/>
      <c r="L94" s="384">
        <v>9</v>
      </c>
      <c r="M94" s="502" t="s">
        <v>348</v>
      </c>
      <c r="N94" s="386" t="s">
        <v>294</v>
      </c>
      <c r="O94" s="552"/>
      <c r="P94" s="569">
        <v>0.25</v>
      </c>
      <c r="Q94" s="315">
        <f t="shared" si="10"/>
        <v>216687.15</v>
      </c>
      <c r="R94" s="799"/>
      <c r="S94" s="627" t="s">
        <v>293</v>
      </c>
      <c r="T94" s="662">
        <v>45930</v>
      </c>
      <c r="U94" s="681">
        <v>198540.44117647057</v>
      </c>
      <c r="V94" s="756"/>
      <c r="W94" s="537">
        <v>45946</v>
      </c>
      <c r="X94" s="794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91"/>
      <c r="J95" s="744"/>
      <c r="K95" s="288"/>
      <c r="L95" s="384">
        <v>9</v>
      </c>
      <c r="M95" s="502" t="s">
        <v>348</v>
      </c>
      <c r="N95" s="386" t="s">
        <v>175</v>
      </c>
      <c r="O95" s="552"/>
      <c r="P95" s="569">
        <v>0.1</v>
      </c>
      <c r="Q95" s="315">
        <f t="shared" si="10"/>
        <v>86674.86</v>
      </c>
      <c r="R95" s="799"/>
      <c r="S95" s="627" t="s">
        <v>293</v>
      </c>
      <c r="T95" s="662">
        <v>45930</v>
      </c>
      <c r="U95" s="681">
        <v>79416.176470588238</v>
      </c>
      <c r="V95" s="756"/>
      <c r="W95" s="537">
        <v>45946</v>
      </c>
      <c r="X95" s="794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91"/>
      <c r="J96" s="744"/>
      <c r="K96" s="288"/>
      <c r="L96" s="384">
        <v>9</v>
      </c>
      <c r="M96" s="502" t="s">
        <v>348</v>
      </c>
      <c r="N96" s="386" t="s">
        <v>295</v>
      </c>
      <c r="O96" s="552"/>
      <c r="P96" s="569">
        <v>0.1</v>
      </c>
      <c r="Q96" s="315">
        <f t="shared" si="10"/>
        <v>86674.86</v>
      </c>
      <c r="R96" s="799"/>
      <c r="S96" s="627" t="s">
        <v>293</v>
      </c>
      <c r="T96" s="662">
        <v>45961</v>
      </c>
      <c r="U96" s="681">
        <v>79416.176470588238</v>
      </c>
      <c r="V96" s="756"/>
      <c r="W96" s="537">
        <v>46051</v>
      </c>
      <c r="X96" s="794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91"/>
      <c r="J97" s="744"/>
      <c r="K97" s="288"/>
      <c r="L97" s="384">
        <v>9</v>
      </c>
      <c r="M97" s="502" t="s">
        <v>348</v>
      </c>
      <c r="N97" s="386" t="s">
        <v>296</v>
      </c>
      <c r="O97" s="552"/>
      <c r="P97" s="569">
        <v>0.05</v>
      </c>
      <c r="Q97" s="315">
        <f t="shared" si="10"/>
        <v>43337.43</v>
      </c>
      <c r="R97" s="799"/>
      <c r="S97" s="627" t="s">
        <v>293</v>
      </c>
      <c r="T97" s="662">
        <v>45961</v>
      </c>
      <c r="U97" s="681">
        <v>39708.088235294119</v>
      </c>
      <c r="V97" s="756"/>
      <c r="W97" s="574">
        <f>W96+7</f>
        <v>46058</v>
      </c>
      <c r="X97" s="794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91"/>
      <c r="J98" s="744"/>
      <c r="K98" s="288"/>
      <c r="L98" s="384">
        <v>9</v>
      </c>
      <c r="M98" s="502" t="s">
        <v>348</v>
      </c>
      <c r="N98" s="386" t="s">
        <v>297</v>
      </c>
      <c r="O98" s="552"/>
      <c r="P98" s="569">
        <v>0.05</v>
      </c>
      <c r="Q98" s="315">
        <f t="shared" si="10"/>
        <v>43337.43</v>
      </c>
      <c r="R98" s="764"/>
      <c r="S98" s="627" t="s">
        <v>293</v>
      </c>
      <c r="T98" s="662">
        <v>45961</v>
      </c>
      <c r="U98" s="681">
        <v>39708.088235294119</v>
      </c>
      <c r="V98" s="756"/>
      <c r="W98" s="574">
        <f>W97+30</f>
        <v>46088</v>
      </c>
      <c r="X98" s="794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91"/>
      <c r="J99" s="744"/>
      <c r="K99" s="288"/>
      <c r="L99" s="384">
        <v>9</v>
      </c>
      <c r="M99" s="502" t="s">
        <v>348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56"/>
      <c r="W99" s="574"/>
      <c r="X99" s="79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91"/>
      <c r="J100" s="744"/>
      <c r="K100" s="288"/>
      <c r="L100" s="384">
        <v>9</v>
      </c>
      <c r="M100" s="502" t="s">
        <v>348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56"/>
      <c r="W100" s="574"/>
      <c r="X100" s="794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92"/>
      <c r="J101" s="745"/>
      <c r="K101" s="364"/>
      <c r="L101" s="316">
        <v>9</v>
      </c>
      <c r="M101" s="442" t="s">
        <v>348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57"/>
      <c r="W101" s="575"/>
      <c r="X101" s="795"/>
      <c r="Y101" s="483"/>
    </row>
    <row r="102" spans="1:25" ht="14.4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350</v>
      </c>
      <c r="D103" s="270" t="s">
        <v>261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351</v>
      </c>
      <c r="N103" s="270" t="s">
        <v>352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0">
        <f>J103-SUM(U103:U125)</f>
        <v>2.7171161491423845E-3</v>
      </c>
      <c r="W103" s="584"/>
      <c r="X103" s="753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262</v>
      </c>
      <c r="E104" s="342"/>
      <c r="F104" s="472"/>
      <c r="G104" s="343">
        <f>D190</f>
        <v>46050.600000000006</v>
      </c>
      <c r="H104" s="542">
        <v>45840</v>
      </c>
      <c r="I104" s="758"/>
      <c r="J104" s="758"/>
      <c r="K104" s="272"/>
      <c r="L104" s="340">
        <v>10</v>
      </c>
      <c r="M104" s="436" t="s">
        <v>351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1"/>
      <c r="W104" s="585"/>
      <c r="X104" s="759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8"/>
      <c r="J105" s="758"/>
      <c r="K105" s="272"/>
      <c r="L105" s="340">
        <v>10</v>
      </c>
      <c r="M105" s="436" t="s">
        <v>351</v>
      </c>
      <c r="N105" s="341" t="s">
        <v>353</v>
      </c>
      <c r="O105" s="565"/>
      <c r="P105" s="472"/>
      <c r="Q105" s="343">
        <v>25950</v>
      </c>
      <c r="R105" s="603" t="s">
        <v>354</v>
      </c>
      <c r="S105" s="639" t="s">
        <v>355</v>
      </c>
      <c r="T105" s="669">
        <v>45838</v>
      </c>
      <c r="U105" s="673">
        <v>16228.040589760732</v>
      </c>
      <c r="V105" s="761"/>
      <c r="W105" s="542">
        <v>45841</v>
      </c>
      <c r="X105" s="759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8"/>
      <c r="J106" s="758"/>
      <c r="K106" s="272"/>
      <c r="L106" s="340">
        <v>10</v>
      </c>
      <c r="M106" s="436" t="s">
        <v>351</v>
      </c>
      <c r="N106" s="341" t="s">
        <v>356</v>
      </c>
      <c r="O106" s="565"/>
      <c r="P106" s="472"/>
      <c r="Q106" s="343">
        <v>41230</v>
      </c>
      <c r="R106" s="603"/>
      <c r="S106" s="639" t="s">
        <v>357</v>
      </c>
      <c r="T106" s="669">
        <f t="shared" ref="T106" si="12">IF(W106&gt;1,EOMONTH(W106,0),"")</f>
        <v>45869</v>
      </c>
      <c r="U106" s="673">
        <v>23780.691542546188</v>
      </c>
      <c r="V106" s="761"/>
      <c r="W106" s="542">
        <v>45869</v>
      </c>
      <c r="X106" s="759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8"/>
      <c r="J107" s="758"/>
      <c r="K107" s="272"/>
      <c r="L107" s="340">
        <v>10</v>
      </c>
      <c r="M107" s="436" t="s">
        <v>351</v>
      </c>
      <c r="N107" s="341" t="s">
        <v>358</v>
      </c>
      <c r="O107" s="565"/>
      <c r="P107" s="472"/>
      <c r="Q107" s="343">
        <v>41230</v>
      </c>
      <c r="R107" s="603"/>
      <c r="S107" s="639" t="s">
        <v>359</v>
      </c>
      <c r="T107" s="669">
        <v>45900</v>
      </c>
      <c r="U107" s="679">
        <v>19979.22</v>
      </c>
      <c r="V107" s="761"/>
      <c r="W107" s="542">
        <v>45901</v>
      </c>
      <c r="X107" s="759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8"/>
      <c r="J108" s="758"/>
      <c r="K108" s="272"/>
      <c r="L108" s="340">
        <v>10</v>
      </c>
      <c r="M108" s="436" t="s">
        <v>351</v>
      </c>
      <c r="N108" s="341" t="s">
        <v>360</v>
      </c>
      <c r="O108" s="565"/>
      <c r="P108" s="472"/>
      <c r="Q108" s="343">
        <v>39900</v>
      </c>
      <c r="R108" s="603"/>
      <c r="S108" s="639" t="s">
        <v>361</v>
      </c>
      <c r="T108" s="669">
        <v>45930</v>
      </c>
      <c r="U108" s="679">
        <v>0</v>
      </c>
      <c r="V108" s="761"/>
      <c r="W108" s="542">
        <v>45932</v>
      </c>
      <c r="X108" s="759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8"/>
      <c r="J109" s="758"/>
      <c r="K109" s="272"/>
      <c r="L109" s="340">
        <v>10</v>
      </c>
      <c r="M109" s="436" t="s">
        <v>351</v>
      </c>
      <c r="N109" s="341" t="s">
        <v>362</v>
      </c>
      <c r="O109" s="565"/>
      <c r="P109" s="472"/>
      <c r="Q109" s="343">
        <v>65710</v>
      </c>
      <c r="R109" s="603"/>
      <c r="S109" s="639" t="s">
        <v>363</v>
      </c>
      <c r="T109" s="702">
        <v>45961</v>
      </c>
      <c r="U109" s="679">
        <v>0</v>
      </c>
      <c r="V109" s="761"/>
      <c r="W109" s="542">
        <v>45967</v>
      </c>
      <c r="X109" s="759"/>
      <c r="Y109" s="483"/>
    </row>
    <row r="110" spans="1:25" ht="14.25" customHeight="1">
      <c r="B110" s="340">
        <v>10</v>
      </c>
      <c r="C110" s="341"/>
      <c r="D110" s="341" t="s">
        <v>352</v>
      </c>
      <c r="E110" s="342"/>
      <c r="F110" s="472"/>
      <c r="G110" s="343">
        <f>D189</f>
        <v>98400</v>
      </c>
      <c r="H110" s="585">
        <v>45934</v>
      </c>
      <c r="I110" s="758"/>
      <c r="J110" s="758"/>
      <c r="K110" s="272"/>
      <c r="L110" s="340">
        <v>10</v>
      </c>
      <c r="M110" s="436" t="s">
        <v>351</v>
      </c>
      <c r="N110" s="341" t="s">
        <v>364</v>
      </c>
      <c r="O110" s="565"/>
      <c r="P110" s="472"/>
      <c r="Q110" s="343">
        <v>63700</v>
      </c>
      <c r="R110" s="603"/>
      <c r="S110" s="639" t="s">
        <v>365</v>
      </c>
      <c r="T110" s="669">
        <v>45991</v>
      </c>
      <c r="U110" s="516"/>
      <c r="V110" s="761"/>
      <c r="W110" s="542">
        <v>45989</v>
      </c>
      <c r="X110" s="759"/>
      <c r="Y110" s="483"/>
    </row>
    <row r="111" spans="1:25" ht="14.25" customHeight="1">
      <c r="B111" s="340">
        <v>10</v>
      </c>
      <c r="C111" s="341"/>
      <c r="D111" s="341" t="s">
        <v>263</v>
      </c>
      <c r="E111" s="342"/>
      <c r="F111" s="472"/>
      <c r="G111" s="343">
        <f>D188</f>
        <v>15169.999999999998</v>
      </c>
      <c r="H111" s="585">
        <v>45935</v>
      </c>
      <c r="I111" s="758"/>
      <c r="J111" s="758"/>
      <c r="K111" s="272"/>
      <c r="L111" s="340">
        <v>10</v>
      </c>
      <c r="M111" s="436" t="s">
        <v>351</v>
      </c>
      <c r="N111" s="341" t="s">
        <v>366</v>
      </c>
      <c r="O111" s="565"/>
      <c r="P111" s="472"/>
      <c r="Q111" s="343">
        <v>41230</v>
      </c>
      <c r="R111" s="603"/>
      <c r="S111" s="639" t="s">
        <v>367</v>
      </c>
      <c r="T111" s="669">
        <v>46022</v>
      </c>
      <c r="U111" s="516"/>
      <c r="V111" s="761"/>
      <c r="W111" s="710">
        <v>46031</v>
      </c>
      <c r="X111" s="759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8"/>
      <c r="J112" s="758"/>
      <c r="K112" s="272"/>
      <c r="L112" s="340">
        <v>10</v>
      </c>
      <c r="M112" s="436" t="s">
        <v>351</v>
      </c>
      <c r="N112" s="341" t="s">
        <v>368</v>
      </c>
      <c r="O112" s="565"/>
      <c r="P112" s="472"/>
      <c r="Q112" s="343">
        <v>33900</v>
      </c>
      <c r="R112" s="604"/>
      <c r="S112" s="640" t="s">
        <v>533</v>
      </c>
      <c r="T112" s="660">
        <v>46053</v>
      </c>
      <c r="U112" s="517"/>
      <c r="V112" s="761"/>
      <c r="W112" s="543">
        <v>46051</v>
      </c>
      <c r="X112" s="759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8"/>
      <c r="J113" s="758"/>
      <c r="K113" s="272"/>
      <c r="L113" s="340">
        <v>10</v>
      </c>
      <c r="M113" s="436" t="s">
        <v>351</v>
      </c>
      <c r="N113" s="341"/>
      <c r="O113" s="565"/>
      <c r="P113" s="472"/>
      <c r="Q113" s="343"/>
      <c r="R113" s="604"/>
      <c r="S113" s="640"/>
      <c r="T113" s="533"/>
      <c r="U113" s="517"/>
      <c r="V113" s="761"/>
      <c r="W113" s="586"/>
      <c r="X113" s="759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8"/>
      <c r="J114" s="758"/>
      <c r="K114" s="272"/>
      <c r="L114" s="340">
        <v>10</v>
      </c>
      <c r="M114" s="436" t="s">
        <v>351</v>
      </c>
      <c r="N114" s="341"/>
      <c r="O114" s="565"/>
      <c r="P114" s="472"/>
      <c r="Q114" s="343"/>
      <c r="R114" s="604"/>
      <c r="S114" s="640"/>
      <c r="T114" s="533"/>
      <c r="U114" s="517"/>
      <c r="V114" s="761"/>
      <c r="W114" s="586"/>
      <c r="X114" s="759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8"/>
      <c r="J115" s="758"/>
      <c r="K115" s="272"/>
      <c r="L115" s="340">
        <v>10</v>
      </c>
      <c r="M115" s="436" t="s">
        <v>351</v>
      </c>
      <c r="N115" s="341" t="s">
        <v>286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71" t="s">
        <v>287</v>
      </c>
      <c r="S115" s="640" t="s">
        <v>288</v>
      </c>
      <c r="T115" s="660">
        <v>45808</v>
      </c>
      <c r="U115" s="668">
        <v>13755.818652350752</v>
      </c>
      <c r="V115" s="761"/>
      <c r="W115" s="543">
        <f t="shared" ref="W115:W122" si="13">W91</f>
        <v>45813</v>
      </c>
      <c r="X115" s="759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8"/>
      <c r="J116" s="758"/>
      <c r="K116" s="272"/>
      <c r="L116" s="340">
        <v>10</v>
      </c>
      <c r="M116" s="436" t="s">
        <v>351</v>
      </c>
      <c r="N116" s="341" t="s">
        <v>100</v>
      </c>
      <c r="O116" s="565"/>
      <c r="P116" s="572">
        <v>0.15</v>
      </c>
      <c r="Q116" s="343">
        <v>33709.67</v>
      </c>
      <c r="R116" s="772"/>
      <c r="S116" s="640" t="s">
        <v>290</v>
      </c>
      <c r="T116" s="660">
        <f t="shared" si="9"/>
        <v>45838</v>
      </c>
      <c r="U116" s="668">
        <v>21378.532448070888</v>
      </c>
      <c r="V116" s="761"/>
      <c r="W116" s="543">
        <f t="shared" si="13"/>
        <v>45827</v>
      </c>
      <c r="X116" s="759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8"/>
      <c r="J117" s="758"/>
      <c r="K117" s="272"/>
      <c r="L117" s="340">
        <v>10</v>
      </c>
      <c r="M117" s="436" t="s">
        <v>351</v>
      </c>
      <c r="N117" s="341" t="s">
        <v>292</v>
      </c>
      <c r="O117" s="565"/>
      <c r="P117" s="572">
        <v>0.2</v>
      </c>
      <c r="Q117" s="343">
        <f t="shared" ref="Q117:Q122" si="15">$O$115*P117</f>
        <v>44946.226000000002</v>
      </c>
      <c r="R117" s="772"/>
      <c r="S117" s="640" t="s">
        <v>293</v>
      </c>
      <c r="T117" s="660">
        <v>45869</v>
      </c>
      <c r="U117" s="668">
        <v>27377.769393766906</v>
      </c>
      <c r="V117" s="761"/>
      <c r="W117" s="543">
        <f t="shared" si="13"/>
        <v>45946</v>
      </c>
      <c r="X117" s="759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8"/>
      <c r="J118" s="758"/>
      <c r="K118" s="272"/>
      <c r="L118" s="340">
        <v>10</v>
      </c>
      <c r="M118" s="436" t="s">
        <v>351</v>
      </c>
      <c r="N118" s="341" t="s">
        <v>294</v>
      </c>
      <c r="O118" s="565"/>
      <c r="P118" s="572">
        <v>0.25</v>
      </c>
      <c r="Q118" s="343">
        <f t="shared" si="15"/>
        <v>56182.782500000001</v>
      </c>
      <c r="R118" s="772"/>
      <c r="S118" s="640" t="s">
        <v>293</v>
      </c>
      <c r="T118" s="660">
        <v>45869</v>
      </c>
      <c r="U118" s="668">
        <v>34222.21174220863</v>
      </c>
      <c r="V118" s="761"/>
      <c r="W118" s="543">
        <f t="shared" si="13"/>
        <v>45946</v>
      </c>
      <c r="X118" s="759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8"/>
      <c r="J119" s="758"/>
      <c r="K119" s="272"/>
      <c r="L119" s="340">
        <v>10</v>
      </c>
      <c r="M119" s="436" t="s">
        <v>351</v>
      </c>
      <c r="N119" s="341" t="s">
        <v>175</v>
      </c>
      <c r="O119" s="565"/>
      <c r="P119" s="572">
        <v>0.1</v>
      </c>
      <c r="Q119" s="343">
        <f t="shared" si="15"/>
        <v>22473.113000000001</v>
      </c>
      <c r="R119" s="772"/>
      <c r="S119" s="640" t="s">
        <v>293</v>
      </c>
      <c r="T119" s="660">
        <v>45869</v>
      </c>
      <c r="U119" s="668">
        <v>13688.884696883453</v>
      </c>
      <c r="V119" s="761"/>
      <c r="W119" s="543">
        <f t="shared" si="13"/>
        <v>45946</v>
      </c>
      <c r="X119" s="759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8"/>
      <c r="J120" s="758"/>
      <c r="K120" s="272"/>
      <c r="L120" s="340">
        <v>10</v>
      </c>
      <c r="M120" s="436" t="s">
        <v>351</v>
      </c>
      <c r="N120" s="341" t="s">
        <v>295</v>
      </c>
      <c r="O120" s="565"/>
      <c r="P120" s="572">
        <v>0.1</v>
      </c>
      <c r="Q120" s="343">
        <f t="shared" si="15"/>
        <v>22473.113000000001</v>
      </c>
      <c r="R120" s="772"/>
      <c r="S120" s="640" t="s">
        <v>293</v>
      </c>
      <c r="T120" s="660">
        <v>45869</v>
      </c>
      <c r="U120" s="668">
        <v>13688.884696883453</v>
      </c>
      <c r="V120" s="761"/>
      <c r="W120" s="543">
        <f t="shared" si="13"/>
        <v>46051</v>
      </c>
      <c r="X120" s="759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8"/>
      <c r="J121" s="758"/>
      <c r="K121" s="272"/>
      <c r="L121" s="340">
        <v>10</v>
      </c>
      <c r="M121" s="436" t="s">
        <v>351</v>
      </c>
      <c r="N121" s="341" t="s">
        <v>296</v>
      </c>
      <c r="O121" s="565"/>
      <c r="P121" s="572">
        <v>0.05</v>
      </c>
      <c r="Q121" s="343">
        <f t="shared" si="15"/>
        <v>11236.556500000001</v>
      </c>
      <c r="R121" s="772"/>
      <c r="S121" s="640" t="s">
        <v>293</v>
      </c>
      <c r="T121" s="660">
        <v>45869</v>
      </c>
      <c r="U121" s="668">
        <v>6844.4423484417266</v>
      </c>
      <c r="V121" s="761"/>
      <c r="W121" s="586">
        <f t="shared" si="13"/>
        <v>46058</v>
      </c>
      <c r="X121" s="759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8"/>
      <c r="J122" s="758"/>
      <c r="K122" s="272"/>
      <c r="L122" s="340">
        <v>10</v>
      </c>
      <c r="M122" s="436" t="s">
        <v>351</v>
      </c>
      <c r="N122" s="341" t="s">
        <v>297</v>
      </c>
      <c r="O122" s="565"/>
      <c r="P122" s="572">
        <v>0.05</v>
      </c>
      <c r="Q122" s="343">
        <f t="shared" si="15"/>
        <v>11236.556500000001</v>
      </c>
      <c r="R122" s="773"/>
      <c r="S122" s="640" t="s">
        <v>293</v>
      </c>
      <c r="T122" s="660">
        <v>45869</v>
      </c>
      <c r="U122" s="668">
        <v>6844.4423484417266</v>
      </c>
      <c r="V122" s="761"/>
      <c r="W122" s="586">
        <f t="shared" si="13"/>
        <v>46088</v>
      </c>
      <c r="X122" s="759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8"/>
      <c r="J123" s="758"/>
      <c r="K123" s="272"/>
      <c r="L123" s="340">
        <v>10</v>
      </c>
      <c r="M123" s="436" t="s">
        <v>351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1"/>
      <c r="W123" s="586"/>
      <c r="X123" s="759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8"/>
      <c r="J124" s="758"/>
      <c r="K124" s="272"/>
      <c r="L124" s="340">
        <v>10</v>
      </c>
      <c r="M124" s="436" t="s">
        <v>351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1"/>
      <c r="W124" s="586"/>
      <c r="X124" s="759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0"/>
      <c r="J125" s="750"/>
      <c r="K125" s="275"/>
      <c r="L125" s="273">
        <v>10</v>
      </c>
      <c r="M125" s="437" t="s">
        <v>351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2"/>
      <c r="W125" s="587"/>
      <c r="X125" s="754"/>
      <c r="Y125" s="483"/>
    </row>
    <row r="126" spans="1:25" ht="14.4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369</v>
      </c>
      <c r="D127" s="351" t="s">
        <v>370</v>
      </c>
      <c r="E127" s="283"/>
      <c r="F127" s="438"/>
      <c r="G127" s="284">
        <v>20621.250000000004</v>
      </c>
      <c r="H127" s="653">
        <v>45756</v>
      </c>
      <c r="I127" s="743">
        <f>SUM(G127:G131)</f>
        <v>141863.75</v>
      </c>
      <c r="J127" s="743">
        <f>F185</f>
        <v>166898.5294117647</v>
      </c>
      <c r="K127" s="285"/>
      <c r="L127" s="281">
        <v>11</v>
      </c>
      <c r="M127" s="351" t="s">
        <v>371</v>
      </c>
      <c r="N127" s="351" t="s">
        <v>370</v>
      </c>
      <c r="O127" s="283"/>
      <c r="P127" s="438"/>
      <c r="Q127" s="284">
        <v>22655.83</v>
      </c>
      <c r="R127" s="596"/>
      <c r="S127" s="633" t="s">
        <v>372</v>
      </c>
      <c r="T127" s="661">
        <v>45869</v>
      </c>
      <c r="U127" s="667">
        <v>96403.682050842326</v>
      </c>
      <c r="V127" s="755">
        <f>J127-SUM(U127:U131)</f>
        <v>2.4124817573465407E-3</v>
      </c>
      <c r="W127" s="540">
        <v>45988</v>
      </c>
      <c r="X127" s="746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373</v>
      </c>
      <c r="E128" s="314"/>
      <c r="F128" s="460"/>
      <c r="G128" s="315">
        <v>41242.500000000007</v>
      </c>
      <c r="H128" s="653">
        <v>45757</v>
      </c>
      <c r="I128" s="744"/>
      <c r="J128" s="744"/>
      <c r="K128" s="288"/>
      <c r="L128" s="311">
        <v>11</v>
      </c>
      <c r="M128" s="390" t="s">
        <v>371</v>
      </c>
      <c r="N128" s="313" t="s">
        <v>373</v>
      </c>
      <c r="O128" s="314"/>
      <c r="P128" s="460"/>
      <c r="Q128" s="315">
        <v>7811.75</v>
      </c>
      <c r="R128" s="589" t="s">
        <v>374</v>
      </c>
      <c r="S128" s="626" t="s">
        <v>375</v>
      </c>
      <c r="T128" s="652">
        <v>45777</v>
      </c>
      <c r="U128" s="656">
        <v>35785.402989936403</v>
      </c>
      <c r="V128" s="756"/>
      <c r="W128" s="653">
        <v>45757</v>
      </c>
      <c r="X128" s="747"/>
      <c r="Y128" s="483"/>
    </row>
    <row r="129" spans="1:25" ht="15" customHeight="1">
      <c r="B129" s="311">
        <v>11</v>
      </c>
      <c r="C129" s="313"/>
      <c r="D129" s="313" t="s">
        <v>376</v>
      </c>
      <c r="E129" s="314"/>
      <c r="F129" s="460"/>
      <c r="G129" s="315">
        <v>80000</v>
      </c>
      <c r="H129" s="653">
        <v>45758</v>
      </c>
      <c r="I129" s="744"/>
      <c r="J129" s="744"/>
      <c r="K129" s="288"/>
      <c r="L129" s="311">
        <v>11</v>
      </c>
      <c r="M129" s="390" t="s">
        <v>371</v>
      </c>
      <c r="N129" s="313" t="s">
        <v>377</v>
      </c>
      <c r="O129" s="314"/>
      <c r="P129" s="460"/>
      <c r="Q129" s="315">
        <v>8000</v>
      </c>
      <c r="R129" s="589"/>
      <c r="S129" s="626" t="s">
        <v>378</v>
      </c>
      <c r="T129" s="647">
        <v>45961</v>
      </c>
      <c r="U129" s="656">
        <v>34709.441958504212</v>
      </c>
      <c r="V129" s="756"/>
      <c r="W129" s="653">
        <v>45989</v>
      </c>
      <c r="X129" s="747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44"/>
      <c r="J130" s="744"/>
      <c r="K130" s="288"/>
      <c r="L130" s="311">
        <v>11</v>
      </c>
      <c r="M130" s="390" t="s">
        <v>371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56"/>
      <c r="W130" s="574"/>
      <c r="X130" s="747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45"/>
      <c r="J131" s="745"/>
      <c r="K131" s="289"/>
      <c r="L131" s="316">
        <v>11</v>
      </c>
      <c r="M131" s="420" t="s">
        <v>371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57"/>
      <c r="W131" s="575"/>
      <c r="X131" s="748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379</v>
      </c>
      <c r="D133" s="270" t="s">
        <v>380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51"/>
      <c r="L133" s="269">
        <v>12</v>
      </c>
      <c r="M133" s="270" t="s">
        <v>381</v>
      </c>
      <c r="N133" s="270" t="s">
        <v>380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3">
        <f>SUM(Q133:Q134)</f>
        <v>0</v>
      </c>
      <c r="Y133" s="483"/>
    </row>
    <row r="134" spans="1:25" ht="15" customHeight="1" thickBot="1">
      <c r="B134" s="273">
        <v>12</v>
      </c>
      <c r="C134" s="344" t="s">
        <v>379</v>
      </c>
      <c r="D134" s="344" t="s">
        <v>382</v>
      </c>
      <c r="E134" s="345"/>
      <c r="F134" s="473"/>
      <c r="G134" s="274">
        <v>40612.332189519337</v>
      </c>
      <c r="H134" s="653">
        <v>45763</v>
      </c>
      <c r="I134" s="750"/>
      <c r="J134" s="750"/>
      <c r="K134" s="752"/>
      <c r="L134" s="273">
        <v>12</v>
      </c>
      <c r="M134" s="344" t="s">
        <v>381</v>
      </c>
      <c r="N134" s="344" t="s">
        <v>382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4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383</v>
      </c>
      <c r="D136" s="351" t="s">
        <v>384</v>
      </c>
      <c r="E136" s="283"/>
      <c r="F136" s="438"/>
      <c r="G136" s="284">
        <v>64019.048913043487</v>
      </c>
      <c r="H136" s="653">
        <v>45765</v>
      </c>
      <c r="I136" s="743">
        <f>SUM(G136:G140)</f>
        <v>266463.94891304348</v>
      </c>
      <c r="J136" s="743">
        <f>F184</f>
        <v>302799.94194664032</v>
      </c>
      <c r="K136" s="285"/>
      <c r="L136" s="281">
        <v>13</v>
      </c>
      <c r="M136" s="351" t="s">
        <v>385</v>
      </c>
      <c r="N136" s="351" t="s">
        <v>386</v>
      </c>
      <c r="O136" s="550"/>
      <c r="P136" s="438"/>
      <c r="Q136" s="284">
        <f>'Project Plan'!$E$6*1.25%</f>
        <v>111329.6875</v>
      </c>
      <c r="R136" s="596"/>
      <c r="S136" s="633" t="s">
        <v>387</v>
      </c>
      <c r="T136" s="661">
        <v>45961</v>
      </c>
      <c r="U136" s="706">
        <v>302799.94194664032</v>
      </c>
      <c r="V136" s="755">
        <f>J136-SUM(U136:U141)</f>
        <v>0</v>
      </c>
      <c r="W136" s="708">
        <v>45991</v>
      </c>
      <c r="X136" s="746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388</v>
      </c>
      <c r="E137" s="314"/>
      <c r="F137" s="460"/>
      <c r="G137" s="315">
        <v>24000</v>
      </c>
      <c r="H137" s="653">
        <v>45766</v>
      </c>
      <c r="I137" s="744"/>
      <c r="J137" s="744"/>
      <c r="K137" s="288"/>
      <c r="L137" s="311">
        <v>13</v>
      </c>
      <c r="M137" s="390" t="s">
        <v>385</v>
      </c>
      <c r="N137" s="313" t="s">
        <v>388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56"/>
      <c r="W137" s="573"/>
      <c r="X137" s="747"/>
      <c r="Y137" s="483"/>
    </row>
    <row r="138" spans="1:25" ht="15.75" customHeight="1">
      <c r="B138" s="311">
        <v>13</v>
      </c>
      <c r="C138" s="313"/>
      <c r="D138" s="313" t="s">
        <v>389</v>
      </c>
      <c r="E138" s="314"/>
      <c r="F138" s="460"/>
      <c r="G138" s="315">
        <v>102000</v>
      </c>
      <c r="H138" s="653">
        <v>45767</v>
      </c>
      <c r="I138" s="744"/>
      <c r="J138" s="744"/>
      <c r="K138" s="288"/>
      <c r="L138" s="311">
        <v>13</v>
      </c>
      <c r="M138" s="390" t="s">
        <v>385</v>
      </c>
      <c r="N138" s="313" t="s">
        <v>389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56"/>
      <c r="W138" s="573"/>
      <c r="X138" s="747"/>
      <c r="Y138" s="483"/>
    </row>
    <row r="139" spans="1:25" ht="15.75" customHeight="1">
      <c r="B139" s="311">
        <v>13</v>
      </c>
      <c r="C139" s="313"/>
      <c r="D139" s="313" t="s">
        <v>390</v>
      </c>
      <c r="E139" s="314"/>
      <c r="F139" s="460"/>
      <c r="G139" s="315">
        <v>41600</v>
      </c>
      <c r="H139" s="653">
        <v>45768</v>
      </c>
      <c r="I139" s="744"/>
      <c r="J139" s="744"/>
      <c r="K139" s="288"/>
      <c r="L139" s="311">
        <v>13</v>
      </c>
      <c r="M139" s="390" t="s">
        <v>385</v>
      </c>
      <c r="N139" s="313" t="s">
        <v>390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56"/>
      <c r="W139" s="573"/>
      <c r="X139" s="747"/>
      <c r="Y139" s="483"/>
    </row>
    <row r="140" spans="1:25" ht="15.75" customHeight="1">
      <c r="B140" s="311">
        <v>13</v>
      </c>
      <c r="C140" s="313"/>
      <c r="D140" s="313" t="s">
        <v>391</v>
      </c>
      <c r="E140" s="314"/>
      <c r="F140" s="460"/>
      <c r="G140" s="315">
        <v>34844.9</v>
      </c>
      <c r="H140" s="653">
        <v>45769</v>
      </c>
      <c r="I140" s="744"/>
      <c r="J140" s="744"/>
      <c r="K140" s="288"/>
      <c r="L140" s="311">
        <v>13</v>
      </c>
      <c r="M140" s="390" t="s">
        <v>385</v>
      </c>
      <c r="N140" s="313" t="s">
        <v>391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56"/>
      <c r="W140" s="573"/>
      <c r="X140" s="747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45"/>
      <c r="J141" s="745"/>
      <c r="K141" s="364"/>
      <c r="L141" s="316">
        <v>13</v>
      </c>
      <c r="M141" s="420" t="s">
        <v>385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57"/>
      <c r="W141" s="575"/>
      <c r="X141" s="748"/>
      <c r="Y141" s="483"/>
    </row>
    <row r="142" spans="1:25" ht="14.4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392</v>
      </c>
      <c r="D143" s="270" t="s">
        <v>393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394</v>
      </c>
      <c r="N143" s="270" t="s">
        <v>395</v>
      </c>
      <c r="O143" s="564"/>
      <c r="P143" s="471"/>
      <c r="Q143" s="338">
        <v>3414.34</v>
      </c>
      <c r="R143" s="602"/>
      <c r="S143" s="638" t="s">
        <v>396</v>
      </c>
      <c r="T143" s="648">
        <v>45777</v>
      </c>
      <c r="U143" s="657">
        <v>3870.0669476577327</v>
      </c>
      <c r="V143" s="760">
        <f>J143-SUM(U143:U154)</f>
        <v>-1.1372965309419669E-4</v>
      </c>
      <c r="W143" s="650">
        <v>45785</v>
      </c>
      <c r="X143" s="753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8"/>
      <c r="J144" s="758"/>
      <c r="K144" s="272"/>
      <c r="L144" s="340">
        <v>14</v>
      </c>
      <c r="M144" s="436" t="s">
        <v>394</v>
      </c>
      <c r="N144" s="341" t="s">
        <v>395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1"/>
      <c r="W144" s="651">
        <v>45777</v>
      </c>
      <c r="X144" s="759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8"/>
      <c r="J145" s="758"/>
      <c r="K145" s="272"/>
      <c r="L145" s="340">
        <v>14</v>
      </c>
      <c r="M145" s="436" t="s">
        <v>394</v>
      </c>
      <c r="N145" s="341" t="s">
        <v>395</v>
      </c>
      <c r="O145" s="565"/>
      <c r="P145" s="472"/>
      <c r="Q145" s="343">
        <v>0</v>
      </c>
      <c r="R145" s="604"/>
      <c r="S145" s="640" t="s">
        <v>397</v>
      </c>
      <c r="T145" s="660">
        <v>45808</v>
      </c>
      <c r="U145" s="658">
        <v>0</v>
      </c>
      <c r="V145" s="761"/>
      <c r="W145" s="543">
        <v>45808</v>
      </c>
      <c r="X145" s="759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8"/>
      <c r="J146" s="758"/>
      <c r="K146" s="272"/>
      <c r="L146" s="340">
        <v>14</v>
      </c>
      <c r="M146" s="436" t="s">
        <v>394</v>
      </c>
      <c r="N146" s="341" t="s">
        <v>395</v>
      </c>
      <c r="O146" s="565"/>
      <c r="P146" s="472"/>
      <c r="Q146" s="343">
        <v>4792.5600000000004</v>
      </c>
      <c r="R146" s="604"/>
      <c r="S146" s="640" t="s">
        <v>397</v>
      </c>
      <c r="T146" s="660">
        <v>45838</v>
      </c>
      <c r="U146" s="668">
        <v>4968.4806142451598</v>
      </c>
      <c r="V146" s="761"/>
      <c r="W146" s="543">
        <v>45842</v>
      </c>
      <c r="X146" s="759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8"/>
      <c r="J147" s="758"/>
      <c r="K147" s="272"/>
      <c r="L147" s="340">
        <v>14</v>
      </c>
      <c r="M147" s="436" t="s">
        <v>394</v>
      </c>
      <c r="N147" s="341" t="s">
        <v>395</v>
      </c>
      <c r="O147" s="565"/>
      <c r="P147" s="472"/>
      <c r="Q147" s="343">
        <v>0</v>
      </c>
      <c r="R147" s="604"/>
      <c r="S147" s="640" t="s">
        <v>397</v>
      </c>
      <c r="T147" s="660">
        <v>45869</v>
      </c>
      <c r="U147" s="658">
        <v>0</v>
      </c>
      <c r="V147" s="761"/>
      <c r="W147" s="543">
        <v>45869</v>
      </c>
      <c r="X147" s="759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8"/>
      <c r="J148" s="758"/>
      <c r="K148" s="272"/>
      <c r="L148" s="340">
        <v>14</v>
      </c>
      <c r="M148" s="436" t="s">
        <v>394</v>
      </c>
      <c r="N148" s="341" t="s">
        <v>395</v>
      </c>
      <c r="O148" s="565"/>
      <c r="P148" s="472"/>
      <c r="Q148" s="343">
        <v>1476.49</v>
      </c>
      <c r="R148" s="604"/>
      <c r="S148" s="640" t="s">
        <v>397</v>
      </c>
      <c r="T148" s="649">
        <f t="shared" si="17"/>
        <v>45900</v>
      </c>
      <c r="U148" s="658">
        <v>1494.1</v>
      </c>
      <c r="V148" s="761"/>
      <c r="W148" s="651">
        <v>45900</v>
      </c>
      <c r="X148" s="759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8"/>
      <c r="J149" s="758"/>
      <c r="K149" s="272"/>
      <c r="L149" s="340">
        <v>14</v>
      </c>
      <c r="M149" s="436" t="s">
        <v>394</v>
      </c>
      <c r="N149" s="341" t="s">
        <v>395</v>
      </c>
      <c r="O149" s="565"/>
      <c r="P149" s="472"/>
      <c r="Q149" s="343">
        <v>862.99</v>
      </c>
      <c r="R149" s="682"/>
      <c r="S149" s="640" t="s">
        <v>397</v>
      </c>
      <c r="T149" s="649">
        <v>45930</v>
      </c>
      <c r="U149" s="658">
        <v>2060.3554930032315</v>
      </c>
      <c r="V149" s="761"/>
      <c r="W149" s="651">
        <v>45940</v>
      </c>
      <c r="X149" s="759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8"/>
      <c r="J150" s="758"/>
      <c r="K150" s="272"/>
      <c r="L150" s="340">
        <v>14</v>
      </c>
      <c r="M150" s="436" t="s">
        <v>394</v>
      </c>
      <c r="N150" s="341" t="s">
        <v>395</v>
      </c>
      <c r="O150" s="565"/>
      <c r="P150" s="472"/>
      <c r="Q150" s="343">
        <v>0</v>
      </c>
      <c r="R150" s="604"/>
      <c r="S150" s="640" t="s">
        <v>397</v>
      </c>
      <c r="T150" s="649">
        <v>45961</v>
      </c>
      <c r="U150" s="658">
        <v>0</v>
      </c>
      <c r="V150" s="761"/>
      <c r="W150" s="651">
        <v>45961</v>
      </c>
      <c r="X150" s="759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8"/>
      <c r="J151" s="758"/>
      <c r="K151" s="272"/>
      <c r="L151" s="340">
        <v>14</v>
      </c>
      <c r="M151" s="436" t="s">
        <v>394</v>
      </c>
      <c r="N151" s="341" t="s">
        <v>395</v>
      </c>
      <c r="O151" s="565"/>
      <c r="P151" s="472"/>
      <c r="Q151" s="343">
        <v>0</v>
      </c>
      <c r="R151" s="604"/>
      <c r="S151" s="640" t="s">
        <v>397</v>
      </c>
      <c r="T151" s="649">
        <v>45991</v>
      </c>
      <c r="U151" s="658">
        <v>4489.3500000000004</v>
      </c>
      <c r="V151" s="761"/>
      <c r="W151" s="651">
        <v>45996</v>
      </c>
      <c r="X151" s="759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8"/>
      <c r="J152" s="758"/>
      <c r="K152" s="272"/>
      <c r="L152" s="340">
        <v>14</v>
      </c>
      <c r="M152" s="436" t="s">
        <v>394</v>
      </c>
      <c r="N152" s="341" t="s">
        <v>395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1"/>
      <c r="W152" s="586"/>
      <c r="X152" s="759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8"/>
      <c r="J153" s="758"/>
      <c r="K153" s="272"/>
      <c r="L153" s="340">
        <v>14</v>
      </c>
      <c r="M153" s="436" t="s">
        <v>394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1"/>
      <c r="W153" s="586"/>
      <c r="X153" s="759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0"/>
      <c r="J154" s="750"/>
      <c r="K154" s="275"/>
      <c r="L154" s="273">
        <v>14</v>
      </c>
      <c r="M154" s="437" t="s">
        <v>394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2"/>
      <c r="W154" s="587"/>
      <c r="X154" s="754"/>
      <c r="Y154" s="483"/>
    </row>
    <row r="155" spans="1:25" ht="14.4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398</v>
      </c>
      <c r="D156" s="282" t="s">
        <v>399</v>
      </c>
      <c r="E156" s="283"/>
      <c r="F156" s="438"/>
      <c r="G156" s="284">
        <f>D192</f>
        <v>2500000</v>
      </c>
      <c r="H156" s="540">
        <v>45841</v>
      </c>
      <c r="I156" s="743">
        <f>SUM(G156:G167)</f>
        <v>2500000</v>
      </c>
      <c r="J156" s="743">
        <f>F192</f>
        <v>2500000</v>
      </c>
      <c r="K156" s="285"/>
      <c r="L156" s="281">
        <v>15</v>
      </c>
      <c r="M156" s="351" t="s">
        <v>400</v>
      </c>
      <c r="N156" s="282" t="s">
        <v>401</v>
      </c>
      <c r="O156" s="283"/>
      <c r="P156" s="438"/>
      <c r="Q156" s="284">
        <f>1336000/2</f>
        <v>668000</v>
      </c>
      <c r="R156" s="596"/>
      <c r="S156" s="633" t="s">
        <v>402</v>
      </c>
      <c r="T156" s="661">
        <v>45838</v>
      </c>
      <c r="U156" s="667">
        <v>1094364.3512450852</v>
      </c>
      <c r="V156" s="755">
        <f>J156-SUM(U156:U167)</f>
        <v>-2.4901703000068665E-3</v>
      </c>
      <c r="W156" s="540">
        <v>45841</v>
      </c>
      <c r="X156" s="746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44"/>
      <c r="J157" s="744"/>
      <c r="K157" s="288"/>
      <c r="L157" s="311">
        <v>15</v>
      </c>
      <c r="M157" s="390" t="s">
        <v>400</v>
      </c>
      <c r="N157" s="313" t="s">
        <v>403</v>
      </c>
      <c r="O157" s="551"/>
      <c r="P157" s="460"/>
      <c r="Q157" s="315">
        <v>668000</v>
      </c>
      <c r="R157" s="589"/>
      <c r="S157" s="626" t="s">
        <v>402</v>
      </c>
      <c r="T157" s="647">
        <v>45838</v>
      </c>
      <c r="U157" s="663">
        <v>1094364.3512450852</v>
      </c>
      <c r="V157" s="756"/>
      <c r="W157" s="536">
        <v>45954</v>
      </c>
      <c r="X157" s="747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44"/>
      <c r="J158" s="744"/>
      <c r="K158" s="288"/>
      <c r="L158" s="311">
        <v>15</v>
      </c>
      <c r="M158" s="390" t="s">
        <v>400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56"/>
      <c r="W158" s="573"/>
      <c r="X158" s="747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44"/>
      <c r="J159" s="744"/>
      <c r="K159" s="288"/>
      <c r="L159" s="311">
        <v>15</v>
      </c>
      <c r="M159" s="390" t="s">
        <v>400</v>
      </c>
      <c r="N159" s="313" t="s">
        <v>404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56"/>
      <c r="W159" s="573"/>
      <c r="X159" s="747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44"/>
      <c r="J160" s="744"/>
      <c r="K160" s="288"/>
      <c r="L160" s="311">
        <v>15</v>
      </c>
      <c r="M160" s="390" t="s">
        <v>400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56"/>
      <c r="W160" s="573"/>
      <c r="X160" s="747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44"/>
      <c r="J161" s="744"/>
      <c r="K161" s="288"/>
      <c r="L161" s="311">
        <v>15</v>
      </c>
      <c r="M161" s="390" t="s">
        <v>400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56"/>
      <c r="W161" s="573"/>
      <c r="X161" s="747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44"/>
      <c r="J162" s="744"/>
      <c r="K162" s="288"/>
      <c r="L162" s="311">
        <v>15</v>
      </c>
      <c r="M162" s="390" t="s">
        <v>400</v>
      </c>
      <c r="N162" s="313" t="s">
        <v>405</v>
      </c>
      <c r="O162" s="551"/>
      <c r="P162" s="460"/>
      <c r="Q162" s="315">
        <v>0</v>
      </c>
      <c r="R162" s="589"/>
      <c r="S162" s="626"/>
      <c r="T162" s="519"/>
      <c r="U162" s="503"/>
      <c r="V162" s="756"/>
      <c r="W162" s="573"/>
      <c r="X162" s="747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44"/>
      <c r="J163" s="744"/>
      <c r="K163" s="288"/>
      <c r="L163" s="311">
        <v>15</v>
      </c>
      <c r="M163" s="390" t="s">
        <v>400</v>
      </c>
      <c r="N163" s="313" t="s">
        <v>528</v>
      </c>
      <c r="O163" s="699">
        <v>0.5</v>
      </c>
      <c r="P163" s="460">
        <v>113475</v>
      </c>
      <c r="Q163" s="315">
        <f>O163*P163</f>
        <v>56737.5</v>
      </c>
      <c r="R163" s="763" t="s">
        <v>406</v>
      </c>
      <c r="S163" s="626" t="s">
        <v>407</v>
      </c>
      <c r="T163" s="647">
        <v>45961</v>
      </c>
      <c r="U163" s="503"/>
      <c r="V163" s="756"/>
      <c r="W163" s="536">
        <v>45967</v>
      </c>
      <c r="X163" s="747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44"/>
      <c r="J164" s="744"/>
      <c r="K164" s="288"/>
      <c r="L164" s="311">
        <v>15</v>
      </c>
      <c r="M164" s="390" t="s">
        <v>400</v>
      </c>
      <c r="N164" s="313"/>
      <c r="O164" s="699">
        <v>0.5</v>
      </c>
      <c r="P164" s="460"/>
      <c r="Q164" s="315">
        <f>O164*P163</f>
        <v>56737.5</v>
      </c>
      <c r="R164" s="764"/>
      <c r="S164" s="626" t="s">
        <v>407</v>
      </c>
      <c r="T164" s="652">
        <v>45961</v>
      </c>
      <c r="U164" s="503" t="s">
        <v>177</v>
      </c>
      <c r="V164" s="756"/>
      <c r="W164" s="573">
        <f>W122</f>
        <v>46088</v>
      </c>
      <c r="X164" s="747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44"/>
      <c r="J165" s="744"/>
      <c r="K165" s="288"/>
      <c r="L165" s="311">
        <v>15</v>
      </c>
      <c r="M165" s="390" t="s">
        <v>400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56"/>
      <c r="W165" s="573"/>
      <c r="X165" s="747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44"/>
      <c r="J166" s="744"/>
      <c r="K166" s="288"/>
      <c r="L166" s="311">
        <v>15</v>
      </c>
      <c r="M166" s="390" t="s">
        <v>400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56"/>
      <c r="W166" s="573"/>
      <c r="X166" s="747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45"/>
      <c r="J167" s="745"/>
      <c r="K167" s="289"/>
      <c r="L167" s="316">
        <v>15</v>
      </c>
      <c r="M167" s="420" t="s">
        <v>400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57"/>
      <c r="W167" s="575"/>
      <c r="X167" s="748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408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409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410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284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315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299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411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412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413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414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415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416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417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418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419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420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421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422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423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424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425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426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413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427</v>
      </c>
      <c r="D194" s="643"/>
      <c r="E194" s="545"/>
      <c r="F194" s="643"/>
      <c r="I194" s="256"/>
      <c r="J194" s="256"/>
    </row>
    <row r="195" spans="3:10" s="112" customFormat="1">
      <c r="C195" s="643" t="s">
        <v>428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I127:I131"/>
    <mergeCell ref="J127:J131"/>
    <mergeCell ref="X127:X131"/>
    <mergeCell ref="I133:I134"/>
    <mergeCell ref="J133:J134"/>
    <mergeCell ref="K133:K134"/>
    <mergeCell ref="X133:X134"/>
    <mergeCell ref="V127:V131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topRight" activeCell="X33" sqref="X33"/>
      <selection pane="bottomLeft" activeCell="X33" sqref="X33"/>
      <selection pane="bottomRight" activeCell="BE35" sqref="BE3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429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211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433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435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2"/>
      <c r="B17" s="195" t="s">
        <v>438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439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zoomScale="80" zoomScaleNormal="80" workbookViewId="0">
      <selection activeCell="K21" sqref="K21"/>
    </sheetView>
  </sheetViews>
  <sheetFormatPr defaultColWidth="8.44140625" defaultRowHeight="14.4"/>
  <cols>
    <col min="1" max="1" width="21.77734375" bestFit="1" customWidth="1"/>
    <col min="2" max="2" width="17.21875" style="408" bestFit="1" customWidth="1"/>
    <col min="3" max="3" width="14.77734375" style="408" bestFit="1" customWidth="1"/>
    <col min="4" max="4" width="13.21875" style="408" bestFit="1" customWidth="1"/>
    <col min="5" max="5" width="14.77734375" style="408" bestFit="1" customWidth="1"/>
    <col min="6" max="9" width="13.21875" style="408" bestFit="1" customWidth="1"/>
    <col min="10" max="11" width="12" bestFit="1" customWidth="1"/>
    <col min="12" max="12" width="14.77734375" bestFit="1" customWidth="1"/>
    <col min="13" max="13" width="12" bestFit="1" customWidth="1"/>
    <col min="14" max="15" width="14.7773437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440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240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252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267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281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300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316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323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/>
      <c r="N12" s="450">
        <v>211082.9314999998</v>
      </c>
      <c r="O12" s="450"/>
    </row>
    <row r="13" spans="1:15">
      <c r="A13" s="448" t="s">
        <v>348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351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63700</v>
      </c>
      <c r="N14" s="450">
        <v>607381.13049999997</v>
      </c>
    </row>
    <row r="15" spans="1:15">
      <c r="A15" s="448" t="s">
        <v>371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385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394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400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63700</v>
      </c>
      <c r="N21" s="450">
        <v>6637894.6950000003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4.77734375" style="366" bestFit="1" customWidth="1"/>
    <col min="4" max="4" width="13.21875" style="366" bestFit="1" customWidth="1"/>
    <col min="5" max="6" width="14.77734375" style="366" bestFit="1" customWidth="1"/>
    <col min="7" max="10" width="13.21875" style="366" bestFit="1" customWidth="1"/>
    <col min="11" max="11" width="11.77734375" style="366" bestFit="1" customWidth="1"/>
    <col min="12" max="12" width="4.77734375" style="366" bestFit="1" customWidth="1"/>
    <col min="13" max="13" width="10.5546875" style="366" bestFit="1" customWidth="1"/>
    <col min="14" max="14" width="14.77734375" style="366" bestFit="1" customWidth="1"/>
    <col min="15" max="15" width="14.441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445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240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252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267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281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300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316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323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>
        <v>0</v>
      </c>
      <c r="M12" s="371"/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348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351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371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385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394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400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/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04" t="s">
        <v>446</v>
      </c>
      <c r="C2" s="804"/>
      <c r="D2" s="804"/>
      <c r="E2" s="804"/>
      <c r="H2" s="805" t="s">
        <v>447</v>
      </c>
      <c r="I2" s="806"/>
      <c r="J2" s="806"/>
      <c r="K2" s="806"/>
      <c r="L2" s="806"/>
      <c r="M2" s="806"/>
      <c r="N2" s="806"/>
      <c r="O2" s="807"/>
    </row>
    <row r="3" spans="2:15">
      <c r="B3" s="685"/>
      <c r="H3" s="808"/>
      <c r="I3" s="809"/>
      <c r="J3" s="809"/>
      <c r="K3" s="809"/>
      <c r="L3" s="809"/>
      <c r="M3" s="809"/>
      <c r="N3" s="809"/>
      <c r="O3" s="810"/>
    </row>
    <row r="4" spans="2:15">
      <c r="B4" s="686" t="s">
        <v>448</v>
      </c>
      <c r="C4" s="687" t="str">
        <f>'Project Plan'!E2</f>
        <v>Marikana Shoprite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6" t="s">
        <v>449</v>
      </c>
      <c r="C5" s="687" t="s">
        <v>450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6" t="s">
        <v>451</v>
      </c>
      <c r="C6" s="687" t="s">
        <v>452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6" t="s">
        <v>453</v>
      </c>
      <c r="C7" s="687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5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454</v>
      </c>
      <c r="C9" s="814"/>
      <c r="D9" s="814"/>
      <c r="E9" s="814"/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455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8" t="s">
        <v>456</v>
      </c>
      <c r="C11" s="803" t="s">
        <v>457</v>
      </c>
      <c r="D11" s="803"/>
      <c r="E11" s="803"/>
    </row>
    <row r="12" spans="2:15">
      <c r="B12" s="688" t="s">
        <v>458</v>
      </c>
      <c r="C12" s="803" t="s">
        <v>457</v>
      </c>
      <c r="D12" s="803"/>
      <c r="E12" s="803"/>
    </row>
    <row r="13" spans="2:15">
      <c r="B13" s="688" t="s">
        <v>459</v>
      </c>
      <c r="C13" s="803" t="s">
        <v>457</v>
      </c>
      <c r="D13" s="803"/>
      <c r="E13" s="803"/>
    </row>
    <row r="14" spans="2:15">
      <c r="B14" s="688" t="s">
        <v>460</v>
      </c>
      <c r="C14" s="803" t="s">
        <v>461</v>
      </c>
      <c r="D14" s="803"/>
      <c r="E14" s="803"/>
    </row>
    <row r="15" spans="2:15">
      <c r="B15" s="688" t="s">
        <v>462</v>
      </c>
      <c r="C15" s="803" t="s">
        <v>463</v>
      </c>
      <c r="D15" s="803"/>
      <c r="E15" s="803"/>
    </row>
    <row r="16" spans="2:15" ht="15" customHeight="1">
      <c r="B16" s="688" t="s">
        <v>464</v>
      </c>
      <c r="C16" s="803" t="s">
        <v>465</v>
      </c>
      <c r="D16" s="803"/>
      <c r="E16" s="803"/>
    </row>
    <row r="17" spans="2:5">
      <c r="B17" s="685"/>
    </row>
    <row r="18" spans="2:5">
      <c r="B18" s="815" t="s">
        <v>466</v>
      </c>
      <c r="C18" s="815"/>
      <c r="D18" s="815"/>
      <c r="E18" s="815"/>
    </row>
    <row r="19" spans="2:5">
      <c r="B19" s="688" t="s">
        <v>467</v>
      </c>
      <c r="C19" s="688" t="s">
        <v>468</v>
      </c>
      <c r="D19" s="688" t="s">
        <v>469</v>
      </c>
      <c r="E19" s="688" t="s">
        <v>62</v>
      </c>
    </row>
    <row r="20" spans="2:5" ht="15" customHeight="1">
      <c r="B20" s="688" t="s">
        <v>470</v>
      </c>
      <c r="C20" s="688" t="s">
        <v>471</v>
      </c>
      <c r="D20" s="689" t="s">
        <v>472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473</v>
      </c>
    </row>
    <row r="2" spans="1:4">
      <c r="A2" s="817"/>
      <c r="B2" s="817"/>
      <c r="C2" s="817"/>
      <c r="D2" s="71"/>
    </row>
    <row r="3" spans="1:4">
      <c r="A3" s="816" t="s">
        <v>474</v>
      </c>
      <c r="B3" s="816"/>
      <c r="C3" s="816"/>
      <c r="D3" s="111">
        <v>0.32</v>
      </c>
    </row>
    <row r="4" spans="1:4">
      <c r="A4" s="816" t="s">
        <v>416</v>
      </c>
      <c r="B4" s="816"/>
      <c r="C4" s="816"/>
      <c r="D4" s="111">
        <v>0.5</v>
      </c>
    </row>
    <row r="5" spans="1:4">
      <c r="A5" s="816" t="s">
        <v>427</v>
      </c>
      <c r="B5" s="816"/>
      <c r="C5" s="816"/>
      <c r="D5" s="111">
        <v>0.15</v>
      </c>
    </row>
    <row r="6" spans="1:4">
      <c r="A6" s="816" t="s">
        <v>475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218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8" t="s">
        <v>476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477</v>
      </c>
      <c r="C4" s="86"/>
      <c r="D4" s="90" t="s">
        <v>478</v>
      </c>
      <c r="E4" s="95"/>
      <c r="F4" s="90" t="s">
        <v>479</v>
      </c>
      <c r="H4" s="90" t="s">
        <v>480</v>
      </c>
      <c r="I4" s="95"/>
      <c r="J4" s="90" t="s">
        <v>481</v>
      </c>
      <c r="L4" s="90" t="s">
        <v>480</v>
      </c>
      <c r="M4" s="90"/>
      <c r="N4" s="90" t="s">
        <v>482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483</v>
      </c>
      <c r="H7" s="99"/>
      <c r="I7" s="95"/>
      <c r="J7" s="107" t="s">
        <v>483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483</v>
      </c>
      <c r="H15" s="99"/>
      <c r="I15" s="95"/>
      <c r="J15" s="107" t="s">
        <v>483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483</v>
      </c>
      <c r="H21" s="99"/>
      <c r="I21" s="95"/>
      <c r="J21" s="107" t="s">
        <v>483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488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483</v>
      </c>
      <c r="H27" s="99"/>
      <c r="I27" s="95"/>
      <c r="J27" s="107" t="s">
        <v>483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483</v>
      </c>
      <c r="H34" s="99"/>
      <c r="I34" s="95"/>
      <c r="J34" s="107" t="s">
        <v>483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218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8" t="s">
        <v>498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477</v>
      </c>
      <c r="C4" s="86"/>
      <c r="D4" s="90" t="s">
        <v>478</v>
      </c>
      <c r="E4" s="95"/>
      <c r="F4" s="95"/>
      <c r="G4" s="90" t="s">
        <v>499</v>
      </c>
      <c r="H4" s="96"/>
      <c r="J4" s="90" t="s">
        <v>480</v>
      </c>
      <c r="L4" s="90" t="s">
        <v>500</v>
      </c>
      <c r="M4" s="96"/>
      <c r="O4" s="90" t="s">
        <v>480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477</v>
      </c>
      <c r="C18" s="86"/>
      <c r="D18" s="90" t="s">
        <v>478</v>
      </c>
      <c r="E18" s="95"/>
      <c r="F18" s="95"/>
      <c r="G18" s="90" t="s">
        <v>502</v>
      </c>
      <c r="H18" s="96"/>
      <c r="J18" s="90" t="s">
        <v>480</v>
      </c>
      <c r="L18" s="90" t="s">
        <v>503</v>
      </c>
      <c r="M18" s="96"/>
      <c r="O18" s="90" t="s">
        <v>480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505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506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507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509</v>
      </c>
      <c r="C32" s="103"/>
      <c r="D32" s="103"/>
    </row>
    <row r="33" spans="2:4" ht="13.8" thickTop="1"/>
    <row r="34" spans="2:4">
      <c r="B34" s="88" t="s">
        <v>478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20" t="str">
        <f>D15</f>
        <v>Marikana Shoprite</v>
      </c>
      <c r="C1" s="820"/>
      <c r="D1" s="820"/>
      <c r="E1" s="819" t="s">
        <v>511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512</v>
      </c>
      <c r="C3" s="72" t="s">
        <v>513</v>
      </c>
      <c r="D3" s="72" t="s">
        <v>514</v>
      </c>
      <c r="E3" s="78" t="s">
        <v>515</v>
      </c>
      <c r="F3" s="78" t="s">
        <v>516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532444C-F6CD-4B7C-87D5-F400AE254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