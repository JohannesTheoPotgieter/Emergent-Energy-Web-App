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9" documentId="13_ncr:1_{36710142-C419-40D1-A280-4ADDF2A63E4A}" xr6:coauthVersionLast="47" xr6:coauthVersionMax="47" xr10:uidLastSave="{3FD59488-7942-4326-8407-F1AE211F2CBC}"/>
  <bookViews>
    <workbookView xWindow="-110" yWindow="-110" windowWidth="19420" windowHeight="11500" tabRatio="802" firstSheet="6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8" l="1"/>
  <c r="W148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<sst xmlns="http://schemas.openxmlformats.org/spreadsheetml/2006/main" count="825" uniqueCount="478">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</sst>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599855.66</c:v>
                </c:pt>
                <c:pt idx="58">
                  <c:v>599855.66</c:v>
                </c:pt>
                <c:pt idx="59">
                  <c:v>609461.96000000008</c:v>
                </c:pt>
                <c:pt idx="60">
                  <c:v>609461.96000000008</c:v>
                </c:pt>
                <c:pt idx="61">
                  <c:v>609461.96000000008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228511.58558144595</c:v>
                </c:pt>
                <c:pt idx="58">
                  <c:v>228511.58558144595</c:v>
                </c:pt>
                <c:pt idx="59">
                  <c:v>218905.2855814459</c:v>
                </c:pt>
                <c:pt idx="60">
                  <c:v>218905.2855814459</c:v>
                </c:pt>
                <c:pt idx="61">
                  <c:v>218905.2855814459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1" t="s">
        <v>57</v>
      </c>
      <c r="E47" s="781"/>
      <c r="F47" s="782"/>
      <c r="G47" s="67"/>
      <c r="I47" s="68"/>
      <c r="J47" s="68"/>
    </row>
    <row r="48" spans="1:49" ht="14.5" thickBot="1">
      <c r="C48" s="69">
        <v>44014</v>
      </c>
      <c r="D48" s="783"/>
      <c r="E48" s="783"/>
      <c r="F48" s="7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85" t="s">
        <v>58</v>
      </c>
      <c r="C2" s="786"/>
      <c r="D2" s="786"/>
      <c r="E2" s="786"/>
      <c r="F2" s="78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5" t="s">
        <v>69</v>
      </c>
      <c r="C16" s="786"/>
      <c r="D16" s="786"/>
      <c r="E16" s="786"/>
      <c r="F16" s="78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6" zoomScale="85" zoomScaleNormal="85" workbookViewId="0">
      <selection activeCell="J52" sqref="J52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17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17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46069</v>
      </c>
      <c r="P1" s="408">
        <f ca="1">TODAY()</f>
        <v>46069</v>
      </c>
      <c r="R1" s="3"/>
    </row>
    <row r="2" spans="2:29">
      <c r="B2" s="176"/>
      <c r="C2" s="177" t="s">
        <v>0</v>
      </c>
      <c r="D2" s="178"/>
      <c r="E2" s="788" t="s">
        <v>73</v>
      </c>
      <c r="F2" s="789"/>
      <c r="G2" s="789"/>
      <c r="H2" s="790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91" t="s">
        <v>76</v>
      </c>
      <c r="F4" s="792"/>
      <c r="G4" s="792"/>
      <c r="H4" s="793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91" t="s">
        <v>79</v>
      </c>
      <c r="F5" s="792"/>
      <c r="G5" s="792"/>
      <c r="H5" s="793"/>
      <c r="J5" s="113"/>
      <c r="R5" s="3"/>
    </row>
    <row r="6" spans="2:29">
      <c r="B6" s="184"/>
      <c r="C6" s="185" t="s">
        <v>80</v>
      </c>
      <c r="D6" s="178"/>
      <c r="E6" s="794">
        <v>828367.24558144598</v>
      </c>
      <c r="F6" s="795"/>
      <c r="G6" s="795"/>
      <c r="H6" s="796"/>
    </row>
    <row r="7" spans="2:29" s="112" customFormat="1" ht="20.25" customHeight="1">
      <c r="B7" s="167"/>
      <c r="C7" s="721" t="s">
        <v>81</v>
      </c>
      <c r="D7" s="720"/>
      <c r="E7" s="719" t="s">
        <v>54</v>
      </c>
      <c r="F7" s="168"/>
      <c r="G7" s="186"/>
      <c r="J7" s="113"/>
      <c r="R7" s="3"/>
    </row>
    <row r="8" spans="2:29" ht="30" customHeight="1">
      <c r="B8" s="800" t="s">
        <v>82</v>
      </c>
      <c r="C8" s="801" t="s">
        <v>83</v>
      </c>
      <c r="D8" s="215"/>
      <c r="E8" s="799" t="s">
        <v>84</v>
      </c>
      <c r="F8" s="237" t="s">
        <v>85</v>
      </c>
      <c r="G8" s="799" t="s">
        <v>86</v>
      </c>
      <c r="H8" s="238"/>
      <c r="I8" s="799" t="s">
        <v>87</v>
      </c>
      <c r="J8" s="237" t="s">
        <v>85</v>
      </c>
      <c r="K8" s="799" t="s">
        <v>88</v>
      </c>
      <c r="M8" s="415" t="s">
        <v>60</v>
      </c>
      <c r="N8" s="415" t="s">
        <v>60</v>
      </c>
      <c r="P8" s="797" t="s">
        <v>89</v>
      </c>
      <c r="AA8" s="112"/>
      <c r="AB8" s="112"/>
      <c r="AC8" s="112"/>
    </row>
    <row r="9" spans="2:29">
      <c r="B9" s="800"/>
      <c r="C9" s="801"/>
      <c r="D9" s="215"/>
      <c r="E9" s="799"/>
      <c r="F9" s="126">
        <f>G41-E19</f>
        <v>17</v>
      </c>
      <c r="G9" s="799"/>
      <c r="H9" s="238"/>
      <c r="I9" s="799"/>
      <c r="J9" s="127">
        <f>K41-I19</f>
        <v>47</v>
      </c>
      <c r="K9" s="799"/>
      <c r="M9" s="362">
        <f>AVERAGE(M11,M18,M21,M28,M35,M39,M46,M43)</f>
        <v>0.97505252100840334</v>
      </c>
      <c r="N9" s="362">
        <f ca="1">AVERAGE(N11,N18,N21,N28,N35,N39,N46,N43)</f>
        <v>0.94375006472445411</v>
      </c>
      <c r="O9" s="374"/>
      <c r="P9" s="798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0.79991893398186142</v>
      </c>
      <c r="O46" s="377">
        <f>J46*M46</f>
        <v>66.147058823529406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46071</v>
      </c>
      <c r="J51" s="251">
        <v>1</v>
      </c>
      <c r="K51" s="253">
        <f>WORKDAY.INTL(I51,J51,1,Data!$C$3:$C$14)</f>
        <v>46072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46065</v>
      </c>
      <c r="J52" s="251">
        <v>3</v>
      </c>
      <c r="K52" s="253">
        <f>WORKDAY.INTL(I52,J52,1,Data!$C$3:$C$14)</f>
        <v>46070</v>
      </c>
      <c r="M52" s="254">
        <v>0</v>
      </c>
      <c r="N52" s="254">
        <f t="shared" ca="1" si="5"/>
        <v>0.8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Q17" sqref="Q17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1796875" style="129" customWidth="1"/>
    <col min="5" max="5" width="6.54296875" style="129" customWidth="1"/>
    <col min="6" max="6" width="16.179687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8.453125" style="129" customWidth="1"/>
    <col min="17" max="17" width="14.54296875" style="129" customWidth="1"/>
    <col min="18" max="18" width="19.1796875" style="129" customWidth="1"/>
    <col min="19" max="19" width="16.54296875" style="129" customWidth="1"/>
    <col min="20" max="20" width="19" style="129" customWidth="1"/>
    <col min="21" max="21" width="14.81640625" style="93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572802.17885106115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">
      <c r="B13" s="352">
        <v>1</v>
      </c>
      <c r="C13" s="804" t="s">
        <v>171</v>
      </c>
      <c r="D13" s="805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804" t="s">
        <v>173</v>
      </c>
      <c r="D14" s="805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804" t="s">
        <v>175</v>
      </c>
      <c r="D15" s="805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802" t="s">
        <v>133</v>
      </c>
      <c r="D16" s="803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802" t="s">
        <v>54</v>
      </c>
      <c r="D17" s="803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46081</v>
      </c>
      <c r="R17" s="383"/>
      <c r="S17" s="141"/>
    </row>
    <row r="18" spans="2:19" s="93" customFormat="1" ht="12.5">
      <c r="B18" s="352">
        <v>6</v>
      </c>
      <c r="C18" s="802" t="s">
        <v>177</v>
      </c>
      <c r="D18" s="803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804" t="s">
        <v>177</v>
      </c>
      <c r="D19" s="80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5">
      <c r="C24" s="147" t="s">
        <v>180</v>
      </c>
      <c r="D24" s="148"/>
      <c r="F24" s="149"/>
    </row>
    <row r="25" spans="2:19" s="93" customFormat="1" ht="12.5">
      <c r="C25" s="147" t="s">
        <v>181</v>
      </c>
      <c r="D25" s="148"/>
    </row>
    <row r="26" spans="2:19" s="93" customFormat="1" ht="12.5">
      <c r="C26" s="150" t="s">
        <v>182</v>
      </c>
      <c r="D26" s="151"/>
    </row>
    <row r="27" spans="2:19" s="93" customFormat="1" ht="12.5">
      <c r="C27" s="152" t="s">
        <v>183</v>
      </c>
      <c r="D27" s="148"/>
    </row>
    <row r="28" spans="2:19" s="93" customFormat="1" ht="12.5">
      <c r="B28" s="117"/>
      <c r="C28" s="152" t="s">
        <v>184</v>
      </c>
      <c r="D28" s="148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806"/>
      <c r="C4" s="806"/>
      <c r="D4" s="806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5" thickBot="1">
      <c r="A5" s="215"/>
      <c r="B5" s="807" t="s">
        <v>212</v>
      </c>
      <c r="C5" s="807"/>
      <c r="D5" s="807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5" zoomScaleNormal="85" workbookViewId="0">
      <pane ySplit="4" topLeftCell="A67" activePane="bottomLeft" state="frozen"/>
      <selection activeCell="X33" sqref="X33"/>
      <selection pane="bottomLeft" activeCell="U117" sqref="U11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7" hidden="1" customWidth="1"/>
    <col min="7" max="7" width="17.453125" style="24" hidden="1" customWidth="1"/>
    <col min="8" max="8" width="17.453125" style="546" hidden="1" customWidth="1"/>
    <col min="9" max="9" width="22.45312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39" style="112" customWidth="1"/>
    <col min="19" max="19" width="36.54296875" style="112" customWidth="1"/>
    <col min="20" max="21" width="17.453125" style="546" customWidth="1"/>
    <col min="22" max="22" width="17.453125" style="112" customWidth="1"/>
    <col min="23" max="23" width="17.453125" style="546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74" t="s">
        <v>219</v>
      </c>
      <c r="C2" s="775"/>
      <c r="D2" s="775"/>
      <c r="E2" s="775"/>
      <c r="F2" s="775"/>
      <c r="G2" s="775"/>
      <c r="H2" s="505"/>
      <c r="I2" s="258">
        <f>SUM(I6:I159)</f>
        <v>686839.19314130431</v>
      </c>
      <c r="J2" s="258">
        <f>SUM(J6:J159)</f>
        <v>828367.24558144645</v>
      </c>
      <c r="L2" s="776" t="s">
        <v>220</v>
      </c>
      <c r="M2" s="777"/>
      <c r="N2" s="777"/>
      <c r="O2" s="777"/>
      <c r="P2" s="777"/>
      <c r="Q2" s="777"/>
      <c r="R2" s="778" t="s">
        <v>221</v>
      </c>
      <c r="S2" s="779"/>
      <c r="T2" s="779"/>
      <c r="U2" s="779"/>
      <c r="V2" s="779"/>
      <c r="W2" s="780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27">
        <f>SUM(G6:G11)</f>
        <v>167702.96000000005</v>
      </c>
      <c r="J6" s="727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199846.345012253</v>
      </c>
      <c r="V6" s="736">
        <f>J6-SUM(U6:U11)</f>
        <v>0</v>
      </c>
      <c r="W6" s="717">
        <v>45989</v>
      </c>
      <c r="X6" s="724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28"/>
      <c r="J7" s="728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37"/>
      <c r="W7" s="537">
        <v>45989</v>
      </c>
      <c r="X7" s="725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28"/>
      <c r="J8" s="728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37"/>
      <c r="W8" s="569"/>
      <c r="X8" s="725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28"/>
      <c r="J9" s="728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37"/>
      <c r="W9" s="570"/>
      <c r="X9" s="725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28"/>
      <c r="J10" s="728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37"/>
      <c r="W10" s="570"/>
      <c r="X10" s="725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29"/>
      <c r="J11" s="729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38"/>
      <c r="W11" s="571"/>
      <c r="X11" s="726"/>
      <c r="Y11" s="602" t="s">
        <v>241</v>
      </c>
      <c r="Z11" s="603" t="s">
        <v>242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52">
        <f>SUM(G13:G19)</f>
        <v>47500</v>
      </c>
      <c r="J13" s="752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70">
        <f>J13-SUM(U13:U19)</f>
        <v>0</v>
      </c>
      <c r="W13" s="539">
        <v>45900</v>
      </c>
      <c r="X13" s="755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53"/>
      <c r="J14" s="753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71"/>
      <c r="W14" s="651"/>
      <c r="X14" s="756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53"/>
      <c r="J15" s="753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71"/>
      <c r="W15" s="574"/>
      <c r="X15" s="756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53"/>
      <c r="J16" s="753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71"/>
      <c r="W16" s="574"/>
      <c r="X16" s="756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53"/>
      <c r="J17" s="753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71"/>
      <c r="W17" s="574"/>
      <c r="X17" s="756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53"/>
      <c r="J18" s="753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71"/>
      <c r="W18" s="574"/>
      <c r="X18" s="756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54"/>
      <c r="J19" s="754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72"/>
      <c r="W19" s="575"/>
      <c r="X19" s="757"/>
      <c r="Y19" s="604" t="s">
        <v>255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27">
        <f>SUM(G21:G26)</f>
        <v>47059.199999999997</v>
      </c>
      <c r="J21" s="727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36">
        <f>J21-SUM(U21:U26)</f>
        <v>0</v>
      </c>
      <c r="W21" s="695">
        <f>T21+30</f>
        <v>45960</v>
      </c>
      <c r="X21" s="724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28"/>
      <c r="J22" s="728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37"/>
      <c r="W22" s="569"/>
      <c r="X22" s="725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28"/>
      <c r="J23" s="728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37"/>
      <c r="W23" s="537">
        <v>45989</v>
      </c>
      <c r="X23" s="725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28"/>
      <c r="J24" s="728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37"/>
      <c r="W24" s="570"/>
      <c r="X24" s="725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28"/>
      <c r="J25" s="728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37"/>
      <c r="W25" s="570"/>
      <c r="X25" s="725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29"/>
      <c r="J26" s="729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38"/>
      <c r="W26" s="571"/>
      <c r="X26" s="726"/>
      <c r="Y26" s="610" t="s">
        <v>147</v>
      </c>
      <c r="Z26" s="611" t="s">
        <v>268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52">
        <f>SUM(G28:G42)</f>
        <v>87218.6</v>
      </c>
      <c r="J28" s="752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70">
        <f>J28-SUM(U28:U42)</f>
        <v>-6.7025581014459021</v>
      </c>
      <c r="W28" s="718">
        <v>45989</v>
      </c>
      <c r="X28" s="755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53"/>
      <c r="J29" s="753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71"/>
      <c r="W29" s="574"/>
      <c r="X29" s="756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53"/>
      <c r="J30" s="753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71"/>
      <c r="W30" s="574"/>
      <c r="X30" s="756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53"/>
      <c r="J31" s="753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71"/>
      <c r="W31" s="574"/>
      <c r="X31" s="756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53"/>
      <c r="J32" s="753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48" t="s">
        <v>275</v>
      </c>
      <c r="S32" s="627" t="s">
        <v>276</v>
      </c>
      <c r="T32" s="673">
        <v>45930</v>
      </c>
      <c r="U32" s="709">
        <v>4623.9056888684636</v>
      </c>
      <c r="V32" s="771"/>
      <c r="W32" s="540">
        <f>W90</f>
        <v>45918</v>
      </c>
      <c r="X32" s="756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53"/>
      <c r="J33" s="753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73"/>
      <c r="S33" s="627" t="s">
        <v>277</v>
      </c>
      <c r="T33" s="653">
        <f t="shared" si="0"/>
        <v>45961</v>
      </c>
      <c r="U33" s="709">
        <v>6935.8585333026958</v>
      </c>
      <c r="V33" s="771"/>
      <c r="W33" s="540">
        <f t="shared" ref="W33:W39" si="6">W91</f>
        <v>45954</v>
      </c>
      <c r="X33" s="756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53"/>
      <c r="J34" s="753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3"/>
      <c r="S34" s="627" t="str">
        <f>S92</f>
        <v>Matthews Group - INV1564</v>
      </c>
      <c r="T34" s="653">
        <f>T92</f>
        <v>45991</v>
      </c>
      <c r="U34" s="709">
        <v>9247.8113777369272</v>
      </c>
      <c r="V34" s="771"/>
      <c r="W34" s="714">
        <f t="shared" si="6"/>
        <v>45995</v>
      </c>
      <c r="X34" s="756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53"/>
      <c r="J35" s="753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3"/>
      <c r="S35" s="627" t="s">
        <v>282</v>
      </c>
      <c r="T35" s="715">
        <f>T93</f>
        <v>45991</v>
      </c>
      <c r="U35" s="709">
        <v>11559.764222171159</v>
      </c>
      <c r="V35" s="771"/>
      <c r="W35" s="540">
        <f>W93</f>
        <v>45989</v>
      </c>
      <c r="X35" s="756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53"/>
      <c r="J36" s="753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3"/>
      <c r="S36" s="627" t="s">
        <v>284</v>
      </c>
      <c r="T36" s="653">
        <v>46022</v>
      </c>
      <c r="U36" s="709">
        <v>4631.2783990413282</v>
      </c>
      <c r="V36" s="771"/>
      <c r="W36" s="540">
        <f>W94</f>
        <v>46065</v>
      </c>
      <c r="X36" s="756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53"/>
      <c r="J37" s="753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3"/>
      <c r="S37" s="627" t="s">
        <v>286</v>
      </c>
      <c r="T37" s="653">
        <v>46022</v>
      </c>
      <c r="U37" s="709">
        <v>4623.5706128327474</v>
      </c>
      <c r="V37" s="771"/>
      <c r="W37" s="540">
        <f>W95</f>
        <v>46065</v>
      </c>
      <c r="X37" s="756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53"/>
      <c r="J38" s="753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3"/>
      <c r="S38" s="627" t="s">
        <v>288</v>
      </c>
      <c r="T38" s="653">
        <v>46022</v>
      </c>
      <c r="U38" s="709">
        <v>2311.7853064163737</v>
      </c>
      <c r="V38" s="771"/>
      <c r="W38" s="540">
        <f>W96</f>
        <v>46065</v>
      </c>
      <c r="X38" s="756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53"/>
      <c r="J39" s="753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49"/>
      <c r="S39" s="627" t="s">
        <v>290</v>
      </c>
      <c r="T39" s="653">
        <v>46022</v>
      </c>
      <c r="U39" s="709">
        <v>2311.7853064163737</v>
      </c>
      <c r="V39" s="771"/>
      <c r="W39" s="574">
        <f t="shared" si="6"/>
        <v>46095</v>
      </c>
      <c r="X39" s="756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53"/>
      <c r="J40" s="753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71"/>
      <c r="W40" s="574"/>
      <c r="X40" s="756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53"/>
      <c r="J41" s="753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71"/>
      <c r="W41" s="574"/>
      <c r="X41" s="756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54"/>
      <c r="J42" s="754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72"/>
      <c r="W42" s="575"/>
      <c r="X42" s="757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27">
        <f>SUM(G44:G50)</f>
        <v>41000</v>
      </c>
      <c r="J44" s="727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36">
        <f>J44-SUM(U44:U50)</f>
        <v>1947.1051844589529</v>
      </c>
      <c r="W44" s="695">
        <v>45926</v>
      </c>
      <c r="X44" s="724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28"/>
      <c r="J45" s="728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37"/>
      <c r="W45" s="537">
        <f>T45+30</f>
        <v>45930</v>
      </c>
      <c r="X45" s="725"/>
      <c r="Y45" s="485"/>
    </row>
    <row r="46" spans="1:26" ht="14.1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28"/>
      <c r="J46" s="728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37"/>
      <c r="W46" s="537">
        <v>45974</v>
      </c>
      <c r="X46" s="725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28"/>
      <c r="J47" s="728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37"/>
      <c r="W47" s="537">
        <v>45899</v>
      </c>
      <c r="X47" s="725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28"/>
      <c r="J48" s="728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37"/>
      <c r="W48" s="538">
        <v>45899</v>
      </c>
      <c r="X48" s="725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28"/>
      <c r="J49" s="728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37"/>
      <c r="W49" s="684">
        <v>45930</v>
      </c>
      <c r="X49" s="725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29"/>
      <c r="J50" s="729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38"/>
      <c r="W50" s="686">
        <v>45910</v>
      </c>
      <c r="X50" s="726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52">
        <f>SUM(G52:G68)</f>
        <v>131329.98260869566</v>
      </c>
      <c r="J52" s="752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70">
        <f>J52-SUM(U52:U68)</f>
        <v>0</v>
      </c>
      <c r="W52" s="573"/>
      <c r="X52" s="755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53"/>
      <c r="J53" s="753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71"/>
      <c r="W53" s="714">
        <f>T53+30</f>
        <v>45930</v>
      </c>
      <c r="X53" s="756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53"/>
      <c r="J54" s="753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71"/>
      <c r="W54" s="574"/>
      <c r="X54" s="756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53"/>
      <c r="J55" s="753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71"/>
      <c r="W55" s="574"/>
      <c r="X55" s="756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53"/>
      <c r="J56" s="753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71"/>
      <c r="W56" s="574"/>
      <c r="X56" s="756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53"/>
      <c r="J57" s="753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71"/>
      <c r="W57" s="574"/>
      <c r="X57" s="756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53"/>
      <c r="J58" s="753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48" t="s">
        <v>275</v>
      </c>
      <c r="S58" s="627" t="s">
        <v>276</v>
      </c>
      <c r="T58" s="672">
        <v>45930</v>
      </c>
      <c r="U58" s="709">
        <v>5195.7168660597981</v>
      </c>
      <c r="V58" s="771"/>
      <c r="W58" s="540">
        <f>W90</f>
        <v>45918</v>
      </c>
      <c r="X58" s="756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53"/>
      <c r="J59" s="753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73"/>
      <c r="S59" s="627" t="s">
        <v>277</v>
      </c>
      <c r="T59" s="697">
        <f t="shared" si="0"/>
        <v>45961</v>
      </c>
      <c r="U59" s="709">
        <v>7793.5752990896963</v>
      </c>
      <c r="V59" s="771"/>
      <c r="W59" s="540">
        <f t="shared" ref="W59:W65" si="11">W91</f>
        <v>45954</v>
      </c>
      <c r="X59" s="756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53"/>
      <c r="J60" s="753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3"/>
      <c r="S60" s="627" t="str">
        <f>S92</f>
        <v>Matthews Group - INV1564</v>
      </c>
      <c r="T60" s="697">
        <f>T92</f>
        <v>45991</v>
      </c>
      <c r="U60" s="709">
        <v>10391.433732119596</v>
      </c>
      <c r="V60" s="771"/>
      <c r="W60" s="714">
        <f t="shared" si="11"/>
        <v>45995</v>
      </c>
      <c r="X60" s="756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53"/>
      <c r="J61" s="753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3"/>
      <c r="S61" s="627" t="s">
        <v>282</v>
      </c>
      <c r="T61" s="716">
        <f>T93</f>
        <v>45991</v>
      </c>
      <c r="U61" s="709">
        <v>12989.292165149494</v>
      </c>
      <c r="V61" s="771"/>
      <c r="W61" s="540">
        <f>W93</f>
        <v>45989</v>
      </c>
      <c r="X61" s="756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53"/>
      <c r="J62" s="753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3"/>
      <c r="S62" s="627" t="s">
        <v>284</v>
      </c>
      <c r="T62" s="697">
        <v>46022</v>
      </c>
      <c r="U62" s="709">
        <v>5195.7168660597981</v>
      </c>
      <c r="V62" s="771"/>
      <c r="W62" s="540">
        <f>W94</f>
        <v>46065</v>
      </c>
      <c r="X62" s="756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53"/>
      <c r="J63" s="753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3"/>
      <c r="S63" s="627" t="s">
        <v>286</v>
      </c>
      <c r="T63" s="697">
        <v>46022</v>
      </c>
      <c r="U63" s="723">
        <v>5195.7168660597981</v>
      </c>
      <c r="V63" s="771"/>
      <c r="W63" s="540">
        <f>W95</f>
        <v>46065</v>
      </c>
      <c r="X63" s="756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53"/>
      <c r="J64" s="753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3"/>
      <c r="S64" s="627" t="s">
        <v>288</v>
      </c>
      <c r="T64" s="697">
        <v>46022</v>
      </c>
      <c r="U64" s="723">
        <v>2597.8584330298991</v>
      </c>
      <c r="V64" s="771"/>
      <c r="W64" s="540">
        <f>W96</f>
        <v>46065</v>
      </c>
      <c r="X64" s="756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53"/>
      <c r="J65" s="753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49"/>
      <c r="S65" s="627" t="s">
        <v>290</v>
      </c>
      <c r="T65" s="697">
        <v>46022</v>
      </c>
      <c r="U65" s="723">
        <v>2597.8584330298991</v>
      </c>
      <c r="V65" s="771"/>
      <c r="W65" s="574">
        <f t="shared" si="11"/>
        <v>46095</v>
      </c>
      <c r="X65" s="756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53"/>
      <c r="J66" s="753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71"/>
      <c r="W66" s="577"/>
      <c r="X66" s="756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53"/>
      <c r="J67" s="753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71"/>
      <c r="W67" s="577"/>
      <c r="X67" s="756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54"/>
      <c r="J68" s="754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72"/>
      <c r="W68" s="575"/>
      <c r="X68" s="757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27">
        <f>SUM(G70:G77)</f>
        <v>0</v>
      </c>
      <c r="J70" s="727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67">
        <f>J70-SUM(U70:U77)</f>
        <v>0</v>
      </c>
      <c r="W70" s="579"/>
      <c r="X70" s="724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28"/>
      <c r="J71" s="728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68"/>
      <c r="W71" s="570"/>
      <c r="X71" s="725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28"/>
      <c r="J72" s="728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68"/>
      <c r="W72" s="570"/>
      <c r="X72" s="725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28"/>
      <c r="J73" s="728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68"/>
      <c r="W73" s="570"/>
      <c r="X73" s="725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28"/>
      <c r="J74" s="728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68"/>
      <c r="W74" s="570"/>
      <c r="X74" s="725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28"/>
      <c r="J75" s="728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68"/>
      <c r="W75" s="570"/>
      <c r="X75" s="725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28"/>
      <c r="J76" s="728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68"/>
      <c r="W76" s="570"/>
      <c r="X76" s="725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29"/>
      <c r="J77" s="729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69"/>
      <c r="W77" s="571"/>
      <c r="X77" s="726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52">
        <f>SUM(G79:G87)</f>
        <v>4000</v>
      </c>
      <c r="J79" s="752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64">
        <f>J79-SUM(U79:U87)</f>
        <v>0</v>
      </c>
      <c r="W79" s="573"/>
      <c r="X79" s="755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53"/>
      <c r="J80" s="753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65"/>
      <c r="W80" s="574"/>
      <c r="X80" s="756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53"/>
      <c r="J81" s="753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65"/>
      <c r="W81" s="540">
        <v>45911</v>
      </c>
      <c r="X81" s="756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53"/>
      <c r="J82" s="753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65"/>
      <c r="W82" s="574"/>
      <c r="X82" s="756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53"/>
      <c r="J83" s="753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48" t="s">
        <v>318</v>
      </c>
      <c r="S83" s="627" t="s">
        <v>319</v>
      </c>
      <c r="T83" s="653">
        <v>45961</v>
      </c>
      <c r="U83" s="709">
        <v>2085.2181982106486</v>
      </c>
      <c r="V83" s="765"/>
      <c r="W83" s="540">
        <v>45954</v>
      </c>
      <c r="X83" s="756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53"/>
      <c r="J84" s="753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49"/>
      <c r="S84" s="627" t="s">
        <v>319</v>
      </c>
      <c r="T84" s="653">
        <v>45961</v>
      </c>
      <c r="U84" s="709">
        <v>2085.2181982106486</v>
      </c>
      <c r="V84" s="765"/>
      <c r="W84" s="540">
        <v>46051</v>
      </c>
      <c r="X84" s="756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53"/>
      <c r="J85" s="753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65"/>
      <c r="W85" s="574"/>
      <c r="X85" s="756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53"/>
      <c r="J86" s="753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65"/>
      <c r="W86" s="577"/>
      <c r="X86" s="756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54"/>
      <c r="J87" s="754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66"/>
      <c r="W87" s="575"/>
      <c r="X87" s="757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58">
        <f>SUM(G89:G100)</f>
        <v>45600</v>
      </c>
      <c r="J89" s="727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36">
        <f>J89-SUM(U89:U100)</f>
        <v>0</v>
      </c>
      <c r="W89" s="576"/>
      <c r="X89" s="761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59"/>
      <c r="J90" s="728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45" t="s">
        <v>275</v>
      </c>
      <c r="S90" s="622" t="s">
        <v>276</v>
      </c>
      <c r="T90" s="671">
        <v>45930</v>
      </c>
      <c r="U90" s="707">
        <v>5364.7058823529414</v>
      </c>
      <c r="V90" s="737"/>
      <c r="W90" s="537">
        <v>45918</v>
      </c>
      <c r="X90" s="762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59"/>
      <c r="J91" s="728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746"/>
      <c r="S91" s="623" t="s">
        <v>277</v>
      </c>
      <c r="T91" s="668">
        <f t="shared" si="12"/>
        <v>45961</v>
      </c>
      <c r="U91" s="707">
        <v>8047.0588235294108</v>
      </c>
      <c r="V91" s="737"/>
      <c r="W91" s="538">
        <v>45954</v>
      </c>
      <c r="X91" s="762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59"/>
      <c r="J92" s="728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46"/>
      <c r="S92" s="623" t="s">
        <v>326</v>
      </c>
      <c r="T92" s="668">
        <v>45991</v>
      </c>
      <c r="U92" s="707">
        <v>10729.411764705883</v>
      </c>
      <c r="V92" s="737"/>
      <c r="W92" s="684">
        <v>45995</v>
      </c>
      <c r="X92" s="762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59"/>
      <c r="J93" s="728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46"/>
      <c r="S93" s="623" t="s">
        <v>282</v>
      </c>
      <c r="T93" s="683">
        <v>45991</v>
      </c>
      <c r="U93" s="707">
        <v>13411.764705882353</v>
      </c>
      <c r="V93" s="737"/>
      <c r="W93" s="538">
        <v>45989</v>
      </c>
      <c r="X93" s="762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59"/>
      <c r="J94" s="728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46"/>
      <c r="S94" s="623" t="s">
        <v>284</v>
      </c>
      <c r="T94" s="668">
        <f t="shared" si="12"/>
        <v>46081</v>
      </c>
      <c r="U94" s="707">
        <v>5364.7058823529414</v>
      </c>
      <c r="V94" s="737"/>
      <c r="W94" s="538">
        <v>46065</v>
      </c>
      <c r="X94" s="762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59"/>
      <c r="J95" s="728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46"/>
      <c r="S95" s="623" t="s">
        <v>286</v>
      </c>
      <c r="T95" s="668">
        <v>46022</v>
      </c>
      <c r="U95" s="707">
        <v>5364.7058823529414</v>
      </c>
      <c r="V95" s="737"/>
      <c r="W95" s="538">
        <v>46065</v>
      </c>
      <c r="X95" s="762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59"/>
      <c r="J96" s="728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46"/>
      <c r="S96" s="623" t="s">
        <v>288</v>
      </c>
      <c r="T96" s="668">
        <v>46022</v>
      </c>
      <c r="U96" s="707">
        <v>2682.3529411764707</v>
      </c>
      <c r="V96" s="737"/>
      <c r="W96" s="538">
        <v>46065</v>
      </c>
      <c r="X96" s="762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59"/>
      <c r="J97" s="728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47"/>
      <c r="S97" s="623" t="s">
        <v>290</v>
      </c>
      <c r="T97" s="668">
        <v>46022</v>
      </c>
      <c r="U97" s="707">
        <v>2682.3529411764707</v>
      </c>
      <c r="V97" s="737"/>
      <c r="W97" s="570">
        <f>W96+30</f>
        <v>46095</v>
      </c>
      <c r="X97" s="762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59"/>
      <c r="J98" s="728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37"/>
      <c r="W98" s="570"/>
      <c r="X98" s="762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59"/>
      <c r="J99" s="728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37"/>
      <c r="W99" s="570"/>
      <c r="X99" s="762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60"/>
      <c r="J100" s="729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38"/>
      <c r="W100" s="571"/>
      <c r="X100" s="763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30">
        <f>SUM(G102:G116)</f>
        <v>37508.5</v>
      </c>
      <c r="J102" s="730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39">
        <f>J102-SUM(U102:U116)</f>
        <v>0</v>
      </c>
      <c r="W102" s="580"/>
      <c r="X102" s="733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31"/>
      <c r="J103" s="731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40"/>
      <c r="W103" s="581"/>
      <c r="X103" s="734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31"/>
      <c r="J104" s="731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40"/>
      <c r="W104" s="581"/>
      <c r="X104" s="734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31"/>
      <c r="J105" s="731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40"/>
      <c r="W105" s="581"/>
      <c r="X105" s="734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31"/>
      <c r="J106" s="731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42" t="s">
        <v>275</v>
      </c>
      <c r="S106" s="636" t="s">
        <v>276</v>
      </c>
      <c r="T106" s="670">
        <v>45930</v>
      </c>
      <c r="U106" s="712">
        <v>4412.7647058823532</v>
      </c>
      <c r="V106" s="740"/>
      <c r="W106" s="542">
        <f>W90</f>
        <v>45918</v>
      </c>
      <c r="X106" s="734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31"/>
      <c r="J107" s="731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743"/>
      <c r="S107" s="641" t="s">
        <v>277</v>
      </c>
      <c r="T107" s="696">
        <v>45961</v>
      </c>
      <c r="U107" s="712">
        <v>6619.1470588235297</v>
      </c>
      <c r="V107" s="740"/>
      <c r="W107" s="542">
        <f t="shared" ref="W107:W113" si="18">W91</f>
        <v>45954</v>
      </c>
      <c r="X107" s="734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31"/>
      <c r="J108" s="731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43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40"/>
      <c r="W108" s="688">
        <f t="shared" si="18"/>
        <v>45995</v>
      </c>
      <c r="X108" s="734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31"/>
      <c r="J109" s="731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43"/>
      <c r="S109" s="636" t="s">
        <v>282</v>
      </c>
      <c r="T109" s="687">
        <f>T93</f>
        <v>45991</v>
      </c>
      <c r="U109" s="712">
        <v>11031.911764705883</v>
      </c>
      <c r="V109" s="740"/>
      <c r="W109" s="542">
        <f>W93</f>
        <v>45989</v>
      </c>
      <c r="X109" s="734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31"/>
      <c r="J110" s="731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43"/>
      <c r="S110" s="636" t="s">
        <v>284</v>
      </c>
      <c r="T110" s="696">
        <v>46022</v>
      </c>
      <c r="U110" s="712">
        <v>4412.7647058823532</v>
      </c>
      <c r="V110" s="740"/>
      <c r="W110" s="542">
        <f>W94</f>
        <v>46065</v>
      </c>
      <c r="X110" s="734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31"/>
      <c r="J111" s="731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43"/>
      <c r="S111" s="636" t="s">
        <v>286</v>
      </c>
      <c r="T111" s="696">
        <v>46022</v>
      </c>
      <c r="U111" s="712">
        <v>4412.7647058823532</v>
      </c>
      <c r="V111" s="740"/>
      <c r="W111" s="542">
        <f>W95</f>
        <v>46065</v>
      </c>
      <c r="X111" s="734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31"/>
      <c r="J112" s="731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43"/>
      <c r="S112" s="636" t="s">
        <v>288</v>
      </c>
      <c r="T112" s="696">
        <v>46022</v>
      </c>
      <c r="U112" s="712">
        <v>2206.3823529411766</v>
      </c>
      <c r="V112" s="740"/>
      <c r="W112" s="542">
        <f>W96</f>
        <v>46065</v>
      </c>
      <c r="X112" s="734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31"/>
      <c r="J113" s="731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44"/>
      <c r="S113" s="636" t="s">
        <v>290</v>
      </c>
      <c r="T113" s="696">
        <v>46022</v>
      </c>
      <c r="U113" s="712">
        <v>2206.3823529411766</v>
      </c>
      <c r="V113" s="740"/>
      <c r="W113" s="582">
        <f t="shared" si="18"/>
        <v>46095</v>
      </c>
      <c r="X113" s="734"/>
      <c r="Y113" s="485"/>
    </row>
    <row r="114" spans="1:25" ht="14.15" customHeight="1">
      <c r="B114" s="340">
        <v>10</v>
      </c>
      <c r="C114" s="341"/>
      <c r="D114" s="341"/>
      <c r="E114" s="342"/>
      <c r="F114" s="474"/>
      <c r="G114" s="343"/>
      <c r="H114" s="582"/>
      <c r="I114" s="731"/>
      <c r="J114" s="731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40"/>
      <c r="W114" s="582"/>
      <c r="X114" s="734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31"/>
      <c r="J115" s="731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40"/>
      <c r="W115" s="582"/>
      <c r="X115" s="734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32"/>
      <c r="J116" s="732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41"/>
      <c r="W116" s="583"/>
      <c r="X116" s="735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27">
        <f>SUM(G118:G122)</f>
        <v>29000</v>
      </c>
      <c r="J118" s="727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36">
        <f>J118-SUM(U118:U122)</f>
        <v>-2.9208012492745183E-3</v>
      </c>
      <c r="W118" s="576">
        <v>46065</v>
      </c>
      <c r="X118" s="724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28"/>
      <c r="J119" s="728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37"/>
      <c r="W119" s="537">
        <v>45526</v>
      </c>
      <c r="X119" s="725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28"/>
      <c r="J120" s="728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37"/>
      <c r="W120" s="569"/>
      <c r="X120" s="725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28"/>
      <c r="J121" s="728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37"/>
      <c r="W121" s="538">
        <v>46051</v>
      </c>
      <c r="X121" s="725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29"/>
      <c r="J122" s="729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38"/>
      <c r="W122" s="571"/>
      <c r="X122" s="726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30">
        <f>SUM(G124:G125)</f>
        <v>0</v>
      </c>
      <c r="J124" s="730">
        <v>0</v>
      </c>
      <c r="K124" s="750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33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32"/>
      <c r="J125" s="732"/>
      <c r="K125" s="751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35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27">
        <f>SUM(G127:G131)</f>
        <v>48044.950532608695</v>
      </c>
      <c r="J127" s="727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36">
        <f>J127-SUM(U127:U132)</f>
        <v>0</v>
      </c>
      <c r="W127" s="570">
        <v>46112</v>
      </c>
      <c r="X127" s="724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28"/>
      <c r="J128" s="728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37"/>
      <c r="W128" s="569"/>
      <c r="X128" s="725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28"/>
      <c r="J129" s="728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37"/>
      <c r="W129" s="569"/>
      <c r="X129" s="725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28"/>
      <c r="J130" s="728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37"/>
      <c r="W130" s="569"/>
      <c r="X130" s="725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28"/>
      <c r="J131" s="728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37"/>
      <c r="W131" s="569"/>
      <c r="X131" s="725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29"/>
      <c r="J132" s="729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38"/>
      <c r="W132" s="571"/>
      <c r="X132" s="726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30">
        <f>SUM(G134:G145)</f>
        <v>875</v>
      </c>
      <c r="J134" s="730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39">
        <f>J134-SUM(U134:U145)</f>
        <v>-1.6090193867057678E-5</v>
      </c>
      <c r="W134" s="542">
        <v>45905</v>
      </c>
      <c r="X134" s="733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31"/>
      <c r="J135" s="731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40"/>
      <c r="W135" s="688">
        <v>45930</v>
      </c>
      <c r="X135" s="734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31"/>
      <c r="J136" s="731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40"/>
      <c r="W136" s="688">
        <v>45967</v>
      </c>
      <c r="X136" s="734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31"/>
      <c r="J137" s="731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40"/>
      <c r="W137" s="688">
        <v>45991</v>
      </c>
      <c r="X137" s="734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31"/>
      <c r="J138" s="731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40"/>
      <c r="W138" s="688">
        <v>46022</v>
      </c>
      <c r="X138" s="734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31"/>
      <c r="J139" s="731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40"/>
      <c r="W139" s="688">
        <v>46058</v>
      </c>
      <c r="X139" s="734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31"/>
      <c r="J140" s="731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40"/>
      <c r="W140" s="582"/>
      <c r="X140" s="734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31"/>
      <c r="J141" s="731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40"/>
      <c r="W141" s="582"/>
      <c r="X141" s="734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31"/>
      <c r="J142" s="731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40"/>
      <c r="W142" s="582"/>
      <c r="X142" s="734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31"/>
      <c r="J143" s="731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40"/>
      <c r="W143" s="582"/>
      <c r="X143" s="734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31"/>
      <c r="J144" s="731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40"/>
      <c r="W144" s="582"/>
      <c r="X144" s="734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32"/>
      <c r="J145" s="732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41"/>
      <c r="W145" s="583"/>
      <c r="X145" s="735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27">
        <f>SUM(G147:G158)</f>
        <v>0</v>
      </c>
      <c r="J147" s="727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36">
        <v>0</v>
      </c>
      <c r="W147" s="576"/>
      <c r="X147" s="724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28"/>
      <c r="J148" s="728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37"/>
      <c r="W148" s="569">
        <f>T148</f>
        <v>46081</v>
      </c>
      <c r="X148" s="725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28"/>
      <c r="J149" s="728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37"/>
      <c r="W149" s="569"/>
      <c r="X149" s="725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28"/>
      <c r="J150" s="728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37"/>
      <c r="W150" s="569"/>
      <c r="X150" s="725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28"/>
      <c r="J151" s="728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37"/>
      <c r="W151" s="569"/>
      <c r="X151" s="725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28"/>
      <c r="J152" s="728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37"/>
      <c r="W152" s="569"/>
      <c r="X152" s="725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28"/>
      <c r="J153" s="728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37"/>
      <c r="W153" s="569"/>
      <c r="X153" s="725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28"/>
      <c r="J154" s="728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37"/>
      <c r="W154" s="569"/>
      <c r="X154" s="725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28"/>
      <c r="J155" s="728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37"/>
      <c r="W155" s="569"/>
      <c r="X155" s="725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28"/>
      <c r="J156" s="728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37"/>
      <c r="W156" s="569"/>
      <c r="X156" s="725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28"/>
      <c r="J157" s="728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37"/>
      <c r="W157" s="569"/>
      <c r="X157" s="725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29"/>
      <c r="J158" s="729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38"/>
      <c r="W158" s="571"/>
      <c r="X158" s="726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09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9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09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8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41418.362279072302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09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09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599855.66</v>
      </c>
      <c r="BL12" s="214">
        <f t="shared" si="26"/>
        <v>599855.66</v>
      </c>
      <c r="BM12" s="214">
        <f t="shared" si="26"/>
        <v>609461.96000000008</v>
      </c>
      <c r="BN12" s="214">
        <f t="shared" si="26"/>
        <v>609461.96000000008</v>
      </c>
      <c r="BO12" s="214">
        <f t="shared" si="26"/>
        <v>609461.96000000008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228511.58558144595</v>
      </c>
      <c r="BL14" s="207">
        <f t="shared" si="32"/>
        <v>228511.58558144595</v>
      </c>
      <c r="BM14" s="207">
        <f t="shared" si="32"/>
        <v>218905.2855814459</v>
      </c>
      <c r="BN14" s="207">
        <f t="shared" si="32"/>
        <v>218905.2855814459</v>
      </c>
      <c r="BO14" s="207">
        <f t="shared" si="32"/>
        <v>218905.2855814459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0"/>
      <c r="B17" s="195" t="s">
        <v>389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0"/>
      <c r="B18" s="195" t="s">
        <v>390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796875" defaultRowHeight="14.5"/>
  <cols>
    <col min="1" max="1" width="38.54296875" style="366" bestFit="1" customWidth="1"/>
    <col min="2" max="2" width="16.453125" style="367" bestFit="1" customWidth="1"/>
    <col min="3" max="4" width="12.81640625" style="366" bestFit="1" customWidth="1"/>
    <col min="5" max="7" width="11.81640625" style="366" bestFit="1" customWidth="1"/>
    <col min="8" max="8" width="6.1796875" style="366" bestFit="1" customWidth="1"/>
    <col min="9" max="10" width="11.81640625" style="366" bestFit="1" customWidth="1"/>
    <col min="11" max="11" width="12.81640625" style="366" bestFit="1" customWidth="1"/>
    <col min="12" max="12" width="6.1796875" style="366" bestFit="1" customWidth="1"/>
    <col min="13" max="13" width="14.179687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0.54296875" bestFit="1" customWidth="1"/>
    <col min="2" max="2" width="16.453125" style="411" bestFit="1" customWidth="1"/>
    <col min="3" max="4" width="12.81640625" style="411" bestFit="1" customWidth="1"/>
    <col min="5" max="9" width="11.81640625" style="411" bestFit="1" customWidth="1"/>
    <col min="10" max="10" width="11.81640625" bestFit="1" customWidth="1"/>
    <col min="11" max="11" width="12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2" t="s">
        <v>397</v>
      </c>
      <c r="C2" s="812"/>
      <c r="D2" s="812"/>
      <c r="E2" s="812"/>
      <c r="H2" s="813" t="s">
        <v>398</v>
      </c>
      <c r="I2" s="814"/>
      <c r="J2" s="814"/>
      <c r="K2" s="814"/>
      <c r="L2" s="814"/>
      <c r="M2" s="814"/>
      <c r="N2" s="814"/>
      <c r="O2" s="815"/>
    </row>
    <row r="3" spans="2:15">
      <c r="B3" s="700"/>
      <c r="H3" s="816"/>
      <c r="I3" s="817"/>
      <c r="J3" s="817"/>
      <c r="K3" s="817"/>
      <c r="L3" s="817"/>
      <c r="M3" s="817"/>
      <c r="N3" s="817"/>
      <c r="O3" s="818"/>
    </row>
    <row r="4" spans="2:15">
      <c r="B4" s="701" t="s">
        <v>399</v>
      </c>
      <c r="C4" s="702" t="str">
        <f>'Project Plan'!E2</f>
        <v>Waterside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701" t="s">
        <v>400</v>
      </c>
      <c r="C5" s="702" t="s">
        <v>401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701" t="s">
        <v>402</v>
      </c>
      <c r="C6" s="702" t="s">
        <v>403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701" t="s">
        <v>404</v>
      </c>
      <c r="C7" s="702" t="s">
        <v>76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700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405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406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703" t="s">
        <v>407</v>
      </c>
      <c r="C11" s="811" t="s">
        <v>408</v>
      </c>
      <c r="D11" s="811"/>
      <c r="E11" s="811"/>
    </row>
    <row r="12" spans="2:15">
      <c r="B12" s="703" t="s">
        <v>409</v>
      </c>
      <c r="C12" s="811" t="s">
        <v>408</v>
      </c>
      <c r="D12" s="811"/>
      <c r="E12" s="811"/>
    </row>
    <row r="13" spans="2:15">
      <c r="B13" s="703" t="s">
        <v>410</v>
      </c>
      <c r="C13" s="811" t="s">
        <v>408</v>
      </c>
      <c r="D13" s="811"/>
      <c r="E13" s="811"/>
    </row>
    <row r="14" spans="2:15">
      <c r="B14" s="703" t="s">
        <v>411</v>
      </c>
      <c r="C14" s="811" t="s">
        <v>412</v>
      </c>
      <c r="D14" s="811"/>
      <c r="E14" s="811"/>
    </row>
    <row r="15" spans="2:15">
      <c r="B15" s="703" t="s">
        <v>413</v>
      </c>
      <c r="C15" s="811" t="s">
        <v>414</v>
      </c>
      <c r="D15" s="811"/>
      <c r="E15" s="811"/>
    </row>
    <row r="16" spans="2:15" ht="15" customHeight="1">
      <c r="B16" s="703" t="s">
        <v>415</v>
      </c>
      <c r="C16" s="811" t="s">
        <v>416</v>
      </c>
      <c r="D16" s="811"/>
      <c r="E16" s="811"/>
    </row>
    <row r="17" spans="2:5">
      <c r="B17" s="700"/>
    </row>
    <row r="18" spans="2:5">
      <c r="B18" s="823" t="s">
        <v>417</v>
      </c>
      <c r="C18" s="823"/>
      <c r="D18" s="823"/>
      <c r="E18" s="823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424</v>
      </c>
    </row>
    <row r="2" spans="1:4">
      <c r="A2" s="825"/>
      <c r="B2" s="825"/>
      <c r="C2" s="825"/>
      <c r="D2" s="71"/>
    </row>
    <row r="3" spans="1:4">
      <c r="A3" s="824" t="s">
        <v>425</v>
      </c>
      <c r="B3" s="824"/>
      <c r="C3" s="824"/>
      <c r="D3" s="111">
        <v>0.32</v>
      </c>
    </row>
    <row r="4" spans="1:4">
      <c r="A4" s="824" t="s">
        <v>366</v>
      </c>
      <c r="B4" s="824"/>
      <c r="C4" s="824"/>
      <c r="D4" s="111">
        <v>0.5</v>
      </c>
    </row>
    <row r="5" spans="1:4">
      <c r="A5" s="824" t="s">
        <v>377</v>
      </c>
      <c r="B5" s="824"/>
      <c r="C5" s="824"/>
      <c r="D5" s="111">
        <v>0.15</v>
      </c>
    </row>
    <row r="6" spans="1:4">
      <c r="A6" s="824" t="s">
        <v>426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6" t="s">
        <v>427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26" t="s">
        <v>449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3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8" t="str">
        <f>D15</f>
        <v>Waterside</v>
      </c>
      <c r="C1" s="828"/>
      <c r="D1" s="828"/>
      <c r="E1" s="827" t="s">
        <v>462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elements/1.1/"/>
    <ds:schemaRef ds:uri="9acfecf2-4047-4d7b-9ec8-592b51a52bf7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ab964f2b-203c-4425-a556-91316bb05fe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2026-02-16T13:09:50Z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