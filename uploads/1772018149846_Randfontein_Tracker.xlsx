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9" documentId="13_ncr:1_{3B35231D-DA94-4AE5-8A0D-043E43CA6186}" xr6:coauthVersionLast="47" xr6:coauthVersionMax="47" xr10:uidLastSave="{15EACACB-221F-437F-A495-C307DDEA70E2}"/>
  <bookViews>
    <workbookView xWindow="28680" yWindow="-120" windowWidth="29040" windowHeight="15720" tabRatio="581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W101" i="18" s="1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T98" i="18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I46" i="2" l="1"/>
  <c r="W100" i="18"/>
  <c r="T100" i="18" s="1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W122" i="18"/>
  <c r="W68" i="18"/>
  <c r="W40" i="18"/>
  <c r="T101" i="18"/>
  <c r="K50" i="2"/>
  <c r="K46" i="2" s="1"/>
  <c r="W99" i="18"/>
  <c r="W121" i="18"/>
  <c r="N39" i="2"/>
  <c r="N21" i="2"/>
  <c r="N28" i="2"/>
  <c r="N35" i="2"/>
  <c r="N11" i="2"/>
  <c r="W39" i="18" l="1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T99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<sst xmlns="http://schemas.openxmlformats.org/spreadsheetml/2006/main" count="894" uniqueCount="512">
  <si>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</si>
  <si>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</si>
  <si>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</si>
  <si>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</si>
  <si>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</si>
  <si>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</si>
  <si>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</si>
  <si>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</si>
  <si>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</si>
  <si>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</si>
  <si>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</si>
  <si>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</si>
  <si>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</si>
  <si>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</si>
  <si>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</si>
  <si>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</si>
  <si>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</si>
  <si>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</si>
  <si>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</si>
  <si>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</si>
  <si>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</si>
  <si>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</si>
  <si>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</si>
  <si>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</si>
  <si>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</si>
  <si>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</si>
  <si>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</si>
  <si>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</si>
  <si>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</si>
  <si>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</si>
  <si>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</si>
  <si>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</si>
  <si>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</si>
  <si>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</si>
  <si>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</si>
  <si>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</si>
  <si>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</si>
  <si>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</si>
  <si>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</si>
  <si>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</si>
  <si>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</si>
  <si>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</si>
  <si>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</si>
  <si>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</si>
  <si>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</si>
  <si>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</si>
  <si>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</si>
  <si>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</si>
  <si>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</si>
  <si>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</si>
  <si>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</si>
  <si>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</si>
  <si>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</si>
  <si>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</si>
  <si>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</si>
  <si>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</si>
  <si>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</si>
  <si>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</si>
  <si>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</si>
  <si>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</si>
  <si>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</si>
  <si>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</si>
  <si>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</si>
  <si>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</si>
  <si>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</si>
  <si>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</si>
  <si>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</si>
  <si>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</si>
  <si>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</si>
  <si>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</si>
  <si>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</si>
  <si>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</si>
  <si>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</si>
  <si>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</si>
  <si>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</si>
  <si>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</si>
  <si>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</si>
  <si>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</si>
  <si>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</si>
  <si>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</si>
  <si>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</si>
  <si>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</si>
  <si>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</si>
  <si>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</si>
  <si>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</si>
  <si>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</si>
  <si>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</si>
  <si>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</si>
  <si>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</si>
  <si>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</si>
  <si>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</si>
  <si>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</si>
  <si>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</si>
  <si>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</si>
  <si>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</si>
  <si>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</si>
  <si>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</si>
  <si>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</si>
  <si>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</si>
  <si>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</si>
  <si>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</si>
  <si>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</si>
  <si>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</si>
  <si>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</si>
  <si>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</si>
  <si>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</si>
  <si>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</si>
  <si>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</si>
  <si>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</si>
  <si>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</si>
  <si>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</si>
  <si>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</si>
  <si>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</si>
  <si>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</si>
  <si>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</si>
  <si>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</si>
  <si>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</si>
  <si>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</si>
  <si>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</si>
  <si>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</si>
  <si>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</si>
  <si>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</si>
  <si>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</si>
  <si>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</si>
  <si>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</si>
  <si>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</si>
  <si>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</si>
  <si>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</si>
  <si>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</si>
  <si>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</si>
  <si>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</si>
  <si>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</si>
  <si>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</si>
  <si>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</si>
  <si>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</si>
  <si>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</si>
  <si>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</si>
  <si>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</si>
  <si>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</si>
  <si>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</si>
  <si>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</si>
  <si>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</si>
  <si>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</si>
  <si>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</si>
  <si>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</si>
  <si>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</si>
  <si>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</si>
  <si>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</si>
  <si>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</si>
  <si>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</si>
  <si>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</si>
  <si>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</si>
  <si>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</si>
  <si>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</si>
  <si>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</si>
  <si>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</si>
  <si>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</si>
  <si>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</si>
  <si>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</si>
  <si>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</si>
  <si>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</si>
  <si>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</si>
  <si>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</si>
  <si>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</si>
  <si>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</si>
  <si>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</si>
  <si>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</si>
  <si>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</si>
  <si>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</si>
  <si>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</si>
  <si>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</si>
  <si>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</si>
  <si>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</si>
  <si>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</si>
  <si>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</si>
  <si>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</si>
  <si>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</si>
  <si>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</si>
  <si>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</si>
  <si>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</si>
  <si>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</si>
  <si>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</si>
  <si>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</si>
  <si>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</si>
  <si>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</si>
  <si>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</si>
  <si>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</si>
  <si>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</si>
  <si>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</si>
  <si>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</si>
  <si>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</si>
  <si>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</si>
  <si>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</si>
  <si>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</si>
  <si>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</si>
  <si>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</si>
  <si>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</si>
  <si>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</si>
  <si>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</si>
  <si>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</si>
  <si>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</si>
  <si>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</si>
  <si>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</si>
  <si>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</si>
  <si>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</si>
  <si>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</si>
  <si>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</si>
  <si>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</si>
  <si>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</si>
  <si>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</si>
  <si>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</si>
  <si>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</si>
  <si>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</si>
  <si>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</si>
  <si>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</si>
  <si>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</si>
  <si>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</si>
  <si>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</si>
  <si>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</si>
  <si>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</si>
  <si>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</si>
  <si>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</si>
  <si>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</si>
  <si>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</si>
  <si>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</si>
  <si>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</si>
  <si>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</si>
  <si>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</si>
  <si>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</si>
  <si>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</si>
  <si>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</si>
  <si>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</si>
  <si>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</si>
  <si>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</si>
  <si>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</si>
  <si>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</si>
  <si>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</si>
  <si>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</si>
  <si>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</si>
  <si>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</si>
  <si>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</si>
  <si>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</si>
  <si>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</si>
  <si>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</si>
  <si>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</si>
  <si>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</si>
  <si>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</si>
  <si>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</si>
  <si>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</si>
  <si>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</si>
  <si>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</si>
  <si>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</si>
  <si>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</si>
  <si>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</si>
  <si>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</si>
  <si>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</si>
  <si>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</si>
  <si>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</si>
  <si>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</si>
  <si>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</si>
  <si>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</si>
  <si>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</si>
  <si>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</si>
  <si>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</si>
  <si>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</si>
  <si>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</si>
  <si>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</si>
  <si>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</si>
  <si>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</si>
  <si>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</si>
  <si>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</si>
  <si>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</si>
  <si>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</si>
  <si>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</si>
  <si>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</si>
  <si>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</si>
  <si>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</si>
  <si>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</si>
  <si>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</si>
  <si>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</si>
  <si>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</si>
  <si>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</si>
  <si>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</si>
  <si>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</si>
  <si>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</si>
  <si>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</si>
  <si>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</si>
  <si>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</si>
  <si>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</si>
  <si>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</si>
  <si>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</si>
  <si>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</si>
  <si>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</si>
  <si>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</si>
  <si>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</si>
  <si>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</si>
  <si>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</si>
  <si>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</si>
  <si>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</si>
  <si>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</si>
  <si>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</si>
  <si>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</si>
  <si>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</si>
  <si>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</si>
  <si>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</si>
  <si>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</si>
  <si>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</si>
  <si>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</si>
  <si>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</si>
  <si>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</si>
  <si>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</si>
  <si>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</si>
  <si>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</si>
  <si>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</si>
  <si>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</si>
  <si>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</si>
  <si>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</si>
  <si>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</si>
  <si>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</si>
  <si>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</si>
  <si>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</si>
  <si>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</si>
  <si>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</si>
  <si>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</si>
  <si>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</si>
  <si>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</si>
  <si>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</si>
  <si>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</si>
  <si>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</si>
  <si>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</si>
  <si>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</si>
  <si>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</si>
  <si>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</si>
  <si>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</si>
  <si>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</si>
  <si>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</si>
  <si>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</si>
  <si>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</si>
  <si>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</si>
  <si>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</si>
  <si>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</si>
  <si>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</si>
  <si>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</si>
  <si>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</si>
  <si>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</si>
  <si>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</si>
  <si>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</si>
  <si>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</si>
  <si>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</si>
  <si>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</si>
  <si>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</si>
  <si>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</si>
  <si>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</si>
  <si>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</si>
  <si>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</si>
  <si>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</si>
  <si>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</si>
  <si>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</si>
  <si>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</si>
  <si>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</si>
  <si>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</si>
  <si>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</si>
  <si>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</si>
  <si>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</si>
  <si>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</si>
  <si>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</si>
  <si>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</si>
  <si>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</si>
  <si>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</si>
  <si>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</si>
  <si>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</si>
  <si>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</si>
  <si>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</si>
  <si>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</si>
  <si>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</si>
  <si>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</si>
  <si>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</si>
  <si>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</si>
  <si>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</si>
  <si>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</si>
  <si>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</si>
  <si>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</si>
  <si>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</si>
  <si>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</si>
  <si>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</si>
  <si>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</si>
  <si>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</si>
  <si>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</si>
  <si>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</si>
  <si>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</si>
  <si>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</si>
  <si>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</si>
  <si>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</si>
  <si>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</si>
  <si>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</si>
  <si>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</si>
  <si>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</si>
  <si>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</si>
  <si>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</si>
  <si>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</si>
  <si>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</si>
  <si>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</si>
  <si>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</si>
  <si>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</si>
  <si>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</si>
  <si>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</si>
  <si>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</si>
  <si>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</si>
  <si>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</si>
  <si>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</si>
  <si>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</si>
  <si>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</si>
  <si>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</si>
  <si>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</si>
  <si>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</si>
  <si>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</si>
  <si>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</si>
  <si>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</si>
  <si>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</si>
  <si>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</si>
  <si>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</si>
  <si>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</si>
  <si>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</si>
  <si>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</si>
  <si>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</si>
  <si>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</si>
  <si>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</si>
  <si>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</si>
  <si>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</si>
  <si>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</si>
  <si>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</si>
  <si>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</si>
  <si>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</si>
  <si>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</si>
  <si>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</si>
  <si>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</si>
  <si>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</si>
  <si>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</si>
  <si>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</si>
  <si>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</si>
  <si>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</si>
  <si>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</si>
  <si>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</si>
  <si>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</si>
  <si>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</si>
  <si>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</si>
  <si>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</si>
  <si>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</si>
  <si>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</si>
  <si>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</si>
  <si>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</si>
  <si>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</si>
  <si>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</si>
  <si>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</si>
  <si>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</si>
  <si>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</si>
  <si>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</si>
  <si>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</si>
  <si>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</si>
  <si>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</si>
  <si>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</si>
  <si>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</si>
  <si>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</si>
  <si>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</si>
  <si>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</si>
  <si>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</si>
  <si>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</si>
  <si>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</si>
  <si>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</si>
  <si>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</si>
  <si>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</si>
  <si>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</si>
  <si>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</si>
  <si>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</si>
  <si>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</si>
  <si>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</si>
  <si>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</si>
  <si>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</si>
  <si>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</si>
  <si>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</si>
  <si>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</si>
  <si>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</si>
  <si>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</si>
  <si>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</si>
  <si>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</si>
  <si>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</si>
  <si>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</si>
  <si>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</si>
  <si>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</si>
  <si>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</si>
  <si>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</si>
  <si>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</si>
  <si>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</si>
  <si>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</si>
  <si>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</si>
  <si>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</si>
  <si>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</si>
  <si>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</si>
  <si>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</si>
  <si>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</si>
  <si>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</si>
  <si>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</si>
  <si>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</si>
  <si>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</si>
  <si>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</si>
  <si>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</si>
  <si>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</si>
  <si>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</si>
  <si>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</si>
  <si>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</si>
  <si>
    <t>not started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</si>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</sst>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-647584.39357722783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09375" defaultRowHeight="13.8"/>
  <cols>
    <col min="1" max="1" width="9.109375" style="64"/>
    <col min="2" max="2" width="83.88671875" style="65" bestFit="1" customWidth="1"/>
    <col min="3" max="3" width="18.88671875" style="24" customWidth="1"/>
    <col min="4" max="4" width="13.21875" style="70" customWidth="1"/>
    <col min="5" max="5" width="16.88671875" style="24" customWidth="1"/>
    <col min="6" max="6" width="18.109375" style="24" customWidth="1"/>
    <col min="7" max="7" width="5.5546875" style="24" bestFit="1" customWidth="1"/>
    <col min="8" max="8" width="20.21875" style="24" bestFit="1" customWidth="1"/>
    <col min="9" max="9" width="2.88671875" style="24" customWidth="1"/>
    <col min="10" max="10" width="46.88671875" style="24" bestFit="1" customWidth="1"/>
    <col min="11" max="11" width="6.21875" style="3" customWidth="1"/>
    <col min="12" max="12" width="14.109375" style="24" customWidth="1"/>
    <col min="13" max="16384" width="9.1093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4.4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09375" defaultRowHeight="14.4"/>
  <cols>
    <col min="1" max="1" width="7.109375" customWidth="1"/>
    <col min="2" max="2" width="37.77734375" customWidth="1"/>
    <col min="3" max="3" width="9.109375" bestFit="1" customWidth="1"/>
    <col min="4" max="4" width="12.109375" bestFit="1" customWidth="1"/>
    <col min="5" max="5" width="9.88671875" customWidth="1"/>
    <col min="6" max="6" width="33.88671875" customWidth="1"/>
  </cols>
  <sheetData>
    <row r="1" spans="2:10" ht="15" thickBot="1"/>
    <row r="2" spans="2:10" ht="15.6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1" t="s">
        <v>69</v>
      </c>
      <c r="C16" s="742"/>
      <c r="D16" s="742"/>
      <c r="E16" s="742"/>
      <c r="F16" s="74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12" zoomScale="85" zoomScaleNormal="85" workbookViewId="0">
      <selection activeCell="O43" sqref="O43"/>
    </sheetView>
  </sheetViews>
  <sheetFormatPr defaultColWidth="8.21875" defaultRowHeight="13.8"/>
  <cols>
    <col min="1" max="1" width="0.88671875" style="110" customWidth="1"/>
    <col min="2" max="2" width="6.21875" style="169" bestFit="1" customWidth="1"/>
    <col min="3" max="3" width="50.5546875" style="24" bestFit="1" customWidth="1"/>
    <col min="4" max="4" width="2.88671875" style="110" customWidth="1"/>
    <col min="5" max="5" width="14.5546875" style="24" customWidth="1"/>
    <col min="6" max="6" width="9.88671875" style="166" customWidth="1"/>
    <col min="7" max="7" width="13.5546875" style="64" customWidth="1"/>
    <col min="8" max="8" width="5" style="110" customWidth="1"/>
    <col min="9" max="9" width="13.21875" style="110" customWidth="1"/>
    <col min="10" max="10" width="11.109375" style="111" customWidth="1"/>
    <col min="11" max="11" width="14.5546875" style="110" customWidth="1"/>
    <col min="12" max="12" width="2.109375" style="110" customWidth="1"/>
    <col min="13" max="13" width="12.5546875" style="110" customWidth="1"/>
    <col min="14" max="14" width="9.88671875" style="110" bestFit="1" customWidth="1"/>
    <col min="15" max="15" width="39.109375" style="110" bestFit="1" customWidth="1"/>
    <col min="16" max="16" width="0.88671875" style="110" customWidth="1"/>
    <col min="17" max="17" width="5.5546875" style="3" customWidth="1"/>
    <col min="18" max="25" width="8.21875" style="110"/>
    <col min="26" max="16384" width="8.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46078</v>
      </c>
      <c r="O1" s="403">
        <f ca="1">TODAY()</f>
        <v>46078</v>
      </c>
      <c r="Q1" s="3"/>
    </row>
    <row r="2" spans="2:28" ht="14.25" customHeight="1">
      <c r="B2" s="174"/>
      <c r="C2" s="175" t="s">
        <v>0</v>
      </c>
      <c r="D2" s="176"/>
      <c r="E2" s="724" t="s">
        <v>73</v>
      </c>
      <c r="F2" s="725"/>
      <c r="G2" s="725"/>
      <c r="H2" s="726"/>
      <c r="K2" s="735" t="s">
        <v>509</v>
      </c>
      <c r="L2" s="736"/>
      <c r="M2" s="736"/>
      <c r="N2" s="736"/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736"/>
      <c r="L3" s="736"/>
      <c r="M3" s="736"/>
      <c r="N3" s="736"/>
      <c r="Q3" s="3"/>
    </row>
    <row r="4" spans="2:28" s="110" customFormat="1">
      <c r="B4" s="177"/>
      <c r="C4" s="178" t="s">
        <v>75</v>
      </c>
      <c r="D4" s="176"/>
      <c r="E4" s="727" t="s">
        <v>76</v>
      </c>
      <c r="F4" s="728"/>
      <c r="G4" s="728"/>
      <c r="H4" s="729"/>
      <c r="J4" s="111"/>
      <c r="K4" s="736"/>
      <c r="L4" s="736"/>
      <c r="M4" s="736"/>
      <c r="N4" s="736"/>
      <c r="Q4" s="3"/>
    </row>
    <row r="5" spans="2:28" s="110" customFormat="1">
      <c r="B5" s="177"/>
      <c r="C5" s="178" t="s">
        <v>77</v>
      </c>
      <c r="D5" s="176"/>
      <c r="E5" s="727" t="s">
        <v>78</v>
      </c>
      <c r="F5" s="728"/>
      <c r="G5" s="728"/>
      <c r="H5" s="729"/>
      <c r="J5" s="111"/>
      <c r="Q5" s="3"/>
    </row>
    <row r="6" spans="2:28">
      <c r="B6" s="182"/>
      <c r="C6" s="183" t="s">
        <v>79</v>
      </c>
      <c r="D6" s="176"/>
      <c r="E6" s="730">
        <v>3355439</v>
      </c>
      <c r="F6" s="731"/>
      <c r="G6" s="731"/>
      <c r="H6" s="732"/>
    </row>
    <row r="7" spans="2:28" s="110" customFormat="1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21" t="s">
        <v>82</v>
      </c>
      <c r="C8" s="722" t="s">
        <v>83</v>
      </c>
      <c r="D8" s="213"/>
      <c r="E8" s="723" t="s">
        <v>84</v>
      </c>
      <c r="F8" s="235" t="s">
        <v>85</v>
      </c>
      <c r="G8" s="723" t="s">
        <v>86</v>
      </c>
      <c r="H8" s="236"/>
      <c r="I8" s="723" t="s">
        <v>87</v>
      </c>
      <c r="J8" s="235" t="s">
        <v>85</v>
      </c>
      <c r="K8" s="723" t="s">
        <v>88</v>
      </c>
      <c r="M8" s="410" t="s">
        <v>60</v>
      </c>
      <c r="N8" s="679" t="s">
        <v>89</v>
      </c>
      <c r="O8" s="733" t="s">
        <v>90</v>
      </c>
      <c r="Z8" s="110"/>
      <c r="AA8" s="110"/>
      <c r="AB8" s="110"/>
    </row>
    <row r="9" spans="2:28">
      <c r="B9" s="721"/>
      <c r="C9" s="722"/>
      <c r="D9" s="213"/>
      <c r="E9" s="723"/>
      <c r="F9" s="124">
        <f>G41-E19</f>
        <v>44</v>
      </c>
      <c r="G9" s="723"/>
      <c r="H9" s="236"/>
      <c r="I9" s="723"/>
      <c r="J9" s="125">
        <f>K41-I19</f>
        <v>245</v>
      </c>
      <c r="K9" s="723"/>
      <c r="M9" s="360">
        <f>AVERAGE(M11,M18,M21,M28,M35,M39,M46,M43)</f>
        <v>0.87690631808278874</v>
      </c>
      <c r="N9" s="360">
        <f ca="1">AVERAGE(N11,N18,N21,N28,N35,N39,N46,N43)</f>
        <v>0.88549750336993094</v>
      </c>
      <c r="O9" s="734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24</v>
      </c>
      <c r="K46" s="244">
        <f>MAX(K47:K53)</f>
        <v>46087</v>
      </c>
      <c r="L46" s="112"/>
      <c r="M46" s="359">
        <f>(J47*M47+J48*M48+J50*M50+J51*M51+J52*M52+J53*M53)/SUM(J47:J53)</f>
        <v>7.407407407407407E-2</v>
      </c>
      <c r="N46" s="359">
        <f ca="1">(K47*N47+K48*N48+K50*N50+K51*N51+K52*N52+K53*N53)/SUM(K47:K53)</f>
        <v>0.14280355637121175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4</v>
      </c>
      <c r="K48" s="251">
        <f>WORKDAY.INTL(I48,J48,1,Data!$C$3:$C$39)</f>
        <v>46080</v>
      </c>
      <c r="M48" s="252">
        <v>0</v>
      </c>
      <c r="N48" s="252">
        <v>0</v>
      </c>
      <c r="O48" s="547" t="s">
        <v>510</v>
      </c>
      <c r="Y48" s="24"/>
    </row>
    <row r="49" spans="2:28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46080</v>
      </c>
      <c r="J50" s="249">
        <v>5</v>
      </c>
      <c r="K50" s="251">
        <f>WORKDAY.INTL(I50,J50,1,Data!$C$3:$C$39)</f>
        <v>46087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46082</v>
      </c>
      <c r="J53" s="249">
        <v>5</v>
      </c>
      <c r="K53" s="251">
        <f>WORKDAY.INTL(I53,J53,1,Data!$C$3:$C$39)</f>
        <v>46087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21875" defaultRowHeight="14.4"/>
  <cols>
    <col min="1" max="1" width="5.5546875" style="91" customWidth="1"/>
    <col min="2" max="2" width="5.5546875" style="128" customWidth="1"/>
    <col min="3" max="4" width="23.109375" style="127" customWidth="1"/>
    <col min="5" max="5" width="6.5546875" style="127" customWidth="1"/>
    <col min="6" max="6" width="16.109375" style="127" customWidth="1"/>
    <col min="7" max="7" width="11.88671875" style="127" bestFit="1" customWidth="1"/>
    <col min="8" max="8" width="18.109375" style="127" bestFit="1" customWidth="1"/>
    <col min="9" max="9" width="0.88671875" style="127" customWidth="1"/>
    <col min="10" max="10" width="2.88671875" style="91" customWidth="1"/>
    <col min="11" max="11" width="0.88671875" style="173" customWidth="1"/>
    <col min="12" max="12" width="29.21875" style="91" customWidth="1"/>
    <col min="13" max="13" width="0.88671875" style="127" customWidth="1"/>
    <col min="14" max="14" width="29.21875" style="127" customWidth="1"/>
    <col min="15" max="15" width="0.88671875" style="91" customWidth="1"/>
    <col min="16" max="16" width="18.77734375" style="127" bestFit="1" customWidth="1"/>
    <col min="17" max="17" width="15.21875" style="127" bestFit="1" customWidth="1"/>
    <col min="18" max="18" width="18.109375" style="127" customWidth="1"/>
    <col min="19" max="19" width="16.109375" style="127" bestFit="1" customWidth="1"/>
    <col min="20" max="20" width="18.77734375" style="127" bestFit="1" customWidth="1"/>
    <col min="21" max="21" width="15.21875" style="91" bestFit="1" customWidth="1"/>
    <col min="22" max="23" width="8.21875" style="91"/>
    <col min="24" max="24" width="5.5546875" style="91" bestFit="1" customWidth="1"/>
    <col min="25" max="25" width="14.109375" style="91" bestFit="1" customWidth="1"/>
    <col min="26" max="26" width="8.21875" style="91"/>
    <col min="27" max="27" width="14.109375" style="91" bestFit="1" customWidth="1"/>
    <col min="28" max="28" width="8.21875" style="127"/>
    <col min="29" max="29" width="12.5546875" style="127" bestFit="1" customWidth="1"/>
    <col min="30" max="16384" width="8.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2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2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45359.270336578193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539554.78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2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2">
      <c r="B13" s="350">
        <v>1</v>
      </c>
      <c r="C13" s="746" t="s">
        <v>176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2">
      <c r="B14" s="152">
        <v>2</v>
      </c>
      <c r="C14" s="746" t="s">
        <v>178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3.2">
      <c r="B15" s="350">
        <v>3</v>
      </c>
      <c r="C15" s="746" t="s">
        <v>179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3.2">
      <c r="B16" s="350">
        <v>4</v>
      </c>
      <c r="C16" s="744" t="s">
        <v>180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3.2">
      <c r="B17" s="350">
        <v>5</v>
      </c>
      <c r="C17" s="744" t="s">
        <v>181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3.2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3.2">
      <c r="B19" s="350">
        <v>7</v>
      </c>
      <c r="C19" s="746" t="s">
        <v>182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2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3.2">
      <c r="C24" s="145" t="s">
        <v>185</v>
      </c>
      <c r="D24" s="146"/>
      <c r="F24" s="147"/>
    </row>
    <row r="25" spans="2:18" s="91" customFormat="1" ht="13.2">
      <c r="C25" s="145" t="s">
        <v>186</v>
      </c>
      <c r="D25" s="146"/>
    </row>
    <row r="26" spans="2:18" s="91" customFormat="1" ht="13.2">
      <c r="C26" s="148" t="s">
        <v>187</v>
      </c>
      <c r="D26" s="149"/>
    </row>
    <row r="27" spans="2:18" s="91" customFormat="1" ht="13.2">
      <c r="C27" s="150" t="s">
        <v>188</v>
      </c>
      <c r="D27" s="146"/>
      <c r="L27" s="114"/>
    </row>
    <row r="28" spans="2:18" s="91" customFormat="1" ht="13.2">
      <c r="B28" s="115"/>
      <c r="C28" s="150" t="s">
        <v>189</v>
      </c>
      <c r="D28" s="146"/>
    </row>
    <row r="29" spans="2:18" s="91" customFormat="1" ht="13.2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3.2">
      <c r="B31" s="115"/>
      <c r="F31" s="144"/>
    </row>
    <row r="32" spans="2:18" s="91" customFormat="1" ht="13.2">
      <c r="B32" s="115"/>
      <c r="F32" s="144"/>
    </row>
    <row r="33" spans="2:6" s="91" customFormat="1" ht="13.2">
      <c r="B33" s="115"/>
      <c r="F33" s="144"/>
    </row>
    <row r="34" spans="2:6" s="91" customFormat="1" ht="13.2">
      <c r="B34" s="115"/>
      <c r="F34" s="144"/>
    </row>
    <row r="35" spans="2:6" s="91" customFormat="1" ht="13.2">
      <c r="B35" s="115"/>
    </row>
    <row r="36" spans="2:6" s="91" customFormat="1" ht="13.2">
      <c r="B36" s="115"/>
    </row>
    <row r="37" spans="2:6" s="91" customFormat="1" ht="13.2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2">
      <c r="B49" s="115"/>
    </row>
    <row r="50" spans="2:2" s="91" customFormat="1" ht="13.2">
      <c r="B50" s="115"/>
    </row>
    <row r="51" spans="2:2" s="91" customFormat="1" ht="13.2">
      <c r="B51" s="115"/>
    </row>
    <row r="52" spans="2:2" s="91" customFormat="1" ht="13.2">
      <c r="B52" s="115"/>
    </row>
    <row r="53" spans="2:2" s="91" customFormat="1" ht="13.2">
      <c r="B53" s="115"/>
    </row>
    <row r="54" spans="2:2" s="91" customFormat="1" ht="13.2">
      <c r="B54" s="115"/>
    </row>
    <row r="55" spans="2:2" s="91" customFormat="1" ht="13.2">
      <c r="B55" s="115"/>
    </row>
    <row r="56" spans="2:2" s="91" customFormat="1" ht="13.2">
      <c r="B56" s="115"/>
    </row>
    <row r="57" spans="2:2" s="91" customFormat="1" ht="13.2">
      <c r="B57" s="115"/>
    </row>
    <row r="58" spans="2:2" s="91" customFormat="1" ht="13.2">
      <c r="B58" s="115"/>
    </row>
    <row r="59" spans="2:2" s="91" customFormat="1" ht="13.2">
      <c r="B59" s="115"/>
    </row>
    <row r="60" spans="2:2" s="91" customFormat="1" ht="13.2">
      <c r="B60" s="115"/>
    </row>
    <row r="61" spans="2:2" s="91" customFormat="1" ht="13.2">
      <c r="B61" s="115"/>
    </row>
    <row r="62" spans="2:2" s="91" customFormat="1" ht="13.2">
      <c r="B62" s="115"/>
    </row>
    <row r="63" spans="2:2" s="91" customFormat="1" ht="13.2">
      <c r="B63" s="115"/>
    </row>
    <row r="64" spans="2:2" s="91" customFormat="1" ht="13.2">
      <c r="B64" s="115"/>
    </row>
    <row r="65" spans="2:2" s="91" customFormat="1" ht="13.2">
      <c r="B65" s="115"/>
    </row>
    <row r="66" spans="2:2" s="91" customFormat="1" ht="13.2">
      <c r="B66" s="115"/>
    </row>
    <row r="67" spans="2:2" s="91" customFormat="1" ht="13.2">
      <c r="B67" s="115"/>
    </row>
    <row r="68" spans="2:2" s="91" customFormat="1" ht="13.2">
      <c r="B68" s="115"/>
    </row>
    <row r="69" spans="2:2" s="91" customFormat="1" ht="13.2">
      <c r="B69" s="115"/>
    </row>
    <row r="70" spans="2:2" s="91" customFormat="1" ht="13.2">
      <c r="B70" s="115"/>
    </row>
    <row r="71" spans="2:2" s="91" customFormat="1" ht="13.2">
      <c r="B71" s="115"/>
    </row>
    <row r="72" spans="2:2" s="91" customFormat="1" ht="13.2">
      <c r="B72" s="115"/>
    </row>
    <row r="73" spans="2:2" s="91" customFormat="1" ht="13.2">
      <c r="B73" s="115"/>
    </row>
    <row r="74" spans="2:2" s="91" customFormat="1" ht="13.2">
      <c r="B74" s="115"/>
    </row>
    <row r="75" spans="2:2" s="91" customFormat="1" ht="13.2">
      <c r="B75" s="115"/>
    </row>
    <row r="76" spans="2:2" s="91" customFormat="1" ht="13.2">
      <c r="B76" s="115"/>
    </row>
    <row r="77" spans="2:2" s="91" customFormat="1" ht="13.2">
      <c r="B77" s="115"/>
    </row>
    <row r="78" spans="2:2" s="91" customFormat="1" ht="13.2">
      <c r="B78" s="115"/>
    </row>
    <row r="79" spans="2:2" s="91" customFormat="1" ht="13.2">
      <c r="B79" s="115"/>
    </row>
    <row r="80" spans="2:2" s="91" customFormat="1" ht="13.2">
      <c r="B80" s="115"/>
    </row>
    <row r="81" spans="2:2" s="91" customFormat="1" ht="13.2">
      <c r="B81" s="115"/>
    </row>
    <row r="82" spans="2:2" s="91" customFormat="1" ht="13.2">
      <c r="B82" s="115"/>
    </row>
    <row r="83" spans="2:2" s="91" customFormat="1" ht="13.2">
      <c r="B83" s="115"/>
    </row>
    <row r="84" spans="2:2" s="91" customFormat="1" ht="13.2">
      <c r="B84" s="115"/>
    </row>
    <row r="85" spans="2:2" s="91" customFormat="1" ht="13.2">
      <c r="B85" s="115"/>
    </row>
    <row r="86" spans="2:2" s="91" customFormat="1" ht="13.2">
      <c r="B86" s="115"/>
    </row>
    <row r="87" spans="2:2" s="91" customFormat="1" ht="13.2">
      <c r="B87" s="115"/>
    </row>
    <row r="88" spans="2:2" s="91" customFormat="1" ht="13.2">
      <c r="B88" s="115"/>
    </row>
    <row r="89" spans="2:2" s="91" customFormat="1" ht="13.2">
      <c r="B89" s="115"/>
    </row>
    <row r="90" spans="2:2" s="91" customFormat="1" ht="13.2">
      <c r="B90" s="115"/>
    </row>
    <row r="91" spans="2:2" s="91" customFormat="1" ht="13.2">
      <c r="B91" s="115"/>
    </row>
    <row r="92" spans="2:2" s="91" customFormat="1" ht="13.2">
      <c r="B92" s="115"/>
    </row>
    <row r="93" spans="2:2" s="91" customFormat="1" ht="13.2">
      <c r="B93" s="115"/>
    </row>
    <row r="94" spans="2:2" s="91" customFormat="1" ht="13.2">
      <c r="B94" s="115"/>
    </row>
    <row r="95" spans="2:2" s="91" customFormat="1" ht="13.2">
      <c r="B95" s="115"/>
    </row>
    <row r="96" spans="2:2" s="91" customFormat="1" ht="13.2">
      <c r="B96" s="115"/>
    </row>
    <row r="97" spans="2:2" s="91" customFormat="1" ht="13.2">
      <c r="B97" s="115"/>
    </row>
    <row r="98" spans="2:2" s="91" customFormat="1" ht="13.2">
      <c r="B98" s="115"/>
    </row>
    <row r="99" spans="2:2" s="91" customFormat="1" ht="13.2">
      <c r="B99" s="115"/>
    </row>
    <row r="100" spans="2:2" s="91" customFormat="1" ht="13.2">
      <c r="B100" s="115"/>
    </row>
    <row r="101" spans="2:2" s="91" customFormat="1" ht="13.2">
      <c r="B101" s="115"/>
    </row>
    <row r="102" spans="2:2" s="91" customFormat="1" ht="13.2">
      <c r="B102" s="115"/>
    </row>
    <row r="103" spans="2:2" s="91" customFormat="1" ht="13.2">
      <c r="B103" s="115"/>
    </row>
    <row r="104" spans="2:2" s="91" customFormat="1" ht="13.2">
      <c r="B104" s="115"/>
    </row>
    <row r="105" spans="2:2" s="91" customFormat="1" ht="13.2">
      <c r="B105" s="115"/>
    </row>
    <row r="106" spans="2:2" s="91" customFormat="1" ht="13.2">
      <c r="B106" s="115"/>
    </row>
    <row r="107" spans="2:2" s="91" customFormat="1" ht="13.2">
      <c r="B107" s="115"/>
    </row>
    <row r="108" spans="2:2" s="91" customFormat="1" ht="13.2">
      <c r="B108" s="115"/>
    </row>
    <row r="109" spans="2:2" s="91" customFormat="1" ht="13.2">
      <c r="B109" s="115"/>
    </row>
    <row r="110" spans="2:2" s="91" customFormat="1" ht="13.2">
      <c r="B110" s="115"/>
    </row>
    <row r="111" spans="2:2" s="91" customFormat="1" ht="13.2">
      <c r="B111" s="115"/>
    </row>
    <row r="112" spans="2:2" s="91" customFormat="1" ht="13.2">
      <c r="B112" s="115"/>
    </row>
    <row r="113" spans="2:2" s="91" customFormat="1" ht="13.2">
      <c r="B113" s="115"/>
    </row>
    <row r="114" spans="2:2" s="91" customFormat="1" ht="13.2">
      <c r="B114" s="115"/>
    </row>
    <row r="115" spans="2:2" s="91" customFormat="1" ht="13.2">
      <c r="B115" s="115"/>
    </row>
    <row r="116" spans="2:2" s="91" customFormat="1" ht="13.2">
      <c r="B116" s="115"/>
    </row>
    <row r="117" spans="2:2" s="91" customFormat="1" ht="13.2">
      <c r="B117" s="115"/>
    </row>
    <row r="118" spans="2:2" s="91" customFormat="1" ht="13.2">
      <c r="B118" s="115"/>
    </row>
    <row r="119" spans="2:2" s="91" customFormat="1" ht="13.2">
      <c r="B119" s="115"/>
    </row>
    <row r="120" spans="2:2" s="91" customFormat="1" ht="13.2">
      <c r="B120" s="115"/>
    </row>
    <row r="121" spans="2:2" s="91" customFormat="1" ht="13.2">
      <c r="B121" s="115"/>
    </row>
    <row r="122" spans="2:2" s="91" customFormat="1" ht="13.2">
      <c r="B122" s="115"/>
    </row>
    <row r="123" spans="2:2" s="91" customFormat="1" ht="13.2">
      <c r="B123" s="115"/>
    </row>
    <row r="124" spans="2:2" s="91" customFormat="1" ht="13.2">
      <c r="B124" s="115"/>
    </row>
    <row r="125" spans="2:2" s="91" customFormat="1" ht="13.2">
      <c r="B125" s="115"/>
    </row>
    <row r="126" spans="2:2" s="91" customFormat="1" ht="13.2">
      <c r="B126" s="115"/>
    </row>
    <row r="127" spans="2:2" s="91" customFormat="1" ht="13.2">
      <c r="B127" s="115"/>
    </row>
    <row r="128" spans="2:2" s="91" customFormat="1" ht="13.2">
      <c r="B128" s="115"/>
    </row>
    <row r="129" spans="2:2" s="91" customFormat="1" ht="13.2">
      <c r="B129" s="115"/>
    </row>
    <row r="130" spans="2:2" s="91" customFormat="1" ht="13.2">
      <c r="B130" s="115"/>
    </row>
    <row r="131" spans="2:2" s="91" customFormat="1" ht="13.2">
      <c r="B131" s="115"/>
    </row>
    <row r="132" spans="2:2" s="91" customFormat="1" ht="13.2">
      <c r="B132" s="115"/>
    </row>
    <row r="133" spans="2:2" s="91" customFormat="1" ht="13.2">
      <c r="B133" s="115"/>
    </row>
    <row r="134" spans="2:2" s="91" customFormat="1" ht="13.2">
      <c r="B134" s="115"/>
    </row>
    <row r="135" spans="2:2" s="91" customFormat="1" ht="13.2">
      <c r="B135" s="115"/>
    </row>
    <row r="136" spans="2:2" s="91" customFormat="1" ht="13.2">
      <c r="B136" s="115"/>
    </row>
    <row r="137" spans="2:2" s="91" customFormat="1" ht="13.2">
      <c r="B137" s="115"/>
    </row>
    <row r="138" spans="2:2" s="91" customFormat="1" ht="13.2">
      <c r="B138" s="115"/>
    </row>
    <row r="139" spans="2:2" s="91" customFormat="1" ht="13.2">
      <c r="B139" s="115"/>
    </row>
    <row r="140" spans="2:2" s="91" customFormat="1" ht="13.2">
      <c r="B140" s="115"/>
    </row>
    <row r="141" spans="2:2" s="91" customFormat="1" ht="13.2">
      <c r="B141" s="115"/>
    </row>
    <row r="142" spans="2:2" s="91" customFormat="1" ht="13.2">
      <c r="B142" s="115"/>
    </row>
    <row r="143" spans="2:2" s="91" customFormat="1" ht="13.2">
      <c r="B143" s="115"/>
    </row>
    <row r="144" spans="2:2" s="91" customFormat="1" ht="13.2">
      <c r="B144" s="115"/>
    </row>
    <row r="145" spans="2:2" s="91" customFormat="1" ht="13.2">
      <c r="B145" s="115"/>
    </row>
    <row r="146" spans="2:2" s="91" customFormat="1" ht="13.2">
      <c r="B146" s="115"/>
    </row>
    <row r="147" spans="2:2" s="91" customFormat="1" ht="13.2">
      <c r="B147" s="115"/>
    </row>
    <row r="148" spans="2:2" s="91" customFormat="1" ht="13.2">
      <c r="B148" s="115"/>
    </row>
    <row r="149" spans="2:2" s="91" customFormat="1" ht="13.2">
      <c r="B149" s="115"/>
    </row>
    <row r="150" spans="2:2" s="91" customFormat="1" ht="13.2">
      <c r="B150" s="115"/>
    </row>
    <row r="151" spans="2:2" s="91" customFormat="1" ht="13.2">
      <c r="B151" s="115"/>
    </row>
    <row r="152" spans="2:2" s="91" customFormat="1" ht="13.2">
      <c r="B152" s="115"/>
    </row>
    <row r="153" spans="2:2" s="91" customFormat="1" ht="13.2">
      <c r="B153" s="115"/>
    </row>
    <row r="154" spans="2:2" s="91" customFormat="1" ht="13.2">
      <c r="B154" s="115"/>
    </row>
    <row r="155" spans="2:2" s="91" customFormat="1" ht="13.2">
      <c r="B155" s="115"/>
    </row>
    <row r="156" spans="2:2" s="91" customFormat="1" ht="13.2">
      <c r="B156" s="115"/>
    </row>
    <row r="157" spans="2:2" s="91" customFormat="1" ht="13.2">
      <c r="B157" s="115"/>
    </row>
    <row r="158" spans="2:2" s="91" customFormat="1" ht="13.2">
      <c r="B158" s="115"/>
    </row>
    <row r="159" spans="2:2" s="91" customFormat="1" ht="13.2">
      <c r="B159" s="115"/>
    </row>
    <row r="160" spans="2:2" s="91" customFormat="1" ht="13.2">
      <c r="B160" s="115"/>
    </row>
    <row r="161" spans="2:2" s="91" customFormat="1" ht="13.2">
      <c r="B161" s="115"/>
    </row>
    <row r="162" spans="2:2" s="91" customFormat="1" ht="13.2">
      <c r="B162" s="115"/>
    </row>
    <row r="163" spans="2:2" s="91" customFormat="1" ht="13.2">
      <c r="B163" s="115"/>
    </row>
    <row r="164" spans="2:2" s="91" customFormat="1" ht="13.2">
      <c r="B164" s="115"/>
    </row>
    <row r="165" spans="2:2" s="91" customFormat="1" ht="13.2">
      <c r="B165" s="115"/>
    </row>
    <row r="166" spans="2:2" s="91" customFormat="1" ht="13.2">
      <c r="B166" s="115"/>
    </row>
    <row r="167" spans="2:2" s="91" customFormat="1" ht="13.2">
      <c r="B167" s="115"/>
    </row>
    <row r="168" spans="2:2" s="91" customFormat="1" ht="13.2">
      <c r="B168" s="115"/>
    </row>
    <row r="169" spans="2:2" s="91" customFormat="1" ht="13.2">
      <c r="B169" s="115"/>
    </row>
    <row r="170" spans="2:2" s="91" customFormat="1" ht="13.2">
      <c r="B170" s="115"/>
    </row>
    <row r="171" spans="2:2" s="91" customFormat="1" ht="13.2">
      <c r="B171" s="115"/>
    </row>
    <row r="172" spans="2:2" s="91" customFormat="1" ht="13.2">
      <c r="B172" s="115"/>
    </row>
    <row r="173" spans="2:2" s="91" customFormat="1" ht="13.2">
      <c r="B173" s="115"/>
    </row>
    <row r="174" spans="2:2" s="91" customFormat="1" ht="13.2">
      <c r="B174" s="115"/>
    </row>
    <row r="175" spans="2:2" s="91" customFormat="1" ht="13.2">
      <c r="B175" s="115"/>
    </row>
    <row r="176" spans="2:2" s="91" customFormat="1" ht="13.2">
      <c r="B176" s="115"/>
    </row>
    <row r="177" spans="2:2" s="91" customFormat="1" ht="13.2">
      <c r="B177" s="115"/>
    </row>
    <row r="178" spans="2:2" s="91" customFormat="1" ht="13.2">
      <c r="B178" s="115"/>
    </row>
    <row r="179" spans="2:2" s="91" customFormat="1" ht="13.2">
      <c r="B179" s="115"/>
    </row>
    <row r="180" spans="2:2" s="91" customFormat="1" ht="13.2">
      <c r="B180" s="115"/>
    </row>
    <row r="181" spans="2:2" s="91" customFormat="1" ht="13.2">
      <c r="B181" s="115"/>
    </row>
    <row r="182" spans="2:2" s="91" customFormat="1" ht="13.2">
      <c r="B182" s="115"/>
    </row>
    <row r="183" spans="2:2" s="91" customFormat="1" ht="13.2">
      <c r="B183" s="115"/>
    </row>
    <row r="184" spans="2:2" s="91" customFormat="1" ht="13.2">
      <c r="B184" s="115"/>
    </row>
    <row r="185" spans="2:2" s="91" customFormat="1" ht="13.2">
      <c r="B185" s="115"/>
    </row>
    <row r="186" spans="2:2" s="91" customFormat="1" ht="13.2">
      <c r="B186" s="115"/>
    </row>
    <row r="187" spans="2:2" s="91" customFormat="1" ht="13.2">
      <c r="B187" s="115"/>
    </row>
    <row r="188" spans="2:2" s="91" customFormat="1" ht="13.2">
      <c r="B188" s="115"/>
    </row>
    <row r="189" spans="2:2" s="91" customFormat="1" ht="13.2">
      <c r="B189" s="115"/>
    </row>
    <row r="190" spans="2:2" s="91" customFormat="1" ht="13.2">
      <c r="B190" s="115"/>
    </row>
    <row r="191" spans="2:2" s="91" customFormat="1" ht="13.2">
      <c r="B191" s="115"/>
    </row>
    <row r="192" spans="2:2" s="91" customFormat="1" ht="13.2">
      <c r="B192" s="115"/>
    </row>
    <row r="193" spans="2:2" s="91" customFormat="1" ht="13.2">
      <c r="B193" s="115"/>
    </row>
    <row r="194" spans="2:2" s="91" customFormat="1" ht="13.2">
      <c r="B194" s="115"/>
    </row>
    <row r="195" spans="2:2" s="91" customFormat="1" ht="13.2">
      <c r="B195" s="115"/>
    </row>
    <row r="196" spans="2:2" s="91" customFormat="1" ht="13.2">
      <c r="B196" s="115"/>
    </row>
    <row r="197" spans="2:2" s="91" customFormat="1" ht="13.2">
      <c r="B197" s="115"/>
    </row>
    <row r="198" spans="2:2" s="91" customFormat="1" ht="13.2">
      <c r="B198" s="115"/>
    </row>
    <row r="199" spans="2:2" s="91" customFormat="1" ht="13.2">
      <c r="B199" s="115"/>
    </row>
    <row r="200" spans="2:2" s="91" customFormat="1" ht="13.2">
      <c r="B200" s="115"/>
    </row>
    <row r="201" spans="2:2" s="91" customFormat="1" ht="13.2">
      <c r="B201" s="115"/>
    </row>
    <row r="202" spans="2:2" s="91" customFormat="1" ht="13.2">
      <c r="B202" s="115"/>
    </row>
    <row r="203" spans="2:2" s="91" customFormat="1" ht="13.2">
      <c r="B203" s="115"/>
    </row>
    <row r="204" spans="2:2" s="91" customFormat="1" ht="13.2">
      <c r="B204" s="115"/>
    </row>
    <row r="205" spans="2:2" s="91" customFormat="1" ht="13.2">
      <c r="B205" s="115"/>
    </row>
    <row r="206" spans="2:2" s="91" customFormat="1" ht="13.2">
      <c r="B206" s="115"/>
    </row>
    <row r="207" spans="2:2" s="91" customFormat="1" ht="13.2">
      <c r="B207" s="115"/>
    </row>
    <row r="208" spans="2:2" s="91" customFormat="1" ht="13.2">
      <c r="B208" s="115"/>
    </row>
    <row r="209" spans="2:2" s="91" customFormat="1" ht="13.2">
      <c r="B209" s="115"/>
    </row>
    <row r="210" spans="2:2" s="91" customFormat="1" ht="13.2">
      <c r="B210" s="115"/>
    </row>
    <row r="211" spans="2:2" s="91" customFormat="1" ht="13.2">
      <c r="B211" s="115"/>
    </row>
    <row r="212" spans="2:2" s="91" customFormat="1" ht="13.2">
      <c r="B212" s="115"/>
    </row>
    <row r="213" spans="2:2" s="91" customFormat="1" ht="13.2">
      <c r="B213" s="115"/>
    </row>
    <row r="214" spans="2:2" s="91" customFormat="1" ht="13.2">
      <c r="B214" s="115"/>
    </row>
    <row r="215" spans="2:2" s="91" customFormat="1" ht="13.2">
      <c r="B215" s="115"/>
    </row>
    <row r="216" spans="2:2" s="91" customFormat="1" ht="13.2">
      <c r="B216" s="115"/>
    </row>
    <row r="217" spans="2:2" s="91" customFormat="1" ht="13.2">
      <c r="B217" s="115"/>
    </row>
    <row r="218" spans="2:2" s="91" customFormat="1" ht="13.2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09375" defaultRowHeight="13.2"/>
  <cols>
    <col min="1" max="2" width="9.109375" style="73"/>
    <col min="3" max="3" width="13.21875" style="73" bestFit="1" customWidth="1"/>
    <col min="4" max="5" width="9.109375" style="73"/>
    <col min="6" max="6" width="12.5546875" style="73" bestFit="1" customWidth="1"/>
    <col min="7" max="7" width="0.88671875" style="73" customWidth="1"/>
    <col min="8" max="8" width="11.109375" style="73" bestFit="1" customWidth="1"/>
    <col min="9" max="16384" width="9.109375" style="73"/>
  </cols>
  <sheetData>
    <row r="1" spans="3:8" ht="13.8" thickBot="1"/>
    <row r="2" spans="3:8" ht="13.8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8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1875" defaultRowHeight="13.8"/>
  <cols>
    <col min="1" max="1" width="0.88671875" style="24" customWidth="1"/>
    <col min="2" max="2" width="8.21875" style="64"/>
    <col min="3" max="3" width="2.109375" style="64" customWidth="1"/>
    <col min="4" max="4" width="21.109375" style="24" customWidth="1"/>
    <col min="5" max="5" width="0.88671875" style="24" customWidth="1"/>
    <col min="6" max="6" width="19.5546875" style="24" customWidth="1"/>
    <col min="7" max="7" width="0.88671875" style="24" customWidth="1"/>
    <col min="8" max="8" width="18.109375" style="24" customWidth="1"/>
    <col min="9" max="9" width="2.886718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" thickBot="1">
      <c r="A4" s="213"/>
      <c r="B4" s="748"/>
      <c r="C4" s="748"/>
      <c r="D4" s="748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4" thickBot="1">
      <c r="A5" s="213"/>
      <c r="B5" s="749" t="s">
        <v>217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85" zoomScaleNormal="85" workbookViewId="0">
      <pane ySplit="4" topLeftCell="A104" activePane="bottomLeft" state="frozen"/>
      <selection activeCell="X33" sqref="X33"/>
      <selection pane="bottomLeft" activeCell="T130" sqref="T130"/>
    </sheetView>
  </sheetViews>
  <sheetFormatPr defaultColWidth="9.109375" defaultRowHeight="13.8"/>
  <cols>
    <col min="1" max="1" width="2.109375" style="110" hidden="1" customWidth="1"/>
    <col min="2" max="2" width="6.21875" style="24" hidden="1" customWidth="1"/>
    <col min="3" max="3" width="20.21875" style="24" hidden="1" customWidth="1"/>
    <col min="4" max="4" width="51.5546875" style="24" hidden="1" customWidth="1"/>
    <col min="5" max="5" width="11.88671875" style="70" hidden="1" customWidth="1"/>
    <col min="6" max="6" width="16.5546875" style="473" hidden="1" customWidth="1"/>
    <col min="7" max="7" width="16.88671875" style="24" hidden="1" customWidth="1"/>
    <col min="8" max="8" width="16.88671875" style="110" hidden="1" customWidth="1"/>
    <col min="9" max="9" width="22.21875" style="348" hidden="1" customWidth="1"/>
    <col min="10" max="10" width="22.21875" style="348" bestFit="1" customWidth="1"/>
    <col min="11" max="12" width="5.5546875" style="110" customWidth="1"/>
    <col min="13" max="13" width="25.5546875" style="110" customWidth="1"/>
    <col min="14" max="14" width="48.109375" style="110" customWidth="1"/>
    <col min="15" max="15" width="15.5546875" style="110" customWidth="1"/>
    <col min="16" max="17" width="16.88671875" style="110" customWidth="1"/>
    <col min="18" max="18" width="47.44140625" style="110" bestFit="1" customWidth="1"/>
    <col min="19" max="19" width="39" style="110" bestFit="1" customWidth="1"/>
    <col min="20" max="23" width="16.88671875" style="110" customWidth="1"/>
    <col min="24" max="24" width="21.109375" style="110" customWidth="1"/>
    <col min="25" max="25" width="29.21875" style="110" bestFit="1" customWidth="1"/>
    <col min="26" max="26" width="24.88671875" style="110" bestFit="1" customWidth="1"/>
    <col min="27" max="76" width="16.88671875" style="110" customWidth="1"/>
    <col min="77" max="16384" width="9.1093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59" t="s">
        <v>224</v>
      </c>
      <c r="C2" s="760"/>
      <c r="D2" s="760"/>
      <c r="E2" s="760"/>
      <c r="F2" s="760"/>
      <c r="G2" s="760"/>
      <c r="H2" s="678"/>
      <c r="I2" s="256">
        <f>SUM(I6:I170)</f>
        <v>3002994.7436639969</v>
      </c>
      <c r="J2" s="256">
        <f>SUM(J6:J170)</f>
        <v>3355439.0188350095</v>
      </c>
      <c r="L2" s="761" t="s">
        <v>225</v>
      </c>
      <c r="M2" s="762"/>
      <c r="N2" s="762"/>
      <c r="O2" s="762"/>
      <c r="P2" s="762"/>
      <c r="Q2" s="762"/>
      <c r="R2" s="766" t="s">
        <v>226</v>
      </c>
      <c r="S2" s="767"/>
      <c r="T2" s="767"/>
      <c r="U2" s="767"/>
      <c r="V2" s="767"/>
      <c r="W2" s="76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63">
        <f>SUM(G6:G11)</f>
        <v>777559.09</v>
      </c>
      <c r="J6" s="763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53">
        <f>J6-SUM(U6:U11)</f>
        <v>0</v>
      </c>
      <c r="W6" s="533">
        <v>45867</v>
      </c>
      <c r="X6" s="750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64"/>
      <c r="J7" s="764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54"/>
      <c r="W7" s="534">
        <v>45883</v>
      </c>
      <c r="X7" s="751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64"/>
      <c r="J8" s="764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54"/>
      <c r="W8" s="571"/>
      <c r="X8" s="751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64"/>
      <c r="J9" s="764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54"/>
      <c r="W9" s="694">
        <v>45980</v>
      </c>
      <c r="X9" s="751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64"/>
      <c r="J10" s="764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54"/>
      <c r="W10" s="535">
        <v>46045</v>
      </c>
      <c r="X10" s="751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65"/>
      <c r="J11" s="765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55"/>
      <c r="W11" s="707">
        <f>W10</f>
        <v>46045</v>
      </c>
      <c r="X11" s="752"/>
      <c r="Y11" s="604" t="s">
        <v>251</v>
      </c>
      <c r="Z11" s="605" t="s">
        <v>252</v>
      </c>
    </row>
    <row r="12" spans="1:76" ht="14.4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69">
        <f>SUM(G13:G19)</f>
        <v>210000</v>
      </c>
      <c r="J13" s="769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56">
        <f>J13-SUM(U13:U19)</f>
        <v>0</v>
      </c>
      <c r="W13" s="536">
        <f>W6</f>
        <v>45867</v>
      </c>
      <c r="X13" s="772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0"/>
      <c r="J14" s="770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57"/>
      <c r="W14" s="576"/>
      <c r="X14" s="773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0"/>
      <c r="J15" s="770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57"/>
      <c r="W15" s="576"/>
      <c r="X15" s="773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0"/>
      <c r="J16" s="770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57"/>
      <c r="W16" s="576"/>
      <c r="X16" s="773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0"/>
      <c r="J17" s="770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57"/>
      <c r="W17" s="576"/>
      <c r="X17" s="773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0"/>
      <c r="J18" s="770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57"/>
      <c r="W18" s="576"/>
      <c r="X18" s="773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1"/>
      <c r="J19" s="771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58"/>
      <c r="W19" s="577"/>
      <c r="X19" s="774"/>
      <c r="Y19" s="606" t="s">
        <v>264</v>
      </c>
      <c r="Z19" s="607">
        <v>0</v>
      </c>
    </row>
    <row r="20" spans="1:26" ht="14.4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63">
        <f>SUM(G21:G26)</f>
        <v>300883.17</v>
      </c>
      <c r="J21" s="763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53">
        <f>J21-SUM(U21:U26)</f>
        <v>0</v>
      </c>
      <c r="W21" s="674">
        <v>45867</v>
      </c>
      <c r="X21" s="750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64"/>
      <c r="J22" s="764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54"/>
      <c r="W22" s="571">
        <f>T22+30</f>
        <v>46111</v>
      </c>
      <c r="X22" s="751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64"/>
      <c r="J23" s="764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54"/>
      <c r="W23" s="571"/>
      <c r="X23" s="751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64"/>
      <c r="J24" s="764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54"/>
      <c r="W24" s="571"/>
      <c r="X24" s="751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64"/>
      <c r="J25" s="764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54"/>
      <c r="W25" s="571"/>
      <c r="X25" s="751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65"/>
      <c r="J26" s="765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55"/>
      <c r="W26" s="571"/>
      <c r="X26" s="752"/>
      <c r="Y26" s="612" t="s">
        <v>277</v>
      </c>
      <c r="Z26" s="613" t="s">
        <v>278</v>
      </c>
    </row>
    <row r="27" spans="1:26" ht="14.4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69">
        <f>SUM(G28:G43)</f>
        <v>304127.7</v>
      </c>
      <c r="J28" s="769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56">
        <f>J28-SUM(U28:U43)</f>
        <v>-4.7398754395544529E-4</v>
      </c>
      <c r="W28" s="536">
        <v>45867</v>
      </c>
      <c r="X28" s="772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70"/>
      <c r="J29" s="770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57"/>
      <c r="W29" s="576"/>
      <c r="X29" s="773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0"/>
      <c r="J30" s="770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81" t="s">
        <v>285</v>
      </c>
      <c r="S30" s="629" t="s">
        <v>286</v>
      </c>
      <c r="T30" s="651">
        <v>46053</v>
      </c>
      <c r="U30" s="711">
        <v>0</v>
      </c>
      <c r="V30" s="757"/>
      <c r="W30" s="576">
        <v>46079</v>
      </c>
      <c r="X30" s="773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0"/>
      <c r="J31" s="770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82"/>
      <c r="S31" s="629" t="s">
        <v>286</v>
      </c>
      <c r="T31" s="651">
        <v>46053</v>
      </c>
      <c r="U31" s="711">
        <v>0</v>
      </c>
      <c r="V31" s="757"/>
      <c r="W31" s="576">
        <v>46079</v>
      </c>
      <c r="X31" s="773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0"/>
      <c r="J32" s="770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78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757"/>
      <c r="W32" s="537">
        <f>W93</f>
        <v>45792</v>
      </c>
      <c r="X32" s="773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0"/>
      <c r="J33" s="770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79"/>
      <c r="S33" s="629" t="s">
        <v>290</v>
      </c>
      <c r="T33" s="651">
        <f>IF(W33&gt;1,EOMONTH(W33,0),"")</f>
        <v>45808</v>
      </c>
      <c r="U33" s="661">
        <v>32824.66056859625</v>
      </c>
      <c r="V33" s="757"/>
      <c r="W33" s="537">
        <f>W94</f>
        <v>45792</v>
      </c>
      <c r="X33" s="773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0"/>
      <c r="J34" s="770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79"/>
      <c r="S34" s="629" t="s">
        <v>292</v>
      </c>
      <c r="T34" s="651">
        <v>45869</v>
      </c>
      <c r="U34" s="661">
        <v>43766.214163932236</v>
      </c>
      <c r="V34" s="757"/>
      <c r="W34" s="537">
        <f>W95</f>
        <v>46037</v>
      </c>
      <c r="X34" s="773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0"/>
      <c r="J35" s="770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79"/>
      <c r="S35" s="629" t="str">
        <f>S96</f>
        <v>Thula Moya IN04775</v>
      </c>
      <c r="T35" s="651">
        <v>45869</v>
      </c>
      <c r="U35" s="661">
        <v>30636.349342489171</v>
      </c>
      <c r="V35" s="757"/>
      <c r="W35" s="537">
        <f>W96</f>
        <v>45848</v>
      </c>
      <c r="X35" s="773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0"/>
      <c r="J36" s="770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79"/>
      <c r="S36" s="629" t="s">
        <v>294</v>
      </c>
      <c r="T36" s="651">
        <v>45900</v>
      </c>
      <c r="U36" s="661">
        <v>24071.559966602163</v>
      </c>
      <c r="V36" s="757"/>
      <c r="W36" s="537">
        <f>W97</f>
        <v>45911</v>
      </c>
      <c r="X36" s="773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0"/>
      <c r="J37" s="770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79"/>
      <c r="S37" s="629" t="s">
        <v>295</v>
      </c>
      <c r="T37" s="651">
        <v>45900</v>
      </c>
      <c r="U37" s="661">
        <v>21883.118151456514</v>
      </c>
      <c r="V37" s="757"/>
      <c r="W37" s="576">
        <f t="shared" ref="W37:W40" si="4">W98</f>
        <v>46077</v>
      </c>
      <c r="X37" s="773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0"/>
      <c r="J38" s="770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79"/>
      <c r="S38" s="629" t="s">
        <v>297</v>
      </c>
      <c r="T38" s="651">
        <v>45900</v>
      </c>
      <c r="U38" s="661">
        <v>21883.095781176376</v>
      </c>
      <c r="V38" s="757"/>
      <c r="W38" s="576">
        <f t="shared" si="4"/>
        <v>46087</v>
      </c>
      <c r="X38" s="773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0"/>
      <c r="J39" s="770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79"/>
      <c r="S39" s="629" t="s">
        <v>299</v>
      </c>
      <c r="T39" s="651">
        <v>45900</v>
      </c>
      <c r="U39" s="661">
        <v>10941.482850700935</v>
      </c>
      <c r="V39" s="757"/>
      <c r="W39" s="576">
        <f t="shared" si="4"/>
        <v>46087</v>
      </c>
      <c r="X39" s="773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0"/>
      <c r="J40" s="770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80"/>
      <c r="S40" s="629" t="s">
        <v>301</v>
      </c>
      <c r="T40" s="651">
        <v>45900</v>
      </c>
      <c r="U40" s="661">
        <v>10941.482850700935</v>
      </c>
      <c r="V40" s="757"/>
      <c r="W40" s="576">
        <f t="shared" si="4"/>
        <v>46110</v>
      </c>
      <c r="X40" s="773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0"/>
      <c r="J41" s="770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57"/>
      <c r="W41" s="576"/>
      <c r="X41" s="773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0"/>
      <c r="J42" s="770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57"/>
      <c r="W42" s="576"/>
      <c r="X42" s="773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1"/>
      <c r="J43" s="771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58"/>
      <c r="W43" s="577"/>
      <c r="X43" s="774"/>
      <c r="Y43" s="481"/>
    </row>
    <row r="44" spans="1:26" ht="14.4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63">
        <f>SUM(G45:G52)</f>
        <v>49000</v>
      </c>
      <c r="J45" s="763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53">
        <f>J45-SUM(U45:U52)</f>
        <v>-4.47725009144051E-3</v>
      </c>
      <c r="W45" s="534">
        <v>45855</v>
      </c>
      <c r="X45" s="750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64"/>
      <c r="J46" s="764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54"/>
      <c r="W46" s="534">
        <v>45806</v>
      </c>
      <c r="X46" s="751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64"/>
      <c r="J47" s="764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54"/>
      <c r="W47" s="674">
        <v>45867</v>
      </c>
      <c r="X47" s="751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64"/>
      <c r="J48" s="764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54"/>
      <c r="W48" s="534">
        <v>45838</v>
      </c>
      <c r="X48" s="751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64"/>
      <c r="J49" s="764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54"/>
      <c r="W49" s="534">
        <v>45799</v>
      </c>
      <c r="X49" s="751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64"/>
      <c r="J50" s="764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54"/>
      <c r="W50" s="572">
        <v>46111</v>
      </c>
      <c r="X50" s="751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64"/>
      <c r="J51" s="764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54"/>
      <c r="W51" s="572"/>
      <c r="X51" s="751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65"/>
      <c r="J52" s="765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55"/>
      <c r="W52" s="573"/>
      <c r="X52" s="752"/>
      <c r="Y52" s="481"/>
    </row>
    <row r="53" spans="1:25" ht="14.4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69">
        <f>SUM(G54:G71)</f>
        <v>392189.72608695651</v>
      </c>
      <c r="J54" s="769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56">
        <f>J54-SUM(U54:U71)</f>
        <v>-4.5099278213456273E-4</v>
      </c>
      <c r="W54" s="575"/>
      <c r="X54" s="772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0"/>
      <c r="J55" s="770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757"/>
      <c r="W55" s="655">
        <v>45867</v>
      </c>
      <c r="X55" s="773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0"/>
      <c r="J56" s="770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57"/>
      <c r="W56" s="576"/>
      <c r="X56" s="773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0"/>
      <c r="J57" s="770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57"/>
      <c r="W57" s="576"/>
      <c r="X57" s="773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0"/>
      <c r="J58" s="770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57"/>
      <c r="W58" s="576"/>
      <c r="X58" s="773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0"/>
      <c r="J59" s="770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57"/>
      <c r="W59" s="576"/>
      <c r="X59" s="773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0"/>
      <c r="J60" s="770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78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757"/>
      <c r="W60" s="537">
        <f>W93</f>
        <v>45792</v>
      </c>
      <c r="X60" s="773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0"/>
      <c r="J61" s="770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79"/>
      <c r="S61" s="629" t="s">
        <v>290</v>
      </c>
      <c r="T61" s="651">
        <f t="shared" si="0"/>
        <v>45808</v>
      </c>
      <c r="U61" s="661">
        <v>29868.798841829572</v>
      </c>
      <c r="V61" s="757"/>
      <c r="W61" s="655">
        <f>W94</f>
        <v>45792</v>
      </c>
      <c r="X61" s="773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0"/>
      <c r="J62" s="770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79"/>
      <c r="S62" s="629" t="s">
        <v>292</v>
      </c>
      <c r="T62" s="651">
        <v>45869</v>
      </c>
      <c r="U62" s="661">
        <v>39268.030368539163</v>
      </c>
      <c r="V62" s="757"/>
      <c r="W62" s="537">
        <f>W95</f>
        <v>46037</v>
      </c>
      <c r="X62" s="773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0"/>
      <c r="J63" s="770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79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57"/>
      <c r="W63" s="537">
        <f>W96</f>
        <v>45848</v>
      </c>
      <c r="X63" s="773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0"/>
      <c r="J64" s="770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79"/>
      <c r="S64" s="629" t="s">
        <v>294</v>
      </c>
      <c r="T64" s="651">
        <v>45900</v>
      </c>
      <c r="U64" s="661">
        <v>21597.586003902306</v>
      </c>
      <c r="V64" s="757"/>
      <c r="W64" s="537">
        <f>W97</f>
        <v>45911</v>
      </c>
      <c r="X64" s="773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0"/>
      <c r="J65" s="770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79"/>
      <c r="S65" s="629" t="s">
        <v>295</v>
      </c>
      <c r="T65" s="651">
        <v>45900</v>
      </c>
      <c r="U65" s="661">
        <v>19634.037579449192</v>
      </c>
      <c r="V65" s="757"/>
      <c r="W65" s="576">
        <f t="shared" ref="W65:W68" si="8">W98</f>
        <v>46077</v>
      </c>
      <c r="X65" s="773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0"/>
      <c r="J66" s="770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79"/>
      <c r="S66" s="633" t="s">
        <v>297</v>
      </c>
      <c r="T66" s="651">
        <v>45900</v>
      </c>
      <c r="U66" s="676">
        <v>19633.931328447623</v>
      </c>
      <c r="V66" s="757"/>
      <c r="W66" s="576">
        <f t="shared" si="8"/>
        <v>46087</v>
      </c>
      <c r="X66" s="773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0"/>
      <c r="J67" s="770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79"/>
      <c r="S67" s="633" t="s">
        <v>299</v>
      </c>
      <c r="T67" s="651">
        <v>45900</v>
      </c>
      <c r="U67" s="676">
        <v>9816.9550391236535</v>
      </c>
      <c r="V67" s="757"/>
      <c r="W67" s="576">
        <f t="shared" si="8"/>
        <v>46087</v>
      </c>
      <c r="X67" s="773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0"/>
      <c r="J68" s="770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80"/>
      <c r="S68" s="633" t="s">
        <v>301</v>
      </c>
      <c r="T68" s="651">
        <v>45900</v>
      </c>
      <c r="U68" s="676">
        <v>9816.9550391236535</v>
      </c>
      <c r="V68" s="757"/>
      <c r="W68" s="576">
        <f t="shared" si="8"/>
        <v>46110</v>
      </c>
      <c r="X68" s="773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0"/>
      <c r="J69" s="770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57"/>
      <c r="W69" s="579"/>
      <c r="X69" s="773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0"/>
      <c r="J70" s="770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57"/>
      <c r="W70" s="579"/>
      <c r="X70" s="773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1"/>
      <c r="J71" s="771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58"/>
      <c r="W71" s="577"/>
      <c r="X71" s="774"/>
      <c r="Y71" s="481"/>
    </row>
    <row r="72" spans="1:25" ht="14.4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63">
        <f>SUM(G73:G80)</f>
        <v>0</v>
      </c>
      <c r="J73" s="763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75">
        <f>J73-SUM(U73:U80)</f>
        <v>0</v>
      </c>
      <c r="W73" s="581"/>
      <c r="X73" s="750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64"/>
      <c r="J74" s="764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76"/>
      <c r="W74" s="572"/>
      <c r="X74" s="751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64"/>
      <c r="J75" s="764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76"/>
      <c r="W75" s="572"/>
      <c r="X75" s="751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64"/>
      <c r="J76" s="764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76"/>
      <c r="W76" s="572"/>
      <c r="X76" s="751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64"/>
      <c r="J77" s="764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76"/>
      <c r="W77" s="572"/>
      <c r="X77" s="751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64"/>
      <c r="J78" s="764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76"/>
      <c r="W78" s="572"/>
      <c r="X78" s="751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64"/>
      <c r="J79" s="764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76"/>
      <c r="W79" s="572"/>
      <c r="X79" s="751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65"/>
      <c r="J80" s="765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77"/>
      <c r="W80" s="573"/>
      <c r="X80" s="752"/>
      <c r="Y80" s="481"/>
    </row>
    <row r="81" spans="1:25" ht="14.4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69">
        <f>D178</f>
        <v>0</v>
      </c>
      <c r="J82" s="769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9">
        <f>J82-SUM(U82:U90)</f>
        <v>0</v>
      </c>
      <c r="W82" s="536">
        <v>46058</v>
      </c>
      <c r="X82" s="772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0"/>
      <c r="J83" s="770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90"/>
      <c r="W83" s="576"/>
      <c r="X83" s="773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0"/>
      <c r="J84" s="770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90"/>
      <c r="W84" s="537">
        <v>45834</v>
      </c>
      <c r="X84" s="773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0"/>
      <c r="J85" s="770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90"/>
      <c r="W85" s="576"/>
      <c r="X85" s="773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0"/>
      <c r="J86" s="770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78" t="s">
        <v>335</v>
      </c>
      <c r="S86" s="629" t="s">
        <v>336</v>
      </c>
      <c r="T86" s="651">
        <v>46053</v>
      </c>
      <c r="U86" s="506"/>
      <c r="V86" s="790"/>
      <c r="W86" s="537">
        <v>46051</v>
      </c>
      <c r="X86" s="773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0"/>
      <c r="J87" s="770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80"/>
      <c r="S87" s="629" t="s">
        <v>336</v>
      </c>
      <c r="T87" s="651">
        <v>46053</v>
      </c>
      <c r="U87" s="506"/>
      <c r="V87" s="790"/>
      <c r="W87" s="576">
        <v>46079</v>
      </c>
      <c r="X87" s="773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0"/>
      <c r="J88" s="770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90"/>
      <c r="W88" s="576"/>
      <c r="X88" s="773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0"/>
      <c r="J89" s="770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90"/>
      <c r="W89" s="579">
        <f>T89</f>
        <v>46081</v>
      </c>
      <c r="X89" s="773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1"/>
      <c r="J90" s="771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91"/>
      <c r="W90" s="577"/>
      <c r="X90" s="774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806">
        <f>SUM(G92:G104)</f>
        <v>288452.5</v>
      </c>
      <c r="J92" s="763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53">
        <f>J92-SUM(U92:U104)</f>
        <v>7.944770622998476E-4</v>
      </c>
      <c r="W92" s="578"/>
      <c r="X92" s="783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807"/>
      <c r="J93" s="764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95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54"/>
      <c r="W93" s="534">
        <v>45792</v>
      </c>
      <c r="X93" s="784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807"/>
      <c r="J94" s="764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96"/>
      <c r="S94" s="625" t="s">
        <v>290</v>
      </c>
      <c r="T94" s="642">
        <f t="shared" si="9"/>
        <v>45808</v>
      </c>
      <c r="U94" s="662">
        <v>50903.382352941167</v>
      </c>
      <c r="V94" s="754"/>
      <c r="W94" s="653">
        <v>45792</v>
      </c>
      <c r="X94" s="784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807"/>
      <c r="J95" s="764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96"/>
      <c r="S95" s="625" t="s">
        <v>292</v>
      </c>
      <c r="T95" s="642">
        <v>45869</v>
      </c>
      <c r="U95" s="662">
        <v>67871.177106169795</v>
      </c>
      <c r="V95" s="754"/>
      <c r="W95" s="535">
        <v>46037</v>
      </c>
      <c r="X95" s="784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807"/>
      <c r="J96" s="764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96"/>
      <c r="S96" s="625" t="s">
        <v>346</v>
      </c>
      <c r="T96" s="642">
        <f t="shared" si="9"/>
        <v>45869</v>
      </c>
      <c r="U96" s="662">
        <v>47509.820796411062</v>
      </c>
      <c r="V96" s="754"/>
      <c r="W96" s="535">
        <v>45848</v>
      </c>
      <c r="X96" s="784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807"/>
      <c r="J97" s="764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96"/>
      <c r="S97" s="625" t="s">
        <v>294</v>
      </c>
      <c r="T97" s="642">
        <v>45900</v>
      </c>
      <c r="U97" s="662">
        <v>37329.147408393386</v>
      </c>
      <c r="V97" s="754"/>
      <c r="W97" s="535">
        <v>45911</v>
      </c>
      <c r="X97" s="784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807"/>
      <c r="J98" s="764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96"/>
      <c r="S98" s="625"/>
      <c r="T98" s="517">
        <f t="shared" si="9"/>
        <v>46081</v>
      </c>
      <c r="U98" s="502">
        <f t="shared" ref="U98:U104" si="11">(Q98/$X$92*$J$92)</f>
        <v>33935.588553084897</v>
      </c>
      <c r="V98" s="754"/>
      <c r="W98" s="572">
        <f>'Project Plan'!K39+14</f>
        <v>46077</v>
      </c>
      <c r="X98" s="784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807"/>
      <c r="J99" s="764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96"/>
      <c r="S99" s="625"/>
      <c r="T99" s="517">
        <f t="shared" si="9"/>
        <v>46112</v>
      </c>
      <c r="U99" s="502">
        <f t="shared" si="11"/>
        <v>33935.588553084897</v>
      </c>
      <c r="V99" s="754"/>
      <c r="W99" s="572">
        <f>'Project Plan'!K48+7</f>
        <v>46087</v>
      </c>
      <c r="X99" s="784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807"/>
      <c r="J100" s="764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96"/>
      <c r="S100" s="625"/>
      <c r="T100" s="517">
        <f t="shared" si="9"/>
        <v>46112</v>
      </c>
      <c r="U100" s="502">
        <f t="shared" si="11"/>
        <v>16967.794276542449</v>
      </c>
      <c r="V100" s="754"/>
      <c r="W100" s="572">
        <f>'Project Plan'!K48+7</f>
        <v>46087</v>
      </c>
      <c r="X100" s="784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807"/>
      <c r="J101" s="764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7"/>
      <c r="S101" s="625"/>
      <c r="T101" s="517">
        <f t="shared" si="9"/>
        <v>46112</v>
      </c>
      <c r="U101" s="502">
        <f t="shared" si="11"/>
        <v>16967.794276542449</v>
      </c>
      <c r="V101" s="754"/>
      <c r="W101" s="572">
        <f>'Project Plan'!K48+30</f>
        <v>46110</v>
      </c>
      <c r="X101" s="784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807"/>
      <c r="J102" s="764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54"/>
      <c r="W102" s="572"/>
      <c r="X102" s="784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807"/>
      <c r="J103" s="764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54"/>
      <c r="W103" s="572"/>
      <c r="X103" s="784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808"/>
      <c r="J104" s="765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55"/>
      <c r="W104" s="573"/>
      <c r="X104" s="785"/>
      <c r="Y104" s="481"/>
    </row>
    <row r="105" spans="1:25" ht="14.4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98">
        <f>SUM(G106:G125)</f>
        <v>58027.933333333342</v>
      </c>
      <c r="J106" s="798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86">
        <f>J106-SUM(U106:U125)</f>
        <v>4.4754566042684019E-3</v>
      </c>
      <c r="W106" s="582"/>
      <c r="X106" s="802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804"/>
      <c r="J107" s="804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87"/>
      <c r="W107" s="583"/>
      <c r="X107" s="805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804"/>
      <c r="J108" s="804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87"/>
      <c r="W108" s="540">
        <v>45849</v>
      </c>
      <c r="X108" s="805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804"/>
      <c r="J109" s="804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87"/>
      <c r="W109" s="583"/>
      <c r="X109" s="805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804"/>
      <c r="J110" s="804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87"/>
      <c r="W110" s="583"/>
      <c r="X110" s="805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804"/>
      <c r="J111" s="804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87"/>
      <c r="W111" s="583"/>
      <c r="X111" s="805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804"/>
      <c r="J112" s="804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87"/>
      <c r="W112" s="583"/>
      <c r="X112" s="805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804"/>
      <c r="J113" s="804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87"/>
      <c r="W113" s="583"/>
      <c r="X113" s="805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804"/>
      <c r="J114" s="804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92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87"/>
      <c r="W114" s="541">
        <f t="shared" ref="W114:W122" si="14">W93</f>
        <v>45792</v>
      </c>
      <c r="X114" s="805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804"/>
      <c r="J115" s="804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93"/>
      <c r="S115" s="638" t="s">
        <v>290</v>
      </c>
      <c r="T115" s="652">
        <f t="shared" si="9"/>
        <v>45808</v>
      </c>
      <c r="U115" s="663">
        <v>3925.6234594188095</v>
      </c>
      <c r="V115" s="787"/>
      <c r="W115" s="654">
        <f t="shared" si="14"/>
        <v>45792</v>
      </c>
      <c r="X115" s="805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804"/>
      <c r="J116" s="804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93"/>
      <c r="S116" s="638" t="s">
        <v>292</v>
      </c>
      <c r="T116" s="652">
        <v>45869</v>
      </c>
      <c r="U116" s="663">
        <v>6306.9193525095388</v>
      </c>
      <c r="V116" s="787"/>
      <c r="W116" s="541">
        <f t="shared" si="14"/>
        <v>46037</v>
      </c>
      <c r="X116" s="805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804"/>
      <c r="J117" s="804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93"/>
      <c r="S117" s="638" t="s">
        <v>346</v>
      </c>
      <c r="T117" s="673">
        <v>45869</v>
      </c>
      <c r="U117" s="663">
        <v>4414.8434354846222</v>
      </c>
      <c r="V117" s="787"/>
      <c r="W117" s="541">
        <f t="shared" si="14"/>
        <v>45848</v>
      </c>
      <c r="X117" s="805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804"/>
      <c r="J118" s="804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93"/>
      <c r="S118" s="638" t="s">
        <v>294</v>
      </c>
      <c r="T118" s="652">
        <v>45900</v>
      </c>
      <c r="U118" s="663">
        <v>6873.7404798262696</v>
      </c>
      <c r="V118" s="787"/>
      <c r="W118" s="541">
        <f>W97</f>
        <v>45911</v>
      </c>
      <c r="X118" s="805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804"/>
      <c r="J119" s="804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93"/>
      <c r="S119" s="638" t="s">
        <v>295</v>
      </c>
      <c r="T119" s="652">
        <v>45900</v>
      </c>
      <c r="U119" s="663">
        <v>6248.8763634283951</v>
      </c>
      <c r="V119" s="787"/>
      <c r="W119" s="584">
        <f t="shared" si="14"/>
        <v>46077</v>
      </c>
      <c r="X119" s="805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804"/>
      <c r="J120" s="804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93"/>
      <c r="S120" s="638" t="s">
        <v>297</v>
      </c>
      <c r="T120" s="652">
        <v>45900</v>
      </c>
      <c r="U120" s="663">
        <v>6248.7381531461197</v>
      </c>
      <c r="V120" s="787"/>
      <c r="W120" s="584">
        <f t="shared" si="14"/>
        <v>46087</v>
      </c>
      <c r="X120" s="805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804"/>
      <c r="J121" s="804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93"/>
      <c r="S121" s="638" t="s">
        <v>299</v>
      </c>
      <c r="T121" s="652">
        <v>45900</v>
      </c>
      <c r="U121" s="663">
        <v>3124.4274908301227</v>
      </c>
      <c r="V121" s="787"/>
      <c r="W121" s="584">
        <f t="shared" si="14"/>
        <v>46087</v>
      </c>
      <c r="X121" s="805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804"/>
      <c r="J122" s="804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94"/>
      <c r="S122" s="638" t="s">
        <v>301</v>
      </c>
      <c r="T122" s="652">
        <v>45900</v>
      </c>
      <c r="U122" s="663">
        <v>3124.4274908301227</v>
      </c>
      <c r="V122" s="787"/>
      <c r="W122" s="584">
        <f t="shared" si="14"/>
        <v>46110</v>
      </c>
      <c r="X122" s="805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804"/>
      <c r="J123" s="804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87"/>
      <c r="W123" s="584"/>
      <c r="X123" s="805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804"/>
      <c r="J124" s="804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87"/>
      <c r="W124" s="584"/>
      <c r="X124" s="805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99"/>
      <c r="J125" s="799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88"/>
      <c r="W125" s="585"/>
      <c r="X125" s="803"/>
      <c r="Y125" s="481"/>
    </row>
    <row r="126" spans="1:25" ht="14.4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63">
        <f>SUM(G127:G131)</f>
        <v>116504.5</v>
      </c>
      <c r="J127" s="763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53">
        <f>J127-SUM(U127:U131)</f>
        <v>-2.8580339858308434E-3</v>
      </c>
      <c r="W127" s="578">
        <f>'Project Plan'!K39+14</f>
        <v>46077</v>
      </c>
      <c r="X127" s="750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64"/>
      <c r="J128" s="764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54"/>
      <c r="W128" s="649">
        <v>45757</v>
      </c>
      <c r="X128" s="751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64"/>
      <c r="J129" s="764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54"/>
      <c r="W129" s="571"/>
      <c r="X129" s="751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64"/>
      <c r="J130" s="764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54"/>
      <c r="W130" s="535">
        <v>45834</v>
      </c>
      <c r="X130" s="751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65"/>
      <c r="J131" s="765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 t="s">
        <v>511</v>
      </c>
      <c r="T131" s="695">
        <v>46081</v>
      </c>
      <c r="U131" s="503">
        <f>(Q131/$X$127*$J$127)</f>
        <v>27902.948114017181</v>
      </c>
      <c r="V131" s="755"/>
      <c r="W131" s="573">
        <f>T131+30</f>
        <v>46111</v>
      </c>
      <c r="X131" s="752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98">
        <f>SUM(G133:G134)</f>
        <v>77365.816500953879</v>
      </c>
      <c r="J133" s="798">
        <v>0</v>
      </c>
      <c r="K133" s="800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802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99"/>
      <c r="J134" s="799"/>
      <c r="K134" s="801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803"/>
      <c r="Y134" s="481"/>
    </row>
    <row r="135" spans="1:25" ht="14.4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63">
        <f>SUM(G136:G140)</f>
        <v>122409.30774275362</v>
      </c>
      <c r="J136" s="763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53">
        <f>J136-SUM(U136:U141)</f>
        <v>0</v>
      </c>
      <c r="W136" s="578">
        <v>46142</v>
      </c>
      <c r="X136" s="750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64"/>
      <c r="J137" s="764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54"/>
      <c r="W137" s="571"/>
      <c r="X137" s="751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64"/>
      <c r="J138" s="764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54"/>
      <c r="W138" s="571"/>
      <c r="X138" s="751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64"/>
      <c r="J139" s="764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54"/>
      <c r="W139" s="571"/>
      <c r="X139" s="751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64"/>
      <c r="J140" s="764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54"/>
      <c r="W140" s="571"/>
      <c r="X140" s="751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65"/>
      <c r="J141" s="765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55"/>
      <c r="W141" s="573"/>
      <c r="X141" s="752"/>
      <c r="Y141" s="481"/>
    </row>
    <row r="142" spans="1:25" ht="14.4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98">
        <f>SUM(G143:G155)</f>
        <v>6475</v>
      </c>
      <c r="J143" s="798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86">
        <f>J143-SUM(U143:U155)</f>
        <v>2.6487714585528011E-3</v>
      </c>
      <c r="W143" s="650">
        <v>45777</v>
      </c>
      <c r="X143" s="802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804"/>
      <c r="J144" s="804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87"/>
      <c r="W144" s="541">
        <v>45817</v>
      </c>
      <c r="X144" s="805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804"/>
      <c r="J145" s="804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87"/>
      <c r="W145" s="541">
        <v>45842</v>
      </c>
      <c r="X145" s="805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804"/>
      <c r="J146" s="804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87"/>
      <c r="W146" s="541">
        <v>45876</v>
      </c>
      <c r="X146" s="805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804"/>
      <c r="J147" s="804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87"/>
      <c r="W147" s="681">
        <v>45900</v>
      </c>
      <c r="X147" s="805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804"/>
      <c r="J148" s="804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87"/>
      <c r="W148" s="681">
        <v>45939</v>
      </c>
      <c r="X148" s="805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804"/>
      <c r="J149" s="804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87"/>
      <c r="W149" s="681">
        <v>45967</v>
      </c>
      <c r="X149" s="805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804"/>
      <c r="J150" s="804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87"/>
      <c r="W150" s="681">
        <v>45991</v>
      </c>
      <c r="X150" s="805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804"/>
      <c r="J151" s="804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87"/>
      <c r="W151" s="681">
        <v>46030</v>
      </c>
      <c r="X151" s="805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804"/>
      <c r="J152" s="804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87"/>
      <c r="W152" s="681">
        <v>46058</v>
      </c>
      <c r="X152" s="805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804"/>
      <c r="J153" s="804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87"/>
      <c r="W153" s="584">
        <v>46086</v>
      </c>
      <c r="X153" s="805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804"/>
      <c r="J154" s="804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87"/>
      <c r="W154" s="584">
        <v>46121</v>
      </c>
      <c r="X154" s="805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99"/>
      <c r="J155" s="799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88"/>
      <c r="W155" s="585"/>
      <c r="X155" s="803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63">
        <f>SUM(G157:G169)</f>
        <v>300000</v>
      </c>
      <c r="J157" s="763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53">
        <f>J157-SUM(U157:U169)</f>
        <v>-5.3475843742489815E-5</v>
      </c>
      <c r="W157" s="538">
        <v>45849</v>
      </c>
      <c r="X157" s="750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64"/>
      <c r="J158" s="764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54"/>
      <c r="W158" s="571">
        <f>'Project Plan'!K41+7</f>
        <v>46070</v>
      </c>
      <c r="X158" s="751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64"/>
      <c r="J159" s="764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54"/>
      <c r="W159" s="571"/>
      <c r="X159" s="751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64"/>
      <c r="J160" s="764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54"/>
      <c r="W160" s="534">
        <v>45911</v>
      </c>
      <c r="X160" s="751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64"/>
      <c r="J161" s="764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54"/>
      <c r="W161" s="649">
        <v>45932</v>
      </c>
      <c r="X161" s="751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64"/>
      <c r="J162" s="764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54"/>
      <c r="W162" s="534">
        <v>45995</v>
      </c>
      <c r="X162" s="751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64"/>
      <c r="J163" s="764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54"/>
      <c r="W163" s="571"/>
      <c r="X163" s="751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64"/>
      <c r="J164" s="764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54"/>
      <c r="W164" s="571"/>
      <c r="X164" s="751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64"/>
      <c r="J165" s="764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54"/>
      <c r="W165" s="571"/>
      <c r="X165" s="751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64"/>
      <c r="J166" s="764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54"/>
      <c r="W166" s="571"/>
      <c r="X166" s="751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64"/>
      <c r="J167" s="764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54"/>
      <c r="W167" s="571"/>
      <c r="X167" s="751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64"/>
      <c r="J168" s="764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54"/>
      <c r="W168" s="571"/>
      <c r="X168" s="751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65"/>
      <c r="J169" s="765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55"/>
      <c r="W169" s="573"/>
      <c r="X169" s="752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09375" defaultRowHeight="14.4"/>
  <cols>
    <col min="1" max="1" width="9.109375" customWidth="1"/>
    <col min="2" max="2" width="34.5546875" customWidth="1"/>
    <col min="3" max="3" width="18.5546875" bestFit="1" customWidth="1"/>
    <col min="4" max="4" width="21.109375" customWidth="1"/>
    <col min="5" max="5" width="4.109375" customWidth="1"/>
    <col min="6" max="6" width="16.109375" bestFit="1" customWidth="1"/>
    <col min="7" max="7" width="20.21875" customWidth="1"/>
    <col min="8" max="316" width="15.21875" bestFit="1" customWidth="1"/>
    <col min="317" max="317" width="9.10937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-647584.39357722783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21875" defaultRowHeight="14.4"/>
  <cols>
    <col min="1" max="1" width="21.77734375" bestFit="1" customWidth="1"/>
    <col min="2" max="2" width="16.88671875" style="406" bestFit="1" customWidth="1"/>
    <col min="3" max="3" width="12" style="406" bestFit="1" customWidth="1"/>
    <col min="4" max="4" width="13.21875" style="406" bestFit="1" customWidth="1"/>
    <col min="5" max="5" width="14.77734375" style="406" bestFit="1" customWidth="1"/>
    <col min="6" max="8" width="13.21875" style="406" bestFit="1" customWidth="1"/>
    <col min="9" max="9" width="11.88671875" style="406" bestFit="1" customWidth="1"/>
    <col min="10" max="10" width="13.21875" bestFit="1" customWidth="1"/>
    <col min="11" max="11" width="11.88671875" bestFit="1" customWidth="1"/>
    <col min="12" max="12" width="4.88671875" bestFit="1" customWidth="1"/>
    <col min="13" max="14" width="13.21875" bestFit="1" customWidth="1"/>
    <col min="15" max="15" width="12" bestFit="1" customWidth="1"/>
    <col min="16" max="16" width="14.77734375" bestFit="1" customWidth="1"/>
    <col min="17" max="18" width="11.5546875" bestFit="1" customWidth="1"/>
    <col min="19" max="19" width="13.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546875" defaultRowHeight="14.4"/>
  <cols>
    <col min="1" max="1" width="39.44140625" style="364" bestFit="1" customWidth="1"/>
    <col min="2" max="2" width="16.88671875" style="365" bestFit="1" customWidth="1"/>
    <col min="3" max="3" width="12" style="364" bestFit="1" customWidth="1"/>
    <col min="4" max="4" width="13.21875" style="364" bestFit="1" customWidth="1"/>
    <col min="5" max="5" width="14.77734375" style="364" bestFit="1" customWidth="1"/>
    <col min="6" max="7" width="13.21875" style="364" bestFit="1" customWidth="1"/>
    <col min="8" max="8" width="12" style="364" bestFit="1" customWidth="1"/>
    <col min="9" max="11" width="11.88671875" style="364" bestFit="1" customWidth="1"/>
    <col min="12" max="12" width="4.88671875" style="364" bestFit="1" customWidth="1"/>
    <col min="13" max="13" width="10.5546875" style="364" bestFit="1" customWidth="1"/>
    <col min="14" max="14" width="13.21875" style="364" bestFit="1" customWidth="1"/>
    <col min="15" max="15" width="12" style="364" bestFit="1" customWidth="1"/>
    <col min="16" max="16" width="14.77734375" style="364" bestFit="1" customWidth="1"/>
    <col min="17" max="18" width="11.109375" style="364" bestFit="1" customWidth="1"/>
    <col min="19" max="19" width="13.5546875" style="364" bestFit="1" customWidth="1"/>
    <col min="20" max="16384" width="12.554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"/>
  <cols>
    <col min="1" max="1" width="6.21875" customWidth="1"/>
    <col min="2" max="2" width="21.109375" customWidth="1"/>
    <col min="3" max="3" width="28.77734375" customWidth="1"/>
    <col min="4" max="4" width="15.21875" customWidth="1"/>
    <col min="5" max="5" width="16.5546875" customWidth="1"/>
    <col min="6" max="6" width="6.109375" customWidth="1"/>
  </cols>
  <sheetData>
    <row r="1" spans="2:15" ht="15" thickBot="1"/>
    <row r="2" spans="2:15" ht="18">
      <c r="B2" s="814" t="s">
        <v>428</v>
      </c>
      <c r="C2" s="814"/>
      <c r="D2" s="814"/>
      <c r="E2" s="814"/>
      <c r="H2" s="815" t="s">
        <v>429</v>
      </c>
      <c r="I2" s="816"/>
      <c r="J2" s="816"/>
      <c r="K2" s="816"/>
      <c r="L2" s="816"/>
      <c r="M2" s="816"/>
      <c r="N2" s="816"/>
      <c r="O2" s="817"/>
    </row>
    <row r="3" spans="2:15">
      <c r="B3" s="686"/>
      <c r="H3" s="818"/>
      <c r="I3" s="819"/>
      <c r="J3" s="819"/>
      <c r="K3" s="819"/>
      <c r="L3" s="819"/>
      <c r="M3" s="819"/>
      <c r="N3" s="819"/>
      <c r="O3" s="820"/>
    </row>
    <row r="4" spans="2:15">
      <c r="B4" s="687" t="s">
        <v>430</v>
      </c>
      <c r="C4" s="688" t="str">
        <f>'Project Plan'!E2</f>
        <v>Randfontein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7" t="s">
        <v>431</v>
      </c>
      <c r="C5" s="688" t="s">
        <v>432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7" t="s">
        <v>433</v>
      </c>
      <c r="C6" s="688" t="s">
        <v>434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7" t="s">
        <v>435</v>
      </c>
      <c r="C7" s="688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436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437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13" t="s">
        <v>448</v>
      </c>
      <c r="C18" s="813"/>
      <c r="D18" s="813"/>
      <c r="E18" s="813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1875" defaultRowHeight="14.4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09375" defaultRowHeight="13.2"/>
  <cols>
    <col min="1" max="1" width="9.109375" style="86"/>
    <col min="2" max="2" width="22.21875" style="86" customWidth="1"/>
    <col min="3" max="3" width="4.109375" style="86" customWidth="1"/>
    <col min="4" max="4" width="14.109375" style="86" bestFit="1" customWidth="1"/>
    <col min="5" max="5" width="2.88671875" style="86" customWidth="1"/>
    <col min="6" max="6" width="15.21875" style="86" customWidth="1"/>
    <col min="7" max="7" width="2.109375" style="86" customWidth="1"/>
    <col min="8" max="8" width="16.109375" style="86" bestFit="1" customWidth="1"/>
    <col min="9" max="9" width="6.21875" style="86" customWidth="1"/>
    <col min="10" max="10" width="13.5546875" style="86" bestFit="1" customWidth="1"/>
    <col min="11" max="11" width="2.109375" style="86" customWidth="1"/>
    <col min="12" max="12" width="14.109375" style="86" bestFit="1" customWidth="1"/>
    <col min="13" max="13" width="2.88671875" style="86" customWidth="1"/>
    <col min="14" max="14" width="45.21875" style="86" customWidth="1"/>
    <col min="15" max="16384" width="9.109375" style="86"/>
  </cols>
  <sheetData>
    <row r="2" spans="2:14" s="92" customFormat="1" ht="17.39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09375" defaultRowHeight="13.2"/>
  <cols>
    <col min="1" max="1" width="9.109375" style="86"/>
    <col min="2" max="2" width="22.21875" style="86" customWidth="1"/>
    <col min="3" max="3" width="4.109375" style="86" customWidth="1"/>
    <col min="4" max="4" width="14.109375" style="86" bestFit="1" customWidth="1"/>
    <col min="5" max="5" width="7" style="86" customWidth="1"/>
    <col min="6" max="6" width="2.88671875" style="86" customWidth="1"/>
    <col min="7" max="7" width="18.5546875" style="86" customWidth="1"/>
    <col min="8" max="8" width="9.109375" style="86" bestFit="1" customWidth="1"/>
    <col min="9" max="9" width="2" style="86" customWidth="1"/>
    <col min="10" max="10" width="14.109375" style="86" bestFit="1" customWidth="1"/>
    <col min="11" max="11" width="2.109375" style="86" customWidth="1"/>
    <col min="12" max="12" width="20.21875" style="86" customWidth="1"/>
    <col min="13" max="13" width="9.109375" style="86" bestFit="1" customWidth="1"/>
    <col min="14" max="14" width="0.77734375" style="86" customWidth="1"/>
    <col min="15" max="15" width="14.109375" style="86" bestFit="1" customWidth="1"/>
    <col min="16" max="16384" width="9.109375" style="86"/>
  </cols>
  <sheetData>
    <row r="2" spans="2:15" s="92" customFormat="1" ht="17.39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8" thickBot="1">
      <c r="B32" s="100" t="s">
        <v>491</v>
      </c>
      <c r="C32" s="101"/>
      <c r="D32" s="101"/>
    </row>
    <row r="33" spans="2:4" ht="13.8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8" thickBot="1">
      <c r="B39" s="102"/>
      <c r="C39" s="101"/>
      <c r="D39" s="101"/>
    </row>
    <row r="40" spans="2:4" ht="13.8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09375" defaultRowHeight="14.4"/>
  <cols>
    <col min="1" max="1" width="0.77734375" customWidth="1"/>
    <col min="2" max="2" width="8.21875" bestFit="1" customWidth="1"/>
    <col min="3" max="3" width="45.21875" customWidth="1"/>
    <col min="4" max="4" width="34.109375" customWidth="1"/>
    <col min="5" max="5" width="15.21875" customWidth="1"/>
    <col min="6" max="6" width="12" bestFit="1" customWidth="1"/>
    <col min="7" max="7" width="9.109375" bestFit="1" customWidth="1"/>
    <col min="8" max="8" width="12.5546875" bestFit="1" customWidth="1"/>
    <col min="9" max="9" width="9.88671875" customWidth="1"/>
    <col min="10" max="10" width="19.554687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