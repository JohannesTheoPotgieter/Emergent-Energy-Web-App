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49" documentId="13_ncr:1_{8391B786-D648-4179-AE07-250A12CAFAEE}" xr6:coauthVersionLast="47" xr6:coauthVersionMax="47" xr10:uidLastSave="{B58D0CC7-0BB2-4126-986E-DBE0E65EF0F7}"/>
  <bookViews>
    <workbookView xWindow="-28920" yWindow="855" windowWidth="29040" windowHeight="15720" tabRatio="789" firstSheet="3" activeTab="6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3" i="18" l="1"/>
  <c r="Q15" i="18"/>
  <c r="W98" i="18"/>
  <c r="U152" i="18"/>
  <c r="W82" i="18"/>
  <c r="H6" i="5"/>
  <c r="K45" i="2"/>
  <c r="N45" i="2"/>
  <c r="W97" i="18"/>
  <c r="W31" i="18"/>
  <c r="X155" i="18"/>
  <c r="H23" i="3" s="1"/>
  <c r="W30" i="18"/>
  <c r="G9" i="20" a="1"/>
  <c r="G9" i="20"/>
  <c r="F9" i="20" a="1"/>
  <c r="F9" i="20"/>
  <c r="C4" i="20"/>
  <c r="T120" i="18"/>
  <c r="T119" i="18"/>
  <c r="T118" i="18"/>
  <c r="T117" i="18"/>
  <c r="I23" i="2"/>
  <c r="I25" i="2" s="1"/>
  <c r="H104" i="18"/>
  <c r="H91" i="18"/>
  <c r="H53" i="18"/>
  <c r="W129" i="18"/>
  <c r="N13" i="2"/>
  <c r="N14" i="2"/>
  <c r="N15" i="2"/>
  <c r="N16" i="2"/>
  <c r="N12" i="2"/>
  <c r="Q6" i="18"/>
  <c r="Q7" i="18"/>
  <c r="S13" i="18"/>
  <c r="S28" i="18"/>
  <c r="S29" i="18"/>
  <c r="T33" i="18"/>
  <c r="W114" i="18"/>
  <c r="T115" i="18"/>
  <c r="T116" i="18"/>
  <c r="T114" i="18"/>
  <c r="W60" i="18"/>
  <c r="T60" i="18"/>
  <c r="T105" i="18"/>
  <c r="Q29" i="18"/>
  <c r="Q28" i="18"/>
  <c r="P6" i="18"/>
  <c r="E18" i="2"/>
  <c r="T48" i="18"/>
  <c r="I24" i="2"/>
  <c r="K24" i="2" s="1"/>
  <c r="I18" i="2"/>
  <c r="K19" i="2"/>
  <c r="K18" i="2" s="1"/>
  <c r="E24" i="2"/>
  <c r="G24" i="2" s="1"/>
  <c r="E25" i="2" s="1"/>
  <c r="E26" i="2" s="1"/>
  <c r="G26" i="2" s="1"/>
  <c r="N19" i="2"/>
  <c r="N18" i="2" s="1"/>
  <c r="I11" i="2"/>
  <c r="J18" i="2"/>
  <c r="M18" i="2" s="1"/>
  <c r="K11" i="2"/>
  <c r="J11" i="2" s="1"/>
  <c r="K30" i="2"/>
  <c r="N30" i="2" s="1"/>
  <c r="K22" i="2"/>
  <c r="N22" i="2" s="1"/>
  <c r="K32" i="2"/>
  <c r="N32" i="2" s="1"/>
  <c r="P15" i="5"/>
  <c r="K26" i="2"/>
  <c r="N26" i="2"/>
  <c r="K31" i="2"/>
  <c r="P14" i="5"/>
  <c r="AZ9" i="6" s="1"/>
  <c r="K36" i="2"/>
  <c r="N36" i="2" s="1"/>
  <c r="W118" i="18"/>
  <c r="W64" i="18"/>
  <c r="E28" i="18"/>
  <c r="T55" i="18"/>
  <c r="T56" i="18"/>
  <c r="T57" i="18"/>
  <c r="T58" i="18"/>
  <c r="I131" i="18"/>
  <c r="E15" i="2"/>
  <c r="G15" i="2" s="1"/>
  <c r="E14" i="2"/>
  <c r="G14" i="2" s="1"/>
  <c r="E13" i="2"/>
  <c r="G13" i="2" s="1"/>
  <c r="J80" i="18"/>
  <c r="V80" i="18" s="1"/>
  <c r="I80" i="18"/>
  <c r="F16" i="3" s="1"/>
  <c r="J155" i="18"/>
  <c r="G155" i="18"/>
  <c r="G112" i="18"/>
  <c r="Z18" i="18"/>
  <c r="G111" i="18"/>
  <c r="G110" i="18"/>
  <c r="G104" i="18"/>
  <c r="G92" i="18"/>
  <c r="G91" i="18"/>
  <c r="G53" i="18"/>
  <c r="G44" i="18"/>
  <c r="G29" i="18"/>
  <c r="G21" i="18"/>
  <c r="G13" i="18"/>
  <c r="G6" i="18"/>
  <c r="E30" i="2"/>
  <c r="G30" i="2" s="1"/>
  <c r="E31" i="2" s="1"/>
  <c r="G31" i="2" s="1"/>
  <c r="E36" i="2" s="1"/>
  <c r="Q134" i="18"/>
  <c r="X134" i="18" s="1"/>
  <c r="E16" i="2"/>
  <c r="G16" i="2" s="1"/>
  <c r="J104" i="18"/>
  <c r="Z17" i="18"/>
  <c r="Z16" i="18"/>
  <c r="Z15" i="18"/>
  <c r="Z14" i="18"/>
  <c r="Z13" i="18"/>
  <c r="Z12" i="18"/>
  <c r="Z34" i="18"/>
  <c r="Y34" i="18"/>
  <c r="Y33" i="18"/>
  <c r="Y32" i="18"/>
  <c r="Y31" i="18"/>
  <c r="Y30" i="18"/>
  <c r="Y29" i="18"/>
  <c r="Y28" i="18"/>
  <c r="Y27" i="18"/>
  <c r="Q93" i="18"/>
  <c r="Q66" i="18"/>
  <c r="Q33" i="18"/>
  <c r="Q62" i="18"/>
  <c r="Q63" i="18"/>
  <c r="Q65" i="18"/>
  <c r="Q64" i="18"/>
  <c r="Q92" i="18"/>
  <c r="Q98" i="18"/>
  <c r="Q97" i="18"/>
  <c r="Q94" i="18"/>
  <c r="Q96" i="18"/>
  <c r="Q60" i="18"/>
  <c r="Q59" i="18"/>
  <c r="Q119" i="18"/>
  <c r="Q61" i="18"/>
  <c r="Q99" i="18"/>
  <c r="Q95" i="18"/>
  <c r="Q118" i="18"/>
  <c r="Q116" i="18"/>
  <c r="Q115" i="18"/>
  <c r="Q114" i="18"/>
  <c r="Z38" i="18"/>
  <c r="Z39" i="18" s="1"/>
  <c r="Q36" i="18"/>
  <c r="Q35" i="18"/>
  <c r="Q32" i="18"/>
  <c r="Q39" i="18"/>
  <c r="Q38" i="18"/>
  <c r="Q34" i="18"/>
  <c r="Q117" i="18"/>
  <c r="Q113" i="18"/>
  <c r="Q37" i="18"/>
  <c r="Q120" i="18"/>
  <c r="T157" i="18"/>
  <c r="T142" i="18"/>
  <c r="T67" i="18"/>
  <c r="T68" i="18"/>
  <c r="T166" i="18"/>
  <c r="T154" i="18"/>
  <c r="T153" i="18"/>
  <c r="T140" i="18"/>
  <c r="T139" i="18"/>
  <c r="T133" i="18"/>
  <c r="T132" i="18"/>
  <c r="T131" i="18"/>
  <c r="T130" i="18"/>
  <c r="T124" i="18"/>
  <c r="T123" i="18"/>
  <c r="T122" i="18"/>
  <c r="T121" i="18"/>
  <c r="T112" i="18"/>
  <c r="T103" i="18"/>
  <c r="T102" i="18"/>
  <c r="T101" i="18"/>
  <c r="T100" i="18"/>
  <c r="T91" i="18"/>
  <c r="T90" i="18"/>
  <c r="T85" i="18"/>
  <c r="T84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T40" i="18"/>
  <c r="T27" i="18"/>
  <c r="T26" i="18"/>
  <c r="T25" i="18"/>
  <c r="T24" i="18"/>
  <c r="T23" i="18"/>
  <c r="T20" i="18"/>
  <c r="T19" i="18"/>
  <c r="T18" i="18"/>
  <c r="T17" i="18"/>
  <c r="T16" i="18"/>
  <c r="T12" i="18"/>
  <c r="T11" i="18"/>
  <c r="T8" i="18"/>
  <c r="T161" i="18"/>
  <c r="T159" i="18"/>
  <c r="T165" i="18"/>
  <c r="J141" i="18"/>
  <c r="J134" i="18"/>
  <c r="J125" i="18"/>
  <c r="J91" i="18"/>
  <c r="J53" i="18"/>
  <c r="J44" i="18"/>
  <c r="J28" i="18"/>
  <c r="J21" i="18"/>
  <c r="J13" i="18"/>
  <c r="J6" i="18"/>
  <c r="V71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1" i="6"/>
  <c r="G5" i="6"/>
  <c r="F5" i="6"/>
  <c r="I155" i="18"/>
  <c r="F23" i="3"/>
  <c r="X141" i="18"/>
  <c r="U153" i="18" s="1"/>
  <c r="I141" i="18"/>
  <c r="F22" i="3"/>
  <c r="X131" i="18"/>
  <c r="X125" i="18"/>
  <c r="I125" i="18"/>
  <c r="X104" i="18"/>
  <c r="U104" i="18" s="1"/>
  <c r="I91" i="18"/>
  <c r="F17" i="3"/>
  <c r="X80" i="18"/>
  <c r="H16" i="3" s="1"/>
  <c r="J16" i="3" s="1"/>
  <c r="X71" i="18"/>
  <c r="I71" i="18"/>
  <c r="F15" i="3"/>
  <c r="I53" i="18"/>
  <c r="F14" i="3"/>
  <c r="I28" i="18"/>
  <c r="F12" i="3" s="1"/>
  <c r="X21" i="18"/>
  <c r="X13" i="18"/>
  <c r="I13" i="18"/>
  <c r="F10" i="3"/>
  <c r="I6" i="18"/>
  <c r="I1" i="6"/>
  <c r="U146" i="18"/>
  <c r="F19" i="3"/>
  <c r="H19" i="3"/>
  <c r="J19" i="3" s="1"/>
  <c r="U129" i="18"/>
  <c r="V125" i="18" s="1"/>
  <c r="H20" i="3"/>
  <c r="J20" i="3"/>
  <c r="H18" i="3"/>
  <c r="H11" i="3"/>
  <c r="F9" i="3"/>
  <c r="H22" i="3"/>
  <c r="H15" i="3"/>
  <c r="J15" i="3" s="1"/>
  <c r="H10" i="3"/>
  <c r="J10" i="3"/>
  <c r="I134" i="18"/>
  <c r="F21" i="3"/>
  <c r="I44" i="18"/>
  <c r="F13" i="3"/>
  <c r="X44" i="18"/>
  <c r="J1" i="6"/>
  <c r="H5" i="6"/>
  <c r="U51" i="18"/>
  <c r="V13" i="18"/>
  <c r="V6" i="18"/>
  <c r="J5" i="6"/>
  <c r="K1" i="6"/>
  <c r="I5" i="6"/>
  <c r="L1" i="6"/>
  <c r="K5" i="6"/>
  <c r="M1" i="6"/>
  <c r="L5" i="6"/>
  <c r="M43" i="2"/>
  <c r="M39" i="2"/>
  <c r="N1" i="6"/>
  <c r="M5" i="6"/>
  <c r="O1" i="6"/>
  <c r="N5" i="6"/>
  <c r="P1" i="6"/>
  <c r="Q1" i="6"/>
  <c r="P5" i="6"/>
  <c r="O5" i="6"/>
  <c r="W32" i="18"/>
  <c r="T32" i="18"/>
  <c r="W59" i="18"/>
  <c r="W113" i="18"/>
  <c r="W33" i="18"/>
  <c r="R1" i="6"/>
  <c r="T28" i="18"/>
  <c r="R5" i="6"/>
  <c r="S1" i="6"/>
  <c r="Q5" i="6"/>
  <c r="W61" i="18"/>
  <c r="W115" i="18"/>
  <c r="T29" i="18"/>
  <c r="W34" i="18"/>
  <c r="S5" i="6"/>
  <c r="T1" i="6"/>
  <c r="T5" i="6"/>
  <c r="U1" i="6"/>
  <c r="V1" i="6"/>
  <c r="G12" i="2"/>
  <c r="M47" i="2"/>
  <c r="M35" i="2"/>
  <c r="M21" i="2"/>
  <c r="M11" i="2"/>
  <c r="W1" i="6"/>
  <c r="U5" i="6"/>
  <c r="W116" i="18"/>
  <c r="X1" i="6"/>
  <c r="V5" i="6"/>
  <c r="Y1" i="6"/>
  <c r="W5" i="6"/>
  <c r="G19" i="2"/>
  <c r="G18" i="2" s="1"/>
  <c r="Z1" i="6"/>
  <c r="X5" i="6"/>
  <c r="E22" i="2"/>
  <c r="H15" i="5" s="1"/>
  <c r="AA1" i="6"/>
  <c r="Y5" i="6"/>
  <c r="AB1" i="6"/>
  <c r="Z5" i="6"/>
  <c r="W117" i="18"/>
  <c r="AC1" i="6"/>
  <c r="AA5" i="6"/>
  <c r="AD1" i="6"/>
  <c r="AB5" i="6"/>
  <c r="W37" i="18"/>
  <c r="D8" i="7"/>
  <c r="D13" i="7"/>
  <c r="AE1" i="6"/>
  <c r="AC5" i="6"/>
  <c r="O1" i="2"/>
  <c r="N1" i="2"/>
  <c r="AF1" i="6"/>
  <c r="AD5" i="6"/>
  <c r="F17" i="6"/>
  <c r="F18" i="6" s="1"/>
  <c r="X17" i="6"/>
  <c r="AB17" i="6"/>
  <c r="D12" i="7"/>
  <c r="AG1" i="6"/>
  <c r="AE5" i="6"/>
  <c r="G25" i="3"/>
  <c r="AH1" i="6"/>
  <c r="AF5" i="6"/>
  <c r="AI1" i="6"/>
  <c r="AJ1" i="6"/>
  <c r="AH5" i="6"/>
  <c r="D9" i="7"/>
  <c r="D10" i="7"/>
  <c r="AK1" i="6"/>
  <c r="AI5" i="6"/>
  <c r="AL1" i="6"/>
  <c r="AM1" i="6"/>
  <c r="AL17" i="6"/>
  <c r="AK5" i="6"/>
  <c r="D11" i="7"/>
  <c r="AN1" i="6"/>
  <c r="AL5" i="6"/>
  <c r="AO1" i="6"/>
  <c r="AM5" i="6"/>
  <c r="AP1" i="6"/>
  <c r="AN5" i="6"/>
  <c r="AQ1" i="6"/>
  <c r="AO17" i="6"/>
  <c r="AO5" i="6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AR1" i="6"/>
  <c r="AP5" i="6"/>
  <c r="D29" i="9"/>
  <c r="D9" i="9"/>
  <c r="J21" i="7"/>
  <c r="J22" i="7"/>
  <c r="B31" i="9"/>
  <c r="B30" i="9"/>
  <c r="H7" i="7"/>
  <c r="H8" i="7"/>
  <c r="H9" i="7"/>
  <c r="M9" i="7"/>
  <c r="M7" i="7"/>
  <c r="M8" i="7"/>
  <c r="AS1" i="6"/>
  <c r="AQ5" i="6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AT1" i="6"/>
  <c r="AR17" i="6"/>
  <c r="AR5" i="6"/>
  <c r="O7" i="7"/>
  <c r="E7" i="7"/>
  <c r="J7" i="7"/>
  <c r="O21" i="7"/>
  <c r="E23" i="7"/>
  <c r="J23" i="7"/>
  <c r="L23" i="9"/>
  <c r="O9" i="7"/>
  <c r="J9" i="7"/>
  <c r="E9" i="7"/>
  <c r="AU1" i="6"/>
  <c r="AS5" i="6"/>
  <c r="D15" i="10" a="1"/>
  <c r="D15" i="10" s="1"/>
  <c r="B1" i="10" s="1"/>
  <c r="L29" i="9"/>
  <c r="L15" i="7"/>
  <c r="D36" i="7"/>
  <c r="G15" i="7"/>
  <c r="D35" i="7"/>
  <c r="AV1" i="6"/>
  <c r="AT5" i="6"/>
  <c r="AW1" i="6"/>
  <c r="AU5" i="6"/>
  <c r="L17" i="9"/>
  <c r="H17" i="9"/>
  <c r="AX1" i="6"/>
  <c r="AV5" i="6"/>
  <c r="D4" i="5"/>
  <c r="F19" i="5" s="1"/>
  <c r="AY1" i="6"/>
  <c r="AW5" i="6"/>
  <c r="AX17" i="6"/>
  <c r="AY5" i="6"/>
  <c r="AZ1" i="6"/>
  <c r="AX5" i="6"/>
  <c r="BA1" i="6"/>
  <c r="BA5" i="6"/>
  <c r="BB1" i="6"/>
  <c r="AZ5" i="6"/>
  <c r="H9" i="9"/>
  <c r="L9" i="9"/>
  <c r="L43" i="9"/>
  <c r="BC1" i="6"/>
  <c r="E46" i="5"/>
  <c r="E47" i="5"/>
  <c r="BD1" i="6"/>
  <c r="BB5" i="6"/>
  <c r="E21" i="5"/>
  <c r="L24" i="1"/>
  <c r="M8" i="1"/>
  <c r="M2" i="1"/>
  <c r="M3" i="1"/>
  <c r="L2" i="1"/>
  <c r="L14" i="1"/>
  <c r="BE1" i="6"/>
  <c r="BC5" i="6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BF1" i="6"/>
  <c r="BD5" i="6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BG1" i="6"/>
  <c r="BE5" i="6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BG5" i="6"/>
  <c r="BH1" i="6"/>
  <c r="BF17" i="6"/>
  <c r="BF5" i="6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BH5" i="6"/>
  <c r="BI1" i="6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BI5" i="6"/>
  <c r="BJ1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BK1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BL1" i="6"/>
  <c r="BJ5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BL5" i="6"/>
  <c r="BM1" i="6"/>
  <c r="BK5" i="6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BM5" i="6"/>
  <c r="BN1" i="6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BO1" i="6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BP1" i="6"/>
  <c r="BN5" i="6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BQ1" i="6"/>
  <c r="BO5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BQ5" i="6"/>
  <c r="BR1" i="6"/>
  <c r="BP5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BR5" i="6"/>
  <c r="BS1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BS5" i="6"/>
  <c r="BS17" i="6"/>
  <c r="BT1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BT5" i="6"/>
  <c r="BU1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BU5" i="6"/>
  <c r="BV1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BV5" i="6"/>
  <c r="BW1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BW5" i="6"/>
  <c r="BX1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BX5" i="6"/>
  <c r="BY1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BY5" i="6"/>
  <c r="BZ1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BZ5" i="6"/>
  <c r="CA1" i="6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CA5" i="6"/>
  <c r="CB1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CB5" i="6"/>
  <c r="CC1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CD1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CD5" i="6"/>
  <c r="CE1" i="6"/>
  <c r="CC5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CE5" i="6"/>
  <c r="CF1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CG1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CH1" i="6"/>
  <c r="CF5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CH5" i="6"/>
  <c r="CI1" i="6"/>
  <c r="CG5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CI5" i="6"/>
  <c r="CJ1" i="6"/>
  <c r="CH17" i="6"/>
  <c r="F29" i="9"/>
  <c r="H36" i="9"/>
  <c r="CK1" i="6"/>
  <c r="H29" i="9"/>
  <c r="CL1" i="6"/>
  <c r="CJ5" i="6"/>
  <c r="H23" i="9"/>
  <c r="H43" i="9"/>
  <c r="CM1" i="6"/>
  <c r="CK5" i="6"/>
  <c r="CN1" i="6"/>
  <c r="CL5" i="6"/>
  <c r="CO1" i="6"/>
  <c r="CM5" i="6"/>
  <c r="CP1" i="6"/>
  <c r="CN5" i="6"/>
  <c r="CQ1" i="6"/>
  <c r="CO17" i="6"/>
  <c r="CO5" i="6"/>
  <c r="CR1" i="6"/>
  <c r="CP5" i="6"/>
  <c r="CS1" i="6"/>
  <c r="CQ5" i="6"/>
  <c r="CT1" i="6"/>
  <c r="CR5" i="6"/>
  <c r="CU1" i="6"/>
  <c r="CS5" i="6"/>
  <c r="CV1" i="6"/>
  <c r="CT5" i="6"/>
  <c r="CW1" i="6"/>
  <c r="CU5" i="6"/>
  <c r="CX1" i="6"/>
  <c r="CV5" i="6"/>
  <c r="CY1" i="6"/>
  <c r="CW17" i="6"/>
  <c r="CW5" i="6"/>
  <c r="CZ1" i="6"/>
  <c r="CX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DA1" i="6"/>
  <c r="CY5" i="6"/>
  <c r="DA5" i="6"/>
  <c r="DB1" i="6"/>
  <c r="CZ5" i="6"/>
  <c r="DB5" i="6"/>
  <c r="DC1" i="6"/>
  <c r="DD1" i="6"/>
  <c r="DD17" i="6"/>
  <c r="DE1" i="6"/>
  <c r="DC5" i="6"/>
  <c r="DF1" i="6"/>
  <c r="DD5" i="6"/>
  <c r="DG1" i="6"/>
  <c r="DF5" i="6"/>
  <c r="DE5" i="6"/>
  <c r="DH1" i="6"/>
  <c r="DG5" i="6"/>
  <c r="DH5" i="6"/>
  <c r="DI1" i="6"/>
  <c r="DJ1" i="6"/>
  <c r="DK1" i="6"/>
  <c r="DI5" i="6"/>
  <c r="DL1" i="6"/>
  <c r="DJ5" i="6"/>
  <c r="DM1" i="6"/>
  <c r="DK5" i="6"/>
  <c r="DN1" i="6"/>
  <c r="DL5" i="6"/>
  <c r="DO1" i="6"/>
  <c r="DM5" i="6"/>
  <c r="DP1" i="6"/>
  <c r="DN5" i="6"/>
  <c r="DQ1" i="6"/>
  <c r="DO5" i="6"/>
  <c r="DR1" i="6"/>
  <c r="DP5" i="6"/>
  <c r="DS1" i="6"/>
  <c r="DQ5" i="6"/>
  <c r="DT1" i="6"/>
  <c r="DR5" i="6"/>
  <c r="DU1" i="6"/>
  <c r="DS5" i="6"/>
  <c r="DV1" i="6"/>
  <c r="DT5" i="6"/>
  <c r="DW1" i="6"/>
  <c r="DU5" i="6"/>
  <c r="DX1" i="6"/>
  <c r="DV5" i="6"/>
  <c r="DY1" i="6"/>
  <c r="DW5" i="6"/>
  <c r="DZ1" i="6"/>
  <c r="DX5" i="6"/>
  <c r="EA1" i="6"/>
  <c r="DY5" i="6"/>
  <c r="EB1" i="6"/>
  <c r="DZ5" i="6"/>
  <c r="EC1" i="6"/>
  <c r="EA5" i="6"/>
  <c r="ED1" i="6"/>
  <c r="EB5" i="6"/>
  <c r="EE1" i="6"/>
  <c r="EC5" i="6"/>
  <c r="EF1" i="6"/>
  <c r="ED5" i="6"/>
  <c r="EG1" i="6"/>
  <c r="EE5" i="6"/>
  <c r="EH1" i="6"/>
  <c r="EF5" i="6"/>
  <c r="EI1" i="6"/>
  <c r="EG5" i="6"/>
  <c r="EJ1" i="6"/>
  <c r="EH5" i="6"/>
  <c r="EK1" i="6"/>
  <c r="EI5" i="6"/>
  <c r="EL1" i="6"/>
  <c r="EJ5" i="6"/>
  <c r="EM1" i="6"/>
  <c r="EK5" i="6"/>
  <c r="EN1" i="6"/>
  <c r="EL5" i="6"/>
  <c r="EO1" i="6"/>
  <c r="EM5" i="6"/>
  <c r="EP1" i="6"/>
  <c r="EN5" i="6"/>
  <c r="EQ1" i="6"/>
  <c r="EO5" i="6"/>
  <c r="ER1" i="6"/>
  <c r="EP5" i="6"/>
  <c r="ES1" i="6"/>
  <c r="EQ5" i="6"/>
  <c r="ET1" i="6"/>
  <c r="ER5" i="6"/>
  <c r="EU1" i="6"/>
  <c r="ES5" i="6"/>
  <c r="EV1" i="6"/>
  <c r="ET5" i="6"/>
  <c r="EW1" i="6"/>
  <c r="EU5" i="6"/>
  <c r="EX1" i="6"/>
  <c r="EV5" i="6"/>
  <c r="EY1" i="6"/>
  <c r="EW5" i="6"/>
  <c r="EZ1" i="6"/>
  <c r="EX5" i="6"/>
  <c r="FA1" i="6"/>
  <c r="EY5" i="6"/>
  <c r="FB1" i="6"/>
  <c r="EZ5" i="6"/>
  <c r="FC1" i="6"/>
  <c r="FA5" i="6"/>
  <c r="FD1" i="6"/>
  <c r="FB5" i="6"/>
  <c r="FE1" i="6"/>
  <c r="FC5" i="6"/>
  <c r="FF1" i="6"/>
  <c r="FD5" i="6"/>
  <c r="FG1" i="6"/>
  <c r="FE5" i="6"/>
  <c r="FH1" i="6"/>
  <c r="FF5" i="6"/>
  <c r="FI1" i="6"/>
  <c r="FG5" i="6"/>
  <c r="FJ1" i="6"/>
  <c r="FH5" i="6"/>
  <c r="FK1" i="6"/>
  <c r="FI5" i="6"/>
  <c r="FL1" i="6"/>
  <c r="FJ5" i="6"/>
  <c r="FM1" i="6"/>
  <c r="FK5" i="6"/>
  <c r="FN1" i="6"/>
  <c r="FL5" i="6"/>
  <c r="FO1" i="6"/>
  <c r="FM5" i="6"/>
  <c r="FP1" i="6"/>
  <c r="FN5" i="6"/>
  <c r="FQ1" i="6"/>
  <c r="FO5" i="6"/>
  <c r="FQ5" i="6"/>
  <c r="FR1" i="6"/>
  <c r="FP17" i="6"/>
  <c r="FP5" i="6"/>
  <c r="FS1" i="6"/>
  <c r="FT1" i="6"/>
  <c r="FR5" i="6"/>
  <c r="FU1" i="6"/>
  <c r="FS5" i="6"/>
  <c r="FV1" i="6"/>
  <c r="FT5" i="6"/>
  <c r="FV5" i="6"/>
  <c r="FW1" i="6"/>
  <c r="FU5" i="6"/>
  <c r="FX1" i="6"/>
  <c r="FV17" i="6"/>
  <c r="FY1" i="6"/>
  <c r="FW5" i="6"/>
  <c r="FZ1" i="6"/>
  <c r="FX5" i="6"/>
  <c r="GA1" i="6"/>
  <c r="FY5" i="6"/>
  <c r="GB1" i="6"/>
  <c r="FZ5" i="6"/>
  <c r="GB5" i="6"/>
  <c r="GC1" i="6"/>
  <c r="GA5" i="6"/>
  <c r="GC5" i="6"/>
  <c r="GD1" i="6"/>
  <c r="GE1" i="6"/>
  <c r="GE5" i="6"/>
  <c r="GF1" i="6"/>
  <c r="GD5" i="6"/>
  <c r="GG1" i="6"/>
  <c r="GE17" i="6"/>
  <c r="GH1" i="6"/>
  <c r="GF5" i="6"/>
  <c r="GI1" i="6"/>
  <c r="GG5" i="6"/>
  <c r="GJ1" i="6"/>
  <c r="GH5" i="6"/>
  <c r="GK1" i="6"/>
  <c r="GI5" i="6"/>
  <c r="GL1" i="6"/>
  <c r="GJ5" i="6"/>
  <c r="GM1" i="6"/>
  <c r="GK5" i="6"/>
  <c r="GM5" i="6"/>
  <c r="GN1" i="6"/>
  <c r="GL5" i="6"/>
  <c r="GO1" i="6"/>
  <c r="GP1" i="6"/>
  <c r="GN5" i="6"/>
  <c r="GQ1" i="6"/>
  <c r="GO5" i="6"/>
  <c r="GR1" i="6"/>
  <c r="GP5" i="6"/>
  <c r="GS1" i="6"/>
  <c r="GQ5" i="6"/>
  <c r="GT1" i="6"/>
  <c r="GR5" i="6"/>
  <c r="GU1" i="6"/>
  <c r="GS5" i="6"/>
  <c r="GV1" i="6"/>
  <c r="GT5" i="6"/>
  <c r="GV5" i="6"/>
  <c r="GW1" i="6"/>
  <c r="GU5" i="6"/>
  <c r="GX1" i="6"/>
  <c r="GY1" i="6"/>
  <c r="GW5" i="6"/>
  <c r="GZ1" i="6"/>
  <c r="GX5" i="6"/>
  <c r="HA1" i="6"/>
  <c r="GY5" i="6"/>
  <c r="HB1" i="6"/>
  <c r="GZ5" i="6"/>
  <c r="HC1" i="6"/>
  <c r="HA5" i="6"/>
  <c r="HD1" i="6"/>
  <c r="HB5" i="6"/>
  <c r="HE1" i="6"/>
  <c r="HC5" i="6"/>
  <c r="HF1" i="6"/>
  <c r="HD5" i="6"/>
  <c r="HG1" i="6"/>
  <c r="HE5" i="6"/>
  <c r="HH1" i="6"/>
  <c r="HF5" i="6"/>
  <c r="HI1" i="6"/>
  <c r="HG5" i="6"/>
  <c r="HJ1" i="6"/>
  <c r="HH5" i="6"/>
  <c r="HK1" i="6"/>
  <c r="HI17" i="6"/>
  <c r="HI5" i="6"/>
  <c r="HL1" i="6"/>
  <c r="HJ5" i="6"/>
  <c r="HM1" i="6"/>
  <c r="HK5" i="6"/>
  <c r="HM5" i="6"/>
  <c r="HN1" i="6"/>
  <c r="HL5" i="6"/>
  <c r="HN5" i="6"/>
  <c r="HO1" i="6"/>
  <c r="HP1" i="6"/>
  <c r="HQ1" i="6"/>
  <c r="HO5" i="6"/>
  <c r="HR1" i="6"/>
  <c r="HP5" i="6"/>
  <c r="HR5" i="6"/>
  <c r="HS1" i="6"/>
  <c r="HQ5" i="6"/>
  <c r="HS5" i="6"/>
  <c r="HT1" i="6"/>
  <c r="HT5" i="6"/>
  <c r="HU1" i="6"/>
  <c r="HU5" i="6"/>
  <c r="HV1" i="6"/>
  <c r="HW1" i="6"/>
  <c r="HW5" i="6"/>
  <c r="HX1" i="6"/>
  <c r="HV5" i="6"/>
  <c r="HY1" i="6"/>
  <c r="HZ1" i="6"/>
  <c r="HX17" i="6"/>
  <c r="HX5" i="6"/>
  <c r="IA1" i="6"/>
  <c r="HY5" i="6"/>
  <c r="IB1" i="6"/>
  <c r="HZ5" i="6"/>
  <c r="IC1" i="6"/>
  <c r="IB5" i="6"/>
  <c r="IA5" i="6"/>
  <c r="ID1" i="6"/>
  <c r="IE1" i="6"/>
  <c r="IC5" i="6"/>
  <c r="IF1" i="6"/>
  <c r="ID17" i="6"/>
  <c r="ID5" i="6"/>
  <c r="IG1" i="6"/>
  <c r="IE5" i="6"/>
  <c r="IH1" i="6"/>
  <c r="IF5" i="6"/>
  <c r="IH5" i="6"/>
  <c r="II1" i="6"/>
  <c r="IG17" i="6"/>
  <c r="IG5" i="6"/>
  <c r="IJ1" i="6"/>
  <c r="IK1" i="6"/>
  <c r="II5" i="6"/>
  <c r="IL1" i="6"/>
  <c r="IK5" i="6"/>
  <c r="IJ17" i="6"/>
  <c r="IJ5" i="6"/>
  <c r="IM1" i="6"/>
  <c r="IL5" i="6"/>
  <c r="IN1" i="6"/>
  <c r="IO1" i="6"/>
  <c r="IM17" i="6"/>
  <c r="IM5" i="6"/>
  <c r="IP1" i="6"/>
  <c r="IN5" i="6"/>
  <c r="IP5" i="6"/>
  <c r="IQ1" i="6"/>
  <c r="IO5" i="6"/>
  <c r="IQ5" i="6"/>
  <c r="IR1" i="6"/>
  <c r="IS1" i="6"/>
  <c r="IT1" i="6"/>
  <c r="IR5" i="6"/>
  <c r="IU1" i="6"/>
  <c r="IS17" i="6"/>
  <c r="IS5" i="6"/>
  <c r="IV1" i="6"/>
  <c r="IT5" i="6"/>
  <c r="IV5" i="6"/>
  <c r="IW1" i="6"/>
  <c r="IU5" i="6"/>
  <c r="IW17" i="6"/>
  <c r="IX1" i="6"/>
  <c r="IY1" i="6"/>
  <c r="IW5" i="6"/>
  <c r="IZ1" i="6"/>
  <c r="IX5" i="6"/>
  <c r="JA1" i="6"/>
  <c r="IY17" i="6"/>
  <c r="IY5" i="6"/>
  <c r="JB1" i="6"/>
  <c r="IZ5" i="6"/>
  <c r="JB5" i="6"/>
  <c r="JC1" i="6"/>
  <c r="JA5" i="6"/>
  <c r="JD1" i="6"/>
  <c r="JB17" i="6"/>
  <c r="JE1" i="6"/>
  <c r="JC5" i="6"/>
  <c r="JF1" i="6"/>
  <c r="JD5" i="6"/>
  <c r="JG1" i="6"/>
  <c r="JE17" i="6"/>
  <c r="JE5" i="6"/>
  <c r="JH1" i="6"/>
  <c r="JF5" i="6"/>
  <c r="JI1" i="6"/>
  <c r="JG5" i="6"/>
  <c r="JJ1" i="6"/>
  <c r="JH17" i="6"/>
  <c r="JH5" i="6"/>
  <c r="JK1" i="6"/>
  <c r="JI5" i="6"/>
  <c r="JL1" i="6"/>
  <c r="JJ5" i="6"/>
  <c r="JM1" i="6"/>
  <c r="JK17" i="6"/>
  <c r="JK5" i="6"/>
  <c r="JN1" i="6"/>
  <c r="JL5" i="6"/>
  <c r="JO1" i="6"/>
  <c r="JM5" i="6"/>
  <c r="JP1" i="6"/>
  <c r="JN5" i="6"/>
  <c r="JQ1" i="6"/>
  <c r="JO5" i="6"/>
  <c r="JR1" i="6"/>
  <c r="JP5" i="6"/>
  <c r="JS1" i="6"/>
  <c r="JQ17" i="6"/>
  <c r="JQ5" i="6"/>
  <c r="JT1" i="6"/>
  <c r="JR5" i="6"/>
  <c r="JU1" i="6"/>
  <c r="JS5" i="6"/>
  <c r="JV1" i="6"/>
  <c r="JT17" i="6"/>
  <c r="JT5" i="6"/>
  <c r="JW1" i="6"/>
  <c r="JU5" i="6"/>
  <c r="JX1" i="6"/>
  <c r="JV5" i="6"/>
  <c r="JY1" i="6"/>
  <c r="JW17" i="6"/>
  <c r="JW5" i="6"/>
  <c r="JZ1" i="6"/>
  <c r="JX5" i="6"/>
  <c r="KA1" i="6"/>
  <c r="JY5" i="6"/>
  <c r="KB1" i="6"/>
  <c r="JZ17" i="6"/>
  <c r="JZ5" i="6"/>
  <c r="KC1" i="6"/>
  <c r="KA5" i="6"/>
  <c r="KD1" i="6"/>
  <c r="KB5" i="6"/>
  <c r="KE1" i="6"/>
  <c r="KC17" i="6"/>
  <c r="KC5" i="6"/>
  <c r="KF1" i="6"/>
  <c r="KD5" i="6"/>
  <c r="KG1" i="6"/>
  <c r="KE5" i="6"/>
  <c r="KH1" i="6"/>
  <c r="KF17" i="6"/>
  <c r="KF5" i="6"/>
  <c r="KI1" i="6"/>
  <c r="KG5" i="6"/>
  <c r="KJ1" i="6"/>
  <c r="KH5" i="6"/>
  <c r="KK1" i="6"/>
  <c r="KI17" i="6"/>
  <c r="KI5" i="6"/>
  <c r="KL1" i="6"/>
  <c r="KJ5" i="6"/>
  <c r="KM1" i="6"/>
  <c r="KK5" i="6"/>
  <c r="KN1" i="6"/>
  <c r="KL17" i="6"/>
  <c r="KL5" i="6"/>
  <c r="KO1" i="6"/>
  <c r="KM5" i="6"/>
  <c r="KP1" i="6"/>
  <c r="KN5" i="6"/>
  <c r="KQ1" i="6"/>
  <c r="KO17" i="6"/>
  <c r="KO5" i="6"/>
  <c r="KR1" i="6"/>
  <c r="KP5" i="6"/>
  <c r="KS1" i="6"/>
  <c r="KQ5" i="6"/>
  <c r="KT1" i="6"/>
  <c r="KR17" i="6"/>
  <c r="KR5" i="6"/>
  <c r="KU1" i="6"/>
  <c r="KS5" i="6"/>
  <c r="KV1" i="6"/>
  <c r="KT5" i="6"/>
  <c r="KW1" i="6"/>
  <c r="KU17" i="6"/>
  <c r="KU5" i="6"/>
  <c r="KX1" i="6"/>
  <c r="KV5" i="6"/>
  <c r="KY1" i="6"/>
  <c r="KW5" i="6"/>
  <c r="KY5" i="6"/>
  <c r="KZ1" i="6"/>
  <c r="KX5" i="6"/>
  <c r="LA1" i="6"/>
  <c r="KZ5" i="6"/>
  <c r="LB1" i="6"/>
  <c r="LC1" i="6"/>
  <c r="LA17" i="6"/>
  <c r="LA5" i="6"/>
  <c r="LD1" i="6"/>
  <c r="LB5" i="6"/>
  <c r="LD5" i="6"/>
  <c r="LC5" i="6"/>
  <c r="EU9" i="6" l="1"/>
  <c r="E32" i="2"/>
  <c r="G32" i="2" s="1"/>
  <c r="F18" i="2"/>
  <c r="FF9" i="6"/>
  <c r="JO9" i="6"/>
  <c r="EE9" i="6"/>
  <c r="U134" i="18"/>
  <c r="P4" i="5"/>
  <c r="Z22" i="18"/>
  <c r="Z23" i="18" s="1"/>
  <c r="Z24" i="18" s="1"/>
  <c r="U136" i="18"/>
  <c r="AJ5" i="6"/>
  <c r="I104" i="18"/>
  <c r="F18" i="3" s="1"/>
  <c r="J18" i="3" s="1"/>
  <c r="X28" i="18"/>
  <c r="Q4" i="5"/>
  <c r="J22" i="3"/>
  <c r="U42" i="18"/>
  <c r="U41" i="18"/>
  <c r="U40" i="18"/>
  <c r="H12" i="3"/>
  <c r="J12" i="3" s="1"/>
  <c r="X6" i="18"/>
  <c r="H9" i="3" s="1"/>
  <c r="J9" i="3" s="1"/>
  <c r="X91" i="18"/>
  <c r="U50" i="18"/>
  <c r="U49" i="18"/>
  <c r="H13" i="3"/>
  <c r="J13" i="3" s="1"/>
  <c r="U157" i="18"/>
  <c r="U161" i="18"/>
  <c r="U165" i="18"/>
  <c r="U163" i="18"/>
  <c r="U159" i="18"/>
  <c r="V21" i="18"/>
  <c r="J2" i="18"/>
  <c r="AD17" i="6"/>
  <c r="L17" i="6"/>
  <c r="AI17" i="6"/>
  <c r="AP17" i="6"/>
  <c r="AS17" i="6"/>
  <c r="AU17" i="6"/>
  <c r="BM17" i="6"/>
  <c r="BX17" i="6"/>
  <c r="CD17" i="6"/>
  <c r="CK17" i="6"/>
  <c r="CT17" i="6"/>
  <c r="DI17" i="6"/>
  <c r="DM17" i="6"/>
  <c r="DO17" i="6"/>
  <c r="DR17" i="6"/>
  <c r="DU17" i="6"/>
  <c r="EA17" i="6"/>
  <c r="GC17" i="6"/>
  <c r="GH17" i="6"/>
  <c r="HL17" i="6"/>
  <c r="IA17" i="6"/>
  <c r="IV17" i="6"/>
  <c r="JN17" i="6"/>
  <c r="KX17" i="6"/>
  <c r="KS17" i="6"/>
  <c r="FG17" i="6"/>
  <c r="GT17" i="6"/>
  <c r="HO17" i="6"/>
  <c r="M17" i="6"/>
  <c r="H17" i="6"/>
  <c r="AY17" i="6"/>
  <c r="BE17" i="6"/>
  <c r="BN17" i="6"/>
  <c r="BR17" i="6"/>
  <c r="BZ17" i="6"/>
  <c r="CF17" i="6"/>
  <c r="CZ17" i="6"/>
  <c r="DC17" i="6"/>
  <c r="DL17" i="6"/>
  <c r="ED17" i="6"/>
  <c r="EG17" i="6"/>
  <c r="EJ17" i="6"/>
  <c r="EM17" i="6"/>
  <c r="EP17" i="6"/>
  <c r="ES17" i="6"/>
  <c r="EV17" i="6"/>
  <c r="EY17" i="6"/>
  <c r="FB17" i="6"/>
  <c r="FU17" i="6"/>
  <c r="HS17" i="6"/>
  <c r="GM17" i="6"/>
  <c r="HA17" i="6"/>
  <c r="HG17" i="6"/>
  <c r="HP17" i="6"/>
  <c r="HW17" i="6"/>
  <c r="IE17" i="6"/>
  <c r="IN17" i="6"/>
  <c r="JC17" i="6"/>
  <c r="JI17" i="6"/>
  <c r="IR17" i="6"/>
  <c r="JU17" i="6"/>
  <c r="KA17" i="6"/>
  <c r="KG17" i="6"/>
  <c r="KP17" i="6"/>
  <c r="GK17" i="6"/>
  <c r="O17" i="6"/>
  <c r="Y17" i="6"/>
  <c r="CE17" i="6"/>
  <c r="CP17" i="6"/>
  <c r="CU17" i="6"/>
  <c r="CX17" i="6"/>
  <c r="FE17" i="6"/>
  <c r="FH17" i="6"/>
  <c r="FK17" i="6"/>
  <c r="FW17" i="6"/>
  <c r="GF17" i="6"/>
  <c r="GJ17" i="6"/>
  <c r="GO17" i="6"/>
  <c r="GR17" i="6"/>
  <c r="GV17" i="6"/>
  <c r="GX17" i="6"/>
  <c r="HD17" i="6"/>
  <c r="HJ17" i="6"/>
  <c r="HY17" i="6"/>
  <c r="IK17" i="6"/>
  <c r="IZ17" i="6"/>
  <c r="JF17" i="6"/>
  <c r="JL17" i="6"/>
  <c r="JR17" i="6"/>
  <c r="JX17" i="6"/>
  <c r="KD17" i="6"/>
  <c r="KM17" i="6"/>
  <c r="LB17" i="6"/>
  <c r="BW17" i="6"/>
  <c r="DE17" i="6"/>
  <c r="FM17" i="6"/>
  <c r="GW17" i="6"/>
  <c r="AE17" i="6"/>
  <c r="J17" i="6"/>
  <c r="AM17" i="6"/>
  <c r="AQ17" i="6"/>
  <c r="BD17" i="6"/>
  <c r="BY17" i="6"/>
  <c r="CJ17" i="6"/>
  <c r="CM17" i="6"/>
  <c r="DK17" i="6"/>
  <c r="FN17" i="6"/>
  <c r="FQ17" i="6"/>
  <c r="FT17" i="6"/>
  <c r="IH17" i="6"/>
  <c r="KJ17" i="6"/>
  <c r="KV17" i="6"/>
  <c r="FZ17" i="6"/>
  <c r="HF17" i="6"/>
  <c r="Q17" i="6"/>
  <c r="T17" i="6"/>
  <c r="BH17" i="6"/>
  <c r="BO17" i="6"/>
  <c r="BT17" i="6"/>
  <c r="CI17" i="6"/>
  <c r="DG17" i="6"/>
  <c r="DP17" i="6"/>
  <c r="DS17" i="6"/>
  <c r="DV17" i="6"/>
  <c r="DY17" i="6"/>
  <c r="EB17" i="6"/>
  <c r="GL17" i="6"/>
  <c r="GU17" i="6"/>
  <c r="HN17" i="6"/>
  <c r="HV17" i="6"/>
  <c r="IC17" i="6"/>
  <c r="IQ17" i="6"/>
  <c r="KH17" i="6"/>
  <c r="KT17" i="6"/>
  <c r="HC17" i="6"/>
  <c r="AC17" i="6"/>
  <c r="S17" i="6"/>
  <c r="AF17" i="6"/>
  <c r="AJ17" i="6"/>
  <c r="AV17" i="6"/>
  <c r="BI17" i="6"/>
  <c r="CQ17" i="6"/>
  <c r="DJ17" i="6"/>
  <c r="EE17" i="6"/>
  <c r="EH17" i="6"/>
  <c r="EK17" i="6"/>
  <c r="EN17" i="6"/>
  <c r="EQ17" i="6"/>
  <c r="ET17" i="6"/>
  <c r="EW17" i="6"/>
  <c r="EZ17" i="6"/>
  <c r="FC17" i="6"/>
  <c r="FS17" i="6"/>
  <c r="FY17" i="6"/>
  <c r="KY17" i="6"/>
  <c r="JP17" i="6"/>
  <c r="JS17" i="6"/>
  <c r="JY17" i="6"/>
  <c r="KE17" i="6"/>
  <c r="KN17" i="6"/>
  <c r="LD17" i="6"/>
  <c r="G17" i="6"/>
  <c r="G18" i="6" s="1"/>
  <c r="AA17" i="6"/>
  <c r="W17" i="6"/>
  <c r="AG17" i="6"/>
  <c r="AN17" i="6"/>
  <c r="BB17" i="6"/>
  <c r="BQ17" i="6"/>
  <c r="BU17" i="6"/>
  <c r="CA17" i="6"/>
  <c r="CG17" i="6"/>
  <c r="DA17" i="6"/>
  <c r="FF17" i="6"/>
  <c r="FI17" i="6"/>
  <c r="FL17" i="6"/>
  <c r="FO17" i="6"/>
  <c r="GB17" i="6"/>
  <c r="GP17" i="6"/>
  <c r="GS17" i="6"/>
  <c r="GY17" i="6"/>
  <c r="HB17" i="6"/>
  <c r="HE17" i="6"/>
  <c r="HH17" i="6"/>
  <c r="HK17" i="6"/>
  <c r="HR17" i="6"/>
  <c r="HZ17" i="6"/>
  <c r="IF17" i="6"/>
  <c r="II17" i="6"/>
  <c r="IP17" i="6"/>
  <c r="IX17" i="6"/>
  <c r="JD17" i="6"/>
  <c r="JG17" i="6"/>
  <c r="JJ17" i="6"/>
  <c r="JM17" i="6"/>
  <c r="KW17" i="6"/>
  <c r="IT17" i="6"/>
  <c r="CL17" i="6"/>
  <c r="P17" i="6"/>
  <c r="U17" i="6"/>
  <c r="BA17" i="6"/>
  <c r="BJ17" i="6"/>
  <c r="CB17" i="6"/>
  <c r="CY17" i="6"/>
  <c r="DF17" i="6"/>
  <c r="FR17" i="6"/>
  <c r="FX17" i="6"/>
  <c r="GD17" i="6"/>
  <c r="GG17" i="6"/>
  <c r="GN17" i="6"/>
  <c r="HU17" i="6"/>
  <c r="IL17" i="6"/>
  <c r="JA17" i="6"/>
  <c r="JV17" i="6"/>
  <c r="KB17" i="6"/>
  <c r="KK17" i="6"/>
  <c r="KQ17" i="6"/>
  <c r="U4" i="5"/>
  <c r="R17" i="6"/>
  <c r="Z17" i="6"/>
  <c r="AK17" i="6"/>
  <c r="BP17" i="6"/>
  <c r="BV17" i="6"/>
  <c r="CN17" i="6"/>
  <c r="CS17" i="6"/>
  <c r="CV17" i="6"/>
  <c r="DN17" i="6"/>
  <c r="DQ17" i="6"/>
  <c r="DT17" i="6"/>
  <c r="DX17" i="6"/>
  <c r="DZ17" i="6"/>
  <c r="EC17" i="6"/>
  <c r="HQ17" i="6"/>
  <c r="IO17" i="6"/>
  <c r="IU17" i="6"/>
  <c r="KZ17" i="6"/>
  <c r="LC17" i="6"/>
  <c r="GI17" i="6"/>
  <c r="HT17" i="6"/>
  <c r="JO17" i="6"/>
  <c r="V17" i="6"/>
  <c r="GQ17" i="6"/>
  <c r="HM17" i="6"/>
  <c r="N17" i="6"/>
  <c r="I17" i="6"/>
  <c r="AH17" i="6"/>
  <c r="AT17" i="6"/>
  <c r="AW17" i="6"/>
  <c r="AZ17" i="6"/>
  <c r="BL17" i="6"/>
  <c r="CC17" i="6"/>
  <c r="CR17" i="6"/>
  <c r="DB17" i="6"/>
  <c r="DH17" i="6"/>
  <c r="DW17" i="6"/>
  <c r="EF17" i="6"/>
  <c r="EI17" i="6"/>
  <c r="EL17" i="6"/>
  <c r="EO17" i="6"/>
  <c r="ER17" i="6"/>
  <c r="EU17" i="6"/>
  <c r="EX17" i="6"/>
  <c r="FA17" i="6"/>
  <c r="FD17" i="6"/>
  <c r="GA17" i="6"/>
  <c r="IB17" i="6"/>
  <c r="K17" i="6"/>
  <c r="FJ17" i="6"/>
  <c r="GZ17" i="6"/>
  <c r="I21" i="18"/>
  <c r="AG5" i="6"/>
  <c r="D5" i="6" s="1"/>
  <c r="X53" i="18"/>
  <c r="J23" i="3"/>
  <c r="U166" i="18"/>
  <c r="V141" i="18"/>
  <c r="W65" i="18"/>
  <c r="W99" i="18"/>
  <c r="W38" i="18"/>
  <c r="W119" i="18"/>
  <c r="Z9" i="6"/>
  <c r="FM9" i="6"/>
  <c r="AI9" i="6"/>
  <c r="JK9" i="6"/>
  <c r="IU9" i="6"/>
  <c r="JV9" i="6"/>
  <c r="JR9" i="6"/>
  <c r="HD9" i="6"/>
  <c r="GF9" i="6"/>
  <c r="BJ9" i="6"/>
  <c r="IQ9" i="6"/>
  <c r="HK9" i="6"/>
  <c r="HG9" i="6"/>
  <c r="CN9" i="6"/>
  <c r="DW9" i="6"/>
  <c r="S9" i="6"/>
  <c r="N9" i="6"/>
  <c r="KC9" i="6"/>
  <c r="JY9" i="6"/>
  <c r="KV9" i="6"/>
  <c r="LB9" i="6"/>
  <c r="AR9" i="6"/>
  <c r="M9" i="6"/>
  <c r="HJ9" i="6"/>
  <c r="CJ9" i="6"/>
  <c r="CX9" i="6"/>
  <c r="LC9" i="6"/>
  <c r="KY9" i="6"/>
  <c r="EY9" i="6"/>
  <c r="I9" i="6"/>
  <c r="FB9" i="6"/>
  <c r="CO9" i="6"/>
  <c r="CS9" i="6"/>
  <c r="DQ9" i="6"/>
  <c r="DA9" i="6"/>
  <c r="AD9" i="6"/>
  <c r="FE9" i="6"/>
  <c r="I21" i="2"/>
  <c r="K25" i="2"/>
  <c r="N25" i="2" s="1"/>
  <c r="GM9" i="6"/>
  <c r="CW9" i="6"/>
  <c r="JB9" i="6"/>
  <c r="IE9" i="6"/>
  <c r="KP9" i="6"/>
  <c r="BN9" i="6"/>
  <c r="BL9" i="6"/>
  <c r="AS9" i="6"/>
  <c r="EA9" i="6"/>
  <c r="AJ9" i="6"/>
  <c r="IT9" i="6"/>
  <c r="HT9" i="6"/>
  <c r="HP9" i="6"/>
  <c r="EL9" i="6"/>
  <c r="IX9" i="6"/>
  <c r="HQ9" i="6"/>
  <c r="EH9" i="6"/>
  <c r="CA9" i="6"/>
  <c r="BV9" i="6"/>
  <c r="G11" i="2"/>
  <c r="KI9" i="6"/>
  <c r="KO9" i="6"/>
  <c r="HV9" i="6"/>
  <c r="GT9" i="6"/>
  <c r="JH9" i="6"/>
  <c r="JE9" i="6"/>
  <c r="IA9" i="6"/>
  <c r="HW9" i="6"/>
  <c r="GP9" i="6"/>
  <c r="FN9" i="6"/>
  <c r="IH9" i="6"/>
  <c r="FZ9" i="6"/>
  <c r="DR9" i="6"/>
  <c r="K23" i="2"/>
  <c r="KS9" i="6"/>
  <c r="CC9" i="6"/>
  <c r="BA9" i="6"/>
  <c r="KF9" i="6"/>
  <c r="KL9" i="6"/>
  <c r="DG9" i="6"/>
  <c r="GX9" i="6"/>
  <c r="JS9" i="6"/>
  <c r="ER9" i="6"/>
  <c r="DI9" i="6"/>
  <c r="CH9" i="6"/>
  <c r="R9" i="6"/>
  <c r="HC9" i="6"/>
  <c r="GZ9" i="6"/>
  <c r="EO9" i="6"/>
  <c r="ED9" i="6"/>
  <c r="DD9" i="6"/>
  <c r="CK9" i="6"/>
  <c r="BS9" i="6"/>
  <c r="AQ9" i="6"/>
  <c r="AO9" i="6"/>
  <c r="IC9" i="6"/>
  <c r="Q9" i="6"/>
  <c r="JW9" i="6"/>
  <c r="HE9" i="6"/>
  <c r="GS9" i="6"/>
  <c r="GL9" i="6"/>
  <c r="FT9" i="6"/>
  <c r="EQ9" i="6"/>
  <c r="CU9" i="6"/>
  <c r="AK9" i="6"/>
  <c r="J9" i="6"/>
  <c r="KU9" i="6"/>
  <c r="KA9" i="6"/>
  <c r="JX9" i="6"/>
  <c r="JG9" i="6"/>
  <c r="HF9" i="6"/>
  <c r="GE9" i="6"/>
  <c r="FU9" i="6"/>
  <c r="FJ9" i="6"/>
  <c r="ES9" i="6"/>
  <c r="EG9" i="6"/>
  <c r="CQ9" i="6"/>
  <c r="CD9" i="6"/>
  <c r="BK9" i="6"/>
  <c r="AV9" i="6"/>
  <c r="P9" i="6"/>
  <c r="S4" i="5"/>
  <c r="IL9" i="6"/>
  <c r="GB9" i="6"/>
  <c r="JU9" i="6"/>
  <c r="GI9" i="6"/>
  <c r="CM9" i="6"/>
  <c r="AX9" i="6"/>
  <c r="L9" i="6"/>
  <c r="KH9" i="6"/>
  <c r="JI9" i="6"/>
  <c r="IZ9" i="6"/>
  <c r="HI9" i="6"/>
  <c r="II9" i="6"/>
  <c r="FW9" i="6"/>
  <c r="EW9" i="6"/>
  <c r="LD9" i="6"/>
  <c r="KQ9" i="6"/>
  <c r="KN9" i="6"/>
  <c r="JM9" i="6"/>
  <c r="HY9" i="6"/>
  <c r="HA9" i="6"/>
  <c r="GJ9" i="6"/>
  <c r="GA9" i="6"/>
  <c r="FX9" i="6"/>
  <c r="EZ9" i="6"/>
  <c r="DH9" i="6"/>
  <c r="CY9" i="6"/>
  <c r="CL9" i="6"/>
  <c r="CI9" i="6"/>
  <c r="CF9" i="6"/>
  <c r="BW9" i="6"/>
  <c r="AH9" i="6"/>
  <c r="F13" i="5"/>
  <c r="T9" i="6" s="1"/>
  <c r="V9" i="6"/>
  <c r="HS9" i="6"/>
  <c r="DT9" i="6"/>
  <c r="IW9" i="6"/>
  <c r="GV9" i="6"/>
  <c r="DF9" i="6"/>
  <c r="KK9" i="6"/>
  <c r="HL9" i="6"/>
  <c r="GY9" i="6"/>
  <c r="GN9" i="6"/>
  <c r="BI9" i="6"/>
  <c r="AF9" i="6"/>
  <c r="F15" i="5"/>
  <c r="K9" i="6"/>
  <c r="KZ9" i="6"/>
  <c r="JP9" i="6"/>
  <c r="IV9" i="6"/>
  <c r="HU9" i="6"/>
  <c r="HB9" i="6"/>
  <c r="GK9" i="6"/>
  <c r="GC9" i="6"/>
  <c r="FS9" i="6"/>
  <c r="EP9" i="6"/>
  <c r="EB9" i="6"/>
  <c r="DV9" i="6"/>
  <c r="CP9" i="6"/>
  <c r="BR9" i="6"/>
  <c r="BP9" i="6"/>
  <c r="BM9" i="6"/>
  <c r="AA9" i="6"/>
  <c r="F16" i="5"/>
  <c r="AU9" i="6"/>
  <c r="AB9" i="6"/>
  <c r="KE9" i="6"/>
  <c r="FO9" i="6"/>
  <c r="DB9" i="6"/>
  <c r="CG9" i="6"/>
  <c r="IJ9" i="6"/>
  <c r="HZ9" i="6"/>
  <c r="ET9" i="6"/>
  <c r="EI9" i="6"/>
  <c r="EF9" i="6"/>
  <c r="DZ9" i="6"/>
  <c r="DL9" i="6"/>
  <c r="BG9" i="6"/>
  <c r="U9" i="6"/>
  <c r="AE9" i="6"/>
  <c r="LA9" i="6"/>
  <c r="JC9" i="6"/>
  <c r="FG9" i="6"/>
  <c r="EM9" i="6"/>
  <c r="KT9" i="6"/>
  <c r="JZ9" i="6"/>
  <c r="JF9" i="6"/>
  <c r="IK9" i="6"/>
  <c r="HN9" i="6"/>
  <c r="GU9" i="6"/>
  <c r="FC9" i="6"/>
  <c r="DY9" i="6"/>
  <c r="DN9" i="6"/>
  <c r="AN9" i="6"/>
  <c r="Y9" i="6"/>
  <c r="IG9" i="6"/>
  <c r="GH9" i="6"/>
  <c r="FH9" i="6"/>
  <c r="EX9" i="6"/>
  <c r="EJ9" i="6"/>
  <c r="DJ9" i="6"/>
  <c r="IM9" i="6"/>
  <c r="FR9" i="6"/>
  <c r="DC9" i="6"/>
  <c r="KX9" i="6"/>
  <c r="KM9" i="6"/>
  <c r="KD9" i="6"/>
  <c r="JJ9" i="6"/>
  <c r="HO9" i="6"/>
  <c r="DS9" i="6"/>
  <c r="CB9" i="6"/>
  <c r="IY9" i="6"/>
  <c r="IR9" i="6"/>
  <c r="IO9" i="6"/>
  <c r="ID9" i="6"/>
  <c r="HX9" i="6"/>
  <c r="FL9" i="6"/>
  <c r="DK9" i="6"/>
  <c r="BY9" i="6"/>
  <c r="BT9" i="6"/>
  <c r="X9" i="6"/>
  <c r="G9" i="6"/>
  <c r="E11" i="2"/>
  <c r="U138" i="18"/>
  <c r="U135" i="18"/>
  <c r="U137" i="18"/>
  <c r="U139" i="18"/>
  <c r="M9" i="2"/>
  <c r="J4" i="18"/>
  <c r="F14" i="5"/>
  <c r="AC9" i="6" s="1"/>
  <c r="F17" i="5"/>
  <c r="F18" i="5"/>
  <c r="BE9" i="6" s="1"/>
  <c r="C3" i="6"/>
  <c r="H21" i="3"/>
  <c r="J21" i="3" s="1"/>
  <c r="N31" i="2"/>
  <c r="I37" i="2"/>
  <c r="G36" i="2"/>
  <c r="H14" i="5"/>
  <c r="G22" i="2"/>
  <c r="CR9" i="6"/>
  <c r="BU9" i="6"/>
  <c r="BF9" i="6"/>
  <c r="AL9" i="6"/>
  <c r="AW9" i="6"/>
  <c r="AP9" i="6"/>
  <c r="H9" i="6"/>
  <c r="N24" i="2"/>
  <c r="BK17" i="6"/>
  <c r="G25" i="2"/>
  <c r="KR9" i="6"/>
  <c r="KJ9" i="6"/>
  <c r="KB9" i="6"/>
  <c r="JT9" i="6"/>
  <c r="JN9" i="6"/>
  <c r="JL9" i="6"/>
  <c r="JD9" i="6"/>
  <c r="IN9" i="6"/>
  <c r="IF9" i="6"/>
  <c r="HM9" i="6"/>
  <c r="HH9" i="6"/>
  <c r="GW9" i="6"/>
  <c r="GQ9" i="6"/>
  <c r="GD9" i="6"/>
  <c r="FD9" i="6"/>
  <c r="EV9" i="6"/>
  <c r="EN9" i="6"/>
  <c r="DX9" i="6"/>
  <c r="DO9" i="6"/>
  <c r="CT9" i="6"/>
  <c r="CE9" i="6"/>
  <c r="AG9" i="6"/>
  <c r="O9" i="6"/>
  <c r="IS9" i="6"/>
  <c r="GR9" i="6"/>
  <c r="GO9" i="6"/>
  <c r="FY9" i="6"/>
  <c r="FP9" i="6"/>
  <c r="FK9" i="6"/>
  <c r="DP9" i="6"/>
  <c r="DM9" i="6"/>
  <c r="DE9" i="6"/>
  <c r="CZ9" i="6"/>
  <c r="CV9" i="6"/>
  <c r="BX9" i="6"/>
  <c r="BH9" i="6"/>
  <c r="BB9" i="6"/>
  <c r="AY9" i="6"/>
  <c r="AM9" i="6"/>
  <c r="AT9" i="6"/>
  <c r="KW9" i="6"/>
  <c r="KG9" i="6"/>
  <c r="JQ9" i="6"/>
  <c r="JA9" i="6"/>
  <c r="IP9" i="6"/>
  <c r="IB9" i="6"/>
  <c r="HR9" i="6"/>
  <c r="GG9" i="6"/>
  <c r="FV9" i="6"/>
  <c r="FQ9" i="6"/>
  <c r="FI9" i="6"/>
  <c r="FA9" i="6"/>
  <c r="EK9" i="6"/>
  <c r="EC9" i="6"/>
  <c r="DU9" i="6"/>
  <c r="F9" i="6"/>
  <c r="BZ9" i="6"/>
  <c r="BQ9" i="6"/>
  <c r="BO9" i="6"/>
  <c r="BD9" i="6"/>
  <c r="W9" i="6"/>
  <c r="BC17" i="6"/>
  <c r="U112" i="18"/>
  <c r="U123" i="18"/>
  <c r="X2" i="18"/>
  <c r="U121" i="18"/>
  <c r="U105" i="18"/>
  <c r="U122" i="18"/>
  <c r="V28" i="18"/>
  <c r="N11" i="2"/>
  <c r="F11" i="2" l="1"/>
  <c r="V155" i="18"/>
  <c r="V44" i="18"/>
  <c r="U102" i="18"/>
  <c r="U91" i="18"/>
  <c r="H17" i="3"/>
  <c r="J17" i="3" s="1"/>
  <c r="U100" i="18"/>
  <c r="U101" i="18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U56" i="18"/>
  <c r="U55" i="18"/>
  <c r="H14" i="3"/>
  <c r="U57" i="18"/>
  <c r="U69" i="18"/>
  <c r="U58" i="18"/>
  <c r="U68" i="18"/>
  <c r="U53" i="18"/>
  <c r="U67" i="18"/>
  <c r="F11" i="3"/>
  <c r="I2" i="18"/>
  <c r="V104" i="18"/>
  <c r="AG6" i="6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W39" i="18"/>
  <c r="W120" i="18"/>
  <c r="W66" i="18"/>
  <c r="BC9" i="6"/>
  <c r="D9" i="6" s="1"/>
  <c r="R4" i="5"/>
  <c r="K21" i="2"/>
  <c r="J21" i="2" s="1"/>
  <c r="N23" i="2"/>
  <c r="N21" i="2" s="1"/>
  <c r="F21" i="5"/>
  <c r="F4" i="5"/>
  <c r="C9" i="6" s="1"/>
  <c r="F47" i="5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K37" i="2"/>
  <c r="N37" i="2"/>
  <c r="N35" i="2" s="1"/>
  <c r="I35" i="2"/>
  <c r="E23" i="2"/>
  <c r="E37" i="2"/>
  <c r="V134" i="18"/>
  <c r="BG17" i="6"/>
  <c r="D17" i="6" s="1"/>
  <c r="C17" i="6" s="1"/>
  <c r="T4" i="5"/>
  <c r="BC10" i="6" l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J14" i="3"/>
  <c r="H5" i="3"/>
  <c r="J11" i="3"/>
  <c r="F5" i="3"/>
  <c r="V53" i="18"/>
  <c r="V91" i="18"/>
  <c r="DX11" i="6"/>
  <c r="KI11" i="6"/>
  <c r="JY11" i="6"/>
  <c r="JC11" i="6"/>
  <c r="AS11" i="6"/>
  <c r="CU11" i="6"/>
  <c r="U11" i="6"/>
  <c r="FU11" i="6"/>
  <c r="KJ11" i="6"/>
  <c r="CK11" i="6"/>
  <c r="HI11" i="6"/>
  <c r="AI11" i="6"/>
  <c r="FN11" i="6"/>
  <c r="LB11" i="6"/>
  <c r="EO11" i="6"/>
  <c r="KE11" i="6"/>
  <c r="DP11" i="6"/>
  <c r="JT11" i="6"/>
  <c r="DI11" i="6"/>
  <c r="IK11" i="6"/>
  <c r="BN11" i="6"/>
  <c r="HB11" i="6"/>
  <c r="BE11" i="6"/>
  <c r="FG11" i="6"/>
  <c r="BG11" i="6"/>
  <c r="HD11" i="6"/>
  <c r="KR11" i="6"/>
  <c r="CD11" i="6"/>
  <c r="GE11" i="6"/>
  <c r="KG11" i="6"/>
  <c r="DM11" i="6"/>
  <c r="GV11" i="6"/>
  <c r="CM11" i="6"/>
  <c r="R11" i="6"/>
  <c r="AD11" i="6"/>
  <c r="GI11" i="6"/>
  <c r="FL11" i="6"/>
  <c r="IH11" i="6"/>
  <c r="FQ11" i="6"/>
  <c r="DH11" i="6"/>
  <c r="HA11" i="6"/>
  <c r="X11" i="6"/>
  <c r="GK11" i="6"/>
  <c r="CP11" i="6"/>
  <c r="GF11" i="6"/>
  <c r="AO11" i="6"/>
  <c r="KP11" i="6"/>
  <c r="BM11" i="6"/>
  <c r="GR11" i="6"/>
  <c r="ID11" i="6"/>
  <c r="GT11" i="6"/>
  <c r="FW11" i="6"/>
  <c r="S11" i="6"/>
  <c r="BJ11" i="6"/>
  <c r="P11" i="6"/>
  <c r="EP11" i="6"/>
  <c r="JL11" i="6"/>
  <c r="CR11" i="6"/>
  <c r="HU11" i="6"/>
  <c r="AN11" i="6"/>
  <c r="FZ11" i="6"/>
  <c r="Y11" i="6"/>
  <c r="FC11" i="6"/>
  <c r="KQ11" i="6"/>
  <c r="DV11" i="6"/>
  <c r="KF11" i="6"/>
  <c r="DU11" i="6"/>
  <c r="IW11" i="6"/>
  <c r="CA11" i="6"/>
  <c r="HN11" i="6"/>
  <c r="BP11" i="6"/>
  <c r="FS11" i="6"/>
  <c r="CE11" i="6"/>
  <c r="HP11" i="6"/>
  <c r="J11" i="6"/>
  <c r="LC11" i="6"/>
  <c r="EA11" i="6"/>
  <c r="HZ11" i="6"/>
  <c r="CL11" i="6"/>
  <c r="CX11" i="6"/>
  <c r="JW11" i="6"/>
  <c r="BQ11" i="6"/>
  <c r="KS11" i="6"/>
  <c r="DT11" i="6"/>
  <c r="CQ11" i="6"/>
  <c r="IA11" i="6"/>
  <c r="EK11" i="6"/>
  <c r="KY11" i="6"/>
  <c r="I11" i="6"/>
  <c r="AA11" i="6"/>
  <c r="BD11" i="6"/>
  <c r="AG11" i="6"/>
  <c r="HY11" i="6"/>
  <c r="CG11" i="6"/>
  <c r="AH11" i="6"/>
  <c r="KB11" i="6"/>
  <c r="KX11" i="6"/>
  <c r="BL11" i="6"/>
  <c r="AR11" i="6"/>
  <c r="KM11" i="6"/>
  <c r="KK11" i="6"/>
  <c r="IE11" i="6"/>
  <c r="DF11" i="6"/>
  <c r="IG11" i="6"/>
  <c r="AT11" i="6"/>
  <c r="GL11" i="6"/>
  <c r="FO11" i="6"/>
  <c r="FD11" i="6"/>
  <c r="JI11" i="6"/>
  <c r="BT11" i="6"/>
  <c r="IB11" i="6"/>
  <c r="HC11" i="6"/>
  <c r="HF11" i="6"/>
  <c r="HV11" i="6"/>
  <c r="FE11" i="6"/>
  <c r="HO11" i="6"/>
  <c r="CW11" i="6"/>
  <c r="IR11" i="6"/>
  <c r="EJ11" i="6"/>
  <c r="AK11" i="6"/>
  <c r="JV11" i="6"/>
  <c r="FR11" i="6"/>
  <c r="ED11" i="6"/>
  <c r="BA11" i="6"/>
  <c r="CT11" i="6"/>
  <c r="V11" i="6"/>
  <c r="DR11" i="6"/>
  <c r="FB11" i="6"/>
  <c r="CY11" i="6"/>
  <c r="FI11" i="6"/>
  <c r="KA11" i="6"/>
  <c r="GJ11" i="6"/>
  <c r="JZ11" i="6"/>
  <c r="AQ11" i="6"/>
  <c r="T11" i="6"/>
  <c r="JO11" i="6"/>
  <c r="JM11" i="6"/>
  <c r="GU11" i="6"/>
  <c r="DL11" i="6"/>
  <c r="IS11" i="6"/>
  <c r="AV11" i="6"/>
  <c r="GX11" i="6"/>
  <c r="AZ11" i="6"/>
  <c r="GA11" i="6"/>
  <c r="AB11" i="6"/>
  <c r="FP11" i="6"/>
  <c r="LD11" i="6"/>
  <c r="EM11" i="6"/>
  <c r="JU11" i="6"/>
  <c r="DJ11" i="6"/>
  <c r="IL11" i="6"/>
  <c r="BY11" i="6"/>
  <c r="GQ11" i="6"/>
  <c r="CO11" i="6"/>
  <c r="IN11" i="6"/>
  <c r="Q11" i="6"/>
  <c r="IX11" i="6"/>
  <c r="KV11" i="6"/>
  <c r="JQ11" i="6"/>
  <c r="GN11" i="6"/>
  <c r="JJ11" i="6"/>
  <c r="JX11" i="6"/>
  <c r="KC11" i="6"/>
  <c r="AF11" i="6"/>
  <c r="EL11" i="6"/>
  <c r="L11" i="6"/>
  <c r="BI11" i="6"/>
  <c r="KD11" i="6"/>
  <c r="GD11" i="6"/>
  <c r="IQ11" i="6"/>
  <c r="GW11" i="6"/>
  <c r="JH11" i="6"/>
  <c r="KW11" i="6"/>
  <c r="JP11" i="6"/>
  <c r="DG11" i="6"/>
  <c r="JB11" i="6"/>
  <c r="Z11" i="6"/>
  <c r="KU11" i="6"/>
  <c r="IP11" i="6"/>
  <c r="IF11" i="6"/>
  <c r="FK11" i="6"/>
  <c r="DQ11" i="6"/>
  <c r="JE11" i="6"/>
  <c r="BC11" i="6"/>
  <c r="HJ11" i="6"/>
  <c r="CH11" i="6"/>
  <c r="GM11" i="6"/>
  <c r="W11" i="6"/>
  <c r="GB11" i="6"/>
  <c r="ES11" i="6"/>
  <c r="DN11" i="6"/>
  <c r="AC11" i="6"/>
  <c r="EQ11" i="6"/>
  <c r="GY11" i="6"/>
  <c r="DO11" i="6"/>
  <c r="GH11" i="6"/>
  <c r="DY11" i="6"/>
  <c r="HK11" i="6"/>
  <c r="G11" i="6"/>
  <c r="CN11" i="6"/>
  <c r="O11" i="6"/>
  <c r="IO11" i="6"/>
  <c r="EB11" i="6"/>
  <c r="HM11" i="6"/>
  <c r="BF11" i="6"/>
  <c r="AW11" i="6"/>
  <c r="CZ11" i="6"/>
  <c r="EU11" i="6"/>
  <c r="CS11" i="6"/>
  <c r="GS11" i="6"/>
  <c r="JD11" i="6"/>
  <c r="HS11" i="6"/>
  <c r="DW11" i="6"/>
  <c r="AE11" i="6"/>
  <c r="DA11" i="6"/>
  <c r="HT11" i="6"/>
  <c r="FV11" i="6"/>
  <c r="BX11" i="6"/>
  <c r="GZ11" i="6"/>
  <c r="EG11" i="6"/>
  <c r="AP11" i="6"/>
  <c r="KN11" i="6"/>
  <c r="AY11" i="6"/>
  <c r="IV11" i="6"/>
  <c r="EC11" i="6"/>
  <c r="HE11" i="6"/>
  <c r="EN11" i="6"/>
  <c r="GP11" i="6"/>
  <c r="EZ11" i="6"/>
  <c r="BW11" i="6"/>
  <c r="KZ11" i="6"/>
  <c r="EY11" i="6"/>
  <c r="IZ11" i="6"/>
  <c r="HH11" i="6"/>
  <c r="DS11" i="6"/>
  <c r="CI11" i="6"/>
  <c r="F11" i="6"/>
  <c r="FA11" i="6"/>
  <c r="KO11" i="6"/>
  <c r="CV11" i="6"/>
  <c r="IT11" i="6"/>
  <c r="DB11" i="6"/>
  <c r="HW11" i="6"/>
  <c r="BV11" i="6"/>
  <c r="HL11" i="6"/>
  <c r="BH11" i="6"/>
  <c r="GC11" i="6"/>
  <c r="K11" i="6"/>
  <c r="ET11" i="6"/>
  <c r="KH11" i="6"/>
  <c r="DZ11" i="6"/>
  <c r="IM11" i="6"/>
  <c r="EV11" i="6"/>
  <c r="BZ11" i="6"/>
  <c r="EX11" i="6"/>
  <c r="AJ11" i="6"/>
  <c r="EE11" i="6"/>
  <c r="CC11" i="6"/>
  <c r="BR11" i="6"/>
  <c r="FY11" i="6"/>
  <c r="N11" i="6"/>
  <c r="DK11" i="6"/>
  <c r="JR11" i="6"/>
  <c r="DE11" i="6"/>
  <c r="IU11" i="6"/>
  <c r="CJ11" i="6"/>
  <c r="CB11" i="6"/>
  <c r="FT11" i="6"/>
  <c r="EW11" i="6"/>
  <c r="EH11" i="6"/>
  <c r="AX11" i="6"/>
  <c r="AU11" i="6"/>
  <c r="IC11" i="6"/>
  <c r="HR11" i="6"/>
  <c r="AL11" i="6"/>
  <c r="JA11" i="6"/>
  <c r="EI11" i="6"/>
  <c r="HQ11" i="6"/>
  <c r="FX11" i="6"/>
  <c r="KL11" i="6"/>
  <c r="BU11" i="6"/>
  <c r="M11" i="6"/>
  <c r="FM11" i="6"/>
  <c r="LA11" i="6"/>
  <c r="DD11" i="6"/>
  <c r="JF11" i="6"/>
  <c r="DC11" i="6"/>
  <c r="II11" i="6"/>
  <c r="CF11" i="6"/>
  <c r="HX11" i="6"/>
  <c r="BK11" i="6"/>
  <c r="GO11" i="6"/>
  <c r="AM11" i="6"/>
  <c r="FF11" i="6"/>
  <c r="KT11" i="6"/>
  <c r="EF11" i="6"/>
  <c r="IY11" i="6"/>
  <c r="FH11" i="6"/>
  <c r="HG11" i="6"/>
  <c r="FJ11" i="6"/>
  <c r="GG11" i="6"/>
  <c r="JN11" i="6"/>
  <c r="H11" i="6"/>
  <c r="IJ11" i="6"/>
  <c r="BO11" i="6"/>
  <c r="JG11" i="6"/>
  <c r="ER11" i="6"/>
  <c r="JK11" i="6"/>
  <c r="BS11" i="6"/>
  <c r="JS11" i="6"/>
  <c r="BB11" i="6"/>
  <c r="G37" i="2"/>
  <c r="E35" i="2"/>
  <c r="G23" i="2"/>
  <c r="G21" i="2" s="1"/>
  <c r="E21" i="2"/>
  <c r="I33" i="2"/>
  <c r="K35" i="2"/>
  <c r="J35" i="2" s="1"/>
  <c r="F45" i="5"/>
  <c r="F41" i="5"/>
  <c r="F42" i="5"/>
  <c r="F43" i="5"/>
  <c r="F44" i="5"/>
  <c r="BG18" i="6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K50" i="2"/>
  <c r="N50" i="2" s="1"/>
  <c r="K51" i="2"/>
  <c r="D5" i="5" l="1"/>
  <c r="F25" i="3"/>
  <c r="C5" i="6"/>
  <c r="D6" i="5"/>
  <c r="J5" i="3"/>
  <c r="F5" i="5"/>
  <c r="H25" i="3"/>
  <c r="K53" i="2"/>
  <c r="N53" i="2" s="1"/>
  <c r="K52" i="2"/>
  <c r="H18" i="5" s="1"/>
  <c r="F12" i="6"/>
  <c r="D11" i="6"/>
  <c r="F46" i="5"/>
  <c r="K33" i="2"/>
  <c r="K28" i="2" s="1"/>
  <c r="I28" i="2"/>
  <c r="F21" i="2"/>
  <c r="D18" i="6"/>
  <c r="C18" i="6" s="1"/>
  <c r="E33" i="2"/>
  <c r="G35" i="2"/>
  <c r="F35" i="2" s="1"/>
  <c r="N51" i="2"/>
  <c r="C11" i="6" l="1"/>
  <c r="F6" i="5"/>
  <c r="F7" i="5" s="1"/>
  <c r="D7" i="5"/>
  <c r="G6" i="5"/>
  <c r="G12" i="6"/>
  <c r="F14" i="6"/>
  <c r="G33" i="2"/>
  <c r="G28" i="2" s="1"/>
  <c r="E28" i="2"/>
  <c r="J28" i="2"/>
  <c r="I40" i="2"/>
  <c r="N33" i="2"/>
  <c r="N52" i="2"/>
  <c r="H12" i="6" l="1"/>
  <c r="G14" i="6"/>
  <c r="K40" i="2"/>
  <c r="N40" i="2" s="1"/>
  <c r="F28" i="2"/>
  <c r="E40" i="2"/>
  <c r="I12" i="6" l="1"/>
  <c r="H14" i="6"/>
  <c r="G40" i="2"/>
  <c r="I41" i="2"/>
  <c r="I14" i="6" l="1"/>
  <c r="J12" i="6"/>
  <c r="K41" i="2"/>
  <c r="N41" i="2" s="1"/>
  <c r="I39" i="2"/>
  <c r="E41" i="2"/>
  <c r="J14" i="6" l="1"/>
  <c r="K12" i="6"/>
  <c r="G41" i="2"/>
  <c r="E39" i="2"/>
  <c r="J9" i="2"/>
  <c r="I44" i="2"/>
  <c r="S19" i="2"/>
  <c r="S21" i="2" s="1"/>
  <c r="S22" i="2" s="1"/>
  <c r="K39" i="2"/>
  <c r="J39" i="2" s="1"/>
  <c r="N39" i="2"/>
  <c r="K14" i="6" l="1"/>
  <c r="L12" i="6"/>
  <c r="K44" i="2"/>
  <c r="I43" i="2"/>
  <c r="E44" i="2"/>
  <c r="F9" i="2"/>
  <c r="G39" i="2"/>
  <c r="N44" i="2" l="1"/>
  <c r="N43" i="2" s="1"/>
  <c r="L14" i="6"/>
  <c r="M12" i="6"/>
  <c r="K43" i="2"/>
  <c r="J43" i="2" s="1"/>
  <c r="I48" i="2"/>
  <c r="F39" i="2"/>
  <c r="H16" i="5"/>
  <c r="E43" i="2"/>
  <c r="G44" i="2"/>
  <c r="M14" i="6" l="1"/>
  <c r="N12" i="6"/>
  <c r="E48" i="2"/>
  <c r="E49" i="2"/>
  <c r="G43" i="2"/>
  <c r="F43" i="2" s="1"/>
  <c r="K49" i="2"/>
  <c r="N49" i="2" s="1"/>
  <c r="K48" i="2"/>
  <c r="N48" i="2"/>
  <c r="I47" i="2"/>
  <c r="N14" i="6" l="1"/>
  <c r="O12" i="6"/>
  <c r="K47" i="2"/>
  <c r="J47" i="2" s="1"/>
  <c r="N47" i="2"/>
  <c r="N9" i="2" s="1"/>
  <c r="G49" i="2"/>
  <c r="E50" i="2" s="1"/>
  <c r="G50" i="2" s="1"/>
  <c r="E51" i="2"/>
  <c r="E53" i="2"/>
  <c r="G53" i="2" s="1"/>
  <c r="G48" i="2"/>
  <c r="P12" i="6" l="1"/>
  <c r="O14" i="6"/>
  <c r="H17" i="5"/>
  <c r="G51" i="2"/>
  <c r="E52" i="2" s="1"/>
  <c r="G52" i="2" s="1"/>
  <c r="P14" i="6" l="1"/>
  <c r="Q12" i="6"/>
  <c r="DN3" i="6"/>
  <c r="HU3" i="6"/>
  <c r="KP3" i="6"/>
  <c r="DI3" i="6"/>
  <c r="JH3" i="6"/>
  <c r="BW3" i="6"/>
  <c r="AE3" i="6"/>
  <c r="GV3" i="6"/>
  <c r="BN3" i="6"/>
  <c r="BK3" i="6"/>
  <c r="KA3" i="6"/>
  <c r="ID3" i="6"/>
  <c r="AJ3" i="6"/>
  <c r="N3" i="6"/>
  <c r="X3" i="6"/>
  <c r="FF3" i="6"/>
  <c r="GS3" i="6"/>
  <c r="JX3" i="6"/>
  <c r="FA3" i="6"/>
  <c r="AL3" i="6"/>
  <c r="FO3" i="6"/>
  <c r="K3" i="6"/>
  <c r="DL3" i="6"/>
  <c r="AH3" i="6"/>
  <c r="L3" i="6"/>
  <c r="JC3" i="6"/>
  <c r="GI3" i="6"/>
  <c r="ES3" i="6"/>
  <c r="AY3" i="6"/>
  <c r="JA3" i="6"/>
  <c r="BP3" i="6"/>
  <c r="CU3" i="6"/>
  <c r="IX3" i="6"/>
  <c r="HI3" i="6"/>
  <c r="DZ3" i="6"/>
  <c r="HW3" i="6"/>
  <c r="IG3" i="6"/>
  <c r="IC3" i="6"/>
  <c r="FM3" i="6"/>
  <c r="JR3" i="6"/>
  <c r="CR3" i="6"/>
  <c r="EC3" i="6"/>
  <c r="AD3" i="6"/>
  <c r="CV3" i="6"/>
  <c r="KZ3" i="6"/>
  <c r="IJ3" i="6"/>
  <c r="EO3" i="6"/>
  <c r="BG3" i="6"/>
  <c r="BO3" i="6"/>
  <c r="S3" i="6"/>
  <c r="AM3" i="6"/>
  <c r="HB3" i="6"/>
  <c r="CM3" i="6"/>
  <c r="GA3" i="6"/>
  <c r="HJ3" i="6"/>
  <c r="GQ3" i="6"/>
  <c r="HZ3" i="6"/>
  <c r="KD3" i="6"/>
  <c r="JQ3" i="6"/>
  <c r="LA3" i="6"/>
  <c r="AC3" i="6"/>
  <c r="KM3" i="6"/>
  <c r="KF3" i="6"/>
  <c r="FI3" i="6"/>
  <c r="CF3" i="6"/>
  <c r="JM3" i="6"/>
  <c r="KU3" i="6"/>
  <c r="CZ3" i="6"/>
  <c r="EW3" i="6"/>
  <c r="H3" i="6"/>
  <c r="ED3" i="6"/>
  <c r="EG3" i="6"/>
  <c r="HK3" i="6"/>
  <c r="CK3" i="6"/>
  <c r="DF3" i="6"/>
  <c r="CT3" i="6"/>
  <c r="DU3" i="6"/>
  <c r="AR3" i="6"/>
  <c r="CD3" i="6"/>
  <c r="U3" i="6"/>
  <c r="G3" i="6"/>
  <c r="FX3" i="6"/>
  <c r="FE3" i="6"/>
  <c r="BV3" i="6"/>
  <c r="DT3" i="6"/>
  <c r="HF3" i="6"/>
  <c r="KB3" i="6"/>
  <c r="DA3" i="6"/>
  <c r="HQ3" i="6"/>
  <c r="DB3" i="6"/>
  <c r="IE3" i="6"/>
  <c r="HY3" i="6"/>
  <c r="ET3" i="6"/>
  <c r="EK3" i="6"/>
  <c r="EL3" i="6"/>
  <c r="IH3" i="6"/>
  <c r="FJ3" i="6"/>
  <c r="EP3" i="6"/>
  <c r="EH3" i="6"/>
  <c r="LC3" i="6"/>
  <c r="HN3" i="6"/>
  <c r="IV3" i="6"/>
  <c r="BI3" i="6"/>
  <c r="FZ3" i="6"/>
  <c r="LD3" i="6"/>
  <c r="GH3" i="6"/>
  <c r="IR3" i="6"/>
  <c r="DQ3" i="6"/>
  <c r="AQ3" i="6"/>
  <c r="FB3" i="6"/>
  <c r="DO3" i="6"/>
  <c r="BH3" i="6"/>
  <c r="KE3" i="6"/>
  <c r="T3" i="6"/>
  <c r="JJ3" i="6"/>
  <c r="GJ3" i="6"/>
  <c r="IY3" i="6"/>
  <c r="IK3" i="6"/>
  <c r="EZ3" i="6"/>
  <c r="GG3" i="6"/>
  <c r="HO3" i="6"/>
  <c r="EJ3" i="6"/>
  <c r="BX3" i="6"/>
  <c r="CX3" i="6"/>
  <c r="GE3" i="6"/>
  <c r="M3" i="6"/>
  <c r="FS3" i="6"/>
  <c r="AI3" i="6"/>
  <c r="HV3" i="6"/>
  <c r="FQ3" i="6"/>
  <c r="JV3" i="6"/>
  <c r="EN3" i="6"/>
  <c r="GN3" i="6"/>
  <c r="IB3" i="6"/>
  <c r="DY3" i="6"/>
  <c r="DD3" i="6"/>
  <c r="CL3" i="6"/>
  <c r="O3" i="6"/>
  <c r="FV3" i="6"/>
  <c r="GY3" i="6"/>
  <c r="FC3" i="6"/>
  <c r="AF3" i="6"/>
  <c r="CB3" i="6"/>
  <c r="HE3" i="6"/>
  <c r="BT3" i="6"/>
  <c r="BF3" i="6"/>
  <c r="FL3" i="6"/>
  <c r="II3" i="6"/>
  <c r="JL3" i="6"/>
  <c r="FG3" i="6"/>
  <c r="IZ3" i="6"/>
  <c r="GC3" i="6"/>
  <c r="CJ3" i="6"/>
  <c r="EY3" i="6"/>
  <c r="LB3" i="6"/>
  <c r="FU3" i="6"/>
  <c r="KG3" i="6"/>
  <c r="CS3" i="6"/>
  <c r="IU3" i="6"/>
  <c r="EF3" i="6"/>
  <c r="GW3" i="6"/>
  <c r="IW3" i="6"/>
  <c r="EA3" i="6"/>
  <c r="CP3" i="6"/>
  <c r="IQ3" i="6"/>
  <c r="KR3" i="6"/>
  <c r="AW3" i="6"/>
  <c r="IA3" i="6"/>
  <c r="Z3" i="6"/>
  <c r="F3" i="6"/>
  <c r="ER3" i="6"/>
  <c r="EM3" i="6"/>
  <c r="JN3" i="6"/>
  <c r="KH3" i="6"/>
  <c r="AK3" i="6"/>
  <c r="BY3" i="6"/>
  <c r="GX3" i="6"/>
  <c r="AO3" i="6"/>
  <c r="AB3" i="6"/>
  <c r="CO3" i="6"/>
  <c r="DC3" i="6"/>
  <c r="HX3" i="6"/>
  <c r="DV3" i="6"/>
  <c r="DS3" i="6"/>
  <c r="R3" i="6"/>
  <c r="GZ3" i="6"/>
  <c r="BJ3" i="6"/>
  <c r="GB3" i="6"/>
  <c r="HR3" i="6"/>
  <c r="I3" i="6"/>
  <c r="EB3" i="6"/>
  <c r="JF3" i="6"/>
  <c r="IS3" i="6"/>
  <c r="KW3" i="6"/>
  <c r="BU3" i="6"/>
  <c r="CW3" i="6"/>
  <c r="DW3" i="6"/>
  <c r="EI3" i="6"/>
  <c r="J3" i="6"/>
  <c r="BZ3" i="6"/>
  <c r="DG3" i="6"/>
  <c r="EX3" i="6"/>
  <c r="JO3" i="6"/>
  <c r="KX3" i="6"/>
  <c r="BB3" i="6"/>
  <c r="CE3" i="6"/>
  <c r="AA3" i="6"/>
  <c r="BM3" i="6"/>
  <c r="HC3" i="6"/>
  <c r="GK3" i="6"/>
  <c r="CY3" i="6"/>
  <c r="DH3" i="6"/>
  <c r="BC3" i="6"/>
  <c r="CH3" i="6"/>
  <c r="CQ3" i="6"/>
  <c r="HD3" i="6"/>
  <c r="FK3" i="6"/>
  <c r="IT3" i="6"/>
  <c r="GF3" i="6"/>
  <c r="EE3" i="6"/>
  <c r="Y3" i="6"/>
  <c r="IF3" i="6"/>
  <c r="KS3" i="6"/>
  <c r="JZ3" i="6"/>
  <c r="DJ3" i="6"/>
  <c r="FT3" i="6"/>
  <c r="BR3" i="6"/>
  <c r="AU3" i="6"/>
  <c r="HL3" i="6"/>
  <c r="AP3" i="6"/>
  <c r="JD3" i="6"/>
  <c r="GR3" i="6"/>
  <c r="CG3" i="6"/>
  <c r="HG3" i="6"/>
  <c r="JK3" i="6"/>
  <c r="KN3" i="6"/>
  <c r="FD3" i="6"/>
  <c r="CI3" i="6"/>
  <c r="CA3" i="6"/>
  <c r="EU3" i="6"/>
  <c r="BE3" i="6"/>
  <c r="GU3" i="6"/>
  <c r="GL3" i="6"/>
  <c r="IO3" i="6"/>
  <c r="DE3" i="6"/>
  <c r="JW3" i="6"/>
  <c r="DM3" i="6"/>
  <c r="HH3" i="6"/>
  <c r="EV3" i="6"/>
  <c r="FW3" i="6"/>
  <c r="GP3" i="6"/>
  <c r="IP3" i="6"/>
  <c r="DK3" i="6"/>
  <c r="JB3" i="6"/>
  <c r="GD3" i="6"/>
  <c r="JI3" i="6"/>
  <c r="KK3" i="6"/>
  <c r="KV3" i="6"/>
  <c r="KY3" i="6"/>
  <c r="EQ3" i="6"/>
  <c r="GT3" i="6"/>
  <c r="KL3" i="6"/>
  <c r="KO3" i="6"/>
  <c r="FR3" i="6"/>
  <c r="BL3" i="6"/>
  <c r="IL3" i="6"/>
  <c r="KQ3" i="6"/>
  <c r="BS3" i="6"/>
  <c r="HP3" i="6"/>
  <c r="IM3" i="6"/>
  <c r="BD3" i="6"/>
  <c r="HM3" i="6"/>
  <c r="AZ3" i="6"/>
  <c r="V3" i="6"/>
  <c r="AT3" i="6"/>
  <c r="JP3" i="6"/>
  <c r="KT3" i="6"/>
  <c r="AN3" i="6"/>
  <c r="W3" i="6"/>
  <c r="DX3" i="6"/>
  <c r="JY3" i="6"/>
  <c r="FY3" i="6"/>
  <c r="AS3" i="6"/>
  <c r="JT3" i="6"/>
  <c r="JE3" i="6"/>
  <c r="CN3" i="6"/>
  <c r="GO3" i="6"/>
  <c r="KJ3" i="6"/>
  <c r="HS3" i="6"/>
  <c r="HT3" i="6"/>
  <c r="JS3" i="6"/>
  <c r="KC3" i="6"/>
  <c r="Q3" i="6"/>
  <c r="JU3" i="6"/>
  <c r="FH3" i="6"/>
  <c r="JG3" i="6"/>
  <c r="AV3" i="6"/>
  <c r="P3" i="6"/>
  <c r="IN3" i="6"/>
  <c r="AX3" i="6"/>
  <c r="BA3" i="6"/>
  <c r="GM3" i="6"/>
  <c r="AG3" i="6"/>
  <c r="DP3" i="6"/>
  <c r="CC3" i="6"/>
  <c r="FN3" i="6"/>
  <c r="HA3" i="6"/>
  <c r="DR3" i="6"/>
  <c r="FP3" i="6"/>
  <c r="BQ3" i="6"/>
  <c r="KI3" i="6"/>
  <c r="E47" i="2"/>
  <c r="G47" i="2"/>
  <c r="F47" i="2" s="1"/>
  <c r="R12" i="6" l="1"/>
  <c r="Q14" i="6"/>
  <c r="D3" i="6"/>
  <c r="F4" i="6"/>
  <c r="S12" i="6" l="1"/>
  <c r="R14" i="6"/>
  <c r="G4" i="6"/>
  <c r="F7" i="6"/>
  <c r="T12" i="6" l="1"/>
  <c r="S14" i="6"/>
  <c r="H4" i="6"/>
  <c r="G7" i="6"/>
  <c r="T14" i="6" l="1"/>
  <c r="U12" i="6"/>
  <c r="H7" i="6"/>
  <c r="I4" i="6"/>
  <c r="V12" i="6" l="1"/>
  <c r="U14" i="6"/>
  <c r="J4" i="6"/>
  <c r="I7" i="6"/>
  <c r="V14" i="6" l="1"/>
  <c r="W12" i="6"/>
  <c r="K4" i="6"/>
  <c r="J7" i="6"/>
  <c r="X12" i="6" l="1"/>
  <c r="W14" i="6"/>
  <c r="L4" i="6"/>
  <c r="K7" i="6"/>
  <c r="X14" i="6" l="1"/>
  <c r="Y12" i="6"/>
  <c r="M4" i="6"/>
  <c r="L7" i="6"/>
  <c r="Y14" i="6" l="1"/>
  <c r="Z12" i="6"/>
  <c r="M7" i="6"/>
  <c r="N4" i="6"/>
  <c r="AA12" i="6" l="1"/>
  <c r="Z14" i="6"/>
  <c r="O4" i="6"/>
  <c r="N7" i="6"/>
  <c r="AB12" i="6" l="1"/>
  <c r="AA14" i="6"/>
  <c r="O7" i="6"/>
  <c r="P4" i="6"/>
  <c r="AC12" i="6" l="1"/>
  <c r="AB14" i="6"/>
  <c r="P7" i="6"/>
  <c r="Q4" i="6"/>
  <c r="AD12" i="6" l="1"/>
  <c r="AC14" i="6"/>
  <c r="Q7" i="6"/>
  <c r="R4" i="6"/>
  <c r="AE12" i="6" l="1"/>
  <c r="AD14" i="6"/>
  <c r="S4" i="6"/>
  <c r="R7" i="6"/>
  <c r="AF12" i="6" l="1"/>
  <c r="AE14" i="6"/>
  <c r="S7" i="6"/>
  <c r="T4" i="6"/>
  <c r="AG12" i="6" l="1"/>
  <c r="AF14" i="6"/>
  <c r="T7" i="6"/>
  <c r="U4" i="6"/>
  <c r="AH12" i="6" l="1"/>
  <c r="AG14" i="6"/>
  <c r="V4" i="6"/>
  <c r="U7" i="6"/>
  <c r="AH14" i="6" l="1"/>
  <c r="AI12" i="6"/>
  <c r="V7" i="6"/>
  <c r="W4" i="6"/>
  <c r="AI14" i="6" l="1"/>
  <c r="AJ12" i="6"/>
  <c r="W7" i="6"/>
  <c r="X4" i="6"/>
  <c r="AJ14" i="6" l="1"/>
  <c r="AK12" i="6"/>
  <c r="Y4" i="6"/>
  <c r="X7" i="6"/>
  <c r="AL12" i="6" l="1"/>
  <c r="AK14" i="6"/>
  <c r="Y7" i="6"/>
  <c r="Z4" i="6"/>
  <c r="AM12" i="6" l="1"/>
  <c r="AL14" i="6"/>
  <c r="AA4" i="6"/>
  <c r="Z7" i="6"/>
  <c r="AN12" i="6" l="1"/>
  <c r="AM14" i="6"/>
  <c r="AA7" i="6"/>
  <c r="AB4" i="6"/>
  <c r="AN14" i="6" l="1"/>
  <c r="AO12" i="6"/>
  <c r="AB7" i="6"/>
  <c r="AC4" i="6"/>
  <c r="AP12" i="6" l="1"/>
  <c r="AO14" i="6"/>
  <c r="AC7" i="6"/>
  <c r="AD4" i="6"/>
  <c r="AP14" i="6" l="1"/>
  <c r="AQ12" i="6"/>
  <c r="AD7" i="6"/>
  <c r="AE4" i="6"/>
  <c r="AQ14" i="6" l="1"/>
  <c r="AR12" i="6"/>
  <c r="AF4" i="6"/>
  <c r="AE7" i="6"/>
  <c r="AR14" i="6" l="1"/>
  <c r="AS12" i="6"/>
  <c r="AG4" i="6"/>
  <c r="AF7" i="6"/>
  <c r="AS14" i="6" l="1"/>
  <c r="AT12" i="6"/>
  <c r="AG7" i="6"/>
  <c r="AH4" i="6"/>
  <c r="AU12" i="6" l="1"/>
  <c r="AT14" i="6"/>
  <c r="AH7" i="6"/>
  <c r="AI4" i="6"/>
  <c r="AU14" i="6" l="1"/>
  <c r="AV12" i="6"/>
  <c r="AJ4" i="6"/>
  <c r="AI7" i="6"/>
  <c r="AW12" i="6" l="1"/>
  <c r="AV14" i="6"/>
  <c r="AK4" i="6"/>
  <c r="AJ7" i="6"/>
  <c r="AW14" i="6" l="1"/>
  <c r="AX12" i="6"/>
  <c r="AK7" i="6"/>
  <c r="AL4" i="6"/>
  <c r="AY12" i="6" l="1"/>
  <c r="AX14" i="6"/>
  <c r="AL7" i="6"/>
  <c r="AM4" i="6"/>
  <c r="AY14" i="6" l="1"/>
  <c r="AZ12" i="6"/>
  <c r="AN4" i="6"/>
  <c r="AM7" i="6"/>
  <c r="AZ14" i="6" l="1"/>
  <c r="BA12" i="6"/>
  <c r="AN7" i="6"/>
  <c r="AO4" i="6"/>
  <c r="BA14" i="6" l="1"/>
  <c r="BB12" i="6"/>
  <c r="AP4" i="6"/>
  <c r="AO7" i="6"/>
  <c r="BC12" i="6" l="1"/>
  <c r="BB14" i="6"/>
  <c r="AP7" i="6"/>
  <c r="AQ4" i="6"/>
  <c r="BC14" i="6" l="1"/>
  <c r="BD12" i="6"/>
  <c r="AQ7" i="6"/>
  <c r="AR4" i="6"/>
  <c r="BD14" i="6" l="1"/>
  <c r="BE12" i="6"/>
  <c r="AR7" i="6"/>
  <c r="AS4" i="6"/>
  <c r="BF12" i="6" l="1"/>
  <c r="BE14" i="6"/>
  <c r="AS7" i="6"/>
  <c r="AT4" i="6"/>
  <c r="BF14" i="6" l="1"/>
  <c r="BG12" i="6"/>
  <c r="AU4" i="6"/>
  <c r="AT7" i="6"/>
  <c r="BG14" i="6" l="1"/>
  <c r="BH12" i="6"/>
  <c r="AU7" i="6"/>
  <c r="AV4" i="6"/>
  <c r="BH14" i="6" l="1"/>
  <c r="BI12" i="6"/>
  <c r="AW4" i="6"/>
  <c r="AV7" i="6"/>
  <c r="BJ12" i="6" l="1"/>
  <c r="BI14" i="6"/>
  <c r="AW7" i="6"/>
  <c r="AX4" i="6"/>
  <c r="BJ14" i="6" l="1"/>
  <c r="BK12" i="6"/>
  <c r="AX7" i="6"/>
  <c r="AY4" i="6"/>
  <c r="BK14" i="6" l="1"/>
  <c r="BL12" i="6"/>
  <c r="AY7" i="6"/>
  <c r="AZ4" i="6"/>
  <c r="BM12" i="6" l="1"/>
  <c r="BL14" i="6"/>
  <c r="AZ7" i="6"/>
  <c r="BA4" i="6"/>
  <c r="BN12" i="6" l="1"/>
  <c r="BM14" i="6"/>
  <c r="BA7" i="6"/>
  <c r="BB4" i="6"/>
  <c r="BN14" i="6" l="1"/>
  <c r="BO12" i="6"/>
  <c r="BB7" i="6"/>
  <c r="BC4" i="6"/>
  <c r="BP12" i="6" l="1"/>
  <c r="BO14" i="6"/>
  <c r="BC7" i="6"/>
  <c r="BD4" i="6"/>
  <c r="BQ12" i="6" l="1"/>
  <c r="BP14" i="6"/>
  <c r="BD7" i="6"/>
  <c r="BE4" i="6"/>
  <c r="BR12" i="6" l="1"/>
  <c r="BQ14" i="6"/>
  <c r="BF4" i="6"/>
  <c r="BE7" i="6"/>
  <c r="BS12" i="6" l="1"/>
  <c r="BR14" i="6"/>
  <c r="BG4" i="6"/>
  <c r="BF7" i="6"/>
  <c r="BT12" i="6" l="1"/>
  <c r="BS14" i="6"/>
  <c r="BG7" i="6"/>
  <c r="BH4" i="6"/>
  <c r="BU12" i="6" l="1"/>
  <c r="BT14" i="6"/>
  <c r="BH7" i="6"/>
  <c r="BI4" i="6"/>
  <c r="BV12" i="6" l="1"/>
  <c r="BU14" i="6"/>
  <c r="BI7" i="6"/>
  <c r="BJ4" i="6"/>
  <c r="BV14" i="6" l="1"/>
  <c r="BW12" i="6"/>
  <c r="BJ7" i="6"/>
  <c r="BK4" i="6"/>
  <c r="BX12" i="6" l="1"/>
  <c r="BW14" i="6"/>
  <c r="BL4" i="6"/>
  <c r="BK7" i="6"/>
  <c r="BY12" i="6" l="1"/>
  <c r="BX14" i="6"/>
  <c r="BM4" i="6"/>
  <c r="BL7" i="6"/>
  <c r="BZ12" i="6" l="1"/>
  <c r="BY14" i="6"/>
  <c r="BM7" i="6"/>
  <c r="BN4" i="6"/>
  <c r="CA12" i="6" l="1"/>
  <c r="BZ14" i="6"/>
  <c r="BN7" i="6"/>
  <c r="BO4" i="6"/>
  <c r="CB12" i="6" l="1"/>
  <c r="CA14" i="6"/>
  <c r="BP4" i="6"/>
  <c r="BO7" i="6"/>
  <c r="CC12" i="6" l="1"/>
  <c r="CB14" i="6"/>
  <c r="BP7" i="6"/>
  <c r="BQ4" i="6"/>
  <c r="CC14" i="6" l="1"/>
  <c r="CD12" i="6"/>
  <c r="BQ7" i="6"/>
  <c r="BR4" i="6"/>
  <c r="CD14" i="6" l="1"/>
  <c r="CE12" i="6"/>
  <c r="BS4" i="6"/>
  <c r="BR7" i="6"/>
  <c r="CF12" i="6" l="1"/>
  <c r="CE14" i="6"/>
  <c r="BS7" i="6"/>
  <c r="BT4" i="6"/>
  <c r="CF14" i="6" l="1"/>
  <c r="CG12" i="6"/>
  <c r="BT7" i="6"/>
  <c r="BU4" i="6"/>
  <c r="CH12" i="6" l="1"/>
  <c r="CG14" i="6"/>
  <c r="BU7" i="6"/>
  <c r="BV4" i="6"/>
  <c r="CH14" i="6" l="1"/>
  <c r="CI12" i="6"/>
  <c r="BV7" i="6"/>
  <c r="BW4" i="6"/>
  <c r="CI14" i="6" l="1"/>
  <c r="CJ12" i="6"/>
  <c r="BW7" i="6"/>
  <c r="BX4" i="6"/>
  <c r="CK12" i="6" l="1"/>
  <c r="CJ14" i="6"/>
  <c r="BX7" i="6"/>
  <c r="BY4" i="6"/>
  <c r="CK14" i="6" l="1"/>
  <c r="CL12" i="6"/>
  <c r="BY7" i="6"/>
  <c r="BZ4" i="6"/>
  <c r="CL14" i="6" l="1"/>
  <c r="CM12" i="6"/>
  <c r="CA4" i="6"/>
  <c r="BZ7" i="6"/>
  <c r="CN12" i="6" l="1"/>
  <c r="CM14" i="6"/>
  <c r="CA7" i="6"/>
  <c r="CB4" i="6"/>
  <c r="CN14" i="6" l="1"/>
  <c r="CO12" i="6"/>
  <c r="CC4" i="6"/>
  <c r="CB7" i="6"/>
  <c r="CP12" i="6" l="1"/>
  <c r="CO14" i="6"/>
  <c r="CC7" i="6"/>
  <c r="CD4" i="6"/>
  <c r="CP14" i="6" l="1"/>
  <c r="CQ12" i="6"/>
  <c r="CD7" i="6"/>
  <c r="CE4" i="6"/>
  <c r="CQ14" i="6" l="1"/>
  <c r="CR12" i="6"/>
  <c r="CE7" i="6"/>
  <c r="CF4" i="6"/>
  <c r="CS12" i="6" l="1"/>
  <c r="CR14" i="6"/>
  <c r="CF7" i="6"/>
  <c r="CG4" i="6"/>
  <c r="CT12" i="6" l="1"/>
  <c r="CS14" i="6"/>
  <c r="CH4" i="6"/>
  <c r="CG7" i="6"/>
  <c r="CU12" i="6" l="1"/>
  <c r="CT14" i="6"/>
  <c r="CH7" i="6"/>
  <c r="CI4" i="6"/>
  <c r="CU14" i="6" l="1"/>
  <c r="CV12" i="6"/>
  <c r="CJ4" i="6"/>
  <c r="CI7" i="6"/>
  <c r="CW12" i="6" l="1"/>
  <c r="CV14" i="6"/>
  <c r="CK4" i="6"/>
  <c r="CJ7" i="6"/>
  <c r="CX12" i="6" l="1"/>
  <c r="CW14" i="6"/>
  <c r="CK7" i="6"/>
  <c r="CL4" i="6"/>
  <c r="CY12" i="6" l="1"/>
  <c r="CX14" i="6"/>
  <c r="CM4" i="6"/>
  <c r="CL7" i="6"/>
  <c r="CY14" i="6" l="1"/>
  <c r="CZ12" i="6"/>
  <c r="CM7" i="6"/>
  <c r="CN4" i="6"/>
  <c r="CZ14" i="6" l="1"/>
  <c r="DA12" i="6"/>
  <c r="CN7" i="6"/>
  <c r="CO4" i="6"/>
  <c r="DA14" i="6" l="1"/>
  <c r="DB12" i="6"/>
  <c r="CO7" i="6"/>
  <c r="CP4" i="6"/>
  <c r="DB14" i="6" l="1"/>
  <c r="DC12" i="6"/>
  <c r="CP7" i="6"/>
  <c r="CQ4" i="6"/>
  <c r="DD12" i="6" l="1"/>
  <c r="DC14" i="6"/>
  <c r="CQ7" i="6"/>
  <c r="CR4" i="6"/>
  <c r="DE12" i="6" l="1"/>
  <c r="DD14" i="6"/>
  <c r="CR7" i="6"/>
  <c r="CS4" i="6"/>
  <c r="DF12" i="6" l="1"/>
  <c r="DE14" i="6"/>
  <c r="CS7" i="6"/>
  <c r="CT4" i="6"/>
  <c r="DG12" i="6" l="1"/>
  <c r="DF14" i="6"/>
  <c r="CT7" i="6"/>
  <c r="CU4" i="6"/>
  <c r="DH12" i="6" l="1"/>
  <c r="DG14" i="6"/>
  <c r="CU7" i="6"/>
  <c r="CV4" i="6"/>
  <c r="DI12" i="6" l="1"/>
  <c r="DH14" i="6"/>
  <c r="CV7" i="6"/>
  <c r="CW4" i="6"/>
  <c r="DI14" i="6" l="1"/>
  <c r="DJ12" i="6"/>
  <c r="CW7" i="6"/>
  <c r="CX4" i="6"/>
  <c r="DK12" i="6" l="1"/>
  <c r="DJ14" i="6"/>
  <c r="CY4" i="6"/>
  <c r="CX7" i="6"/>
  <c r="DL12" i="6" l="1"/>
  <c r="DK14" i="6"/>
  <c r="CZ4" i="6"/>
  <c r="CY7" i="6"/>
  <c r="DM12" i="6" l="1"/>
  <c r="DL14" i="6"/>
  <c r="CZ7" i="6"/>
  <c r="DA4" i="6"/>
  <c r="DN12" i="6" l="1"/>
  <c r="DM14" i="6"/>
  <c r="DB4" i="6"/>
  <c r="DA7" i="6"/>
  <c r="DN14" i="6" l="1"/>
  <c r="DO12" i="6"/>
  <c r="DB7" i="6"/>
  <c r="DC4" i="6"/>
  <c r="DO14" i="6" l="1"/>
  <c r="DP12" i="6"/>
  <c r="DD4" i="6"/>
  <c r="DC7" i="6"/>
  <c r="DP14" i="6" l="1"/>
  <c r="DQ12" i="6"/>
  <c r="DE4" i="6"/>
  <c r="DD7" i="6"/>
  <c r="DR12" i="6" l="1"/>
  <c r="DQ14" i="6"/>
  <c r="DF4" i="6"/>
  <c r="DE7" i="6"/>
  <c r="DS12" i="6" l="1"/>
  <c r="DR14" i="6"/>
  <c r="DF7" i="6"/>
  <c r="DG4" i="6"/>
  <c r="DT12" i="6" l="1"/>
  <c r="DS14" i="6"/>
  <c r="DG7" i="6"/>
  <c r="DH4" i="6"/>
  <c r="DT14" i="6" l="1"/>
  <c r="DU12" i="6"/>
  <c r="DI4" i="6"/>
  <c r="DH7" i="6"/>
  <c r="DU14" i="6" l="1"/>
  <c r="DV12" i="6"/>
  <c r="DI7" i="6"/>
  <c r="DJ4" i="6"/>
  <c r="DW12" i="6" l="1"/>
  <c r="DV14" i="6"/>
  <c r="DJ7" i="6"/>
  <c r="DK4" i="6"/>
  <c r="DX12" i="6" l="1"/>
  <c r="DW14" i="6"/>
  <c r="DK7" i="6"/>
  <c r="DL4" i="6"/>
  <c r="DY12" i="6" l="1"/>
  <c r="DX14" i="6"/>
  <c r="DL7" i="6"/>
  <c r="DM4" i="6"/>
  <c r="DZ12" i="6" l="1"/>
  <c r="DY14" i="6"/>
  <c r="DM7" i="6"/>
  <c r="DN4" i="6"/>
  <c r="DZ14" i="6" l="1"/>
  <c r="EA12" i="6"/>
  <c r="DN7" i="6"/>
  <c r="DO4" i="6"/>
  <c r="EB12" i="6" l="1"/>
  <c r="EA14" i="6"/>
  <c r="DO7" i="6"/>
  <c r="DP4" i="6"/>
  <c r="EC12" i="6" l="1"/>
  <c r="EB14" i="6"/>
  <c r="DP7" i="6"/>
  <c r="DQ4" i="6"/>
  <c r="ED12" i="6" l="1"/>
  <c r="EC14" i="6"/>
  <c r="DQ7" i="6"/>
  <c r="DR4" i="6"/>
  <c r="ED14" i="6" l="1"/>
  <c r="EE12" i="6"/>
  <c r="DR7" i="6"/>
  <c r="DS4" i="6"/>
  <c r="EE14" i="6" l="1"/>
  <c r="EF12" i="6"/>
  <c r="DT4" i="6"/>
  <c r="DS7" i="6"/>
  <c r="EF14" i="6" l="1"/>
  <c r="EG12" i="6"/>
  <c r="DT7" i="6"/>
  <c r="DU4" i="6"/>
  <c r="EH12" i="6" l="1"/>
  <c r="EG14" i="6"/>
  <c r="DU7" i="6"/>
  <c r="DV4" i="6"/>
  <c r="EI12" i="6" l="1"/>
  <c r="EH14" i="6"/>
  <c r="DV7" i="6"/>
  <c r="DW4" i="6"/>
  <c r="EJ12" i="6" l="1"/>
  <c r="EI14" i="6"/>
  <c r="DW7" i="6"/>
  <c r="DX4" i="6"/>
  <c r="EJ14" i="6" l="1"/>
  <c r="EK12" i="6"/>
  <c r="DX7" i="6"/>
  <c r="DY4" i="6"/>
  <c r="EK14" i="6" l="1"/>
  <c r="EL12" i="6"/>
  <c r="DY7" i="6"/>
  <c r="DZ4" i="6"/>
  <c r="EM12" i="6" l="1"/>
  <c r="EL14" i="6"/>
  <c r="EA4" i="6"/>
  <c r="DZ7" i="6"/>
  <c r="EM14" i="6" l="1"/>
  <c r="EN12" i="6"/>
  <c r="EA7" i="6"/>
  <c r="EB4" i="6"/>
  <c r="EN14" i="6" l="1"/>
  <c r="EO12" i="6"/>
  <c r="EB7" i="6"/>
  <c r="EC4" i="6"/>
  <c r="EO14" i="6" l="1"/>
  <c r="EP12" i="6"/>
  <c r="EC7" i="6"/>
  <c r="ED4" i="6"/>
  <c r="EP14" i="6" l="1"/>
  <c r="EQ12" i="6"/>
  <c r="ED7" i="6"/>
  <c r="EE4" i="6"/>
  <c r="EQ14" i="6" l="1"/>
  <c r="ER12" i="6"/>
  <c r="EF4" i="6"/>
  <c r="EE7" i="6"/>
  <c r="ER14" i="6" l="1"/>
  <c r="ES12" i="6"/>
  <c r="EF7" i="6"/>
  <c r="EG4" i="6"/>
  <c r="ES14" i="6" l="1"/>
  <c r="ET12" i="6"/>
  <c r="EG7" i="6"/>
  <c r="EH4" i="6"/>
  <c r="ET14" i="6" l="1"/>
  <c r="EU12" i="6"/>
  <c r="EH7" i="6"/>
  <c r="EI4" i="6"/>
  <c r="EU14" i="6" l="1"/>
  <c r="EV12" i="6"/>
  <c r="EI7" i="6"/>
  <c r="EJ4" i="6"/>
  <c r="EW12" i="6" l="1"/>
  <c r="EV14" i="6"/>
  <c r="EJ7" i="6"/>
  <c r="EK4" i="6"/>
  <c r="EW14" i="6" l="1"/>
  <c r="EX12" i="6"/>
  <c r="EL4" i="6"/>
  <c r="EK7" i="6"/>
  <c r="EY12" i="6" l="1"/>
  <c r="EX14" i="6"/>
  <c r="EL7" i="6"/>
  <c r="EM4" i="6"/>
  <c r="EZ12" i="6" l="1"/>
  <c r="EY14" i="6"/>
  <c r="EM7" i="6"/>
  <c r="EN4" i="6"/>
  <c r="FA12" i="6" l="1"/>
  <c r="EZ14" i="6"/>
  <c r="EN7" i="6"/>
  <c r="EO4" i="6"/>
  <c r="FB12" i="6" l="1"/>
  <c r="FA14" i="6"/>
  <c r="EO7" i="6"/>
  <c r="EP4" i="6"/>
  <c r="FC12" i="6" l="1"/>
  <c r="FB14" i="6"/>
  <c r="EQ4" i="6"/>
  <c r="EP7" i="6"/>
  <c r="FD12" i="6" l="1"/>
  <c r="FC14" i="6"/>
  <c r="EQ7" i="6"/>
  <c r="ER4" i="6"/>
  <c r="FD14" i="6" l="1"/>
  <c r="FE12" i="6"/>
  <c r="ES4" i="6"/>
  <c r="ER7" i="6"/>
  <c r="FF12" i="6" l="1"/>
  <c r="FE14" i="6"/>
  <c r="ES7" i="6"/>
  <c r="ET4" i="6"/>
  <c r="FG12" i="6" l="1"/>
  <c r="FF14" i="6"/>
  <c r="ET7" i="6"/>
  <c r="EU4" i="6"/>
  <c r="FG14" i="6" l="1"/>
  <c r="FH12" i="6"/>
  <c r="EU7" i="6"/>
  <c r="EV4" i="6"/>
  <c r="FI12" i="6" l="1"/>
  <c r="FH14" i="6"/>
  <c r="EV7" i="6"/>
  <c r="EW4" i="6"/>
  <c r="FJ12" i="6" l="1"/>
  <c r="FI14" i="6"/>
  <c r="EW7" i="6"/>
  <c r="EX4" i="6"/>
  <c r="FJ14" i="6" l="1"/>
  <c r="FK12" i="6"/>
  <c r="EX7" i="6"/>
  <c r="EY4" i="6"/>
  <c r="FL12" i="6" l="1"/>
  <c r="FK14" i="6"/>
  <c r="EY7" i="6"/>
  <c r="EZ4" i="6"/>
  <c r="FM12" i="6" l="1"/>
  <c r="FL14" i="6"/>
  <c r="EZ7" i="6"/>
  <c r="FA4" i="6"/>
  <c r="FM14" i="6" l="1"/>
  <c r="FN12" i="6"/>
  <c r="FA7" i="6"/>
  <c r="FB4" i="6"/>
  <c r="FN14" i="6" l="1"/>
  <c r="FO12" i="6"/>
  <c r="FC4" i="6"/>
  <c r="FB7" i="6"/>
  <c r="FP12" i="6" l="1"/>
  <c r="FO14" i="6"/>
  <c r="FC7" i="6"/>
  <c r="FD4" i="6"/>
  <c r="FQ12" i="6" l="1"/>
  <c r="FP14" i="6"/>
  <c r="FD7" i="6"/>
  <c r="FE4" i="6"/>
  <c r="FQ14" i="6" l="1"/>
  <c r="FR12" i="6"/>
  <c r="FF4" i="6"/>
  <c r="FE7" i="6"/>
  <c r="FR14" i="6" l="1"/>
  <c r="FS12" i="6"/>
  <c r="FF7" i="6"/>
  <c r="FG4" i="6"/>
  <c r="FS14" i="6" l="1"/>
  <c r="FT12" i="6"/>
  <c r="FH4" i="6"/>
  <c r="FG7" i="6"/>
  <c r="FU12" i="6" l="1"/>
  <c r="FT14" i="6"/>
  <c r="FI4" i="6"/>
  <c r="FH7" i="6"/>
  <c r="FV12" i="6" l="1"/>
  <c r="FU14" i="6"/>
  <c r="FI7" i="6"/>
  <c r="FJ4" i="6"/>
  <c r="FW12" i="6" l="1"/>
  <c r="FV14" i="6"/>
  <c r="FJ7" i="6"/>
  <c r="FK4" i="6"/>
  <c r="FX12" i="6" l="1"/>
  <c r="FW14" i="6"/>
  <c r="FK7" i="6"/>
  <c r="FL4" i="6"/>
  <c r="FY12" i="6" l="1"/>
  <c r="FX14" i="6"/>
  <c r="FM4" i="6"/>
  <c r="FL7" i="6"/>
  <c r="FZ12" i="6" l="1"/>
  <c r="FY14" i="6"/>
  <c r="FN4" i="6"/>
  <c r="FM7" i="6"/>
  <c r="GA12" i="6" l="1"/>
  <c r="FZ14" i="6"/>
  <c r="FN7" i="6"/>
  <c r="FO4" i="6"/>
  <c r="GA14" i="6" l="1"/>
  <c r="GB12" i="6"/>
  <c r="FO7" i="6"/>
  <c r="FP4" i="6"/>
  <c r="GB14" i="6" l="1"/>
  <c r="GC12" i="6"/>
  <c r="FP7" i="6"/>
  <c r="FQ4" i="6"/>
  <c r="GD12" i="6" l="1"/>
  <c r="GC14" i="6"/>
  <c r="FR4" i="6"/>
  <c r="FQ7" i="6"/>
  <c r="GE12" i="6" l="1"/>
  <c r="GD14" i="6"/>
  <c r="FS4" i="6"/>
  <c r="FR7" i="6"/>
  <c r="GE14" i="6" l="1"/>
  <c r="GF12" i="6"/>
  <c r="FS7" i="6"/>
  <c r="FT4" i="6"/>
  <c r="GG12" i="6" l="1"/>
  <c r="GF14" i="6"/>
  <c r="FT7" i="6"/>
  <c r="FU4" i="6"/>
  <c r="GH12" i="6" l="1"/>
  <c r="GG14" i="6"/>
  <c r="FU7" i="6"/>
  <c r="FV4" i="6"/>
  <c r="GI12" i="6" l="1"/>
  <c r="GH14" i="6"/>
  <c r="FW4" i="6"/>
  <c r="FV7" i="6"/>
  <c r="GI14" i="6" l="1"/>
  <c r="GJ12" i="6"/>
  <c r="FW7" i="6"/>
  <c r="FX4" i="6"/>
  <c r="GK12" i="6" l="1"/>
  <c r="GJ14" i="6"/>
  <c r="FX7" i="6"/>
  <c r="FY4" i="6"/>
  <c r="GL12" i="6" l="1"/>
  <c r="GK14" i="6"/>
  <c r="FY7" i="6"/>
  <c r="FZ4" i="6"/>
  <c r="GM12" i="6" l="1"/>
  <c r="GL14" i="6"/>
  <c r="GA4" i="6"/>
  <c r="FZ7" i="6"/>
  <c r="GN12" i="6" l="1"/>
  <c r="GM14" i="6"/>
  <c r="GA7" i="6"/>
  <c r="GB4" i="6"/>
  <c r="GO12" i="6" l="1"/>
  <c r="GN14" i="6"/>
  <c r="GB7" i="6"/>
  <c r="GC4" i="6"/>
  <c r="GP12" i="6" l="1"/>
  <c r="GO14" i="6"/>
  <c r="GD4" i="6"/>
  <c r="GC7" i="6"/>
  <c r="GP14" i="6" l="1"/>
  <c r="GQ12" i="6"/>
  <c r="GD7" i="6"/>
  <c r="GE4" i="6"/>
  <c r="GQ14" i="6" l="1"/>
  <c r="GR12" i="6"/>
  <c r="GE7" i="6"/>
  <c r="GF4" i="6"/>
  <c r="GS12" i="6" l="1"/>
  <c r="GR14" i="6"/>
  <c r="GF7" i="6"/>
  <c r="GG4" i="6"/>
  <c r="GS14" i="6" l="1"/>
  <c r="GT12" i="6"/>
  <c r="GG7" i="6"/>
  <c r="GH4" i="6"/>
  <c r="GT14" i="6" l="1"/>
  <c r="GU12" i="6"/>
  <c r="GI4" i="6"/>
  <c r="GH7" i="6"/>
  <c r="GU14" i="6" l="1"/>
  <c r="GV12" i="6"/>
  <c r="GJ4" i="6"/>
  <c r="GI7" i="6"/>
  <c r="GV14" i="6" l="1"/>
  <c r="GW12" i="6"/>
  <c r="GJ7" i="6"/>
  <c r="GK4" i="6"/>
  <c r="GW14" i="6" l="1"/>
  <c r="GX12" i="6"/>
  <c r="GL4" i="6"/>
  <c r="GK7" i="6"/>
  <c r="GY12" i="6" l="1"/>
  <c r="GX14" i="6"/>
  <c r="GL7" i="6"/>
  <c r="GM4" i="6"/>
  <c r="GZ12" i="6" l="1"/>
  <c r="GY14" i="6"/>
  <c r="GM7" i="6"/>
  <c r="GN4" i="6"/>
  <c r="HA12" i="6" l="1"/>
  <c r="GZ14" i="6"/>
  <c r="GN7" i="6"/>
  <c r="GO4" i="6"/>
  <c r="HB12" i="6" l="1"/>
  <c r="HA14" i="6"/>
  <c r="GO7" i="6"/>
  <c r="GP4" i="6"/>
  <c r="HB14" i="6" l="1"/>
  <c r="HC12" i="6"/>
  <c r="GP7" i="6"/>
  <c r="GQ4" i="6"/>
  <c r="HC14" i="6" l="1"/>
  <c r="HD12" i="6"/>
  <c r="GQ7" i="6"/>
  <c r="GR4" i="6"/>
  <c r="HD14" i="6" l="1"/>
  <c r="HE12" i="6"/>
  <c r="GS4" i="6"/>
  <c r="GR7" i="6"/>
  <c r="HF12" i="6" l="1"/>
  <c r="HE14" i="6"/>
  <c r="GS7" i="6"/>
  <c r="GT4" i="6"/>
  <c r="HF14" i="6" l="1"/>
  <c r="HG12" i="6"/>
  <c r="GU4" i="6"/>
  <c r="GT7" i="6"/>
  <c r="HG14" i="6" l="1"/>
  <c r="HH12" i="6"/>
  <c r="GV4" i="6"/>
  <c r="GU7" i="6"/>
  <c r="HI12" i="6" l="1"/>
  <c r="HH14" i="6"/>
  <c r="GV7" i="6"/>
  <c r="GW4" i="6"/>
  <c r="HI14" i="6" l="1"/>
  <c r="HJ12" i="6"/>
  <c r="GW7" i="6"/>
  <c r="GX4" i="6"/>
  <c r="HJ14" i="6" l="1"/>
  <c r="HK12" i="6"/>
  <c r="GX7" i="6"/>
  <c r="GY4" i="6"/>
  <c r="HK14" i="6" l="1"/>
  <c r="HL12" i="6"/>
  <c r="GY7" i="6"/>
  <c r="GZ4" i="6"/>
  <c r="HM12" i="6" l="1"/>
  <c r="HL14" i="6"/>
  <c r="GZ7" i="6"/>
  <c r="HA4" i="6"/>
  <c r="HN12" i="6" l="1"/>
  <c r="HM14" i="6"/>
  <c r="HA7" i="6"/>
  <c r="HB4" i="6"/>
  <c r="HO12" i="6" l="1"/>
  <c r="HN14" i="6"/>
  <c r="HB7" i="6"/>
  <c r="HC4" i="6"/>
  <c r="HP12" i="6" l="1"/>
  <c r="HO14" i="6"/>
  <c r="HC7" i="6"/>
  <c r="HD4" i="6"/>
  <c r="HQ12" i="6" l="1"/>
  <c r="HP14" i="6"/>
  <c r="HE4" i="6"/>
  <c r="HD7" i="6"/>
  <c r="HR12" i="6" l="1"/>
  <c r="HQ14" i="6"/>
  <c r="HE7" i="6"/>
  <c r="HF4" i="6"/>
  <c r="HS12" i="6" l="1"/>
  <c r="HR14" i="6"/>
  <c r="HF7" i="6"/>
  <c r="HG4" i="6"/>
  <c r="HS14" i="6" l="1"/>
  <c r="HT12" i="6"/>
  <c r="HH4" i="6"/>
  <c r="HG7" i="6"/>
  <c r="HU12" i="6" l="1"/>
  <c r="HT14" i="6"/>
  <c r="HH7" i="6"/>
  <c r="HI4" i="6"/>
  <c r="HV12" i="6" l="1"/>
  <c r="HU14" i="6"/>
  <c r="HJ4" i="6"/>
  <c r="HI7" i="6"/>
  <c r="HW12" i="6" l="1"/>
  <c r="HV14" i="6"/>
  <c r="HJ7" i="6"/>
  <c r="HK4" i="6"/>
  <c r="HW14" i="6" l="1"/>
  <c r="HX12" i="6"/>
  <c r="HK7" i="6"/>
  <c r="HL4" i="6"/>
  <c r="HX14" i="6" l="1"/>
  <c r="HY12" i="6"/>
  <c r="HM4" i="6"/>
  <c r="HL7" i="6"/>
  <c r="HZ12" i="6" l="1"/>
  <c r="HY14" i="6"/>
  <c r="HM7" i="6"/>
  <c r="HN4" i="6"/>
  <c r="IA12" i="6" l="1"/>
  <c r="HZ14" i="6"/>
  <c r="HO4" i="6"/>
  <c r="HN7" i="6"/>
  <c r="IB12" i="6" l="1"/>
  <c r="IA14" i="6"/>
  <c r="HP4" i="6"/>
  <c r="HO7" i="6"/>
  <c r="IC12" i="6" l="1"/>
  <c r="IB14" i="6"/>
  <c r="HQ4" i="6"/>
  <c r="HP7" i="6"/>
  <c r="IC14" i="6" l="1"/>
  <c r="ID12" i="6"/>
  <c r="HQ7" i="6"/>
  <c r="HR4" i="6"/>
  <c r="IE12" i="6" l="1"/>
  <c r="ID14" i="6"/>
  <c r="HS4" i="6"/>
  <c r="HR7" i="6"/>
  <c r="IF12" i="6" l="1"/>
  <c r="IE14" i="6"/>
  <c r="HT4" i="6"/>
  <c r="HS7" i="6"/>
  <c r="IG12" i="6" l="1"/>
  <c r="IF14" i="6"/>
  <c r="HU4" i="6"/>
  <c r="HT7" i="6"/>
  <c r="IG14" i="6" l="1"/>
  <c r="IH12" i="6"/>
  <c r="HV4" i="6"/>
  <c r="HU7" i="6"/>
  <c r="II12" i="6" l="1"/>
  <c r="IH14" i="6"/>
  <c r="HV7" i="6"/>
  <c r="HW4" i="6"/>
  <c r="II14" i="6" l="1"/>
  <c r="IJ12" i="6"/>
  <c r="HW7" i="6"/>
  <c r="HX4" i="6"/>
  <c r="IJ14" i="6" l="1"/>
  <c r="IK12" i="6"/>
  <c r="HY4" i="6"/>
  <c r="HX7" i="6"/>
  <c r="IL12" i="6" l="1"/>
  <c r="IK14" i="6"/>
  <c r="HZ4" i="6"/>
  <c r="HY7" i="6"/>
  <c r="IL14" i="6" l="1"/>
  <c r="IM12" i="6"/>
  <c r="IA4" i="6"/>
  <c r="HZ7" i="6"/>
  <c r="IN12" i="6" l="1"/>
  <c r="IM14" i="6"/>
  <c r="IB4" i="6"/>
  <c r="IA7" i="6"/>
  <c r="IN14" i="6" l="1"/>
  <c r="IO12" i="6"/>
  <c r="IC4" i="6"/>
  <c r="IB7" i="6"/>
  <c r="IO14" i="6" l="1"/>
  <c r="IP12" i="6"/>
  <c r="ID4" i="6"/>
  <c r="IC7" i="6"/>
  <c r="IP14" i="6" l="1"/>
  <c r="IQ12" i="6"/>
  <c r="IE4" i="6"/>
  <c r="ID7" i="6"/>
  <c r="IR12" i="6" l="1"/>
  <c r="IQ14" i="6"/>
  <c r="IF4" i="6"/>
  <c r="IE7" i="6"/>
  <c r="IR14" i="6" l="1"/>
  <c r="IS12" i="6"/>
  <c r="IG4" i="6"/>
  <c r="IF7" i="6"/>
  <c r="IS14" i="6" l="1"/>
  <c r="IT12" i="6"/>
  <c r="IG7" i="6"/>
  <c r="IH4" i="6"/>
  <c r="IU12" i="6" l="1"/>
  <c r="IT14" i="6"/>
  <c r="IH7" i="6"/>
  <c r="II4" i="6"/>
  <c r="IV12" i="6" l="1"/>
  <c r="IU14" i="6"/>
  <c r="II7" i="6"/>
  <c r="IJ4" i="6"/>
  <c r="IV14" i="6" l="1"/>
  <c r="IW12" i="6"/>
  <c r="IJ7" i="6"/>
  <c r="IK4" i="6"/>
  <c r="IW14" i="6" l="1"/>
  <c r="IX12" i="6"/>
  <c r="IL4" i="6"/>
  <c r="IK7" i="6"/>
  <c r="IY12" i="6" l="1"/>
  <c r="IX14" i="6"/>
  <c r="IL7" i="6"/>
  <c r="IM4" i="6"/>
  <c r="IY14" i="6" l="1"/>
  <c r="IZ12" i="6"/>
  <c r="IM7" i="6"/>
  <c r="IN4" i="6"/>
  <c r="JA12" i="6" l="1"/>
  <c r="IZ14" i="6"/>
  <c r="IN7" i="6"/>
  <c r="IO4" i="6"/>
  <c r="JA14" i="6" l="1"/>
  <c r="JB12" i="6"/>
  <c r="IP4" i="6"/>
  <c r="IO7" i="6"/>
  <c r="JC12" i="6" l="1"/>
  <c r="JB14" i="6"/>
  <c r="IQ4" i="6"/>
  <c r="IP7" i="6"/>
  <c r="JD12" i="6" l="1"/>
  <c r="JC14" i="6"/>
  <c r="IR4" i="6"/>
  <c r="IQ7" i="6"/>
  <c r="JD14" i="6" l="1"/>
  <c r="JE12" i="6"/>
  <c r="IR7" i="6"/>
  <c r="IS4" i="6"/>
  <c r="JE14" i="6" l="1"/>
  <c r="JF12" i="6"/>
  <c r="IT4" i="6"/>
  <c r="IS7" i="6"/>
  <c r="JG12" i="6" l="1"/>
  <c r="JF14" i="6"/>
  <c r="IU4" i="6"/>
  <c r="IT7" i="6"/>
  <c r="JH12" i="6" l="1"/>
  <c r="JG14" i="6"/>
  <c r="IU7" i="6"/>
  <c r="IV4" i="6"/>
  <c r="JH14" i="6" l="1"/>
  <c r="JI12" i="6"/>
  <c r="IW4" i="6"/>
  <c r="IV7" i="6"/>
  <c r="JJ12" i="6" l="1"/>
  <c r="JI14" i="6"/>
  <c r="IW7" i="6"/>
  <c r="IX4" i="6"/>
  <c r="JJ14" i="6" l="1"/>
  <c r="JK12" i="6"/>
  <c r="IX7" i="6"/>
  <c r="IY4" i="6"/>
  <c r="JK14" i="6" l="1"/>
  <c r="JL12" i="6"/>
  <c r="IZ4" i="6"/>
  <c r="IY7" i="6"/>
  <c r="JM12" i="6" l="1"/>
  <c r="JL14" i="6"/>
  <c r="JA4" i="6"/>
  <c r="IZ7" i="6"/>
  <c r="JN12" i="6" l="1"/>
  <c r="JM14" i="6"/>
  <c r="JB4" i="6"/>
  <c r="JA7" i="6"/>
  <c r="JN14" i="6" l="1"/>
  <c r="JO12" i="6"/>
  <c r="JC4" i="6"/>
  <c r="JB7" i="6"/>
  <c r="JO14" i="6" l="1"/>
  <c r="JP12" i="6"/>
  <c r="JC7" i="6"/>
  <c r="JD4" i="6"/>
  <c r="JP14" i="6" l="1"/>
  <c r="JQ12" i="6"/>
  <c r="JD7" i="6"/>
  <c r="JE4" i="6"/>
  <c r="JR12" i="6" l="1"/>
  <c r="JQ14" i="6"/>
  <c r="JE7" i="6"/>
  <c r="JF4" i="6"/>
  <c r="JR14" i="6" l="1"/>
  <c r="JS12" i="6"/>
  <c r="JF7" i="6"/>
  <c r="JG4" i="6"/>
  <c r="JT12" i="6" l="1"/>
  <c r="JS14" i="6"/>
  <c r="JH4" i="6"/>
  <c r="JG7" i="6"/>
  <c r="JU12" i="6" l="1"/>
  <c r="JT14" i="6"/>
  <c r="JI4" i="6"/>
  <c r="JH7" i="6"/>
  <c r="JU14" i="6" l="1"/>
  <c r="JV12" i="6"/>
  <c r="JI7" i="6"/>
  <c r="JJ4" i="6"/>
  <c r="JW12" i="6" l="1"/>
  <c r="JV14" i="6"/>
  <c r="JJ7" i="6"/>
  <c r="JK4" i="6"/>
  <c r="JX12" i="6" l="1"/>
  <c r="JW14" i="6"/>
  <c r="JL4" i="6"/>
  <c r="JK7" i="6"/>
  <c r="JY12" i="6" l="1"/>
  <c r="JX14" i="6"/>
  <c r="JM4" i="6"/>
  <c r="JL7" i="6"/>
  <c r="JZ12" i="6" l="1"/>
  <c r="JY14" i="6"/>
  <c r="JN4" i="6"/>
  <c r="JM7" i="6"/>
  <c r="KA12" i="6" l="1"/>
  <c r="JZ14" i="6"/>
  <c r="JN7" i="6"/>
  <c r="JO4" i="6"/>
  <c r="KB12" i="6" l="1"/>
  <c r="KA14" i="6"/>
  <c r="JO7" i="6"/>
  <c r="JP4" i="6"/>
  <c r="KB14" i="6" l="1"/>
  <c r="KC12" i="6"/>
  <c r="JQ4" i="6"/>
  <c r="JP7" i="6"/>
  <c r="KC14" i="6" l="1"/>
  <c r="KD12" i="6"/>
  <c r="JR4" i="6"/>
  <c r="JQ7" i="6"/>
  <c r="KD14" i="6" l="1"/>
  <c r="KE12" i="6"/>
  <c r="JS4" i="6"/>
  <c r="JR7" i="6"/>
  <c r="KF12" i="6" l="1"/>
  <c r="KE14" i="6"/>
  <c r="JS7" i="6"/>
  <c r="JT4" i="6"/>
  <c r="KF14" i="6" l="1"/>
  <c r="KG12" i="6"/>
  <c r="JT7" i="6"/>
  <c r="JU4" i="6"/>
  <c r="KH12" i="6" l="1"/>
  <c r="KG14" i="6"/>
  <c r="JV4" i="6"/>
  <c r="JU7" i="6"/>
  <c r="KI12" i="6" l="1"/>
  <c r="KH14" i="6"/>
  <c r="JW4" i="6"/>
  <c r="JV7" i="6"/>
  <c r="KI14" i="6" l="1"/>
  <c r="KJ12" i="6"/>
  <c r="JX4" i="6"/>
  <c r="JW7" i="6"/>
  <c r="KJ14" i="6" l="1"/>
  <c r="KK12" i="6"/>
  <c r="JY4" i="6"/>
  <c r="JX7" i="6"/>
  <c r="KK14" i="6" l="1"/>
  <c r="KL12" i="6"/>
  <c r="JY7" i="6"/>
  <c r="JZ4" i="6"/>
  <c r="KM12" i="6" l="1"/>
  <c r="KL14" i="6"/>
  <c r="JZ7" i="6"/>
  <c r="KA4" i="6"/>
  <c r="KN12" i="6" l="1"/>
  <c r="KM14" i="6"/>
  <c r="KB4" i="6"/>
  <c r="KA7" i="6"/>
  <c r="KO12" i="6" l="1"/>
  <c r="KN14" i="6"/>
  <c r="KC4" i="6"/>
  <c r="KB7" i="6"/>
  <c r="KP12" i="6" l="1"/>
  <c r="KO14" i="6"/>
  <c r="KD4" i="6"/>
  <c r="KC7" i="6"/>
  <c r="KP14" i="6" l="1"/>
  <c r="KQ12" i="6"/>
  <c r="KD7" i="6"/>
  <c r="KE4" i="6"/>
  <c r="KQ14" i="6" l="1"/>
  <c r="KR12" i="6"/>
  <c r="KE7" i="6"/>
  <c r="KF4" i="6"/>
  <c r="KS12" i="6" l="1"/>
  <c r="KR14" i="6"/>
  <c r="KF7" i="6"/>
  <c r="KG4" i="6"/>
  <c r="KT12" i="6" l="1"/>
  <c r="KS14" i="6"/>
  <c r="KH4" i="6"/>
  <c r="KG7" i="6"/>
  <c r="KU12" i="6" l="1"/>
  <c r="KT14" i="6"/>
  <c r="KI4" i="6"/>
  <c r="KH7" i="6"/>
  <c r="KV12" i="6" l="1"/>
  <c r="KU14" i="6"/>
  <c r="KI7" i="6"/>
  <c r="KJ4" i="6"/>
  <c r="KV14" i="6" l="1"/>
  <c r="KW12" i="6"/>
  <c r="KJ7" i="6"/>
  <c r="KK4" i="6"/>
  <c r="KX12" i="6" l="1"/>
  <c r="KW14" i="6"/>
  <c r="KK7" i="6"/>
  <c r="KL4" i="6"/>
  <c r="KX14" i="6" l="1"/>
  <c r="KY12" i="6"/>
  <c r="KL7" i="6"/>
  <c r="KM4" i="6"/>
  <c r="KY14" i="6" l="1"/>
  <c r="KZ12" i="6"/>
  <c r="KN4" i="6"/>
  <c r="KM7" i="6"/>
  <c r="LA12" i="6" l="1"/>
  <c r="KZ14" i="6"/>
  <c r="KN7" i="6"/>
  <c r="KO4" i="6"/>
  <c r="LB12" i="6" l="1"/>
  <c r="LA14" i="6"/>
  <c r="KP4" i="6"/>
  <c r="KO7" i="6"/>
  <c r="LC12" i="6" l="1"/>
  <c r="LB14" i="6"/>
  <c r="KP7" i="6"/>
  <c r="KQ4" i="6"/>
  <c r="LD12" i="6" l="1"/>
  <c r="LD14" i="6" s="1"/>
  <c r="LC14" i="6"/>
  <c r="KR4" i="6"/>
  <c r="KQ7" i="6"/>
  <c r="KR7" i="6" l="1"/>
  <c r="KS4" i="6"/>
  <c r="KT4" i="6" l="1"/>
  <c r="KS7" i="6"/>
  <c r="KU4" i="6" l="1"/>
  <c r="KT7" i="6"/>
  <c r="KU7" i="6" l="1"/>
  <c r="KV4" i="6"/>
  <c r="KV7" i="6" l="1"/>
  <c r="KW4" i="6"/>
  <c r="KW7" i="6" l="1"/>
  <c r="KX4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tc={9210E67A-45E1-4502-B4B8-70BBDF32AF8C}</author>
    <author>tc={EE69808F-4D61-449A-9057-A5DD8DD889B8}</author>
  </authors>
  <commentList>
    <comment ref="H45" authorId="0" shapeId="0" xr:uid="{9210E67A-45E1-4502-B4B8-70BBDF32AF8C}">
      <text>
        <t>[Threaded comment]
Your version of Excel allows you to read this threaded comment; however, any edits to it will get removed if the file is opened in a newer version of Excel. Learn more: https://go.microsoft.com/fwlink/?linkid=870924
Comment:
    @Roedolph Venter have we arranged for 60 days payment terms with AccuEnergy?  Our terms is 30 days from statement making it payable 31 May and not 30 June.</t>
      </text>
    </comment>
    <comment ref="W127" authorId="1" shapeId="0" xr:uid="{EE69808F-4D61-449A-9057-A5DD8DD889B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<sst xmlns="http://schemas.openxmlformats.org/spreadsheetml/2006/main" count="909" uniqueCount="541">
  <si>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</si>
  <si>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</si>
  <si>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</si>
  <si>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</si>
  <si>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</si>
  <si>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</si>
  <si>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</si>
  <si>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</si>
  <si>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</si>
  <si>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</si>
  <si>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</si>
  <si>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</si>
  <si>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</si>
  <si>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</si>
  <si>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</si>
  <si>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</si>
  <si>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</si>
  <si>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</si>
  <si>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</si>
  <si>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</si>
  <si>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</si>
  <si>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</si>
  <si>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</si>
  <si>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</si>
  <si>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</si>
  <si>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</si>
  <si>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</si>
  <si>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</si>
  <si>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</si>
  <si>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</si>
  <si>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</si>
  <si>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</si>
  <si>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</si>
  <si>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</si>
  <si>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</si>
  <si>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</si>
  <si>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</si>
  <si>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</si>
  <si>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</si>
  <si>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</si>
  <si>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</si>
  <si>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</si>
  <si>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</si>
  <si>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</si>
  <si>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</si>
  <si>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</si>
  <si>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</si>
  <si>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</si>
  <si>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</si>
  <si>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</si>
  <si>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</si>
  <si>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</si>
  <si>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</si>
  <si>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</si>
  <si>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</si>
  <si>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</si>
  <si>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</si>
  <si>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</si>
  <si>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</si>
  <si>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</si>
  <si>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</si>
  <si>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</si>
  <si>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</si>
  <si>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</si>
  <si>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</si>
  <si>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</si>
  <si>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</si>
  <si>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</si>
  <si>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</si>
  <si>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</si>
  <si>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</si>
  <si>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</si>
  <si>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</si>
  <si>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</si>
  <si>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</si>
  <si>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</si>
  <si>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</si>
  <si>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</si>
  <si>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</si>
  <si>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</si>
  <si>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</si>
  <si>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</si>
  <si>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</si>
  <si>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</si>
  <si>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</si>
  <si>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</si>
  <si>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</si>
  <si>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</si>
  <si>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</si>
  <si>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</si>
  <si>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</si>
  <si>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</si>
  <si>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</si>
  <si>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</si>
  <si>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</si>
  <si>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</si>
  <si>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</si>
  <si>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</si>
  <si>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</si>
  <si>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</si>
  <si>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</si>
  <si>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</si>
  <si>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</si>
  <si>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004730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</si>
  <si>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</si>
  <si>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</si>
  <si>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</si>
  <si>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</si>
  <si>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</si>
  <si>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</si>
  <si>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</si>
  <si>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</si>
  <si>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</si>
  <si>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</si>
  <si>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</si>
  <si>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</si>
  <si>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</si>
  <si>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</si>
  <si>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</si>
  <si>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</si>
  <si>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</si>
  <si>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Gezina Galleries</t>
  </si>
  <si>
    <t xml:space="preserve">Still have a inverter down (possible RMA)
</t>
  </si>
  <si>
    <t>PROJECT SIZE (kWp)</t>
  </si>
  <si>
    <t>PROJECT DEVELOPER</t>
  </si>
  <si>
    <t>Natasha Watkins Baker</t>
  </si>
  <si>
    <t>PROJECT MANAGERS</t>
  </si>
  <si>
    <t>Eon Van Rensburg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</si>
  <si>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</si>
  <si>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</si>
  <si>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</si>
  <si>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</si>
  <si>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</si>
  <si>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</si>
  <si>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</si>
  <si>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</si>
  <si>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Excpeted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</si>
  <si>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</si>
  <si>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</si>
  <si>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</si>
  <si>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</si>
  <si>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</si>
  <si>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</si>
  <si>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</si>
  <si>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</si>
  <si>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</si>
  <si>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</si>
  <si>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</si>
  <si>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</si>
  <si>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</si>
  <si>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</si>
  <si>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</si>
  <si>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</si>
  <si>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</si>
  <si>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</si>
  <si>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</si>
  <si>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</si>
  <si>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</si>
  <si>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</si>
  <si>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</si>
  <si>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</si>
  <si>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</si>
  <si>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</si>
  <si>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</si>
  <si>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</si>
  <si>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</si>
  <si>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</si>
  <si>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</si>
  <si>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</si>
  <si>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</si>
  <si>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</si>
  <si>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</si>
  <si>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</si>
  <si>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</si>
  <si>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</si>
  <si>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</si>
  <si>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</si>
  <si>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</si>
  <si>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</si>
  <si>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</si>
  <si>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</si>
  <si>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</si>
  <si>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</si>
  <si>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</si>
  <si>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7.2</t>
  </si>
  <si>
    <t>Anderson Consulting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</si>
  <si>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</si>
  <si>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</si>
  <si>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</si>
  <si>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</si>
  <si>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</si>
  <si>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</si>
  <si>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</si>
  <si>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request sent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</si>
  <si>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</si>
  <si>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</si>
  <si>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</si>
  <si>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</si>
  <si>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</si>
  <si>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</si>
  <si>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</si>
  <si>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</si>
  <si>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</si>
  <si>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</si>
  <si>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</si>
  <si>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</si>
  <si>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</si>
  <si>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</si>
  <si>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</si>
  <si>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</si>
  <si>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</si>
  <si>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</si>
  <si>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</si>
  <si>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</si>
  <si>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</si>
  <si>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</si>
  <si>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</si>
  <si>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</si>
  <si>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</si>
  <si>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</si>
  <si>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</si>
  <si>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</si>
  <si>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</si>
  <si>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</si>
  <si>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</si>
  <si>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</si>
  <si>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</si>
  <si>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</si>
  <si>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</si>
  <si>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</si>
  <si>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</si>
  <si>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</si>
  <si>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</si>
  <si>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</si>
  <si>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</si>
  <si>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</si>
  <si>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</si>
  <si>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</si>
  <si>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</si>
  <si>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</si>
  <si>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</si>
  <si>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</si>
  <si>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</si>
  <si>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PO3894-DIP-PH2=20250514</t>
  </si>
  <si>
    <t>Menlo Inv INV0003032</t>
  </si>
  <si>
    <t>Delivery Budget</t>
  </si>
  <si>
    <t>MSA Energy Solutions INV0003443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</si>
  <si>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</si>
  <si>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</si>
  <si>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</si>
  <si>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</si>
  <si>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</si>
  <si>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</si>
  <si>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</si>
  <si>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</si>
  <si>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</si>
  <si>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 xml:space="preserve">Huawei 100KTL </t>
  </si>
  <si>
    <t>Allocated from Joburg Storeroom</t>
  </si>
  <si>
    <t>AC Labour</t>
  </si>
  <si>
    <t>Huawei 100KTL - RMA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</si>
  <si>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</si>
  <si>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</si>
  <si>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</si>
  <si>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</si>
  <si>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</si>
  <si>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</si>
  <si>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</si>
  <si>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</si>
  <si>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</si>
  <si>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PO3917-DIP-Ph2-Gezi-20250515 - RVApproved</t>
  </si>
  <si>
    <t>Schletter - INV1902</t>
  </si>
  <si>
    <t>Other</t>
  </si>
  <si>
    <t>Additional Clamps</t>
  </si>
  <si>
    <t>PO4484-DIP-Ph2-Gezi-20251124 - RV Approved</t>
  </si>
  <si>
    <t>Schletter - INV2459</t>
  </si>
  <si>
    <t>Less 15%</t>
  </si>
  <si>
    <t>R/Wp</t>
  </si>
  <si>
    <t>ACTUAL - Cosmic Sun</t>
  </si>
  <si>
    <t>Installer Price</t>
  </si>
  <si>
    <t>DC Cable Budget</t>
  </si>
  <si>
    <t>4. DC Equipment</t>
  </si>
  <si>
    <t>DC Cable - Menlo</t>
  </si>
  <si>
    <t>PO3894-DIP-PH2-20250514</t>
  </si>
  <si>
    <t>DC Equipment Budget</t>
  </si>
  <si>
    <t>DC Cable - Helukabel</t>
  </si>
  <si>
    <t>PO4495-GEZ-20251126 - RV Approved</t>
  </si>
  <si>
    <t>Helukabel - PSI0047534</t>
  </si>
  <si>
    <t>DC Cable - Rubicon</t>
  </si>
  <si>
    <t>Rubicon Inv: INVWCRE-0072974</t>
  </si>
  <si>
    <t>Project Kick Off</t>
  </si>
  <si>
    <t>PO3868-DIP-Ph2-Gezi-20250512 - RV Approved</t>
  </si>
  <si>
    <t>Cosmic Sun: CS_GZG_001</t>
  </si>
  <si>
    <t>Cosmic Sun: CS_GZG_002</t>
  </si>
  <si>
    <t>AC Installation Complete</t>
  </si>
  <si>
    <t>Cosmic Sun - CS_GZG_004</t>
  </si>
  <si>
    <t>DC Installation Complete</t>
  </si>
  <si>
    <t>Cosmic Sun - CS_GZG_003 A</t>
  </si>
  <si>
    <t>Cosmic Sun - CS_GZG_005 A</t>
  </si>
  <si>
    <t>Site De-establisment</t>
  </si>
  <si>
    <t>Cosmic Sun - CS_GZG_006 A</t>
  </si>
  <si>
    <t>Handover Document Complete</t>
  </si>
  <si>
    <t>Cosmic Sun - CS_GZG_007 A</t>
  </si>
  <si>
    <t>End of Defects Period</t>
  </si>
  <si>
    <t>Cosmic Sun - CS_GZG_008 A</t>
  </si>
  <si>
    <t>Monitoring</t>
  </si>
  <si>
    <t>Monitoring Budget</t>
  </si>
  <si>
    <t>5. Monitoring</t>
  </si>
  <si>
    <t>Smartlogger - Menlo</t>
  </si>
  <si>
    <t>Menlo Inv: INV0002928</t>
  </si>
  <si>
    <t>Revenue Metering</t>
  </si>
  <si>
    <t>CTs &amp; Meters</t>
  </si>
  <si>
    <t>PO3828-DIP-Ph2-Gezi-20250429 - RV Approved</t>
  </si>
  <si>
    <t>Accuenergy - Inv ASAI-005354</t>
  </si>
  <si>
    <t>Accenergy - INV ASAI-005800</t>
  </si>
  <si>
    <t>Techsitter</t>
  </si>
  <si>
    <t>Matriarch Inv: 4451</t>
  </si>
  <si>
    <t>UPS</t>
  </si>
  <si>
    <t>PO3863-DIP Ph2-20250509 - RV Approved</t>
  </si>
  <si>
    <t>Frontline Electrical - INV725690</t>
  </si>
  <si>
    <t>AC Equipment Budget</t>
  </si>
  <si>
    <t>6. AC Equipment</t>
  </si>
  <si>
    <t>PVDB</t>
  </si>
  <si>
    <t>PO3892-DIP-Ph2-Gezina-20250513 - RV Approved</t>
  </si>
  <si>
    <t>Switchboard Inv: 2-SOI002101</t>
  </si>
  <si>
    <t>BESS</t>
  </si>
  <si>
    <t>7.BESS</t>
  </si>
  <si>
    <t xml:space="preserve">Product Add On </t>
  </si>
  <si>
    <t xml:space="preserve">8. Product Add On </t>
  </si>
  <si>
    <t>Estop</t>
  </si>
  <si>
    <t>PO4393-DIP-Ph2-Gezi-20251023 - RV Approved</t>
  </si>
  <si>
    <t>Cosmic Sun - CS_GZG_011_VO</t>
  </si>
  <si>
    <t>Installation of SPD - Recover Cost from SWB</t>
  </si>
  <si>
    <t>PO4562-DIP-Ph2-Gezi-20260121 - RV Approved</t>
  </si>
  <si>
    <t>Cosmic Sun - CS_GZG_012</t>
  </si>
  <si>
    <t>Switchboard - 2-ARI001536</t>
  </si>
  <si>
    <t>Inverter Cage with Roof</t>
  </si>
  <si>
    <t>PO4019-DIP-Ph2-Gezi-20250623 - RV Approved</t>
  </si>
  <si>
    <t>The Engineering Hub INV/2025/06/05765</t>
  </si>
  <si>
    <t>Waterpoints</t>
  </si>
  <si>
    <t>PO4339-DIP-Ph2-Gezi-20250929 - RV Approved</t>
  </si>
  <si>
    <t>NDAWONGA TRADING - 1485</t>
  </si>
  <si>
    <t>CS - Tie In Kiosk</t>
  </si>
  <si>
    <t>PO4351-DIP-Ph2-Gezi-20251006 - RV Approved</t>
  </si>
  <si>
    <t>Cosmic Sun - CS_GZG_010</t>
  </si>
  <si>
    <t>Modification on inverter cage</t>
  </si>
  <si>
    <t>PO4579-DIP-Ph2-Gezi-20260127 - RV Approved</t>
  </si>
  <si>
    <t>The Engineering Hub INV/2026/01/0248</t>
  </si>
  <si>
    <t>AC &amp; DC Installation</t>
  </si>
  <si>
    <t>AC Installation Budget</t>
  </si>
  <si>
    <t>9. AC &amp; DC installation</t>
  </si>
  <si>
    <t>DC Installation Budget</t>
  </si>
  <si>
    <t>Cosmic Sun - CS_GZG_003_B</t>
  </si>
  <si>
    <t>Cosmic Sun - CS_GZG_005_B</t>
  </si>
  <si>
    <t>Cosmic Sun - CS_GZG_006_B</t>
  </si>
  <si>
    <t>Cosmic Sun - CS_GZG_007_B</t>
  </si>
  <si>
    <t>Cosmic Sun - CS_GZG_008_B</t>
  </si>
  <si>
    <t>Site Logistics</t>
  </si>
  <si>
    <t>10. Site Logistics</t>
  </si>
  <si>
    <t>Security - July</t>
  </si>
  <si>
    <t>PO4055-DIP-Ph2-Gezi-20250627 - RV Approved</t>
  </si>
  <si>
    <t>Bidvest Protea Coin: 749745</t>
  </si>
  <si>
    <t>Security - August</t>
  </si>
  <si>
    <t>Bidvest Protea Coin: 760988</t>
  </si>
  <si>
    <t>Security - September</t>
  </si>
  <si>
    <t>Bidvest Protea Coin: 760989</t>
  </si>
  <si>
    <t>Security - October</t>
  </si>
  <si>
    <t>Bidvest Protea Coin: 763696</t>
  </si>
  <si>
    <t>Security - November</t>
  </si>
  <si>
    <t>Bidvest Protea Coin: 773193</t>
  </si>
  <si>
    <t>Security</t>
  </si>
  <si>
    <t>Security - December</t>
  </si>
  <si>
    <t>Bidvest Protea Coin: 768743</t>
  </si>
  <si>
    <t>Due Dilligence</t>
  </si>
  <si>
    <t>Electrical PrEng sign off</t>
  </si>
  <si>
    <t>11. Due Dilligence</t>
  </si>
  <si>
    <t>Sunspot Investments E027</t>
  </si>
  <si>
    <t>Structural Sign Off</t>
  </si>
  <si>
    <t>Structural Sign Off (Includes Seshego Circle)</t>
  </si>
  <si>
    <t>PO3745-DIP-Ph2-20250313 - RV Approved</t>
  </si>
  <si>
    <t xml:space="preserve">L&amp;B Consulting - Invoice 1934 </t>
  </si>
  <si>
    <t>Grid Study</t>
  </si>
  <si>
    <t>PO4079-DIP-Ph2-Gezi-20250701 - RV Approved</t>
  </si>
  <si>
    <t>Okusha EE19</t>
  </si>
  <si>
    <t>Lightning Risk Assessment</t>
  </si>
  <si>
    <t>PO3844-Dipula Ph2-20250430 - RV Approved</t>
  </si>
  <si>
    <t>LPS Inv: IN306837</t>
  </si>
  <si>
    <t>Red Team Inspection</t>
  </si>
  <si>
    <t>Matriarch - INV-6571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</si>
  <si>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</si>
  <si>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</si>
  <si>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</si>
  <si>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</si>
  <si>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</si>
  <si>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</si>
  <si>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</si>
  <si>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</si>
  <si>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</si>
  <si>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</si>
  <si>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</si>
  <si>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</si>
  <si>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</si>
  <si>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</si>
  <si>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</si>
  <si>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</si>
  <si>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</si>
  <si>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</si>
  <si>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</si>
  <si>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</si>
  <si>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</si>
  <si>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Bonus- Site Establishment</t>
  </si>
  <si>
    <t>Luxanio Trading - 23400/202506/274897/I</t>
  </si>
  <si>
    <t>Welcome Bonus- Commissioning</t>
  </si>
  <si>
    <t>Community Engagement</t>
  </si>
  <si>
    <t>CS - Standing Time - VO</t>
  </si>
  <si>
    <t>Cosmic Sun - CS_GZG_009</t>
  </si>
  <si>
    <t>Client Electrician Labour</t>
  </si>
  <si>
    <t>PO4500-DIP-Ph2-Gezi-20251127 - RV Approved</t>
  </si>
  <si>
    <t>Ecom Electrical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</si>
  <si>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</si>
  <si>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</si>
  <si>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</si>
  <si>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</si>
  <si>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</si>
  <si>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</si>
  <si>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</si>
  <si>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</si>
  <si>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</si>
  <si>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</si>
  <si>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</si>
  <si>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</si>
  <si>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</si>
  <si>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</si>
  <si>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</si>
  <si>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</si>
  <si>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</si>
  <si>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</si>
  <si>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</si>
  <si>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</si>
  <si>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</si>
  <si>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</si>
  <si>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</si>
  <si>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</si>
  <si>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</si>
  <si>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</si>
  <si>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</si>
  <si>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</si>
  <si>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</si>
  <si>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</si>
  <si>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</si>
  <si>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</si>
  <si>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</si>
  <si>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</si>
  <si>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</si>
  <si>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</si>
  <si>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</si>
  <si>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</si>
  <si>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</si>
  <si>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</si>
  <si>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</si>
  <si>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</si>
  <si>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</si>
  <si>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</si>
  <si>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</si>
  <si>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</si>
  <si>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</si>
  <si>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</si>
  <si>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</si>
  <si>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</si>
  <si>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</si>
  <si>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</si>
  <si>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</si>
  <si>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</si>
  <si>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</si>
  <si>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</si>
  <si>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</si>
  <si>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</si>
  <si>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</si>
  <si>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</si>
  <si>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</si>
  <si>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</si>
  <si>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</si>
  <si>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</si>
  <si>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</si>
  <si>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</si>
  <si>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</si>
  <si>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</si>
  <si>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</si>
  <si>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</si>
  <si>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</si>
  <si>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</si>
  <si>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</si>
  <si>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</si>
  <si>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</si>
  <si>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</si>
  <si>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</si>
  <si>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</si>
  <si>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</si>
  <si>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</si>
  <si>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</si>
  <si>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</si>
  <si>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</si>
  <si>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</si>
  <si>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</si>
  <si>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</si>
  <si>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</si>
  <si>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</si>
  <si>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</si>
  <si>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</si>
  <si>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</si>
  <si>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</si>
  <si>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</si>
  <si>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</si>
  <si>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</si>
  <si>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</si>
  <si>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</si>
  <si>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</si>
  <si>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</si>
  <si>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</si>
  <si>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</si>
  <si>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</si>
  <si>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</si>
  <si>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</si>
  <si>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</si>
  <si>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</si>
  <si>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</si>
  <si>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</si>
  <si>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</si>
  <si>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</si>
  <si>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</si>
  <si>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</si>
  <si>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</si>
  <si>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</si>
  <si>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</si>
  <si>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</si>
  <si>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</si>
  <si>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</si>
  <si>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</si>
  <si>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</si>
  <si>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</si>
  <si>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Metering Data - Powertech</t>
  </si>
  <si>
    <t>PO4652-DIP-Ph2-Gezi-20260303 -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</si>
</sst>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" fillId="10" borderId="71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68" fontId="5" fillId="10" borderId="72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6" fillId="13" borderId="81" xfId="0" applyFont="1" applyFill="1" applyBorder="1" applyProtection="1">
      <protection locked="0"/>
    </xf>
    <xf numFmtId="0" fontId="6" fillId="13" borderId="82" xfId="0" applyFont="1" applyFill="1" applyBorder="1" applyProtection="1">
      <protection locked="0"/>
    </xf>
    <xf numFmtId="0" fontId="6" fillId="13" borderId="27" xfId="0" applyFont="1" applyFill="1" applyBorder="1" applyProtection="1">
      <protection locked="0"/>
    </xf>
    <xf numFmtId="14" fontId="52" fillId="13" borderId="63" xfId="0" applyNumberFormat="1" applyFont="1" applyFill="1" applyBorder="1" applyAlignment="1" applyProtection="1">
      <alignment horizont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1738569.7220000001</c:v>
                </c:pt>
                <c:pt idx="24">
                  <c:v>1738569.7220000001</c:v>
                </c:pt>
                <c:pt idx="25">
                  <c:v>1738569.7220000001</c:v>
                </c:pt>
                <c:pt idx="26">
                  <c:v>3042497.0134999999</c:v>
                </c:pt>
                <c:pt idx="27">
                  <c:v>3042497.0134999999</c:v>
                </c:pt>
                <c:pt idx="28">
                  <c:v>3042497.0134999999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8258206.1795000006</c:v>
                </c:pt>
                <c:pt idx="42">
                  <c:v>8258206.1795000006</c:v>
                </c:pt>
                <c:pt idx="43">
                  <c:v>8258206.1795000006</c:v>
                </c:pt>
                <c:pt idx="44">
                  <c:v>8258206.1795000006</c:v>
                </c:pt>
                <c:pt idx="45">
                  <c:v>8258206.1795000006</c:v>
                </c:pt>
                <c:pt idx="46">
                  <c:v>8258206.1795000006</c:v>
                </c:pt>
                <c:pt idx="47">
                  <c:v>8258206.1795000006</c:v>
                </c:pt>
                <c:pt idx="48">
                  <c:v>8258206.1795000006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8258206.1795000006</c:v>
                </c:pt>
                <c:pt idx="52">
                  <c:v>8258206.1795000006</c:v>
                </c:pt>
                <c:pt idx="53">
                  <c:v>8258206.1795000006</c:v>
                </c:pt>
                <c:pt idx="54">
                  <c:v>8258206.1795000006</c:v>
                </c:pt>
                <c:pt idx="55">
                  <c:v>8258206.1795000006</c:v>
                </c:pt>
                <c:pt idx="56">
                  <c:v>8258206.1795000006</c:v>
                </c:pt>
                <c:pt idx="57">
                  <c:v>8258206.1795000006</c:v>
                </c:pt>
                <c:pt idx="58">
                  <c:v>8258206.1795000006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16625</c:v>
                </c:pt>
                <c:pt idx="16">
                  <c:v>788550</c:v>
                </c:pt>
                <c:pt idx="17">
                  <c:v>788550</c:v>
                </c:pt>
                <c:pt idx="18">
                  <c:v>803550</c:v>
                </c:pt>
                <c:pt idx="19">
                  <c:v>803550</c:v>
                </c:pt>
                <c:pt idx="20">
                  <c:v>803550</c:v>
                </c:pt>
                <c:pt idx="21">
                  <c:v>803550</c:v>
                </c:pt>
                <c:pt idx="22">
                  <c:v>803550</c:v>
                </c:pt>
                <c:pt idx="23">
                  <c:v>803550</c:v>
                </c:pt>
                <c:pt idx="24">
                  <c:v>2603550</c:v>
                </c:pt>
                <c:pt idx="25">
                  <c:v>2637550</c:v>
                </c:pt>
                <c:pt idx="26">
                  <c:v>2637550</c:v>
                </c:pt>
                <c:pt idx="27">
                  <c:v>6088535.4800000004</c:v>
                </c:pt>
                <c:pt idx="28">
                  <c:v>6088535.4800000004</c:v>
                </c:pt>
                <c:pt idx="29">
                  <c:v>6088535.4800000004</c:v>
                </c:pt>
                <c:pt idx="30">
                  <c:v>7397479.3800000008</c:v>
                </c:pt>
                <c:pt idx="31">
                  <c:v>7397479.3800000008</c:v>
                </c:pt>
                <c:pt idx="32">
                  <c:v>7405979.3800000008</c:v>
                </c:pt>
                <c:pt idx="33">
                  <c:v>7405979.3800000008</c:v>
                </c:pt>
                <c:pt idx="34">
                  <c:v>7405979.3800000008</c:v>
                </c:pt>
                <c:pt idx="35">
                  <c:v>7405979.3800000008</c:v>
                </c:pt>
                <c:pt idx="36">
                  <c:v>7879696.2775021633</c:v>
                </c:pt>
                <c:pt idx="37">
                  <c:v>7879696.2775021633</c:v>
                </c:pt>
                <c:pt idx="38">
                  <c:v>7879696.2775021633</c:v>
                </c:pt>
                <c:pt idx="39">
                  <c:v>7879696.2775021633</c:v>
                </c:pt>
                <c:pt idx="40">
                  <c:v>7879696.2775021633</c:v>
                </c:pt>
                <c:pt idx="41">
                  <c:v>7879696.2775021633</c:v>
                </c:pt>
                <c:pt idx="42">
                  <c:v>7879696.2775021633</c:v>
                </c:pt>
                <c:pt idx="43">
                  <c:v>7879696.2775021633</c:v>
                </c:pt>
                <c:pt idx="44">
                  <c:v>7879696.2775021633</c:v>
                </c:pt>
                <c:pt idx="45">
                  <c:v>7879696.2775021633</c:v>
                </c:pt>
                <c:pt idx="46">
                  <c:v>7879696.2775021633</c:v>
                </c:pt>
                <c:pt idx="47">
                  <c:v>7879696.2775021633</c:v>
                </c:pt>
                <c:pt idx="48">
                  <c:v>7879696.2775021633</c:v>
                </c:pt>
                <c:pt idx="49">
                  <c:v>8166239.0135021638</c:v>
                </c:pt>
                <c:pt idx="50">
                  <c:v>8166239.0135021638</c:v>
                </c:pt>
                <c:pt idx="51">
                  <c:v>8166239.0135021638</c:v>
                </c:pt>
                <c:pt idx="52">
                  <c:v>8166239.0135021638</c:v>
                </c:pt>
                <c:pt idx="53">
                  <c:v>8166239.0135021638</c:v>
                </c:pt>
                <c:pt idx="54">
                  <c:v>8166239.0135021638</c:v>
                </c:pt>
                <c:pt idx="55">
                  <c:v>8166239.0135021638</c:v>
                </c:pt>
                <c:pt idx="56">
                  <c:v>8166239.0135021638</c:v>
                </c:pt>
                <c:pt idx="57">
                  <c:v>8166239.0135021638</c:v>
                </c:pt>
                <c:pt idx="58">
                  <c:v>8166239.0135021638</c:v>
                </c:pt>
                <c:pt idx="59">
                  <c:v>8166239.0135021638</c:v>
                </c:pt>
                <c:pt idx="60">
                  <c:v>8166239.0135021638</c:v>
                </c:pt>
                <c:pt idx="61">
                  <c:v>8166239.0135021638</c:v>
                </c:pt>
                <c:pt idx="62">
                  <c:v>8166239.0135021638</c:v>
                </c:pt>
                <c:pt idx="63">
                  <c:v>8166239.0135021638</c:v>
                </c:pt>
                <c:pt idx="64">
                  <c:v>8166239.0135021638</c:v>
                </c:pt>
                <c:pt idx="65">
                  <c:v>8166239.0135021638</c:v>
                </c:pt>
                <c:pt idx="66">
                  <c:v>8166239.0135021638</c:v>
                </c:pt>
                <c:pt idx="67">
                  <c:v>8166239.0135021638</c:v>
                </c:pt>
                <c:pt idx="68">
                  <c:v>8166239.0135021638</c:v>
                </c:pt>
                <c:pt idx="69">
                  <c:v>8166239.0135021638</c:v>
                </c:pt>
                <c:pt idx="70">
                  <c:v>8166239.0135021638</c:v>
                </c:pt>
                <c:pt idx="71">
                  <c:v>8166239.0135021638</c:v>
                </c:pt>
                <c:pt idx="72">
                  <c:v>8166239.0135021638</c:v>
                </c:pt>
                <c:pt idx="73">
                  <c:v>8166239.0135021638</c:v>
                </c:pt>
                <c:pt idx="74">
                  <c:v>8166239.0135021638</c:v>
                </c:pt>
                <c:pt idx="75">
                  <c:v>8166239.0135021638</c:v>
                </c:pt>
                <c:pt idx="76">
                  <c:v>8166239.0135021638</c:v>
                </c:pt>
                <c:pt idx="77">
                  <c:v>8166239.0135021638</c:v>
                </c:pt>
                <c:pt idx="78">
                  <c:v>8166239.0135021638</c:v>
                </c:pt>
                <c:pt idx="79">
                  <c:v>8166239.0135021638</c:v>
                </c:pt>
                <c:pt idx="80">
                  <c:v>8166239.0135021638</c:v>
                </c:pt>
                <c:pt idx="81">
                  <c:v>8166239.0135021638</c:v>
                </c:pt>
                <c:pt idx="82">
                  <c:v>8166239.0135021638</c:v>
                </c:pt>
                <c:pt idx="83">
                  <c:v>8166239.0135021638</c:v>
                </c:pt>
                <c:pt idx="84">
                  <c:v>8166239.0135021638</c:v>
                </c:pt>
                <c:pt idx="85">
                  <c:v>8166239.0135021638</c:v>
                </c:pt>
                <c:pt idx="86">
                  <c:v>8166239.0135021638</c:v>
                </c:pt>
                <c:pt idx="87">
                  <c:v>8166239.0135021638</c:v>
                </c:pt>
                <c:pt idx="88">
                  <c:v>8166239.0135021638</c:v>
                </c:pt>
                <c:pt idx="89">
                  <c:v>8166239.0135021638</c:v>
                </c:pt>
                <c:pt idx="90">
                  <c:v>8166239.0135021638</c:v>
                </c:pt>
                <c:pt idx="91">
                  <c:v>8166239.0135021638</c:v>
                </c:pt>
                <c:pt idx="92">
                  <c:v>8166239.0135021638</c:v>
                </c:pt>
                <c:pt idx="93">
                  <c:v>8166239.0135021638</c:v>
                </c:pt>
                <c:pt idx="94">
                  <c:v>8166239.0135021638</c:v>
                </c:pt>
                <c:pt idx="95">
                  <c:v>8166239.0135021638</c:v>
                </c:pt>
                <c:pt idx="96">
                  <c:v>8166239.0135021638</c:v>
                </c:pt>
                <c:pt idx="97">
                  <c:v>8166239.0135021638</c:v>
                </c:pt>
                <c:pt idx="98">
                  <c:v>8166239.0135021638</c:v>
                </c:pt>
                <c:pt idx="99">
                  <c:v>8166239.0135021638</c:v>
                </c:pt>
                <c:pt idx="100">
                  <c:v>8166239.0135021638</c:v>
                </c:pt>
                <c:pt idx="101">
                  <c:v>8166239.0135021638</c:v>
                </c:pt>
                <c:pt idx="102">
                  <c:v>8166239.0135021638</c:v>
                </c:pt>
                <c:pt idx="103">
                  <c:v>8166239.0135021638</c:v>
                </c:pt>
                <c:pt idx="104">
                  <c:v>8166239.0135021638</c:v>
                </c:pt>
                <c:pt idx="105">
                  <c:v>8166239.0135021638</c:v>
                </c:pt>
                <c:pt idx="106">
                  <c:v>8166239.0135021638</c:v>
                </c:pt>
                <c:pt idx="107">
                  <c:v>8166239.0135021638</c:v>
                </c:pt>
                <c:pt idx="108">
                  <c:v>8166239.0135021638</c:v>
                </c:pt>
                <c:pt idx="109">
                  <c:v>8166239.0135021638</c:v>
                </c:pt>
                <c:pt idx="110">
                  <c:v>8166239.0135021638</c:v>
                </c:pt>
                <c:pt idx="111">
                  <c:v>8166239.0135021638</c:v>
                </c:pt>
                <c:pt idx="112">
                  <c:v>8166239.0135021638</c:v>
                </c:pt>
                <c:pt idx="113">
                  <c:v>8166239.0135021638</c:v>
                </c:pt>
                <c:pt idx="114">
                  <c:v>8166239.0135021638</c:v>
                </c:pt>
                <c:pt idx="115">
                  <c:v>8166239.0135021638</c:v>
                </c:pt>
                <c:pt idx="116">
                  <c:v>8166239.0135021638</c:v>
                </c:pt>
                <c:pt idx="117">
                  <c:v>8166239.0135021638</c:v>
                </c:pt>
                <c:pt idx="118">
                  <c:v>8166239.0135021638</c:v>
                </c:pt>
                <c:pt idx="119">
                  <c:v>8166239.0135021638</c:v>
                </c:pt>
                <c:pt idx="120">
                  <c:v>8166239.0135021638</c:v>
                </c:pt>
                <c:pt idx="121">
                  <c:v>8166239.0135021638</c:v>
                </c:pt>
                <c:pt idx="122">
                  <c:v>8166239.0135021638</c:v>
                </c:pt>
                <c:pt idx="123">
                  <c:v>8166239.0135021638</c:v>
                </c:pt>
                <c:pt idx="124">
                  <c:v>8166239.0135021638</c:v>
                </c:pt>
                <c:pt idx="125">
                  <c:v>8166239.0135021638</c:v>
                </c:pt>
                <c:pt idx="126">
                  <c:v>8166239.0135021638</c:v>
                </c:pt>
                <c:pt idx="127">
                  <c:v>8166239.0135021638</c:v>
                </c:pt>
                <c:pt idx="128">
                  <c:v>8166239.0135021638</c:v>
                </c:pt>
                <c:pt idx="129">
                  <c:v>8166239.0135021638</c:v>
                </c:pt>
                <c:pt idx="130">
                  <c:v>8166239.0135021638</c:v>
                </c:pt>
                <c:pt idx="131">
                  <c:v>8166239.0135021638</c:v>
                </c:pt>
                <c:pt idx="132">
                  <c:v>8166239.0135021638</c:v>
                </c:pt>
                <c:pt idx="133">
                  <c:v>8166239.0135021638</c:v>
                </c:pt>
                <c:pt idx="134">
                  <c:v>8166239.0135021638</c:v>
                </c:pt>
                <c:pt idx="135">
                  <c:v>8166239.0135021638</c:v>
                </c:pt>
                <c:pt idx="136">
                  <c:v>8166239.0135021638</c:v>
                </c:pt>
                <c:pt idx="137">
                  <c:v>8166239.0135021638</c:v>
                </c:pt>
                <c:pt idx="138">
                  <c:v>8166239.0135021638</c:v>
                </c:pt>
                <c:pt idx="139">
                  <c:v>8166239.0135021638</c:v>
                </c:pt>
                <c:pt idx="140">
                  <c:v>8166239.0135021638</c:v>
                </c:pt>
                <c:pt idx="141">
                  <c:v>8166239.0135021638</c:v>
                </c:pt>
                <c:pt idx="142">
                  <c:v>8166239.0135021638</c:v>
                </c:pt>
                <c:pt idx="143">
                  <c:v>8166239.0135021638</c:v>
                </c:pt>
                <c:pt idx="144">
                  <c:v>8166239.0135021638</c:v>
                </c:pt>
                <c:pt idx="145">
                  <c:v>8166239.0135021638</c:v>
                </c:pt>
                <c:pt idx="146">
                  <c:v>8166239.0135021638</c:v>
                </c:pt>
                <c:pt idx="147">
                  <c:v>8166239.0135021638</c:v>
                </c:pt>
                <c:pt idx="148">
                  <c:v>8166239.0135021638</c:v>
                </c:pt>
                <c:pt idx="149">
                  <c:v>8166239.0135021638</c:v>
                </c:pt>
                <c:pt idx="150">
                  <c:v>8166239.0135021638</c:v>
                </c:pt>
                <c:pt idx="151">
                  <c:v>8166239.0135021638</c:v>
                </c:pt>
                <c:pt idx="152">
                  <c:v>8166239.0135021638</c:v>
                </c:pt>
                <c:pt idx="153">
                  <c:v>8166239.0135021638</c:v>
                </c:pt>
                <c:pt idx="154">
                  <c:v>8166239.0135021638</c:v>
                </c:pt>
                <c:pt idx="155">
                  <c:v>8166239.0135021638</c:v>
                </c:pt>
                <c:pt idx="156">
                  <c:v>8166239.0135021638</c:v>
                </c:pt>
                <c:pt idx="157">
                  <c:v>8166239.0135021638</c:v>
                </c:pt>
                <c:pt idx="158">
                  <c:v>8166239.0135021638</c:v>
                </c:pt>
                <c:pt idx="159">
                  <c:v>8166239.0135021638</c:v>
                </c:pt>
                <c:pt idx="160">
                  <c:v>8166239.0135021638</c:v>
                </c:pt>
                <c:pt idx="161">
                  <c:v>8166239.0135021638</c:v>
                </c:pt>
                <c:pt idx="162">
                  <c:v>8166239.0135021638</c:v>
                </c:pt>
                <c:pt idx="163">
                  <c:v>8166239.0135021638</c:v>
                </c:pt>
                <c:pt idx="164">
                  <c:v>8166239.0135021638</c:v>
                </c:pt>
                <c:pt idx="165">
                  <c:v>8166239.0135021638</c:v>
                </c:pt>
                <c:pt idx="166">
                  <c:v>8166239.0135021638</c:v>
                </c:pt>
                <c:pt idx="167">
                  <c:v>8166239.0135021638</c:v>
                </c:pt>
                <c:pt idx="168">
                  <c:v>8166239.0135021638</c:v>
                </c:pt>
                <c:pt idx="169">
                  <c:v>8166239.0135021638</c:v>
                </c:pt>
                <c:pt idx="170">
                  <c:v>8166239.0135021638</c:v>
                </c:pt>
                <c:pt idx="171">
                  <c:v>8166239.0135021638</c:v>
                </c:pt>
                <c:pt idx="172">
                  <c:v>8166239.0135021638</c:v>
                </c:pt>
                <c:pt idx="173">
                  <c:v>8166239.0135021638</c:v>
                </c:pt>
                <c:pt idx="174">
                  <c:v>8166239.0135021638</c:v>
                </c:pt>
                <c:pt idx="175">
                  <c:v>8166239.0135021638</c:v>
                </c:pt>
                <c:pt idx="176">
                  <c:v>8166239.0135021638</c:v>
                </c:pt>
                <c:pt idx="177">
                  <c:v>8166239.0135021638</c:v>
                </c:pt>
                <c:pt idx="178">
                  <c:v>8166239.0135021638</c:v>
                </c:pt>
                <c:pt idx="179">
                  <c:v>8166239.0135021638</c:v>
                </c:pt>
                <c:pt idx="180">
                  <c:v>8166239.0135021638</c:v>
                </c:pt>
                <c:pt idx="181">
                  <c:v>8166239.0135021638</c:v>
                </c:pt>
                <c:pt idx="182">
                  <c:v>8166239.0135021638</c:v>
                </c:pt>
                <c:pt idx="183">
                  <c:v>8166239.0135021638</c:v>
                </c:pt>
                <c:pt idx="184">
                  <c:v>8166239.0135021638</c:v>
                </c:pt>
                <c:pt idx="185">
                  <c:v>8166239.0135021638</c:v>
                </c:pt>
                <c:pt idx="186">
                  <c:v>8166239.0135021638</c:v>
                </c:pt>
                <c:pt idx="187">
                  <c:v>8166239.0135021638</c:v>
                </c:pt>
                <c:pt idx="188">
                  <c:v>8166239.0135021638</c:v>
                </c:pt>
                <c:pt idx="189">
                  <c:v>8166239.0135021638</c:v>
                </c:pt>
                <c:pt idx="190">
                  <c:v>8166239.0135021638</c:v>
                </c:pt>
                <c:pt idx="191">
                  <c:v>8166239.0135021638</c:v>
                </c:pt>
                <c:pt idx="192">
                  <c:v>8166239.0135021638</c:v>
                </c:pt>
                <c:pt idx="193">
                  <c:v>8166239.0135021638</c:v>
                </c:pt>
                <c:pt idx="194">
                  <c:v>8166239.0135021638</c:v>
                </c:pt>
                <c:pt idx="195">
                  <c:v>8166239.0135021638</c:v>
                </c:pt>
                <c:pt idx="196">
                  <c:v>8166239.0135021638</c:v>
                </c:pt>
                <c:pt idx="197">
                  <c:v>8166239.0135021638</c:v>
                </c:pt>
                <c:pt idx="198">
                  <c:v>8166239.0135021638</c:v>
                </c:pt>
                <c:pt idx="199">
                  <c:v>8166239.0135021638</c:v>
                </c:pt>
                <c:pt idx="200">
                  <c:v>8166239.0135021638</c:v>
                </c:pt>
                <c:pt idx="201">
                  <c:v>8166239.0135021638</c:v>
                </c:pt>
                <c:pt idx="202">
                  <c:v>8166239.0135021638</c:v>
                </c:pt>
                <c:pt idx="203">
                  <c:v>8166239.0135021638</c:v>
                </c:pt>
                <c:pt idx="204">
                  <c:v>8166239.0135021638</c:v>
                </c:pt>
                <c:pt idx="205">
                  <c:v>8166239.0135021638</c:v>
                </c:pt>
                <c:pt idx="206">
                  <c:v>8166239.0135021638</c:v>
                </c:pt>
                <c:pt idx="207">
                  <c:v>8166239.0135021638</c:v>
                </c:pt>
                <c:pt idx="208">
                  <c:v>8166239.0135021638</c:v>
                </c:pt>
                <c:pt idx="209">
                  <c:v>8166239.0135021638</c:v>
                </c:pt>
                <c:pt idx="210">
                  <c:v>8166239.0135021638</c:v>
                </c:pt>
                <c:pt idx="211">
                  <c:v>8166239.0135021638</c:v>
                </c:pt>
                <c:pt idx="212">
                  <c:v>8166239.0135021638</c:v>
                </c:pt>
                <c:pt idx="213">
                  <c:v>8166239.0135021638</c:v>
                </c:pt>
                <c:pt idx="214">
                  <c:v>8166239.0135021638</c:v>
                </c:pt>
                <c:pt idx="215">
                  <c:v>8166239.0135021638</c:v>
                </c:pt>
                <c:pt idx="216">
                  <c:v>8166239.0135021638</c:v>
                </c:pt>
                <c:pt idx="217">
                  <c:v>8166239.0135021638</c:v>
                </c:pt>
                <c:pt idx="218">
                  <c:v>8166239.0135021638</c:v>
                </c:pt>
                <c:pt idx="219">
                  <c:v>8166239.0135021638</c:v>
                </c:pt>
                <c:pt idx="220">
                  <c:v>8166239.0135021638</c:v>
                </c:pt>
                <c:pt idx="221">
                  <c:v>8166239.0135021638</c:v>
                </c:pt>
                <c:pt idx="222">
                  <c:v>8166239.0135021638</c:v>
                </c:pt>
                <c:pt idx="223">
                  <c:v>8166239.0135021638</c:v>
                </c:pt>
                <c:pt idx="224">
                  <c:v>8166239.0135021638</c:v>
                </c:pt>
                <c:pt idx="225">
                  <c:v>8166239.0135021638</c:v>
                </c:pt>
                <c:pt idx="226">
                  <c:v>8166239.0135021638</c:v>
                </c:pt>
                <c:pt idx="227">
                  <c:v>8166239.0135021638</c:v>
                </c:pt>
                <c:pt idx="228">
                  <c:v>8166239.0135021638</c:v>
                </c:pt>
                <c:pt idx="229">
                  <c:v>8166239.0135021638</c:v>
                </c:pt>
                <c:pt idx="230">
                  <c:v>8166239.0135021638</c:v>
                </c:pt>
                <c:pt idx="231">
                  <c:v>8166239.0135021638</c:v>
                </c:pt>
                <c:pt idx="232">
                  <c:v>8166239.0135021638</c:v>
                </c:pt>
                <c:pt idx="233">
                  <c:v>8166239.0135021638</c:v>
                </c:pt>
                <c:pt idx="234">
                  <c:v>8166239.0135021638</c:v>
                </c:pt>
                <c:pt idx="235">
                  <c:v>8166239.0135021638</c:v>
                </c:pt>
                <c:pt idx="236">
                  <c:v>8166239.0135021638</c:v>
                </c:pt>
                <c:pt idx="237">
                  <c:v>8166239.0135021638</c:v>
                </c:pt>
                <c:pt idx="238">
                  <c:v>8166239.0135021638</c:v>
                </c:pt>
                <c:pt idx="239">
                  <c:v>8166239.0135021638</c:v>
                </c:pt>
                <c:pt idx="240">
                  <c:v>8166239.0135021638</c:v>
                </c:pt>
                <c:pt idx="241">
                  <c:v>8166239.0135021638</c:v>
                </c:pt>
                <c:pt idx="242">
                  <c:v>8166239.0135021638</c:v>
                </c:pt>
                <c:pt idx="243">
                  <c:v>8166239.0135021638</c:v>
                </c:pt>
                <c:pt idx="244">
                  <c:v>8166239.0135021638</c:v>
                </c:pt>
                <c:pt idx="245">
                  <c:v>8166239.0135021638</c:v>
                </c:pt>
                <c:pt idx="246">
                  <c:v>8166239.0135021638</c:v>
                </c:pt>
                <c:pt idx="247">
                  <c:v>8166239.0135021638</c:v>
                </c:pt>
                <c:pt idx="248">
                  <c:v>8166239.0135021638</c:v>
                </c:pt>
                <c:pt idx="249">
                  <c:v>8166239.0135021638</c:v>
                </c:pt>
                <c:pt idx="250">
                  <c:v>8166239.0135021638</c:v>
                </c:pt>
                <c:pt idx="251">
                  <c:v>8166239.0135021638</c:v>
                </c:pt>
                <c:pt idx="252">
                  <c:v>8166239.0135021638</c:v>
                </c:pt>
                <c:pt idx="253">
                  <c:v>8166239.0135021638</c:v>
                </c:pt>
                <c:pt idx="254">
                  <c:v>8166239.0135021638</c:v>
                </c:pt>
                <c:pt idx="255">
                  <c:v>8166239.0135021638</c:v>
                </c:pt>
                <c:pt idx="256">
                  <c:v>8166239.0135021638</c:v>
                </c:pt>
                <c:pt idx="257">
                  <c:v>8166239.0135021638</c:v>
                </c:pt>
                <c:pt idx="258">
                  <c:v>8166239.0135021638</c:v>
                </c:pt>
                <c:pt idx="259">
                  <c:v>8166239.0135021638</c:v>
                </c:pt>
                <c:pt idx="260">
                  <c:v>8166239.0135021638</c:v>
                </c:pt>
                <c:pt idx="261">
                  <c:v>8166239.0135021638</c:v>
                </c:pt>
                <c:pt idx="262">
                  <c:v>8166239.0135021638</c:v>
                </c:pt>
                <c:pt idx="263">
                  <c:v>8166239.0135021638</c:v>
                </c:pt>
                <c:pt idx="264">
                  <c:v>8166239.0135021638</c:v>
                </c:pt>
                <c:pt idx="265">
                  <c:v>8166239.0135021638</c:v>
                </c:pt>
                <c:pt idx="266">
                  <c:v>8166239.0135021638</c:v>
                </c:pt>
                <c:pt idx="267">
                  <c:v>8166239.0135021638</c:v>
                </c:pt>
                <c:pt idx="268">
                  <c:v>8166239.0135021638</c:v>
                </c:pt>
                <c:pt idx="269">
                  <c:v>8166239.0135021638</c:v>
                </c:pt>
                <c:pt idx="270">
                  <c:v>8166239.0135021638</c:v>
                </c:pt>
                <c:pt idx="271">
                  <c:v>8166239.0135021638</c:v>
                </c:pt>
                <c:pt idx="272">
                  <c:v>8166239.0135021638</c:v>
                </c:pt>
                <c:pt idx="273">
                  <c:v>8166239.0135021638</c:v>
                </c:pt>
                <c:pt idx="274">
                  <c:v>8166239.0135021638</c:v>
                </c:pt>
                <c:pt idx="275">
                  <c:v>8166239.0135021638</c:v>
                </c:pt>
                <c:pt idx="276">
                  <c:v>8166239.0135021638</c:v>
                </c:pt>
                <c:pt idx="277">
                  <c:v>8166239.0135021638</c:v>
                </c:pt>
                <c:pt idx="278">
                  <c:v>8166239.0135021638</c:v>
                </c:pt>
                <c:pt idx="279">
                  <c:v>8166239.0135021638</c:v>
                </c:pt>
                <c:pt idx="280">
                  <c:v>8166239.0135021638</c:v>
                </c:pt>
                <c:pt idx="281">
                  <c:v>8166239.0135021638</c:v>
                </c:pt>
                <c:pt idx="282">
                  <c:v>8166239.0135021638</c:v>
                </c:pt>
                <c:pt idx="283">
                  <c:v>8166239.0135021638</c:v>
                </c:pt>
                <c:pt idx="284">
                  <c:v>8166239.0135021638</c:v>
                </c:pt>
                <c:pt idx="285">
                  <c:v>8166239.0135021638</c:v>
                </c:pt>
                <c:pt idx="286">
                  <c:v>8166239.0135021638</c:v>
                </c:pt>
                <c:pt idx="287">
                  <c:v>8166239.0135021638</c:v>
                </c:pt>
                <c:pt idx="288">
                  <c:v>8166239.0135021638</c:v>
                </c:pt>
                <c:pt idx="289">
                  <c:v>8166239.0135021638</c:v>
                </c:pt>
                <c:pt idx="290">
                  <c:v>8166239.0135021638</c:v>
                </c:pt>
                <c:pt idx="291">
                  <c:v>8166239.0135021638</c:v>
                </c:pt>
                <c:pt idx="292">
                  <c:v>8166239.0135021638</c:v>
                </c:pt>
                <c:pt idx="293">
                  <c:v>8166239.0135021638</c:v>
                </c:pt>
                <c:pt idx="294">
                  <c:v>8166239.0135021638</c:v>
                </c:pt>
                <c:pt idx="295">
                  <c:v>8166239.0135021638</c:v>
                </c:pt>
                <c:pt idx="296">
                  <c:v>8166239.0135021638</c:v>
                </c:pt>
                <c:pt idx="297">
                  <c:v>8166239.0135021638</c:v>
                </c:pt>
                <c:pt idx="298">
                  <c:v>8166239.0135021638</c:v>
                </c:pt>
                <c:pt idx="299">
                  <c:v>8166239.0135021638</c:v>
                </c:pt>
                <c:pt idx="300">
                  <c:v>8166239.0135021638</c:v>
                </c:pt>
                <c:pt idx="301">
                  <c:v>8166239.0135021638</c:v>
                </c:pt>
                <c:pt idx="302">
                  <c:v>8166239.0135021638</c:v>
                </c:pt>
                <c:pt idx="303">
                  <c:v>8166239.0135021638</c:v>
                </c:pt>
                <c:pt idx="304">
                  <c:v>8166239.0135021638</c:v>
                </c:pt>
                <c:pt idx="305">
                  <c:v>8166239.0135021638</c:v>
                </c:pt>
                <c:pt idx="306">
                  <c:v>8166239.0135021638</c:v>
                </c:pt>
                <c:pt idx="307">
                  <c:v>8166239.0135021638</c:v>
                </c:pt>
                <c:pt idx="308">
                  <c:v>8166239.0135021638</c:v>
                </c:pt>
                <c:pt idx="309">
                  <c:v>8166239.0135021638</c:v>
                </c:pt>
                <c:pt idx="310">
                  <c:v>8166239.0135021638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1721944.7220000001</c:v>
                </c:pt>
                <c:pt idx="16">
                  <c:v>950019.72200000007</c:v>
                </c:pt>
                <c:pt idx="17">
                  <c:v>950019.72200000007</c:v>
                </c:pt>
                <c:pt idx="18">
                  <c:v>935019.72200000007</c:v>
                </c:pt>
                <c:pt idx="19">
                  <c:v>935019.72200000007</c:v>
                </c:pt>
                <c:pt idx="20">
                  <c:v>935019.72200000007</c:v>
                </c:pt>
                <c:pt idx="21">
                  <c:v>935019.72200000007</c:v>
                </c:pt>
                <c:pt idx="22">
                  <c:v>935019.72200000007</c:v>
                </c:pt>
                <c:pt idx="23">
                  <c:v>935019.72200000007</c:v>
                </c:pt>
                <c:pt idx="24">
                  <c:v>-864980.27799999993</c:v>
                </c:pt>
                <c:pt idx="25">
                  <c:v>-898980.27799999993</c:v>
                </c:pt>
                <c:pt idx="26">
                  <c:v>404947.01349999988</c:v>
                </c:pt>
                <c:pt idx="27">
                  <c:v>-3046038.4665000006</c:v>
                </c:pt>
                <c:pt idx="28">
                  <c:v>-3046038.4665000006</c:v>
                </c:pt>
                <c:pt idx="29">
                  <c:v>-1307468.7445</c:v>
                </c:pt>
                <c:pt idx="30">
                  <c:v>-2616412.6445000004</c:v>
                </c:pt>
                <c:pt idx="31">
                  <c:v>-2616412.6445000004</c:v>
                </c:pt>
                <c:pt idx="32">
                  <c:v>-2624912.6445000004</c:v>
                </c:pt>
                <c:pt idx="33">
                  <c:v>-2624912.6445000004</c:v>
                </c:pt>
                <c:pt idx="34">
                  <c:v>-2624912.6445000004</c:v>
                </c:pt>
                <c:pt idx="35">
                  <c:v>-2624912.6445000004</c:v>
                </c:pt>
                <c:pt idx="36">
                  <c:v>-3098629.5420021629</c:v>
                </c:pt>
                <c:pt idx="37">
                  <c:v>-3098629.5420021629</c:v>
                </c:pt>
                <c:pt idx="38">
                  <c:v>-3098629.5420021629</c:v>
                </c:pt>
                <c:pt idx="39">
                  <c:v>-3098629.5420021629</c:v>
                </c:pt>
                <c:pt idx="40">
                  <c:v>-3098629.5420021629</c:v>
                </c:pt>
                <c:pt idx="41">
                  <c:v>378509.90199783724</c:v>
                </c:pt>
                <c:pt idx="42">
                  <c:v>378509.90199783724</c:v>
                </c:pt>
                <c:pt idx="43">
                  <c:v>378509.90199783724</c:v>
                </c:pt>
                <c:pt idx="44">
                  <c:v>378509.90199783724</c:v>
                </c:pt>
                <c:pt idx="45">
                  <c:v>378509.90199783724</c:v>
                </c:pt>
                <c:pt idx="46">
                  <c:v>378509.90199783724</c:v>
                </c:pt>
                <c:pt idx="47">
                  <c:v>378509.90199783724</c:v>
                </c:pt>
                <c:pt idx="48">
                  <c:v>378509.90199783724</c:v>
                </c:pt>
                <c:pt idx="49">
                  <c:v>91967.165997836739</c:v>
                </c:pt>
                <c:pt idx="50">
                  <c:v>91967.165997836739</c:v>
                </c:pt>
                <c:pt idx="51">
                  <c:v>91967.165997836739</c:v>
                </c:pt>
                <c:pt idx="52">
                  <c:v>91967.165997836739</c:v>
                </c:pt>
                <c:pt idx="53">
                  <c:v>91967.165997836739</c:v>
                </c:pt>
                <c:pt idx="54">
                  <c:v>91967.165997836739</c:v>
                </c:pt>
                <c:pt idx="55">
                  <c:v>91967.165997836739</c:v>
                </c:pt>
                <c:pt idx="56">
                  <c:v>91967.165997836739</c:v>
                </c:pt>
                <c:pt idx="57">
                  <c:v>91967.165997836739</c:v>
                </c:pt>
                <c:pt idx="58">
                  <c:v>91967.165997836739</c:v>
                </c:pt>
                <c:pt idx="59">
                  <c:v>526609.59649783745</c:v>
                </c:pt>
                <c:pt idx="60">
                  <c:v>526609.59649783745</c:v>
                </c:pt>
                <c:pt idx="61">
                  <c:v>526609.59649783745</c:v>
                </c:pt>
                <c:pt idx="62">
                  <c:v>526609.59649783745</c:v>
                </c:pt>
                <c:pt idx="63">
                  <c:v>526609.59649783745</c:v>
                </c:pt>
                <c:pt idx="64">
                  <c:v>526609.59649783745</c:v>
                </c:pt>
                <c:pt idx="65">
                  <c:v>526609.59649783745</c:v>
                </c:pt>
                <c:pt idx="66">
                  <c:v>526609.59649783745</c:v>
                </c:pt>
                <c:pt idx="67">
                  <c:v>526609.59649783745</c:v>
                </c:pt>
                <c:pt idx="68">
                  <c:v>526609.59649783745</c:v>
                </c:pt>
                <c:pt idx="69">
                  <c:v>526609.59649783745</c:v>
                </c:pt>
                <c:pt idx="70">
                  <c:v>526609.59649783745</c:v>
                </c:pt>
                <c:pt idx="71">
                  <c:v>526609.59649783745</c:v>
                </c:pt>
                <c:pt idx="72">
                  <c:v>526609.59649783745</c:v>
                </c:pt>
                <c:pt idx="73">
                  <c:v>526609.59649783745</c:v>
                </c:pt>
                <c:pt idx="74">
                  <c:v>526609.59649783745</c:v>
                </c:pt>
                <c:pt idx="75">
                  <c:v>526609.59649783745</c:v>
                </c:pt>
                <c:pt idx="76">
                  <c:v>526609.59649783745</c:v>
                </c:pt>
                <c:pt idx="77">
                  <c:v>526609.59649783745</c:v>
                </c:pt>
                <c:pt idx="78">
                  <c:v>526609.59649783745</c:v>
                </c:pt>
                <c:pt idx="79">
                  <c:v>526609.59649783745</c:v>
                </c:pt>
                <c:pt idx="80">
                  <c:v>526609.59649783745</c:v>
                </c:pt>
                <c:pt idx="81">
                  <c:v>526609.59649783745</c:v>
                </c:pt>
                <c:pt idx="82">
                  <c:v>526609.59649783745</c:v>
                </c:pt>
                <c:pt idx="83">
                  <c:v>526609.59649783745</c:v>
                </c:pt>
                <c:pt idx="84">
                  <c:v>526609.59649783745</c:v>
                </c:pt>
                <c:pt idx="85">
                  <c:v>526609.59649783745</c:v>
                </c:pt>
                <c:pt idx="86">
                  <c:v>526609.59649783745</c:v>
                </c:pt>
                <c:pt idx="87">
                  <c:v>526609.59649783745</c:v>
                </c:pt>
                <c:pt idx="88">
                  <c:v>526609.59649783745</c:v>
                </c:pt>
                <c:pt idx="89">
                  <c:v>526609.59649783745</c:v>
                </c:pt>
                <c:pt idx="90">
                  <c:v>526609.59649783745</c:v>
                </c:pt>
                <c:pt idx="91">
                  <c:v>526609.59649783745</c:v>
                </c:pt>
                <c:pt idx="92">
                  <c:v>526609.59649783745</c:v>
                </c:pt>
                <c:pt idx="93">
                  <c:v>526609.59649783745</c:v>
                </c:pt>
                <c:pt idx="94">
                  <c:v>526609.59649783745</c:v>
                </c:pt>
                <c:pt idx="95">
                  <c:v>526609.59649783745</c:v>
                </c:pt>
                <c:pt idx="96">
                  <c:v>526609.59649783745</c:v>
                </c:pt>
                <c:pt idx="97">
                  <c:v>526609.59649783745</c:v>
                </c:pt>
                <c:pt idx="98">
                  <c:v>526609.59649783745</c:v>
                </c:pt>
                <c:pt idx="99">
                  <c:v>526609.59649783745</c:v>
                </c:pt>
                <c:pt idx="100">
                  <c:v>526609.59649783745</c:v>
                </c:pt>
                <c:pt idx="101">
                  <c:v>526609.59649783745</c:v>
                </c:pt>
                <c:pt idx="102">
                  <c:v>526609.59649783745</c:v>
                </c:pt>
                <c:pt idx="103">
                  <c:v>526609.59649783745</c:v>
                </c:pt>
                <c:pt idx="104">
                  <c:v>526609.59649783745</c:v>
                </c:pt>
                <c:pt idx="105">
                  <c:v>526609.59649783745</c:v>
                </c:pt>
                <c:pt idx="106">
                  <c:v>526609.59649783745</c:v>
                </c:pt>
                <c:pt idx="107">
                  <c:v>526609.59649783745</c:v>
                </c:pt>
                <c:pt idx="108">
                  <c:v>526609.59649783745</c:v>
                </c:pt>
                <c:pt idx="109">
                  <c:v>526609.59649783745</c:v>
                </c:pt>
                <c:pt idx="110">
                  <c:v>526609.59649783745</c:v>
                </c:pt>
                <c:pt idx="111">
                  <c:v>526609.59649783745</c:v>
                </c:pt>
                <c:pt idx="112">
                  <c:v>526609.59649783745</c:v>
                </c:pt>
                <c:pt idx="113">
                  <c:v>526609.59649783745</c:v>
                </c:pt>
                <c:pt idx="114">
                  <c:v>526609.59649783745</c:v>
                </c:pt>
                <c:pt idx="115">
                  <c:v>526609.59649783745</c:v>
                </c:pt>
                <c:pt idx="116">
                  <c:v>526609.59649783745</c:v>
                </c:pt>
                <c:pt idx="117">
                  <c:v>526609.59649783745</c:v>
                </c:pt>
                <c:pt idx="118">
                  <c:v>526609.59649783745</c:v>
                </c:pt>
                <c:pt idx="119">
                  <c:v>526609.59649783745</c:v>
                </c:pt>
                <c:pt idx="120">
                  <c:v>526609.59649783745</c:v>
                </c:pt>
                <c:pt idx="121">
                  <c:v>526609.59649783745</c:v>
                </c:pt>
                <c:pt idx="122">
                  <c:v>526609.59649783745</c:v>
                </c:pt>
                <c:pt idx="123">
                  <c:v>526609.59649783745</c:v>
                </c:pt>
                <c:pt idx="124">
                  <c:v>526609.59649783745</c:v>
                </c:pt>
                <c:pt idx="125">
                  <c:v>526609.59649783745</c:v>
                </c:pt>
                <c:pt idx="126">
                  <c:v>526609.59649783745</c:v>
                </c:pt>
                <c:pt idx="127">
                  <c:v>526609.59649783745</c:v>
                </c:pt>
                <c:pt idx="128">
                  <c:v>526609.59649783745</c:v>
                </c:pt>
                <c:pt idx="129">
                  <c:v>526609.59649783745</c:v>
                </c:pt>
                <c:pt idx="130">
                  <c:v>526609.59649783745</c:v>
                </c:pt>
                <c:pt idx="131">
                  <c:v>526609.59649783745</c:v>
                </c:pt>
                <c:pt idx="132">
                  <c:v>526609.59649783745</c:v>
                </c:pt>
                <c:pt idx="133">
                  <c:v>526609.59649783745</c:v>
                </c:pt>
                <c:pt idx="134">
                  <c:v>526609.59649783745</c:v>
                </c:pt>
                <c:pt idx="135">
                  <c:v>526609.59649783745</c:v>
                </c:pt>
                <c:pt idx="136">
                  <c:v>526609.59649783745</c:v>
                </c:pt>
                <c:pt idx="137">
                  <c:v>526609.59649783745</c:v>
                </c:pt>
                <c:pt idx="138">
                  <c:v>526609.59649783745</c:v>
                </c:pt>
                <c:pt idx="139">
                  <c:v>526609.59649783745</c:v>
                </c:pt>
                <c:pt idx="140">
                  <c:v>526609.59649783745</c:v>
                </c:pt>
                <c:pt idx="141">
                  <c:v>526609.59649783745</c:v>
                </c:pt>
                <c:pt idx="142">
                  <c:v>526609.59649783745</c:v>
                </c:pt>
                <c:pt idx="143">
                  <c:v>526609.59649783745</c:v>
                </c:pt>
                <c:pt idx="144">
                  <c:v>526609.59649783745</c:v>
                </c:pt>
                <c:pt idx="145">
                  <c:v>526609.59649783745</c:v>
                </c:pt>
                <c:pt idx="146">
                  <c:v>526609.59649783745</c:v>
                </c:pt>
                <c:pt idx="147">
                  <c:v>526609.59649783745</c:v>
                </c:pt>
                <c:pt idx="148">
                  <c:v>526609.59649783745</c:v>
                </c:pt>
                <c:pt idx="149">
                  <c:v>526609.59649783745</c:v>
                </c:pt>
                <c:pt idx="150">
                  <c:v>526609.59649783745</c:v>
                </c:pt>
                <c:pt idx="151">
                  <c:v>526609.59649783745</c:v>
                </c:pt>
                <c:pt idx="152">
                  <c:v>526609.59649783745</c:v>
                </c:pt>
                <c:pt idx="153">
                  <c:v>526609.59649783745</c:v>
                </c:pt>
                <c:pt idx="154">
                  <c:v>526609.59649783745</c:v>
                </c:pt>
                <c:pt idx="155">
                  <c:v>526609.59649783745</c:v>
                </c:pt>
                <c:pt idx="156">
                  <c:v>526609.59649783745</c:v>
                </c:pt>
                <c:pt idx="157">
                  <c:v>526609.59649783745</c:v>
                </c:pt>
                <c:pt idx="158">
                  <c:v>526609.59649783745</c:v>
                </c:pt>
                <c:pt idx="159">
                  <c:v>526609.59649783745</c:v>
                </c:pt>
                <c:pt idx="160">
                  <c:v>526609.59649783745</c:v>
                </c:pt>
                <c:pt idx="161">
                  <c:v>526609.59649783745</c:v>
                </c:pt>
                <c:pt idx="162">
                  <c:v>526609.59649783745</c:v>
                </c:pt>
                <c:pt idx="163">
                  <c:v>526609.59649783745</c:v>
                </c:pt>
                <c:pt idx="164">
                  <c:v>526609.59649783745</c:v>
                </c:pt>
                <c:pt idx="165">
                  <c:v>526609.59649783745</c:v>
                </c:pt>
                <c:pt idx="166">
                  <c:v>526609.59649783745</c:v>
                </c:pt>
                <c:pt idx="167">
                  <c:v>526609.59649783745</c:v>
                </c:pt>
                <c:pt idx="168">
                  <c:v>526609.59649783745</c:v>
                </c:pt>
                <c:pt idx="169">
                  <c:v>526609.59649783745</c:v>
                </c:pt>
                <c:pt idx="170">
                  <c:v>526609.59649783745</c:v>
                </c:pt>
                <c:pt idx="171">
                  <c:v>526609.59649783745</c:v>
                </c:pt>
                <c:pt idx="172">
                  <c:v>526609.59649783745</c:v>
                </c:pt>
                <c:pt idx="173">
                  <c:v>526609.59649783745</c:v>
                </c:pt>
                <c:pt idx="174">
                  <c:v>526609.59649783745</c:v>
                </c:pt>
                <c:pt idx="175">
                  <c:v>526609.59649783745</c:v>
                </c:pt>
                <c:pt idx="176">
                  <c:v>526609.59649783745</c:v>
                </c:pt>
                <c:pt idx="177">
                  <c:v>526609.59649783745</c:v>
                </c:pt>
                <c:pt idx="178">
                  <c:v>526609.59649783745</c:v>
                </c:pt>
                <c:pt idx="179">
                  <c:v>526609.59649783745</c:v>
                </c:pt>
                <c:pt idx="180">
                  <c:v>526609.59649783745</c:v>
                </c:pt>
                <c:pt idx="181">
                  <c:v>526609.59649783745</c:v>
                </c:pt>
                <c:pt idx="182">
                  <c:v>526609.59649783745</c:v>
                </c:pt>
                <c:pt idx="183">
                  <c:v>526609.59649783745</c:v>
                </c:pt>
                <c:pt idx="184">
                  <c:v>526609.59649783745</c:v>
                </c:pt>
                <c:pt idx="185">
                  <c:v>526609.59649783745</c:v>
                </c:pt>
                <c:pt idx="186">
                  <c:v>526609.59649783745</c:v>
                </c:pt>
                <c:pt idx="187">
                  <c:v>526609.59649783745</c:v>
                </c:pt>
                <c:pt idx="188">
                  <c:v>526609.59649783745</c:v>
                </c:pt>
                <c:pt idx="189">
                  <c:v>526609.59649783745</c:v>
                </c:pt>
                <c:pt idx="190">
                  <c:v>526609.59649783745</c:v>
                </c:pt>
                <c:pt idx="191">
                  <c:v>526609.59649783745</c:v>
                </c:pt>
                <c:pt idx="192">
                  <c:v>526609.59649783745</c:v>
                </c:pt>
                <c:pt idx="193">
                  <c:v>526609.59649783745</c:v>
                </c:pt>
                <c:pt idx="194">
                  <c:v>526609.59649783745</c:v>
                </c:pt>
                <c:pt idx="195">
                  <c:v>526609.59649783745</c:v>
                </c:pt>
                <c:pt idx="196">
                  <c:v>526609.59649783745</c:v>
                </c:pt>
                <c:pt idx="197">
                  <c:v>526609.59649783745</c:v>
                </c:pt>
                <c:pt idx="198">
                  <c:v>526609.59649783745</c:v>
                </c:pt>
                <c:pt idx="199">
                  <c:v>526609.59649783745</c:v>
                </c:pt>
                <c:pt idx="200">
                  <c:v>526609.59649783745</c:v>
                </c:pt>
                <c:pt idx="201">
                  <c:v>526609.59649783745</c:v>
                </c:pt>
                <c:pt idx="202">
                  <c:v>526609.59649783745</c:v>
                </c:pt>
                <c:pt idx="203">
                  <c:v>526609.59649783745</c:v>
                </c:pt>
                <c:pt idx="204">
                  <c:v>526609.59649783745</c:v>
                </c:pt>
                <c:pt idx="205">
                  <c:v>526609.59649783745</c:v>
                </c:pt>
                <c:pt idx="206">
                  <c:v>526609.59649783745</c:v>
                </c:pt>
                <c:pt idx="207">
                  <c:v>526609.59649783745</c:v>
                </c:pt>
                <c:pt idx="208">
                  <c:v>526609.59649783745</c:v>
                </c:pt>
                <c:pt idx="209">
                  <c:v>526609.59649783745</c:v>
                </c:pt>
                <c:pt idx="210">
                  <c:v>526609.59649783745</c:v>
                </c:pt>
                <c:pt idx="211">
                  <c:v>526609.59649783745</c:v>
                </c:pt>
                <c:pt idx="212">
                  <c:v>526609.59649783745</c:v>
                </c:pt>
                <c:pt idx="213">
                  <c:v>526609.59649783745</c:v>
                </c:pt>
                <c:pt idx="214">
                  <c:v>526609.59649783745</c:v>
                </c:pt>
                <c:pt idx="215">
                  <c:v>526609.59649783745</c:v>
                </c:pt>
                <c:pt idx="216">
                  <c:v>526609.59649783745</c:v>
                </c:pt>
                <c:pt idx="217">
                  <c:v>526609.59649783745</c:v>
                </c:pt>
                <c:pt idx="218">
                  <c:v>526609.59649783745</c:v>
                </c:pt>
                <c:pt idx="219">
                  <c:v>526609.59649783745</c:v>
                </c:pt>
                <c:pt idx="220">
                  <c:v>526609.59649783745</c:v>
                </c:pt>
                <c:pt idx="221">
                  <c:v>526609.59649783745</c:v>
                </c:pt>
                <c:pt idx="222">
                  <c:v>526609.59649783745</c:v>
                </c:pt>
                <c:pt idx="223">
                  <c:v>526609.59649783745</c:v>
                </c:pt>
                <c:pt idx="224">
                  <c:v>526609.59649783745</c:v>
                </c:pt>
                <c:pt idx="225">
                  <c:v>526609.59649783745</c:v>
                </c:pt>
                <c:pt idx="226">
                  <c:v>526609.59649783745</c:v>
                </c:pt>
                <c:pt idx="227">
                  <c:v>526609.59649783745</c:v>
                </c:pt>
                <c:pt idx="228">
                  <c:v>526609.59649783745</c:v>
                </c:pt>
                <c:pt idx="229">
                  <c:v>526609.59649783745</c:v>
                </c:pt>
                <c:pt idx="230">
                  <c:v>526609.59649783745</c:v>
                </c:pt>
                <c:pt idx="231">
                  <c:v>526609.59649783745</c:v>
                </c:pt>
                <c:pt idx="232">
                  <c:v>526609.59649783745</c:v>
                </c:pt>
                <c:pt idx="233">
                  <c:v>526609.59649783745</c:v>
                </c:pt>
                <c:pt idx="234">
                  <c:v>526609.59649783745</c:v>
                </c:pt>
                <c:pt idx="235">
                  <c:v>526609.59649783745</c:v>
                </c:pt>
                <c:pt idx="236">
                  <c:v>526609.59649783745</c:v>
                </c:pt>
                <c:pt idx="237">
                  <c:v>526609.59649783745</c:v>
                </c:pt>
                <c:pt idx="238">
                  <c:v>526609.59649783745</c:v>
                </c:pt>
                <c:pt idx="239">
                  <c:v>526609.59649783745</c:v>
                </c:pt>
                <c:pt idx="240">
                  <c:v>526609.59649783745</c:v>
                </c:pt>
                <c:pt idx="241">
                  <c:v>526609.59649783745</c:v>
                </c:pt>
                <c:pt idx="242">
                  <c:v>526609.59649783745</c:v>
                </c:pt>
                <c:pt idx="243">
                  <c:v>526609.59649783745</c:v>
                </c:pt>
                <c:pt idx="244">
                  <c:v>526609.59649783745</c:v>
                </c:pt>
                <c:pt idx="245">
                  <c:v>526609.59649783745</c:v>
                </c:pt>
                <c:pt idx="246">
                  <c:v>526609.59649783745</c:v>
                </c:pt>
                <c:pt idx="247">
                  <c:v>526609.59649783745</c:v>
                </c:pt>
                <c:pt idx="248">
                  <c:v>526609.59649783745</c:v>
                </c:pt>
                <c:pt idx="249">
                  <c:v>526609.59649783745</c:v>
                </c:pt>
                <c:pt idx="250">
                  <c:v>526609.59649783745</c:v>
                </c:pt>
                <c:pt idx="251">
                  <c:v>526609.59649783745</c:v>
                </c:pt>
                <c:pt idx="252">
                  <c:v>526609.59649783745</c:v>
                </c:pt>
                <c:pt idx="253">
                  <c:v>526609.59649783745</c:v>
                </c:pt>
                <c:pt idx="254">
                  <c:v>526609.59649783745</c:v>
                </c:pt>
                <c:pt idx="255">
                  <c:v>526609.59649783745</c:v>
                </c:pt>
                <c:pt idx="256">
                  <c:v>526609.59649783745</c:v>
                </c:pt>
                <c:pt idx="257">
                  <c:v>526609.59649783745</c:v>
                </c:pt>
                <c:pt idx="258">
                  <c:v>526609.59649783745</c:v>
                </c:pt>
                <c:pt idx="259">
                  <c:v>526609.59649783745</c:v>
                </c:pt>
                <c:pt idx="260">
                  <c:v>526609.59649783745</c:v>
                </c:pt>
                <c:pt idx="261">
                  <c:v>526609.59649783745</c:v>
                </c:pt>
                <c:pt idx="262">
                  <c:v>526609.59649783745</c:v>
                </c:pt>
                <c:pt idx="263">
                  <c:v>526609.59649783745</c:v>
                </c:pt>
                <c:pt idx="264">
                  <c:v>526609.59649783745</c:v>
                </c:pt>
                <c:pt idx="265">
                  <c:v>526609.59649783745</c:v>
                </c:pt>
                <c:pt idx="266">
                  <c:v>526609.59649783745</c:v>
                </c:pt>
                <c:pt idx="267">
                  <c:v>526609.59649783745</c:v>
                </c:pt>
                <c:pt idx="268">
                  <c:v>526609.59649783745</c:v>
                </c:pt>
                <c:pt idx="269">
                  <c:v>526609.59649783745</c:v>
                </c:pt>
                <c:pt idx="270">
                  <c:v>526609.59649783745</c:v>
                </c:pt>
                <c:pt idx="271">
                  <c:v>526609.59649783745</c:v>
                </c:pt>
                <c:pt idx="272">
                  <c:v>526609.59649783745</c:v>
                </c:pt>
                <c:pt idx="273">
                  <c:v>526609.59649783745</c:v>
                </c:pt>
                <c:pt idx="274">
                  <c:v>526609.59649783745</c:v>
                </c:pt>
                <c:pt idx="275">
                  <c:v>526609.59649783745</c:v>
                </c:pt>
                <c:pt idx="276">
                  <c:v>526609.59649783745</c:v>
                </c:pt>
                <c:pt idx="277">
                  <c:v>526609.59649783745</c:v>
                </c:pt>
                <c:pt idx="278">
                  <c:v>526609.59649783745</c:v>
                </c:pt>
                <c:pt idx="279">
                  <c:v>526609.59649783745</c:v>
                </c:pt>
                <c:pt idx="280">
                  <c:v>526609.59649783745</c:v>
                </c:pt>
                <c:pt idx="281">
                  <c:v>526609.59649783745</c:v>
                </c:pt>
                <c:pt idx="282">
                  <c:v>526609.59649783745</c:v>
                </c:pt>
                <c:pt idx="283">
                  <c:v>526609.59649783745</c:v>
                </c:pt>
                <c:pt idx="284">
                  <c:v>526609.59649783745</c:v>
                </c:pt>
                <c:pt idx="285">
                  <c:v>526609.59649783745</c:v>
                </c:pt>
                <c:pt idx="286">
                  <c:v>526609.59649783745</c:v>
                </c:pt>
                <c:pt idx="287">
                  <c:v>526609.59649783745</c:v>
                </c:pt>
                <c:pt idx="288">
                  <c:v>526609.59649783745</c:v>
                </c:pt>
                <c:pt idx="289">
                  <c:v>526609.59649783745</c:v>
                </c:pt>
                <c:pt idx="290">
                  <c:v>526609.59649783745</c:v>
                </c:pt>
                <c:pt idx="291">
                  <c:v>526609.59649783745</c:v>
                </c:pt>
                <c:pt idx="292">
                  <c:v>526609.59649783745</c:v>
                </c:pt>
                <c:pt idx="293">
                  <c:v>526609.59649783745</c:v>
                </c:pt>
                <c:pt idx="294">
                  <c:v>526609.59649783745</c:v>
                </c:pt>
                <c:pt idx="295">
                  <c:v>526609.59649783745</c:v>
                </c:pt>
                <c:pt idx="296">
                  <c:v>526609.59649783745</c:v>
                </c:pt>
                <c:pt idx="297">
                  <c:v>526609.59649783745</c:v>
                </c:pt>
                <c:pt idx="298">
                  <c:v>526609.59649783745</c:v>
                </c:pt>
                <c:pt idx="299">
                  <c:v>526609.59649783745</c:v>
                </c:pt>
                <c:pt idx="300">
                  <c:v>526609.59649783745</c:v>
                </c:pt>
                <c:pt idx="301">
                  <c:v>526609.59649783745</c:v>
                </c:pt>
                <c:pt idx="302">
                  <c:v>526609.59649783745</c:v>
                </c:pt>
                <c:pt idx="303">
                  <c:v>526609.59649783745</c:v>
                </c:pt>
                <c:pt idx="304">
                  <c:v>526609.59649783745</c:v>
                </c:pt>
                <c:pt idx="305">
                  <c:v>526609.59649783745</c:v>
                </c:pt>
                <c:pt idx="306">
                  <c:v>526609.59649783745</c:v>
                </c:pt>
                <c:pt idx="307">
                  <c:v>526609.59649783745</c:v>
                </c:pt>
                <c:pt idx="308">
                  <c:v>526609.59649783745</c:v>
                </c:pt>
                <c:pt idx="309">
                  <c:v>526609.59649783745</c:v>
                </c:pt>
                <c:pt idx="310">
                  <c:v>526609.59649783745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4781066.7355000004</c:v>
                </c:pt>
                <c:pt idx="24">
                  <c:v>4781066.7355000004</c:v>
                </c:pt>
                <c:pt idx="25">
                  <c:v>4781066.7355000004</c:v>
                </c:pt>
                <c:pt idx="26">
                  <c:v>4781066.7355000004</c:v>
                </c:pt>
                <c:pt idx="27">
                  <c:v>4781066.7355000004</c:v>
                </c:pt>
                <c:pt idx="28">
                  <c:v>4781066.7355000004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4781066.7355000004</c:v>
                </c:pt>
                <c:pt idx="42">
                  <c:v>4781066.7355000004</c:v>
                </c:pt>
                <c:pt idx="43">
                  <c:v>4781066.7355000004</c:v>
                </c:pt>
                <c:pt idx="44">
                  <c:v>4781066.7355000004</c:v>
                </c:pt>
                <c:pt idx="45">
                  <c:v>4781066.7355000004</c:v>
                </c:pt>
                <c:pt idx="46">
                  <c:v>4781066.7355000004</c:v>
                </c:pt>
                <c:pt idx="47">
                  <c:v>4781066.7355000004</c:v>
                </c:pt>
                <c:pt idx="48">
                  <c:v>4781066.7355000004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8692848.6100000013</c:v>
                </c:pt>
                <c:pt idx="52">
                  <c:v>8692848.6100000013</c:v>
                </c:pt>
                <c:pt idx="53">
                  <c:v>8692848.6100000013</c:v>
                </c:pt>
                <c:pt idx="54">
                  <c:v>8692848.6100000013</c:v>
                </c:pt>
                <c:pt idx="55">
                  <c:v>8692848.6100000013</c:v>
                </c:pt>
                <c:pt idx="56">
                  <c:v>8692848.6100000013</c:v>
                </c:pt>
                <c:pt idx="57">
                  <c:v>8692848.6100000013</c:v>
                </c:pt>
                <c:pt idx="58">
                  <c:v>8692848.6100000013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9834.49</c:v>
                </c:pt>
                <c:pt idx="16">
                  <c:v>161686.34</c:v>
                </c:pt>
                <c:pt idx="17">
                  <c:v>163936.84</c:v>
                </c:pt>
                <c:pt idx="18">
                  <c:v>178741.84</c:v>
                </c:pt>
                <c:pt idx="19">
                  <c:v>178741.84</c:v>
                </c:pt>
                <c:pt idx="20">
                  <c:v>180141.3</c:v>
                </c:pt>
                <c:pt idx="21">
                  <c:v>180141.3</c:v>
                </c:pt>
                <c:pt idx="22">
                  <c:v>413019.07499999995</c:v>
                </c:pt>
                <c:pt idx="23">
                  <c:v>431107.81499999994</c:v>
                </c:pt>
                <c:pt idx="24">
                  <c:v>1183107.8149999999</c:v>
                </c:pt>
                <c:pt idx="25">
                  <c:v>1191706.165</c:v>
                </c:pt>
                <c:pt idx="26">
                  <c:v>1191706.165</c:v>
                </c:pt>
                <c:pt idx="27">
                  <c:v>2272281.2141304351</c:v>
                </c:pt>
                <c:pt idx="28">
                  <c:v>2272281.2141304351</c:v>
                </c:pt>
                <c:pt idx="29">
                  <c:v>2272281.2141304351</c:v>
                </c:pt>
                <c:pt idx="30">
                  <c:v>4359811.6450000005</c:v>
                </c:pt>
                <c:pt idx="31">
                  <c:v>4359811.6450000005</c:v>
                </c:pt>
                <c:pt idx="32">
                  <c:v>4428411.6450000005</c:v>
                </c:pt>
                <c:pt idx="33">
                  <c:v>4428411.6450000005</c:v>
                </c:pt>
                <c:pt idx="34">
                  <c:v>4428411.6450000005</c:v>
                </c:pt>
                <c:pt idx="35">
                  <c:v>4428411.6450000005</c:v>
                </c:pt>
                <c:pt idx="36">
                  <c:v>4428411.6450000005</c:v>
                </c:pt>
                <c:pt idx="37">
                  <c:v>4489172.2050000001</c:v>
                </c:pt>
                <c:pt idx="38">
                  <c:v>4489172.2050000001</c:v>
                </c:pt>
                <c:pt idx="39">
                  <c:v>4827895.9050000003</c:v>
                </c:pt>
                <c:pt idx="40">
                  <c:v>4887675.9050000003</c:v>
                </c:pt>
                <c:pt idx="41">
                  <c:v>4891294.3950000005</c:v>
                </c:pt>
                <c:pt idx="42">
                  <c:v>4952054.3950000005</c:v>
                </c:pt>
                <c:pt idx="43">
                  <c:v>4958054.3950000005</c:v>
                </c:pt>
                <c:pt idx="44">
                  <c:v>4963004.3950000005</c:v>
                </c:pt>
                <c:pt idx="45">
                  <c:v>4964832.1450000005</c:v>
                </c:pt>
                <c:pt idx="46">
                  <c:v>4981320.1450000005</c:v>
                </c:pt>
                <c:pt idx="47">
                  <c:v>5410456.1200000001</c:v>
                </c:pt>
                <c:pt idx="48">
                  <c:v>5410456.1200000001</c:v>
                </c:pt>
                <c:pt idx="49">
                  <c:v>5416962.1200000001</c:v>
                </c:pt>
                <c:pt idx="50">
                  <c:v>5417457.1600000001</c:v>
                </c:pt>
                <c:pt idx="51">
                  <c:v>6180237.1600000001</c:v>
                </c:pt>
                <c:pt idx="52">
                  <c:v>6187206.1600000001</c:v>
                </c:pt>
                <c:pt idx="53">
                  <c:v>6464678.1400000006</c:v>
                </c:pt>
                <c:pt idx="54">
                  <c:v>6652800.0700000003</c:v>
                </c:pt>
                <c:pt idx="55">
                  <c:v>6728725.9950000001</c:v>
                </c:pt>
                <c:pt idx="56">
                  <c:v>6728725.9950000001</c:v>
                </c:pt>
                <c:pt idx="57">
                  <c:v>6881734.8950000005</c:v>
                </c:pt>
                <c:pt idx="58">
                  <c:v>6882234.8950000005</c:v>
                </c:pt>
                <c:pt idx="59">
                  <c:v>6958160.8200000003</c:v>
                </c:pt>
                <c:pt idx="60">
                  <c:v>6958160.8200000003</c:v>
                </c:pt>
                <c:pt idx="61">
                  <c:v>6958160.8200000003</c:v>
                </c:pt>
                <c:pt idx="62">
                  <c:v>7050260.8200000003</c:v>
                </c:pt>
                <c:pt idx="63">
                  <c:v>7050260.8200000003</c:v>
                </c:pt>
                <c:pt idx="64">
                  <c:v>7050260.8200000003</c:v>
                </c:pt>
                <c:pt idx="65">
                  <c:v>7050260.8200000003</c:v>
                </c:pt>
                <c:pt idx="66">
                  <c:v>7090051.4276250005</c:v>
                </c:pt>
                <c:pt idx="67">
                  <c:v>7090051.4276250005</c:v>
                </c:pt>
                <c:pt idx="68">
                  <c:v>7090051.4276250005</c:v>
                </c:pt>
                <c:pt idx="69">
                  <c:v>7090051.4276250005</c:v>
                </c:pt>
                <c:pt idx="70">
                  <c:v>7090051.4276250005</c:v>
                </c:pt>
                <c:pt idx="71">
                  <c:v>7090051.4276250005</c:v>
                </c:pt>
                <c:pt idx="72">
                  <c:v>7090051.4276250005</c:v>
                </c:pt>
                <c:pt idx="73">
                  <c:v>7090051.4276250005</c:v>
                </c:pt>
                <c:pt idx="74">
                  <c:v>7090051.4276250005</c:v>
                </c:pt>
                <c:pt idx="75">
                  <c:v>7090051.4276250005</c:v>
                </c:pt>
                <c:pt idx="76">
                  <c:v>7090051.4276250005</c:v>
                </c:pt>
                <c:pt idx="77">
                  <c:v>7090051.4276250005</c:v>
                </c:pt>
                <c:pt idx="78">
                  <c:v>7090051.4276250005</c:v>
                </c:pt>
                <c:pt idx="79">
                  <c:v>7090051.4276250005</c:v>
                </c:pt>
                <c:pt idx="80">
                  <c:v>7090051.4276250005</c:v>
                </c:pt>
                <c:pt idx="81">
                  <c:v>7090051.4276250005</c:v>
                </c:pt>
                <c:pt idx="82">
                  <c:v>7090051.4276250005</c:v>
                </c:pt>
                <c:pt idx="83">
                  <c:v>7090051.4276250005</c:v>
                </c:pt>
                <c:pt idx="84">
                  <c:v>7090051.4276250005</c:v>
                </c:pt>
                <c:pt idx="85">
                  <c:v>7090051.4276250005</c:v>
                </c:pt>
                <c:pt idx="86">
                  <c:v>7090051.4276250005</c:v>
                </c:pt>
                <c:pt idx="87">
                  <c:v>7090051.4276250005</c:v>
                </c:pt>
                <c:pt idx="88">
                  <c:v>7090051.4276250005</c:v>
                </c:pt>
                <c:pt idx="89">
                  <c:v>7090051.4276250005</c:v>
                </c:pt>
                <c:pt idx="90">
                  <c:v>7090051.4276250005</c:v>
                </c:pt>
                <c:pt idx="91">
                  <c:v>7090051.4276250005</c:v>
                </c:pt>
                <c:pt idx="92">
                  <c:v>7090051.4276250005</c:v>
                </c:pt>
                <c:pt idx="93">
                  <c:v>7090051.4276250005</c:v>
                </c:pt>
                <c:pt idx="94">
                  <c:v>7090051.4276250005</c:v>
                </c:pt>
                <c:pt idx="95">
                  <c:v>7090051.4276250005</c:v>
                </c:pt>
                <c:pt idx="96">
                  <c:v>7090051.4276250005</c:v>
                </c:pt>
                <c:pt idx="97">
                  <c:v>7090051.4276250005</c:v>
                </c:pt>
                <c:pt idx="98">
                  <c:v>7090051.4276250005</c:v>
                </c:pt>
                <c:pt idx="99">
                  <c:v>7090051.4276250005</c:v>
                </c:pt>
                <c:pt idx="100">
                  <c:v>7090051.4276250005</c:v>
                </c:pt>
                <c:pt idx="101">
                  <c:v>7090051.4276250005</c:v>
                </c:pt>
                <c:pt idx="102">
                  <c:v>7090051.4276250005</c:v>
                </c:pt>
                <c:pt idx="103">
                  <c:v>7090051.4276250005</c:v>
                </c:pt>
                <c:pt idx="104">
                  <c:v>7090051.4276250005</c:v>
                </c:pt>
                <c:pt idx="105">
                  <c:v>7090051.4276250005</c:v>
                </c:pt>
                <c:pt idx="106">
                  <c:v>7090051.4276250005</c:v>
                </c:pt>
                <c:pt idx="107">
                  <c:v>7090051.4276250005</c:v>
                </c:pt>
                <c:pt idx="108">
                  <c:v>7090051.4276250005</c:v>
                </c:pt>
                <c:pt idx="109">
                  <c:v>7090051.4276250005</c:v>
                </c:pt>
                <c:pt idx="110">
                  <c:v>7090051.4276250005</c:v>
                </c:pt>
                <c:pt idx="111">
                  <c:v>7090051.4276250005</c:v>
                </c:pt>
                <c:pt idx="112">
                  <c:v>7090051.4276250005</c:v>
                </c:pt>
                <c:pt idx="113">
                  <c:v>7090051.4276250005</c:v>
                </c:pt>
                <c:pt idx="114">
                  <c:v>7090051.4276250005</c:v>
                </c:pt>
                <c:pt idx="115">
                  <c:v>7090051.4276250005</c:v>
                </c:pt>
                <c:pt idx="116">
                  <c:v>7090051.4276250005</c:v>
                </c:pt>
                <c:pt idx="117">
                  <c:v>7090051.4276250005</c:v>
                </c:pt>
                <c:pt idx="118">
                  <c:v>7090051.4276250005</c:v>
                </c:pt>
                <c:pt idx="119">
                  <c:v>7090051.4276250005</c:v>
                </c:pt>
                <c:pt idx="120">
                  <c:v>7090051.4276250005</c:v>
                </c:pt>
                <c:pt idx="121">
                  <c:v>7090051.4276250005</c:v>
                </c:pt>
                <c:pt idx="122">
                  <c:v>7090051.4276250005</c:v>
                </c:pt>
                <c:pt idx="123">
                  <c:v>7090051.4276250005</c:v>
                </c:pt>
                <c:pt idx="124">
                  <c:v>7090051.4276250005</c:v>
                </c:pt>
                <c:pt idx="125">
                  <c:v>7090051.4276250005</c:v>
                </c:pt>
                <c:pt idx="126">
                  <c:v>7090051.4276250005</c:v>
                </c:pt>
                <c:pt idx="127">
                  <c:v>7090051.4276250005</c:v>
                </c:pt>
                <c:pt idx="128">
                  <c:v>7090051.4276250005</c:v>
                </c:pt>
                <c:pt idx="129">
                  <c:v>7090051.4276250005</c:v>
                </c:pt>
                <c:pt idx="130">
                  <c:v>7090051.4276250005</c:v>
                </c:pt>
                <c:pt idx="131">
                  <c:v>7090051.4276250005</c:v>
                </c:pt>
                <c:pt idx="132">
                  <c:v>7090051.4276250005</c:v>
                </c:pt>
                <c:pt idx="133">
                  <c:v>7090051.4276250005</c:v>
                </c:pt>
                <c:pt idx="134">
                  <c:v>7090051.4276250005</c:v>
                </c:pt>
                <c:pt idx="135">
                  <c:v>7090051.4276250005</c:v>
                </c:pt>
                <c:pt idx="136">
                  <c:v>7090051.4276250005</c:v>
                </c:pt>
                <c:pt idx="137">
                  <c:v>7090051.4276250005</c:v>
                </c:pt>
                <c:pt idx="138">
                  <c:v>7090051.4276250005</c:v>
                </c:pt>
                <c:pt idx="139">
                  <c:v>7090051.4276250005</c:v>
                </c:pt>
                <c:pt idx="140">
                  <c:v>7090051.4276250005</c:v>
                </c:pt>
                <c:pt idx="141">
                  <c:v>7090051.4276250005</c:v>
                </c:pt>
                <c:pt idx="142">
                  <c:v>7090051.4276250005</c:v>
                </c:pt>
                <c:pt idx="143">
                  <c:v>7090051.4276250005</c:v>
                </c:pt>
                <c:pt idx="144">
                  <c:v>7090051.4276250005</c:v>
                </c:pt>
                <c:pt idx="145">
                  <c:v>7090051.4276250005</c:v>
                </c:pt>
                <c:pt idx="146">
                  <c:v>7090051.4276250005</c:v>
                </c:pt>
                <c:pt idx="147">
                  <c:v>7090051.4276250005</c:v>
                </c:pt>
                <c:pt idx="148">
                  <c:v>7090051.4276250005</c:v>
                </c:pt>
                <c:pt idx="149">
                  <c:v>7090051.4276250005</c:v>
                </c:pt>
                <c:pt idx="150">
                  <c:v>7090051.4276250005</c:v>
                </c:pt>
                <c:pt idx="151">
                  <c:v>7090051.4276250005</c:v>
                </c:pt>
                <c:pt idx="152">
                  <c:v>7090051.4276250005</c:v>
                </c:pt>
                <c:pt idx="153">
                  <c:v>7090051.4276250005</c:v>
                </c:pt>
                <c:pt idx="154">
                  <c:v>7090051.4276250005</c:v>
                </c:pt>
                <c:pt idx="155">
                  <c:v>7090051.4276250005</c:v>
                </c:pt>
                <c:pt idx="156">
                  <c:v>7090051.4276250005</c:v>
                </c:pt>
                <c:pt idx="157">
                  <c:v>7090051.4276250005</c:v>
                </c:pt>
                <c:pt idx="158">
                  <c:v>7090051.4276250005</c:v>
                </c:pt>
                <c:pt idx="159">
                  <c:v>7090051.4276250005</c:v>
                </c:pt>
                <c:pt idx="160">
                  <c:v>7090051.4276250005</c:v>
                </c:pt>
                <c:pt idx="161">
                  <c:v>7090051.4276250005</c:v>
                </c:pt>
                <c:pt idx="162">
                  <c:v>7090051.4276250005</c:v>
                </c:pt>
                <c:pt idx="163">
                  <c:v>7090051.4276250005</c:v>
                </c:pt>
                <c:pt idx="164">
                  <c:v>7090051.4276250005</c:v>
                </c:pt>
                <c:pt idx="165">
                  <c:v>7090051.4276250005</c:v>
                </c:pt>
                <c:pt idx="166">
                  <c:v>7090051.4276250005</c:v>
                </c:pt>
                <c:pt idx="167">
                  <c:v>7090051.4276250005</c:v>
                </c:pt>
                <c:pt idx="168">
                  <c:v>7090051.4276250005</c:v>
                </c:pt>
                <c:pt idx="169">
                  <c:v>7090051.4276250005</c:v>
                </c:pt>
                <c:pt idx="170">
                  <c:v>7090051.4276250005</c:v>
                </c:pt>
                <c:pt idx="171">
                  <c:v>7090051.4276250005</c:v>
                </c:pt>
                <c:pt idx="172">
                  <c:v>7090051.4276250005</c:v>
                </c:pt>
                <c:pt idx="173">
                  <c:v>7090051.4276250005</c:v>
                </c:pt>
                <c:pt idx="174">
                  <c:v>7090051.4276250005</c:v>
                </c:pt>
                <c:pt idx="175">
                  <c:v>7090051.4276250005</c:v>
                </c:pt>
                <c:pt idx="176">
                  <c:v>7090051.4276250005</c:v>
                </c:pt>
                <c:pt idx="177">
                  <c:v>7090051.4276250005</c:v>
                </c:pt>
                <c:pt idx="178">
                  <c:v>7090051.4276250005</c:v>
                </c:pt>
                <c:pt idx="179">
                  <c:v>7090051.4276250005</c:v>
                </c:pt>
                <c:pt idx="180">
                  <c:v>7090051.4276250005</c:v>
                </c:pt>
                <c:pt idx="181">
                  <c:v>7090051.4276250005</c:v>
                </c:pt>
                <c:pt idx="182">
                  <c:v>7090051.4276250005</c:v>
                </c:pt>
                <c:pt idx="183">
                  <c:v>7090051.4276250005</c:v>
                </c:pt>
                <c:pt idx="184">
                  <c:v>7090051.4276250005</c:v>
                </c:pt>
                <c:pt idx="185">
                  <c:v>7090051.4276250005</c:v>
                </c:pt>
                <c:pt idx="186">
                  <c:v>7090051.4276250005</c:v>
                </c:pt>
                <c:pt idx="187">
                  <c:v>7090051.4276250005</c:v>
                </c:pt>
                <c:pt idx="188">
                  <c:v>7090051.4276250005</c:v>
                </c:pt>
                <c:pt idx="189">
                  <c:v>7090051.4276250005</c:v>
                </c:pt>
                <c:pt idx="190">
                  <c:v>7090051.4276250005</c:v>
                </c:pt>
                <c:pt idx="191">
                  <c:v>7090051.4276250005</c:v>
                </c:pt>
                <c:pt idx="192">
                  <c:v>7090051.4276250005</c:v>
                </c:pt>
                <c:pt idx="193">
                  <c:v>7090051.4276250005</c:v>
                </c:pt>
                <c:pt idx="194">
                  <c:v>7090051.4276250005</c:v>
                </c:pt>
                <c:pt idx="195">
                  <c:v>7090051.4276250005</c:v>
                </c:pt>
                <c:pt idx="196">
                  <c:v>7090051.4276250005</c:v>
                </c:pt>
                <c:pt idx="197">
                  <c:v>7090051.4276250005</c:v>
                </c:pt>
                <c:pt idx="198">
                  <c:v>7090051.4276250005</c:v>
                </c:pt>
                <c:pt idx="199">
                  <c:v>7090051.4276250005</c:v>
                </c:pt>
                <c:pt idx="200">
                  <c:v>7090051.4276250005</c:v>
                </c:pt>
                <c:pt idx="201">
                  <c:v>7090051.4276250005</c:v>
                </c:pt>
                <c:pt idx="202">
                  <c:v>7090051.4276250005</c:v>
                </c:pt>
                <c:pt idx="203">
                  <c:v>7090051.4276250005</c:v>
                </c:pt>
                <c:pt idx="204">
                  <c:v>7090051.4276250005</c:v>
                </c:pt>
                <c:pt idx="205">
                  <c:v>7090051.4276250005</c:v>
                </c:pt>
                <c:pt idx="206">
                  <c:v>7090051.4276250005</c:v>
                </c:pt>
                <c:pt idx="207">
                  <c:v>7090051.4276250005</c:v>
                </c:pt>
                <c:pt idx="208">
                  <c:v>7090051.4276250005</c:v>
                </c:pt>
                <c:pt idx="209">
                  <c:v>7090051.4276250005</c:v>
                </c:pt>
                <c:pt idx="210">
                  <c:v>7090051.4276250005</c:v>
                </c:pt>
                <c:pt idx="211">
                  <c:v>7090051.4276250005</c:v>
                </c:pt>
                <c:pt idx="212">
                  <c:v>7090051.4276250005</c:v>
                </c:pt>
                <c:pt idx="213">
                  <c:v>7090051.4276250005</c:v>
                </c:pt>
                <c:pt idx="214">
                  <c:v>7090051.4276250005</c:v>
                </c:pt>
                <c:pt idx="215">
                  <c:v>7090051.4276250005</c:v>
                </c:pt>
                <c:pt idx="216">
                  <c:v>7090051.4276250005</c:v>
                </c:pt>
                <c:pt idx="217">
                  <c:v>7090051.4276250005</c:v>
                </c:pt>
                <c:pt idx="218">
                  <c:v>7090051.4276250005</c:v>
                </c:pt>
                <c:pt idx="219">
                  <c:v>7090051.4276250005</c:v>
                </c:pt>
                <c:pt idx="220">
                  <c:v>7090051.4276250005</c:v>
                </c:pt>
                <c:pt idx="221">
                  <c:v>7090051.4276250005</c:v>
                </c:pt>
                <c:pt idx="222">
                  <c:v>7090051.4276250005</c:v>
                </c:pt>
                <c:pt idx="223">
                  <c:v>7090051.4276250005</c:v>
                </c:pt>
                <c:pt idx="224">
                  <c:v>7090051.4276250005</c:v>
                </c:pt>
                <c:pt idx="225">
                  <c:v>7090051.4276250005</c:v>
                </c:pt>
                <c:pt idx="226">
                  <c:v>7090051.4276250005</c:v>
                </c:pt>
                <c:pt idx="227">
                  <c:v>7090051.4276250005</c:v>
                </c:pt>
                <c:pt idx="228">
                  <c:v>7090051.4276250005</c:v>
                </c:pt>
                <c:pt idx="229">
                  <c:v>7090051.4276250005</c:v>
                </c:pt>
                <c:pt idx="230">
                  <c:v>7090051.4276250005</c:v>
                </c:pt>
                <c:pt idx="231">
                  <c:v>7090051.4276250005</c:v>
                </c:pt>
                <c:pt idx="232">
                  <c:v>7090051.4276250005</c:v>
                </c:pt>
                <c:pt idx="233">
                  <c:v>7090051.4276250005</c:v>
                </c:pt>
                <c:pt idx="234">
                  <c:v>7090051.4276250005</c:v>
                </c:pt>
                <c:pt idx="235">
                  <c:v>7090051.4276250005</c:v>
                </c:pt>
                <c:pt idx="236">
                  <c:v>7090051.4276250005</c:v>
                </c:pt>
                <c:pt idx="237">
                  <c:v>7090051.4276250005</c:v>
                </c:pt>
                <c:pt idx="238">
                  <c:v>7090051.4276250005</c:v>
                </c:pt>
                <c:pt idx="239">
                  <c:v>7090051.4276250005</c:v>
                </c:pt>
                <c:pt idx="240">
                  <c:v>7090051.4276250005</c:v>
                </c:pt>
                <c:pt idx="241">
                  <c:v>7090051.4276250005</c:v>
                </c:pt>
                <c:pt idx="242">
                  <c:v>7090051.4276250005</c:v>
                </c:pt>
                <c:pt idx="243">
                  <c:v>7090051.4276250005</c:v>
                </c:pt>
                <c:pt idx="244">
                  <c:v>7090051.4276250005</c:v>
                </c:pt>
                <c:pt idx="245">
                  <c:v>7090051.4276250005</c:v>
                </c:pt>
                <c:pt idx="246">
                  <c:v>7090051.4276250005</c:v>
                </c:pt>
                <c:pt idx="247">
                  <c:v>7090051.4276250005</c:v>
                </c:pt>
                <c:pt idx="248">
                  <c:v>7090051.4276250005</c:v>
                </c:pt>
                <c:pt idx="249">
                  <c:v>7090051.4276250005</c:v>
                </c:pt>
                <c:pt idx="250">
                  <c:v>7090051.4276250005</c:v>
                </c:pt>
                <c:pt idx="251">
                  <c:v>7090051.4276250005</c:v>
                </c:pt>
                <c:pt idx="252">
                  <c:v>7090051.4276250005</c:v>
                </c:pt>
                <c:pt idx="253">
                  <c:v>7090051.4276250005</c:v>
                </c:pt>
                <c:pt idx="254">
                  <c:v>7090051.4276250005</c:v>
                </c:pt>
                <c:pt idx="255">
                  <c:v>7090051.4276250005</c:v>
                </c:pt>
                <c:pt idx="256">
                  <c:v>7090051.4276250005</c:v>
                </c:pt>
                <c:pt idx="257">
                  <c:v>7090051.4276250005</c:v>
                </c:pt>
                <c:pt idx="258">
                  <c:v>7090051.4276250005</c:v>
                </c:pt>
                <c:pt idx="259">
                  <c:v>7090051.4276250005</c:v>
                </c:pt>
                <c:pt idx="260">
                  <c:v>7090051.4276250005</c:v>
                </c:pt>
                <c:pt idx="261">
                  <c:v>7090051.4276250005</c:v>
                </c:pt>
                <c:pt idx="262">
                  <c:v>7090051.4276250005</c:v>
                </c:pt>
                <c:pt idx="263">
                  <c:v>7090051.4276250005</c:v>
                </c:pt>
                <c:pt idx="264">
                  <c:v>7090051.4276250005</c:v>
                </c:pt>
                <c:pt idx="265">
                  <c:v>7090051.4276250005</c:v>
                </c:pt>
                <c:pt idx="266">
                  <c:v>7090051.4276250005</c:v>
                </c:pt>
                <c:pt idx="267">
                  <c:v>7090051.4276250005</c:v>
                </c:pt>
                <c:pt idx="268">
                  <c:v>7090051.4276250005</c:v>
                </c:pt>
                <c:pt idx="269">
                  <c:v>7090051.4276250005</c:v>
                </c:pt>
                <c:pt idx="270">
                  <c:v>7090051.4276250005</c:v>
                </c:pt>
                <c:pt idx="271">
                  <c:v>7090051.4276250005</c:v>
                </c:pt>
                <c:pt idx="272">
                  <c:v>7090051.4276250005</c:v>
                </c:pt>
                <c:pt idx="273">
                  <c:v>7090051.4276250005</c:v>
                </c:pt>
                <c:pt idx="274">
                  <c:v>7090051.4276250005</c:v>
                </c:pt>
                <c:pt idx="275">
                  <c:v>7090051.4276250005</c:v>
                </c:pt>
                <c:pt idx="276">
                  <c:v>7090051.4276250005</c:v>
                </c:pt>
                <c:pt idx="277">
                  <c:v>7090051.4276250005</c:v>
                </c:pt>
                <c:pt idx="278">
                  <c:v>7090051.4276250005</c:v>
                </c:pt>
                <c:pt idx="279">
                  <c:v>7090051.4276250005</c:v>
                </c:pt>
                <c:pt idx="280">
                  <c:v>7090051.4276250005</c:v>
                </c:pt>
                <c:pt idx="281">
                  <c:v>7090051.4276250005</c:v>
                </c:pt>
                <c:pt idx="282">
                  <c:v>7090051.4276250005</c:v>
                </c:pt>
                <c:pt idx="283">
                  <c:v>7090051.4276250005</c:v>
                </c:pt>
                <c:pt idx="284">
                  <c:v>7090051.4276250005</c:v>
                </c:pt>
                <c:pt idx="285">
                  <c:v>7090051.4276250005</c:v>
                </c:pt>
                <c:pt idx="286">
                  <c:v>7090051.4276250005</c:v>
                </c:pt>
                <c:pt idx="287">
                  <c:v>7090051.4276250005</c:v>
                </c:pt>
                <c:pt idx="288">
                  <c:v>7090051.4276250005</c:v>
                </c:pt>
                <c:pt idx="289">
                  <c:v>7090051.4276250005</c:v>
                </c:pt>
                <c:pt idx="290">
                  <c:v>7090051.4276250005</c:v>
                </c:pt>
                <c:pt idx="291">
                  <c:v>7090051.4276250005</c:v>
                </c:pt>
                <c:pt idx="292">
                  <c:v>7090051.4276250005</c:v>
                </c:pt>
                <c:pt idx="293">
                  <c:v>7090051.4276250005</c:v>
                </c:pt>
                <c:pt idx="294">
                  <c:v>7090051.4276250005</c:v>
                </c:pt>
                <c:pt idx="295">
                  <c:v>7090051.4276250005</c:v>
                </c:pt>
                <c:pt idx="296">
                  <c:v>7090051.4276250005</c:v>
                </c:pt>
                <c:pt idx="297">
                  <c:v>7090051.4276250005</c:v>
                </c:pt>
                <c:pt idx="298">
                  <c:v>7090051.4276250005</c:v>
                </c:pt>
                <c:pt idx="299">
                  <c:v>7090051.4276250005</c:v>
                </c:pt>
                <c:pt idx="300">
                  <c:v>7090051.4276250005</c:v>
                </c:pt>
                <c:pt idx="301">
                  <c:v>7090051.4276250005</c:v>
                </c:pt>
                <c:pt idx="302">
                  <c:v>7090051.4276250005</c:v>
                </c:pt>
                <c:pt idx="303">
                  <c:v>7090051.4276250005</c:v>
                </c:pt>
                <c:pt idx="304">
                  <c:v>7090051.4276250005</c:v>
                </c:pt>
                <c:pt idx="305">
                  <c:v>7090051.4276250005</c:v>
                </c:pt>
                <c:pt idx="306">
                  <c:v>7090051.4276250005</c:v>
                </c:pt>
                <c:pt idx="307">
                  <c:v>7090051.4276250005</c:v>
                </c:pt>
                <c:pt idx="308">
                  <c:v>7090051.4276250005</c:v>
                </c:pt>
                <c:pt idx="309">
                  <c:v>7090051.4276250005</c:v>
                </c:pt>
                <c:pt idx="310">
                  <c:v>7090051.4276250005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1730757.9720000001</c:v>
                </c:pt>
                <c:pt idx="15">
                  <c:v>1728735.2320000001</c:v>
                </c:pt>
                <c:pt idx="16">
                  <c:v>1576883.382</c:v>
                </c:pt>
                <c:pt idx="17">
                  <c:v>1574632.882</c:v>
                </c:pt>
                <c:pt idx="18">
                  <c:v>1559827.882</c:v>
                </c:pt>
                <c:pt idx="19">
                  <c:v>1559827.882</c:v>
                </c:pt>
                <c:pt idx="20">
                  <c:v>1558428.422</c:v>
                </c:pt>
                <c:pt idx="21">
                  <c:v>1558428.422</c:v>
                </c:pt>
                <c:pt idx="22">
                  <c:v>1325550.6470000001</c:v>
                </c:pt>
                <c:pt idx="23">
                  <c:v>4349958.9205000009</c:v>
                </c:pt>
                <c:pt idx="24">
                  <c:v>3597958.9205000005</c:v>
                </c:pt>
                <c:pt idx="25">
                  <c:v>3589360.5705000004</c:v>
                </c:pt>
                <c:pt idx="26">
                  <c:v>3589360.5705000004</c:v>
                </c:pt>
                <c:pt idx="27">
                  <c:v>2508785.5213695653</c:v>
                </c:pt>
                <c:pt idx="28">
                  <c:v>2508785.5213695653</c:v>
                </c:pt>
                <c:pt idx="29">
                  <c:v>2508785.5213695653</c:v>
                </c:pt>
                <c:pt idx="30">
                  <c:v>421255.09049999993</c:v>
                </c:pt>
                <c:pt idx="31">
                  <c:v>421255.09049999993</c:v>
                </c:pt>
                <c:pt idx="32">
                  <c:v>352655.09049999993</c:v>
                </c:pt>
                <c:pt idx="33">
                  <c:v>352655.09049999993</c:v>
                </c:pt>
                <c:pt idx="34">
                  <c:v>352655.09049999993</c:v>
                </c:pt>
                <c:pt idx="35">
                  <c:v>352655.09049999993</c:v>
                </c:pt>
                <c:pt idx="36">
                  <c:v>352655.09049999993</c:v>
                </c:pt>
                <c:pt idx="37">
                  <c:v>291894.53050000034</c:v>
                </c:pt>
                <c:pt idx="38">
                  <c:v>291894.53050000034</c:v>
                </c:pt>
                <c:pt idx="39">
                  <c:v>-46829.169499999844</c:v>
                </c:pt>
                <c:pt idx="40">
                  <c:v>-106609.16949999984</c:v>
                </c:pt>
                <c:pt idx="41">
                  <c:v>-110227.65950000007</c:v>
                </c:pt>
                <c:pt idx="42">
                  <c:v>-170987.65950000007</c:v>
                </c:pt>
                <c:pt idx="43">
                  <c:v>-176987.65950000007</c:v>
                </c:pt>
                <c:pt idx="44">
                  <c:v>-181937.65950000007</c:v>
                </c:pt>
                <c:pt idx="45">
                  <c:v>-183765.40950000007</c:v>
                </c:pt>
                <c:pt idx="46">
                  <c:v>-200253.40950000007</c:v>
                </c:pt>
                <c:pt idx="47">
                  <c:v>-629389.38449999969</c:v>
                </c:pt>
                <c:pt idx="48">
                  <c:v>-629389.38449999969</c:v>
                </c:pt>
                <c:pt idx="49">
                  <c:v>2841244.0595000004</c:v>
                </c:pt>
                <c:pt idx="50">
                  <c:v>2840749.0195000004</c:v>
                </c:pt>
                <c:pt idx="51">
                  <c:v>2512611.4500000011</c:v>
                </c:pt>
                <c:pt idx="52">
                  <c:v>2505642.4500000011</c:v>
                </c:pt>
                <c:pt idx="53">
                  <c:v>2228170.4700000007</c:v>
                </c:pt>
                <c:pt idx="54">
                  <c:v>2040048.540000001</c:v>
                </c:pt>
                <c:pt idx="55">
                  <c:v>1964122.6150000012</c:v>
                </c:pt>
                <c:pt idx="56">
                  <c:v>1964122.6150000012</c:v>
                </c:pt>
                <c:pt idx="57">
                  <c:v>1811113.7150000008</c:v>
                </c:pt>
                <c:pt idx="58">
                  <c:v>1810613.7150000008</c:v>
                </c:pt>
                <c:pt idx="59">
                  <c:v>1734687.790000001</c:v>
                </c:pt>
                <c:pt idx="60">
                  <c:v>1734687.790000001</c:v>
                </c:pt>
                <c:pt idx="61">
                  <c:v>1734687.790000001</c:v>
                </c:pt>
                <c:pt idx="62">
                  <c:v>1642587.790000001</c:v>
                </c:pt>
                <c:pt idx="63">
                  <c:v>1642587.790000001</c:v>
                </c:pt>
                <c:pt idx="64">
                  <c:v>1642587.790000001</c:v>
                </c:pt>
                <c:pt idx="65">
                  <c:v>1642587.790000001</c:v>
                </c:pt>
                <c:pt idx="66">
                  <c:v>1602797.1823750008</c:v>
                </c:pt>
                <c:pt idx="67">
                  <c:v>1602797.1823750008</c:v>
                </c:pt>
                <c:pt idx="68">
                  <c:v>1602797.1823750008</c:v>
                </c:pt>
                <c:pt idx="69">
                  <c:v>1602797.1823750008</c:v>
                </c:pt>
                <c:pt idx="70">
                  <c:v>1602797.1823750008</c:v>
                </c:pt>
                <c:pt idx="71">
                  <c:v>1602797.1823750008</c:v>
                </c:pt>
                <c:pt idx="72">
                  <c:v>1602797.1823750008</c:v>
                </c:pt>
                <c:pt idx="73">
                  <c:v>1602797.1823750008</c:v>
                </c:pt>
                <c:pt idx="74">
                  <c:v>1602797.1823750008</c:v>
                </c:pt>
                <c:pt idx="75">
                  <c:v>1602797.1823750008</c:v>
                </c:pt>
                <c:pt idx="76">
                  <c:v>1602797.1823750008</c:v>
                </c:pt>
                <c:pt idx="77">
                  <c:v>1602797.1823750008</c:v>
                </c:pt>
                <c:pt idx="78">
                  <c:v>1602797.1823750008</c:v>
                </c:pt>
                <c:pt idx="79">
                  <c:v>1602797.1823750008</c:v>
                </c:pt>
                <c:pt idx="80">
                  <c:v>1602797.1823750008</c:v>
                </c:pt>
                <c:pt idx="81">
                  <c:v>1602797.1823750008</c:v>
                </c:pt>
                <c:pt idx="82">
                  <c:v>1602797.1823750008</c:v>
                </c:pt>
                <c:pt idx="83">
                  <c:v>1602797.1823750008</c:v>
                </c:pt>
                <c:pt idx="84">
                  <c:v>1602797.1823750008</c:v>
                </c:pt>
                <c:pt idx="85">
                  <c:v>1602797.1823750008</c:v>
                </c:pt>
                <c:pt idx="86">
                  <c:v>1602797.1823750008</c:v>
                </c:pt>
                <c:pt idx="87">
                  <c:v>1602797.1823750008</c:v>
                </c:pt>
                <c:pt idx="88">
                  <c:v>1602797.1823750008</c:v>
                </c:pt>
                <c:pt idx="89">
                  <c:v>1602797.1823750008</c:v>
                </c:pt>
                <c:pt idx="90">
                  <c:v>1602797.1823750008</c:v>
                </c:pt>
                <c:pt idx="91">
                  <c:v>1602797.1823750008</c:v>
                </c:pt>
                <c:pt idx="92">
                  <c:v>1602797.1823750008</c:v>
                </c:pt>
                <c:pt idx="93">
                  <c:v>1602797.1823750008</c:v>
                </c:pt>
                <c:pt idx="94">
                  <c:v>1602797.1823750008</c:v>
                </c:pt>
                <c:pt idx="95">
                  <c:v>1602797.1823750008</c:v>
                </c:pt>
                <c:pt idx="96">
                  <c:v>1602797.1823750008</c:v>
                </c:pt>
                <c:pt idx="97">
                  <c:v>1602797.1823750008</c:v>
                </c:pt>
                <c:pt idx="98">
                  <c:v>1602797.1823750008</c:v>
                </c:pt>
                <c:pt idx="99">
                  <c:v>1602797.1823750008</c:v>
                </c:pt>
                <c:pt idx="100">
                  <c:v>1602797.1823750008</c:v>
                </c:pt>
                <c:pt idx="101">
                  <c:v>1602797.1823750008</c:v>
                </c:pt>
                <c:pt idx="102">
                  <c:v>1602797.1823750008</c:v>
                </c:pt>
                <c:pt idx="103">
                  <c:v>1602797.1823750008</c:v>
                </c:pt>
                <c:pt idx="104">
                  <c:v>1602797.1823750008</c:v>
                </c:pt>
                <c:pt idx="105">
                  <c:v>1602797.1823750008</c:v>
                </c:pt>
                <c:pt idx="106">
                  <c:v>1602797.1823750008</c:v>
                </c:pt>
                <c:pt idx="107">
                  <c:v>1602797.1823750008</c:v>
                </c:pt>
                <c:pt idx="108">
                  <c:v>1602797.1823750008</c:v>
                </c:pt>
                <c:pt idx="109">
                  <c:v>1602797.1823750008</c:v>
                </c:pt>
                <c:pt idx="110">
                  <c:v>1602797.1823750008</c:v>
                </c:pt>
                <c:pt idx="111">
                  <c:v>1602797.1823750008</c:v>
                </c:pt>
                <c:pt idx="112">
                  <c:v>1602797.1823750008</c:v>
                </c:pt>
                <c:pt idx="113">
                  <c:v>1602797.1823750008</c:v>
                </c:pt>
                <c:pt idx="114">
                  <c:v>1602797.1823750008</c:v>
                </c:pt>
                <c:pt idx="115">
                  <c:v>1602797.1823750008</c:v>
                </c:pt>
                <c:pt idx="116">
                  <c:v>1602797.1823750008</c:v>
                </c:pt>
                <c:pt idx="117">
                  <c:v>1602797.1823750008</c:v>
                </c:pt>
                <c:pt idx="118">
                  <c:v>1602797.1823750008</c:v>
                </c:pt>
                <c:pt idx="119">
                  <c:v>1602797.1823750008</c:v>
                </c:pt>
                <c:pt idx="120">
                  <c:v>1602797.1823750008</c:v>
                </c:pt>
                <c:pt idx="121">
                  <c:v>1602797.1823750008</c:v>
                </c:pt>
                <c:pt idx="122">
                  <c:v>1602797.1823750008</c:v>
                </c:pt>
                <c:pt idx="123">
                  <c:v>1602797.1823750008</c:v>
                </c:pt>
                <c:pt idx="124">
                  <c:v>1602797.1823750008</c:v>
                </c:pt>
                <c:pt idx="125">
                  <c:v>1602797.1823750008</c:v>
                </c:pt>
                <c:pt idx="126">
                  <c:v>1602797.1823750008</c:v>
                </c:pt>
                <c:pt idx="127">
                  <c:v>1602797.1823750008</c:v>
                </c:pt>
                <c:pt idx="128">
                  <c:v>1602797.1823750008</c:v>
                </c:pt>
                <c:pt idx="129">
                  <c:v>1602797.1823750008</c:v>
                </c:pt>
                <c:pt idx="130">
                  <c:v>1602797.1823750008</c:v>
                </c:pt>
                <c:pt idx="131">
                  <c:v>1602797.1823750008</c:v>
                </c:pt>
                <c:pt idx="132">
                  <c:v>1602797.1823750008</c:v>
                </c:pt>
                <c:pt idx="133">
                  <c:v>1602797.1823750008</c:v>
                </c:pt>
                <c:pt idx="134">
                  <c:v>1602797.1823750008</c:v>
                </c:pt>
                <c:pt idx="135">
                  <c:v>1602797.1823750008</c:v>
                </c:pt>
                <c:pt idx="136">
                  <c:v>1602797.1823750008</c:v>
                </c:pt>
                <c:pt idx="137">
                  <c:v>1602797.1823750008</c:v>
                </c:pt>
                <c:pt idx="138">
                  <c:v>1602797.1823750008</c:v>
                </c:pt>
                <c:pt idx="139">
                  <c:v>1602797.1823750008</c:v>
                </c:pt>
                <c:pt idx="140">
                  <c:v>1602797.1823750008</c:v>
                </c:pt>
                <c:pt idx="141">
                  <c:v>1602797.1823750008</c:v>
                </c:pt>
                <c:pt idx="142">
                  <c:v>1602797.1823750008</c:v>
                </c:pt>
                <c:pt idx="143">
                  <c:v>1602797.1823750008</c:v>
                </c:pt>
                <c:pt idx="144">
                  <c:v>1602797.1823750008</c:v>
                </c:pt>
                <c:pt idx="145">
                  <c:v>1602797.1823750008</c:v>
                </c:pt>
                <c:pt idx="146">
                  <c:v>1602797.1823750008</c:v>
                </c:pt>
                <c:pt idx="147">
                  <c:v>1602797.1823750008</c:v>
                </c:pt>
                <c:pt idx="148">
                  <c:v>1602797.1823750008</c:v>
                </c:pt>
                <c:pt idx="149">
                  <c:v>1602797.1823750008</c:v>
                </c:pt>
                <c:pt idx="150">
                  <c:v>1602797.1823750008</c:v>
                </c:pt>
                <c:pt idx="151">
                  <c:v>1602797.1823750008</c:v>
                </c:pt>
                <c:pt idx="152">
                  <c:v>1602797.1823750008</c:v>
                </c:pt>
                <c:pt idx="153">
                  <c:v>1602797.1823750008</c:v>
                </c:pt>
                <c:pt idx="154">
                  <c:v>1602797.1823750008</c:v>
                </c:pt>
                <c:pt idx="155">
                  <c:v>1602797.1823750008</c:v>
                </c:pt>
                <c:pt idx="156">
                  <c:v>1602797.1823750008</c:v>
                </c:pt>
                <c:pt idx="157">
                  <c:v>1602797.1823750008</c:v>
                </c:pt>
                <c:pt idx="158">
                  <c:v>1602797.1823750008</c:v>
                </c:pt>
                <c:pt idx="159">
                  <c:v>1602797.1823750008</c:v>
                </c:pt>
                <c:pt idx="160">
                  <c:v>1602797.1823750008</c:v>
                </c:pt>
                <c:pt idx="161">
                  <c:v>1602797.1823750008</c:v>
                </c:pt>
                <c:pt idx="162">
                  <c:v>1602797.1823750008</c:v>
                </c:pt>
                <c:pt idx="163">
                  <c:v>1602797.1823750008</c:v>
                </c:pt>
                <c:pt idx="164">
                  <c:v>1602797.1823750008</c:v>
                </c:pt>
                <c:pt idx="165">
                  <c:v>1602797.1823750008</c:v>
                </c:pt>
                <c:pt idx="166">
                  <c:v>1602797.1823750008</c:v>
                </c:pt>
                <c:pt idx="167">
                  <c:v>1602797.1823750008</c:v>
                </c:pt>
                <c:pt idx="168">
                  <c:v>1602797.1823750008</c:v>
                </c:pt>
                <c:pt idx="169">
                  <c:v>1602797.1823750008</c:v>
                </c:pt>
                <c:pt idx="170">
                  <c:v>1602797.1823750008</c:v>
                </c:pt>
                <c:pt idx="171">
                  <c:v>1602797.1823750008</c:v>
                </c:pt>
                <c:pt idx="172">
                  <c:v>1602797.1823750008</c:v>
                </c:pt>
                <c:pt idx="173">
                  <c:v>1602797.1823750008</c:v>
                </c:pt>
                <c:pt idx="174">
                  <c:v>1602797.1823750008</c:v>
                </c:pt>
                <c:pt idx="175">
                  <c:v>1602797.1823750008</c:v>
                </c:pt>
                <c:pt idx="176">
                  <c:v>1602797.1823750008</c:v>
                </c:pt>
                <c:pt idx="177">
                  <c:v>1602797.1823750008</c:v>
                </c:pt>
                <c:pt idx="178">
                  <c:v>1602797.1823750008</c:v>
                </c:pt>
                <c:pt idx="179">
                  <c:v>1602797.1823750008</c:v>
                </c:pt>
                <c:pt idx="180">
                  <c:v>1602797.1823750008</c:v>
                </c:pt>
                <c:pt idx="181">
                  <c:v>1602797.1823750008</c:v>
                </c:pt>
                <c:pt idx="182">
                  <c:v>1602797.1823750008</c:v>
                </c:pt>
                <c:pt idx="183">
                  <c:v>1602797.1823750008</c:v>
                </c:pt>
                <c:pt idx="184">
                  <c:v>1602797.1823750008</c:v>
                </c:pt>
                <c:pt idx="185">
                  <c:v>1602797.1823750008</c:v>
                </c:pt>
                <c:pt idx="186">
                  <c:v>1602797.1823750008</c:v>
                </c:pt>
                <c:pt idx="187">
                  <c:v>1602797.1823750008</c:v>
                </c:pt>
                <c:pt idx="188">
                  <c:v>1602797.1823750008</c:v>
                </c:pt>
                <c:pt idx="189">
                  <c:v>1602797.1823750008</c:v>
                </c:pt>
                <c:pt idx="190">
                  <c:v>1602797.1823750008</c:v>
                </c:pt>
                <c:pt idx="191">
                  <c:v>1602797.1823750008</c:v>
                </c:pt>
                <c:pt idx="192">
                  <c:v>1602797.1823750008</c:v>
                </c:pt>
                <c:pt idx="193">
                  <c:v>1602797.1823750008</c:v>
                </c:pt>
                <c:pt idx="194">
                  <c:v>1602797.1823750008</c:v>
                </c:pt>
                <c:pt idx="195">
                  <c:v>1602797.1823750008</c:v>
                </c:pt>
                <c:pt idx="196">
                  <c:v>1602797.1823750008</c:v>
                </c:pt>
                <c:pt idx="197">
                  <c:v>1602797.1823750008</c:v>
                </c:pt>
                <c:pt idx="198">
                  <c:v>1602797.1823750008</c:v>
                </c:pt>
                <c:pt idx="199">
                  <c:v>1602797.1823750008</c:v>
                </c:pt>
                <c:pt idx="200">
                  <c:v>1602797.1823750008</c:v>
                </c:pt>
                <c:pt idx="201">
                  <c:v>1602797.1823750008</c:v>
                </c:pt>
                <c:pt idx="202">
                  <c:v>1602797.1823750008</c:v>
                </c:pt>
                <c:pt idx="203">
                  <c:v>1602797.1823750008</c:v>
                </c:pt>
                <c:pt idx="204">
                  <c:v>1602797.1823750008</c:v>
                </c:pt>
                <c:pt idx="205">
                  <c:v>1602797.1823750008</c:v>
                </c:pt>
                <c:pt idx="206">
                  <c:v>1602797.1823750008</c:v>
                </c:pt>
                <c:pt idx="207">
                  <c:v>1602797.1823750008</c:v>
                </c:pt>
                <c:pt idx="208">
                  <c:v>1602797.1823750008</c:v>
                </c:pt>
                <c:pt idx="209">
                  <c:v>1602797.1823750008</c:v>
                </c:pt>
                <c:pt idx="210">
                  <c:v>1602797.1823750008</c:v>
                </c:pt>
                <c:pt idx="211">
                  <c:v>1602797.1823750008</c:v>
                </c:pt>
                <c:pt idx="212">
                  <c:v>1602797.1823750008</c:v>
                </c:pt>
                <c:pt idx="213">
                  <c:v>1602797.1823750008</c:v>
                </c:pt>
                <c:pt idx="214">
                  <c:v>1602797.1823750008</c:v>
                </c:pt>
                <c:pt idx="215">
                  <c:v>1602797.1823750008</c:v>
                </c:pt>
                <c:pt idx="216">
                  <c:v>1602797.1823750008</c:v>
                </c:pt>
                <c:pt idx="217">
                  <c:v>1602797.1823750008</c:v>
                </c:pt>
                <c:pt idx="218">
                  <c:v>1602797.1823750008</c:v>
                </c:pt>
                <c:pt idx="219">
                  <c:v>1602797.1823750008</c:v>
                </c:pt>
                <c:pt idx="220">
                  <c:v>1602797.1823750008</c:v>
                </c:pt>
                <c:pt idx="221">
                  <c:v>1602797.1823750008</c:v>
                </c:pt>
                <c:pt idx="222">
                  <c:v>1602797.1823750008</c:v>
                </c:pt>
                <c:pt idx="223">
                  <c:v>1602797.1823750008</c:v>
                </c:pt>
                <c:pt idx="224">
                  <c:v>1602797.1823750008</c:v>
                </c:pt>
                <c:pt idx="225">
                  <c:v>1602797.1823750008</c:v>
                </c:pt>
                <c:pt idx="226">
                  <c:v>1602797.1823750008</c:v>
                </c:pt>
                <c:pt idx="227">
                  <c:v>1602797.1823750008</c:v>
                </c:pt>
                <c:pt idx="228">
                  <c:v>1602797.1823750008</c:v>
                </c:pt>
                <c:pt idx="229">
                  <c:v>1602797.1823750008</c:v>
                </c:pt>
                <c:pt idx="230">
                  <c:v>1602797.1823750008</c:v>
                </c:pt>
                <c:pt idx="231">
                  <c:v>1602797.1823750008</c:v>
                </c:pt>
                <c:pt idx="232">
                  <c:v>1602797.1823750008</c:v>
                </c:pt>
                <c:pt idx="233">
                  <c:v>1602797.1823750008</c:v>
                </c:pt>
                <c:pt idx="234">
                  <c:v>1602797.1823750008</c:v>
                </c:pt>
                <c:pt idx="235">
                  <c:v>1602797.1823750008</c:v>
                </c:pt>
                <c:pt idx="236">
                  <c:v>1602797.1823750008</c:v>
                </c:pt>
                <c:pt idx="237">
                  <c:v>1602797.1823750008</c:v>
                </c:pt>
                <c:pt idx="238">
                  <c:v>1602797.1823750008</c:v>
                </c:pt>
                <c:pt idx="239">
                  <c:v>1602797.1823750008</c:v>
                </c:pt>
                <c:pt idx="240">
                  <c:v>1602797.1823750008</c:v>
                </c:pt>
                <c:pt idx="241">
                  <c:v>1602797.1823750008</c:v>
                </c:pt>
                <c:pt idx="242">
                  <c:v>1602797.1823750008</c:v>
                </c:pt>
                <c:pt idx="243">
                  <c:v>1602797.1823750008</c:v>
                </c:pt>
                <c:pt idx="244">
                  <c:v>1602797.1823750008</c:v>
                </c:pt>
                <c:pt idx="245">
                  <c:v>1602797.1823750008</c:v>
                </c:pt>
                <c:pt idx="246">
                  <c:v>1602797.1823750008</c:v>
                </c:pt>
                <c:pt idx="247">
                  <c:v>1602797.1823750008</c:v>
                </c:pt>
                <c:pt idx="248">
                  <c:v>1602797.1823750008</c:v>
                </c:pt>
                <c:pt idx="249">
                  <c:v>1602797.1823750008</c:v>
                </c:pt>
                <c:pt idx="250">
                  <c:v>1602797.1823750008</c:v>
                </c:pt>
                <c:pt idx="251">
                  <c:v>1602797.1823750008</c:v>
                </c:pt>
                <c:pt idx="252">
                  <c:v>1602797.1823750008</c:v>
                </c:pt>
                <c:pt idx="253">
                  <c:v>1602797.1823750008</c:v>
                </c:pt>
                <c:pt idx="254">
                  <c:v>1602797.1823750008</c:v>
                </c:pt>
                <c:pt idx="255">
                  <c:v>1602797.1823750008</c:v>
                </c:pt>
                <c:pt idx="256">
                  <c:v>1602797.1823750008</c:v>
                </c:pt>
                <c:pt idx="257">
                  <c:v>1602797.1823750008</c:v>
                </c:pt>
                <c:pt idx="258">
                  <c:v>1602797.1823750008</c:v>
                </c:pt>
                <c:pt idx="259">
                  <c:v>1602797.1823750008</c:v>
                </c:pt>
                <c:pt idx="260">
                  <c:v>1602797.1823750008</c:v>
                </c:pt>
                <c:pt idx="261">
                  <c:v>1602797.1823750008</c:v>
                </c:pt>
                <c:pt idx="262">
                  <c:v>1602797.1823750008</c:v>
                </c:pt>
                <c:pt idx="263">
                  <c:v>1602797.1823750008</c:v>
                </c:pt>
                <c:pt idx="264">
                  <c:v>1602797.1823750008</c:v>
                </c:pt>
                <c:pt idx="265">
                  <c:v>1602797.1823750008</c:v>
                </c:pt>
                <c:pt idx="266">
                  <c:v>1602797.1823750008</c:v>
                </c:pt>
                <c:pt idx="267">
                  <c:v>1602797.1823750008</c:v>
                </c:pt>
                <c:pt idx="268">
                  <c:v>1602797.1823750008</c:v>
                </c:pt>
                <c:pt idx="269">
                  <c:v>1602797.1823750008</c:v>
                </c:pt>
                <c:pt idx="270">
                  <c:v>1602797.1823750008</c:v>
                </c:pt>
                <c:pt idx="271">
                  <c:v>1602797.1823750008</c:v>
                </c:pt>
                <c:pt idx="272">
                  <c:v>1602797.1823750008</c:v>
                </c:pt>
                <c:pt idx="273">
                  <c:v>1602797.1823750008</c:v>
                </c:pt>
                <c:pt idx="274">
                  <c:v>1602797.1823750008</c:v>
                </c:pt>
                <c:pt idx="275">
                  <c:v>1602797.1823750008</c:v>
                </c:pt>
                <c:pt idx="276">
                  <c:v>1602797.1823750008</c:v>
                </c:pt>
                <c:pt idx="277">
                  <c:v>1602797.1823750008</c:v>
                </c:pt>
                <c:pt idx="278">
                  <c:v>1602797.1823750008</c:v>
                </c:pt>
                <c:pt idx="279">
                  <c:v>1602797.1823750008</c:v>
                </c:pt>
                <c:pt idx="280">
                  <c:v>1602797.1823750008</c:v>
                </c:pt>
                <c:pt idx="281">
                  <c:v>1602797.1823750008</c:v>
                </c:pt>
                <c:pt idx="282">
                  <c:v>1602797.1823750008</c:v>
                </c:pt>
                <c:pt idx="283">
                  <c:v>1602797.1823750008</c:v>
                </c:pt>
                <c:pt idx="284">
                  <c:v>1602797.1823750008</c:v>
                </c:pt>
                <c:pt idx="285">
                  <c:v>1602797.1823750008</c:v>
                </c:pt>
                <c:pt idx="286">
                  <c:v>1602797.1823750008</c:v>
                </c:pt>
                <c:pt idx="287">
                  <c:v>1602797.1823750008</c:v>
                </c:pt>
                <c:pt idx="288">
                  <c:v>1602797.1823750008</c:v>
                </c:pt>
                <c:pt idx="289">
                  <c:v>1602797.1823750008</c:v>
                </c:pt>
                <c:pt idx="290">
                  <c:v>1602797.1823750008</c:v>
                </c:pt>
                <c:pt idx="291">
                  <c:v>1602797.1823750008</c:v>
                </c:pt>
                <c:pt idx="292">
                  <c:v>1602797.1823750008</c:v>
                </c:pt>
                <c:pt idx="293">
                  <c:v>1602797.1823750008</c:v>
                </c:pt>
                <c:pt idx="294">
                  <c:v>1602797.1823750008</c:v>
                </c:pt>
                <c:pt idx="295">
                  <c:v>1602797.1823750008</c:v>
                </c:pt>
                <c:pt idx="296">
                  <c:v>1602797.1823750008</c:v>
                </c:pt>
                <c:pt idx="297">
                  <c:v>1602797.1823750008</c:v>
                </c:pt>
                <c:pt idx="298">
                  <c:v>1602797.1823750008</c:v>
                </c:pt>
                <c:pt idx="299">
                  <c:v>1602797.1823750008</c:v>
                </c:pt>
                <c:pt idx="300">
                  <c:v>1602797.1823750008</c:v>
                </c:pt>
                <c:pt idx="301">
                  <c:v>1602797.1823750008</c:v>
                </c:pt>
                <c:pt idx="302">
                  <c:v>1602797.1823750008</c:v>
                </c:pt>
                <c:pt idx="303">
                  <c:v>1602797.1823750008</c:v>
                </c:pt>
                <c:pt idx="304">
                  <c:v>1602797.1823750008</c:v>
                </c:pt>
                <c:pt idx="305">
                  <c:v>1602797.1823750008</c:v>
                </c:pt>
                <c:pt idx="306">
                  <c:v>1602797.1823750008</c:v>
                </c:pt>
                <c:pt idx="307">
                  <c:v>1602797.1823750008</c:v>
                </c:pt>
                <c:pt idx="308">
                  <c:v>1602797.1823750008</c:v>
                </c:pt>
                <c:pt idx="309">
                  <c:v>1602797.1823750008</c:v>
                </c:pt>
                <c:pt idx="310">
                  <c:v>1602797.1823750008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75615.557954589225</c:v>
                </c:pt>
                <c:pt idx="15">
                  <c:v>75615.557954589225</c:v>
                </c:pt>
                <c:pt idx="16">
                  <c:v>75615.557954589225</c:v>
                </c:pt>
                <c:pt idx="17">
                  <c:v>75615.557954589225</c:v>
                </c:pt>
                <c:pt idx="18">
                  <c:v>280083.73763161059</c:v>
                </c:pt>
                <c:pt idx="19">
                  <c:v>280083.73763161059</c:v>
                </c:pt>
                <c:pt idx="20">
                  <c:v>280083.73763161059</c:v>
                </c:pt>
                <c:pt idx="21">
                  <c:v>280083.73763161059</c:v>
                </c:pt>
                <c:pt idx="22">
                  <c:v>280083.73763161059</c:v>
                </c:pt>
                <c:pt idx="23">
                  <c:v>6618668.6651217854</c:v>
                </c:pt>
                <c:pt idx="24">
                  <c:v>6618668.6651217854</c:v>
                </c:pt>
                <c:pt idx="25">
                  <c:v>6618668.6651217854</c:v>
                </c:pt>
                <c:pt idx="26">
                  <c:v>6618668.6651217854</c:v>
                </c:pt>
                <c:pt idx="27">
                  <c:v>6812126.2829822497</c:v>
                </c:pt>
                <c:pt idx="28">
                  <c:v>6812126.2829822497</c:v>
                </c:pt>
                <c:pt idx="29">
                  <c:v>6812126.2829822497</c:v>
                </c:pt>
                <c:pt idx="30">
                  <c:v>6812126.2829822497</c:v>
                </c:pt>
                <c:pt idx="31">
                  <c:v>7729930.4887773581</c:v>
                </c:pt>
                <c:pt idx="32">
                  <c:v>7729930.4887773581</c:v>
                </c:pt>
                <c:pt idx="33">
                  <c:v>7729930.4887773581</c:v>
                </c:pt>
                <c:pt idx="34">
                  <c:v>7729930.4887773581</c:v>
                </c:pt>
                <c:pt idx="35">
                  <c:v>7729930.4887773581</c:v>
                </c:pt>
                <c:pt idx="36">
                  <c:v>7815870.000374672</c:v>
                </c:pt>
                <c:pt idx="37">
                  <c:v>7815870.000374672</c:v>
                </c:pt>
                <c:pt idx="38">
                  <c:v>7815870.000374672</c:v>
                </c:pt>
                <c:pt idx="39">
                  <c:v>7815870.000374672</c:v>
                </c:pt>
                <c:pt idx="40">
                  <c:v>7823948.7923803534</c:v>
                </c:pt>
                <c:pt idx="41">
                  <c:v>7823948.7923803534</c:v>
                </c:pt>
                <c:pt idx="42">
                  <c:v>7823948.7923803534</c:v>
                </c:pt>
                <c:pt idx="43">
                  <c:v>7823948.7923803534</c:v>
                </c:pt>
                <c:pt idx="44">
                  <c:v>8254428.80560889</c:v>
                </c:pt>
                <c:pt idx="45">
                  <c:v>8254428.80560889</c:v>
                </c:pt>
                <c:pt idx="46">
                  <c:v>8254428.80560889</c:v>
                </c:pt>
                <c:pt idx="47">
                  <c:v>8254428.80560889</c:v>
                </c:pt>
                <c:pt idx="48">
                  <c:v>8254428.80560889</c:v>
                </c:pt>
                <c:pt idx="49">
                  <c:v>8354763.6679847632</c:v>
                </c:pt>
                <c:pt idx="50">
                  <c:v>8354763.6679847632</c:v>
                </c:pt>
                <c:pt idx="51">
                  <c:v>8354763.6679847632</c:v>
                </c:pt>
                <c:pt idx="52">
                  <c:v>8354763.6679847632</c:v>
                </c:pt>
                <c:pt idx="53">
                  <c:v>8355112.9629847631</c:v>
                </c:pt>
                <c:pt idx="54">
                  <c:v>8355112.9629847631</c:v>
                </c:pt>
                <c:pt idx="55">
                  <c:v>8355112.9629847631</c:v>
                </c:pt>
                <c:pt idx="56">
                  <c:v>8355112.9629847631</c:v>
                </c:pt>
                <c:pt idx="57">
                  <c:v>8367231.8502831999</c:v>
                </c:pt>
                <c:pt idx="58">
                  <c:v>8367231.8502831999</c:v>
                </c:pt>
                <c:pt idx="59">
                  <c:v>8367231.8502831999</c:v>
                </c:pt>
                <c:pt idx="60">
                  <c:v>8367231.8502831999</c:v>
                </c:pt>
                <c:pt idx="61">
                  <c:v>8367231.8502831999</c:v>
                </c:pt>
                <c:pt idx="62">
                  <c:v>8698015.7789052539</c:v>
                </c:pt>
                <c:pt idx="63">
                  <c:v>8698015.7789052539</c:v>
                </c:pt>
                <c:pt idx="64">
                  <c:v>8698015.7789052539</c:v>
                </c:pt>
                <c:pt idx="65">
                  <c:v>8698015.7789052539</c:v>
                </c:pt>
                <c:pt idx="66">
                  <c:v>8698015.7789052539</c:v>
                </c:pt>
                <c:pt idx="67">
                  <c:v>8698015.7789052539</c:v>
                </c:pt>
                <c:pt idx="68">
                  <c:v>8698015.7789052539</c:v>
                </c:pt>
                <c:pt idx="69">
                  <c:v>8698015.7789052539</c:v>
                </c:pt>
                <c:pt idx="70">
                  <c:v>8698015.7789052539</c:v>
                </c:pt>
                <c:pt idx="71">
                  <c:v>8698015.7789052539</c:v>
                </c:pt>
                <c:pt idx="72">
                  <c:v>8698015.7789052539</c:v>
                </c:pt>
                <c:pt idx="73">
                  <c:v>8698015.7789052539</c:v>
                </c:pt>
                <c:pt idx="74">
                  <c:v>8698015.7789052539</c:v>
                </c:pt>
                <c:pt idx="75">
                  <c:v>8698015.7789052539</c:v>
                </c:pt>
                <c:pt idx="76">
                  <c:v>8698015.7789052539</c:v>
                </c:pt>
                <c:pt idx="77">
                  <c:v>8698015.7789052539</c:v>
                </c:pt>
                <c:pt idx="78">
                  <c:v>8698015.7789052539</c:v>
                </c:pt>
                <c:pt idx="79">
                  <c:v>8698015.7789052539</c:v>
                </c:pt>
                <c:pt idx="80">
                  <c:v>8698015.7789052539</c:v>
                </c:pt>
                <c:pt idx="81">
                  <c:v>8698015.7789052539</c:v>
                </c:pt>
                <c:pt idx="82">
                  <c:v>8698015.7789052539</c:v>
                </c:pt>
                <c:pt idx="83">
                  <c:v>8698015.7789052539</c:v>
                </c:pt>
                <c:pt idx="84">
                  <c:v>8698015.7789052539</c:v>
                </c:pt>
                <c:pt idx="85">
                  <c:v>8698015.7789052539</c:v>
                </c:pt>
                <c:pt idx="86">
                  <c:v>8698015.7789052539</c:v>
                </c:pt>
                <c:pt idx="87">
                  <c:v>8698015.7789052539</c:v>
                </c:pt>
                <c:pt idx="88">
                  <c:v>8698015.7789052539</c:v>
                </c:pt>
                <c:pt idx="89">
                  <c:v>8698015.7789052539</c:v>
                </c:pt>
                <c:pt idx="90">
                  <c:v>8698015.7789052539</c:v>
                </c:pt>
                <c:pt idx="91">
                  <c:v>8698015.7789052539</c:v>
                </c:pt>
                <c:pt idx="92">
                  <c:v>8698015.7789052539</c:v>
                </c:pt>
                <c:pt idx="93">
                  <c:v>8698015.7789052539</c:v>
                </c:pt>
                <c:pt idx="94">
                  <c:v>8698015.7789052539</c:v>
                </c:pt>
                <c:pt idx="95">
                  <c:v>8698015.7789052539</c:v>
                </c:pt>
                <c:pt idx="96">
                  <c:v>8698015.7789052539</c:v>
                </c:pt>
                <c:pt idx="97">
                  <c:v>8698015.7789052539</c:v>
                </c:pt>
                <c:pt idx="98">
                  <c:v>8698015.7789052539</c:v>
                </c:pt>
                <c:pt idx="99">
                  <c:v>8698015.7789052539</c:v>
                </c:pt>
                <c:pt idx="100">
                  <c:v>8698015.7789052539</c:v>
                </c:pt>
                <c:pt idx="101">
                  <c:v>8698015.7789052539</c:v>
                </c:pt>
                <c:pt idx="102">
                  <c:v>8698015.7789052539</c:v>
                </c:pt>
                <c:pt idx="103">
                  <c:v>8698015.7789052539</c:v>
                </c:pt>
                <c:pt idx="104">
                  <c:v>8698015.7789052539</c:v>
                </c:pt>
                <c:pt idx="105">
                  <c:v>8698015.7789052539</c:v>
                </c:pt>
                <c:pt idx="106">
                  <c:v>8698015.7789052539</c:v>
                </c:pt>
                <c:pt idx="107">
                  <c:v>8698015.7789052539</c:v>
                </c:pt>
                <c:pt idx="108">
                  <c:v>8698015.7789052539</c:v>
                </c:pt>
                <c:pt idx="109">
                  <c:v>8698015.7789052539</c:v>
                </c:pt>
                <c:pt idx="110">
                  <c:v>8698015.7789052539</c:v>
                </c:pt>
                <c:pt idx="111">
                  <c:v>8698015.7789052539</c:v>
                </c:pt>
                <c:pt idx="112">
                  <c:v>8698015.7789052539</c:v>
                </c:pt>
                <c:pt idx="113">
                  <c:v>8698015.7789052539</c:v>
                </c:pt>
                <c:pt idx="114">
                  <c:v>8698015.7789052539</c:v>
                </c:pt>
                <c:pt idx="115">
                  <c:v>8698015.7789052539</c:v>
                </c:pt>
                <c:pt idx="116">
                  <c:v>8698015.7789052539</c:v>
                </c:pt>
                <c:pt idx="117">
                  <c:v>8698015.7789052539</c:v>
                </c:pt>
                <c:pt idx="118">
                  <c:v>8698015.7789052539</c:v>
                </c:pt>
                <c:pt idx="119">
                  <c:v>8698015.7789052539</c:v>
                </c:pt>
                <c:pt idx="120">
                  <c:v>8698015.7789052539</c:v>
                </c:pt>
                <c:pt idx="121">
                  <c:v>8698015.7789052539</c:v>
                </c:pt>
                <c:pt idx="122">
                  <c:v>8698015.7789052539</c:v>
                </c:pt>
                <c:pt idx="123">
                  <c:v>8698015.7789052539</c:v>
                </c:pt>
                <c:pt idx="124">
                  <c:v>8698015.7789052539</c:v>
                </c:pt>
                <c:pt idx="125">
                  <c:v>8698015.7789052539</c:v>
                </c:pt>
                <c:pt idx="126">
                  <c:v>8698015.7789052539</c:v>
                </c:pt>
                <c:pt idx="127">
                  <c:v>8698015.7789052539</c:v>
                </c:pt>
                <c:pt idx="128">
                  <c:v>8698015.7789052539</c:v>
                </c:pt>
                <c:pt idx="129">
                  <c:v>8698015.7789052539</c:v>
                </c:pt>
                <c:pt idx="130">
                  <c:v>8698015.7789052539</c:v>
                </c:pt>
                <c:pt idx="131">
                  <c:v>8698015.7789052539</c:v>
                </c:pt>
                <c:pt idx="132">
                  <c:v>8698015.7789052539</c:v>
                </c:pt>
                <c:pt idx="133">
                  <c:v>8698015.7789052539</c:v>
                </c:pt>
                <c:pt idx="134">
                  <c:v>8698015.7789052539</c:v>
                </c:pt>
                <c:pt idx="135">
                  <c:v>8698015.7789052539</c:v>
                </c:pt>
                <c:pt idx="136">
                  <c:v>8698015.7789052539</c:v>
                </c:pt>
                <c:pt idx="137">
                  <c:v>8698015.7789052539</c:v>
                </c:pt>
                <c:pt idx="138">
                  <c:v>8698015.7789052539</c:v>
                </c:pt>
                <c:pt idx="139">
                  <c:v>8698015.7789052539</c:v>
                </c:pt>
                <c:pt idx="140">
                  <c:v>8698015.7789052539</c:v>
                </c:pt>
                <c:pt idx="141">
                  <c:v>8698015.7789052539</c:v>
                </c:pt>
                <c:pt idx="142">
                  <c:v>8698015.7789052539</c:v>
                </c:pt>
                <c:pt idx="143">
                  <c:v>8698015.7789052539</c:v>
                </c:pt>
                <c:pt idx="144">
                  <c:v>8698015.7789052539</c:v>
                </c:pt>
                <c:pt idx="145">
                  <c:v>8698015.7789052539</c:v>
                </c:pt>
                <c:pt idx="146">
                  <c:v>8698015.7789052539</c:v>
                </c:pt>
                <c:pt idx="147">
                  <c:v>8698015.7789052539</c:v>
                </c:pt>
                <c:pt idx="148">
                  <c:v>8698015.7789052539</c:v>
                </c:pt>
                <c:pt idx="149">
                  <c:v>8698015.7789052539</c:v>
                </c:pt>
                <c:pt idx="150">
                  <c:v>8698015.7789052539</c:v>
                </c:pt>
                <c:pt idx="151">
                  <c:v>8698015.7789052539</c:v>
                </c:pt>
                <c:pt idx="152">
                  <c:v>8698015.7789052539</c:v>
                </c:pt>
                <c:pt idx="153">
                  <c:v>8698015.7789052539</c:v>
                </c:pt>
                <c:pt idx="154">
                  <c:v>8698015.7789052539</c:v>
                </c:pt>
                <c:pt idx="155">
                  <c:v>8698015.7789052539</c:v>
                </c:pt>
                <c:pt idx="156">
                  <c:v>8698015.7789052539</c:v>
                </c:pt>
                <c:pt idx="157">
                  <c:v>8698015.7789052539</c:v>
                </c:pt>
                <c:pt idx="158">
                  <c:v>8698015.7789052539</c:v>
                </c:pt>
                <c:pt idx="159">
                  <c:v>8698015.7789052539</c:v>
                </c:pt>
                <c:pt idx="160">
                  <c:v>8698015.7789052539</c:v>
                </c:pt>
                <c:pt idx="161">
                  <c:v>8698015.7789052539</c:v>
                </c:pt>
                <c:pt idx="162">
                  <c:v>8698015.7789052539</c:v>
                </c:pt>
                <c:pt idx="163">
                  <c:v>8698015.7789052539</c:v>
                </c:pt>
                <c:pt idx="164">
                  <c:v>8698015.7789052539</c:v>
                </c:pt>
                <c:pt idx="165">
                  <c:v>8698015.7789052539</c:v>
                </c:pt>
                <c:pt idx="166">
                  <c:v>8698015.7789052539</c:v>
                </c:pt>
                <c:pt idx="167">
                  <c:v>8698015.7789052539</c:v>
                </c:pt>
                <c:pt idx="168">
                  <c:v>8698015.7789052539</c:v>
                </c:pt>
                <c:pt idx="169">
                  <c:v>8698015.7789052539</c:v>
                </c:pt>
                <c:pt idx="170">
                  <c:v>8698015.7789052539</c:v>
                </c:pt>
                <c:pt idx="171">
                  <c:v>8698015.7789052539</c:v>
                </c:pt>
                <c:pt idx="172">
                  <c:v>8698015.7789052539</c:v>
                </c:pt>
                <c:pt idx="173">
                  <c:v>8698015.7789052539</c:v>
                </c:pt>
                <c:pt idx="174">
                  <c:v>8698015.7789052539</c:v>
                </c:pt>
                <c:pt idx="175">
                  <c:v>8698015.7789052539</c:v>
                </c:pt>
                <c:pt idx="176">
                  <c:v>8698015.7789052539</c:v>
                </c:pt>
                <c:pt idx="177">
                  <c:v>8698015.7789052539</c:v>
                </c:pt>
                <c:pt idx="178">
                  <c:v>8698015.7789052539</c:v>
                </c:pt>
                <c:pt idx="179">
                  <c:v>8698015.7789052539</c:v>
                </c:pt>
                <c:pt idx="180">
                  <c:v>8698015.7789052539</c:v>
                </c:pt>
                <c:pt idx="181">
                  <c:v>8698015.7789052539</c:v>
                </c:pt>
                <c:pt idx="182">
                  <c:v>8698015.7789052539</c:v>
                </c:pt>
                <c:pt idx="183">
                  <c:v>8698015.7789052539</c:v>
                </c:pt>
                <c:pt idx="184">
                  <c:v>8698015.7789052539</c:v>
                </c:pt>
                <c:pt idx="185">
                  <c:v>8698015.7789052539</c:v>
                </c:pt>
                <c:pt idx="186">
                  <c:v>8698015.7789052539</c:v>
                </c:pt>
                <c:pt idx="187">
                  <c:v>8698015.7789052539</c:v>
                </c:pt>
                <c:pt idx="188">
                  <c:v>8698015.7789052539</c:v>
                </c:pt>
                <c:pt idx="189">
                  <c:v>8698015.7789052539</c:v>
                </c:pt>
                <c:pt idx="190">
                  <c:v>8698015.7789052539</c:v>
                </c:pt>
                <c:pt idx="191">
                  <c:v>8698015.7789052539</c:v>
                </c:pt>
                <c:pt idx="192">
                  <c:v>8698015.7789052539</c:v>
                </c:pt>
                <c:pt idx="193">
                  <c:v>8698015.7789052539</c:v>
                </c:pt>
                <c:pt idx="194">
                  <c:v>8698015.7789052539</c:v>
                </c:pt>
                <c:pt idx="195">
                  <c:v>8698015.7789052539</c:v>
                </c:pt>
                <c:pt idx="196">
                  <c:v>8698015.7789052539</c:v>
                </c:pt>
                <c:pt idx="197">
                  <c:v>8698015.7789052539</c:v>
                </c:pt>
                <c:pt idx="198">
                  <c:v>8698015.7789052539</c:v>
                </c:pt>
                <c:pt idx="199">
                  <c:v>8698015.7789052539</c:v>
                </c:pt>
                <c:pt idx="200">
                  <c:v>8698015.7789052539</c:v>
                </c:pt>
                <c:pt idx="201">
                  <c:v>8698015.7789052539</c:v>
                </c:pt>
                <c:pt idx="202">
                  <c:v>8698015.7789052539</c:v>
                </c:pt>
                <c:pt idx="203">
                  <c:v>8698015.7789052539</c:v>
                </c:pt>
                <c:pt idx="204">
                  <c:v>8698015.7789052539</c:v>
                </c:pt>
                <c:pt idx="205">
                  <c:v>8698015.7789052539</c:v>
                </c:pt>
                <c:pt idx="206">
                  <c:v>8698015.7789052539</c:v>
                </c:pt>
                <c:pt idx="207">
                  <c:v>8698015.7789052539</c:v>
                </c:pt>
                <c:pt idx="208">
                  <c:v>8698015.7789052539</c:v>
                </c:pt>
                <c:pt idx="209">
                  <c:v>8698015.7789052539</c:v>
                </c:pt>
                <c:pt idx="210">
                  <c:v>8698015.7789052539</c:v>
                </c:pt>
                <c:pt idx="211">
                  <c:v>8698015.7789052539</c:v>
                </c:pt>
                <c:pt idx="212">
                  <c:v>8698015.7789052539</c:v>
                </c:pt>
                <c:pt idx="213">
                  <c:v>8698015.7789052539</c:v>
                </c:pt>
                <c:pt idx="214">
                  <c:v>8698015.7789052539</c:v>
                </c:pt>
                <c:pt idx="215">
                  <c:v>8698015.7789052539</c:v>
                </c:pt>
                <c:pt idx="216">
                  <c:v>8698015.7789052539</c:v>
                </c:pt>
                <c:pt idx="217">
                  <c:v>8698015.7789052539</c:v>
                </c:pt>
                <c:pt idx="218">
                  <c:v>8698015.7789052539</c:v>
                </c:pt>
                <c:pt idx="219">
                  <c:v>8698015.7789052539</c:v>
                </c:pt>
                <c:pt idx="220">
                  <c:v>8698015.7789052539</c:v>
                </c:pt>
                <c:pt idx="221">
                  <c:v>8698015.7789052539</c:v>
                </c:pt>
                <c:pt idx="222">
                  <c:v>8698015.7789052539</c:v>
                </c:pt>
                <c:pt idx="223">
                  <c:v>8698015.7789052539</c:v>
                </c:pt>
                <c:pt idx="224">
                  <c:v>8698015.7789052539</c:v>
                </c:pt>
                <c:pt idx="225">
                  <c:v>8698015.7789052539</c:v>
                </c:pt>
                <c:pt idx="226">
                  <c:v>8698015.7789052539</c:v>
                </c:pt>
                <c:pt idx="227">
                  <c:v>8698015.7789052539</c:v>
                </c:pt>
                <c:pt idx="228">
                  <c:v>8698015.7789052539</c:v>
                </c:pt>
                <c:pt idx="229">
                  <c:v>8698015.7789052539</c:v>
                </c:pt>
                <c:pt idx="230">
                  <c:v>8698015.7789052539</c:v>
                </c:pt>
                <c:pt idx="231">
                  <c:v>8698015.7789052539</c:v>
                </c:pt>
                <c:pt idx="232">
                  <c:v>8698015.7789052539</c:v>
                </c:pt>
                <c:pt idx="233">
                  <c:v>8698015.7789052539</c:v>
                </c:pt>
                <c:pt idx="234">
                  <c:v>8698015.7789052539</c:v>
                </c:pt>
                <c:pt idx="235">
                  <c:v>8698015.7789052539</c:v>
                </c:pt>
                <c:pt idx="236">
                  <c:v>8698015.7789052539</c:v>
                </c:pt>
                <c:pt idx="237">
                  <c:v>8698015.7789052539</c:v>
                </c:pt>
                <c:pt idx="238">
                  <c:v>8698015.7789052539</c:v>
                </c:pt>
                <c:pt idx="239">
                  <c:v>8698015.7789052539</c:v>
                </c:pt>
                <c:pt idx="240">
                  <c:v>8698015.7789052539</c:v>
                </c:pt>
                <c:pt idx="241">
                  <c:v>8698015.7789052539</c:v>
                </c:pt>
                <c:pt idx="242">
                  <c:v>8698015.7789052539</c:v>
                </c:pt>
                <c:pt idx="243">
                  <c:v>8698015.7789052539</c:v>
                </c:pt>
                <c:pt idx="244">
                  <c:v>8698015.7789052539</c:v>
                </c:pt>
                <c:pt idx="245">
                  <c:v>8698015.7789052539</c:v>
                </c:pt>
                <c:pt idx="246">
                  <c:v>8698015.7789052539</c:v>
                </c:pt>
                <c:pt idx="247">
                  <c:v>8698015.7789052539</c:v>
                </c:pt>
                <c:pt idx="248">
                  <c:v>8698015.7789052539</c:v>
                </c:pt>
                <c:pt idx="249">
                  <c:v>8698015.7789052539</c:v>
                </c:pt>
                <c:pt idx="250">
                  <c:v>8698015.7789052539</c:v>
                </c:pt>
                <c:pt idx="251">
                  <c:v>8698015.7789052539</c:v>
                </c:pt>
                <c:pt idx="252">
                  <c:v>8698015.7789052539</c:v>
                </c:pt>
                <c:pt idx="253">
                  <c:v>8698015.7789052539</c:v>
                </c:pt>
                <c:pt idx="254">
                  <c:v>8698015.7789052539</c:v>
                </c:pt>
                <c:pt idx="255">
                  <c:v>8698015.7789052539</c:v>
                </c:pt>
                <c:pt idx="256">
                  <c:v>8698015.7789052539</c:v>
                </c:pt>
                <c:pt idx="257">
                  <c:v>8698015.7789052539</c:v>
                </c:pt>
                <c:pt idx="258">
                  <c:v>8698015.7789052539</c:v>
                </c:pt>
                <c:pt idx="259">
                  <c:v>8698015.7789052539</c:v>
                </c:pt>
                <c:pt idx="260">
                  <c:v>8698015.7789052539</c:v>
                </c:pt>
                <c:pt idx="261">
                  <c:v>8698015.7789052539</c:v>
                </c:pt>
                <c:pt idx="262">
                  <c:v>8698015.7789052539</c:v>
                </c:pt>
                <c:pt idx="263">
                  <c:v>8698015.7789052539</c:v>
                </c:pt>
                <c:pt idx="264">
                  <c:v>8698015.7789052539</c:v>
                </c:pt>
                <c:pt idx="265">
                  <c:v>8698015.7789052539</c:v>
                </c:pt>
                <c:pt idx="266">
                  <c:v>8698015.7789052539</c:v>
                </c:pt>
                <c:pt idx="267">
                  <c:v>8698015.7789052539</c:v>
                </c:pt>
                <c:pt idx="268">
                  <c:v>8698015.7789052539</c:v>
                </c:pt>
                <c:pt idx="269">
                  <c:v>8698015.7789052539</c:v>
                </c:pt>
                <c:pt idx="270">
                  <c:v>8698015.7789052539</c:v>
                </c:pt>
                <c:pt idx="271">
                  <c:v>8698015.7789052539</c:v>
                </c:pt>
                <c:pt idx="272">
                  <c:v>8698015.7789052539</c:v>
                </c:pt>
                <c:pt idx="273">
                  <c:v>8698015.7789052539</c:v>
                </c:pt>
                <c:pt idx="274">
                  <c:v>8698015.7789052539</c:v>
                </c:pt>
                <c:pt idx="275">
                  <c:v>8698015.7789052539</c:v>
                </c:pt>
                <c:pt idx="276">
                  <c:v>8698015.7789052539</c:v>
                </c:pt>
                <c:pt idx="277">
                  <c:v>8698015.7789052539</c:v>
                </c:pt>
                <c:pt idx="278">
                  <c:v>8698015.7789052539</c:v>
                </c:pt>
                <c:pt idx="279">
                  <c:v>8698015.7789052539</c:v>
                </c:pt>
                <c:pt idx="280">
                  <c:v>8698015.7789052539</c:v>
                </c:pt>
                <c:pt idx="281">
                  <c:v>8698015.7789052539</c:v>
                </c:pt>
                <c:pt idx="282">
                  <c:v>8698015.7789052539</c:v>
                </c:pt>
                <c:pt idx="283">
                  <c:v>8698015.7789052539</c:v>
                </c:pt>
                <c:pt idx="284">
                  <c:v>8698015.7789052539</c:v>
                </c:pt>
                <c:pt idx="285">
                  <c:v>8698015.7789052539</c:v>
                </c:pt>
                <c:pt idx="286">
                  <c:v>8698015.7789052539</c:v>
                </c:pt>
                <c:pt idx="287">
                  <c:v>8698015.7789052539</c:v>
                </c:pt>
                <c:pt idx="288">
                  <c:v>8698015.7789052539</c:v>
                </c:pt>
                <c:pt idx="289">
                  <c:v>8698015.7789052539</c:v>
                </c:pt>
                <c:pt idx="290">
                  <c:v>8698015.7789052539</c:v>
                </c:pt>
                <c:pt idx="291">
                  <c:v>8698015.7789052539</c:v>
                </c:pt>
                <c:pt idx="292">
                  <c:v>8698015.7789052539</c:v>
                </c:pt>
                <c:pt idx="293">
                  <c:v>8698015.7789052539</c:v>
                </c:pt>
                <c:pt idx="294">
                  <c:v>8698015.7789052539</c:v>
                </c:pt>
                <c:pt idx="295">
                  <c:v>8698015.7789052539</c:v>
                </c:pt>
                <c:pt idx="296">
                  <c:v>8698015.7789052539</c:v>
                </c:pt>
                <c:pt idx="297">
                  <c:v>8698015.7789052539</c:v>
                </c:pt>
                <c:pt idx="298">
                  <c:v>8698015.7789052539</c:v>
                </c:pt>
                <c:pt idx="299">
                  <c:v>8698015.7789052539</c:v>
                </c:pt>
                <c:pt idx="300">
                  <c:v>8698015.7789052539</c:v>
                </c:pt>
                <c:pt idx="301">
                  <c:v>8698015.7789052539</c:v>
                </c:pt>
                <c:pt idx="302">
                  <c:v>8698015.7789052539</c:v>
                </c:pt>
                <c:pt idx="303">
                  <c:v>8698015.7789052539</c:v>
                </c:pt>
                <c:pt idx="304">
                  <c:v>8698015.7789052539</c:v>
                </c:pt>
                <c:pt idx="305">
                  <c:v>8698015.7789052539</c:v>
                </c:pt>
                <c:pt idx="306">
                  <c:v>8698015.7789052539</c:v>
                </c:pt>
                <c:pt idx="307">
                  <c:v>8698015.7789052539</c:v>
                </c:pt>
                <c:pt idx="308">
                  <c:v>8698015.7789052539</c:v>
                </c:pt>
                <c:pt idx="309">
                  <c:v>8698015.7789052539</c:v>
                </c:pt>
                <c:pt idx="310">
                  <c:v>8698015.7789052539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371E0FB-CEF9-4A55-BF66-84F321E2EB05}">
    <Anchor>
      <Comment id="{EE69808F-4D61-449A-9057-A5DD8DD889B8}"/>
    </Anchor>
    <History>
      <Event time="2025-10-15T07:55:05.32" id="{C82CC08F-69FA-4423-BD24-1DE5336890F5}">
        <Attribution userId="S::tasneema@emergy.co.za::9a0cc615-e4de-4e2f-ae82-9f40753a7d8a" userName="Tasneema van Harte" userProvider="AD"/>
        <Anchor>
          <Comment id="{EE69808F-4D61-449A-9057-A5DD8DD889B8}"/>
        </Anchor>
        <Create/>
      </Event>
      <Event time="2025-10-15T07:55:05.32" id="{569B9243-1706-4AB3-9062-FAE818A7EF33}">
        <Attribution userId="S::tasneema@emergy.co.za::9a0cc615-e4de-4e2f-ae82-9f40753a7d8a" userName="Tasneema van Harte" userProvider="AD"/>
        <Anchor>
          <Comment id="{EE69808F-4D61-449A-9057-A5DD8DD889B8}"/>
        </Anchor>
        <Assign userId="S::mizelda@emergentenergy.co.za::3a5c2ad2-993e-4fe1-a333-48e19c6adda8" userName="Mizelda Isaacs" userProvider="AD"/>
      </Event>
      <Event time="2025-10-15T07:55:05.32" id="{AE5B6517-1943-40D5-8FBE-BA6936F16B77}">
        <Attribution userId="S::tasneema@emergy.co.za::9a0cc615-e4de-4e2f-ae82-9f40753a7d8a" userName="Tasneema van Harte" userProvider="AD"/>
        <Anchor>
          <Comment id="{EE69808F-4D61-449A-9057-A5DD8DD889B8}"/>
        </Anchor>
        <SetTitle title="@Mizelda Isaacs please update the payment date"/>
      </Event>
      <Event time="2025-11-11T06:24:06.22" id="{16495C0B-A6F4-4C46-8113-EE98D6210219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F71DD71-A996-45A4-9EF5-7EBFD4D1D868}" userId="mizelda@emergentenergy.co.za" providerId="PeoplePicker"/>
  <person displayName="Roedolph Venter" id="{670E6C59-231E-4269-8DC3-56E96A99EE48}" userId="roedolph@emergentenergy.co.za" providerId="PeoplePicker"/>
  <person displayName="Tasneema van Harte" id="{B6EDA0B6-9A01-4AB7-AC7F-F4AA27FEAA5E}" userId="S::tasneema@emergy.co.za::9a0cc615-e4de-4e2f-ae82-9f40753a7d8a" providerId="AD"/>
  <person displayName="Mizelda Isaacs" id="{926D473D-BF96-4FBE-B04D-6502E464BC7F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0317824076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954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1728.1" maxValue="1406943.660869565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6-30T00:00:00"/>
        <s v=""/>
        <d v="2025-11-30T00:00:00"/>
        <d v="2025-12-31T00:00:00"/>
        <d v="2025-05-31T00:00:00"/>
        <d v="2025-08-31T00:00:00"/>
        <d v="2025-04-30T00:00:00"/>
        <d v="2026-01-31T00:00:00"/>
        <d v="2026-02-28T00:00:00"/>
        <d v="2025-10-31T00:00:00"/>
        <d v="2025-07-31T00:00:00"/>
        <d v="2025-09-30T00:00:00"/>
        <d v="2025-03-31T00:00:00" u="1"/>
      </sharedItems>
    </cacheField>
    <cacheField name="REVENUE RECOGNITION AMOUNT" numFmtId="0">
      <sharedItems containsString="0" containsBlank="1" containsNumber="1" minValue="0" maxValue="2179513.4565217393"/>
    </cacheField>
    <cacheField name="CHECK" numFmtId="0">
      <sharedItems containsString="0" containsBlank="1" containsNumber="1" minValue="-1.560102216899395E-3" maxValue="4.3192269804421812E-3"/>
    </cacheField>
    <cacheField name="FINANCE PAYMENT DATE" numFmtId="0">
      <sharedItems containsNonDate="0" containsDate="1" containsString="0" containsBlank="1" minDate="2025-04-10T00:00:00" maxDate="2026-04-01T00:00:00"/>
    </cacheField>
    <cacheField name="Total COS" numFmtId="0">
      <sharedItems containsString="0" containsBlank="1" containsNumber="1" minValue="0" maxValue="1905787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s v="Jinko 620W - Menlo"/>
    <n v="1539"/>
    <n v="1233.8"/>
    <n v="491874.5391304348"/>
    <s v="PO3894-DIP-PH2=20250514"/>
    <s v="Menlo Inv INV0003032"/>
    <x v="1"/>
    <n v="2179513.4565217393"/>
    <n v="0"/>
    <d v="2025-07-29T00:00:00"/>
    <n v="1905787.2"/>
  </r>
  <r>
    <n v="1"/>
    <x v="1"/>
    <m/>
    <m/>
    <m/>
    <n v="1406943.6608695651"/>
    <m/>
    <s v="Menlo Inv INV0003032"/>
    <x v="1"/>
    <n v="0"/>
    <m/>
    <d v="2025-08-21T00:00:00"/>
    <m/>
  </r>
  <r>
    <n v="1"/>
    <x v="1"/>
    <m/>
    <m/>
    <m/>
    <m/>
    <m/>
    <m/>
    <x v="2"/>
    <n v="0"/>
    <m/>
    <m/>
    <m/>
  </r>
  <r>
    <n v="1"/>
    <x v="1"/>
    <s v="Jinko 620W - Menlo"/>
    <m/>
    <m/>
    <n v="6169"/>
    <m/>
    <s v="MSA Energy Solutions INV0003443"/>
    <x v="3"/>
    <n v="0"/>
    <m/>
    <d v="2026-01-23T00:00:00"/>
    <m/>
  </r>
  <r>
    <n v="1"/>
    <x v="1"/>
    <s v="Transport"/>
    <m/>
    <m/>
    <n v="800"/>
    <m/>
    <s v="MSA Energy Solutions INV0003443"/>
    <x v="3"/>
    <n v="0"/>
    <m/>
    <d v="2026-01-23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8"/>
    <n v="68870"/>
    <n v="332186.77"/>
    <s v="PO3894-DIP-PH2=20250514"/>
    <s v="Menlo Inv INV0003032"/>
    <x v="1"/>
    <n v="608695.65217391308"/>
    <n v="0"/>
    <d v="2025-08-21T00:00:00"/>
    <n v="332186.77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45639.2"/>
    <s v="PO3917-DIP-Ph2-Gezi-20250515 - RVApproved"/>
    <s v="Schletter - INV1902"/>
    <x v="1"/>
    <n v="466816.30434782611"/>
    <n v="0"/>
    <d v="2025-07-29T00:00:00"/>
    <n v="252145.2"/>
  </r>
  <r>
    <n v="3"/>
    <x v="3"/>
    <s v="Additional Clamps"/>
    <m/>
    <m/>
    <n v="6506"/>
    <s v="PO4484-DIP-Ph2-Gezi-20251124 - RV Approved"/>
    <s v="Schletter - INV2459"/>
    <x v="3"/>
    <n v="0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5000"/>
    <n v="13.4"/>
    <n v="335000"/>
    <s v="PO3894-DIP-PH2-20250514"/>
    <s v="Menlo Inv INV0003032"/>
    <x v="1"/>
    <n v="425683.80414522928"/>
    <n v="3.0159964226186275E-3"/>
    <d v="2025-08-22T00:00:00"/>
    <n v="788073.5"/>
  </r>
  <r>
    <n v="4"/>
    <x v="4"/>
    <s v="DC Cable - Menlo"/>
    <n v="1000"/>
    <n v="13.4"/>
    <n v="13400"/>
    <m/>
    <s v="Menlo Inv INV0003032"/>
    <x v="1"/>
    <n v="17021.347765809172"/>
    <m/>
    <d v="2025-08-22T00:00:00"/>
    <m/>
  </r>
  <r>
    <n v="4"/>
    <x v="4"/>
    <s v="DC Cable - Helukabel"/>
    <n v="6000"/>
    <m/>
    <n v="89700"/>
    <s v="PO4495-GEZ-20251126 - RV Approved"/>
    <s v="Helukabel - PSI0047534"/>
    <x v="4"/>
    <n v="0"/>
    <m/>
    <d v="2026-01-30T00:00:00"/>
    <m/>
  </r>
  <r>
    <n v="4"/>
    <x v="4"/>
    <s v="DC Cable - Rubicon"/>
    <n v="4000"/>
    <m/>
    <n v="57500"/>
    <m/>
    <s v="Rubicon Inv: INVWCRE-0072974"/>
    <x v="4"/>
    <n v="0"/>
    <m/>
    <d v="2026-01-30T00:00:00"/>
    <m/>
  </r>
  <r>
    <n v="4"/>
    <x v="4"/>
    <s v="Project Kick Off"/>
    <n v="292473.5"/>
    <n v="0.1"/>
    <n v="29247.350000000002"/>
    <s v="PO3868-DIP-Ph2-Gezi-20250512 - RV Approved"/>
    <s v="Cosmic Sun: CS_GZG_001"/>
    <x v="5"/>
    <n v="37001.328445073632"/>
    <m/>
    <d v="2025-05-15T00:00:00"/>
    <m/>
  </r>
  <r>
    <n v="4"/>
    <x v="4"/>
    <s v="Site Establishment"/>
    <m/>
    <n v="0.15"/>
    <n v="43871.025000000001"/>
    <m/>
    <s v="Cosmic Sun: CS_GZG_002"/>
    <x v="1"/>
    <n v="55727.162191605101"/>
    <m/>
    <d v="2025-06-26T00:00:00"/>
    <m/>
  </r>
  <r>
    <n v="4"/>
    <x v="4"/>
    <s v="AC Installation Complete"/>
    <m/>
    <n v="0.2"/>
    <n v="58494.700000000004"/>
    <m/>
    <s v="Cosmic Sun - CS_GZG_004"/>
    <x v="6"/>
    <n v="74302.882922140139"/>
    <m/>
    <d v="2025-10-24T00:00:00"/>
    <m/>
  </r>
  <r>
    <n v="4"/>
    <x v="4"/>
    <s v="DC Installation Complete"/>
    <m/>
    <n v="0.25"/>
    <n v="73118.375"/>
    <m/>
    <s v="Cosmic Sun - CS_GZG_003 A"/>
    <x v="6"/>
    <n v="92878.60365267517"/>
    <m/>
    <d v="2025-12-18T00:00:00"/>
    <m/>
  </r>
  <r>
    <n v="4"/>
    <x v="4"/>
    <s v="Commissioning Complete"/>
    <m/>
    <n v="0.1"/>
    <n v="29247.350000000002"/>
    <m/>
    <s v="Cosmic Sun - CS_GZG_005 A"/>
    <x v="6"/>
    <n v="37151.44146107007"/>
    <m/>
    <d v="2025-12-18T00:00:00"/>
    <m/>
  </r>
  <r>
    <n v="4"/>
    <x v="4"/>
    <s v="Site De-establisment"/>
    <m/>
    <n v="0.1"/>
    <n v="29247.350000000002"/>
    <m/>
    <s v="Cosmic Sun - CS_GZG_006 A"/>
    <x v="6"/>
    <n v="37151.44146107007"/>
    <m/>
    <d v="2026-02-05T00:00:00"/>
    <m/>
  </r>
  <r>
    <n v="4"/>
    <x v="4"/>
    <s v="Handover Document Complete"/>
    <m/>
    <n v="0.05"/>
    <n v="14623.675000000001"/>
    <m/>
    <s v="Cosmic Sun - CS_GZG_007 A"/>
    <x v="6"/>
    <n v="18575.720730535035"/>
    <m/>
    <d v="2026-02-12T00:00:00"/>
    <m/>
  </r>
  <r>
    <n v="4"/>
    <x v="4"/>
    <s v="End of Defects Period"/>
    <m/>
    <n v="0.05"/>
    <n v="14623.675000000001"/>
    <m/>
    <s v="Cosmic Sun - CS_GZG_008 A"/>
    <x v="6"/>
    <n v="18575.720730535035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894-DIP-PH2=20250514"/>
    <s v="Menlo Inv: INV0002928"/>
    <x v="5"/>
    <n v="11430.85346925536"/>
    <n v="1.9877147497027181E-3"/>
    <d v="2025-07-17T00:00:00"/>
    <n v="40802.14"/>
  </r>
  <r>
    <n v="5"/>
    <x v="5"/>
    <s v="CTs &amp; Meters"/>
    <m/>
    <m/>
    <n v="14805"/>
    <s v="PO3828-DIP-Ph2-Gezi-20250429 - RV Approved"/>
    <s v="Accuenergy - Inv ASAI-005354"/>
    <x v="7"/>
    <n v="19230.024970443686"/>
    <m/>
    <d v="2025-05-29T00:00:00"/>
    <m/>
  </r>
  <r>
    <n v="5"/>
    <x v="5"/>
    <m/>
    <m/>
    <m/>
    <n v="214.29"/>
    <m/>
    <s v="Accenergy - INV ASAI-005800"/>
    <x v="1"/>
    <n v="437.2923807165613"/>
    <m/>
    <d v="2025-07-29T00:00:00"/>
    <m/>
  </r>
  <r>
    <n v="5"/>
    <x v="5"/>
    <s v="Techsitter"/>
    <m/>
    <m/>
    <n v="14934"/>
    <m/>
    <s v="Matriarch Inv: 4451"/>
    <x v="1"/>
    <n v="19214.302276453061"/>
    <m/>
    <d v="2025-06-30T00:00:00"/>
    <m/>
  </r>
  <r>
    <n v="5"/>
    <x v="5"/>
    <s v="UPS"/>
    <m/>
    <m/>
    <n v="2250.5"/>
    <s v="PO3863-DIP Ph2-20250509 - RV Approved"/>
    <s v="Frontline Electrical - INV725690"/>
    <x v="5"/>
    <n v="2948.3944806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1.2363060377538204E-3"/>
    <m/>
    <n v="449654.02"/>
  </r>
  <r>
    <n v="6"/>
    <x v="6"/>
    <s v="PVDB"/>
    <m/>
    <m/>
    <n v="247064.02"/>
    <s v="PO3892-DIP-Ph2-Gezina-20250513 - RV Approved"/>
    <s v="Switchboard Inv: 2-SOI002101"/>
    <x v="1"/>
    <n v="606310.916359021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02590"/>
    <n v="0.1"/>
    <n v="20259"/>
    <s v="PO3868-DIP-Ph2-Gezi-20250512 - RV Approved"/>
    <s v="Cosmic Sun: CS_GZG_001"/>
    <x v="5"/>
    <n v="50466.957904751558"/>
    <m/>
    <d v="2025-05-15T00:00:00"/>
    <m/>
  </r>
  <r>
    <n v="6"/>
    <x v="6"/>
    <s v="Site Establishment"/>
    <m/>
    <n v="0.15"/>
    <n v="30388.5"/>
    <m/>
    <s v="Cosmic Sun: CS_GZG_002"/>
    <x v="1"/>
    <n v="74660.590002668585"/>
    <m/>
    <d v="2025-06-26T00:00:00"/>
    <m/>
  </r>
  <r>
    <n v="6"/>
    <x v="6"/>
    <s v="AC Installation Complete"/>
    <m/>
    <n v="0.2"/>
    <n v="40518"/>
    <m/>
    <s v="Cosmic Sun - CS_GZG_004"/>
    <x v="6"/>
    <n v="99547.453336891442"/>
    <m/>
    <d v="2025-10-24T00:00:00"/>
    <m/>
  </r>
  <r>
    <n v="6"/>
    <x v="6"/>
    <s v="DC Installation Complete"/>
    <m/>
    <n v="0.25"/>
    <n v="50647.5"/>
    <m/>
    <s v="Cosmic Sun - CS_GZG_003 A"/>
    <x v="6"/>
    <n v="124434.3166711143"/>
    <m/>
    <d v="2025-12-18T00:00:00"/>
    <m/>
  </r>
  <r>
    <n v="6"/>
    <x v="6"/>
    <s v="Commissioning Complete"/>
    <m/>
    <n v="0.1"/>
    <n v="20259"/>
    <m/>
    <s v="Cosmic Sun - CS_GZG_005 A"/>
    <x v="6"/>
    <n v="49773.726668445721"/>
    <m/>
    <d v="2025-12-18T00:00:00"/>
    <m/>
  </r>
  <r>
    <n v="6"/>
    <x v="6"/>
    <s v="Site De-establisment"/>
    <m/>
    <n v="0.1"/>
    <n v="20259"/>
    <m/>
    <s v="Cosmic Sun - CS_GZG_006 A"/>
    <x v="6"/>
    <n v="49773.726668445721"/>
    <m/>
    <d v="2026-02-05T00:00:00"/>
    <m/>
  </r>
  <r>
    <n v="6"/>
    <x v="6"/>
    <s v="Handover Document Complete"/>
    <m/>
    <n v="0.05"/>
    <n v="10129.5"/>
    <m/>
    <s v="Cosmic Sun - CS_GZG_007 A"/>
    <x v="6"/>
    <n v="24886.86333422286"/>
    <m/>
    <d v="2026-02-12T00:00:00"/>
    <m/>
  </r>
  <r>
    <n v="6"/>
    <x v="6"/>
    <s v="End of Defects Period"/>
    <m/>
    <n v="0.05"/>
    <n v="10129.5"/>
    <m/>
    <s v="Cosmic Sun - CS_GZG_008 A"/>
    <x v="6"/>
    <n v="24886.86333422286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000"/>
    <s v="PO4393-DIP-Ph2-Gezi-20251023 - RV Approved"/>
    <s v="Cosmic Sun - CS_GZG_011_VO"/>
    <x v="3"/>
    <m/>
    <n v="0"/>
    <d v="2025-11-19T00:00:00"/>
    <n v="219758"/>
  </r>
  <r>
    <n v="8"/>
    <x v="8"/>
    <s v="Installation of SPD - Recover Cost from SWB"/>
    <m/>
    <m/>
    <n v="1728.1"/>
    <s v="PO4562-DIP-Ph2-Gezi-20260121 - RV Approved"/>
    <s v="Cosmic Sun - CS_GZG_012"/>
    <x v="8"/>
    <m/>
    <m/>
    <d v="2026-01-29T00:00:00"/>
    <m/>
  </r>
  <r>
    <n v="8"/>
    <x v="8"/>
    <s v="Installation of SPD - Recover Cost from SWB"/>
    <m/>
    <m/>
    <n v="-1728.1"/>
    <m/>
    <s v="Switchboard - 2-ARI001536"/>
    <x v="9"/>
    <m/>
    <m/>
    <d v="2026-02-28T00:00:00"/>
    <m/>
  </r>
  <r>
    <n v="8"/>
    <x v="8"/>
    <s v="Inverter Cage with Roof"/>
    <m/>
    <m/>
    <n v="95783"/>
    <s v="PO4019-DIP-Ph2-Gezi-20250623 - RV Approved"/>
    <s v="The Engineering Hub INV/2025/06/05765"/>
    <x v="1"/>
    <m/>
    <m/>
    <d v="2025-07-31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s v="Waterpoints"/>
    <m/>
    <m/>
    <n v="16488"/>
    <s v="PO4339-DIP-Ph2-Gezi-20250929 - RV Approved"/>
    <s v="NDAWONGA TRADING - 1485"/>
    <x v="3"/>
    <m/>
    <m/>
    <d v="2025-12-12T00:00:00"/>
    <m/>
  </r>
  <r>
    <n v="8"/>
    <x v="8"/>
    <m/>
    <m/>
    <m/>
    <m/>
    <m/>
    <m/>
    <x v="0"/>
    <m/>
    <m/>
    <m/>
    <m/>
  </r>
  <r>
    <n v="8"/>
    <x v="8"/>
    <s v="CS - Tie In Kiosk"/>
    <m/>
    <m/>
    <n v="15620"/>
    <s v="PO4351-DIP-Ph2-Gezi-20251006 - RV Approved"/>
    <s v="Cosmic Sun - CS_GZG_010"/>
    <x v="10"/>
    <m/>
    <m/>
    <d v="2025-10-24T00:00:00"/>
    <m/>
  </r>
  <r>
    <n v="8"/>
    <x v="8"/>
    <s v="Modification on inverter cage"/>
    <m/>
    <m/>
    <n v="85867"/>
    <s v="PO4579-DIP-Ph2-Gezi-20260127 - RV Approved"/>
    <s v="The Engineering Hub INV/2026/01/0248"/>
    <x v="8"/>
    <m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954000"/>
  </r>
  <r>
    <n v="9"/>
    <x v="9"/>
    <s v="Project Kick Off"/>
    <n v="954000"/>
    <n v="0.1"/>
    <n v="95400"/>
    <s v="PO3868-DIP-Ph2-Gezi-20250512 - RV Approved"/>
    <s v="Cosmic Sun: CS_GZG_001"/>
    <x v="5"/>
    <n v="90814.705882352951"/>
    <m/>
    <d v="2025-05-15T00:00:00"/>
    <m/>
  </r>
  <r>
    <n v="9"/>
    <x v="9"/>
    <s v="Site Establishment"/>
    <m/>
    <n v="0.15"/>
    <n v="143100"/>
    <m/>
    <s v="Cosmic Sun: CS_GZG_002"/>
    <x v="1"/>
    <n v="136222.0588235294"/>
    <m/>
    <d v="2025-06-26T00:00:00"/>
    <m/>
  </r>
  <r>
    <n v="9"/>
    <x v="9"/>
    <s v="AC Installation Complete"/>
    <m/>
    <n v="0.2"/>
    <n v="190800"/>
    <m/>
    <s v="Cosmic Sun - CS_GZG_004"/>
    <x v="6"/>
    <n v="181629.4117647059"/>
    <m/>
    <d v="2025-10-24T00:00:00"/>
    <m/>
  </r>
  <r>
    <n v="9"/>
    <x v="9"/>
    <s v="DC Installation Complete"/>
    <m/>
    <n v="0.25"/>
    <n v="238500"/>
    <m/>
    <s v="Cosmic Sun - CS_GZG_003_B"/>
    <x v="3"/>
    <n v="227036.76470588235"/>
    <m/>
    <d v="2025-12-18T00:00:00"/>
    <m/>
  </r>
  <r>
    <n v="9"/>
    <x v="9"/>
    <s v="Commissioning Complete"/>
    <m/>
    <n v="0.1"/>
    <n v="95400"/>
    <m/>
    <s v="Cosmic Sun - CS_GZG_005_B"/>
    <x v="3"/>
    <n v="90814.705882352951"/>
    <m/>
    <d v="2026-01-29T00:00:00"/>
    <m/>
  </r>
  <r>
    <n v="9"/>
    <x v="9"/>
    <s v="Site De-establisment"/>
    <m/>
    <n v="0.1"/>
    <n v="95400"/>
    <m/>
    <s v="Cosmic Sun - CS_GZG_006_B"/>
    <x v="3"/>
    <n v="90814.705882352951"/>
    <m/>
    <d v="2026-02-05T00:00:00"/>
    <m/>
  </r>
  <r>
    <n v="9"/>
    <x v="9"/>
    <s v="Handover Document Complete"/>
    <m/>
    <n v="0.05"/>
    <n v="47700"/>
    <m/>
    <s v="Cosmic Sun - CS_GZG_007_B"/>
    <x v="4"/>
    <n v="45407.352941176476"/>
    <m/>
    <d v="2026-02-12T00:00:00"/>
    <m/>
  </r>
  <r>
    <n v="9"/>
    <x v="9"/>
    <s v="End of Defects Period"/>
    <m/>
    <n v="0.05"/>
    <n v="47700"/>
    <m/>
    <s v="Cosmic Sun - CS_GZG_008_B"/>
    <x v="4"/>
    <n v="45407.352941176476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3192269804421812E-3"/>
    <m/>
    <n v="364435"/>
  </r>
  <r>
    <n v="10"/>
    <x v="10"/>
    <m/>
    <m/>
    <m/>
    <m/>
    <m/>
    <m/>
    <x v="2"/>
    <n v="0"/>
    <m/>
    <m/>
    <m/>
  </r>
  <r>
    <n v="10"/>
    <x v="10"/>
    <s v="Security - July"/>
    <m/>
    <m/>
    <n v="68600"/>
    <s v="PO4055-DIP-Ph2-Gezi-20250627 - RV Approved"/>
    <s v="Bidvest Protea Coin: 749745"/>
    <x v="11"/>
    <n v="72467.863152348014"/>
    <m/>
    <d v="2025-09-01T00:00:00"/>
    <m/>
  </r>
  <r>
    <n v="10"/>
    <x v="10"/>
    <s v="Security - August"/>
    <m/>
    <m/>
    <n v="59780"/>
    <m/>
    <s v="Bidvest Protea Coin: 760988"/>
    <x v="12"/>
    <n v="41618.083115730158"/>
    <m/>
    <d v="2025-10-31T00:00:00"/>
    <m/>
  </r>
  <r>
    <n v="10"/>
    <x v="10"/>
    <s v="Security - September"/>
    <m/>
    <m/>
    <n v="59780"/>
    <m/>
    <s v="Bidvest Protea Coin: 760989"/>
    <x v="12"/>
    <n v="42250.303115730159"/>
    <m/>
    <d v="2025-10-09T00:00:00"/>
    <m/>
  </r>
  <r>
    <n v="10"/>
    <x v="10"/>
    <s v="Security - October"/>
    <m/>
    <m/>
    <n v="60760"/>
    <m/>
    <s v="Bidvest Protea Coin: 763696"/>
    <x v="10"/>
    <n v="4428.63"/>
    <m/>
    <d v="2025-11-13T00:00:00"/>
    <m/>
  </r>
  <r>
    <n v="10"/>
    <x v="10"/>
    <s v="Security - November"/>
    <m/>
    <m/>
    <n v="10780"/>
    <m/>
    <s v="Bidvest Protea Coin: 773193"/>
    <x v="4"/>
    <n v="4323.91"/>
    <m/>
    <d v="2026-01-15T00:00:00"/>
    <m/>
  </r>
  <r>
    <n v="10"/>
    <x v="10"/>
    <s v="Security - December"/>
    <m/>
    <m/>
    <n v="35280"/>
    <m/>
    <s v="Bidvest Protea Coin: 768743"/>
    <x v="8"/>
    <n v="0"/>
    <m/>
    <d v="2026-02-05T00:00:00"/>
    <m/>
  </r>
  <r>
    <n v="10"/>
    <x v="10"/>
    <m/>
    <m/>
    <m/>
    <m/>
    <m/>
    <m/>
    <x v="2"/>
    <n v="0"/>
    <m/>
    <m/>
    <m/>
  </r>
  <r>
    <n v="10"/>
    <x v="10"/>
    <s v="Project Kick Off"/>
    <n v="69455"/>
    <n v="0.1"/>
    <n v="6945.5"/>
    <s v="PO3868-DIP-Ph2-Gezi-20250512 - RV Approved"/>
    <s v="Cosmic Sun: CS_GZG_001"/>
    <x v="5"/>
    <n v="8551.1514315900513"/>
    <m/>
    <d v="2025-05-15T00:00:00"/>
    <m/>
  </r>
  <r>
    <n v="10"/>
    <x v="10"/>
    <s v="Site Establishment"/>
    <m/>
    <n v="0.15"/>
    <n v="10418.25"/>
    <m/>
    <s v="Cosmic Sun: CS_GZG_002"/>
    <x v="1"/>
    <n v="12303.803485541619"/>
    <m/>
    <d v="2025-06-26T00:00:00"/>
    <m/>
  </r>
  <r>
    <n v="10"/>
    <x v="10"/>
    <s v="AC Installation Complete"/>
    <m/>
    <n v="0.2"/>
    <n v="13891"/>
    <m/>
    <s v="Cosmic Sun - CS_GZG_004"/>
    <x v="6"/>
    <n v="15182.323059034166"/>
    <m/>
    <d v="2025-10-24T00:00:00"/>
    <m/>
  </r>
  <r>
    <n v="10"/>
    <x v="10"/>
    <s v="DC Installation Complete"/>
    <m/>
    <n v="0.25"/>
    <n v="17363.75"/>
    <m/>
    <s v="Cosmic Sun - CS_GZG_003_B"/>
    <x v="3"/>
    <n v="11245.369140817715"/>
    <m/>
    <d v="2025-12-18T00:00:00"/>
    <m/>
  </r>
  <r>
    <n v="10"/>
    <x v="10"/>
    <s v="Commissioning Complete"/>
    <m/>
    <n v="0.1"/>
    <n v="6945.5"/>
    <m/>
    <s v="Cosmic Sun - CS_GZG_005_B"/>
    <x v="3"/>
    <n v="4498.1476563270862"/>
    <m/>
    <d v="2026-01-29T00:00:00"/>
    <m/>
  </r>
  <r>
    <n v="10"/>
    <x v="10"/>
    <s v="Site De-establisment"/>
    <m/>
    <n v="0.1"/>
    <n v="6945.5"/>
    <m/>
    <s v="Cosmic Sun - CS_GZG_006_B"/>
    <x v="3"/>
    <n v="4498.1476563270862"/>
    <m/>
    <d v="2026-02-05T00:00:00"/>
    <m/>
  </r>
  <r>
    <n v="10"/>
    <x v="10"/>
    <s v="Handover Document Complete"/>
    <m/>
    <n v="0.05"/>
    <n v="3472.75"/>
    <m/>
    <s v="Cosmic Sun - CS_GZG_007_B"/>
    <x v="4"/>
    <n v="2249.0681101340601"/>
    <m/>
    <d v="2026-02-12T00:00:00"/>
    <m/>
  </r>
  <r>
    <n v="10"/>
    <x v="10"/>
    <s v="End of Defects Period"/>
    <m/>
    <n v="0.05"/>
    <n v="3472.75"/>
    <m/>
    <s v="Cosmic Sun - CS_GZG_008_B"/>
    <x v="4"/>
    <n v="2249.0781101340599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6198.38"/>
    <m/>
    <s v="Sunspot Investments E027"/>
    <x v="11"/>
    <n v="38186.091434939968"/>
    <n v="2.4512299569323659E-3"/>
    <d v="2026-01-29T00:00:00"/>
    <n v="126810.13"/>
  </r>
  <r>
    <n v="11"/>
    <x v="11"/>
    <s v="Structural Sign Off (Includes Seshego Circle)"/>
    <m/>
    <m/>
    <n v="7811.75"/>
    <s v="PO3745-DIP-Ph2-20250313 - RV Approved"/>
    <s v="L&amp;B Consulting - Invoice 1934 "/>
    <x v="7"/>
    <n v="32551.761582160296"/>
    <m/>
    <d v="2025-04-10T00:00:00"/>
    <m/>
  </r>
  <r>
    <n v="11"/>
    <x v="11"/>
    <s v="Grid Study"/>
    <m/>
    <m/>
    <n v="79700"/>
    <s v="PO4079-DIP-Ph2-Gezi-20250701 - RV Approved"/>
    <s v="Okusha EE19"/>
    <x v="11"/>
    <n v="82803.663273176266"/>
    <m/>
    <d v="2026-03-31T00:00:00"/>
    <m/>
  </r>
  <r>
    <n v="11"/>
    <x v="11"/>
    <s v="Lightning Risk Assessment"/>
    <m/>
    <m/>
    <n v="5100"/>
    <s v="PO3844-Dipula Ph2-20250430 - RV Approved"/>
    <s v="LPS Inv: IN306837"/>
    <x v="7"/>
    <n v="21251.830136527347"/>
    <m/>
    <d v="2025-06-26T00:00:00"/>
    <m/>
  </r>
  <r>
    <n v="11"/>
    <x v="11"/>
    <s v="Red Team Inspection"/>
    <m/>
    <m/>
    <n v="8000"/>
    <m/>
    <m/>
    <x v="9"/>
    <n v="11769.592298436764"/>
    <m/>
    <d v="2026-03-31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8660.607625"/>
    <m/>
    <m/>
    <x v="9"/>
    <n v="325616.74545454548"/>
    <n v="0"/>
    <d v="2026-03-31T00:00:00"/>
    <n v="108660.607625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022.74"/>
    <m/>
    <s v="Site Visit"/>
    <x v="7"/>
    <n v="2581.9412654578982"/>
    <n v="-1.2046929587086197E-3"/>
    <d v="2025-05-08T00:00:00"/>
    <n v="14988.86"/>
  </r>
  <r>
    <n v="14"/>
    <x v="14"/>
    <s v="Travel"/>
    <m/>
    <m/>
    <n v="0"/>
    <m/>
    <s v="Expense Claim"/>
    <x v="7"/>
    <n v="0"/>
    <m/>
    <d v="2025-04-30T00:00:00"/>
    <m/>
  </r>
  <r>
    <n v="14"/>
    <x v="14"/>
    <s v="Travel"/>
    <m/>
    <m/>
    <n v="1399.4599999999998"/>
    <m/>
    <s v="Expense Claim"/>
    <x v="5"/>
    <n v="3254.7880633638042"/>
    <m/>
    <d v="2025-06-09T00:00:00"/>
    <m/>
  </r>
  <r>
    <n v="14"/>
    <x v="14"/>
    <s v="Travel"/>
    <m/>
    <m/>
    <n v="3154.74"/>
    <m/>
    <s v="Expense Claim"/>
    <x v="1"/>
    <n v="5031.9454560193735"/>
    <m/>
    <d v="2025-07-04T00:00:00"/>
    <m/>
  </r>
  <r>
    <n v="14"/>
    <x v="14"/>
    <s v="Travel"/>
    <m/>
    <m/>
    <n v="0"/>
    <m/>
    <s v="Expense Claim"/>
    <x v="11"/>
    <n v="0"/>
    <m/>
    <d v="2025-07-31T00:00:00"/>
    <m/>
  </r>
  <r>
    <n v="14"/>
    <x v="14"/>
    <s v="Travel"/>
    <m/>
    <m/>
    <n v="0"/>
    <m/>
    <s v="Expense Claim"/>
    <x v="6"/>
    <n v="0"/>
    <m/>
    <d v="2025-08-31T00:00:00"/>
    <m/>
  </r>
  <r>
    <n v="14"/>
    <x v="14"/>
    <s v="Travel"/>
    <m/>
    <m/>
    <n v="980.56"/>
    <m/>
    <s v="Expense Claim"/>
    <x v="12"/>
    <n v="2071.1253658536589"/>
    <m/>
    <d v="2025-10-10T00:00:00"/>
    <m/>
  </r>
  <r>
    <n v="14"/>
    <x v="14"/>
    <s v="Travel"/>
    <m/>
    <m/>
    <n v="3618.49"/>
    <m/>
    <s v="Expense Claim"/>
    <x v="10"/>
    <n v="3650.1620056816359"/>
    <m/>
    <d v="2025-11-06T00:00:00"/>
    <m/>
  </r>
  <r>
    <n v="14"/>
    <x v="14"/>
    <s v="Travel"/>
    <m/>
    <m/>
    <n v="1827.75"/>
    <m/>
    <s v="Expense Claim"/>
    <x v="3"/>
    <n v="1572.1723044759729"/>
    <m/>
    <d v="2025-12-05T00:00:00"/>
    <m/>
  </r>
  <r>
    <n v="14"/>
    <x v="14"/>
    <s v="Travel"/>
    <m/>
    <m/>
    <n v="495.04"/>
    <m/>
    <s v="Expense Claim"/>
    <x v="4"/>
    <n v="698.10027325238354"/>
    <m/>
    <d v="2026-01-08T00:00:00"/>
    <m/>
  </r>
  <r>
    <n v="14"/>
    <x v="14"/>
    <s v="Travel"/>
    <m/>
    <m/>
    <n v="990.08"/>
    <m/>
    <s v="Expense Claim"/>
    <x v="8"/>
    <n v="349.29500000000002"/>
    <m/>
    <d v="2026-02-05T00:00:00"/>
    <m/>
  </r>
  <r>
    <n v="14"/>
    <x v="14"/>
    <s v="Travel"/>
    <m/>
    <m/>
    <n v="500"/>
    <m/>
    <m/>
    <x v="9"/>
    <n v="349.29500000000002"/>
    <m/>
    <d v="2026-03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- Site Establishment"/>
    <m/>
    <m/>
    <n v="752000"/>
    <m/>
    <s v="Luxanio Trading - 23400/202506/274897/I"/>
    <x v="1"/>
    <n v="865473.14578005113"/>
    <n v="-1.560102216899395E-3"/>
    <d v="2025-07-11T00:00:00"/>
    <n v="1528350"/>
  </r>
  <r>
    <n v="15"/>
    <x v="15"/>
    <s v="Welcome Bonus- Commissioning"/>
    <m/>
    <m/>
    <n v="752000"/>
    <m/>
    <s v="Luxanio Trading - 23400/202506/274897/I"/>
    <x v="1"/>
    <n v="865473.14578005113"/>
    <m/>
    <d v="2026-01-15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69053.709999999963"/>
    <m/>
    <d v="2025-08-31T00:00:00"/>
    <m/>
  </r>
  <r>
    <n v="15"/>
    <x v="15"/>
    <m/>
    <m/>
    <m/>
    <m/>
    <m/>
    <m/>
    <x v="2"/>
    <n v="0"/>
    <m/>
    <m/>
    <m/>
  </r>
  <r>
    <n v="15"/>
    <x v="15"/>
    <s v="CS - Standing Time - VO"/>
    <m/>
    <m/>
    <n v="19400"/>
    <m/>
    <s v="Cosmic Sun - CS_GZG_009"/>
    <x v="12"/>
    <n v="0"/>
    <m/>
    <d v="2025-10-24T00:00:00"/>
    <m/>
  </r>
  <r>
    <n v="15"/>
    <x v="15"/>
    <m/>
    <m/>
    <m/>
    <m/>
    <m/>
    <m/>
    <x v="2"/>
    <n v="0"/>
    <m/>
    <m/>
    <m/>
  </r>
  <r>
    <n v="15"/>
    <x v="15"/>
    <s v="Client Electrician Labour"/>
    <m/>
    <m/>
    <n v="4950"/>
    <s v="PO4500-DIP-Ph2-Gezi-20251127 - RV Approved"/>
    <s v="Ecom Electrical"/>
    <x v="3"/>
    <n v="0"/>
    <m/>
    <d v="2025-11-28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0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5" dT="2025-05-01T09:35:14.70" personId="{926D473D-BF96-4FBE-B04D-6502E464BC7F}" id="{9210E67A-45E1-4502-B4B8-70BBDF32AF8C}" done="1">
    <text>@Roedolph Venter have we arranged for 60 days payment terms with AccuEnergy?  Our terms is 30 days from statement making it payable 31 May and not 30 June.</text>
    <mentions>
      <mention mentionpersonId="{670E6C59-231E-4269-8DC3-56E96A99EE48}" mentionId="{BBC3DEFD-A23C-493E-A379-131045F846F7}" startIndex="0" length="16"/>
    </mentions>
  </threadedComment>
  <threadedComment ref="W127" dT="2025-10-15T07:55:04.85" personId="{B6EDA0B6-9A01-4AB7-AC7F-F4AA27FEAA5E}" id="{EE69808F-4D61-449A-9057-A5DD8DD889B8}" done="1">
    <text>@Mizelda Isaacs please update the payment date</text>
    <mentions>
      <mention mentionpersonId="{AF71DD71-A996-45A4-9EF5-7EBFD4D1D868}" mentionId="{0F26C920-A52E-445A-93AD-48D529092BD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953125" defaultRowHeight="14"/>
  <cols>
    <col min="1" max="1" width="9.26953125" style="64"/>
    <col min="2" max="2" width="84.26953125" style="65" bestFit="1" customWidth="1"/>
    <col min="3" max="3" width="19" style="24" customWidth="1"/>
    <col min="4" max="4" width="13.26953125" style="70" customWidth="1"/>
    <col min="5" max="5" width="17.26953125" style="24" customWidth="1"/>
    <col min="6" max="6" width="18.26953125" style="24" customWidth="1"/>
    <col min="7" max="7" width="5.08984375" style="24" bestFit="1" customWidth="1"/>
    <col min="8" max="8" width="20.26953125" style="24" bestFit="1" customWidth="1"/>
    <col min="9" max="9" width="3.08984375" style="24" customWidth="1"/>
    <col min="10" max="10" width="47.26953125" style="24" bestFit="1" customWidth="1"/>
    <col min="11" max="11" width="6.26953125" style="3" customWidth="1"/>
    <col min="12" max="12" width="14.26953125" style="24" customWidth="1"/>
    <col min="13" max="16384" width="9.269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4" t="s">
        <v>57</v>
      </c>
      <c r="E47" s="734"/>
      <c r="F47" s="735"/>
      <c r="G47" s="67"/>
      <c r="I47" s="68"/>
      <c r="J47" s="68"/>
    </row>
    <row r="48" spans="1:49" ht="14.5" thickBot="1">
      <c r="C48" s="69">
        <v>44014</v>
      </c>
      <c r="D48" s="736"/>
      <c r="E48" s="736"/>
      <c r="F48" s="73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0969-F402-4276-A096-F68E38D98A37}">
  <sheetPr codeName="Sheet8"/>
  <dimension ref="B1:J28"/>
  <sheetViews>
    <sheetView showGridLines="0" zoomScaleNormal="100" workbookViewId="0"/>
  </sheetViews>
  <sheetFormatPr defaultColWidth="9.26953125" defaultRowHeight="14.5"/>
  <cols>
    <col min="1" max="1" width="7.26953125" customWidth="1"/>
    <col min="2" max="2" width="37.7265625" customWidth="1"/>
    <col min="3" max="3" width="9.26953125" bestFit="1" customWidth="1"/>
    <col min="4" max="4" width="12.08984375" bestFit="1" customWidth="1"/>
    <col min="5" max="5" width="10.08984375" customWidth="1"/>
    <col min="6" max="6" width="33.7265625" customWidth="1"/>
  </cols>
  <sheetData>
    <row r="1" spans="2:10" ht="15" thickBot="1"/>
    <row r="2" spans="2:10" ht="15.5" thickTop="1" thickBot="1">
      <c r="B2" s="738" t="s">
        <v>58</v>
      </c>
      <c r="C2" s="739"/>
      <c r="D2" s="739"/>
      <c r="E2" s="739"/>
      <c r="F2" s="740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38" t="s">
        <v>69</v>
      </c>
      <c r="C16" s="739"/>
      <c r="D16" s="739"/>
      <c r="E16" s="739"/>
      <c r="F16" s="740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D4" sqref="D4"/>
    </sheetView>
  </sheetViews>
  <sheetFormatPr defaultColWidth="8.7265625" defaultRowHeight="14.5"/>
  <cols>
    <col min="1" max="1" width="5.08984375" style="93" customWidth="1"/>
    <col min="2" max="2" width="5.08984375" style="130" customWidth="1"/>
    <col min="3" max="4" width="23.26953125" style="129" customWidth="1"/>
    <col min="5" max="5" width="6.7265625" style="129" customWidth="1"/>
    <col min="6" max="6" width="16.26953125" style="129" customWidth="1"/>
    <col min="7" max="7" width="11.26953125" style="129" bestFit="1" customWidth="1"/>
    <col min="8" max="8" width="15" style="129" bestFit="1" customWidth="1"/>
    <col min="9" max="9" width="1.7265625" style="129" customWidth="1"/>
    <col min="10" max="10" width="3.7265625" style="93" customWidth="1"/>
    <col min="11" max="11" width="1.7265625" style="175" customWidth="1"/>
    <col min="12" max="12" width="29.26953125" style="93" customWidth="1"/>
    <col min="13" max="13" width="1.7265625" style="129" customWidth="1"/>
    <col min="14" max="14" width="29.26953125" style="129" customWidth="1"/>
    <col min="15" max="15" width="1.26953125" style="93" customWidth="1"/>
    <col min="16" max="16" width="25.08984375" style="129" bestFit="1" customWidth="1"/>
    <col min="17" max="17" width="20.7265625" style="129" bestFit="1" customWidth="1"/>
    <col min="18" max="18" width="24.26953125" style="129" customWidth="1"/>
    <col min="19" max="19" width="21.08984375" style="93" bestFit="1" customWidth="1"/>
    <col min="20" max="20" width="25.08984375" style="129" bestFit="1" customWidth="1"/>
    <col min="21" max="21" width="20.7265625" style="93" bestFit="1" customWidth="1"/>
    <col min="22" max="23" width="8.26953125" style="93"/>
    <col min="24" max="24" width="5.08984375" style="93" bestFit="1" customWidth="1"/>
    <col min="25" max="25" width="14.26953125" style="93" bestFit="1" customWidth="1"/>
    <col min="26" max="26" width="8.26953125" style="93"/>
    <col min="27" max="27" width="14.26953125" style="93" bestFit="1" customWidth="1"/>
    <col min="28" max="28" width="8.7265625" style="129"/>
    <col min="29" max="29" width="12.08984375" style="129" bestFit="1" customWidth="1"/>
    <col min="30" max="16384" width="8.7265625" style="129"/>
  </cols>
  <sheetData>
    <row r="1" spans="1:21" s="93" customFormat="1" ht="14.25" customHeight="1">
      <c r="A1" s="377"/>
      <c r="B1" s="117"/>
      <c r="J1" s="141"/>
    </row>
    <row r="2" spans="1:21" s="93" customFormat="1" ht="14.25" customHeight="1" thickBot="1">
      <c r="A2" s="377"/>
      <c r="B2" s="128" t="s">
        <v>73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74</v>
      </c>
      <c r="F3" s="125" t="s">
        <v>75</v>
      </c>
      <c r="J3" s="141"/>
      <c r="L3" s="408" t="s">
        <v>76</v>
      </c>
      <c r="N3" s="408" t="s">
        <v>77</v>
      </c>
      <c r="P3" s="687" t="s">
        <v>78</v>
      </c>
      <c r="Q3" s="687" t="s">
        <v>79</v>
      </c>
      <c r="R3" s="687" t="s">
        <v>80</v>
      </c>
      <c r="S3" s="687" t="s">
        <v>81</v>
      </c>
      <c r="T3" s="687" t="s">
        <v>82</v>
      </c>
      <c r="U3" s="687" t="s">
        <v>83</v>
      </c>
    </row>
    <row r="4" spans="1:21" s="93" customFormat="1" ht="13">
      <c r="B4" s="352">
        <v>1</v>
      </c>
      <c r="C4" s="353" t="s">
        <v>84</v>
      </c>
      <c r="D4" s="354">
        <f>'Project Plan'!E6</f>
        <v>8692848.6099999994</v>
      </c>
      <c r="E4" s="355"/>
      <c r="F4" s="354">
        <f>F21</f>
        <v>8692848.6100000013</v>
      </c>
      <c r="J4" s="141"/>
      <c r="L4" s="375"/>
      <c r="N4" s="375" t="s">
        <v>85</v>
      </c>
      <c r="P4" s="688">
        <f>SUMIFS('Expenditure Breakdown'!$U:$U,
        'Expenditure Breakdown'!$T:$T, "&gt;"&amp;DATE(2024,8,31),
        'Expenditure Breakdown'!$T:$T, "&lt;="&amp;DATE(2025,8,31),
        'Expenditure Breakdown'!$S:$S, "&lt;&gt;")</f>
        <v>7660876.7787773581</v>
      </c>
      <c r="Q4" s="688">
        <f>SUMIFS('Expenditure Breakdown'!$Q:$Q,
        'Expenditure Breakdown'!$T:$T, "&gt;"&amp;DATE(2024,8,31),
        'Expenditure Breakdown'!$T:$T, "&lt;="&amp;DATE(2025,8,31),
        'Expenditure Breakdown'!$S:$S, "&lt;&gt;")</f>
        <v>5862298.6500000004</v>
      </c>
      <c r="R4" s="688">
        <f>SUMIFS('Expenditure Breakdown'!$U:$U,
        'Expenditure Breakdown'!$T:$T, "&gt;"&amp;DATE(2025,8,31),
        'Expenditure Breakdown'!$T:$T, "&lt;="&amp;DATE(2026,8,31))</f>
        <v>968085.29012789717</v>
      </c>
      <c r="S4" s="688">
        <f>SUMIFS('Expenditure Breakdown'!$Q:$Q,
        'Expenditure Breakdown'!$T:$T, "&gt;"&amp;DATE(2025,8,31),
        'Expenditure Breakdown'!$T:$T, "&lt;="&amp;DATE(2026,8,31))</f>
        <v>1227752.7776250001</v>
      </c>
      <c r="T4" s="688">
        <f>SUMIFS('Expenditure Breakdown'!$U:$U,
        'Expenditure Breakdown'!$T:$T, "&gt;"&amp;DATE(2025,8,31),
        'Expenditure Breakdown'!$T:$T, "&lt;="&amp;DATE(2026,8,31),
        'Expenditure Breakdown'!$S:$S, "&lt;&gt;")</f>
        <v>636952.06650584226</v>
      </c>
      <c r="U4" s="688">
        <f>SUMIFS('Expenditure Breakdown'!$Q:$Q,
        'Expenditure Breakdown'!$T:$T, "&gt;"&amp;DATE(2025,8,31),
        'Expenditure Breakdown'!$T:$T, "&lt;="&amp;DATE(2026,8,31),
        'Expenditure Breakdown'!$S:$S, "&lt;&gt;")</f>
        <v>1183062.1700000002</v>
      </c>
    </row>
    <row r="5" spans="1:21" s="93" customFormat="1" ht="15" customHeight="1">
      <c r="B5" s="352">
        <v>2</v>
      </c>
      <c r="C5" s="353" t="s">
        <v>86</v>
      </c>
      <c r="D5" s="354">
        <f>+'Expenditure Tracking'!F5</f>
        <v>8166239.0135021619</v>
      </c>
      <c r="E5" s="355"/>
      <c r="F5" s="354">
        <f>+'Expenditure Tracking'!H5</f>
        <v>7090051.4276250005</v>
      </c>
      <c r="G5" s="93" t="s">
        <v>87</v>
      </c>
      <c r="H5" s="93" t="s">
        <v>88</v>
      </c>
      <c r="J5" s="141"/>
      <c r="L5" s="375"/>
      <c r="N5" s="409"/>
    </row>
    <row r="6" spans="1:21" s="93" customFormat="1" ht="15" customHeight="1">
      <c r="B6" s="352">
        <v>3</v>
      </c>
      <c r="C6" s="353" t="s">
        <v>89</v>
      </c>
      <c r="D6" s="354">
        <f>+D4-D5</f>
        <v>526609.59649783745</v>
      </c>
      <c r="E6" s="355"/>
      <c r="F6" s="354">
        <f>+F4-F5</f>
        <v>1602797.1823750008</v>
      </c>
      <c r="G6" s="704">
        <f>D6*0.05</f>
        <v>26330.479824891874</v>
      </c>
      <c r="H6" s="704">
        <f>SUMIF('Expenditure Breakdown'!N:N,"*VO*",'Expenditure Breakdown'!Q:Q)</f>
        <v>19400</v>
      </c>
      <c r="J6" s="141"/>
      <c r="L6" s="375"/>
      <c r="N6" s="375" t="s">
        <v>90</v>
      </c>
    </row>
    <row r="7" spans="1:21" s="93" customFormat="1" ht="15" customHeight="1" thickBot="1">
      <c r="B7" s="352">
        <v>4</v>
      </c>
      <c r="C7" s="353" t="s">
        <v>91</v>
      </c>
      <c r="D7" s="356">
        <f>+D6/D4</f>
        <v>6.0579635068306742E-2</v>
      </c>
      <c r="E7" s="355"/>
      <c r="F7" s="356">
        <f>+F6/F4</f>
        <v>0.18438112226309675</v>
      </c>
      <c r="J7" s="141"/>
      <c r="L7" s="376"/>
      <c r="N7" s="444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92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">
      <c r="B12" s="131" t="s">
        <v>93</v>
      </c>
      <c r="C12" s="132" t="s">
        <v>94</v>
      </c>
      <c r="D12" s="133"/>
      <c r="E12" s="131" t="s">
        <v>95</v>
      </c>
      <c r="F12" s="131" t="s">
        <v>96</v>
      </c>
      <c r="H12" s="357" t="s">
        <v>97</v>
      </c>
      <c r="J12" s="141"/>
      <c r="L12" s="166" t="s">
        <v>98</v>
      </c>
      <c r="M12" s="134"/>
      <c r="N12" s="166" t="s">
        <v>99</v>
      </c>
      <c r="O12" s="129"/>
      <c r="P12" s="166" t="s">
        <v>100</v>
      </c>
      <c r="R12" s="378" t="s">
        <v>101</v>
      </c>
    </row>
    <row r="13" spans="1:21" s="93" customFormat="1" ht="13">
      <c r="B13" s="352">
        <v>1</v>
      </c>
      <c r="C13" s="743" t="s">
        <v>102</v>
      </c>
      <c r="D13" s="744"/>
      <c r="E13" s="135">
        <v>0.2</v>
      </c>
      <c r="F13" s="136">
        <f>$D$4*E13</f>
        <v>1738569.7220000001</v>
      </c>
      <c r="G13" s="137"/>
      <c r="H13" s="138">
        <v>45777</v>
      </c>
      <c r="J13" s="141"/>
      <c r="L13" s="368" t="s">
        <v>103</v>
      </c>
      <c r="M13" s="367"/>
      <c r="N13" s="138">
        <v>45778</v>
      </c>
      <c r="O13" s="129"/>
      <c r="P13" s="138">
        <v>45777</v>
      </c>
      <c r="R13" s="174"/>
    </row>
    <row r="14" spans="1:21" s="93" customFormat="1" ht="12.5">
      <c r="B14" s="154">
        <v>2</v>
      </c>
      <c r="C14" s="743" t="s">
        <v>104</v>
      </c>
      <c r="D14" s="744"/>
      <c r="E14" s="135">
        <v>0.2</v>
      </c>
      <c r="F14" s="136">
        <f t="shared" ref="F14:F18" si="0">$D$4*E14</f>
        <v>1738569.7220000001</v>
      </c>
      <c r="G14" s="355"/>
      <c r="H14" s="138">
        <f>'Project Plan'!E36+7</f>
        <v>45884</v>
      </c>
      <c r="J14" s="141"/>
      <c r="L14" s="368" t="s">
        <v>103</v>
      </c>
      <c r="N14" s="138">
        <v>45778</v>
      </c>
      <c r="O14" s="129"/>
      <c r="P14" s="138">
        <f>'Project Plan'!I36+7</f>
        <v>45842</v>
      </c>
      <c r="R14" s="379"/>
    </row>
    <row r="15" spans="1:21" s="93" customFormat="1" ht="12.5">
      <c r="B15" s="352">
        <v>3</v>
      </c>
      <c r="C15" s="743" t="s">
        <v>105</v>
      </c>
      <c r="D15" s="744"/>
      <c r="E15" s="135">
        <v>0.15</v>
      </c>
      <c r="F15" s="136">
        <f t="shared" si="0"/>
        <v>1303927.2914999998</v>
      </c>
      <c r="G15" s="355"/>
      <c r="H15" s="138">
        <f>'Project Plan'!E22+7</f>
        <v>45863</v>
      </c>
      <c r="J15" s="141"/>
      <c r="L15" s="368" t="s">
        <v>103</v>
      </c>
      <c r="N15" s="138">
        <v>45778</v>
      </c>
      <c r="O15" s="129"/>
      <c r="P15" s="138">
        <f>'Project Plan'!I22+7</f>
        <v>45842</v>
      </c>
      <c r="R15" s="379"/>
    </row>
    <row r="16" spans="1:21" s="93" customFormat="1" ht="12.5">
      <c r="B16" s="352">
        <v>4</v>
      </c>
      <c r="C16" s="741" t="s">
        <v>106</v>
      </c>
      <c r="D16" s="742"/>
      <c r="E16" s="135">
        <v>0.15</v>
      </c>
      <c r="F16" s="136">
        <f t="shared" si="0"/>
        <v>1303927.2914999998</v>
      </c>
      <c r="G16" s="355"/>
      <c r="H16" s="138">
        <f>'Project Plan'!G39+7</f>
        <v>45964</v>
      </c>
      <c r="J16" s="141"/>
      <c r="L16" s="368" t="s">
        <v>103</v>
      </c>
      <c r="M16" s="129"/>
      <c r="N16" s="138">
        <v>45778</v>
      </c>
      <c r="O16" s="129"/>
      <c r="P16" s="698">
        <v>46024</v>
      </c>
      <c r="R16" s="379"/>
    </row>
    <row r="17" spans="2:19" s="93" customFormat="1" ht="12.5">
      <c r="B17" s="352">
        <v>5</v>
      </c>
      <c r="C17" s="741" t="s">
        <v>107</v>
      </c>
      <c r="D17" s="742"/>
      <c r="E17" s="135">
        <v>0.25</v>
      </c>
      <c r="F17" s="136">
        <f t="shared" si="0"/>
        <v>2173212.1524999999</v>
      </c>
      <c r="G17" s="355"/>
      <c r="H17" s="138">
        <f>'Project Plan'!E51+7</f>
        <v>45965</v>
      </c>
      <c r="J17" s="141"/>
      <c r="L17" s="368" t="s">
        <v>103</v>
      </c>
      <c r="N17" s="138">
        <v>45778</v>
      </c>
      <c r="O17" s="129"/>
      <c r="P17" s="698">
        <v>46024</v>
      </c>
      <c r="R17" s="379"/>
    </row>
    <row r="18" spans="2:19" s="93" customFormat="1" ht="12.5">
      <c r="B18" s="352">
        <v>6</v>
      </c>
      <c r="C18" s="741" t="s">
        <v>54</v>
      </c>
      <c r="D18" s="742"/>
      <c r="E18" s="135">
        <v>0.05</v>
      </c>
      <c r="F18" s="136">
        <f t="shared" si="0"/>
        <v>434642.43050000002</v>
      </c>
      <c r="G18" s="355"/>
      <c r="H18" s="138">
        <f>'Project Plan'!K52+7</f>
        <v>46094</v>
      </c>
      <c r="J18" s="141"/>
      <c r="L18" s="368" t="s">
        <v>103</v>
      </c>
      <c r="M18" s="137"/>
      <c r="N18" s="138">
        <v>45778</v>
      </c>
      <c r="O18" s="129"/>
      <c r="P18" s="698">
        <v>46038</v>
      </c>
      <c r="R18" s="379"/>
    </row>
    <row r="19" spans="2:19" s="93" customFormat="1" ht="12.5">
      <c r="B19" s="352">
        <v>7</v>
      </c>
      <c r="C19" s="743" t="s">
        <v>108</v>
      </c>
      <c r="D19" s="744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79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">
      <c r="B21" s="117"/>
      <c r="E21" s="359">
        <f>SUM(E13:E19)</f>
        <v>1</v>
      </c>
      <c r="F21" s="360">
        <f>SUM(F13:F19)</f>
        <v>8692848.6100000013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109</v>
      </c>
      <c r="C23" s="145" t="s">
        <v>110</v>
      </c>
      <c r="D23" s="145"/>
      <c r="F23" s="146"/>
    </row>
    <row r="24" spans="2:19" s="93" customFormat="1" ht="12.5">
      <c r="C24" s="147" t="s">
        <v>111</v>
      </c>
      <c r="D24" s="148"/>
      <c r="F24" s="149"/>
    </row>
    <row r="25" spans="2:19" s="93" customFormat="1" ht="12.5">
      <c r="C25" s="147" t="s">
        <v>112</v>
      </c>
      <c r="D25" s="148"/>
    </row>
    <row r="26" spans="2:19" s="93" customFormat="1" ht="12.5">
      <c r="C26" s="150" t="s">
        <v>113</v>
      </c>
      <c r="D26" s="151"/>
    </row>
    <row r="27" spans="2:19" s="93" customFormat="1" ht="12.5">
      <c r="C27" s="152" t="s">
        <v>114</v>
      </c>
      <c r="D27" s="148"/>
    </row>
    <row r="28" spans="2:19" s="93" customFormat="1" ht="12.5">
      <c r="B28" s="117"/>
      <c r="C28" s="152" t="s">
        <v>115</v>
      </c>
      <c r="D28" s="148"/>
    </row>
    <row r="29" spans="2:19" s="93" customFormat="1" ht="12.5">
      <c r="B29" s="117"/>
      <c r="C29" s="93" t="s">
        <v>116</v>
      </c>
    </row>
    <row r="30" spans="2:19" s="93" customFormat="1" ht="27.75" customHeight="1">
      <c r="B30" s="117"/>
      <c r="C30" s="153" t="s">
        <v>117</v>
      </c>
      <c r="D30" s="153"/>
      <c r="F30" s="149"/>
    </row>
    <row r="31" spans="2:19" s="93" customFormat="1" ht="12.5">
      <c r="B31" s="117"/>
      <c r="F31" s="146"/>
    </row>
    <row r="32" spans="2:19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93</v>
      </c>
      <c r="C40" s="132" t="s">
        <v>94</v>
      </c>
      <c r="D40" s="133"/>
      <c r="E40" s="131" t="s">
        <v>95</v>
      </c>
      <c r="F40" s="131" t="s">
        <v>96</v>
      </c>
    </row>
    <row r="41" spans="2:6" s="93" customFormat="1" ht="12.75" hidden="1" customHeight="1">
      <c r="B41" s="154">
        <v>1</v>
      </c>
      <c r="C41" s="155" t="s">
        <v>118</v>
      </c>
      <c r="D41" s="155"/>
      <c r="E41" s="135">
        <v>0.35</v>
      </c>
      <c r="F41" s="136">
        <f>$F$47*E41</f>
        <v>3042497.0135000004</v>
      </c>
    </row>
    <row r="42" spans="2:6" s="93" customFormat="1" ht="12.75" hidden="1" customHeight="1">
      <c r="B42" s="154">
        <v>2</v>
      </c>
      <c r="C42" s="155" t="s">
        <v>104</v>
      </c>
      <c r="D42" s="155"/>
      <c r="E42" s="135">
        <v>0.3</v>
      </c>
      <c r="F42" s="136">
        <f t="shared" ref="F42:F45" si="2">$F$47*E42</f>
        <v>2607854.5830000001</v>
      </c>
    </row>
    <row r="43" spans="2:6" s="93" customFormat="1" ht="12.75" hidden="1" customHeight="1">
      <c r="B43" s="154">
        <v>3</v>
      </c>
      <c r="C43" s="155" t="s">
        <v>105</v>
      </c>
      <c r="D43" s="155"/>
      <c r="E43" s="135">
        <v>0.2</v>
      </c>
      <c r="F43" s="136">
        <f t="shared" si="2"/>
        <v>1738569.7220000003</v>
      </c>
    </row>
    <row r="44" spans="2:6" s="93" customFormat="1" ht="12.75" hidden="1" customHeight="1">
      <c r="B44" s="154">
        <v>4</v>
      </c>
      <c r="C44" s="155" t="s">
        <v>119</v>
      </c>
      <c r="D44" s="155"/>
      <c r="E44" s="135">
        <v>0.1</v>
      </c>
      <c r="F44" s="136">
        <f t="shared" si="2"/>
        <v>869284.86100000015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434642.43050000007</v>
      </c>
    </row>
    <row r="46" spans="2:6" s="93" customFormat="1" ht="13.5" hidden="1" customHeight="1" thickBot="1">
      <c r="B46" s="160"/>
      <c r="C46" s="161" t="s">
        <v>120</v>
      </c>
      <c r="D46" s="161"/>
      <c r="E46" s="162">
        <f>SUM(E41:E45)</f>
        <v>0.99999999999999989</v>
      </c>
      <c r="F46" s="163">
        <f>SUM(F41:F45)</f>
        <v>8692848.6100000013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8692848.6100000013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24" zoomScale="85" zoomScaleNormal="85" workbookViewId="0">
      <selection activeCell="J53" sqref="J53"/>
    </sheetView>
  </sheetViews>
  <sheetFormatPr defaultColWidth="8.7265625" defaultRowHeight="14"/>
  <cols>
    <col min="1" max="1" width="1.26953125" style="112" customWidth="1"/>
    <col min="2" max="2" width="6.26953125" style="171" bestFit="1" customWidth="1"/>
    <col min="3" max="3" width="50.7265625" style="24" bestFit="1" customWidth="1"/>
    <col min="4" max="4" width="3.08984375" style="112" customWidth="1"/>
    <col min="5" max="5" width="14.7265625" style="24" customWidth="1"/>
    <col min="6" max="6" width="10.08984375" style="168" customWidth="1"/>
    <col min="7" max="7" width="13.7265625" style="64" customWidth="1"/>
    <col min="8" max="8" width="5" style="112" customWidth="1"/>
    <col min="9" max="9" width="13.26953125" style="112" customWidth="1"/>
    <col min="10" max="10" width="11.26953125" style="113" customWidth="1"/>
    <col min="11" max="11" width="14.7265625" style="112" customWidth="1"/>
    <col min="12" max="12" width="2.26953125" style="112" customWidth="1"/>
    <col min="13" max="13" width="12.08984375" style="112" customWidth="1"/>
    <col min="14" max="14" width="11.08984375" style="112" bestFit="1" customWidth="1"/>
    <col min="15" max="15" width="39.26953125" style="112" bestFit="1" customWidth="1"/>
    <col min="16" max="16" width="1.26953125" style="112" customWidth="1"/>
    <col min="17" max="17" width="5.08984375" style="3" customWidth="1"/>
    <col min="18" max="25" width="8.26953125" style="112"/>
    <col min="26" max="16384" width="8.7265625" style="24"/>
  </cols>
  <sheetData>
    <row r="1" spans="2:28" s="112" customFormat="1" ht="4.5" customHeight="1">
      <c r="B1" s="167"/>
      <c r="F1" s="168"/>
      <c r="G1" s="113"/>
      <c r="J1" s="113"/>
      <c r="N1" s="404">
        <f ca="1">TODAY()</f>
        <v>46085</v>
      </c>
      <c r="O1" s="404">
        <f ca="1">TODAY()</f>
        <v>46085</v>
      </c>
      <c r="Q1" s="3"/>
    </row>
    <row r="2" spans="2:28" ht="14.25" customHeight="1">
      <c r="B2" s="176"/>
      <c r="C2" s="177" t="s">
        <v>0</v>
      </c>
      <c r="D2" s="178"/>
      <c r="E2" s="721" t="s">
        <v>121</v>
      </c>
      <c r="F2" s="722"/>
      <c r="G2" s="722"/>
      <c r="H2" s="723"/>
      <c r="M2" s="732" t="s">
        <v>122</v>
      </c>
      <c r="N2" s="733"/>
      <c r="O2" s="733"/>
    </row>
    <row r="3" spans="2:28" s="112" customFormat="1">
      <c r="B3" s="179"/>
      <c r="C3" s="180" t="s">
        <v>123</v>
      </c>
      <c r="D3" s="178"/>
      <c r="E3" s="411">
        <v>954</v>
      </c>
      <c r="F3" s="181"/>
      <c r="G3" s="182"/>
      <c r="H3" s="183"/>
      <c r="J3" s="113"/>
      <c r="M3" s="733"/>
      <c r="N3" s="733"/>
      <c r="O3" s="733"/>
      <c r="Q3" s="3"/>
    </row>
    <row r="4" spans="2:28" s="112" customFormat="1">
      <c r="B4" s="179"/>
      <c r="C4" s="180" t="s">
        <v>124</v>
      </c>
      <c r="D4" s="178"/>
      <c r="E4" s="724" t="s">
        <v>125</v>
      </c>
      <c r="F4" s="725"/>
      <c r="G4" s="725"/>
      <c r="H4" s="726"/>
      <c r="J4" s="113"/>
      <c r="M4" s="733"/>
      <c r="N4" s="733"/>
      <c r="O4" s="733"/>
      <c r="Q4" s="3"/>
    </row>
    <row r="5" spans="2:28" s="112" customFormat="1">
      <c r="B5" s="179"/>
      <c r="C5" s="180" t="s">
        <v>126</v>
      </c>
      <c r="D5" s="178"/>
      <c r="E5" s="724" t="s">
        <v>127</v>
      </c>
      <c r="F5" s="725"/>
      <c r="G5" s="725"/>
      <c r="H5" s="726"/>
      <c r="J5" s="113"/>
      <c r="Q5" s="3"/>
    </row>
    <row r="6" spans="2:28">
      <c r="B6" s="184"/>
      <c r="C6" s="185" t="s">
        <v>128</v>
      </c>
      <c r="D6" s="178"/>
      <c r="E6" s="727">
        <v>8692848.6099999994</v>
      </c>
      <c r="F6" s="728"/>
      <c r="G6" s="728"/>
      <c r="H6" s="729"/>
    </row>
    <row r="7" spans="2:28" s="112" customFormat="1">
      <c r="B7" s="167"/>
      <c r="C7" s="700" t="s">
        <v>129</v>
      </c>
      <c r="D7" s="701"/>
      <c r="E7" s="699" t="s">
        <v>54</v>
      </c>
      <c r="F7" s="168"/>
      <c r="G7" s="186"/>
      <c r="J7" s="113"/>
      <c r="Q7" s="3"/>
    </row>
    <row r="8" spans="2:28" ht="30" customHeight="1">
      <c r="B8" s="718" t="s">
        <v>93</v>
      </c>
      <c r="C8" s="719" t="s">
        <v>130</v>
      </c>
      <c r="D8" s="215"/>
      <c r="E8" s="720" t="s">
        <v>131</v>
      </c>
      <c r="F8" s="237" t="s">
        <v>132</v>
      </c>
      <c r="G8" s="720" t="s">
        <v>133</v>
      </c>
      <c r="H8" s="238"/>
      <c r="I8" s="720" t="s">
        <v>134</v>
      </c>
      <c r="J8" s="237" t="s">
        <v>132</v>
      </c>
      <c r="K8" s="720" t="s">
        <v>135</v>
      </c>
      <c r="M8" s="410" t="s">
        <v>60</v>
      </c>
      <c r="N8" s="682" t="s">
        <v>136</v>
      </c>
      <c r="O8" s="730" t="s">
        <v>137</v>
      </c>
      <c r="Z8" s="112"/>
      <c r="AA8" s="112"/>
      <c r="AB8" s="112"/>
    </row>
    <row r="9" spans="2:28">
      <c r="B9" s="718"/>
      <c r="C9" s="719"/>
      <c r="D9" s="215"/>
      <c r="E9" s="720"/>
      <c r="F9" s="126">
        <f>G41-E19</f>
        <v>102</v>
      </c>
      <c r="G9" s="720"/>
      <c r="H9" s="238"/>
      <c r="I9" s="720"/>
      <c r="J9" s="127">
        <f>K41-I19</f>
        <v>74</v>
      </c>
      <c r="K9" s="720"/>
      <c r="M9" s="362">
        <f>AVERAGE(M11,M18,M21,M28,M35,M39,M47,M43)</f>
        <v>0.98852040816326525</v>
      </c>
      <c r="N9" s="362">
        <f ca="1">AVERAGE(N11,N18,N21,N28,N35,N39,N47,N43)</f>
        <v>0.96778666673244984</v>
      </c>
      <c r="O9" s="731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138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>
      <c r="B12" s="248" t="s">
        <v>139</v>
      </c>
      <c r="C12" s="249" t="s">
        <v>140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141</v>
      </c>
      <c r="C13" s="249" t="s">
        <v>142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143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144</v>
      </c>
      <c r="C15" s="249" t="s">
        <v>145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146</v>
      </c>
      <c r="C16" s="249" t="s">
        <v>147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148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149</v>
      </c>
      <c r="C19" s="249" t="s">
        <v>150</v>
      </c>
      <c r="D19" s="215"/>
      <c r="E19" s="413">
        <v>45855</v>
      </c>
      <c r="F19" s="251">
        <v>1</v>
      </c>
      <c r="G19" s="250">
        <f>E19+F19</f>
        <v>45856</v>
      </c>
      <c r="H19" s="238"/>
      <c r="I19" s="413">
        <v>45929</v>
      </c>
      <c r="J19" s="251">
        <v>1</v>
      </c>
      <c r="K19" s="250">
        <f>I19+J19</f>
        <v>45930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151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152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45835</v>
      </c>
      <c r="J21" s="247">
        <f>K21-I21</f>
        <v>115</v>
      </c>
      <c r="K21" s="246">
        <f>MAX(K22:K26)</f>
        <v>45950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121">
        <f>S19/5</f>
        <v>11</v>
      </c>
      <c r="T21" s="121" t="s">
        <v>153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154</v>
      </c>
      <c r="C22" s="249" t="s">
        <v>155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45835</v>
      </c>
      <c r="J22" s="251">
        <v>1</v>
      </c>
      <c r="K22" s="250">
        <f>WORKDAY.INTL(I22,J22,1,Data!$C$3:$C$14)</f>
        <v>45838</v>
      </c>
      <c r="M22" s="254">
        <v>1</v>
      </c>
      <c r="N22" s="254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86.727272727272734</v>
      </c>
      <c r="T22" s="118" t="s">
        <v>156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157</v>
      </c>
      <c r="C23" s="249" t="s">
        <v>158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f>I31</f>
        <v>45932</v>
      </c>
      <c r="J23" s="251">
        <v>5</v>
      </c>
      <c r="K23" s="250">
        <f>WORKDAY.INTL(I23,J23,1,Data!$C$3:$C$14)</f>
        <v>45939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159</v>
      </c>
      <c r="C24" s="249" t="s">
        <v>160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f>WORKDAY.INTL(I19,0,1,Data!$C$3:$C$14)-28</f>
        <v>45901</v>
      </c>
      <c r="J24" s="251">
        <v>29</v>
      </c>
      <c r="K24" s="250">
        <f>WORKDAY.INTL(I24,J24,1,Data!$C$3:$C$14)</f>
        <v>45943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161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I23</f>
        <v>45932</v>
      </c>
      <c r="J25" s="251">
        <v>12</v>
      </c>
      <c r="K25" s="250">
        <f>WORKDAY.INTL(I25,J25,1,Data!$C$3:$C$14)</f>
        <v>45950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162</v>
      </c>
      <c r="C26" s="249" t="s">
        <v>163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v>45947</v>
      </c>
      <c r="J26" s="251">
        <v>1</v>
      </c>
      <c r="K26" s="250">
        <f>WORKDAY.INTL(I26,J26,1,Data!$C$3:$C$14)</f>
        <v>45950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88</v>
      </c>
      <c r="G28" s="246">
        <f>MAX(G30:G33)</f>
        <v>45943</v>
      </c>
      <c r="H28" s="252"/>
      <c r="I28" s="246">
        <f>MIN(I30:I33)</f>
        <v>45835</v>
      </c>
      <c r="J28" s="247">
        <f>K28-I28</f>
        <v>166</v>
      </c>
      <c r="K28" s="246">
        <f>MAX(K30:K33)</f>
        <v>46001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164</v>
      </c>
      <c r="C29" s="249" t="s">
        <v>165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164</v>
      </c>
      <c r="C30" s="249" t="s">
        <v>166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v>45835</v>
      </c>
      <c r="J30" s="251">
        <v>1</v>
      </c>
      <c r="K30" s="250">
        <f>WORKDAY.INTL(I30,J30,1,Data!$C$3:$C$14)</f>
        <v>45838</v>
      </c>
      <c r="M30" s="254">
        <v>1</v>
      </c>
      <c r="N30" s="254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167</v>
      </c>
      <c r="C31" s="249" t="s">
        <v>168</v>
      </c>
      <c r="D31" s="215"/>
      <c r="E31" s="250">
        <f>WORKDAY.INTL(G30,0,1,Data!$C$3:$C$14)</f>
        <v>45856</v>
      </c>
      <c r="F31" s="251">
        <v>20</v>
      </c>
      <c r="G31" s="250">
        <f>WORKDAY.INTL(E31,F31,1,Data!$C$3:$C$14)</f>
        <v>45884</v>
      </c>
      <c r="H31" s="238"/>
      <c r="I31" s="250">
        <v>45932</v>
      </c>
      <c r="J31" s="251">
        <v>25</v>
      </c>
      <c r="K31" s="250">
        <f>WORKDAY.INTL(I31,J31,1,Data!$C$3:$C$14)</f>
        <v>45967</v>
      </c>
      <c r="M31" s="254">
        <v>1</v>
      </c>
      <c r="N31" s="254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169</v>
      </c>
      <c r="C32" s="249" t="s">
        <v>170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v>45835</v>
      </c>
      <c r="J32" s="251">
        <v>1</v>
      </c>
      <c r="K32" s="250">
        <f>WORKDAY.INTL(I32,J32,1,Data!$C$3:$C$14)</f>
        <v>45838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171</v>
      </c>
      <c r="C33" s="243" t="s">
        <v>172</v>
      </c>
      <c r="D33" s="215"/>
      <c r="E33" s="253">
        <f>WORKDAY.INTL(G37,0,1,Data!$C$3:$C$14)-3</f>
        <v>45912</v>
      </c>
      <c r="F33" s="251">
        <v>20</v>
      </c>
      <c r="G33" s="253">
        <f>WORKDAY.INTL(E33,F33,1,Data!$C$3:$C$14)</f>
        <v>45943</v>
      </c>
      <c r="H33" s="238"/>
      <c r="I33" s="253">
        <f>WORKDAY.INTL(K37,0,1,Data!$C$3:$C$14)-10</f>
        <v>45982</v>
      </c>
      <c r="J33" s="251">
        <v>13</v>
      </c>
      <c r="K33" s="253">
        <f>WORKDAY.INTL(I33,J33,1,Data!$C$3:$C$14)</f>
        <v>46001</v>
      </c>
      <c r="M33" s="254">
        <v>1</v>
      </c>
      <c r="N33" s="254">
        <f t="shared" ca="1" si="3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173</v>
      </c>
      <c r="D35" s="219"/>
      <c r="E35" s="246">
        <f>MIN(E36:E37)</f>
        <v>45877</v>
      </c>
      <c r="F35" s="247">
        <f>G35-E35</f>
        <v>38</v>
      </c>
      <c r="G35" s="246">
        <f>MAX(G36:G37)</f>
        <v>45915</v>
      </c>
      <c r="H35" s="220"/>
      <c r="I35" s="246">
        <f>MIN(I36:I37)</f>
        <v>45835</v>
      </c>
      <c r="J35" s="247">
        <f>K35-I35</f>
        <v>157</v>
      </c>
      <c r="K35" s="246">
        <f>MAX(K36:K37)</f>
        <v>45992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174</v>
      </c>
      <c r="C36" s="249" t="s">
        <v>175</v>
      </c>
      <c r="D36" s="215"/>
      <c r="E36" s="253">
        <f>WORKDAY.INTL(G31,0,1,Data!$C$3:$C$14)-7</f>
        <v>45877</v>
      </c>
      <c r="F36" s="251">
        <v>1</v>
      </c>
      <c r="G36" s="250">
        <f>WORKDAY.INTL(E36,F36,1,Data!$C$3:$C$14)</f>
        <v>45880</v>
      </c>
      <c r="H36" s="238"/>
      <c r="I36" s="253">
        <v>45835</v>
      </c>
      <c r="J36" s="251">
        <v>1</v>
      </c>
      <c r="K36" s="250">
        <f>WORKDAY.INTL(I36,J36,1,Data!$C$3:$C$14)</f>
        <v>45838</v>
      </c>
      <c r="M36" s="254">
        <v>1</v>
      </c>
      <c r="N36" s="254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176</v>
      </c>
      <c r="C37" s="249" t="s">
        <v>177</v>
      </c>
      <c r="D37" s="215"/>
      <c r="E37" s="253">
        <f>G36</f>
        <v>45880</v>
      </c>
      <c r="F37" s="251">
        <v>25</v>
      </c>
      <c r="G37" s="250">
        <f>WORKDAY.INTL(E37,F37,1,Data!$C$3:$C$14)</f>
        <v>45915</v>
      </c>
      <c r="H37" s="238"/>
      <c r="I37" s="253">
        <f>K31-10</f>
        <v>45957</v>
      </c>
      <c r="J37" s="251">
        <v>25</v>
      </c>
      <c r="K37" s="250">
        <f>WORKDAY.INTL(I37,J37,1,Data!$C$3:$C$14)</f>
        <v>45992</v>
      </c>
      <c r="M37" s="254">
        <v>1</v>
      </c>
      <c r="N37" s="254">
        <f t="shared" ca="1" si="4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178</v>
      </c>
      <c r="D39" s="219"/>
      <c r="E39" s="246">
        <f>MIN(E40:E41)</f>
        <v>45943</v>
      </c>
      <c r="F39" s="247">
        <f>G39-E39</f>
        <v>14</v>
      </c>
      <c r="G39" s="246">
        <f>MAX(G40:G41)</f>
        <v>45957</v>
      </c>
      <c r="H39" s="220"/>
      <c r="I39" s="246">
        <f>MIN(I40:I41)</f>
        <v>46001</v>
      </c>
      <c r="J39" s="247">
        <f>K39-I39</f>
        <v>2</v>
      </c>
      <c r="K39" s="246">
        <f>MAX(K40:K41)</f>
        <v>46003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179</v>
      </c>
      <c r="C40" s="243" t="s">
        <v>178</v>
      </c>
      <c r="D40" s="215"/>
      <c r="E40" s="253">
        <f>WORKDAY.INTL(MAX(G21,G28,G35),0,1,Data!$C$3:$C$14)</f>
        <v>45943</v>
      </c>
      <c r="F40" s="251">
        <v>5</v>
      </c>
      <c r="G40" s="253">
        <f>WORKDAY.INTL(E40,F40,1,Data!$C$3:$C$14)</f>
        <v>45950</v>
      </c>
      <c r="H40" s="238"/>
      <c r="I40" s="253">
        <f>WORKDAY.INTL(MAX(K21,K28,K35),0,1,Data!$C$3:$C$14)</f>
        <v>46001</v>
      </c>
      <c r="J40" s="251">
        <v>1</v>
      </c>
      <c r="K40" s="253">
        <f>WORKDAY.INTL(I40,J40,1,Data!$C$3:$C$14)</f>
        <v>46002</v>
      </c>
      <c r="M40" s="254">
        <v>1</v>
      </c>
      <c r="N40" s="254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180</v>
      </c>
      <c r="C41" s="243" t="s">
        <v>181</v>
      </c>
      <c r="D41" s="215"/>
      <c r="E41" s="253">
        <f>WORKDAY.INTL(G40,0,1,Data!$C$3:$C$14)</f>
        <v>45950</v>
      </c>
      <c r="F41" s="251">
        <v>5</v>
      </c>
      <c r="G41" s="253">
        <f>WORKDAY.INTL(E41,F41,1,Data!$C$3:$C$14)</f>
        <v>45957</v>
      </c>
      <c r="H41" s="238"/>
      <c r="I41" s="253">
        <f>WORKDAY.INTL(K40,0,1,Data!$C$3:$C$14)</f>
        <v>46002</v>
      </c>
      <c r="J41" s="251">
        <v>1</v>
      </c>
      <c r="K41" s="253">
        <f>WORKDAY.INTL(I41,J41,1,Data!$C$3:$C$14)</f>
        <v>46003</v>
      </c>
      <c r="M41" s="254">
        <v>1</v>
      </c>
      <c r="N41" s="254">
        <f t="shared" ca="1" si="5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182</v>
      </c>
      <c r="D43" s="219"/>
      <c r="E43" s="246">
        <f>MIN(E44)</f>
        <v>45957</v>
      </c>
      <c r="F43" s="247">
        <f>G43-E43</f>
        <v>1</v>
      </c>
      <c r="G43" s="246">
        <f>MAX(G44)</f>
        <v>45958</v>
      </c>
      <c r="H43" s="220"/>
      <c r="I43" s="246">
        <f>MIN(I44)</f>
        <v>46003</v>
      </c>
      <c r="J43" s="247">
        <f>K43-I43</f>
        <v>32</v>
      </c>
      <c r="K43" s="246">
        <f>MAX(K44)</f>
        <v>46035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183</v>
      </c>
      <c r="D44" s="215"/>
      <c r="E44" s="253">
        <f>WORKDAY.INTL(G41,0,1,Data!$C$3:$C$14)</f>
        <v>45957</v>
      </c>
      <c r="F44" s="251">
        <v>1</v>
      </c>
      <c r="G44" s="253">
        <f>WORKDAY.INTL(E44,F44,1,Data!$C$3:$C$14)</f>
        <v>45958</v>
      </c>
      <c r="H44" s="238"/>
      <c r="I44" s="253">
        <f>WORKDAY.INTL(K41,0,1,Data!$C$3:$C$14)</f>
        <v>46003</v>
      </c>
      <c r="J44" s="251">
        <v>20</v>
      </c>
      <c r="K44" s="253">
        <f>WORKDAY.INTL(I44,J44,1,Data!$C$3:$C$14)</f>
        <v>46035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24"/>
      <c r="Y44" s="24"/>
    </row>
    <row r="45" spans="2:28">
      <c r="B45" s="248" t="s">
        <v>184</v>
      </c>
      <c r="C45" s="243" t="s">
        <v>185</v>
      </c>
      <c r="D45" s="215"/>
      <c r="E45" s="253"/>
      <c r="F45" s="251"/>
      <c r="G45" s="253"/>
      <c r="H45" s="238"/>
      <c r="I45" s="253">
        <v>46045</v>
      </c>
      <c r="J45" s="251">
        <v>1</v>
      </c>
      <c r="K45" s="253">
        <f>WORKDAY.INTL(I45,J45,1,Data!$C$3:$C$14)</f>
        <v>46048</v>
      </c>
      <c r="M45" s="254">
        <v>1</v>
      </c>
      <c r="N45" s="254">
        <f ca="1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>
      <c r="B47" s="244">
        <v>8</v>
      </c>
      <c r="C47" s="245" t="s">
        <v>186</v>
      </c>
      <c r="D47" s="219"/>
      <c r="E47" s="246">
        <f>MIN(E48:E53)</f>
        <v>45958</v>
      </c>
      <c r="F47" s="247">
        <f>G47-E47</f>
        <v>14</v>
      </c>
      <c r="G47" s="246">
        <f>MAX(G48:G53)</f>
        <v>45972</v>
      </c>
      <c r="H47" s="220"/>
      <c r="I47" s="246">
        <f>MIN(I48:I53)</f>
        <v>46034</v>
      </c>
      <c r="J47" s="247">
        <f>K47-I47</f>
        <v>57</v>
      </c>
      <c r="K47" s="246">
        <f>MAX(K48:K53)</f>
        <v>46091</v>
      </c>
      <c r="L47" s="114"/>
      <c r="M47" s="361">
        <f>(J48*M48+J49*M49+J50*M50+J51*M51+J52*M52+J53*M53)/SUM(J48:J53)</f>
        <v>0.90816326530612246</v>
      </c>
      <c r="N47" s="361">
        <f ca="1">(K48*N48+K49*N49+K50*N50+K51*N51+K52*N52+K53*N53)/SUM(K48:K53)</f>
        <v>0.74229333385959884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8">
        <v>8.1</v>
      </c>
      <c r="C48" s="243" t="s">
        <v>187</v>
      </c>
      <c r="D48" s="215"/>
      <c r="E48" s="253">
        <f>G44</f>
        <v>45958</v>
      </c>
      <c r="F48" s="251">
        <v>2</v>
      </c>
      <c r="G48" s="253">
        <f>WORKDAY.INTL(E48,F48,1,Data!$C$3:$C$14)</f>
        <v>45960</v>
      </c>
      <c r="H48" s="238"/>
      <c r="I48" s="253">
        <f>K44</f>
        <v>46035</v>
      </c>
      <c r="J48" s="251">
        <v>2</v>
      </c>
      <c r="K48" s="253">
        <f>WORKDAY.INTL(I48,J48,1,Data!$C$3:$C$14)</f>
        <v>46037</v>
      </c>
      <c r="M48" s="254">
        <v>1</v>
      </c>
      <c r="N48" s="254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8.1999999999999993</v>
      </c>
      <c r="C49" s="243" t="s">
        <v>188</v>
      </c>
      <c r="D49" s="215"/>
      <c r="E49" s="253">
        <f>G44</f>
        <v>45958</v>
      </c>
      <c r="F49" s="251">
        <v>5</v>
      </c>
      <c r="G49" s="253">
        <f>WORKDAY.INTL(E49,F49,1,Data!$C$3:$C$14)</f>
        <v>45965</v>
      </c>
      <c r="H49" s="238"/>
      <c r="I49" s="253">
        <v>46052</v>
      </c>
      <c r="J49" s="251">
        <v>12</v>
      </c>
      <c r="K49" s="253">
        <f>WORKDAY.INTL(I49,J49,1,Data!$C$3:$C$14)</f>
        <v>46070</v>
      </c>
      <c r="M49" s="254">
        <v>1</v>
      </c>
      <c r="N49" s="254">
        <f t="shared" ca="1" si="6"/>
        <v>1</v>
      </c>
      <c r="O49" s="122"/>
      <c r="Y49" s="24"/>
    </row>
    <row r="50" spans="2:28">
      <c r="B50" s="248">
        <v>8.3000000000000007</v>
      </c>
      <c r="C50" s="243" t="s">
        <v>189</v>
      </c>
      <c r="D50" s="215"/>
      <c r="E50" s="253">
        <f>WORKDAY.INTL(G49,0,1,Data!$C$3:$C$14)</f>
        <v>45965</v>
      </c>
      <c r="F50" s="251">
        <v>5</v>
      </c>
      <c r="G50" s="253">
        <f>WORKDAY.INTL(E50,F50,1,Data!$C$3:$C$14)</f>
        <v>45972</v>
      </c>
      <c r="H50" s="238"/>
      <c r="I50" s="253">
        <v>46034</v>
      </c>
      <c r="J50" s="251">
        <v>5</v>
      </c>
      <c r="K50" s="253">
        <f>WORKDAY.INTL(I50,J50,1,Data!$C$3:$C$14)</f>
        <v>46041</v>
      </c>
      <c r="M50" s="254">
        <v>1</v>
      </c>
      <c r="N50" s="254">
        <f t="shared" ca="1" si="6"/>
        <v>1</v>
      </c>
      <c r="O50" s="122"/>
      <c r="Y50" s="24"/>
    </row>
    <row r="51" spans="2:28">
      <c r="B51" s="248">
        <v>8.4</v>
      </c>
      <c r="C51" s="243" t="s">
        <v>190</v>
      </c>
      <c r="D51" s="215"/>
      <c r="E51" s="253">
        <f>WORKDAY.INTL(E49,0,1,Data!$C$3:$C$14)</f>
        <v>45958</v>
      </c>
      <c r="F51" s="251">
        <v>5</v>
      </c>
      <c r="G51" s="253">
        <f>WORKDAY.INTL(E51,F51,1,Data!$C$3:$C$14)</f>
        <v>45965</v>
      </c>
      <c r="H51" s="238"/>
      <c r="I51" s="253">
        <v>46034</v>
      </c>
      <c r="J51" s="251">
        <v>22</v>
      </c>
      <c r="K51" s="253">
        <f>WORKDAY.INTL(I51,J51,1,Data!$C$3:$C$14)</f>
        <v>46064</v>
      </c>
      <c r="M51" s="254">
        <v>1</v>
      </c>
      <c r="N51" s="254">
        <f t="shared" ca="1" si="6"/>
        <v>1</v>
      </c>
      <c r="O51" s="122"/>
      <c r="Y51" s="24"/>
    </row>
    <row r="52" spans="2:28">
      <c r="B52" s="248">
        <v>8.5</v>
      </c>
      <c r="C52" s="243" t="s">
        <v>191</v>
      </c>
      <c r="D52" s="215"/>
      <c r="E52" s="253">
        <f>WORKDAY.INTL(G51,0,1,Data!$C$3:$C$14)</f>
        <v>45965</v>
      </c>
      <c r="F52" s="251">
        <v>1</v>
      </c>
      <c r="G52" s="253">
        <f>WORKDAY.INTL(E52,F52,1,Data!$C$3:$C$14)</f>
        <v>45966</v>
      </c>
      <c r="H52" s="238"/>
      <c r="I52" s="253">
        <v>46086</v>
      </c>
      <c r="J52" s="251">
        <v>1</v>
      </c>
      <c r="K52" s="253">
        <f>WORKDAY.INTL(I52,J52,1,Data!$C$3:$C$14)</f>
        <v>46087</v>
      </c>
      <c r="M52" s="254">
        <v>0</v>
      </c>
      <c r="N52" s="254">
        <f t="shared" ca="1" si="6"/>
        <v>0</v>
      </c>
      <c r="O52" s="122"/>
      <c r="Y52" s="24"/>
    </row>
    <row r="53" spans="2:28">
      <c r="B53" s="248">
        <v>8.6</v>
      </c>
      <c r="C53" s="243" t="s">
        <v>192</v>
      </c>
      <c r="D53" s="215"/>
      <c r="E53" s="253">
        <f>WORKDAY.INTL(E49,0,1,Data!$C$3:$C$14)+2</f>
        <v>45960</v>
      </c>
      <c r="F53" s="251">
        <v>5</v>
      </c>
      <c r="G53" s="253">
        <f>WORKDAY.INTL(E53,F53,1,Data!$C$3:$C$14)</f>
        <v>45967</v>
      </c>
      <c r="H53" s="238"/>
      <c r="I53" s="253">
        <v>46080</v>
      </c>
      <c r="J53" s="251">
        <v>7</v>
      </c>
      <c r="K53" s="253">
        <f>WORKDAY.INTL(I53,J53,1,Data!$C$3:$C$14)</f>
        <v>46091</v>
      </c>
      <c r="M53" s="254">
        <v>0.5</v>
      </c>
      <c r="N53" s="254">
        <f t="shared" ca="1" si="6"/>
        <v>0.45454545454545453</v>
      </c>
      <c r="O53" s="122" t="s">
        <v>193</v>
      </c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M2 P8:P54 O8:O43 O45:O53 O1:P7 M1:N1 M3:N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E2:H2"/>
    <mergeCell ref="E4:H4"/>
    <mergeCell ref="E5:H5"/>
    <mergeCell ref="E6:H6"/>
    <mergeCell ref="O8:O9"/>
    <mergeCell ref="K8:K9"/>
    <mergeCell ref="M2:O4"/>
    <mergeCell ref="B8:B9"/>
    <mergeCell ref="C8:C9"/>
    <mergeCell ref="E8:E9"/>
    <mergeCell ref="G8:G9"/>
    <mergeCell ref="I8:I9"/>
  </mergeCells>
  <phoneticPr fontId="19" type="noConversion"/>
  <conditionalFormatting sqref="M12:N16 M19:N19 M40:N41 M48:N53 M22:N26 M36:N37 M29:N3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26953125" defaultRowHeight="12.5"/>
  <cols>
    <col min="1" max="2" width="9.26953125" style="73"/>
    <col min="3" max="3" width="13.26953125" style="73" bestFit="1" customWidth="1"/>
    <col min="4" max="5" width="9.26953125" style="73"/>
    <col min="6" max="6" width="12.08984375" style="73" bestFit="1" customWidth="1"/>
    <col min="7" max="7" width="1.26953125" style="73" customWidth="1"/>
    <col min="8" max="8" width="11.26953125" style="73" bestFit="1" customWidth="1"/>
    <col min="9" max="16384" width="9.26953125" style="73"/>
  </cols>
  <sheetData>
    <row r="1" spans="3:8" ht="13" thickBot="1"/>
    <row r="2" spans="3:8" ht="13" thickBot="1">
      <c r="C2" s="83" t="s">
        <v>194</v>
      </c>
      <c r="F2" s="83" t="s">
        <v>195</v>
      </c>
    </row>
    <row r="3" spans="3:8">
      <c r="C3" s="79">
        <v>45658</v>
      </c>
      <c r="D3" s="73" t="s">
        <v>196</v>
      </c>
      <c r="F3" s="81" t="s">
        <v>197</v>
      </c>
    </row>
    <row r="4" spans="3:8">
      <c r="C4" s="79">
        <v>45737</v>
      </c>
      <c r="D4" s="73" t="s">
        <v>198</v>
      </c>
      <c r="F4" s="81" t="s">
        <v>199</v>
      </c>
    </row>
    <row r="5" spans="3:8">
      <c r="C5" s="79">
        <v>45765</v>
      </c>
      <c r="D5" s="73" t="s">
        <v>200</v>
      </c>
      <c r="F5" s="81" t="s">
        <v>201</v>
      </c>
    </row>
    <row r="6" spans="3:8" ht="13" thickBot="1">
      <c r="C6" s="79">
        <v>45768</v>
      </c>
      <c r="D6" s="73" t="s">
        <v>202</v>
      </c>
      <c r="F6" s="82" t="s">
        <v>203</v>
      </c>
    </row>
    <row r="7" spans="3:8">
      <c r="C7" s="79">
        <v>45774</v>
      </c>
      <c r="D7" s="73" t="s">
        <v>204</v>
      </c>
    </row>
    <row r="8" spans="3:8">
      <c r="C8" s="79">
        <v>45765</v>
      </c>
      <c r="D8" s="73" t="s">
        <v>205</v>
      </c>
    </row>
    <row r="9" spans="3:8">
      <c r="C9" s="79">
        <v>45778</v>
      </c>
      <c r="D9" s="73" t="s">
        <v>206</v>
      </c>
    </row>
    <row r="10" spans="3:8">
      <c r="C10" s="79">
        <v>45824</v>
      </c>
      <c r="D10" s="73" t="s">
        <v>207</v>
      </c>
    </row>
    <row r="11" spans="3:8">
      <c r="C11" s="79">
        <v>45878</v>
      </c>
      <c r="D11" s="73" t="s">
        <v>208</v>
      </c>
    </row>
    <row r="12" spans="3:8">
      <c r="C12" s="79">
        <v>45924</v>
      </c>
      <c r="D12" s="73" t="s">
        <v>209</v>
      </c>
    </row>
    <row r="13" spans="3:8">
      <c r="C13" s="79">
        <v>46007</v>
      </c>
      <c r="D13" s="73" t="s">
        <v>210</v>
      </c>
      <c r="F13" s="85"/>
      <c r="H13" s="73" t="s">
        <v>211</v>
      </c>
    </row>
    <row r="14" spans="3:8">
      <c r="C14" s="79">
        <v>46016</v>
      </c>
      <c r="D14" s="73" t="s">
        <v>212</v>
      </c>
    </row>
    <row r="15" spans="3:8" ht="13" thickBot="1">
      <c r="C15" s="80">
        <v>46017</v>
      </c>
      <c r="D15" s="73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26953125" defaultRowHeight="14"/>
  <cols>
    <col min="1" max="1" width="1.26953125" style="24" customWidth="1"/>
    <col min="2" max="2" width="8.26953125" style="64"/>
    <col min="3" max="3" width="2.26953125" style="64" customWidth="1"/>
    <col min="4" max="4" width="21.08984375" style="24" customWidth="1"/>
    <col min="5" max="5" width="1.26953125" style="24" customWidth="1"/>
    <col min="6" max="6" width="19.7265625" style="24" customWidth="1"/>
    <col min="7" max="7" width="1.26953125" style="24" customWidth="1"/>
    <col min="8" max="8" width="18.26953125" style="24" customWidth="1"/>
    <col min="9" max="9" width="3.7265625" style="24" customWidth="1"/>
    <col min="10" max="10" width="21.7265625" style="24" customWidth="1"/>
    <col min="11" max="11" width="2" style="24" customWidth="1"/>
    <col min="12" max="12" width="53.26953125" style="24" customWidth="1"/>
    <col min="13" max="16384" width="8.269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214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45"/>
      <c r="C4" s="745"/>
      <c r="D4" s="745"/>
      <c r="E4" s="412"/>
      <c r="F4" s="220" t="s">
        <v>74</v>
      </c>
      <c r="G4" s="215"/>
      <c r="H4" s="220" t="s">
        <v>75</v>
      </c>
      <c r="I4" s="215"/>
      <c r="J4" s="221" t="s">
        <v>215</v>
      </c>
      <c r="K4" s="112"/>
      <c r="L4" s="112"/>
    </row>
    <row r="5" spans="1:12" ht="14.5" thickBot="1">
      <c r="A5" s="215"/>
      <c r="B5" s="746" t="s">
        <v>216</v>
      </c>
      <c r="C5" s="746"/>
      <c r="D5" s="746"/>
      <c r="E5" s="412"/>
      <c r="F5" s="222">
        <f>SUM(F9:F23)</f>
        <v>8166239.0135021619</v>
      </c>
      <c r="G5" s="217"/>
      <c r="H5" s="222">
        <f>SUM(H9:H23)</f>
        <v>7090051.4276250005</v>
      </c>
      <c r="I5" s="215"/>
      <c r="J5" s="223">
        <f>SUM(J9:J23)</f>
        <v>1076187.5858771624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93</v>
      </c>
      <c r="C7" s="226"/>
      <c r="D7" s="225" t="s">
        <v>217</v>
      </c>
      <c r="E7" s="226"/>
      <c r="F7" s="227" t="s">
        <v>218</v>
      </c>
      <c r="G7" s="228"/>
      <c r="H7" s="227" t="s">
        <v>219</v>
      </c>
      <c r="I7" s="228"/>
      <c r="J7" s="227" t="s">
        <v>220</v>
      </c>
      <c r="K7" s="172"/>
      <c r="L7" s="115" t="s">
        <v>221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2005152.3800000001</v>
      </c>
      <c r="G9" s="86"/>
      <c r="H9" s="231">
        <f>'Expenditure Breakdown'!X6</f>
        <v>1905787.2</v>
      </c>
      <c r="I9" s="89"/>
      <c r="J9" s="232">
        <f t="shared" ref="J9:J23" si="0">F9-H9</f>
        <v>99365.180000000168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560000</v>
      </c>
      <c r="G10" s="86"/>
      <c r="H10" s="231">
        <f>'Expenditure Breakdown'!X13</f>
        <v>332186.77</v>
      </c>
      <c r="I10" s="89"/>
      <c r="J10" s="232">
        <f t="shared" si="0"/>
        <v>227813.22999999998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429471</v>
      </c>
      <c r="G11" s="86"/>
      <c r="H11" s="231">
        <f>'Expenditure Breakdown'!X21</f>
        <v>252145.2</v>
      </c>
      <c r="I11" s="89"/>
      <c r="J11" s="232">
        <f t="shared" si="0"/>
        <v>177325.8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748943.9</v>
      </c>
      <c r="G12" s="86"/>
      <c r="H12" s="231">
        <f>'Expenditure Breakdown'!X28</f>
        <v>788073.5</v>
      </c>
      <c r="I12" s="89"/>
      <c r="J12" s="232">
        <f t="shared" si="0"/>
        <v>-39129.599999999977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40802.14</v>
      </c>
      <c r="I13" s="89"/>
      <c r="J13" s="232">
        <f t="shared" si="0"/>
        <v>8197.86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1016362.1</v>
      </c>
      <c r="G14" s="86"/>
      <c r="H14" s="231">
        <f>'Expenditure Breakdown'!X53</f>
        <v>449654.02</v>
      </c>
      <c r="I14" s="89"/>
      <c r="J14" s="232">
        <f t="shared" si="0"/>
        <v>566708.07999999996</v>
      </c>
      <c r="K14" s="173"/>
      <c r="L14" s="255"/>
    </row>
    <row r="15" spans="1:12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219758</v>
      </c>
      <c r="I16" s="89"/>
      <c r="J16" s="232">
        <f t="shared" si="0"/>
        <v>-219758</v>
      </c>
      <c r="K16" s="173"/>
      <c r="L16" s="255"/>
    </row>
    <row r="17" spans="1:12">
      <c r="A17" s="215"/>
      <c r="B17" s="229">
        <f>'Expenditure Breakdown'!L91</f>
        <v>9</v>
      </c>
      <c r="C17" s="218"/>
      <c r="D17" s="230" t="str">
        <f>'Expenditure Breakdown'!M91</f>
        <v>9. AC &amp; DC installation</v>
      </c>
      <c r="E17" s="233"/>
      <c r="F17" s="231">
        <f>'Expenditure Breakdown'!I91</f>
        <v>771925</v>
      </c>
      <c r="G17" s="86"/>
      <c r="H17" s="231">
        <f>'Expenditure Breakdown'!X91</f>
        <v>954000</v>
      </c>
      <c r="I17" s="89"/>
      <c r="J17" s="232">
        <f t="shared" si="0"/>
        <v>-182075</v>
      </c>
      <c r="K17" s="173"/>
      <c r="L17" s="255"/>
    </row>
    <row r="18" spans="1:12">
      <c r="A18" s="215"/>
      <c r="B18" s="229">
        <f>'Expenditure Breakdown'!L104</f>
        <v>10</v>
      </c>
      <c r="C18" s="218"/>
      <c r="D18" s="230" t="str">
        <f>'Expenditure Breakdown'!M104</f>
        <v>10. Site Logistics</v>
      </c>
      <c r="E18" s="86"/>
      <c r="F18" s="231">
        <f>'Expenditure Breakdown'!I104</f>
        <v>191986</v>
      </c>
      <c r="G18" s="86"/>
      <c r="H18" s="231">
        <f>'Expenditure Breakdown'!X104</f>
        <v>364435</v>
      </c>
      <c r="I18" s="89"/>
      <c r="J18" s="232">
        <f t="shared" si="0"/>
        <v>-172449</v>
      </c>
      <c r="K18" s="173"/>
      <c r="L18" s="255"/>
    </row>
    <row r="19" spans="1:12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158578.5</v>
      </c>
      <c r="G19" s="86"/>
      <c r="H19" s="231">
        <f>'Expenditure Breakdown'!X125</f>
        <v>126810.13</v>
      </c>
      <c r="I19" s="89"/>
      <c r="J19" s="232">
        <f t="shared" si="0"/>
        <v>31768.369999999995</v>
      </c>
      <c r="K19" s="173"/>
      <c r="L19" s="255"/>
    </row>
    <row r="20" spans="1:12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131652.39750216232</v>
      </c>
      <c r="G20" s="86"/>
      <c r="H20" s="231">
        <f>'Expenditure Breakdown'!X131</f>
        <v>0</v>
      </c>
      <c r="I20" s="89"/>
      <c r="J20" s="232">
        <f t="shared" si="0"/>
        <v>131652.39750216232</v>
      </c>
      <c r="K20" s="173"/>
      <c r="L20" s="255"/>
    </row>
    <row r="21" spans="1:12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286542.73600000003</v>
      </c>
      <c r="G21" s="86"/>
      <c r="H21" s="231">
        <f>'Expenditure Breakdown'!X134</f>
        <v>108660.607625</v>
      </c>
      <c r="I21" s="89"/>
      <c r="J21" s="232">
        <f t="shared" si="0"/>
        <v>177882.12837500003</v>
      </c>
      <c r="K21" s="173"/>
      <c r="L21" s="255"/>
    </row>
    <row r="22" spans="1:12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16625</v>
      </c>
      <c r="G22" s="86"/>
      <c r="H22" s="231">
        <f>'Expenditure Breakdown'!X141</f>
        <v>14988.86</v>
      </c>
      <c r="I22" s="89"/>
      <c r="J22" s="232">
        <f t="shared" si="0"/>
        <v>1636.1399999999994</v>
      </c>
      <c r="K22" s="173"/>
      <c r="L22" s="255"/>
    </row>
    <row r="23" spans="1:12">
      <c r="A23" s="215"/>
      <c r="B23" s="229">
        <f>'Expenditure Breakdown'!L155</f>
        <v>15</v>
      </c>
      <c r="C23" s="218"/>
      <c r="D23" s="230" t="str">
        <f>'Expenditure Breakdown'!M155</f>
        <v>15. Service Add On</v>
      </c>
      <c r="E23" s="86"/>
      <c r="F23" s="231">
        <f>'Expenditure Breakdown'!I155</f>
        <v>1800000</v>
      </c>
      <c r="G23" s="86"/>
      <c r="H23" s="231">
        <f>'Expenditure Breakdown'!X155</f>
        <v>1532750</v>
      </c>
      <c r="I23" s="89"/>
      <c r="J23" s="232">
        <f t="shared" si="0"/>
        <v>267250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222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abSelected="1" topLeftCell="L1" zoomScale="70" zoomScaleNormal="70" zoomScaleSheetLayoutView="50" workbookViewId="0">
      <pane ySplit="4" topLeftCell="A141" activePane="bottomLeft" state="frozen"/>
      <selection activeCell="X33" sqref="X33"/>
      <selection pane="bottomLeft" activeCell="Q154" sqref="Q154"/>
    </sheetView>
  </sheetViews>
  <sheetFormatPr defaultColWidth="9.26953125" defaultRowHeight="14"/>
  <cols>
    <col min="1" max="1" width="2.26953125" style="112" hidden="1" customWidth="1"/>
    <col min="2" max="2" width="6.26953125" style="24" hidden="1" customWidth="1"/>
    <col min="3" max="3" width="20.26953125" style="24" hidden="1" customWidth="1"/>
    <col min="4" max="4" width="51.7265625" style="24" hidden="1" customWidth="1"/>
    <col min="5" max="5" width="8.7265625" style="70" hidden="1" customWidth="1"/>
    <col min="6" max="6" width="16.7265625" style="473" hidden="1" customWidth="1"/>
    <col min="7" max="7" width="17.26953125" style="24" hidden="1" customWidth="1"/>
    <col min="8" max="8" width="16.7265625" style="112" hidden="1" customWidth="1"/>
    <col min="9" max="9" width="22.26953125" style="350" hidden="1" customWidth="1"/>
    <col min="10" max="10" width="22.26953125" style="350" bestFit="1" customWidth="1"/>
    <col min="11" max="12" width="5.08984375" style="112" customWidth="1"/>
    <col min="13" max="13" width="25.7265625" style="112" customWidth="1"/>
    <col min="14" max="14" width="48.26953125" style="112" customWidth="1"/>
    <col min="15" max="15" width="15.7265625" style="112" customWidth="1"/>
    <col min="16" max="16" width="17.7265625" style="112" customWidth="1"/>
    <col min="17" max="17" width="17.26953125" style="112" customWidth="1"/>
    <col min="18" max="18" width="48.26953125" style="112" customWidth="1"/>
    <col min="19" max="19" width="39.7265625" style="112" customWidth="1"/>
    <col min="20" max="22" width="17.26953125" style="112" customWidth="1"/>
    <col min="23" max="23" width="16.7265625" style="112" bestFit="1" customWidth="1"/>
    <col min="24" max="24" width="21.08984375" style="112" customWidth="1"/>
    <col min="25" max="25" width="29.26953125" style="112" bestFit="1" customWidth="1"/>
    <col min="26" max="26" width="24.7265625" style="112" bestFit="1" customWidth="1"/>
    <col min="27" max="76" width="17.7265625" style="112" customWidth="1"/>
    <col min="77" max="16384" width="9.26953125" style="24"/>
  </cols>
  <sheetData>
    <row r="1" spans="1:76" s="112" customFormat="1" ht="4.5" customHeight="1" thickBot="1">
      <c r="E1" s="165"/>
      <c r="F1" s="463"/>
      <c r="H1" s="363"/>
      <c r="I1" s="256"/>
      <c r="J1" s="256"/>
      <c r="O1" s="165"/>
      <c r="P1" s="463"/>
      <c r="Q1" s="363"/>
      <c r="R1" s="363"/>
      <c r="S1" s="363"/>
      <c r="T1" s="363"/>
      <c r="U1" s="363"/>
      <c r="V1" s="363"/>
      <c r="W1" s="363"/>
      <c r="Y1" s="484"/>
    </row>
    <row r="2" spans="1:76" ht="21.75" customHeight="1" thickBot="1">
      <c r="B2" s="761" t="s">
        <v>223</v>
      </c>
      <c r="C2" s="762"/>
      <c r="D2" s="762"/>
      <c r="E2" s="762"/>
      <c r="F2" s="762"/>
      <c r="G2" s="762"/>
      <c r="H2" s="681"/>
      <c r="I2" s="258">
        <f>SUM(I6:I167)</f>
        <v>8166239.0135021619</v>
      </c>
      <c r="J2" s="258">
        <f>SUM(J6:J167)</f>
        <v>8692848.6035108119</v>
      </c>
      <c r="L2" s="763" t="s">
        <v>224</v>
      </c>
      <c r="M2" s="764"/>
      <c r="N2" s="764"/>
      <c r="O2" s="764"/>
      <c r="P2" s="764"/>
      <c r="Q2" s="764"/>
      <c r="R2" s="765" t="s">
        <v>225</v>
      </c>
      <c r="S2" s="766"/>
      <c r="T2" s="766"/>
      <c r="U2" s="766"/>
      <c r="V2" s="766"/>
      <c r="W2" s="767"/>
      <c r="X2" s="480">
        <f>SUM(X6:X167)</f>
        <v>7090051.4276250005</v>
      </c>
    </row>
    <row r="3" spans="1:76" s="112" customFormat="1" ht="13.5" customHeight="1" thickBot="1">
      <c r="E3" s="165"/>
      <c r="F3" s="463"/>
      <c r="I3" s="256"/>
      <c r="J3" s="369"/>
      <c r="O3" s="165"/>
      <c r="P3" s="463"/>
      <c r="Q3" s="257"/>
      <c r="X3" s="481"/>
    </row>
    <row r="4" spans="1:76" s="70" customFormat="1" ht="42.5" thickBot="1">
      <c r="A4" s="165"/>
      <c r="B4" s="259" t="s">
        <v>226</v>
      </c>
      <c r="C4" s="260" t="s">
        <v>227</v>
      </c>
      <c r="D4" s="260" t="s">
        <v>228</v>
      </c>
      <c r="E4" s="260" t="s">
        <v>229</v>
      </c>
      <c r="F4" s="464" t="s">
        <v>230</v>
      </c>
      <c r="G4" s="261" t="s">
        <v>231</v>
      </c>
      <c r="H4" s="371" t="s">
        <v>232</v>
      </c>
      <c r="I4" s="262" t="s">
        <v>233</v>
      </c>
      <c r="J4" s="262" t="str">
        <f>IF(J2-'Revenue Tracking'!D4&gt;=0, "Total Revenue", "ERROR on REV" )</f>
        <v>ERROR on REV</v>
      </c>
      <c r="K4" s="165"/>
      <c r="L4" s="259" t="s">
        <v>226</v>
      </c>
      <c r="M4" s="260" t="s">
        <v>234</v>
      </c>
      <c r="N4" s="260" t="s">
        <v>228</v>
      </c>
      <c r="O4" s="260" t="s">
        <v>229</v>
      </c>
      <c r="P4" s="464" t="s">
        <v>230</v>
      </c>
      <c r="Q4" s="373" t="s">
        <v>235</v>
      </c>
      <c r="R4" s="623" t="s">
        <v>236</v>
      </c>
      <c r="S4" s="624" t="s">
        <v>98</v>
      </c>
      <c r="T4" s="371" t="s">
        <v>99</v>
      </c>
      <c r="U4" s="372" t="s">
        <v>237</v>
      </c>
      <c r="V4" s="373" t="s">
        <v>238</v>
      </c>
      <c r="W4" s="371" t="s">
        <v>232</v>
      </c>
      <c r="X4" s="482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5"/>
      <c r="G5" s="266"/>
      <c r="H5" s="500"/>
      <c r="I5" s="267"/>
      <c r="J5" s="267"/>
      <c r="K5" s="268"/>
      <c r="L5" s="263"/>
      <c r="M5" s="264"/>
      <c r="N5" s="264"/>
      <c r="O5" s="265"/>
      <c r="P5" s="465"/>
      <c r="Q5" s="478"/>
      <c r="R5" s="499"/>
      <c r="S5" s="625"/>
      <c r="T5" s="500"/>
      <c r="U5" s="500"/>
      <c r="V5" s="500"/>
      <c r="W5" s="500"/>
      <c r="X5" s="483"/>
      <c r="Y5" s="48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239</v>
      </c>
      <c r="D6" s="282" t="s">
        <v>240</v>
      </c>
      <c r="E6" s="283"/>
      <c r="F6" s="436"/>
      <c r="G6" s="391">
        <f>D168</f>
        <v>2005152.3800000001</v>
      </c>
      <c r="H6" s="536">
        <v>45867</v>
      </c>
      <c r="I6" s="753">
        <f>SUM(G6:G11)</f>
        <v>2005152.3800000001</v>
      </c>
      <c r="J6" s="753">
        <f>F168</f>
        <v>2179513.4565217393</v>
      </c>
      <c r="K6" s="388"/>
      <c r="L6" s="281">
        <v>1</v>
      </c>
      <c r="M6" s="416" t="s">
        <v>241</v>
      </c>
      <c r="N6" s="282" t="s">
        <v>242</v>
      </c>
      <c r="O6" s="551">
        <v>1539</v>
      </c>
      <c r="P6" s="436">
        <f>620*1.99</f>
        <v>1233.8</v>
      </c>
      <c r="Q6" s="391">
        <f>565655.72/1.15</f>
        <v>491874.5391304348</v>
      </c>
      <c r="R6" s="589" t="s">
        <v>243</v>
      </c>
      <c r="S6" s="626" t="s">
        <v>244</v>
      </c>
      <c r="T6" s="670">
        <v>45838</v>
      </c>
      <c r="U6" s="672">
        <v>2179513.4565217393</v>
      </c>
      <c r="V6" s="771">
        <f>J6-SUM(U6:U11)</f>
        <v>0</v>
      </c>
      <c r="W6" s="536">
        <v>45867</v>
      </c>
      <c r="X6" s="768">
        <f>SUM(Q6:Q11)</f>
        <v>1905787.2</v>
      </c>
      <c r="Y6" s="484"/>
    </row>
    <row r="7" spans="1:76" ht="15" customHeight="1">
      <c r="B7" s="311">
        <v>1</v>
      </c>
      <c r="C7" s="417"/>
      <c r="D7" s="389" t="s">
        <v>245</v>
      </c>
      <c r="E7" s="390"/>
      <c r="F7" s="458"/>
      <c r="G7" s="315"/>
      <c r="H7" s="537">
        <v>45890</v>
      </c>
      <c r="I7" s="754"/>
      <c r="J7" s="754"/>
      <c r="K7" s="288"/>
      <c r="L7" s="311">
        <v>1</v>
      </c>
      <c r="M7" s="313" t="s">
        <v>241</v>
      </c>
      <c r="N7" s="389"/>
      <c r="O7" s="552"/>
      <c r="P7" s="443"/>
      <c r="Q7" s="315">
        <f>1898818.2-Q6</f>
        <v>1406943.6608695651</v>
      </c>
      <c r="R7" s="590"/>
      <c r="S7" s="627" t="s">
        <v>244</v>
      </c>
      <c r="T7" s="662">
        <v>45838</v>
      </c>
      <c r="U7" s="667">
        <v>0</v>
      </c>
      <c r="V7" s="772"/>
      <c r="W7" s="537">
        <v>45890</v>
      </c>
      <c r="X7" s="769"/>
      <c r="Y7" s="484"/>
    </row>
    <row r="8" spans="1:76" ht="15" customHeight="1">
      <c r="B8" s="383">
        <v>1</v>
      </c>
      <c r="C8" s="486"/>
      <c r="D8" s="487"/>
      <c r="E8" s="488"/>
      <c r="F8" s="443"/>
      <c r="G8" s="386"/>
      <c r="H8" s="574"/>
      <c r="I8" s="754"/>
      <c r="J8" s="754"/>
      <c r="K8" s="288"/>
      <c r="L8" s="311">
        <v>1</v>
      </c>
      <c r="M8" s="313" t="s">
        <v>241</v>
      </c>
      <c r="N8" s="487"/>
      <c r="O8" s="553"/>
      <c r="P8" s="443"/>
      <c r="Q8" s="315"/>
      <c r="R8" s="590"/>
      <c r="S8" s="627"/>
      <c r="T8" s="520" t="str">
        <f t="shared" ref="T8:T76" si="0">IF(W8&gt;1,EOMONTH(W8,0),"")</f>
        <v/>
      </c>
      <c r="U8" s="667">
        <v>0</v>
      </c>
      <c r="V8" s="772"/>
      <c r="W8" s="574"/>
      <c r="X8" s="769"/>
      <c r="Y8" s="484"/>
    </row>
    <row r="9" spans="1:76" ht="15" customHeight="1">
      <c r="B9" s="383">
        <v>1</v>
      </c>
      <c r="C9" s="486"/>
      <c r="D9" s="487"/>
      <c r="E9" s="488"/>
      <c r="F9" s="443"/>
      <c r="G9" s="386"/>
      <c r="H9" s="575"/>
      <c r="I9" s="754"/>
      <c r="J9" s="754"/>
      <c r="K9" s="288"/>
      <c r="L9" s="311">
        <v>1</v>
      </c>
      <c r="M9" s="313" t="s">
        <v>241</v>
      </c>
      <c r="N9" s="487" t="s">
        <v>242</v>
      </c>
      <c r="O9" s="553"/>
      <c r="P9" s="443"/>
      <c r="Q9" s="386">
        <v>6169</v>
      </c>
      <c r="R9" s="591"/>
      <c r="S9" s="628" t="s">
        <v>246</v>
      </c>
      <c r="T9" s="647">
        <v>45991</v>
      </c>
      <c r="U9" s="673">
        <v>0</v>
      </c>
      <c r="V9" s="772"/>
      <c r="W9" s="538">
        <v>46045</v>
      </c>
      <c r="X9" s="769"/>
      <c r="Y9" s="484"/>
    </row>
    <row r="10" spans="1:76" ht="15" customHeight="1">
      <c r="B10" s="383">
        <v>1</v>
      </c>
      <c r="C10" s="486"/>
      <c r="D10" s="487"/>
      <c r="E10" s="488"/>
      <c r="F10" s="443"/>
      <c r="G10" s="386"/>
      <c r="H10" s="575"/>
      <c r="I10" s="754"/>
      <c r="J10" s="754"/>
      <c r="K10" s="288"/>
      <c r="L10" s="311">
        <v>1</v>
      </c>
      <c r="M10" s="313" t="s">
        <v>241</v>
      </c>
      <c r="N10" s="487" t="s">
        <v>247</v>
      </c>
      <c r="O10" s="553"/>
      <c r="P10" s="443"/>
      <c r="Q10" s="386">
        <v>800</v>
      </c>
      <c r="R10" s="591"/>
      <c r="S10" s="628" t="s">
        <v>246</v>
      </c>
      <c r="T10" s="647">
        <v>45991</v>
      </c>
      <c r="U10" s="673">
        <v>0</v>
      </c>
      <c r="V10" s="772"/>
      <c r="W10" s="538">
        <v>46045</v>
      </c>
      <c r="X10" s="769"/>
      <c r="Y10" s="484"/>
    </row>
    <row r="11" spans="1:76" ht="15" customHeight="1" thickBot="1">
      <c r="B11" s="316">
        <v>1</v>
      </c>
      <c r="C11" s="418"/>
      <c r="D11" s="392"/>
      <c r="E11" s="393"/>
      <c r="F11" s="459"/>
      <c r="G11" s="330"/>
      <c r="H11" s="576"/>
      <c r="I11" s="755"/>
      <c r="J11" s="755"/>
      <c r="K11" s="289"/>
      <c r="L11" s="316">
        <v>1</v>
      </c>
      <c r="M11" s="418" t="s">
        <v>241</v>
      </c>
      <c r="N11" s="392"/>
      <c r="O11" s="554"/>
      <c r="P11" s="459"/>
      <c r="Q11" s="330"/>
      <c r="R11" s="592"/>
      <c r="S11" s="629"/>
      <c r="T11" s="522" t="str">
        <f t="shared" si="0"/>
        <v/>
      </c>
      <c r="U11" s="674">
        <v>0</v>
      </c>
      <c r="V11" s="773"/>
      <c r="W11" s="576"/>
      <c r="X11" s="770"/>
      <c r="Y11" s="607" t="s">
        <v>248</v>
      </c>
      <c r="Z11" s="608" t="s">
        <v>249</v>
      </c>
    </row>
    <row r="12" spans="1:76" ht="14.5" thickBot="1">
      <c r="A12" s="24"/>
      <c r="B12" s="276"/>
      <c r="C12" s="277"/>
      <c r="D12" s="278"/>
      <c r="E12" s="291"/>
      <c r="F12" s="455"/>
      <c r="G12" s="279"/>
      <c r="H12" s="577"/>
      <c r="I12" s="280"/>
      <c r="J12" s="280"/>
      <c r="K12" s="24"/>
      <c r="L12" s="276"/>
      <c r="M12" s="403"/>
      <c r="N12" s="278"/>
      <c r="O12" s="555"/>
      <c r="P12" s="455"/>
      <c r="Q12" s="279"/>
      <c r="R12" s="593"/>
      <c r="S12" s="630"/>
      <c r="T12" s="523" t="str">
        <f t="shared" si="0"/>
        <v/>
      </c>
      <c r="U12" s="507"/>
      <c r="V12" s="498"/>
      <c r="W12" s="577"/>
      <c r="X12" s="350"/>
      <c r="Y12" s="609" t="s">
        <v>250</v>
      </c>
      <c r="Z12" s="610">
        <f>G53</f>
        <v>1016362.1</v>
      </c>
    </row>
    <row r="13" spans="1:76" ht="14.25" customHeight="1">
      <c r="B13" s="293">
        <v>2</v>
      </c>
      <c r="C13" s="319" t="s">
        <v>251</v>
      </c>
      <c r="D13" s="319" t="s">
        <v>252</v>
      </c>
      <c r="E13" s="364"/>
      <c r="F13" s="456"/>
      <c r="G13" s="296">
        <f>D169</f>
        <v>560000</v>
      </c>
      <c r="H13" s="539">
        <v>45890</v>
      </c>
      <c r="I13" s="747">
        <f>SUM(G13:G19)</f>
        <v>560000</v>
      </c>
      <c r="J13" s="747">
        <f>F169</f>
        <v>608695.65217391308</v>
      </c>
      <c r="K13" s="297"/>
      <c r="L13" s="293">
        <v>2</v>
      </c>
      <c r="M13" s="419" t="s">
        <v>253</v>
      </c>
      <c r="N13" s="714" t="s">
        <v>254</v>
      </c>
      <c r="O13" s="556">
        <v>8</v>
      </c>
      <c r="P13" s="456">
        <v>68870</v>
      </c>
      <c r="Q13" s="296">
        <v>332186.77</v>
      </c>
      <c r="R13" s="594" t="s">
        <v>243</v>
      </c>
      <c r="S13" s="631" t="str">
        <f>S6</f>
        <v>Menlo Inv INV0003032</v>
      </c>
      <c r="T13" s="669">
        <v>45838</v>
      </c>
      <c r="U13" s="675">
        <v>608695.65217391308</v>
      </c>
      <c r="V13" s="774">
        <f>J13-SUM(U13:U19)</f>
        <v>0</v>
      </c>
      <c r="W13" s="539">
        <v>45890</v>
      </c>
      <c r="X13" s="750">
        <f>SUM(Q13:Q19)</f>
        <v>332186.77</v>
      </c>
      <c r="Y13" s="609" t="s">
        <v>255</v>
      </c>
      <c r="Z13" s="611">
        <f>G29</f>
        <v>438633.9</v>
      </c>
    </row>
    <row r="14" spans="1:76" ht="14.25" customHeight="1">
      <c r="B14" s="298">
        <v>2</v>
      </c>
      <c r="C14" s="425"/>
      <c r="D14" s="407"/>
      <c r="E14" s="489"/>
      <c r="F14" s="452"/>
      <c r="G14" s="479"/>
      <c r="H14" s="540">
        <v>45891</v>
      </c>
      <c r="I14" s="748"/>
      <c r="J14" s="748"/>
      <c r="K14" s="301"/>
      <c r="L14" s="298">
        <v>2</v>
      </c>
      <c r="M14" s="425" t="s">
        <v>253</v>
      </c>
      <c r="N14" s="715" t="s">
        <v>256</v>
      </c>
      <c r="O14" s="557"/>
      <c r="P14" s="452"/>
      <c r="Q14" s="479">
        <v>68870</v>
      </c>
      <c r="R14" s="595"/>
      <c r="S14" s="632" t="s">
        <v>257</v>
      </c>
      <c r="T14" s="660">
        <v>46081</v>
      </c>
      <c r="U14" s="665">
        <v>0</v>
      </c>
      <c r="V14" s="775"/>
      <c r="W14" s="540">
        <v>46081</v>
      </c>
      <c r="X14" s="751"/>
      <c r="Y14" s="609" t="s">
        <v>258</v>
      </c>
      <c r="Z14" s="610">
        <f>G91</f>
        <v>238595</v>
      </c>
    </row>
    <row r="15" spans="1:76" ht="14.25" customHeight="1">
      <c r="B15" s="298">
        <v>2</v>
      </c>
      <c r="C15" s="425"/>
      <c r="D15" s="407"/>
      <c r="E15" s="489"/>
      <c r="F15" s="452"/>
      <c r="G15" s="479"/>
      <c r="H15" s="579"/>
      <c r="I15" s="748"/>
      <c r="J15" s="748"/>
      <c r="K15" s="301"/>
      <c r="L15" s="298">
        <v>2</v>
      </c>
      <c r="M15" s="425" t="s">
        <v>253</v>
      </c>
      <c r="N15" s="716" t="s">
        <v>259</v>
      </c>
      <c r="O15" s="557"/>
      <c r="P15" s="452"/>
      <c r="Q15" s="479">
        <f>-P13</f>
        <v>-68870</v>
      </c>
      <c r="R15" s="595"/>
      <c r="S15" s="632"/>
      <c r="T15" s="525">
        <v>46142</v>
      </c>
      <c r="U15" s="665">
        <v>0</v>
      </c>
      <c r="V15" s="775"/>
      <c r="W15" s="579">
        <v>46142</v>
      </c>
      <c r="X15" s="751"/>
      <c r="Y15" s="609" t="s">
        <v>260</v>
      </c>
      <c r="Z15" s="610">
        <f>G92</f>
        <v>533330</v>
      </c>
      <c r="AA15" s="649"/>
    </row>
    <row r="16" spans="1:76" ht="14.25" customHeight="1">
      <c r="B16" s="298">
        <v>2</v>
      </c>
      <c r="C16" s="425"/>
      <c r="D16" s="407"/>
      <c r="E16" s="489"/>
      <c r="F16" s="452"/>
      <c r="G16" s="479"/>
      <c r="H16" s="579"/>
      <c r="I16" s="748"/>
      <c r="J16" s="748"/>
      <c r="K16" s="301"/>
      <c r="L16" s="298">
        <v>2</v>
      </c>
      <c r="M16" s="425" t="s">
        <v>253</v>
      </c>
      <c r="N16" s="407"/>
      <c r="O16" s="557"/>
      <c r="P16" s="452"/>
      <c r="Q16" s="479"/>
      <c r="R16" s="595"/>
      <c r="S16" s="632"/>
      <c r="T16" s="525" t="str">
        <f t="shared" si="0"/>
        <v/>
      </c>
      <c r="U16" s="665">
        <v>0</v>
      </c>
      <c r="V16" s="775"/>
      <c r="W16" s="579"/>
      <c r="X16" s="751"/>
      <c r="Y16" s="609" t="s">
        <v>261</v>
      </c>
      <c r="Z16" s="610">
        <f>G104</f>
        <v>8500</v>
      </c>
    </row>
    <row r="17" spans="1:27" ht="14.25" customHeight="1">
      <c r="B17" s="298">
        <v>2</v>
      </c>
      <c r="C17" s="425"/>
      <c r="D17" s="407"/>
      <c r="E17" s="489"/>
      <c r="F17" s="452"/>
      <c r="G17" s="479"/>
      <c r="H17" s="579"/>
      <c r="I17" s="748"/>
      <c r="J17" s="748"/>
      <c r="K17" s="301"/>
      <c r="L17" s="298">
        <v>2</v>
      </c>
      <c r="M17" s="425" t="s">
        <v>253</v>
      </c>
      <c r="N17" s="407"/>
      <c r="O17" s="557"/>
      <c r="P17" s="452"/>
      <c r="Q17" s="479"/>
      <c r="R17" s="595"/>
      <c r="S17" s="632"/>
      <c r="T17" s="525" t="str">
        <f t="shared" si="0"/>
        <v/>
      </c>
      <c r="U17" s="665">
        <v>0</v>
      </c>
      <c r="V17" s="775"/>
      <c r="W17" s="579"/>
      <c r="X17" s="751"/>
      <c r="Y17" s="609" t="s">
        <v>262</v>
      </c>
      <c r="Z17" s="610">
        <f>G110</f>
        <v>51911</v>
      </c>
    </row>
    <row r="18" spans="1:27" ht="14.25" customHeight="1">
      <c r="B18" s="298">
        <v>2</v>
      </c>
      <c r="C18" s="425"/>
      <c r="D18" s="407"/>
      <c r="E18" s="489"/>
      <c r="F18" s="452"/>
      <c r="G18" s="479"/>
      <c r="H18" s="579"/>
      <c r="I18" s="748"/>
      <c r="J18" s="748"/>
      <c r="K18" s="301"/>
      <c r="L18" s="298">
        <v>2</v>
      </c>
      <c r="M18" s="425" t="s">
        <v>253</v>
      </c>
      <c r="N18" s="407"/>
      <c r="O18" s="557"/>
      <c r="P18" s="452"/>
      <c r="Q18" s="479"/>
      <c r="R18" s="595"/>
      <c r="S18" s="632"/>
      <c r="T18" s="525" t="str">
        <f t="shared" si="0"/>
        <v/>
      </c>
      <c r="U18" s="665">
        <v>0</v>
      </c>
      <c r="V18" s="775"/>
      <c r="W18" s="579"/>
      <c r="X18" s="751"/>
      <c r="Y18" s="609" t="s">
        <v>263</v>
      </c>
      <c r="Z18" s="610">
        <f>G112</f>
        <v>17575</v>
      </c>
    </row>
    <row r="19" spans="1:27" ht="15" customHeight="1" thickBot="1">
      <c r="B19" s="395">
        <v>2</v>
      </c>
      <c r="C19" s="396"/>
      <c r="D19" s="396"/>
      <c r="E19" s="397"/>
      <c r="F19" s="466"/>
      <c r="G19" s="398"/>
      <c r="H19" s="580"/>
      <c r="I19" s="749"/>
      <c r="J19" s="749"/>
      <c r="K19" s="306"/>
      <c r="L19" s="395">
        <v>2</v>
      </c>
      <c r="M19" s="420" t="s">
        <v>253</v>
      </c>
      <c r="N19" s="396"/>
      <c r="O19" s="558"/>
      <c r="P19" s="466"/>
      <c r="Q19" s="398"/>
      <c r="R19" s="596"/>
      <c r="S19" s="633"/>
      <c r="T19" s="526" t="str">
        <f t="shared" si="0"/>
        <v/>
      </c>
      <c r="U19" s="676">
        <v>0</v>
      </c>
      <c r="V19" s="776"/>
      <c r="W19" s="580"/>
      <c r="X19" s="752"/>
      <c r="Y19" s="609" t="s">
        <v>264</v>
      </c>
      <c r="Z19" s="610">
        <v>0</v>
      </c>
    </row>
    <row r="20" spans="1:27" ht="14.5" thickBot="1">
      <c r="A20" s="24"/>
      <c r="B20" s="290"/>
      <c r="C20" s="277"/>
      <c r="D20" s="277"/>
      <c r="E20" s="291"/>
      <c r="F20" s="455"/>
      <c r="G20" s="292"/>
      <c r="H20" s="577"/>
      <c r="I20" s="280"/>
      <c r="J20" s="280"/>
      <c r="K20" s="24"/>
      <c r="L20" s="290"/>
      <c r="M20" s="277"/>
      <c r="N20" s="277"/>
      <c r="O20" s="555"/>
      <c r="P20" s="455"/>
      <c r="Q20" s="292"/>
      <c r="R20" s="593"/>
      <c r="S20" s="630"/>
      <c r="T20" s="523" t="str">
        <f t="shared" si="0"/>
        <v/>
      </c>
      <c r="U20" s="511"/>
      <c r="V20" s="494"/>
      <c r="W20" s="577"/>
      <c r="X20" s="350"/>
      <c r="Y20" s="609"/>
      <c r="Z20" s="610"/>
    </row>
    <row r="21" spans="1:27" ht="14.25" customHeight="1">
      <c r="B21" s="281">
        <v>3</v>
      </c>
      <c r="C21" s="309" t="s">
        <v>265</v>
      </c>
      <c r="D21" s="327" t="s">
        <v>266</v>
      </c>
      <c r="E21" s="283"/>
      <c r="F21" s="436"/>
      <c r="G21" s="284">
        <f>D170</f>
        <v>429471</v>
      </c>
      <c r="H21" s="541">
        <v>45867</v>
      </c>
      <c r="I21" s="753">
        <f>SUM(G21:G26)</f>
        <v>429471</v>
      </c>
      <c r="J21" s="753">
        <f>F170</f>
        <v>466816.30434782611</v>
      </c>
      <c r="K21" s="285"/>
      <c r="L21" s="281">
        <v>3</v>
      </c>
      <c r="M21" s="421" t="s">
        <v>267</v>
      </c>
      <c r="N21" s="327" t="s">
        <v>268</v>
      </c>
      <c r="O21" s="551"/>
      <c r="P21" s="436"/>
      <c r="Q21" s="284">
        <v>245639.2</v>
      </c>
      <c r="R21" s="597" t="s">
        <v>269</v>
      </c>
      <c r="S21" s="634" t="s">
        <v>270</v>
      </c>
      <c r="T21" s="664">
        <v>45838</v>
      </c>
      <c r="U21" s="666">
        <v>466816.30434782611</v>
      </c>
      <c r="V21" s="771">
        <f>J21-SUM(U21:U26)</f>
        <v>0</v>
      </c>
      <c r="W21" s="541">
        <v>45867</v>
      </c>
      <c r="X21" s="768">
        <f>SUM(Q21:Q26)</f>
        <v>252145.2</v>
      </c>
      <c r="Y21" s="609" t="s">
        <v>271</v>
      </c>
      <c r="Z21" s="612">
        <v>0</v>
      </c>
    </row>
    <row r="22" spans="1:27" ht="14.25" customHeight="1">
      <c r="B22" s="311">
        <v>3</v>
      </c>
      <c r="C22" s="312"/>
      <c r="D22" s="328"/>
      <c r="E22" s="314"/>
      <c r="F22" s="458"/>
      <c r="G22" s="315"/>
      <c r="H22" s="574"/>
      <c r="I22" s="754"/>
      <c r="J22" s="754"/>
      <c r="K22" s="288"/>
      <c r="L22" s="311">
        <v>3</v>
      </c>
      <c r="M22" s="422" t="s">
        <v>267</v>
      </c>
      <c r="N22" s="328" t="s">
        <v>272</v>
      </c>
      <c r="O22" s="552"/>
      <c r="P22" s="458"/>
      <c r="Q22" s="315">
        <v>6506</v>
      </c>
      <c r="R22" s="590" t="s">
        <v>273</v>
      </c>
      <c r="S22" s="627" t="s">
        <v>274</v>
      </c>
      <c r="T22" s="662">
        <v>45991</v>
      </c>
      <c r="U22" s="667">
        <v>0</v>
      </c>
      <c r="V22" s="772"/>
      <c r="W22" s="653">
        <v>46021</v>
      </c>
      <c r="X22" s="769"/>
      <c r="Y22" s="609" t="s">
        <v>120</v>
      </c>
      <c r="Z22" s="610">
        <f>SUM(Z12:Z21)</f>
        <v>2304907</v>
      </c>
    </row>
    <row r="23" spans="1:27" ht="14.25" customHeight="1">
      <c r="B23" s="311">
        <v>3</v>
      </c>
      <c r="C23" s="312"/>
      <c r="D23" s="328"/>
      <c r="E23" s="314"/>
      <c r="F23" s="458"/>
      <c r="G23" s="315"/>
      <c r="H23" s="574"/>
      <c r="I23" s="754"/>
      <c r="J23" s="754"/>
      <c r="K23" s="288"/>
      <c r="L23" s="311">
        <v>3</v>
      </c>
      <c r="M23" s="422" t="s">
        <v>267</v>
      </c>
      <c r="N23" s="328"/>
      <c r="O23" s="552"/>
      <c r="P23" s="458"/>
      <c r="Q23" s="315"/>
      <c r="R23" s="590"/>
      <c r="S23" s="627"/>
      <c r="T23" s="520" t="str">
        <f t="shared" si="0"/>
        <v/>
      </c>
      <c r="U23" s="667">
        <v>0</v>
      </c>
      <c r="V23" s="772"/>
      <c r="W23" s="574"/>
      <c r="X23" s="769"/>
      <c r="Y23" s="609" t="s">
        <v>275</v>
      </c>
      <c r="Z23" s="613">
        <f>+Z22*0.85</f>
        <v>1959170.95</v>
      </c>
    </row>
    <row r="24" spans="1:27" ht="14.25" customHeight="1">
      <c r="B24" s="311">
        <v>3</v>
      </c>
      <c r="C24" s="384"/>
      <c r="D24" s="385"/>
      <c r="E24" s="405"/>
      <c r="F24" s="443"/>
      <c r="G24" s="386"/>
      <c r="H24" s="575"/>
      <c r="I24" s="754"/>
      <c r="J24" s="754"/>
      <c r="K24" s="288"/>
      <c r="L24" s="311">
        <v>3</v>
      </c>
      <c r="M24" s="422" t="s">
        <v>267</v>
      </c>
      <c r="N24" s="385"/>
      <c r="O24" s="553"/>
      <c r="P24" s="443"/>
      <c r="Q24" s="386"/>
      <c r="R24" s="591"/>
      <c r="S24" s="628"/>
      <c r="T24" s="521" t="str">
        <f t="shared" si="0"/>
        <v/>
      </c>
      <c r="U24" s="673">
        <v>0</v>
      </c>
      <c r="V24" s="772"/>
      <c r="W24" s="575"/>
      <c r="X24" s="769"/>
      <c r="Y24" s="614" t="s">
        <v>276</v>
      </c>
      <c r="Z24" s="612">
        <f>Z23/'Project Plan'!$E$3/1000</f>
        <v>2.0536383123689723</v>
      </c>
    </row>
    <row r="25" spans="1:27" ht="14.25" customHeight="1">
      <c r="B25" s="311">
        <v>3</v>
      </c>
      <c r="C25" s="384"/>
      <c r="D25" s="385"/>
      <c r="E25" s="405"/>
      <c r="F25" s="443"/>
      <c r="G25" s="386"/>
      <c r="H25" s="575"/>
      <c r="I25" s="754"/>
      <c r="J25" s="754"/>
      <c r="K25" s="288"/>
      <c r="L25" s="311">
        <v>3</v>
      </c>
      <c r="M25" s="422" t="s">
        <v>267</v>
      </c>
      <c r="N25" s="385"/>
      <c r="O25" s="553"/>
      <c r="P25" s="443"/>
      <c r="Q25" s="386"/>
      <c r="R25" s="591"/>
      <c r="S25" s="628"/>
      <c r="T25" s="521" t="str">
        <f t="shared" si="0"/>
        <v/>
      </c>
      <c r="U25" s="673">
        <v>0</v>
      </c>
      <c r="V25" s="772"/>
      <c r="W25" s="575"/>
      <c r="X25" s="769"/>
    </row>
    <row r="26" spans="1:27" ht="15" customHeight="1" thickBot="1">
      <c r="B26" s="316">
        <v>3</v>
      </c>
      <c r="C26" s="337"/>
      <c r="D26" s="329"/>
      <c r="E26" s="318"/>
      <c r="F26" s="459"/>
      <c r="G26" s="330"/>
      <c r="H26" s="576"/>
      <c r="I26" s="755"/>
      <c r="J26" s="755"/>
      <c r="K26" s="289"/>
      <c r="L26" s="316">
        <v>3</v>
      </c>
      <c r="M26" s="423" t="s">
        <v>267</v>
      </c>
      <c r="N26" s="329"/>
      <c r="O26" s="554"/>
      <c r="P26" s="459"/>
      <c r="Q26" s="330"/>
      <c r="R26" s="592"/>
      <c r="S26" s="629"/>
      <c r="T26" s="522" t="str">
        <f t="shared" si="0"/>
        <v/>
      </c>
      <c r="U26" s="674">
        <v>0</v>
      </c>
      <c r="V26" s="773"/>
      <c r="W26" s="576"/>
      <c r="X26" s="770"/>
      <c r="Y26" s="615" t="s">
        <v>277</v>
      </c>
      <c r="Z26" s="616" t="s">
        <v>278</v>
      </c>
    </row>
    <row r="27" spans="1:27" ht="14.5" thickBot="1">
      <c r="A27" s="24"/>
      <c r="B27" s="290"/>
      <c r="C27" s="307"/>
      <c r="D27" s="308"/>
      <c r="E27" s="291"/>
      <c r="F27" s="455"/>
      <c r="G27" s="292"/>
      <c r="H27" s="577"/>
      <c r="I27" s="280"/>
      <c r="J27" s="280"/>
      <c r="K27" s="24"/>
      <c r="L27" s="290"/>
      <c r="M27" s="307"/>
      <c r="N27" s="308"/>
      <c r="O27" s="555"/>
      <c r="P27" s="455"/>
      <c r="Q27" s="292"/>
      <c r="R27" s="593"/>
      <c r="S27" s="630"/>
      <c r="T27" s="523" t="str">
        <f t="shared" si="0"/>
        <v/>
      </c>
      <c r="U27" s="511"/>
      <c r="V27" s="494"/>
      <c r="W27" s="577"/>
      <c r="X27" s="350"/>
      <c r="Y27" s="617" t="str">
        <f>Y12</f>
        <v>AC Equipment</v>
      </c>
      <c r="Z27" s="618">
        <v>202590</v>
      </c>
    </row>
    <row r="28" spans="1:27" ht="14.25" customHeight="1">
      <c r="B28" s="293">
        <v>4</v>
      </c>
      <c r="C28" s="294" t="s">
        <v>255</v>
      </c>
      <c r="D28" s="294" t="s">
        <v>279</v>
      </c>
      <c r="E28" s="364">
        <f>G28/14*1.15</f>
        <v>25489.749999999996</v>
      </c>
      <c r="F28" s="456"/>
      <c r="G28" s="296">
        <v>310310</v>
      </c>
      <c r="H28" s="539">
        <v>45891</v>
      </c>
      <c r="I28" s="747">
        <f>SUM(G28:G42)</f>
        <v>748943.9</v>
      </c>
      <c r="J28" s="747">
        <f>F171</f>
        <v>814069.45652173914</v>
      </c>
      <c r="K28" s="297"/>
      <c r="L28" s="293">
        <v>4</v>
      </c>
      <c r="M28" s="424" t="s">
        <v>280</v>
      </c>
      <c r="N28" s="294" t="s">
        <v>281</v>
      </c>
      <c r="O28" s="548">
        <v>25000</v>
      </c>
      <c r="P28" s="456">
        <v>13.4</v>
      </c>
      <c r="Q28" s="296">
        <f>O28*P28</f>
        <v>335000</v>
      </c>
      <c r="R28" s="756" t="s">
        <v>282</v>
      </c>
      <c r="S28" s="671" t="str">
        <f>S13</f>
        <v>Menlo Inv INV0003032</v>
      </c>
      <c r="T28" s="669">
        <f>T13</f>
        <v>45838</v>
      </c>
      <c r="U28" s="675">
        <v>425683.80414522928</v>
      </c>
      <c r="V28" s="774">
        <f>J28-SUM(U28:U42)</f>
        <v>3.0159964226186275E-3</v>
      </c>
      <c r="W28" s="539">
        <v>45891</v>
      </c>
      <c r="X28" s="750">
        <f>SUM(Q28:Q42)</f>
        <v>788073.5</v>
      </c>
      <c r="Y28" s="617" t="str">
        <f t="shared" ref="Y28:Y34" si="1">Y13</f>
        <v>DC Equipment</v>
      </c>
      <c r="Z28" s="618">
        <v>292473.5</v>
      </c>
    </row>
    <row r="29" spans="1:27" ht="14.25" customHeight="1">
      <c r="B29" s="320">
        <v>4</v>
      </c>
      <c r="C29" s="407"/>
      <c r="D29" s="407" t="s">
        <v>283</v>
      </c>
      <c r="E29" s="394"/>
      <c r="F29" s="452"/>
      <c r="G29" s="643">
        <f>D171-G28</f>
        <v>438633.9</v>
      </c>
      <c r="H29" s="540">
        <v>45891</v>
      </c>
      <c r="I29" s="748"/>
      <c r="J29" s="748"/>
      <c r="K29" s="301"/>
      <c r="L29" s="298">
        <v>4</v>
      </c>
      <c r="M29" s="425" t="s">
        <v>280</v>
      </c>
      <c r="N29" s="407" t="s">
        <v>281</v>
      </c>
      <c r="O29" s="549">
        <v>1000</v>
      </c>
      <c r="P29" s="452">
        <v>13.4</v>
      </c>
      <c r="Q29" s="300">
        <f>O29*P29</f>
        <v>13400</v>
      </c>
      <c r="R29" s="757"/>
      <c r="S29" s="632" t="str">
        <f>S28</f>
        <v>Menlo Inv INV0003032</v>
      </c>
      <c r="T29" s="660">
        <f>T28</f>
        <v>45838</v>
      </c>
      <c r="U29" s="665">
        <v>17021.347765809172</v>
      </c>
      <c r="V29" s="775"/>
      <c r="W29" s="540">
        <v>45891</v>
      </c>
      <c r="X29" s="751"/>
      <c r="Y29" s="617" t="str">
        <f t="shared" si="1"/>
        <v>AC Labour</v>
      </c>
      <c r="Z29" s="618">
        <v>286200</v>
      </c>
    </row>
    <row r="30" spans="1:27" ht="14.25" customHeight="1">
      <c r="B30" s="320">
        <v>4</v>
      </c>
      <c r="C30" s="407"/>
      <c r="D30" s="407"/>
      <c r="E30" s="394"/>
      <c r="F30" s="452"/>
      <c r="G30" s="300"/>
      <c r="H30" s="579"/>
      <c r="I30" s="748"/>
      <c r="J30" s="748"/>
      <c r="K30" s="301"/>
      <c r="L30" s="298">
        <v>4</v>
      </c>
      <c r="M30" s="425" t="s">
        <v>280</v>
      </c>
      <c r="N30" s="407" t="s">
        <v>284</v>
      </c>
      <c r="O30" s="549">
        <v>6000</v>
      </c>
      <c r="P30" s="452"/>
      <c r="Q30" s="300">
        <v>89700</v>
      </c>
      <c r="R30" s="595" t="s">
        <v>285</v>
      </c>
      <c r="S30" s="632" t="s">
        <v>286</v>
      </c>
      <c r="T30" s="660">
        <v>46022</v>
      </c>
      <c r="U30" s="665">
        <v>0</v>
      </c>
      <c r="V30" s="775"/>
      <c r="W30" s="540">
        <f>T30+30</f>
        <v>46052</v>
      </c>
      <c r="X30" s="751"/>
      <c r="Y30" s="617" t="str">
        <f t="shared" si="1"/>
        <v>DC Labour</v>
      </c>
      <c r="Z30" s="618">
        <v>667800</v>
      </c>
      <c r="AA30" s="649"/>
    </row>
    <row r="31" spans="1:27" ht="14.25" customHeight="1">
      <c r="B31" s="320">
        <v>4</v>
      </c>
      <c r="C31" s="407"/>
      <c r="D31" s="407"/>
      <c r="E31" s="394"/>
      <c r="F31" s="452"/>
      <c r="G31" s="300"/>
      <c r="H31" s="579"/>
      <c r="I31" s="748"/>
      <c r="J31" s="748"/>
      <c r="K31" s="301"/>
      <c r="L31" s="298">
        <v>4</v>
      </c>
      <c r="M31" s="425" t="s">
        <v>280</v>
      </c>
      <c r="N31" s="407" t="s">
        <v>287</v>
      </c>
      <c r="O31" s="557">
        <v>4000</v>
      </c>
      <c r="P31" s="452"/>
      <c r="Q31" s="300">
        <v>57500</v>
      </c>
      <c r="R31" s="595"/>
      <c r="S31" s="632" t="s">
        <v>288</v>
      </c>
      <c r="T31" s="660">
        <v>46022</v>
      </c>
      <c r="U31" s="665">
        <v>0</v>
      </c>
      <c r="V31" s="775"/>
      <c r="W31" s="540">
        <f>T31+30</f>
        <v>46052</v>
      </c>
      <c r="X31" s="751"/>
      <c r="Y31" s="617" t="str">
        <f t="shared" si="1"/>
        <v>Offloading</v>
      </c>
      <c r="Z31" s="618">
        <v>13200</v>
      </c>
    </row>
    <row r="32" spans="1:27" ht="14.25" customHeight="1">
      <c r="B32" s="320">
        <v>4</v>
      </c>
      <c r="C32" s="407"/>
      <c r="D32" s="407"/>
      <c r="E32" s="394"/>
      <c r="F32" s="452"/>
      <c r="G32" s="300"/>
      <c r="H32" s="540"/>
      <c r="I32" s="748"/>
      <c r="J32" s="748"/>
      <c r="K32" s="301"/>
      <c r="L32" s="298">
        <v>4</v>
      </c>
      <c r="M32" s="425" t="s">
        <v>280</v>
      </c>
      <c r="N32" s="407" t="s">
        <v>289</v>
      </c>
      <c r="O32" s="568">
        <v>292473.5</v>
      </c>
      <c r="P32" s="569">
        <v>0.1</v>
      </c>
      <c r="Q32" s="300">
        <f>$O$32*P32</f>
        <v>29247.350000000002</v>
      </c>
      <c r="R32" s="758" t="s">
        <v>290</v>
      </c>
      <c r="S32" s="632" t="s">
        <v>291</v>
      </c>
      <c r="T32" s="660">
        <f t="shared" si="0"/>
        <v>45808</v>
      </c>
      <c r="U32" s="665">
        <v>37001.328445073632</v>
      </c>
      <c r="V32" s="775"/>
      <c r="W32" s="540">
        <f>W92</f>
        <v>45792</v>
      </c>
      <c r="X32" s="751"/>
      <c r="Y32" s="617" t="str">
        <f t="shared" si="1"/>
        <v>Scaffolding</v>
      </c>
      <c r="Z32" s="618">
        <v>42405</v>
      </c>
    </row>
    <row r="33" spans="1:26" ht="14.25" customHeight="1">
      <c r="B33" s="320">
        <v>4</v>
      </c>
      <c r="C33" s="407"/>
      <c r="D33" s="407"/>
      <c r="E33" s="394"/>
      <c r="F33" s="452"/>
      <c r="G33" s="300"/>
      <c r="H33" s="540"/>
      <c r="I33" s="748"/>
      <c r="J33" s="748"/>
      <c r="K33" s="301"/>
      <c r="L33" s="298">
        <v>4</v>
      </c>
      <c r="M33" s="425" t="s">
        <v>280</v>
      </c>
      <c r="N33" s="407" t="s">
        <v>148</v>
      </c>
      <c r="O33" s="557"/>
      <c r="P33" s="569">
        <v>0.15</v>
      </c>
      <c r="Q33" s="300">
        <f t="shared" ref="Q33:Q39" si="2">$O$32*P33</f>
        <v>43871.025000000001</v>
      </c>
      <c r="R33" s="759"/>
      <c r="S33" s="632" t="s">
        <v>292</v>
      </c>
      <c r="T33" s="660">
        <f>T93</f>
        <v>45838</v>
      </c>
      <c r="U33" s="665">
        <v>55727.162191605101</v>
      </c>
      <c r="V33" s="775"/>
      <c r="W33" s="540">
        <f t="shared" ref="W33:W39" si="3">W93</f>
        <v>45834</v>
      </c>
      <c r="X33" s="751"/>
      <c r="Y33" s="617" t="str">
        <f t="shared" si="1"/>
        <v>Storage</v>
      </c>
      <c r="Z33" s="618">
        <v>9350</v>
      </c>
    </row>
    <row r="34" spans="1:26" ht="14.25" customHeight="1">
      <c r="B34" s="320">
        <v>4</v>
      </c>
      <c r="C34" s="407"/>
      <c r="D34" s="407"/>
      <c r="E34" s="394"/>
      <c r="F34" s="452"/>
      <c r="G34" s="300"/>
      <c r="H34" s="579"/>
      <c r="I34" s="748"/>
      <c r="J34" s="748"/>
      <c r="K34" s="301"/>
      <c r="L34" s="298">
        <v>4</v>
      </c>
      <c r="M34" s="425" t="s">
        <v>280</v>
      </c>
      <c r="N34" s="407" t="s">
        <v>293</v>
      </c>
      <c r="O34" s="557"/>
      <c r="P34" s="569">
        <v>0.2</v>
      </c>
      <c r="Q34" s="300">
        <f t="shared" si="2"/>
        <v>58494.700000000004</v>
      </c>
      <c r="R34" s="759"/>
      <c r="S34" s="632" t="s">
        <v>294</v>
      </c>
      <c r="T34" s="660">
        <v>45900</v>
      </c>
      <c r="U34" s="665">
        <v>74302.882922140139</v>
      </c>
      <c r="V34" s="775"/>
      <c r="W34" s="540">
        <f t="shared" si="3"/>
        <v>45954</v>
      </c>
      <c r="X34" s="751"/>
      <c r="Y34" s="617" t="str">
        <f t="shared" si="1"/>
        <v>Telehandler</v>
      </c>
      <c r="Z34" s="618">
        <f>Z19*0.75</f>
        <v>0</v>
      </c>
    </row>
    <row r="35" spans="1:26" ht="14.25" customHeight="1">
      <c r="B35" s="320">
        <v>4</v>
      </c>
      <c r="C35" s="407"/>
      <c r="D35" s="407"/>
      <c r="E35" s="394"/>
      <c r="F35" s="452"/>
      <c r="G35" s="300"/>
      <c r="H35" s="579"/>
      <c r="I35" s="748"/>
      <c r="J35" s="748"/>
      <c r="K35" s="301"/>
      <c r="L35" s="298">
        <v>4</v>
      </c>
      <c r="M35" s="425" t="s">
        <v>280</v>
      </c>
      <c r="N35" s="407" t="s">
        <v>295</v>
      </c>
      <c r="O35" s="557"/>
      <c r="P35" s="569">
        <v>0.25</v>
      </c>
      <c r="Q35" s="300">
        <f t="shared" si="2"/>
        <v>73118.375</v>
      </c>
      <c r="R35" s="759"/>
      <c r="S35" s="632" t="s">
        <v>296</v>
      </c>
      <c r="T35" s="660">
        <v>45900</v>
      </c>
      <c r="U35" s="665">
        <v>92878.60365267517</v>
      </c>
      <c r="V35" s="775"/>
      <c r="W35" s="697">
        <v>46009</v>
      </c>
      <c r="X35" s="751"/>
      <c r="Y35" s="617" t="s">
        <v>58</v>
      </c>
      <c r="Z35" s="618">
        <v>4500</v>
      </c>
    </row>
    <row r="36" spans="1:26" ht="14.25" customHeight="1">
      <c r="B36" s="320">
        <v>4</v>
      </c>
      <c r="C36" s="407"/>
      <c r="D36" s="407"/>
      <c r="E36" s="394"/>
      <c r="F36" s="452"/>
      <c r="G36" s="300"/>
      <c r="H36" s="579"/>
      <c r="I36" s="748"/>
      <c r="J36" s="748"/>
      <c r="K36" s="301"/>
      <c r="L36" s="298">
        <v>4</v>
      </c>
      <c r="M36" s="425" t="s">
        <v>280</v>
      </c>
      <c r="N36" s="407" t="s">
        <v>106</v>
      </c>
      <c r="O36" s="557"/>
      <c r="P36" s="569">
        <v>0.1</v>
      </c>
      <c r="Q36" s="300">
        <f t="shared" si="2"/>
        <v>29247.350000000002</v>
      </c>
      <c r="R36" s="759"/>
      <c r="S36" s="632" t="s">
        <v>297</v>
      </c>
      <c r="T36" s="660">
        <v>45900</v>
      </c>
      <c r="U36" s="665">
        <v>37151.44146107007</v>
      </c>
      <c r="V36" s="775"/>
      <c r="W36" s="697">
        <v>46009</v>
      </c>
      <c r="X36" s="751"/>
      <c r="Y36" s="617" t="s">
        <v>271</v>
      </c>
      <c r="Z36" s="618">
        <v>0</v>
      </c>
    </row>
    <row r="37" spans="1:26" ht="14.25" customHeight="1">
      <c r="B37" s="320">
        <v>4</v>
      </c>
      <c r="C37" s="407"/>
      <c r="D37" s="407"/>
      <c r="E37" s="394"/>
      <c r="F37" s="452"/>
      <c r="G37" s="300"/>
      <c r="H37" s="579"/>
      <c r="I37" s="748"/>
      <c r="J37" s="748"/>
      <c r="K37" s="301"/>
      <c r="L37" s="298">
        <v>4</v>
      </c>
      <c r="M37" s="425" t="s">
        <v>280</v>
      </c>
      <c r="N37" s="407" t="s">
        <v>298</v>
      </c>
      <c r="O37" s="557"/>
      <c r="P37" s="569">
        <v>0.1</v>
      </c>
      <c r="Q37" s="300">
        <f t="shared" si="2"/>
        <v>29247.350000000002</v>
      </c>
      <c r="R37" s="759"/>
      <c r="S37" s="632" t="s">
        <v>299</v>
      </c>
      <c r="T37" s="660">
        <v>45900</v>
      </c>
      <c r="U37" s="665">
        <v>37151.44146107007</v>
      </c>
      <c r="V37" s="775"/>
      <c r="W37" s="540">
        <f t="shared" si="3"/>
        <v>46058</v>
      </c>
      <c r="X37" s="751"/>
      <c r="Y37" s="617" t="s">
        <v>271</v>
      </c>
      <c r="Z37" s="619">
        <v>0</v>
      </c>
    </row>
    <row r="38" spans="1:26" ht="14.25" customHeight="1">
      <c r="B38" s="320">
        <v>4</v>
      </c>
      <c r="C38" s="407"/>
      <c r="D38" s="407"/>
      <c r="E38" s="394"/>
      <c r="F38" s="452"/>
      <c r="G38" s="300"/>
      <c r="H38" s="579"/>
      <c r="I38" s="748"/>
      <c r="J38" s="748"/>
      <c r="K38" s="301"/>
      <c r="L38" s="298">
        <v>4</v>
      </c>
      <c r="M38" s="425" t="s">
        <v>280</v>
      </c>
      <c r="N38" s="407" t="s">
        <v>300</v>
      </c>
      <c r="O38" s="557"/>
      <c r="P38" s="569">
        <v>0.05</v>
      </c>
      <c r="Q38" s="300">
        <f t="shared" si="2"/>
        <v>14623.675000000001</v>
      </c>
      <c r="R38" s="759"/>
      <c r="S38" s="632" t="s">
        <v>301</v>
      </c>
      <c r="T38" s="660">
        <v>45900</v>
      </c>
      <c r="U38" s="665">
        <v>18575.720730535035</v>
      </c>
      <c r="V38" s="775"/>
      <c r="W38" s="540">
        <f t="shared" si="3"/>
        <v>46066</v>
      </c>
      <c r="X38" s="751"/>
      <c r="Y38" s="617" t="s">
        <v>120</v>
      </c>
      <c r="Z38" s="618">
        <f>SUM(Z27:Z37)</f>
        <v>1518518.5</v>
      </c>
    </row>
    <row r="39" spans="1:26" ht="14.25" customHeight="1">
      <c r="B39" s="320">
        <v>4</v>
      </c>
      <c r="C39" s="407"/>
      <c r="D39" s="407"/>
      <c r="E39" s="394"/>
      <c r="F39" s="452"/>
      <c r="G39" s="300"/>
      <c r="H39" s="579"/>
      <c r="I39" s="748"/>
      <c r="J39" s="748"/>
      <c r="K39" s="301"/>
      <c r="L39" s="298">
        <v>4</v>
      </c>
      <c r="M39" s="425" t="s">
        <v>280</v>
      </c>
      <c r="N39" s="407" t="s">
        <v>302</v>
      </c>
      <c r="O39" s="557"/>
      <c r="P39" s="569">
        <v>0.05</v>
      </c>
      <c r="Q39" s="300">
        <f t="shared" si="2"/>
        <v>14623.675000000001</v>
      </c>
      <c r="R39" s="760"/>
      <c r="S39" s="632" t="s">
        <v>303</v>
      </c>
      <c r="T39" s="660">
        <v>45900</v>
      </c>
      <c r="U39" s="665">
        <v>18575.720730535035</v>
      </c>
      <c r="V39" s="775"/>
      <c r="W39" s="579">
        <f t="shared" si="3"/>
        <v>46096</v>
      </c>
      <c r="X39" s="751"/>
      <c r="Y39" s="620" t="s">
        <v>276</v>
      </c>
      <c r="Z39" s="619">
        <f>Z38/'Project Plan'!$E$3/1000</f>
        <v>1.5917384696016772</v>
      </c>
    </row>
    <row r="40" spans="1:26" ht="14.25" customHeight="1">
      <c r="B40" s="320">
        <v>4</v>
      </c>
      <c r="C40" s="407"/>
      <c r="D40" s="407"/>
      <c r="E40" s="394"/>
      <c r="F40" s="452"/>
      <c r="G40" s="300"/>
      <c r="H40" s="579"/>
      <c r="I40" s="748"/>
      <c r="J40" s="748"/>
      <c r="K40" s="301"/>
      <c r="L40" s="298">
        <v>4</v>
      </c>
      <c r="M40" s="425" t="s">
        <v>280</v>
      </c>
      <c r="N40" s="407"/>
      <c r="O40" s="557"/>
      <c r="P40" s="452"/>
      <c r="Q40" s="300"/>
      <c r="R40" s="595"/>
      <c r="S40" s="632"/>
      <c r="T40" s="525" t="str">
        <f t="shared" si="0"/>
        <v/>
      </c>
      <c r="U40" s="509">
        <f>(Q40/$X$28*$J$28)</f>
        <v>0</v>
      </c>
      <c r="V40" s="775"/>
      <c r="W40" s="579"/>
      <c r="X40" s="751"/>
      <c r="Y40" s="484"/>
    </row>
    <row r="41" spans="1:26" ht="14.25" customHeight="1">
      <c r="B41" s="320">
        <v>4</v>
      </c>
      <c r="C41" s="407"/>
      <c r="D41" s="407"/>
      <c r="E41" s="394"/>
      <c r="F41" s="452"/>
      <c r="G41" s="300"/>
      <c r="H41" s="579"/>
      <c r="I41" s="748"/>
      <c r="J41" s="748"/>
      <c r="K41" s="301"/>
      <c r="L41" s="298">
        <v>4</v>
      </c>
      <c r="M41" s="425" t="s">
        <v>280</v>
      </c>
      <c r="N41" s="407"/>
      <c r="O41" s="557"/>
      <c r="P41" s="452"/>
      <c r="Q41" s="300"/>
      <c r="R41" s="595"/>
      <c r="S41" s="632"/>
      <c r="T41" s="525" t="str">
        <f t="shared" si="0"/>
        <v/>
      </c>
      <c r="U41" s="509">
        <f>(Q41/$X$28*$J$28)</f>
        <v>0</v>
      </c>
      <c r="V41" s="775"/>
      <c r="W41" s="579"/>
      <c r="X41" s="751"/>
      <c r="Y41" s="484"/>
    </row>
    <row r="42" spans="1:26" ht="15" customHeight="1" thickBot="1">
      <c r="B42" s="302">
        <v>4</v>
      </c>
      <c r="C42" s="325"/>
      <c r="D42" s="325"/>
      <c r="E42" s="397"/>
      <c r="F42" s="454"/>
      <c r="G42" s="305"/>
      <c r="H42" s="580"/>
      <c r="I42" s="749"/>
      <c r="J42" s="749"/>
      <c r="K42" s="306"/>
      <c r="L42" s="302">
        <v>4</v>
      </c>
      <c r="M42" s="426" t="s">
        <v>280</v>
      </c>
      <c r="N42" s="325"/>
      <c r="O42" s="558"/>
      <c r="P42" s="454"/>
      <c r="Q42" s="305"/>
      <c r="R42" s="596"/>
      <c r="S42" s="633"/>
      <c r="T42" s="526" t="str">
        <f t="shared" si="0"/>
        <v/>
      </c>
      <c r="U42" s="510">
        <f>(Q42/$X$28*$J$28)</f>
        <v>0</v>
      </c>
      <c r="V42" s="776"/>
      <c r="W42" s="580"/>
      <c r="X42" s="752"/>
      <c r="Y42" s="484"/>
    </row>
    <row r="43" spans="1:26" ht="14.5" thickBot="1">
      <c r="A43" s="24"/>
      <c r="B43" s="276"/>
      <c r="C43" s="277"/>
      <c r="D43" s="308"/>
      <c r="E43" s="291"/>
      <c r="F43" s="455"/>
      <c r="G43" s="292"/>
      <c r="H43" s="577"/>
      <c r="I43" s="280"/>
      <c r="J43" s="280"/>
      <c r="K43" s="24"/>
      <c r="L43" s="276"/>
      <c r="M43" s="277"/>
      <c r="N43" s="308"/>
      <c r="O43" s="555"/>
      <c r="P43" s="455"/>
      <c r="Q43" s="292"/>
      <c r="R43" s="598"/>
      <c r="S43" s="635"/>
      <c r="T43" s="523" t="str">
        <f t="shared" si="0"/>
        <v/>
      </c>
      <c r="U43" s="513"/>
      <c r="V43" s="497"/>
      <c r="W43" s="577"/>
      <c r="X43" s="350"/>
      <c r="Y43" s="484"/>
    </row>
    <row r="44" spans="1:26" ht="14.25" customHeight="1">
      <c r="B44" s="281">
        <v>5</v>
      </c>
      <c r="C44" s="309" t="s">
        <v>304</v>
      </c>
      <c r="D44" s="327" t="s">
        <v>305</v>
      </c>
      <c r="E44" s="283"/>
      <c r="F44" s="436"/>
      <c r="G44" s="284">
        <f>D173-G45</f>
        <v>34000</v>
      </c>
      <c r="H44" s="541">
        <v>45855</v>
      </c>
      <c r="I44" s="753">
        <f>SUM(G44:G51)</f>
        <v>49000</v>
      </c>
      <c r="J44" s="753">
        <f>F173</f>
        <v>53260.869565217392</v>
      </c>
      <c r="K44" s="285"/>
      <c r="L44" s="281">
        <v>5</v>
      </c>
      <c r="M44" s="421" t="s">
        <v>306</v>
      </c>
      <c r="N44" s="327" t="s">
        <v>307</v>
      </c>
      <c r="O44" s="551"/>
      <c r="P44" s="436"/>
      <c r="Q44" s="284">
        <v>8598.35</v>
      </c>
      <c r="R44" s="597" t="s">
        <v>243</v>
      </c>
      <c r="S44" s="634" t="s">
        <v>308</v>
      </c>
      <c r="T44" s="664">
        <v>45808</v>
      </c>
      <c r="U44" s="666">
        <v>11430.85346925536</v>
      </c>
      <c r="V44" s="771">
        <f>J44-SUM(U44:U51)</f>
        <v>1.9877147497027181E-3</v>
      </c>
      <c r="W44" s="541">
        <v>45855</v>
      </c>
      <c r="X44" s="768">
        <f>SUM(Q44:Q51)</f>
        <v>40802.14</v>
      </c>
      <c r="Y44" s="484"/>
    </row>
    <row r="45" spans="1:26" ht="14.25" customHeight="1">
      <c r="B45" s="286">
        <v>5</v>
      </c>
      <c r="C45" s="310"/>
      <c r="D45" s="313" t="s">
        <v>309</v>
      </c>
      <c r="E45" s="450"/>
      <c r="F45" s="451"/>
      <c r="G45" s="315">
        <v>15000</v>
      </c>
      <c r="H45" s="537">
        <v>45806</v>
      </c>
      <c r="I45" s="754"/>
      <c r="J45" s="754"/>
      <c r="K45" s="288"/>
      <c r="L45" s="286">
        <v>5</v>
      </c>
      <c r="M45" s="427" t="s">
        <v>306</v>
      </c>
      <c r="N45" s="287" t="s">
        <v>310</v>
      </c>
      <c r="O45" s="559"/>
      <c r="P45" s="451"/>
      <c r="Q45" s="315">
        <v>14805</v>
      </c>
      <c r="R45" s="645" t="s">
        <v>311</v>
      </c>
      <c r="S45" s="627" t="s">
        <v>312</v>
      </c>
      <c r="T45" s="646">
        <v>45777</v>
      </c>
      <c r="U45" s="654">
        <v>19230.024970443686</v>
      </c>
      <c r="V45" s="772"/>
      <c r="W45" s="537">
        <v>45806</v>
      </c>
      <c r="X45" s="769"/>
      <c r="Y45" s="484"/>
    </row>
    <row r="46" spans="1:26" ht="14.25" customHeight="1">
      <c r="B46" s="286"/>
      <c r="C46" s="310"/>
      <c r="D46" s="313"/>
      <c r="E46" s="450"/>
      <c r="F46" s="451"/>
      <c r="G46" s="315"/>
      <c r="H46" s="678">
        <v>45867</v>
      </c>
      <c r="I46" s="754"/>
      <c r="J46" s="754"/>
      <c r="K46" s="288"/>
      <c r="L46" s="286">
        <v>5</v>
      </c>
      <c r="M46" s="427" t="s">
        <v>306</v>
      </c>
      <c r="N46" s="287"/>
      <c r="O46" s="559"/>
      <c r="P46" s="451"/>
      <c r="Q46" s="315">
        <v>214.29</v>
      </c>
      <c r="R46" s="645"/>
      <c r="S46" s="627" t="s">
        <v>313</v>
      </c>
      <c r="T46" s="646">
        <v>45838</v>
      </c>
      <c r="U46" s="667">
        <v>437.2923807165613</v>
      </c>
      <c r="V46" s="772"/>
      <c r="W46" s="678">
        <v>45867</v>
      </c>
      <c r="X46" s="769"/>
      <c r="Y46" s="484"/>
    </row>
    <row r="47" spans="1:26" ht="14.25" customHeight="1">
      <c r="B47" s="286">
        <v>5</v>
      </c>
      <c r="C47" s="310"/>
      <c r="D47" s="313"/>
      <c r="E47" s="314"/>
      <c r="F47" s="458"/>
      <c r="G47" s="315"/>
      <c r="H47" s="537">
        <v>45838</v>
      </c>
      <c r="I47" s="754"/>
      <c r="J47" s="754"/>
      <c r="K47" s="288"/>
      <c r="L47" s="286">
        <v>5</v>
      </c>
      <c r="M47" s="427" t="s">
        <v>306</v>
      </c>
      <c r="N47" s="313" t="s">
        <v>314</v>
      </c>
      <c r="O47" s="552"/>
      <c r="P47" s="458"/>
      <c r="Q47" s="315">
        <v>14934</v>
      </c>
      <c r="R47" s="590"/>
      <c r="S47" s="627" t="s">
        <v>315</v>
      </c>
      <c r="T47" s="662">
        <v>45838</v>
      </c>
      <c r="U47" s="667">
        <v>19214.302276453061</v>
      </c>
      <c r="V47" s="772"/>
      <c r="W47" s="537">
        <v>45838</v>
      </c>
      <c r="X47" s="769"/>
      <c r="Y47" s="484"/>
    </row>
    <row r="48" spans="1:26" ht="14.25" customHeight="1">
      <c r="B48" s="311">
        <v>5</v>
      </c>
      <c r="C48" s="312"/>
      <c r="D48" s="313"/>
      <c r="E48" s="314"/>
      <c r="F48" s="458"/>
      <c r="G48" s="315"/>
      <c r="H48" s="537">
        <v>45799</v>
      </c>
      <c r="I48" s="754"/>
      <c r="J48" s="754"/>
      <c r="K48" s="288"/>
      <c r="L48" s="311">
        <v>5</v>
      </c>
      <c r="M48" s="427" t="s">
        <v>306</v>
      </c>
      <c r="N48" s="313" t="s">
        <v>316</v>
      </c>
      <c r="O48" s="552"/>
      <c r="P48" s="458"/>
      <c r="Q48" s="315">
        <v>2250.5</v>
      </c>
      <c r="R48" s="590" t="s">
        <v>317</v>
      </c>
      <c r="S48" s="627" t="s">
        <v>318</v>
      </c>
      <c r="T48" s="662">
        <f t="shared" si="0"/>
        <v>45808</v>
      </c>
      <c r="U48" s="667">
        <v>2948.3944806339805</v>
      </c>
      <c r="V48" s="772"/>
      <c r="W48" s="537">
        <v>45799</v>
      </c>
      <c r="X48" s="769"/>
      <c r="Y48" s="484"/>
    </row>
    <row r="49" spans="1:25" ht="14.25" customHeight="1">
      <c r="B49" s="383">
        <v>5</v>
      </c>
      <c r="C49" s="384"/>
      <c r="D49" s="387"/>
      <c r="E49" s="405"/>
      <c r="F49" s="443"/>
      <c r="G49" s="386"/>
      <c r="H49" s="575"/>
      <c r="I49" s="754"/>
      <c r="J49" s="754"/>
      <c r="K49" s="288"/>
      <c r="L49" s="311">
        <v>5</v>
      </c>
      <c r="M49" s="427" t="s">
        <v>306</v>
      </c>
      <c r="N49" s="387"/>
      <c r="O49" s="553"/>
      <c r="P49" s="443"/>
      <c r="Q49" s="386"/>
      <c r="R49" s="591"/>
      <c r="S49" s="628"/>
      <c r="T49" s="521" t="str">
        <f t="shared" si="0"/>
        <v/>
      </c>
      <c r="U49" s="505">
        <f>(Q49/$X$44*$J$44)</f>
        <v>0</v>
      </c>
      <c r="V49" s="772"/>
      <c r="W49" s="575"/>
      <c r="X49" s="769"/>
      <c r="Y49" s="484"/>
    </row>
    <row r="50" spans="1:25" ht="14.25" customHeight="1">
      <c r="B50" s="383">
        <v>5</v>
      </c>
      <c r="C50" s="384"/>
      <c r="D50" s="387"/>
      <c r="E50" s="405"/>
      <c r="F50" s="443"/>
      <c r="G50" s="386"/>
      <c r="H50" s="575"/>
      <c r="I50" s="754"/>
      <c r="J50" s="754"/>
      <c r="K50" s="288"/>
      <c r="L50" s="311">
        <v>5</v>
      </c>
      <c r="M50" s="427" t="s">
        <v>306</v>
      </c>
      <c r="N50" s="387"/>
      <c r="O50" s="553"/>
      <c r="P50" s="443"/>
      <c r="Q50" s="386"/>
      <c r="R50" s="591"/>
      <c r="S50" s="628"/>
      <c r="T50" s="521" t="str">
        <f t="shared" si="0"/>
        <v/>
      </c>
      <c r="U50" s="505">
        <f>(Q50/$X$44*$J$44)</f>
        <v>0</v>
      </c>
      <c r="V50" s="772"/>
      <c r="W50" s="575"/>
      <c r="X50" s="769"/>
      <c r="Y50" s="484"/>
    </row>
    <row r="51" spans="1:25" ht="15" customHeight="1" thickBot="1">
      <c r="B51" s="316">
        <v>5</v>
      </c>
      <c r="C51" s="337"/>
      <c r="D51" s="317"/>
      <c r="E51" s="318"/>
      <c r="F51" s="459"/>
      <c r="G51" s="330"/>
      <c r="H51" s="576"/>
      <c r="I51" s="755"/>
      <c r="J51" s="755"/>
      <c r="K51" s="289"/>
      <c r="L51" s="316">
        <v>5</v>
      </c>
      <c r="M51" s="423" t="s">
        <v>306</v>
      </c>
      <c r="N51" s="317"/>
      <c r="O51" s="554"/>
      <c r="P51" s="459"/>
      <c r="Q51" s="330"/>
      <c r="R51" s="592"/>
      <c r="S51" s="629"/>
      <c r="T51" s="522" t="str">
        <f t="shared" si="0"/>
        <v/>
      </c>
      <c r="U51" s="506">
        <f>(Q51/$X$44*$J$44)</f>
        <v>0</v>
      </c>
      <c r="V51" s="773"/>
      <c r="W51" s="576"/>
      <c r="X51" s="770"/>
      <c r="Y51" s="484"/>
    </row>
    <row r="52" spans="1:25" ht="14.5" thickBot="1">
      <c r="A52" s="24"/>
      <c r="B52" s="290"/>
      <c r="C52" s="307"/>
      <c r="D52" s="278"/>
      <c r="E52" s="291"/>
      <c r="F52" s="455"/>
      <c r="G52" s="292"/>
      <c r="H52" s="577"/>
      <c r="I52" s="326"/>
      <c r="J52" s="326"/>
      <c r="K52" s="24"/>
      <c r="L52" s="290"/>
      <c r="M52" s="307"/>
      <c r="N52" s="278"/>
      <c r="O52" s="555"/>
      <c r="P52" s="455"/>
      <c r="Q52" s="292"/>
      <c r="R52" s="593"/>
      <c r="S52" s="630"/>
      <c r="T52" s="523" t="str">
        <f t="shared" si="0"/>
        <v/>
      </c>
      <c r="U52" s="511"/>
      <c r="V52" s="494"/>
      <c r="W52" s="577"/>
      <c r="X52" s="485"/>
      <c r="Y52" s="484"/>
    </row>
    <row r="53" spans="1:25" ht="14.25" customHeight="1">
      <c r="B53" s="293">
        <v>6</v>
      </c>
      <c r="C53" s="294" t="s">
        <v>250</v>
      </c>
      <c r="D53" s="295" t="s">
        <v>319</v>
      </c>
      <c r="E53" s="477"/>
      <c r="F53" s="456"/>
      <c r="G53" s="296">
        <f>D172</f>
        <v>1016362.1</v>
      </c>
      <c r="H53" s="578">
        <f>H54</f>
        <v>45867</v>
      </c>
      <c r="I53" s="747">
        <f>SUM(G53:G69)</f>
        <v>1016362.1</v>
      </c>
      <c r="J53" s="747">
        <f>F172</f>
        <v>1104741.4130434783</v>
      </c>
      <c r="K53" s="297"/>
      <c r="L53" s="293">
        <v>6</v>
      </c>
      <c r="M53" s="430" t="s">
        <v>320</v>
      </c>
      <c r="N53" s="295"/>
      <c r="O53" s="547"/>
      <c r="P53" s="456"/>
      <c r="Q53" s="296"/>
      <c r="R53" s="594"/>
      <c r="S53" s="631"/>
      <c r="T53" s="524" t="str">
        <f t="shared" si="0"/>
        <v/>
      </c>
      <c r="U53" s="508">
        <f>(Q53/$X$53*$J$53)</f>
        <v>0</v>
      </c>
      <c r="V53" s="774">
        <f>J53-SUM(U53:U69)</f>
        <v>-1.2363060377538204E-3</v>
      </c>
      <c r="W53" s="578"/>
      <c r="X53" s="750">
        <f>SUM(Q53:Q69)</f>
        <v>449654.02</v>
      </c>
      <c r="Y53" s="484"/>
    </row>
    <row r="54" spans="1:25" ht="14.25" customHeight="1">
      <c r="B54" s="298">
        <v>6</v>
      </c>
      <c r="C54" s="407"/>
      <c r="D54" s="442"/>
      <c r="E54" s="394"/>
      <c r="F54" s="452"/>
      <c r="G54" s="321"/>
      <c r="H54" s="540">
        <v>45867</v>
      </c>
      <c r="I54" s="748"/>
      <c r="J54" s="748"/>
      <c r="K54" s="301"/>
      <c r="L54" s="298">
        <v>6</v>
      </c>
      <c r="M54" s="428" t="s">
        <v>320</v>
      </c>
      <c r="N54" s="442" t="s">
        <v>321</v>
      </c>
      <c r="O54" s="557"/>
      <c r="P54" s="452"/>
      <c r="Q54" s="321">
        <v>247064.02</v>
      </c>
      <c r="R54" s="595" t="s">
        <v>322</v>
      </c>
      <c r="S54" s="632" t="s">
        <v>323</v>
      </c>
      <c r="T54" s="660">
        <v>45838</v>
      </c>
      <c r="U54" s="665">
        <v>606310.9163590211</v>
      </c>
      <c r="V54" s="775"/>
      <c r="W54" s="540">
        <v>45867</v>
      </c>
      <c r="X54" s="751"/>
      <c r="Y54" s="484"/>
    </row>
    <row r="55" spans="1:25" ht="14.25" customHeight="1">
      <c r="B55" s="298"/>
      <c r="C55" s="407"/>
      <c r="D55" s="442"/>
      <c r="E55" s="394"/>
      <c r="F55" s="452"/>
      <c r="G55" s="321"/>
      <c r="H55" s="579"/>
      <c r="I55" s="748"/>
      <c r="J55" s="748"/>
      <c r="K55" s="301"/>
      <c r="L55" s="298">
        <v>6</v>
      </c>
      <c r="M55" s="428" t="s">
        <v>320</v>
      </c>
      <c r="N55" s="442"/>
      <c r="O55" s="557"/>
      <c r="P55" s="452"/>
      <c r="Q55" s="321"/>
      <c r="R55" s="595"/>
      <c r="S55" s="632"/>
      <c r="T55" s="525" t="str">
        <f t="shared" ref="T55:T58" si="4">IF(W55&gt;1,EOMONTH(W55,0),"")</f>
        <v/>
      </c>
      <c r="U55" s="509">
        <f>(Q55/$X$53*$J$53)</f>
        <v>0</v>
      </c>
      <c r="V55" s="775"/>
      <c r="W55" s="579"/>
      <c r="X55" s="751"/>
      <c r="Y55" s="484"/>
    </row>
    <row r="56" spans="1:25" ht="14.25" customHeight="1">
      <c r="B56" s="298"/>
      <c r="C56" s="407"/>
      <c r="D56" s="442"/>
      <c r="E56" s="394"/>
      <c r="F56" s="452"/>
      <c r="G56" s="321"/>
      <c r="H56" s="579"/>
      <c r="I56" s="748"/>
      <c r="J56" s="748"/>
      <c r="K56" s="301"/>
      <c r="L56" s="298">
        <v>6</v>
      </c>
      <c r="M56" s="428" t="s">
        <v>320</v>
      </c>
      <c r="N56" s="442"/>
      <c r="O56" s="557"/>
      <c r="P56" s="452"/>
      <c r="Q56" s="321"/>
      <c r="R56" s="595"/>
      <c r="S56" s="632"/>
      <c r="T56" s="525" t="str">
        <f t="shared" si="4"/>
        <v/>
      </c>
      <c r="U56" s="509">
        <f>(Q56/$X$53*$J$53)</f>
        <v>0</v>
      </c>
      <c r="V56" s="775"/>
      <c r="W56" s="579"/>
      <c r="X56" s="751"/>
      <c r="Y56" s="484"/>
    </row>
    <row r="57" spans="1:25" ht="14.25" customHeight="1">
      <c r="B57" s="298"/>
      <c r="C57" s="407"/>
      <c r="D57" s="442"/>
      <c r="E57" s="394"/>
      <c r="F57" s="452"/>
      <c r="G57" s="321"/>
      <c r="H57" s="579"/>
      <c r="I57" s="748"/>
      <c r="J57" s="748"/>
      <c r="K57" s="301"/>
      <c r="L57" s="298">
        <v>6</v>
      </c>
      <c r="M57" s="428" t="s">
        <v>320</v>
      </c>
      <c r="N57" s="442"/>
      <c r="O57" s="557"/>
      <c r="P57" s="452"/>
      <c r="Q57" s="321"/>
      <c r="R57" s="595"/>
      <c r="S57" s="632"/>
      <c r="T57" s="525" t="str">
        <f t="shared" si="4"/>
        <v/>
      </c>
      <c r="U57" s="509">
        <f>(Q57/$X$53*$J$53)</f>
        <v>0</v>
      </c>
      <c r="V57" s="775"/>
      <c r="W57" s="579"/>
      <c r="X57" s="751"/>
      <c r="Y57" s="484"/>
    </row>
    <row r="58" spans="1:25" ht="14.25" customHeight="1">
      <c r="B58" s="298"/>
      <c r="C58" s="407"/>
      <c r="D58" s="442"/>
      <c r="E58" s="394"/>
      <c r="F58" s="452"/>
      <c r="G58" s="321"/>
      <c r="H58" s="579"/>
      <c r="I58" s="748"/>
      <c r="J58" s="748"/>
      <c r="K58" s="301"/>
      <c r="L58" s="298">
        <v>6</v>
      </c>
      <c r="M58" s="428" t="s">
        <v>320</v>
      </c>
      <c r="N58" s="442"/>
      <c r="O58" s="557"/>
      <c r="P58" s="452"/>
      <c r="Q58" s="321"/>
      <c r="R58" s="595"/>
      <c r="S58" s="632"/>
      <c r="T58" s="525" t="str">
        <f t="shared" si="4"/>
        <v/>
      </c>
      <c r="U58" s="509">
        <f>(Q58/$X$53*$J$53)</f>
        <v>0</v>
      </c>
      <c r="V58" s="775"/>
      <c r="W58" s="579"/>
      <c r="X58" s="751"/>
      <c r="Y58" s="484"/>
    </row>
    <row r="59" spans="1:25" ht="14.25" customHeight="1">
      <c r="B59" s="298">
        <v>6</v>
      </c>
      <c r="C59" s="449"/>
      <c r="D59" s="299"/>
      <c r="E59" s="399"/>
      <c r="F59" s="453"/>
      <c r="G59" s="321"/>
      <c r="H59" s="540"/>
      <c r="I59" s="748"/>
      <c r="J59" s="748"/>
      <c r="K59" s="301"/>
      <c r="L59" s="298">
        <v>6</v>
      </c>
      <c r="M59" s="428" t="s">
        <v>320</v>
      </c>
      <c r="N59" s="407" t="s">
        <v>289</v>
      </c>
      <c r="O59" s="568">
        <v>202590</v>
      </c>
      <c r="P59" s="569">
        <v>0.1</v>
      </c>
      <c r="Q59" s="300">
        <f>$O$59*P59</f>
        <v>20259</v>
      </c>
      <c r="R59" s="758" t="s">
        <v>290</v>
      </c>
      <c r="S59" s="632" t="s">
        <v>291</v>
      </c>
      <c r="T59" s="660">
        <v>45808</v>
      </c>
      <c r="U59" s="665">
        <v>50466.957904751558</v>
      </c>
      <c r="V59" s="775"/>
      <c r="W59" s="540">
        <f>W92</f>
        <v>45792</v>
      </c>
      <c r="X59" s="751"/>
      <c r="Y59" s="484"/>
    </row>
    <row r="60" spans="1:25" ht="14.25" customHeight="1">
      <c r="B60" s="298">
        <v>6</v>
      </c>
      <c r="C60" s="400"/>
      <c r="D60" s="299"/>
      <c r="E60" s="399"/>
      <c r="F60" s="453"/>
      <c r="G60" s="321"/>
      <c r="H60" s="540"/>
      <c r="I60" s="748"/>
      <c r="J60" s="748"/>
      <c r="K60" s="301"/>
      <c r="L60" s="298">
        <v>6</v>
      </c>
      <c r="M60" s="429" t="s">
        <v>320</v>
      </c>
      <c r="N60" s="407" t="s">
        <v>148</v>
      </c>
      <c r="O60" s="557"/>
      <c r="P60" s="569">
        <v>0.15</v>
      </c>
      <c r="Q60" s="300">
        <f t="shared" ref="Q60:Q66" si="5">$O$59*P60</f>
        <v>30388.5</v>
      </c>
      <c r="R60" s="759"/>
      <c r="S60" s="632" t="s">
        <v>292</v>
      </c>
      <c r="T60" s="660">
        <f>T93</f>
        <v>45838</v>
      </c>
      <c r="U60" s="665">
        <v>74660.590002668585</v>
      </c>
      <c r="V60" s="775"/>
      <c r="W60" s="540">
        <f>W93</f>
        <v>45834</v>
      </c>
      <c r="X60" s="751"/>
      <c r="Y60" s="484"/>
    </row>
    <row r="61" spans="1:25" ht="14.25" customHeight="1">
      <c r="B61" s="298">
        <v>6</v>
      </c>
      <c r="C61" s="400"/>
      <c r="D61" s="299"/>
      <c r="E61" s="399"/>
      <c r="F61" s="453"/>
      <c r="G61" s="321"/>
      <c r="H61" s="579"/>
      <c r="I61" s="748"/>
      <c r="J61" s="748"/>
      <c r="K61" s="301"/>
      <c r="L61" s="298">
        <v>6</v>
      </c>
      <c r="M61" s="429" t="s">
        <v>320</v>
      </c>
      <c r="N61" s="407" t="s">
        <v>293</v>
      </c>
      <c r="O61" s="557"/>
      <c r="P61" s="569">
        <v>0.2</v>
      </c>
      <c r="Q61" s="300">
        <f t="shared" si="5"/>
        <v>40518</v>
      </c>
      <c r="R61" s="759"/>
      <c r="S61" s="632" t="s">
        <v>294</v>
      </c>
      <c r="T61" s="660">
        <v>45900</v>
      </c>
      <c r="U61" s="665">
        <v>99547.453336891442</v>
      </c>
      <c r="V61" s="775"/>
      <c r="W61" s="540">
        <f t="shared" ref="W61:W66" si="6">W94</f>
        <v>45954</v>
      </c>
      <c r="X61" s="751"/>
      <c r="Y61" s="484"/>
    </row>
    <row r="62" spans="1:25" ht="14.25" customHeight="1">
      <c r="B62" s="298">
        <v>6</v>
      </c>
      <c r="C62" s="400"/>
      <c r="D62" s="299"/>
      <c r="E62" s="399"/>
      <c r="F62" s="453"/>
      <c r="G62" s="321"/>
      <c r="H62" s="579"/>
      <c r="I62" s="748"/>
      <c r="J62" s="748"/>
      <c r="K62" s="301"/>
      <c r="L62" s="298">
        <v>6</v>
      </c>
      <c r="M62" s="429" t="s">
        <v>320</v>
      </c>
      <c r="N62" s="407" t="s">
        <v>295</v>
      </c>
      <c r="O62" s="557"/>
      <c r="P62" s="569">
        <v>0.25</v>
      </c>
      <c r="Q62" s="300">
        <f t="shared" si="5"/>
        <v>50647.5</v>
      </c>
      <c r="R62" s="759"/>
      <c r="S62" s="632" t="s">
        <v>296</v>
      </c>
      <c r="T62" s="660">
        <v>45900</v>
      </c>
      <c r="U62" s="665">
        <v>124434.3166711143</v>
      </c>
      <c r="V62" s="775"/>
      <c r="W62" s="697">
        <v>46009</v>
      </c>
      <c r="X62" s="751"/>
      <c r="Y62" s="484"/>
    </row>
    <row r="63" spans="1:25" ht="14.25" customHeight="1">
      <c r="B63" s="298">
        <v>6</v>
      </c>
      <c r="C63" s="400"/>
      <c r="D63" s="299"/>
      <c r="E63" s="399"/>
      <c r="F63" s="453"/>
      <c r="G63" s="321"/>
      <c r="H63" s="579"/>
      <c r="I63" s="748"/>
      <c r="J63" s="748"/>
      <c r="K63" s="301"/>
      <c r="L63" s="298">
        <v>6</v>
      </c>
      <c r="M63" s="429" t="s">
        <v>320</v>
      </c>
      <c r="N63" s="407" t="s">
        <v>106</v>
      </c>
      <c r="O63" s="557"/>
      <c r="P63" s="569">
        <v>0.1</v>
      </c>
      <c r="Q63" s="300">
        <f t="shared" si="5"/>
        <v>20259</v>
      </c>
      <c r="R63" s="759"/>
      <c r="S63" s="632" t="s">
        <v>297</v>
      </c>
      <c r="T63" s="660">
        <v>45900</v>
      </c>
      <c r="U63" s="665">
        <v>49773.726668445721</v>
      </c>
      <c r="V63" s="775"/>
      <c r="W63" s="697">
        <v>46009</v>
      </c>
      <c r="X63" s="751"/>
      <c r="Y63" s="484"/>
    </row>
    <row r="64" spans="1:25" ht="14.25" customHeight="1">
      <c r="B64" s="298">
        <v>6</v>
      </c>
      <c r="C64" s="501"/>
      <c r="D64" s="335"/>
      <c r="E64" s="414"/>
      <c r="F64" s="460"/>
      <c r="G64" s="321"/>
      <c r="H64" s="579"/>
      <c r="I64" s="748"/>
      <c r="J64" s="748"/>
      <c r="K64" s="301"/>
      <c r="L64" s="298">
        <v>6</v>
      </c>
      <c r="M64" s="429" t="s">
        <v>320</v>
      </c>
      <c r="N64" s="407" t="s">
        <v>298</v>
      </c>
      <c r="O64" s="557"/>
      <c r="P64" s="569">
        <v>0.1</v>
      </c>
      <c r="Q64" s="300">
        <f t="shared" si="5"/>
        <v>20259</v>
      </c>
      <c r="R64" s="759"/>
      <c r="S64" s="632" t="s">
        <v>299</v>
      </c>
      <c r="T64" s="660">
        <v>45900</v>
      </c>
      <c r="U64" s="680">
        <v>49773.726668445721</v>
      </c>
      <c r="V64" s="775"/>
      <c r="W64" s="540">
        <f t="shared" si="6"/>
        <v>46058</v>
      </c>
      <c r="X64" s="751"/>
      <c r="Y64" s="484"/>
    </row>
    <row r="65" spans="1:25" ht="14.25" customHeight="1">
      <c r="B65" s="298">
        <v>6</v>
      </c>
      <c r="C65" s="501"/>
      <c r="D65" s="335"/>
      <c r="E65" s="414"/>
      <c r="F65" s="460"/>
      <c r="G65" s="321"/>
      <c r="H65" s="579"/>
      <c r="I65" s="748"/>
      <c r="J65" s="748"/>
      <c r="K65" s="301"/>
      <c r="L65" s="298">
        <v>6</v>
      </c>
      <c r="M65" s="429" t="s">
        <v>320</v>
      </c>
      <c r="N65" s="407" t="s">
        <v>300</v>
      </c>
      <c r="O65" s="557"/>
      <c r="P65" s="569">
        <v>0.05</v>
      </c>
      <c r="Q65" s="300">
        <f t="shared" si="5"/>
        <v>10129.5</v>
      </c>
      <c r="R65" s="759"/>
      <c r="S65" s="632" t="s">
        <v>301</v>
      </c>
      <c r="T65" s="660">
        <v>45900</v>
      </c>
      <c r="U65" s="680">
        <v>24886.86333422286</v>
      </c>
      <c r="V65" s="775"/>
      <c r="W65" s="540">
        <f t="shared" si="6"/>
        <v>46066</v>
      </c>
      <c r="X65" s="751"/>
      <c r="Y65" s="484"/>
    </row>
    <row r="66" spans="1:25" ht="14.25" customHeight="1">
      <c r="B66" s="298">
        <v>6</v>
      </c>
      <c r="C66" s="501"/>
      <c r="D66" s="335"/>
      <c r="E66" s="414"/>
      <c r="F66" s="460"/>
      <c r="G66" s="321"/>
      <c r="H66" s="579"/>
      <c r="I66" s="748"/>
      <c r="J66" s="748"/>
      <c r="K66" s="301"/>
      <c r="L66" s="298">
        <v>6</v>
      </c>
      <c r="M66" s="429" t="s">
        <v>320</v>
      </c>
      <c r="N66" s="407" t="s">
        <v>302</v>
      </c>
      <c r="O66" s="557"/>
      <c r="P66" s="569">
        <v>0.05</v>
      </c>
      <c r="Q66" s="300">
        <f t="shared" si="5"/>
        <v>10129.5</v>
      </c>
      <c r="R66" s="760"/>
      <c r="S66" s="632" t="s">
        <v>303</v>
      </c>
      <c r="T66" s="660">
        <v>45900</v>
      </c>
      <c r="U66" s="680">
        <v>24886.86333422286</v>
      </c>
      <c r="V66" s="775"/>
      <c r="W66" s="579">
        <f t="shared" si="6"/>
        <v>46096</v>
      </c>
      <c r="X66" s="751"/>
      <c r="Y66" s="484"/>
    </row>
    <row r="67" spans="1:25" ht="14.25" customHeight="1">
      <c r="B67" s="298">
        <v>6</v>
      </c>
      <c r="C67" s="501"/>
      <c r="D67" s="335"/>
      <c r="E67" s="414"/>
      <c r="F67" s="460"/>
      <c r="G67" s="321"/>
      <c r="H67" s="582"/>
      <c r="I67" s="748"/>
      <c r="J67" s="748"/>
      <c r="K67" s="301"/>
      <c r="L67" s="298">
        <v>6</v>
      </c>
      <c r="M67" s="429" t="s">
        <v>320</v>
      </c>
      <c r="N67" s="407"/>
      <c r="O67" s="557"/>
      <c r="P67" s="569"/>
      <c r="Q67" s="300"/>
      <c r="R67" s="599"/>
      <c r="S67" s="636"/>
      <c r="T67" s="528" t="str">
        <f t="shared" si="0"/>
        <v/>
      </c>
      <c r="U67" s="514">
        <f>(Q67/$X$53*$J$53)</f>
        <v>0</v>
      </c>
      <c r="V67" s="775"/>
      <c r="W67" s="582"/>
      <c r="X67" s="751"/>
      <c r="Y67" s="484"/>
    </row>
    <row r="68" spans="1:25" ht="14.25" customHeight="1">
      <c r="B68" s="298">
        <v>6</v>
      </c>
      <c r="C68" s="501"/>
      <c r="D68" s="335"/>
      <c r="E68" s="414"/>
      <c r="F68" s="460"/>
      <c r="G68" s="321"/>
      <c r="H68" s="582"/>
      <c r="I68" s="748"/>
      <c r="J68" s="748"/>
      <c r="K68" s="301"/>
      <c r="L68" s="298">
        <v>6</v>
      </c>
      <c r="M68" s="429" t="s">
        <v>320</v>
      </c>
      <c r="N68" s="407"/>
      <c r="O68" s="557"/>
      <c r="P68" s="569"/>
      <c r="Q68" s="300"/>
      <c r="R68" s="599"/>
      <c r="S68" s="636"/>
      <c r="T68" s="528" t="str">
        <f t="shared" si="0"/>
        <v/>
      </c>
      <c r="U68" s="514">
        <f>(Q68/$X$53*$J$53)</f>
        <v>0</v>
      </c>
      <c r="V68" s="775"/>
      <c r="W68" s="582"/>
      <c r="X68" s="751"/>
      <c r="Y68" s="484"/>
    </row>
    <row r="69" spans="1:25" ht="15" customHeight="1" thickBot="1">
      <c r="B69" s="302">
        <v>6</v>
      </c>
      <c r="C69" s="401"/>
      <c r="D69" s="304"/>
      <c r="E69" s="457"/>
      <c r="F69" s="454"/>
      <c r="G69" s="305"/>
      <c r="H69" s="580"/>
      <c r="I69" s="749"/>
      <c r="J69" s="749"/>
      <c r="K69" s="306"/>
      <c r="L69" s="302">
        <v>6</v>
      </c>
      <c r="M69" s="431" t="s">
        <v>320</v>
      </c>
      <c r="N69" s="304"/>
      <c r="O69" s="561"/>
      <c r="P69" s="454"/>
      <c r="Q69" s="305"/>
      <c r="R69" s="596"/>
      <c r="S69" s="633"/>
      <c r="T69" s="526" t="str">
        <f t="shared" si="0"/>
        <v/>
      </c>
      <c r="U69" s="510">
        <f>(Q69/$X$53*$J$53)</f>
        <v>0</v>
      </c>
      <c r="V69" s="776"/>
      <c r="W69" s="580"/>
      <c r="X69" s="752"/>
      <c r="Y69" s="484"/>
    </row>
    <row r="70" spans="1:25" ht="14.5" thickBot="1">
      <c r="A70" s="24"/>
      <c r="B70" s="290"/>
      <c r="C70" s="331"/>
      <c r="D70" s="308"/>
      <c r="E70" s="291"/>
      <c r="F70" s="455"/>
      <c r="G70" s="292"/>
      <c r="H70" s="583"/>
      <c r="I70" s="280"/>
      <c r="J70" s="280"/>
      <c r="K70" s="24"/>
      <c r="L70" s="290"/>
      <c r="M70" s="331"/>
      <c r="N70" s="308"/>
      <c r="O70" s="555"/>
      <c r="P70" s="455"/>
      <c r="Q70" s="292"/>
      <c r="R70" s="600"/>
      <c r="S70" s="637"/>
      <c r="T70" s="529" t="str">
        <f t="shared" si="0"/>
        <v/>
      </c>
      <c r="U70" s="515"/>
      <c r="V70" s="490"/>
      <c r="W70" s="583"/>
      <c r="X70" s="350"/>
      <c r="Y70" s="484"/>
    </row>
    <row r="71" spans="1:25" ht="14.25" customHeight="1">
      <c r="B71" s="380">
        <v>7</v>
      </c>
      <c r="C71" s="309" t="s">
        <v>324</v>
      </c>
      <c r="D71" s="381"/>
      <c r="E71" s="461"/>
      <c r="F71" s="467"/>
      <c r="G71" s="382"/>
      <c r="H71" s="584"/>
      <c r="I71" s="753">
        <f>SUM(G71:G78)</f>
        <v>0</v>
      </c>
      <c r="J71" s="753">
        <v>0</v>
      </c>
      <c r="K71" s="285"/>
      <c r="L71" s="380">
        <v>7</v>
      </c>
      <c r="M71" s="309" t="s">
        <v>325</v>
      </c>
      <c r="N71" s="381"/>
      <c r="O71" s="562"/>
      <c r="P71" s="467"/>
      <c r="Q71" s="382"/>
      <c r="R71" s="601"/>
      <c r="S71" s="638"/>
      <c r="T71" s="530" t="str">
        <f t="shared" si="0"/>
        <v/>
      </c>
      <c r="U71" s="545"/>
      <c r="V71" s="777">
        <f>J71-SUM(U71:U78)</f>
        <v>0</v>
      </c>
      <c r="W71" s="584"/>
      <c r="X71" s="768">
        <f>SUM(Q71:Q78)</f>
        <v>0</v>
      </c>
      <c r="Y71" s="484"/>
    </row>
    <row r="72" spans="1:25" ht="14.25" customHeight="1">
      <c r="B72" s="383">
        <v>7</v>
      </c>
      <c r="C72" s="384"/>
      <c r="D72" s="385"/>
      <c r="E72" s="405"/>
      <c r="F72" s="443"/>
      <c r="G72" s="386"/>
      <c r="H72" s="575"/>
      <c r="I72" s="754"/>
      <c r="J72" s="754"/>
      <c r="K72" s="288"/>
      <c r="L72" s="383">
        <v>7</v>
      </c>
      <c r="M72" s="384" t="s">
        <v>325</v>
      </c>
      <c r="N72" s="385"/>
      <c r="O72" s="553"/>
      <c r="P72" s="443"/>
      <c r="Q72" s="386"/>
      <c r="R72" s="591"/>
      <c r="S72" s="628"/>
      <c r="T72" s="521" t="str">
        <f t="shared" si="0"/>
        <v/>
      </c>
      <c r="U72" s="505"/>
      <c r="V72" s="778"/>
      <c r="W72" s="575"/>
      <c r="X72" s="769"/>
      <c r="Y72" s="484"/>
    </row>
    <row r="73" spans="1:25" ht="14.25" customHeight="1">
      <c r="B73" s="383">
        <v>7</v>
      </c>
      <c r="C73" s="384"/>
      <c r="D73" s="385"/>
      <c r="E73" s="405"/>
      <c r="F73" s="443"/>
      <c r="G73" s="386"/>
      <c r="H73" s="575"/>
      <c r="I73" s="754"/>
      <c r="J73" s="754"/>
      <c r="K73" s="288"/>
      <c r="L73" s="383">
        <v>7</v>
      </c>
      <c r="M73" s="384" t="s">
        <v>325</v>
      </c>
      <c r="N73" s="385"/>
      <c r="O73" s="553"/>
      <c r="P73" s="443"/>
      <c r="Q73" s="386"/>
      <c r="R73" s="591"/>
      <c r="S73" s="628"/>
      <c r="T73" s="521" t="str">
        <f t="shared" si="0"/>
        <v/>
      </c>
      <c r="U73" s="505"/>
      <c r="V73" s="778"/>
      <c r="W73" s="575"/>
      <c r="X73" s="769"/>
      <c r="Y73" s="484"/>
    </row>
    <row r="74" spans="1:25" ht="14.25" customHeight="1">
      <c r="B74" s="383">
        <v>7</v>
      </c>
      <c r="C74" s="384"/>
      <c r="D74" s="385"/>
      <c r="E74" s="405"/>
      <c r="F74" s="443"/>
      <c r="G74" s="386"/>
      <c r="H74" s="575"/>
      <c r="I74" s="754"/>
      <c r="J74" s="754"/>
      <c r="K74" s="288"/>
      <c r="L74" s="383">
        <v>7</v>
      </c>
      <c r="M74" s="384" t="s">
        <v>325</v>
      </c>
      <c r="N74" s="385"/>
      <c r="O74" s="553"/>
      <c r="P74" s="443"/>
      <c r="Q74" s="386"/>
      <c r="R74" s="591"/>
      <c r="S74" s="628"/>
      <c r="T74" s="521" t="str">
        <f t="shared" si="0"/>
        <v/>
      </c>
      <c r="U74" s="505"/>
      <c r="V74" s="778"/>
      <c r="W74" s="575"/>
      <c r="X74" s="769"/>
      <c r="Y74" s="484"/>
    </row>
    <row r="75" spans="1:25" ht="14.25" customHeight="1">
      <c r="B75" s="383">
        <v>7</v>
      </c>
      <c r="C75" s="384"/>
      <c r="D75" s="385"/>
      <c r="E75" s="405"/>
      <c r="F75" s="443"/>
      <c r="G75" s="386"/>
      <c r="H75" s="575"/>
      <c r="I75" s="754"/>
      <c r="J75" s="754"/>
      <c r="K75" s="288"/>
      <c r="L75" s="383">
        <v>7</v>
      </c>
      <c r="M75" s="384" t="s">
        <v>325</v>
      </c>
      <c r="N75" s="385"/>
      <c r="O75" s="553"/>
      <c r="P75" s="443"/>
      <c r="Q75" s="386"/>
      <c r="R75" s="591"/>
      <c r="S75" s="628"/>
      <c r="T75" s="521" t="str">
        <f t="shared" si="0"/>
        <v/>
      </c>
      <c r="U75" s="505"/>
      <c r="V75" s="778"/>
      <c r="W75" s="575"/>
      <c r="X75" s="769"/>
      <c r="Y75" s="484"/>
    </row>
    <row r="76" spans="1:25" ht="14.25" customHeight="1">
      <c r="B76" s="383">
        <v>7</v>
      </c>
      <c r="C76" s="384"/>
      <c r="D76" s="385"/>
      <c r="E76" s="405"/>
      <c r="F76" s="443"/>
      <c r="G76" s="386"/>
      <c r="H76" s="575"/>
      <c r="I76" s="754"/>
      <c r="J76" s="754"/>
      <c r="K76" s="288"/>
      <c r="L76" s="383">
        <v>7</v>
      </c>
      <c r="M76" s="384" t="s">
        <v>325</v>
      </c>
      <c r="N76" s="385"/>
      <c r="O76" s="553"/>
      <c r="P76" s="443"/>
      <c r="Q76" s="386"/>
      <c r="R76" s="591"/>
      <c r="S76" s="628"/>
      <c r="T76" s="521" t="str">
        <f t="shared" si="0"/>
        <v/>
      </c>
      <c r="U76" s="505"/>
      <c r="V76" s="778"/>
      <c r="W76" s="575"/>
      <c r="X76" s="769"/>
      <c r="Y76" s="484"/>
    </row>
    <row r="77" spans="1:25" ht="14.25" customHeight="1">
      <c r="B77" s="383">
        <v>7</v>
      </c>
      <c r="C77" s="384"/>
      <c r="D77" s="385"/>
      <c r="E77" s="405"/>
      <c r="F77" s="443"/>
      <c r="G77" s="386"/>
      <c r="H77" s="575"/>
      <c r="I77" s="754"/>
      <c r="J77" s="754"/>
      <c r="K77" s="288"/>
      <c r="L77" s="383">
        <v>7</v>
      </c>
      <c r="M77" s="384" t="s">
        <v>325</v>
      </c>
      <c r="N77" s="385"/>
      <c r="O77" s="553"/>
      <c r="P77" s="443"/>
      <c r="Q77" s="386"/>
      <c r="R77" s="591"/>
      <c r="S77" s="628"/>
      <c r="T77" s="521" t="str">
        <f t="shared" ref="T77:T166" si="7">IF(W77&gt;1,EOMONTH(W77,0),"")</f>
        <v/>
      </c>
      <c r="U77" s="505"/>
      <c r="V77" s="778"/>
      <c r="W77" s="575"/>
      <c r="X77" s="769"/>
      <c r="Y77" s="484"/>
    </row>
    <row r="78" spans="1:25" ht="15" customHeight="1" thickBot="1">
      <c r="B78" s="316">
        <v>7</v>
      </c>
      <c r="C78" s="337"/>
      <c r="D78" s="329"/>
      <c r="E78" s="318"/>
      <c r="F78" s="459"/>
      <c r="G78" s="330"/>
      <c r="H78" s="576"/>
      <c r="I78" s="755"/>
      <c r="J78" s="755"/>
      <c r="K78" s="289"/>
      <c r="L78" s="316">
        <v>7</v>
      </c>
      <c r="M78" s="337" t="s">
        <v>325</v>
      </c>
      <c r="N78" s="329"/>
      <c r="O78" s="554"/>
      <c r="P78" s="459"/>
      <c r="Q78" s="330"/>
      <c r="R78" s="592"/>
      <c r="S78" s="629"/>
      <c r="T78" s="522" t="str">
        <f t="shared" si="7"/>
        <v/>
      </c>
      <c r="U78" s="506"/>
      <c r="V78" s="779"/>
      <c r="W78" s="576"/>
      <c r="X78" s="770"/>
      <c r="Y78" s="484"/>
    </row>
    <row r="79" spans="1:25" ht="14.5" thickBot="1">
      <c r="A79" s="24"/>
      <c r="B79" s="290"/>
      <c r="C79" s="331"/>
      <c r="D79" s="308"/>
      <c r="E79" s="291"/>
      <c r="F79" s="455"/>
      <c r="G79" s="292"/>
      <c r="H79" s="577"/>
      <c r="I79" s="280"/>
      <c r="J79" s="280"/>
      <c r="K79" s="24"/>
      <c r="L79" s="290"/>
      <c r="M79" s="331"/>
      <c r="N79" s="308"/>
      <c r="O79" s="555"/>
      <c r="P79" s="455"/>
      <c r="Q79" s="292"/>
      <c r="R79" s="593"/>
      <c r="S79" s="630"/>
      <c r="T79" s="523" t="str">
        <f t="shared" si="7"/>
        <v/>
      </c>
      <c r="U79" s="511"/>
      <c r="V79" s="494"/>
      <c r="W79" s="577"/>
      <c r="X79" s="350"/>
      <c r="Y79" s="484"/>
    </row>
    <row r="80" spans="1:25" ht="14.25" customHeight="1">
      <c r="B80" s="332">
        <v>8</v>
      </c>
      <c r="C80" s="294" t="s">
        <v>326</v>
      </c>
      <c r="D80" s="333"/>
      <c r="E80" s="462"/>
      <c r="F80" s="415"/>
      <c r="G80" s="334"/>
      <c r="H80" s="578"/>
      <c r="I80" s="747">
        <f>D175</f>
        <v>0</v>
      </c>
      <c r="J80" s="747">
        <f>F175</f>
        <v>0</v>
      </c>
      <c r="K80" s="297"/>
      <c r="L80" s="332">
        <v>8</v>
      </c>
      <c r="M80" s="424" t="s">
        <v>327</v>
      </c>
      <c r="N80" s="333" t="s">
        <v>328</v>
      </c>
      <c r="O80" s="563"/>
      <c r="P80" s="415"/>
      <c r="Q80" s="334">
        <v>6000</v>
      </c>
      <c r="R80" s="594" t="s">
        <v>329</v>
      </c>
      <c r="S80" s="631" t="s">
        <v>330</v>
      </c>
      <c r="T80" s="669">
        <v>45991</v>
      </c>
      <c r="U80" s="508"/>
      <c r="V80" s="795">
        <f>J80-SUM(U80:U89)</f>
        <v>0</v>
      </c>
      <c r="W80" s="696">
        <v>45980</v>
      </c>
      <c r="X80" s="750">
        <f>SUM(Q80:Q89)</f>
        <v>219758</v>
      </c>
      <c r="Y80" s="484"/>
    </row>
    <row r="81" spans="1:25" ht="14.25" customHeight="1">
      <c r="B81" s="322">
        <v>8</v>
      </c>
      <c r="C81" s="323"/>
      <c r="D81" s="335"/>
      <c r="E81" s="414"/>
      <c r="F81" s="460"/>
      <c r="G81" s="324"/>
      <c r="H81" s="579"/>
      <c r="I81" s="748"/>
      <c r="J81" s="748"/>
      <c r="K81" s="301"/>
      <c r="L81" s="322">
        <v>8</v>
      </c>
      <c r="M81" s="432" t="s">
        <v>327</v>
      </c>
      <c r="N81" s="335" t="s">
        <v>331</v>
      </c>
      <c r="O81" s="560"/>
      <c r="P81" s="460"/>
      <c r="Q81" s="324">
        <v>1728.1</v>
      </c>
      <c r="R81" s="595" t="s">
        <v>332</v>
      </c>
      <c r="S81" s="631" t="s">
        <v>333</v>
      </c>
      <c r="T81" s="660">
        <v>46053</v>
      </c>
      <c r="U81" s="509"/>
      <c r="V81" s="796"/>
      <c r="W81" s="540">
        <v>46051</v>
      </c>
      <c r="X81" s="751"/>
      <c r="Y81" s="484"/>
    </row>
    <row r="82" spans="1:25" ht="14.25" customHeight="1">
      <c r="B82" s="322"/>
      <c r="C82" s="323"/>
      <c r="D82" s="335"/>
      <c r="E82" s="414"/>
      <c r="F82" s="460"/>
      <c r="G82" s="324"/>
      <c r="H82" s="579"/>
      <c r="I82" s="748"/>
      <c r="J82" s="748"/>
      <c r="K82" s="301"/>
      <c r="L82" s="322">
        <v>8</v>
      </c>
      <c r="M82" s="432" t="s">
        <v>327</v>
      </c>
      <c r="N82" s="335" t="s">
        <v>331</v>
      </c>
      <c r="O82" s="560"/>
      <c r="P82" s="460"/>
      <c r="Q82" s="324">
        <v>-1728.1</v>
      </c>
      <c r="R82" s="595"/>
      <c r="S82" s="631" t="s">
        <v>334</v>
      </c>
      <c r="T82" s="660">
        <v>46081</v>
      </c>
      <c r="U82" s="509"/>
      <c r="V82" s="796"/>
      <c r="W82" s="697">
        <f>T82</f>
        <v>46081</v>
      </c>
      <c r="X82" s="751"/>
      <c r="Y82" s="484"/>
    </row>
    <row r="83" spans="1:25" ht="14.25" customHeight="1">
      <c r="B83" s="322">
        <v>8</v>
      </c>
      <c r="C83" s="323"/>
      <c r="D83" s="335"/>
      <c r="E83" s="414"/>
      <c r="F83" s="460"/>
      <c r="G83" s="324"/>
      <c r="H83" s="540">
        <v>45869</v>
      </c>
      <c r="I83" s="748"/>
      <c r="J83" s="748"/>
      <c r="K83" s="301"/>
      <c r="L83" s="322">
        <v>8</v>
      </c>
      <c r="M83" s="432" t="s">
        <v>327</v>
      </c>
      <c r="N83" s="335" t="s">
        <v>335</v>
      </c>
      <c r="O83" s="414"/>
      <c r="P83" s="460"/>
      <c r="Q83" s="324">
        <v>95783</v>
      </c>
      <c r="R83" s="595" t="s">
        <v>336</v>
      </c>
      <c r="S83" s="632" t="s">
        <v>337</v>
      </c>
      <c r="T83" s="660">
        <v>45838</v>
      </c>
      <c r="U83" s="509"/>
      <c r="V83" s="796"/>
      <c r="W83" s="540">
        <v>45869</v>
      </c>
      <c r="X83" s="751"/>
      <c r="Y83" s="484"/>
    </row>
    <row r="84" spans="1:25" ht="14.25" customHeight="1">
      <c r="B84" s="322">
        <v>8</v>
      </c>
      <c r="C84" s="323"/>
      <c r="D84" s="335"/>
      <c r="E84" s="414"/>
      <c r="F84" s="460"/>
      <c r="G84" s="324"/>
      <c r="H84" s="579"/>
      <c r="I84" s="748"/>
      <c r="J84" s="748"/>
      <c r="K84" s="301"/>
      <c r="L84" s="322">
        <v>8</v>
      </c>
      <c r="M84" s="432" t="s">
        <v>327</v>
      </c>
      <c r="N84" s="335"/>
      <c r="O84" s="560"/>
      <c r="P84" s="460"/>
      <c r="Q84" s="324"/>
      <c r="R84" s="595"/>
      <c r="S84" s="632"/>
      <c r="T84" s="525" t="str">
        <f t="shared" si="7"/>
        <v/>
      </c>
      <c r="U84" s="509"/>
      <c r="V84" s="796"/>
      <c r="W84" s="579"/>
      <c r="X84" s="751"/>
      <c r="Y84" s="484"/>
    </row>
    <row r="85" spans="1:25" ht="14.25" customHeight="1">
      <c r="B85" s="322">
        <v>8</v>
      </c>
      <c r="C85" s="323"/>
      <c r="D85" s="335"/>
      <c r="E85" s="414"/>
      <c r="F85" s="460"/>
      <c r="G85" s="324"/>
      <c r="H85" s="579"/>
      <c r="I85" s="748"/>
      <c r="J85" s="748"/>
      <c r="K85" s="301"/>
      <c r="L85" s="322">
        <v>8</v>
      </c>
      <c r="M85" s="432" t="s">
        <v>327</v>
      </c>
      <c r="N85" s="335"/>
      <c r="O85" s="560"/>
      <c r="P85" s="460"/>
      <c r="Q85" s="324"/>
      <c r="R85" s="595"/>
      <c r="S85" s="632"/>
      <c r="T85" s="525" t="str">
        <f t="shared" si="7"/>
        <v/>
      </c>
      <c r="U85" s="509"/>
      <c r="V85" s="796"/>
      <c r="W85" s="579"/>
      <c r="X85" s="751"/>
      <c r="Y85" s="484"/>
    </row>
    <row r="86" spans="1:25" ht="14.25" customHeight="1">
      <c r="B86" s="322">
        <v>8</v>
      </c>
      <c r="C86" s="323"/>
      <c r="D86" s="335"/>
      <c r="E86" s="414"/>
      <c r="F86" s="460"/>
      <c r="G86" s="324"/>
      <c r="H86" s="579"/>
      <c r="I86" s="748"/>
      <c r="J86" s="748"/>
      <c r="K86" s="301"/>
      <c r="L86" s="322">
        <v>8</v>
      </c>
      <c r="M86" s="432" t="s">
        <v>327</v>
      </c>
      <c r="N86" s="335" t="s">
        <v>338</v>
      </c>
      <c r="O86" s="560"/>
      <c r="P86" s="460"/>
      <c r="Q86" s="324">
        <v>16488</v>
      </c>
      <c r="R86" s="595" t="s">
        <v>339</v>
      </c>
      <c r="S86" s="632" t="s">
        <v>340</v>
      </c>
      <c r="T86" s="660">
        <v>45991</v>
      </c>
      <c r="U86" s="509"/>
      <c r="V86" s="796"/>
      <c r="W86" s="540">
        <v>46003</v>
      </c>
      <c r="X86" s="751"/>
      <c r="Y86" s="484"/>
    </row>
    <row r="87" spans="1:25" ht="14.25" customHeight="1">
      <c r="B87" s="322">
        <v>8</v>
      </c>
      <c r="C87" s="323"/>
      <c r="D87" s="335"/>
      <c r="E87" s="414"/>
      <c r="F87" s="460"/>
      <c r="G87" s="324"/>
      <c r="H87" s="579"/>
      <c r="I87" s="748"/>
      <c r="J87" s="748"/>
      <c r="K87" s="301"/>
      <c r="L87" s="322">
        <v>8</v>
      </c>
      <c r="M87" s="432" t="s">
        <v>327</v>
      </c>
      <c r="N87" s="335"/>
      <c r="O87" s="560"/>
      <c r="P87" s="460"/>
      <c r="Q87" s="324"/>
      <c r="R87" s="595"/>
      <c r="S87" s="632"/>
      <c r="T87" s="660"/>
      <c r="U87" s="509"/>
      <c r="V87" s="796"/>
      <c r="W87" s="579"/>
      <c r="X87" s="751"/>
      <c r="Y87" s="484"/>
    </row>
    <row r="88" spans="1:25" ht="14.25" customHeight="1">
      <c r="B88" s="322">
        <v>8</v>
      </c>
      <c r="C88" s="323"/>
      <c r="D88" s="335"/>
      <c r="E88" s="414"/>
      <c r="F88" s="460"/>
      <c r="G88" s="324"/>
      <c r="H88" s="582"/>
      <c r="I88" s="748"/>
      <c r="J88" s="748"/>
      <c r="K88" s="301"/>
      <c r="L88" s="322">
        <v>8</v>
      </c>
      <c r="M88" s="432" t="s">
        <v>327</v>
      </c>
      <c r="N88" s="335" t="s">
        <v>341</v>
      </c>
      <c r="O88" s="560"/>
      <c r="P88" s="460"/>
      <c r="Q88" s="324">
        <v>15620</v>
      </c>
      <c r="R88" s="599" t="s">
        <v>342</v>
      </c>
      <c r="S88" s="636" t="s">
        <v>343</v>
      </c>
      <c r="T88" s="686">
        <v>45961</v>
      </c>
      <c r="U88" s="514"/>
      <c r="V88" s="796"/>
      <c r="W88" s="695">
        <v>45954</v>
      </c>
      <c r="X88" s="751"/>
      <c r="Y88" s="484"/>
    </row>
    <row r="89" spans="1:25" ht="15" customHeight="1">
      <c r="B89" s="322">
        <v>8</v>
      </c>
      <c r="C89" s="303"/>
      <c r="D89" s="304"/>
      <c r="E89" s="457"/>
      <c r="F89" s="454"/>
      <c r="G89" s="305"/>
      <c r="H89" s="580"/>
      <c r="I89" s="749"/>
      <c r="J89" s="749"/>
      <c r="K89" s="306"/>
      <c r="L89" s="302">
        <v>8</v>
      </c>
      <c r="M89" s="431" t="s">
        <v>327</v>
      </c>
      <c r="N89" s="304" t="s">
        <v>344</v>
      </c>
      <c r="O89" s="561"/>
      <c r="P89" s="454"/>
      <c r="Q89" s="305">
        <v>85867</v>
      </c>
      <c r="R89" s="596" t="s">
        <v>345</v>
      </c>
      <c r="S89" s="633" t="s">
        <v>346</v>
      </c>
      <c r="T89" s="705">
        <v>46053</v>
      </c>
      <c r="U89" s="510"/>
      <c r="V89" s="797"/>
      <c r="W89" s="717">
        <v>46079</v>
      </c>
      <c r="X89" s="752"/>
      <c r="Y89" s="484"/>
    </row>
    <row r="90" spans="1:25" ht="22.5" customHeight="1" thickBot="1">
      <c r="A90" s="24"/>
      <c r="B90" s="336"/>
      <c r="C90" s="164"/>
      <c r="D90" s="164"/>
      <c r="E90" s="164"/>
      <c r="F90" s="468"/>
      <c r="G90" s="164"/>
      <c r="H90" s="542"/>
      <c r="I90" s="438"/>
      <c r="J90" s="439"/>
      <c r="K90" s="164"/>
      <c r="L90" s="336"/>
      <c r="M90" s="164"/>
      <c r="N90" s="164"/>
      <c r="O90" s="564"/>
      <c r="P90" s="468"/>
      <c r="Q90" s="164"/>
      <c r="R90" s="602"/>
      <c r="S90" s="336"/>
      <c r="T90" s="531" t="str">
        <f t="shared" si="7"/>
        <v/>
      </c>
      <c r="U90" s="496"/>
      <c r="V90" s="496"/>
      <c r="W90" s="542"/>
      <c r="X90" s="438"/>
      <c r="Y90" s="484"/>
    </row>
    <row r="91" spans="1:25" ht="15" customHeight="1">
      <c r="B91" s="311">
        <v>9</v>
      </c>
      <c r="C91" s="441" t="s">
        <v>347</v>
      </c>
      <c r="D91" s="327" t="s">
        <v>348</v>
      </c>
      <c r="E91" s="314"/>
      <c r="F91" s="436"/>
      <c r="G91" s="622">
        <f>D181</f>
        <v>238595</v>
      </c>
      <c r="H91" s="581">
        <f>H92</f>
        <v>45792</v>
      </c>
      <c r="I91" s="786">
        <f>SUM(G91:G102)</f>
        <v>771925</v>
      </c>
      <c r="J91" s="753">
        <f>F181+F182</f>
        <v>908147.0588235294</v>
      </c>
      <c r="K91" s="288"/>
      <c r="L91" s="311">
        <v>9</v>
      </c>
      <c r="M91" s="422" t="s">
        <v>349</v>
      </c>
      <c r="N91" s="327"/>
      <c r="O91" s="552"/>
      <c r="P91" s="436"/>
      <c r="Q91" s="315"/>
      <c r="R91" s="597"/>
      <c r="S91" s="634"/>
      <c r="T91" s="527" t="str">
        <f t="shared" si="7"/>
        <v/>
      </c>
      <c r="U91" s="512">
        <f>(Q91/$X$91*$J$91)</f>
        <v>0</v>
      </c>
      <c r="V91" s="771">
        <f>J91-SUM(U91:U102)</f>
        <v>0</v>
      </c>
      <c r="W91" s="581"/>
      <c r="X91" s="789">
        <f>SUM(Q91:Q102)</f>
        <v>954000</v>
      </c>
      <c r="Y91" s="484"/>
    </row>
    <row r="92" spans="1:25" ht="15" customHeight="1">
      <c r="B92" s="311">
        <v>9</v>
      </c>
      <c r="C92" s="441"/>
      <c r="D92" s="328" t="s">
        <v>350</v>
      </c>
      <c r="E92" s="314"/>
      <c r="F92" s="458"/>
      <c r="G92" s="622">
        <f>D182</f>
        <v>533330</v>
      </c>
      <c r="H92" s="537">
        <v>45792</v>
      </c>
      <c r="I92" s="787"/>
      <c r="J92" s="754"/>
      <c r="K92" s="288"/>
      <c r="L92" s="311">
        <v>9</v>
      </c>
      <c r="M92" s="422" t="s">
        <v>349</v>
      </c>
      <c r="N92" s="328" t="s">
        <v>289</v>
      </c>
      <c r="O92" s="571">
        <v>954000</v>
      </c>
      <c r="P92" s="572">
        <v>0.1</v>
      </c>
      <c r="Q92" s="315">
        <f>$O$92*P92</f>
        <v>95400</v>
      </c>
      <c r="R92" s="801" t="s">
        <v>290</v>
      </c>
      <c r="S92" s="627" t="s">
        <v>291</v>
      </c>
      <c r="T92" s="662">
        <v>45808</v>
      </c>
      <c r="U92" s="667">
        <v>90814.705882352951</v>
      </c>
      <c r="V92" s="772"/>
      <c r="W92" s="537">
        <v>45792</v>
      </c>
      <c r="X92" s="790"/>
      <c r="Y92" s="484"/>
    </row>
    <row r="93" spans="1:25" ht="15" customHeight="1">
      <c r="B93" s="383">
        <v>9</v>
      </c>
      <c r="C93" s="502"/>
      <c r="D93" s="385"/>
      <c r="E93" s="405"/>
      <c r="F93" s="443"/>
      <c r="G93" s="386"/>
      <c r="H93" s="538"/>
      <c r="I93" s="787"/>
      <c r="J93" s="754"/>
      <c r="K93" s="288"/>
      <c r="L93" s="383">
        <v>9</v>
      </c>
      <c r="M93" s="503" t="s">
        <v>349</v>
      </c>
      <c r="N93" s="385" t="s">
        <v>148</v>
      </c>
      <c r="O93" s="553"/>
      <c r="P93" s="570">
        <v>0.15</v>
      </c>
      <c r="Q93" s="315">
        <f t="shared" ref="Q93:Q99" si="8">$O$92*P93</f>
        <v>143100</v>
      </c>
      <c r="R93" s="802"/>
      <c r="S93" s="628" t="s">
        <v>292</v>
      </c>
      <c r="T93" s="647">
        <v>45838</v>
      </c>
      <c r="U93" s="673">
        <v>136222.0588235294</v>
      </c>
      <c r="V93" s="772"/>
      <c r="W93" s="538">
        <v>45834</v>
      </c>
      <c r="X93" s="790"/>
      <c r="Y93" s="484"/>
    </row>
    <row r="94" spans="1:25" ht="15" customHeight="1">
      <c r="B94" s="383">
        <v>9</v>
      </c>
      <c r="C94" s="502"/>
      <c r="D94" s="385"/>
      <c r="E94" s="405"/>
      <c r="F94" s="443"/>
      <c r="G94" s="386"/>
      <c r="H94" s="575"/>
      <c r="I94" s="787"/>
      <c r="J94" s="754"/>
      <c r="K94" s="288"/>
      <c r="L94" s="383">
        <v>9</v>
      </c>
      <c r="M94" s="503" t="s">
        <v>349</v>
      </c>
      <c r="N94" s="385" t="s">
        <v>293</v>
      </c>
      <c r="O94" s="553"/>
      <c r="P94" s="570">
        <v>0.2</v>
      </c>
      <c r="Q94" s="315">
        <f t="shared" si="8"/>
        <v>190800</v>
      </c>
      <c r="R94" s="802"/>
      <c r="S94" s="628" t="s">
        <v>294</v>
      </c>
      <c r="T94" s="647">
        <v>45900</v>
      </c>
      <c r="U94" s="673">
        <v>181629.4117647059</v>
      </c>
      <c r="V94" s="772"/>
      <c r="W94" s="538">
        <v>45954</v>
      </c>
      <c r="X94" s="790"/>
      <c r="Y94" s="484"/>
    </row>
    <row r="95" spans="1:25" ht="15" customHeight="1">
      <c r="B95" s="383">
        <v>9</v>
      </c>
      <c r="C95" s="502"/>
      <c r="D95" s="385"/>
      <c r="E95" s="405"/>
      <c r="F95" s="443"/>
      <c r="G95" s="386"/>
      <c r="H95" s="575"/>
      <c r="I95" s="787"/>
      <c r="J95" s="754"/>
      <c r="K95" s="288"/>
      <c r="L95" s="383">
        <v>9</v>
      </c>
      <c r="M95" s="503" t="s">
        <v>349</v>
      </c>
      <c r="N95" s="385" t="s">
        <v>295</v>
      </c>
      <c r="O95" s="553"/>
      <c r="P95" s="570">
        <v>0.25</v>
      </c>
      <c r="Q95" s="315">
        <f t="shared" si="8"/>
        <v>238500</v>
      </c>
      <c r="R95" s="802"/>
      <c r="S95" s="628" t="s">
        <v>351</v>
      </c>
      <c r="T95" s="647">
        <v>45991</v>
      </c>
      <c r="U95" s="655">
        <v>227036.76470588235</v>
      </c>
      <c r="V95" s="772"/>
      <c r="W95" s="538">
        <v>46009</v>
      </c>
      <c r="X95" s="790"/>
      <c r="Y95" s="484"/>
    </row>
    <row r="96" spans="1:25" ht="15" customHeight="1">
      <c r="B96" s="383">
        <v>9</v>
      </c>
      <c r="C96" s="502"/>
      <c r="D96" s="385"/>
      <c r="E96" s="405"/>
      <c r="F96" s="443"/>
      <c r="G96" s="386"/>
      <c r="H96" s="575"/>
      <c r="I96" s="787"/>
      <c r="J96" s="754"/>
      <c r="K96" s="288"/>
      <c r="L96" s="383">
        <v>9</v>
      </c>
      <c r="M96" s="503" t="s">
        <v>349</v>
      </c>
      <c r="N96" s="385" t="s">
        <v>106</v>
      </c>
      <c r="O96" s="553"/>
      <c r="P96" s="570">
        <v>0.1</v>
      </c>
      <c r="Q96" s="315">
        <f t="shared" si="8"/>
        <v>95400</v>
      </c>
      <c r="R96" s="802"/>
      <c r="S96" s="628" t="s">
        <v>352</v>
      </c>
      <c r="T96" s="647">
        <v>45991</v>
      </c>
      <c r="U96" s="655">
        <v>90814.705882352951</v>
      </c>
      <c r="V96" s="772"/>
      <c r="W96" s="538">
        <v>46051</v>
      </c>
      <c r="X96" s="790"/>
      <c r="Y96" s="484"/>
    </row>
    <row r="97" spans="1:25" ht="15" customHeight="1">
      <c r="B97" s="383">
        <v>9</v>
      </c>
      <c r="C97" s="502"/>
      <c r="D97" s="385"/>
      <c r="E97" s="405"/>
      <c r="F97" s="443"/>
      <c r="G97" s="386"/>
      <c r="H97" s="575"/>
      <c r="I97" s="787"/>
      <c r="J97" s="754"/>
      <c r="K97" s="288"/>
      <c r="L97" s="383">
        <v>9</v>
      </c>
      <c r="M97" s="503" t="s">
        <v>349</v>
      </c>
      <c r="N97" s="385" t="s">
        <v>298</v>
      </c>
      <c r="O97" s="553"/>
      <c r="P97" s="570">
        <v>0.1</v>
      </c>
      <c r="Q97" s="315">
        <f t="shared" si="8"/>
        <v>95400</v>
      </c>
      <c r="R97" s="802"/>
      <c r="S97" s="628" t="s">
        <v>353</v>
      </c>
      <c r="T97" s="647">
        <v>45991</v>
      </c>
      <c r="U97" s="655">
        <v>90814.705882352951</v>
      </c>
      <c r="V97" s="772"/>
      <c r="W97" s="538">
        <f>W96+7</f>
        <v>46058</v>
      </c>
      <c r="X97" s="790"/>
      <c r="Y97" s="484"/>
    </row>
    <row r="98" spans="1:25" ht="15" customHeight="1">
      <c r="B98" s="383">
        <v>9</v>
      </c>
      <c r="C98" s="502"/>
      <c r="D98" s="385"/>
      <c r="E98" s="405"/>
      <c r="F98" s="443"/>
      <c r="G98" s="386"/>
      <c r="H98" s="575"/>
      <c r="I98" s="787"/>
      <c r="J98" s="754"/>
      <c r="K98" s="288"/>
      <c r="L98" s="383">
        <v>9</v>
      </c>
      <c r="M98" s="503" t="s">
        <v>349</v>
      </c>
      <c r="N98" s="385" t="s">
        <v>300</v>
      </c>
      <c r="O98" s="553"/>
      <c r="P98" s="570">
        <v>0.05</v>
      </c>
      <c r="Q98" s="315">
        <f t="shared" si="8"/>
        <v>47700</v>
      </c>
      <c r="R98" s="802"/>
      <c r="S98" s="628" t="s">
        <v>354</v>
      </c>
      <c r="T98" s="647">
        <v>46022</v>
      </c>
      <c r="U98" s="655">
        <v>45407.352941176476</v>
      </c>
      <c r="V98" s="772"/>
      <c r="W98" s="538">
        <f>W97+8</f>
        <v>46066</v>
      </c>
      <c r="X98" s="790"/>
      <c r="Y98" s="484"/>
    </row>
    <row r="99" spans="1:25" ht="15" customHeight="1">
      <c r="B99" s="383">
        <v>9</v>
      </c>
      <c r="C99" s="502"/>
      <c r="D99" s="385"/>
      <c r="E99" s="405"/>
      <c r="F99" s="443"/>
      <c r="G99" s="386"/>
      <c r="H99" s="575"/>
      <c r="I99" s="787"/>
      <c r="J99" s="754"/>
      <c r="K99" s="288"/>
      <c r="L99" s="383">
        <v>9</v>
      </c>
      <c r="M99" s="503" t="s">
        <v>349</v>
      </c>
      <c r="N99" s="385" t="s">
        <v>302</v>
      </c>
      <c r="O99" s="553"/>
      <c r="P99" s="570">
        <v>0.05</v>
      </c>
      <c r="Q99" s="315">
        <f t="shared" si="8"/>
        <v>47700</v>
      </c>
      <c r="R99" s="803"/>
      <c r="S99" s="628" t="s">
        <v>355</v>
      </c>
      <c r="T99" s="647">
        <v>46022</v>
      </c>
      <c r="U99" s="655">
        <v>45407.352941176476</v>
      </c>
      <c r="V99" s="772"/>
      <c r="W99" s="575">
        <f>W98+30</f>
        <v>46096</v>
      </c>
      <c r="X99" s="790"/>
      <c r="Y99" s="484"/>
    </row>
    <row r="100" spans="1:25" ht="15" customHeight="1">
      <c r="B100" s="383">
        <v>9</v>
      </c>
      <c r="C100" s="502"/>
      <c r="D100" s="385"/>
      <c r="E100" s="405"/>
      <c r="F100" s="443"/>
      <c r="G100" s="386"/>
      <c r="H100" s="575"/>
      <c r="I100" s="787"/>
      <c r="J100" s="754"/>
      <c r="K100" s="288"/>
      <c r="L100" s="383">
        <v>9</v>
      </c>
      <c r="M100" s="503" t="s">
        <v>349</v>
      </c>
      <c r="N100" s="385"/>
      <c r="O100" s="553"/>
      <c r="P100" s="443"/>
      <c r="Q100" s="386"/>
      <c r="R100" s="591"/>
      <c r="S100" s="628"/>
      <c r="T100" s="521" t="str">
        <f t="shared" si="7"/>
        <v/>
      </c>
      <c r="U100" s="505">
        <f t="shared" ref="U100:U102" si="9">(Q100/$X$91*$J$91)</f>
        <v>0</v>
      </c>
      <c r="V100" s="772"/>
      <c r="W100" s="575"/>
      <c r="X100" s="790"/>
      <c r="Y100" s="484"/>
    </row>
    <row r="101" spans="1:25" ht="15" customHeight="1">
      <c r="B101" s="383">
        <v>9</v>
      </c>
      <c r="C101" s="502"/>
      <c r="D101" s="385"/>
      <c r="E101" s="405"/>
      <c r="F101" s="443"/>
      <c r="G101" s="386"/>
      <c r="H101" s="575"/>
      <c r="I101" s="787"/>
      <c r="J101" s="754"/>
      <c r="K101" s="288"/>
      <c r="L101" s="383">
        <v>9</v>
      </c>
      <c r="M101" s="503" t="s">
        <v>349</v>
      </c>
      <c r="N101" s="385"/>
      <c r="O101" s="553"/>
      <c r="P101" s="443"/>
      <c r="Q101" s="386"/>
      <c r="R101" s="591"/>
      <c r="S101" s="628"/>
      <c r="T101" s="521" t="str">
        <f t="shared" si="7"/>
        <v/>
      </c>
      <c r="U101" s="505">
        <f t="shared" si="9"/>
        <v>0</v>
      </c>
      <c r="V101" s="772"/>
      <c r="W101" s="575"/>
      <c r="X101" s="790"/>
      <c r="Y101" s="484"/>
    </row>
    <row r="102" spans="1:25" ht="15" customHeight="1" thickBot="1">
      <c r="B102" s="316">
        <v>9</v>
      </c>
      <c r="C102" s="437"/>
      <c r="D102" s="329"/>
      <c r="E102" s="318"/>
      <c r="F102" s="459"/>
      <c r="G102" s="330"/>
      <c r="H102" s="576"/>
      <c r="I102" s="788"/>
      <c r="J102" s="755"/>
      <c r="K102" s="289"/>
      <c r="L102" s="316">
        <v>9</v>
      </c>
      <c r="M102" s="440" t="s">
        <v>349</v>
      </c>
      <c r="N102" s="329"/>
      <c r="O102" s="554"/>
      <c r="P102" s="459"/>
      <c r="Q102" s="330"/>
      <c r="R102" s="592"/>
      <c r="S102" s="629"/>
      <c r="T102" s="522" t="str">
        <f t="shared" si="7"/>
        <v/>
      </c>
      <c r="U102" s="506">
        <f t="shared" si="9"/>
        <v>0</v>
      </c>
      <c r="V102" s="773"/>
      <c r="W102" s="576"/>
      <c r="X102" s="791"/>
      <c r="Y102" s="484"/>
    </row>
    <row r="103" spans="1:25" ht="14.5" thickBot="1">
      <c r="A103" s="24"/>
      <c r="B103" s="290"/>
      <c r="C103" s="307"/>
      <c r="D103" s="308"/>
      <c r="E103" s="291"/>
      <c r="F103" s="455"/>
      <c r="G103" s="292"/>
      <c r="H103" s="577"/>
      <c r="I103" s="280"/>
      <c r="J103" s="402"/>
      <c r="K103" s="24"/>
      <c r="L103" s="290"/>
      <c r="M103" s="307"/>
      <c r="N103" s="308"/>
      <c r="O103" s="555"/>
      <c r="P103" s="455"/>
      <c r="Q103" s="292"/>
      <c r="R103" s="593"/>
      <c r="S103" s="630"/>
      <c r="T103" s="523" t="str">
        <f t="shared" si="7"/>
        <v/>
      </c>
      <c r="U103" s="511"/>
      <c r="V103" s="494"/>
      <c r="W103" s="577"/>
      <c r="X103" s="350"/>
      <c r="Y103" s="484"/>
    </row>
    <row r="104" spans="1:25" ht="14.25" customHeight="1">
      <c r="B104" s="269">
        <v>10</v>
      </c>
      <c r="C104" s="270" t="s">
        <v>356</v>
      </c>
      <c r="D104" s="270" t="s">
        <v>261</v>
      </c>
      <c r="E104" s="271"/>
      <c r="F104" s="469"/>
      <c r="G104" s="338">
        <f>D185</f>
        <v>8500</v>
      </c>
      <c r="H104" s="585">
        <f>H106</f>
        <v>45901</v>
      </c>
      <c r="I104" s="780">
        <f>SUM(G104:G123)</f>
        <v>191986</v>
      </c>
      <c r="J104" s="780">
        <f>F185+F188+F189+F187</f>
        <v>225865.88235294117</v>
      </c>
      <c r="K104" s="339"/>
      <c r="L104" s="269">
        <v>10</v>
      </c>
      <c r="M104" s="433" t="s">
        <v>357</v>
      </c>
      <c r="N104" s="270"/>
      <c r="O104" s="565"/>
      <c r="P104" s="469"/>
      <c r="Q104" s="338"/>
      <c r="R104" s="603"/>
      <c r="S104" s="639"/>
      <c r="T104" s="532"/>
      <c r="U104" s="516">
        <f>(Q104/$X$104*$J$104)</f>
        <v>0</v>
      </c>
      <c r="V104" s="792">
        <f>J104-SUM(U104:U123)</f>
        <v>4.3192269804421812E-3</v>
      </c>
      <c r="W104" s="585"/>
      <c r="X104" s="783">
        <f>SUM(Q104:Q123)</f>
        <v>364435</v>
      </c>
      <c r="Y104" s="484"/>
    </row>
    <row r="105" spans="1:25" ht="14.25" customHeight="1">
      <c r="B105" s="340"/>
      <c r="C105" s="341"/>
      <c r="D105" s="341"/>
      <c r="E105" s="342"/>
      <c r="F105" s="470"/>
      <c r="G105" s="343"/>
      <c r="H105" s="585"/>
      <c r="I105" s="781"/>
      <c r="J105" s="781"/>
      <c r="K105" s="272"/>
      <c r="L105" s="340">
        <v>10</v>
      </c>
      <c r="M105" s="663" t="s">
        <v>357</v>
      </c>
      <c r="N105" s="341"/>
      <c r="O105" s="566"/>
      <c r="P105" s="470"/>
      <c r="Q105" s="343"/>
      <c r="R105" s="603"/>
      <c r="S105" s="639"/>
      <c r="T105" s="533" t="str">
        <f t="shared" ref="T105" si="10">IF(W105&gt;1,EOMONTH(W105,0),"")</f>
        <v/>
      </c>
      <c r="U105" s="517">
        <f>(Q105/$X$104*$J$104)</f>
        <v>0</v>
      </c>
      <c r="V105" s="793"/>
      <c r="W105" s="585"/>
      <c r="X105" s="784"/>
      <c r="Y105" s="484"/>
    </row>
    <row r="106" spans="1:25" ht="14.25" customHeight="1">
      <c r="B106" s="340"/>
      <c r="C106" s="341"/>
      <c r="D106" s="341"/>
      <c r="E106" s="342"/>
      <c r="F106" s="470"/>
      <c r="G106" s="343"/>
      <c r="H106" s="543">
        <v>45901</v>
      </c>
      <c r="I106" s="781"/>
      <c r="J106" s="781"/>
      <c r="K106" s="272"/>
      <c r="L106" s="340">
        <v>10</v>
      </c>
      <c r="M106" s="663" t="s">
        <v>357</v>
      </c>
      <c r="N106" s="341" t="s">
        <v>358</v>
      </c>
      <c r="O106" s="566"/>
      <c r="P106" s="470"/>
      <c r="Q106" s="343">
        <v>68600</v>
      </c>
      <c r="R106" s="603" t="s">
        <v>359</v>
      </c>
      <c r="S106" s="639" t="s">
        <v>360</v>
      </c>
      <c r="T106" s="677">
        <v>45869</v>
      </c>
      <c r="U106" s="679">
        <v>72467.863152348014</v>
      </c>
      <c r="V106" s="793"/>
      <c r="W106" s="543">
        <v>45901</v>
      </c>
      <c r="X106" s="784"/>
      <c r="Y106" s="484"/>
    </row>
    <row r="107" spans="1:25" ht="14.25" customHeight="1">
      <c r="B107" s="340"/>
      <c r="C107" s="341"/>
      <c r="D107" s="341"/>
      <c r="E107" s="342"/>
      <c r="F107" s="470"/>
      <c r="G107" s="343"/>
      <c r="H107" s="585"/>
      <c r="I107" s="781"/>
      <c r="J107" s="781"/>
      <c r="K107" s="272"/>
      <c r="L107" s="340">
        <v>10</v>
      </c>
      <c r="M107" s="663" t="s">
        <v>357</v>
      </c>
      <c r="N107" s="341" t="s">
        <v>361</v>
      </c>
      <c r="O107" s="566"/>
      <c r="P107" s="470"/>
      <c r="Q107" s="343">
        <v>59780</v>
      </c>
      <c r="R107" s="603"/>
      <c r="S107" s="639" t="s">
        <v>362</v>
      </c>
      <c r="T107" s="683">
        <v>45930</v>
      </c>
      <c r="U107" s="685">
        <v>41618.083115730158</v>
      </c>
      <c r="V107" s="793"/>
      <c r="W107" s="543">
        <v>45961</v>
      </c>
      <c r="X107" s="784"/>
      <c r="Y107" s="484"/>
    </row>
    <row r="108" spans="1:25" ht="14.25" customHeight="1">
      <c r="B108" s="340"/>
      <c r="C108" s="341"/>
      <c r="D108" s="341"/>
      <c r="E108" s="342"/>
      <c r="F108" s="470"/>
      <c r="G108" s="343"/>
      <c r="H108" s="585">
        <v>45930</v>
      </c>
      <c r="I108" s="781"/>
      <c r="J108" s="781"/>
      <c r="K108" s="272"/>
      <c r="L108" s="340">
        <v>10</v>
      </c>
      <c r="M108" s="663" t="s">
        <v>357</v>
      </c>
      <c r="N108" s="341" t="s">
        <v>363</v>
      </c>
      <c r="O108" s="566"/>
      <c r="P108" s="470"/>
      <c r="Q108" s="343">
        <v>59780</v>
      </c>
      <c r="R108" s="603"/>
      <c r="S108" s="639" t="s">
        <v>364</v>
      </c>
      <c r="T108" s="683">
        <v>45930</v>
      </c>
      <c r="U108" s="685">
        <v>42250.303115730159</v>
      </c>
      <c r="V108" s="793"/>
      <c r="W108" s="543">
        <v>45939</v>
      </c>
      <c r="X108" s="784"/>
      <c r="Y108" s="484"/>
    </row>
    <row r="109" spans="1:25" ht="14.25" customHeight="1">
      <c r="B109" s="340"/>
      <c r="C109" s="341"/>
      <c r="D109" s="341"/>
      <c r="E109" s="342"/>
      <c r="F109" s="470"/>
      <c r="G109" s="343"/>
      <c r="H109" s="585"/>
      <c r="I109" s="781"/>
      <c r="J109" s="781"/>
      <c r="K109" s="272"/>
      <c r="L109" s="340">
        <v>10</v>
      </c>
      <c r="M109" s="663" t="s">
        <v>357</v>
      </c>
      <c r="N109" s="341" t="s">
        <v>365</v>
      </c>
      <c r="O109" s="566"/>
      <c r="P109" s="470"/>
      <c r="Q109" s="343">
        <v>60760</v>
      </c>
      <c r="R109" s="603"/>
      <c r="S109" s="639" t="s">
        <v>366</v>
      </c>
      <c r="T109" s="683">
        <v>45961</v>
      </c>
      <c r="U109" s="685">
        <v>4428.63</v>
      </c>
      <c r="V109" s="793"/>
      <c r="W109" s="543">
        <v>45974</v>
      </c>
      <c r="X109" s="784"/>
      <c r="Y109" s="484"/>
    </row>
    <row r="110" spans="1:25" ht="14.25" customHeight="1">
      <c r="B110" s="340">
        <v>10</v>
      </c>
      <c r="C110" s="341"/>
      <c r="D110" s="341" t="s">
        <v>262</v>
      </c>
      <c r="E110" s="342"/>
      <c r="F110" s="470"/>
      <c r="G110" s="343">
        <f>D189</f>
        <v>51911</v>
      </c>
      <c r="H110" s="585">
        <v>45930</v>
      </c>
      <c r="I110" s="781"/>
      <c r="J110" s="781"/>
      <c r="K110" s="272"/>
      <c r="L110" s="340">
        <v>10</v>
      </c>
      <c r="M110" s="434" t="s">
        <v>357</v>
      </c>
      <c r="N110" s="341" t="s">
        <v>367</v>
      </c>
      <c r="O110" s="566"/>
      <c r="P110" s="470"/>
      <c r="Q110" s="343">
        <v>10780</v>
      </c>
      <c r="R110" s="604"/>
      <c r="S110" s="684" t="s">
        <v>368</v>
      </c>
      <c r="T110" s="677">
        <v>46022</v>
      </c>
      <c r="U110" s="685">
        <v>4323.91</v>
      </c>
      <c r="V110" s="793"/>
      <c r="W110" s="702">
        <v>46037</v>
      </c>
      <c r="X110" s="784"/>
      <c r="Y110" s="484"/>
    </row>
    <row r="111" spans="1:25" ht="14.25" customHeight="1">
      <c r="B111" s="340">
        <v>10</v>
      </c>
      <c r="C111" s="341"/>
      <c r="D111" s="341" t="s">
        <v>369</v>
      </c>
      <c r="E111" s="342"/>
      <c r="F111" s="470"/>
      <c r="G111" s="343">
        <f>D188</f>
        <v>114000</v>
      </c>
      <c r="H111" s="585">
        <v>45930</v>
      </c>
      <c r="I111" s="781"/>
      <c r="J111" s="781"/>
      <c r="K111" s="272"/>
      <c r="L111" s="340">
        <v>10</v>
      </c>
      <c r="M111" s="434" t="s">
        <v>357</v>
      </c>
      <c r="N111" s="341" t="s">
        <v>370</v>
      </c>
      <c r="O111" s="566"/>
      <c r="P111" s="470"/>
      <c r="Q111" s="343">
        <v>35280</v>
      </c>
      <c r="R111" s="604"/>
      <c r="S111" s="640" t="s">
        <v>371</v>
      </c>
      <c r="T111" s="677">
        <v>46053</v>
      </c>
      <c r="U111" s="517">
        <v>0</v>
      </c>
      <c r="V111" s="793"/>
      <c r="W111" s="706">
        <v>46058</v>
      </c>
      <c r="X111" s="784"/>
      <c r="Y111" s="484"/>
    </row>
    <row r="112" spans="1:25" ht="14.25" customHeight="1">
      <c r="B112" s="340">
        <v>10</v>
      </c>
      <c r="C112" s="341"/>
      <c r="D112" s="341" t="s">
        <v>263</v>
      </c>
      <c r="E112" s="342"/>
      <c r="F112" s="470"/>
      <c r="G112" s="343">
        <f>D187</f>
        <v>17575</v>
      </c>
      <c r="H112" s="585">
        <v>45930</v>
      </c>
      <c r="I112" s="781"/>
      <c r="J112" s="781"/>
      <c r="K112" s="272"/>
      <c r="L112" s="340">
        <v>10</v>
      </c>
      <c r="M112" s="434" t="s">
        <v>357</v>
      </c>
      <c r="N112" s="341"/>
      <c r="O112" s="566"/>
      <c r="P112" s="470"/>
      <c r="Q112" s="343"/>
      <c r="R112" s="604"/>
      <c r="S112" s="640"/>
      <c r="T112" s="533" t="str">
        <f t="shared" si="7"/>
        <v/>
      </c>
      <c r="U112" s="517">
        <f>(Q112/$X$104*$J$104)</f>
        <v>0</v>
      </c>
      <c r="V112" s="793"/>
      <c r="W112" s="586"/>
      <c r="X112" s="784"/>
      <c r="Y112" s="484"/>
    </row>
    <row r="113" spans="1:25" ht="14.25" customHeight="1">
      <c r="B113" s="340">
        <v>10</v>
      </c>
      <c r="C113" s="341"/>
      <c r="D113" s="341"/>
      <c r="E113" s="342"/>
      <c r="F113" s="470"/>
      <c r="G113" s="343"/>
      <c r="H113" s="544"/>
      <c r="I113" s="781"/>
      <c r="J113" s="781"/>
      <c r="K113" s="272"/>
      <c r="L113" s="340">
        <v>10</v>
      </c>
      <c r="M113" s="434" t="s">
        <v>357</v>
      </c>
      <c r="N113" s="341" t="s">
        <v>289</v>
      </c>
      <c r="O113" s="621">
        <v>69455</v>
      </c>
      <c r="P113" s="573">
        <v>0.1</v>
      </c>
      <c r="Q113" s="343">
        <f>$O$113*P113</f>
        <v>6945.5</v>
      </c>
      <c r="R113" s="798" t="s">
        <v>290</v>
      </c>
      <c r="S113" s="641" t="s">
        <v>291</v>
      </c>
      <c r="T113" s="661">
        <v>45808</v>
      </c>
      <c r="U113" s="668">
        <v>8551.1514315900513</v>
      </c>
      <c r="V113" s="793"/>
      <c r="W113" s="544">
        <f t="shared" ref="W113" si="11">W92</f>
        <v>45792</v>
      </c>
      <c r="X113" s="784"/>
      <c r="Y113" s="484"/>
    </row>
    <row r="114" spans="1:25" ht="14.25" customHeight="1">
      <c r="B114" s="340">
        <v>10</v>
      </c>
      <c r="C114" s="341"/>
      <c r="D114" s="341"/>
      <c r="E114" s="342"/>
      <c r="F114" s="470"/>
      <c r="G114" s="343"/>
      <c r="H114" s="544"/>
      <c r="I114" s="781"/>
      <c r="J114" s="781"/>
      <c r="K114" s="272"/>
      <c r="L114" s="340">
        <v>10</v>
      </c>
      <c r="M114" s="434" t="s">
        <v>357</v>
      </c>
      <c r="N114" s="341" t="s">
        <v>148</v>
      </c>
      <c r="O114" s="566"/>
      <c r="P114" s="573">
        <v>0.15</v>
      </c>
      <c r="Q114" s="343">
        <f t="shared" ref="Q114:Q120" si="12">$O$113*P114</f>
        <v>10418.25</v>
      </c>
      <c r="R114" s="799"/>
      <c r="S114" s="641" t="s">
        <v>292</v>
      </c>
      <c r="T114" s="661">
        <f>T93</f>
        <v>45838</v>
      </c>
      <c r="U114" s="668">
        <v>12303.803485541619</v>
      </c>
      <c r="V114" s="793"/>
      <c r="W114" s="544">
        <f>W93</f>
        <v>45834</v>
      </c>
      <c r="X114" s="784"/>
      <c r="Y114" s="484"/>
    </row>
    <row r="115" spans="1:25" ht="14.25" customHeight="1">
      <c r="B115" s="340">
        <v>10</v>
      </c>
      <c r="C115" s="341"/>
      <c r="D115" s="341"/>
      <c r="E115" s="342"/>
      <c r="F115" s="470"/>
      <c r="G115" s="343"/>
      <c r="H115" s="587"/>
      <c r="I115" s="781"/>
      <c r="J115" s="781"/>
      <c r="K115" s="272"/>
      <c r="L115" s="340">
        <v>10</v>
      </c>
      <c r="M115" s="434" t="s">
        <v>357</v>
      </c>
      <c r="N115" s="341" t="s">
        <v>293</v>
      </c>
      <c r="O115" s="566"/>
      <c r="P115" s="573">
        <v>0.2</v>
      </c>
      <c r="Q115" s="343">
        <f t="shared" si="12"/>
        <v>13891</v>
      </c>
      <c r="R115" s="799"/>
      <c r="S115" s="641" t="s">
        <v>294</v>
      </c>
      <c r="T115" s="661">
        <f t="shared" ref="T115:T120" si="13">T94</f>
        <v>45900</v>
      </c>
      <c r="U115" s="668">
        <v>15182.323059034166</v>
      </c>
      <c r="V115" s="793"/>
      <c r="W115" s="544">
        <f t="shared" ref="W115:W120" si="14">W94</f>
        <v>45954</v>
      </c>
      <c r="X115" s="784"/>
      <c r="Y115" s="484"/>
    </row>
    <row r="116" spans="1:25" ht="14.25" customHeight="1">
      <c r="B116" s="340">
        <v>10</v>
      </c>
      <c r="C116" s="341"/>
      <c r="D116" s="341"/>
      <c r="E116" s="342"/>
      <c r="F116" s="470"/>
      <c r="G116" s="343"/>
      <c r="H116" s="587"/>
      <c r="I116" s="781"/>
      <c r="J116" s="781"/>
      <c r="K116" s="272"/>
      <c r="L116" s="340">
        <v>10</v>
      </c>
      <c r="M116" s="434" t="s">
        <v>357</v>
      </c>
      <c r="N116" s="341" t="s">
        <v>295</v>
      </c>
      <c r="O116" s="566"/>
      <c r="P116" s="573">
        <v>0.25</v>
      </c>
      <c r="Q116" s="343">
        <f t="shared" si="12"/>
        <v>17363.75</v>
      </c>
      <c r="R116" s="799"/>
      <c r="S116" s="641" t="s">
        <v>351</v>
      </c>
      <c r="T116" s="661">
        <f t="shared" si="13"/>
        <v>45991</v>
      </c>
      <c r="U116" s="657">
        <v>11245.369140817715</v>
      </c>
      <c r="V116" s="793"/>
      <c r="W116" s="659">
        <f t="shared" si="14"/>
        <v>46009</v>
      </c>
      <c r="X116" s="784"/>
      <c r="Y116" s="484"/>
    </row>
    <row r="117" spans="1:25" ht="14.25" customHeight="1">
      <c r="B117" s="340">
        <v>10</v>
      </c>
      <c r="C117" s="341"/>
      <c r="D117" s="341"/>
      <c r="E117" s="342"/>
      <c r="F117" s="470"/>
      <c r="G117" s="343"/>
      <c r="H117" s="587"/>
      <c r="I117" s="781"/>
      <c r="J117" s="781"/>
      <c r="K117" s="272"/>
      <c r="L117" s="340">
        <v>10</v>
      </c>
      <c r="M117" s="434" t="s">
        <v>357</v>
      </c>
      <c r="N117" s="341" t="s">
        <v>106</v>
      </c>
      <c r="O117" s="566"/>
      <c r="P117" s="573">
        <v>0.1</v>
      </c>
      <c r="Q117" s="343">
        <f t="shared" si="12"/>
        <v>6945.5</v>
      </c>
      <c r="R117" s="799"/>
      <c r="S117" s="641" t="s">
        <v>352</v>
      </c>
      <c r="T117" s="661">
        <f t="shared" si="13"/>
        <v>45991</v>
      </c>
      <c r="U117" s="657">
        <v>4498.1476563270862</v>
      </c>
      <c r="V117" s="793"/>
      <c r="W117" s="544">
        <f t="shared" si="14"/>
        <v>46051</v>
      </c>
      <c r="X117" s="784"/>
      <c r="Y117" s="484"/>
    </row>
    <row r="118" spans="1:25" ht="14.25" customHeight="1">
      <c r="B118" s="340">
        <v>10</v>
      </c>
      <c r="C118" s="341"/>
      <c r="D118" s="341"/>
      <c r="E118" s="342"/>
      <c r="F118" s="470"/>
      <c r="G118" s="343"/>
      <c r="H118" s="587"/>
      <c r="I118" s="781"/>
      <c r="J118" s="781"/>
      <c r="K118" s="272"/>
      <c r="L118" s="340">
        <v>10</v>
      </c>
      <c r="M118" s="434" t="s">
        <v>357</v>
      </c>
      <c r="N118" s="341" t="s">
        <v>298</v>
      </c>
      <c r="O118" s="566"/>
      <c r="P118" s="573">
        <v>0.1</v>
      </c>
      <c r="Q118" s="343">
        <f t="shared" si="12"/>
        <v>6945.5</v>
      </c>
      <c r="R118" s="799"/>
      <c r="S118" s="641" t="s">
        <v>353</v>
      </c>
      <c r="T118" s="661">
        <f t="shared" si="13"/>
        <v>45991</v>
      </c>
      <c r="U118" s="657">
        <v>4498.1476563270862</v>
      </c>
      <c r="V118" s="793"/>
      <c r="W118" s="544">
        <f t="shared" si="14"/>
        <v>46058</v>
      </c>
      <c r="X118" s="784"/>
      <c r="Y118" s="484"/>
    </row>
    <row r="119" spans="1:25" ht="14.25" customHeight="1">
      <c r="B119" s="340">
        <v>10</v>
      </c>
      <c r="C119" s="341"/>
      <c r="D119" s="341"/>
      <c r="E119" s="342"/>
      <c r="F119" s="470"/>
      <c r="G119" s="343"/>
      <c r="H119" s="587"/>
      <c r="I119" s="781"/>
      <c r="J119" s="781"/>
      <c r="K119" s="272"/>
      <c r="L119" s="340">
        <v>10</v>
      </c>
      <c r="M119" s="434" t="s">
        <v>357</v>
      </c>
      <c r="N119" s="341" t="s">
        <v>300</v>
      </c>
      <c r="O119" s="566"/>
      <c r="P119" s="573">
        <v>0.05</v>
      </c>
      <c r="Q119" s="343">
        <f t="shared" si="12"/>
        <v>3472.75</v>
      </c>
      <c r="R119" s="799"/>
      <c r="S119" s="641" t="s">
        <v>354</v>
      </c>
      <c r="T119" s="661">
        <f t="shared" si="13"/>
        <v>46022</v>
      </c>
      <c r="U119" s="657">
        <v>2249.0681101340601</v>
      </c>
      <c r="V119" s="793"/>
      <c r="W119" s="544">
        <f t="shared" si="14"/>
        <v>46066</v>
      </c>
      <c r="X119" s="784"/>
      <c r="Y119" s="484"/>
    </row>
    <row r="120" spans="1:25" ht="14.25" customHeight="1">
      <c r="B120" s="340">
        <v>10</v>
      </c>
      <c r="C120" s="341"/>
      <c r="D120" s="341"/>
      <c r="E120" s="342"/>
      <c r="F120" s="470"/>
      <c r="G120" s="343"/>
      <c r="H120" s="587"/>
      <c r="I120" s="781"/>
      <c r="J120" s="781"/>
      <c r="K120" s="272"/>
      <c r="L120" s="340">
        <v>10</v>
      </c>
      <c r="M120" s="434" t="s">
        <v>357</v>
      </c>
      <c r="N120" s="341" t="s">
        <v>302</v>
      </c>
      <c r="O120" s="566"/>
      <c r="P120" s="573">
        <v>0.05</v>
      </c>
      <c r="Q120" s="343">
        <f t="shared" si="12"/>
        <v>3472.75</v>
      </c>
      <c r="R120" s="800"/>
      <c r="S120" s="641" t="s">
        <v>355</v>
      </c>
      <c r="T120" s="661">
        <f t="shared" si="13"/>
        <v>46022</v>
      </c>
      <c r="U120" s="657">
        <v>2249.0781101340599</v>
      </c>
      <c r="V120" s="793"/>
      <c r="W120" s="587">
        <f t="shared" si="14"/>
        <v>46096</v>
      </c>
      <c r="X120" s="784"/>
      <c r="Y120" s="484"/>
    </row>
    <row r="121" spans="1:25" ht="14.15" customHeight="1">
      <c r="B121" s="340">
        <v>10</v>
      </c>
      <c r="C121" s="341"/>
      <c r="D121" s="341"/>
      <c r="E121" s="342"/>
      <c r="F121" s="470"/>
      <c r="G121" s="343"/>
      <c r="H121" s="587"/>
      <c r="I121" s="781"/>
      <c r="J121" s="781"/>
      <c r="K121" s="272"/>
      <c r="L121" s="340">
        <v>10</v>
      </c>
      <c r="M121" s="434" t="s">
        <v>357</v>
      </c>
      <c r="N121" s="341"/>
      <c r="O121" s="566"/>
      <c r="P121" s="470"/>
      <c r="Q121" s="343"/>
      <c r="R121" s="605"/>
      <c r="S121" s="641"/>
      <c r="T121" s="534" t="str">
        <f t="shared" si="7"/>
        <v/>
      </c>
      <c r="U121" s="518">
        <f t="shared" ref="U121:U123" si="15">(Q121/$X$104*$J$104)</f>
        <v>0</v>
      </c>
      <c r="V121" s="793"/>
      <c r="W121" s="587"/>
      <c r="X121" s="784"/>
      <c r="Y121" s="484"/>
    </row>
    <row r="122" spans="1:25" ht="14.25" customHeight="1">
      <c r="B122" s="340">
        <v>10</v>
      </c>
      <c r="C122" s="341"/>
      <c r="D122" s="341"/>
      <c r="E122" s="342"/>
      <c r="F122" s="470"/>
      <c r="G122" s="343"/>
      <c r="H122" s="587"/>
      <c r="I122" s="781"/>
      <c r="J122" s="781"/>
      <c r="K122" s="272"/>
      <c r="L122" s="340">
        <v>10</v>
      </c>
      <c r="M122" s="434" t="s">
        <v>357</v>
      </c>
      <c r="N122" s="341"/>
      <c r="O122" s="566"/>
      <c r="P122" s="470"/>
      <c r="Q122" s="343"/>
      <c r="R122" s="605"/>
      <c r="S122" s="703"/>
      <c r="T122" s="534" t="str">
        <f t="shared" si="7"/>
        <v/>
      </c>
      <c r="U122" s="518">
        <f t="shared" si="15"/>
        <v>0</v>
      </c>
      <c r="V122" s="793"/>
      <c r="W122" s="587"/>
      <c r="X122" s="784"/>
      <c r="Y122" s="484"/>
    </row>
    <row r="123" spans="1:25" ht="15" customHeight="1" thickBot="1">
      <c r="B123" s="273">
        <v>10</v>
      </c>
      <c r="C123" s="344"/>
      <c r="D123" s="344"/>
      <c r="E123" s="345"/>
      <c r="F123" s="471"/>
      <c r="G123" s="274"/>
      <c r="H123" s="588"/>
      <c r="I123" s="782"/>
      <c r="J123" s="782"/>
      <c r="K123" s="275"/>
      <c r="L123" s="273">
        <v>10</v>
      </c>
      <c r="M123" s="435" t="s">
        <v>357</v>
      </c>
      <c r="N123" s="344"/>
      <c r="O123" s="567"/>
      <c r="P123" s="471"/>
      <c r="Q123" s="274"/>
      <c r="R123" s="606"/>
      <c r="S123" s="642"/>
      <c r="T123" s="535" t="str">
        <f t="shared" si="7"/>
        <v/>
      </c>
      <c r="U123" s="519">
        <f t="shared" si="15"/>
        <v>0</v>
      </c>
      <c r="V123" s="794"/>
      <c r="W123" s="588"/>
      <c r="X123" s="785"/>
      <c r="Y123" s="484"/>
    </row>
    <row r="124" spans="1:25" ht="14.5" thickBot="1">
      <c r="A124" s="24"/>
      <c r="B124" s="276"/>
      <c r="C124" s="277"/>
      <c r="D124" s="277"/>
      <c r="E124" s="291"/>
      <c r="F124" s="455"/>
      <c r="G124" s="279"/>
      <c r="H124" s="577"/>
      <c r="I124" s="280"/>
      <c r="J124" s="402"/>
      <c r="K124" s="24"/>
      <c r="L124" s="276"/>
      <c r="M124" s="277"/>
      <c r="N124" s="277"/>
      <c r="O124" s="555"/>
      <c r="P124" s="455"/>
      <c r="Q124" s="279"/>
      <c r="R124" s="598"/>
      <c r="S124" s="635"/>
      <c r="T124" s="523" t="str">
        <f t="shared" si="7"/>
        <v/>
      </c>
      <c r="U124" s="507"/>
      <c r="V124" s="495"/>
      <c r="W124" s="577"/>
      <c r="X124" s="350"/>
      <c r="Y124" s="484"/>
    </row>
    <row r="125" spans="1:25" ht="14.25" customHeight="1">
      <c r="B125" s="281">
        <v>11</v>
      </c>
      <c r="C125" s="282" t="s">
        <v>372</v>
      </c>
      <c r="D125" s="351" t="s">
        <v>373</v>
      </c>
      <c r="E125" s="283"/>
      <c r="F125" s="436"/>
      <c r="G125" s="284">
        <v>23859.5</v>
      </c>
      <c r="H125" s="581">
        <v>45930</v>
      </c>
      <c r="I125" s="753">
        <f>SUM(G125:G129)</f>
        <v>158578.5</v>
      </c>
      <c r="J125" s="753">
        <f>F184</f>
        <v>186562.9411764706</v>
      </c>
      <c r="K125" s="285"/>
      <c r="L125" s="281">
        <v>11</v>
      </c>
      <c r="M125" s="351" t="s">
        <v>374</v>
      </c>
      <c r="N125" s="351" t="s">
        <v>373</v>
      </c>
      <c r="O125" s="283"/>
      <c r="P125" s="436"/>
      <c r="Q125" s="284">
        <v>26198.38</v>
      </c>
      <c r="R125" s="597"/>
      <c r="S125" s="634" t="s">
        <v>375</v>
      </c>
      <c r="T125" s="664">
        <v>45869</v>
      </c>
      <c r="U125" s="666">
        <v>38186.091434939968</v>
      </c>
      <c r="V125" s="771">
        <f>J125-SUM(U125:U129)</f>
        <v>2.4512299569323659E-3</v>
      </c>
      <c r="W125" s="541">
        <v>46051</v>
      </c>
      <c r="X125" s="768">
        <f>SUM(Q125:Q129)</f>
        <v>126810.13</v>
      </c>
      <c r="Y125" s="484"/>
    </row>
    <row r="126" spans="1:25" ht="15" customHeight="1">
      <c r="B126" s="311">
        <v>11</v>
      </c>
      <c r="C126" s="313"/>
      <c r="D126" s="313" t="s">
        <v>376</v>
      </c>
      <c r="E126" s="314"/>
      <c r="F126" s="458"/>
      <c r="G126" s="315">
        <v>47719</v>
      </c>
      <c r="H126" s="653">
        <v>45930</v>
      </c>
      <c r="I126" s="754"/>
      <c r="J126" s="754"/>
      <c r="K126" s="288"/>
      <c r="L126" s="311">
        <v>11</v>
      </c>
      <c r="M126" s="389" t="s">
        <v>374</v>
      </c>
      <c r="N126" s="313" t="s">
        <v>377</v>
      </c>
      <c r="O126" s="314"/>
      <c r="P126" s="458"/>
      <c r="Q126" s="315">
        <v>7811.75</v>
      </c>
      <c r="R126" s="590" t="s">
        <v>378</v>
      </c>
      <c r="S126" s="627" t="s">
        <v>379</v>
      </c>
      <c r="T126" s="652">
        <v>45777</v>
      </c>
      <c r="U126" s="654">
        <v>32551.761582160296</v>
      </c>
      <c r="V126" s="772"/>
      <c r="W126" s="653">
        <v>45757</v>
      </c>
      <c r="X126" s="769"/>
      <c r="Y126" s="484"/>
    </row>
    <row r="127" spans="1:25" ht="15" customHeight="1">
      <c r="B127" s="311">
        <v>11</v>
      </c>
      <c r="C127" s="313"/>
      <c r="D127" s="313" t="s">
        <v>380</v>
      </c>
      <c r="E127" s="314"/>
      <c r="F127" s="458"/>
      <c r="G127" s="315">
        <v>80000</v>
      </c>
      <c r="H127" s="574">
        <v>45930</v>
      </c>
      <c r="I127" s="754"/>
      <c r="J127" s="754"/>
      <c r="K127" s="288"/>
      <c r="L127" s="311">
        <v>11</v>
      </c>
      <c r="M127" s="389" t="s">
        <v>374</v>
      </c>
      <c r="N127" s="313" t="s">
        <v>380</v>
      </c>
      <c r="O127" s="314"/>
      <c r="P127" s="458"/>
      <c r="Q127" s="315">
        <v>79700</v>
      </c>
      <c r="R127" s="590" t="s">
        <v>381</v>
      </c>
      <c r="S127" s="627" t="s">
        <v>382</v>
      </c>
      <c r="T127" s="662">
        <v>45869</v>
      </c>
      <c r="U127" s="667">
        <v>82803.663273176266</v>
      </c>
      <c r="V127" s="772"/>
      <c r="W127" s="574">
        <v>46112</v>
      </c>
      <c r="X127" s="769"/>
      <c r="Y127" s="484"/>
    </row>
    <row r="128" spans="1:25" ht="15" customHeight="1">
      <c r="B128" s="311">
        <v>11</v>
      </c>
      <c r="C128" s="387"/>
      <c r="D128" s="387" t="s">
        <v>383</v>
      </c>
      <c r="E128" s="405"/>
      <c r="F128" s="443"/>
      <c r="G128" s="386">
        <v>7000</v>
      </c>
      <c r="H128" s="538">
        <v>45930</v>
      </c>
      <c r="I128" s="754"/>
      <c r="J128" s="754"/>
      <c r="K128" s="288"/>
      <c r="L128" s="311">
        <v>11</v>
      </c>
      <c r="M128" s="389" t="s">
        <v>374</v>
      </c>
      <c r="N128" s="387" t="s">
        <v>383</v>
      </c>
      <c r="O128" s="405"/>
      <c r="P128" s="443"/>
      <c r="Q128" s="386">
        <v>5100</v>
      </c>
      <c r="R128" s="648" t="s">
        <v>384</v>
      </c>
      <c r="S128" s="628" t="s">
        <v>385</v>
      </c>
      <c r="T128" s="647">
        <v>45777</v>
      </c>
      <c r="U128" s="655">
        <v>21251.830136527347</v>
      </c>
      <c r="V128" s="772"/>
      <c r="W128" s="538">
        <v>45834</v>
      </c>
      <c r="X128" s="769"/>
      <c r="Y128" s="484"/>
    </row>
    <row r="129" spans="1:25" ht="15" customHeight="1" thickBot="1">
      <c r="B129" s="316">
        <v>11</v>
      </c>
      <c r="C129" s="317"/>
      <c r="D129" s="317"/>
      <c r="E129" s="318"/>
      <c r="F129" s="459"/>
      <c r="G129" s="330"/>
      <c r="H129" s="576">
        <v>45930</v>
      </c>
      <c r="I129" s="755"/>
      <c r="J129" s="755"/>
      <c r="K129" s="289"/>
      <c r="L129" s="316">
        <v>11</v>
      </c>
      <c r="M129" s="418" t="s">
        <v>374</v>
      </c>
      <c r="N129" s="317" t="s">
        <v>386</v>
      </c>
      <c r="O129" s="554"/>
      <c r="P129" s="459"/>
      <c r="Q129" s="330">
        <v>8000</v>
      </c>
      <c r="R129" s="592"/>
      <c r="S129" s="629" t="s">
        <v>387</v>
      </c>
      <c r="T129" s="713">
        <v>46081</v>
      </c>
      <c r="U129" s="506">
        <f>(Q129/$X$125*$J$125)</f>
        <v>11769.592298436764</v>
      </c>
      <c r="V129" s="773"/>
      <c r="W129" s="576">
        <f>T129+31</f>
        <v>46112</v>
      </c>
      <c r="X129" s="770"/>
      <c r="Y129" s="484"/>
    </row>
    <row r="130" spans="1:25" ht="15" customHeight="1" thickBot="1">
      <c r="A130" s="24"/>
      <c r="B130" s="290"/>
      <c r="C130" s="277"/>
      <c r="D130" s="277"/>
      <c r="E130" s="291"/>
      <c r="F130" s="455"/>
      <c r="G130" s="292"/>
      <c r="H130" s="577">
        <v>45930</v>
      </c>
      <c r="I130" s="280"/>
      <c r="J130" s="280"/>
      <c r="K130" s="24"/>
      <c r="L130" s="290"/>
      <c r="M130" s="277"/>
      <c r="N130" s="277"/>
      <c r="O130" s="555"/>
      <c r="P130" s="455"/>
      <c r="Q130" s="292"/>
      <c r="R130" s="593"/>
      <c r="S130" s="630"/>
      <c r="T130" s="523" t="str">
        <f t="shared" si="7"/>
        <v/>
      </c>
      <c r="U130" s="511"/>
      <c r="V130" s="494"/>
      <c r="W130" s="577"/>
      <c r="X130" s="350"/>
      <c r="Y130" s="484"/>
    </row>
    <row r="131" spans="1:25">
      <c r="B131" s="269">
        <v>12</v>
      </c>
      <c r="C131" s="270" t="s">
        <v>388</v>
      </c>
      <c r="D131" s="270" t="s">
        <v>389</v>
      </c>
      <c r="E131" s="271"/>
      <c r="F131" s="469"/>
      <c r="G131" s="338">
        <v>98739.298126621725</v>
      </c>
      <c r="H131" s="585">
        <v>45930</v>
      </c>
      <c r="I131" s="780">
        <f>SUM(G131:G132)</f>
        <v>131652.39750216232</v>
      </c>
      <c r="J131" s="780">
        <v>0</v>
      </c>
      <c r="K131" s="474"/>
      <c r="L131" s="269">
        <v>12</v>
      </c>
      <c r="M131" s="270" t="s">
        <v>390</v>
      </c>
      <c r="N131" s="270" t="s">
        <v>389</v>
      </c>
      <c r="O131" s="565"/>
      <c r="P131" s="469"/>
      <c r="Q131" s="338"/>
      <c r="R131" s="603"/>
      <c r="S131" s="639"/>
      <c r="T131" s="532" t="str">
        <f t="shared" si="7"/>
        <v/>
      </c>
      <c r="U131" s="516"/>
      <c r="V131" s="493"/>
      <c r="W131" s="585"/>
      <c r="X131" s="783">
        <f>SUM(Q131:Q132)</f>
        <v>0</v>
      </c>
      <c r="Y131" s="484"/>
    </row>
    <row r="132" spans="1:25" ht="15" customHeight="1" thickBot="1">
      <c r="B132" s="273">
        <v>12</v>
      </c>
      <c r="C132" s="344" t="s">
        <v>388</v>
      </c>
      <c r="D132" s="344" t="s">
        <v>391</v>
      </c>
      <c r="E132" s="345"/>
      <c r="F132" s="471"/>
      <c r="G132" s="274">
        <v>32913.09937554058</v>
      </c>
      <c r="H132" s="588">
        <v>45930</v>
      </c>
      <c r="I132" s="782"/>
      <c r="J132" s="782"/>
      <c r="K132" s="475"/>
      <c r="L132" s="273">
        <v>12</v>
      </c>
      <c r="M132" s="344" t="s">
        <v>390</v>
      </c>
      <c r="N132" s="344" t="s">
        <v>391</v>
      </c>
      <c r="O132" s="567"/>
      <c r="P132" s="471"/>
      <c r="Q132" s="274"/>
      <c r="R132" s="606"/>
      <c r="S132" s="642"/>
      <c r="T132" s="535" t="str">
        <f t="shared" si="7"/>
        <v/>
      </c>
      <c r="U132" s="519"/>
      <c r="V132" s="492"/>
      <c r="W132" s="588"/>
      <c r="X132" s="785"/>
      <c r="Y132" s="484"/>
    </row>
    <row r="133" spans="1:25" ht="14.5" thickBot="1">
      <c r="A133" s="24"/>
      <c r="B133" s="290"/>
      <c r="C133" s="277"/>
      <c r="D133" s="277"/>
      <c r="E133" s="291"/>
      <c r="F133" s="455"/>
      <c r="G133" s="292"/>
      <c r="H133" s="577"/>
      <c r="I133" s="326"/>
      <c r="J133" s="326"/>
      <c r="K133" s="24"/>
      <c r="L133" s="290"/>
      <c r="M133" s="277"/>
      <c r="N133" s="277"/>
      <c r="O133" s="555"/>
      <c r="P133" s="455"/>
      <c r="Q133" s="292"/>
      <c r="R133" s="593"/>
      <c r="S133" s="630"/>
      <c r="T133" s="523" t="str">
        <f t="shared" si="7"/>
        <v/>
      </c>
      <c r="U133" s="511"/>
      <c r="V133" s="494"/>
      <c r="W133" s="577"/>
      <c r="X133" s="485"/>
      <c r="Y133" s="484"/>
    </row>
    <row r="134" spans="1:25" ht="15.75" customHeight="1">
      <c r="B134" s="281">
        <v>13</v>
      </c>
      <c r="C134" s="282" t="s">
        <v>392</v>
      </c>
      <c r="D134" s="351" t="s">
        <v>393</v>
      </c>
      <c r="E134" s="283"/>
      <c r="F134" s="436"/>
      <c r="G134" s="284">
        <v>74142.736000000004</v>
      </c>
      <c r="H134" s="574">
        <v>46022</v>
      </c>
      <c r="I134" s="753">
        <f>SUM(G134:G138)</f>
        <v>286542.73600000003</v>
      </c>
      <c r="J134" s="753">
        <f>F183</f>
        <v>325616.74545454548</v>
      </c>
      <c r="K134" s="285"/>
      <c r="L134" s="281">
        <v>13</v>
      </c>
      <c r="M134" s="351" t="s">
        <v>394</v>
      </c>
      <c r="N134" s="351" t="s">
        <v>395</v>
      </c>
      <c r="O134" s="551"/>
      <c r="P134" s="436"/>
      <c r="Q134" s="284">
        <f>'Project Plan'!$E$6*1.25%</f>
        <v>108660.607625</v>
      </c>
      <c r="R134" s="597"/>
      <c r="S134" s="634"/>
      <c r="T134" s="527">
        <v>46112</v>
      </c>
      <c r="U134" s="512">
        <f>(Q134/$X$134*$J$134)</f>
        <v>325616.74545454548</v>
      </c>
      <c r="V134" s="771">
        <f>J134-SUM(U134:U139)</f>
        <v>0</v>
      </c>
      <c r="W134" s="581">
        <v>46142</v>
      </c>
      <c r="X134" s="768">
        <f>SUM(Q134:Q139)</f>
        <v>108660.607625</v>
      </c>
      <c r="Y134" s="484"/>
    </row>
    <row r="135" spans="1:25" ht="15.75" customHeight="1">
      <c r="B135" s="311">
        <v>13</v>
      </c>
      <c r="C135" s="313"/>
      <c r="D135" s="313" t="s">
        <v>396</v>
      </c>
      <c r="E135" s="314"/>
      <c r="F135" s="458"/>
      <c r="G135" s="315">
        <v>48000</v>
      </c>
      <c r="H135" s="574">
        <v>46022</v>
      </c>
      <c r="I135" s="754"/>
      <c r="J135" s="754"/>
      <c r="K135" s="288"/>
      <c r="L135" s="311">
        <v>13</v>
      </c>
      <c r="M135" s="389" t="s">
        <v>394</v>
      </c>
      <c r="N135" s="313" t="s">
        <v>396</v>
      </c>
      <c r="O135" s="552"/>
      <c r="P135" s="458"/>
      <c r="Q135" s="315">
        <v>0</v>
      </c>
      <c r="R135" s="590"/>
      <c r="S135" s="627"/>
      <c r="T135" s="520"/>
      <c r="U135" s="504">
        <f t="shared" ref="U135:U139" si="16">(Q135/$X$134*$J$134)</f>
        <v>0</v>
      </c>
      <c r="V135" s="772"/>
      <c r="W135" s="574"/>
      <c r="X135" s="769"/>
      <c r="Y135" s="484"/>
    </row>
    <row r="136" spans="1:25" ht="15.75" customHeight="1">
      <c r="B136" s="311">
        <v>13</v>
      </c>
      <c r="C136" s="313"/>
      <c r="D136" s="313" t="s">
        <v>397</v>
      </c>
      <c r="E136" s="314"/>
      <c r="F136" s="458"/>
      <c r="G136" s="315">
        <v>68000</v>
      </c>
      <c r="H136" s="574">
        <v>46022</v>
      </c>
      <c r="I136" s="754"/>
      <c r="J136" s="754"/>
      <c r="K136" s="288"/>
      <c r="L136" s="311">
        <v>13</v>
      </c>
      <c r="M136" s="389" t="s">
        <v>394</v>
      </c>
      <c r="N136" s="313" t="s">
        <v>397</v>
      </c>
      <c r="O136" s="552"/>
      <c r="P136" s="458"/>
      <c r="Q136" s="315">
        <v>0</v>
      </c>
      <c r="R136" s="590"/>
      <c r="S136" s="627"/>
      <c r="T136" s="520"/>
      <c r="U136" s="504">
        <f t="shared" si="16"/>
        <v>0</v>
      </c>
      <c r="V136" s="772"/>
      <c r="W136" s="574"/>
      <c r="X136" s="769"/>
      <c r="Y136" s="484"/>
    </row>
    <row r="137" spans="1:25" ht="15.75" customHeight="1">
      <c r="B137" s="311">
        <v>13</v>
      </c>
      <c r="C137" s="313"/>
      <c r="D137" s="313" t="s">
        <v>398</v>
      </c>
      <c r="E137" s="314"/>
      <c r="F137" s="458"/>
      <c r="G137" s="315">
        <v>62400</v>
      </c>
      <c r="H137" s="574">
        <v>46022</v>
      </c>
      <c r="I137" s="754"/>
      <c r="J137" s="754"/>
      <c r="K137" s="288"/>
      <c r="L137" s="311">
        <v>13</v>
      </c>
      <c r="M137" s="389" t="s">
        <v>394</v>
      </c>
      <c r="N137" s="313" t="s">
        <v>398</v>
      </c>
      <c r="O137" s="552"/>
      <c r="P137" s="458"/>
      <c r="Q137" s="315">
        <v>0</v>
      </c>
      <c r="R137" s="590"/>
      <c r="S137" s="627"/>
      <c r="T137" s="520"/>
      <c r="U137" s="504">
        <f t="shared" si="16"/>
        <v>0</v>
      </c>
      <c r="V137" s="772"/>
      <c r="W137" s="574"/>
      <c r="X137" s="769"/>
      <c r="Y137" s="484"/>
    </row>
    <row r="138" spans="1:25" ht="15.75" customHeight="1">
      <c r="B138" s="311">
        <v>13</v>
      </c>
      <c r="C138" s="313"/>
      <c r="D138" s="313" t="s">
        <v>399</v>
      </c>
      <c r="E138" s="314"/>
      <c r="F138" s="458"/>
      <c r="G138" s="315">
        <v>34000</v>
      </c>
      <c r="H138" s="574">
        <v>46022</v>
      </c>
      <c r="I138" s="754"/>
      <c r="J138" s="754"/>
      <c r="K138" s="288"/>
      <c r="L138" s="311">
        <v>13</v>
      </c>
      <c r="M138" s="389" t="s">
        <v>394</v>
      </c>
      <c r="N138" s="313" t="s">
        <v>399</v>
      </c>
      <c r="O138" s="552"/>
      <c r="P138" s="458"/>
      <c r="Q138" s="315">
        <v>0</v>
      </c>
      <c r="R138" s="590"/>
      <c r="S138" s="627"/>
      <c r="T138" s="520"/>
      <c r="U138" s="504">
        <f t="shared" si="16"/>
        <v>0</v>
      </c>
      <c r="V138" s="772"/>
      <c r="W138" s="574"/>
      <c r="X138" s="769"/>
      <c r="Y138" s="484"/>
    </row>
    <row r="139" spans="1:25" ht="15.75" customHeight="1" thickBot="1">
      <c r="B139" s="316">
        <v>13</v>
      </c>
      <c r="C139" s="317"/>
      <c r="D139" s="317"/>
      <c r="E139" s="318"/>
      <c r="F139" s="459"/>
      <c r="G139" s="330"/>
      <c r="H139" s="576"/>
      <c r="I139" s="755"/>
      <c r="J139" s="755"/>
      <c r="K139" s="476"/>
      <c r="L139" s="316">
        <v>13</v>
      </c>
      <c r="M139" s="418" t="s">
        <v>394</v>
      </c>
      <c r="N139" s="317"/>
      <c r="O139" s="554"/>
      <c r="P139" s="459"/>
      <c r="Q139" s="330"/>
      <c r="R139" s="592"/>
      <c r="S139" s="629"/>
      <c r="T139" s="522" t="str">
        <f t="shared" si="7"/>
        <v/>
      </c>
      <c r="U139" s="506">
        <f t="shared" si="16"/>
        <v>0</v>
      </c>
      <c r="V139" s="773"/>
      <c r="W139" s="576"/>
      <c r="X139" s="770"/>
      <c r="Y139" s="484"/>
    </row>
    <row r="140" spans="1:25" ht="14.5" thickBot="1">
      <c r="A140" s="24"/>
      <c r="B140" s="290"/>
      <c r="C140" s="277"/>
      <c r="D140" s="277"/>
      <c r="E140" s="291"/>
      <c r="F140" s="455"/>
      <c r="G140" s="292"/>
      <c r="H140" s="577"/>
      <c r="I140" s="280"/>
      <c r="J140" s="280"/>
      <c r="K140" s="24"/>
      <c r="L140" s="290"/>
      <c r="M140" s="277"/>
      <c r="N140" s="277"/>
      <c r="O140" s="555"/>
      <c r="P140" s="455"/>
      <c r="Q140" s="292"/>
      <c r="R140" s="593"/>
      <c r="S140" s="630"/>
      <c r="T140" s="523" t="str">
        <f t="shared" si="7"/>
        <v/>
      </c>
      <c r="U140" s="511"/>
      <c r="V140" s="494"/>
      <c r="W140" s="577"/>
      <c r="X140" s="485"/>
      <c r="Y140" s="484"/>
    </row>
    <row r="141" spans="1:25" ht="14.25" customHeight="1">
      <c r="B141" s="269">
        <v>14</v>
      </c>
      <c r="C141" s="270" t="s">
        <v>400</v>
      </c>
      <c r="D141" s="270" t="s">
        <v>401</v>
      </c>
      <c r="E141" s="271"/>
      <c r="F141" s="469"/>
      <c r="G141" s="338">
        <v>16625</v>
      </c>
      <c r="H141" s="658">
        <v>45785</v>
      </c>
      <c r="I141" s="780">
        <f>SUM(G141:G153)</f>
        <v>16625</v>
      </c>
      <c r="J141" s="780">
        <f>F194</f>
        <v>19558.823529411766</v>
      </c>
      <c r="K141" s="339"/>
      <c r="L141" s="269">
        <v>14</v>
      </c>
      <c r="M141" s="433" t="s">
        <v>402</v>
      </c>
      <c r="N141" s="270" t="s">
        <v>403</v>
      </c>
      <c r="O141" s="565"/>
      <c r="P141" s="469"/>
      <c r="Q141" s="338">
        <v>2022.74</v>
      </c>
      <c r="R141" s="603"/>
      <c r="S141" s="639" t="s">
        <v>404</v>
      </c>
      <c r="T141" s="650">
        <v>45777</v>
      </c>
      <c r="U141" s="656">
        <v>2581.9412654578982</v>
      </c>
      <c r="V141" s="792">
        <f>J141-SUM(U141:U153)</f>
        <v>-1.2046929587086197E-3</v>
      </c>
      <c r="W141" s="658">
        <v>45785</v>
      </c>
      <c r="X141" s="783">
        <f>SUM(Q141:Q153)</f>
        <v>14988.86</v>
      </c>
      <c r="Y141" s="484"/>
    </row>
    <row r="142" spans="1:25" ht="14.25" customHeight="1">
      <c r="B142" s="340">
        <v>14</v>
      </c>
      <c r="C142" s="341"/>
      <c r="D142" s="341"/>
      <c r="E142" s="342"/>
      <c r="F142" s="470"/>
      <c r="G142" s="343"/>
      <c r="H142" s="659">
        <v>45777</v>
      </c>
      <c r="I142" s="781"/>
      <c r="J142" s="781"/>
      <c r="K142" s="272"/>
      <c r="L142" s="340">
        <v>14</v>
      </c>
      <c r="M142" s="434" t="s">
        <v>402</v>
      </c>
      <c r="N142" s="341" t="s">
        <v>403</v>
      </c>
      <c r="O142" s="566"/>
      <c r="P142" s="470"/>
      <c r="Q142" s="343">
        <v>0</v>
      </c>
      <c r="R142" s="605"/>
      <c r="S142" s="641" t="s">
        <v>405</v>
      </c>
      <c r="T142" s="651">
        <f t="shared" ref="T142" si="17">IF(W142&gt;1,EOMONTH(W142,0),"")</f>
        <v>45777</v>
      </c>
      <c r="U142" s="657">
        <v>0</v>
      </c>
      <c r="V142" s="793"/>
      <c r="W142" s="659">
        <v>45777</v>
      </c>
      <c r="X142" s="784"/>
      <c r="Y142" s="484"/>
    </row>
    <row r="143" spans="1:25" ht="14.25" customHeight="1">
      <c r="B143" s="340">
        <v>14</v>
      </c>
      <c r="C143" s="341"/>
      <c r="D143" s="341"/>
      <c r="E143" s="342"/>
      <c r="F143" s="470"/>
      <c r="G143" s="343"/>
      <c r="H143" s="544">
        <v>45817</v>
      </c>
      <c r="I143" s="781"/>
      <c r="J143" s="781"/>
      <c r="K143" s="272"/>
      <c r="L143" s="340">
        <v>14</v>
      </c>
      <c r="M143" s="434" t="s">
        <v>402</v>
      </c>
      <c r="N143" s="341" t="s">
        <v>403</v>
      </c>
      <c r="O143" s="566"/>
      <c r="P143" s="470"/>
      <c r="Q143" s="343">
        <v>1399.4599999999998</v>
      </c>
      <c r="R143" s="605"/>
      <c r="S143" s="641" t="s">
        <v>405</v>
      </c>
      <c r="T143" s="661">
        <v>45808</v>
      </c>
      <c r="U143" s="668">
        <v>3254.7880633638042</v>
      </c>
      <c r="V143" s="793"/>
      <c r="W143" s="544">
        <v>45817</v>
      </c>
      <c r="X143" s="784"/>
      <c r="Y143" s="484"/>
    </row>
    <row r="144" spans="1:25" ht="14.25" customHeight="1">
      <c r="B144" s="340">
        <v>14</v>
      </c>
      <c r="C144" s="341"/>
      <c r="D144" s="341"/>
      <c r="E144" s="342"/>
      <c r="F144" s="470"/>
      <c r="G144" s="343"/>
      <c r="H144" s="544">
        <v>45842</v>
      </c>
      <c r="I144" s="781"/>
      <c r="J144" s="781"/>
      <c r="K144" s="272"/>
      <c r="L144" s="340">
        <v>14</v>
      </c>
      <c r="M144" s="434" t="s">
        <v>402</v>
      </c>
      <c r="N144" s="341" t="s">
        <v>403</v>
      </c>
      <c r="O144" s="566"/>
      <c r="P144" s="470"/>
      <c r="Q144" s="343">
        <v>3154.74</v>
      </c>
      <c r="R144" s="605"/>
      <c r="S144" s="641" t="s">
        <v>405</v>
      </c>
      <c r="T144" s="661">
        <v>45838</v>
      </c>
      <c r="U144" s="668">
        <v>5031.9454560193735</v>
      </c>
      <c r="V144" s="793"/>
      <c r="W144" s="544">
        <v>45842</v>
      </c>
      <c r="X144" s="784"/>
      <c r="Y144" s="484"/>
    </row>
    <row r="145" spans="1:25" ht="14.25" customHeight="1">
      <c r="B145" s="340">
        <v>14</v>
      </c>
      <c r="C145" s="341"/>
      <c r="D145" s="341"/>
      <c r="E145" s="342"/>
      <c r="F145" s="470"/>
      <c r="G145" s="343"/>
      <c r="H145" s="544">
        <v>45869</v>
      </c>
      <c r="I145" s="781"/>
      <c r="J145" s="781"/>
      <c r="K145" s="272"/>
      <c r="L145" s="340">
        <v>14</v>
      </c>
      <c r="M145" s="434" t="s">
        <v>402</v>
      </c>
      <c r="N145" s="341" t="s">
        <v>403</v>
      </c>
      <c r="O145" s="566"/>
      <c r="P145" s="470"/>
      <c r="Q145" s="343">
        <v>0</v>
      </c>
      <c r="R145" s="605"/>
      <c r="S145" s="641" t="s">
        <v>405</v>
      </c>
      <c r="T145" s="661">
        <v>45869</v>
      </c>
      <c r="U145" s="668">
        <v>0</v>
      </c>
      <c r="V145" s="793"/>
      <c r="W145" s="544">
        <v>45869</v>
      </c>
      <c r="X145" s="784"/>
      <c r="Y145" s="484"/>
    </row>
    <row r="146" spans="1:25" ht="14.25" customHeight="1">
      <c r="B146" s="340">
        <v>14</v>
      </c>
      <c r="C146" s="341"/>
      <c r="D146" s="341"/>
      <c r="E146" s="342"/>
      <c r="F146" s="470"/>
      <c r="G146" s="343"/>
      <c r="H146" s="587">
        <v>45900</v>
      </c>
      <c r="I146" s="781"/>
      <c r="J146" s="781"/>
      <c r="K146" s="272"/>
      <c r="L146" s="340">
        <v>14</v>
      </c>
      <c r="M146" s="434" t="s">
        <v>402</v>
      </c>
      <c r="N146" s="341" t="s">
        <v>403</v>
      </c>
      <c r="O146" s="566"/>
      <c r="P146" s="470"/>
      <c r="Q146" s="343">
        <v>0</v>
      </c>
      <c r="R146" s="605"/>
      <c r="S146" s="641" t="s">
        <v>405</v>
      </c>
      <c r="T146" s="651">
        <v>45900</v>
      </c>
      <c r="U146" s="518">
        <f>(Q146/$X$141*$J$141)</f>
        <v>0</v>
      </c>
      <c r="V146" s="793"/>
      <c r="W146" s="659">
        <v>45900</v>
      </c>
      <c r="X146" s="784"/>
      <c r="Y146" s="484"/>
    </row>
    <row r="147" spans="1:25" ht="14.25" customHeight="1">
      <c r="B147" s="340">
        <v>14</v>
      </c>
      <c r="C147" s="341"/>
      <c r="D147" s="341"/>
      <c r="E147" s="342"/>
      <c r="F147" s="470"/>
      <c r="G147" s="343"/>
      <c r="H147" s="587">
        <v>45930</v>
      </c>
      <c r="I147" s="781"/>
      <c r="J147" s="781"/>
      <c r="K147" s="272"/>
      <c r="L147" s="340">
        <v>14</v>
      </c>
      <c r="M147" s="434" t="s">
        <v>402</v>
      </c>
      <c r="N147" s="341" t="s">
        <v>403</v>
      </c>
      <c r="O147" s="566"/>
      <c r="P147" s="470"/>
      <c r="Q147" s="343">
        <v>980.56</v>
      </c>
      <c r="R147" s="605"/>
      <c r="S147" s="641" t="s">
        <v>405</v>
      </c>
      <c r="T147" s="651">
        <v>45930</v>
      </c>
      <c r="U147" s="657">
        <v>2071.1253658536589</v>
      </c>
      <c r="V147" s="793"/>
      <c r="W147" s="659">
        <v>45940</v>
      </c>
      <c r="X147" s="784"/>
      <c r="Y147" s="484"/>
    </row>
    <row r="148" spans="1:25" ht="14.25" customHeight="1">
      <c r="B148" s="340">
        <v>14</v>
      </c>
      <c r="C148" s="341"/>
      <c r="D148" s="341"/>
      <c r="E148" s="342"/>
      <c r="F148" s="470"/>
      <c r="G148" s="343"/>
      <c r="H148" s="587">
        <v>45961</v>
      </c>
      <c r="I148" s="781"/>
      <c r="J148" s="781"/>
      <c r="K148" s="272"/>
      <c r="L148" s="340">
        <v>14</v>
      </c>
      <c r="M148" s="434" t="s">
        <v>402</v>
      </c>
      <c r="N148" s="341" t="s">
        <v>403</v>
      </c>
      <c r="O148" s="566"/>
      <c r="P148" s="470"/>
      <c r="Q148" s="343">
        <v>3618.49</v>
      </c>
      <c r="R148" s="605"/>
      <c r="S148" s="641" t="s">
        <v>405</v>
      </c>
      <c r="T148" s="651">
        <v>45961</v>
      </c>
      <c r="U148" s="657">
        <v>3650.1620056816359</v>
      </c>
      <c r="V148" s="793"/>
      <c r="W148" s="659">
        <v>45967</v>
      </c>
      <c r="X148" s="784"/>
      <c r="Y148" s="484"/>
    </row>
    <row r="149" spans="1:25" ht="14.25" customHeight="1">
      <c r="B149" s="340">
        <v>14</v>
      </c>
      <c r="C149" s="341"/>
      <c r="D149" s="341"/>
      <c r="E149" s="342"/>
      <c r="F149" s="470"/>
      <c r="G149" s="343"/>
      <c r="H149" s="587">
        <v>45991</v>
      </c>
      <c r="I149" s="781"/>
      <c r="J149" s="781"/>
      <c r="K149" s="272"/>
      <c r="L149" s="340">
        <v>14</v>
      </c>
      <c r="M149" s="434" t="s">
        <v>402</v>
      </c>
      <c r="N149" s="341" t="s">
        <v>403</v>
      </c>
      <c r="O149" s="566"/>
      <c r="P149" s="470"/>
      <c r="Q149" s="343">
        <v>1827.75</v>
      </c>
      <c r="R149" s="605"/>
      <c r="S149" s="641" t="s">
        <v>405</v>
      </c>
      <c r="T149" s="651">
        <v>45991</v>
      </c>
      <c r="U149" s="657">
        <v>1572.1723044759729</v>
      </c>
      <c r="V149" s="793"/>
      <c r="W149" s="659">
        <v>45996</v>
      </c>
      <c r="X149" s="784"/>
      <c r="Y149" s="484"/>
    </row>
    <row r="150" spans="1:25" ht="14.25" customHeight="1">
      <c r="B150" s="340">
        <v>14</v>
      </c>
      <c r="C150" s="341"/>
      <c r="D150" s="341"/>
      <c r="E150" s="342"/>
      <c r="F150" s="470"/>
      <c r="G150" s="343"/>
      <c r="H150" s="587">
        <v>46022</v>
      </c>
      <c r="I150" s="781"/>
      <c r="J150" s="781"/>
      <c r="K150" s="272"/>
      <c r="L150" s="340">
        <v>14</v>
      </c>
      <c r="M150" s="434" t="s">
        <v>402</v>
      </c>
      <c r="N150" s="341" t="s">
        <v>403</v>
      </c>
      <c r="O150" s="566"/>
      <c r="P150" s="470"/>
      <c r="Q150" s="343">
        <v>495.04</v>
      </c>
      <c r="R150" s="605"/>
      <c r="S150" s="641" t="s">
        <v>405</v>
      </c>
      <c r="T150" s="651">
        <v>46022</v>
      </c>
      <c r="U150" s="657">
        <v>698.10027325238354</v>
      </c>
      <c r="V150" s="793"/>
      <c r="W150" s="659">
        <v>46030</v>
      </c>
      <c r="X150" s="784"/>
      <c r="Y150" s="484"/>
    </row>
    <row r="151" spans="1:25" ht="14.25" customHeight="1">
      <c r="B151" s="340">
        <v>14</v>
      </c>
      <c r="C151" s="341"/>
      <c r="D151" s="341"/>
      <c r="E151" s="342"/>
      <c r="F151" s="470"/>
      <c r="G151" s="343"/>
      <c r="H151" s="587"/>
      <c r="I151" s="781"/>
      <c r="J151" s="781"/>
      <c r="K151" s="272"/>
      <c r="L151" s="340">
        <v>14</v>
      </c>
      <c r="M151" s="434" t="s">
        <v>402</v>
      </c>
      <c r="N151" s="341" t="s">
        <v>403</v>
      </c>
      <c r="O151" s="566"/>
      <c r="P151" s="470"/>
      <c r="Q151" s="343">
        <v>990.08</v>
      </c>
      <c r="R151" s="605"/>
      <c r="S151" s="641" t="s">
        <v>405</v>
      </c>
      <c r="T151" s="651">
        <v>46053</v>
      </c>
      <c r="U151" s="657">
        <v>349.29500000000002</v>
      </c>
      <c r="V151" s="793"/>
      <c r="W151" s="659">
        <v>46058</v>
      </c>
      <c r="X151" s="784"/>
      <c r="Y151" s="484"/>
    </row>
    <row r="152" spans="1:25" ht="14.25" customHeight="1">
      <c r="B152" s="707"/>
      <c r="C152" s="708"/>
      <c r="D152" s="708"/>
      <c r="E152" s="709"/>
      <c r="F152" s="710"/>
      <c r="G152" s="711"/>
      <c r="H152" s="587"/>
      <c r="I152" s="781"/>
      <c r="J152" s="781"/>
      <c r="K152" s="272"/>
      <c r="L152" s="340">
        <v>14</v>
      </c>
      <c r="M152" s="434" t="s">
        <v>402</v>
      </c>
      <c r="N152" s="341" t="s">
        <v>403</v>
      </c>
      <c r="O152" s="712"/>
      <c r="P152" s="710"/>
      <c r="Q152" s="711">
        <v>500</v>
      </c>
      <c r="R152" s="605"/>
      <c r="S152" s="641"/>
      <c r="T152" s="534">
        <v>46081</v>
      </c>
      <c r="U152" s="518">
        <f>698.59/2</f>
        <v>349.29500000000002</v>
      </c>
      <c r="V152" s="793"/>
      <c r="W152" s="587">
        <v>46086</v>
      </c>
      <c r="X152" s="784"/>
      <c r="Y152" s="484"/>
    </row>
    <row r="153" spans="1:25" ht="15" customHeight="1" thickBot="1">
      <c r="B153" s="273">
        <v>14</v>
      </c>
      <c r="C153" s="344"/>
      <c r="D153" s="344"/>
      <c r="E153" s="345"/>
      <c r="F153" s="471"/>
      <c r="G153" s="274"/>
      <c r="H153" s="588"/>
      <c r="I153" s="782"/>
      <c r="J153" s="782"/>
      <c r="K153" s="275"/>
      <c r="L153" s="273">
        <v>14</v>
      </c>
      <c r="M153" s="435" t="s">
        <v>402</v>
      </c>
      <c r="N153" s="344"/>
      <c r="O153" s="567"/>
      <c r="P153" s="471"/>
      <c r="Q153" s="274"/>
      <c r="R153" s="606"/>
      <c r="S153" s="642"/>
      <c r="T153" s="535" t="str">
        <f t="shared" si="7"/>
        <v/>
      </c>
      <c r="U153" s="519">
        <f>(Q153/$X$141*$J$141)</f>
        <v>0</v>
      </c>
      <c r="V153" s="794"/>
      <c r="W153" s="588"/>
      <c r="X153" s="785"/>
      <c r="Y153" s="484"/>
    </row>
    <row r="154" spans="1:25" ht="14.5" thickBot="1">
      <c r="A154" s="24"/>
      <c r="B154" s="290"/>
      <c r="C154" s="277"/>
      <c r="D154" s="277"/>
      <c r="E154" s="291"/>
      <c r="F154" s="455"/>
      <c r="G154" s="292"/>
      <c r="H154" s="577"/>
      <c r="I154" s="346"/>
      <c r="J154" s="346"/>
      <c r="K154" s="24"/>
      <c r="L154" s="290"/>
      <c r="M154" s="277"/>
      <c r="N154" s="277"/>
      <c r="O154" s="555"/>
      <c r="P154" s="455"/>
      <c r="Q154" s="292"/>
      <c r="R154" s="593"/>
      <c r="S154" s="630"/>
      <c r="T154" s="523" t="str">
        <f t="shared" si="7"/>
        <v/>
      </c>
      <c r="U154" s="511"/>
      <c r="V154" s="494"/>
      <c r="W154" s="577"/>
      <c r="X154" s="491"/>
      <c r="Y154" s="484"/>
    </row>
    <row r="155" spans="1:25">
      <c r="B155" s="281">
        <v>15</v>
      </c>
      <c r="C155" s="282" t="s">
        <v>406</v>
      </c>
      <c r="D155" s="282" t="s">
        <v>407</v>
      </c>
      <c r="E155" s="283"/>
      <c r="F155" s="436"/>
      <c r="G155" s="284">
        <f>D191</f>
        <v>1800000</v>
      </c>
      <c r="H155" s="541">
        <v>45849</v>
      </c>
      <c r="I155" s="753">
        <f>SUM(G155:G166)</f>
        <v>1800000</v>
      </c>
      <c r="J155" s="753">
        <f>F191</f>
        <v>1800000</v>
      </c>
      <c r="K155" s="285"/>
      <c r="L155" s="281">
        <v>15</v>
      </c>
      <c r="M155" s="351" t="s">
        <v>408</v>
      </c>
      <c r="N155" s="282" t="s">
        <v>409</v>
      </c>
      <c r="O155" s="283"/>
      <c r="P155" s="436"/>
      <c r="Q155" s="284">
        <v>752000</v>
      </c>
      <c r="R155" s="597"/>
      <c r="S155" s="634" t="s">
        <v>410</v>
      </c>
      <c r="T155" s="664">
        <v>45838</v>
      </c>
      <c r="U155" s="666">
        <v>865473.14578005113</v>
      </c>
      <c r="V155" s="771">
        <f>J155-SUM(U155:U166)</f>
        <v>-5167.1847276114859</v>
      </c>
      <c r="W155" s="541">
        <v>45849</v>
      </c>
      <c r="X155" s="768">
        <f>SUM(Q155:Q166)</f>
        <v>1532750</v>
      </c>
      <c r="Y155" s="484"/>
    </row>
    <row r="156" spans="1:25">
      <c r="B156" s="311">
        <v>15</v>
      </c>
      <c r="C156" s="313"/>
      <c r="D156" s="313"/>
      <c r="E156" s="314"/>
      <c r="F156" s="458"/>
      <c r="G156" s="315"/>
      <c r="H156" s="574"/>
      <c r="I156" s="754"/>
      <c r="J156" s="754"/>
      <c r="K156" s="288"/>
      <c r="L156" s="311">
        <v>15</v>
      </c>
      <c r="M156" s="389" t="s">
        <v>408</v>
      </c>
      <c r="N156" s="313" t="s">
        <v>411</v>
      </c>
      <c r="O156" s="552"/>
      <c r="P156" s="458"/>
      <c r="Q156" s="315">
        <v>752000</v>
      </c>
      <c r="R156" s="590"/>
      <c r="S156" s="627" t="s">
        <v>410</v>
      </c>
      <c r="T156" s="662">
        <v>45838</v>
      </c>
      <c r="U156" s="667">
        <v>865473.14578005113</v>
      </c>
      <c r="V156" s="772"/>
      <c r="W156" s="653">
        <v>46037</v>
      </c>
      <c r="X156" s="769"/>
      <c r="Y156" s="484"/>
    </row>
    <row r="157" spans="1:25">
      <c r="B157" s="311">
        <v>15</v>
      </c>
      <c r="C157" s="313"/>
      <c r="D157" s="313"/>
      <c r="E157" s="314"/>
      <c r="F157" s="458"/>
      <c r="G157" s="315"/>
      <c r="H157" s="574"/>
      <c r="I157" s="754"/>
      <c r="J157" s="754"/>
      <c r="K157" s="288"/>
      <c r="L157" s="311">
        <v>15</v>
      </c>
      <c r="M157" s="389" t="s">
        <v>408</v>
      </c>
      <c r="N157" s="313"/>
      <c r="O157" s="552"/>
      <c r="P157" s="458"/>
      <c r="Q157" s="315"/>
      <c r="R157" s="590"/>
      <c r="S157" s="627"/>
      <c r="T157" s="520" t="str">
        <f>IF(W157&gt;1,EOMONTH(W157,0),"")</f>
        <v/>
      </c>
      <c r="U157" s="504">
        <f>(Q157/$X$155*$J$155)</f>
        <v>0</v>
      </c>
      <c r="V157" s="772"/>
      <c r="W157" s="574"/>
      <c r="X157" s="769"/>
      <c r="Y157" s="484"/>
    </row>
    <row r="158" spans="1:25">
      <c r="B158" s="311">
        <v>15</v>
      </c>
      <c r="C158" s="313"/>
      <c r="D158" s="313"/>
      <c r="E158" s="314"/>
      <c r="F158" s="458"/>
      <c r="G158" s="315"/>
      <c r="H158" s="537">
        <v>45900</v>
      </c>
      <c r="I158" s="754"/>
      <c r="J158" s="754"/>
      <c r="K158" s="288"/>
      <c r="L158" s="311">
        <v>15</v>
      </c>
      <c r="M158" s="389" t="s">
        <v>408</v>
      </c>
      <c r="N158" s="313" t="s">
        <v>412</v>
      </c>
      <c r="O158" s="552"/>
      <c r="P158" s="458"/>
      <c r="Q158" s="315">
        <v>0</v>
      </c>
      <c r="R158" s="590"/>
      <c r="S158" s="627"/>
      <c r="T158" s="662">
        <v>45900</v>
      </c>
      <c r="U158" s="667">
        <v>69053.709999999963</v>
      </c>
      <c r="V158" s="772"/>
      <c r="W158" s="537">
        <v>45900</v>
      </c>
      <c r="X158" s="769"/>
      <c r="Y158" s="484"/>
    </row>
    <row r="159" spans="1:25">
      <c r="B159" s="311">
        <v>15</v>
      </c>
      <c r="C159" s="313"/>
      <c r="D159" s="313"/>
      <c r="E159" s="314"/>
      <c r="F159" s="458"/>
      <c r="G159" s="315"/>
      <c r="H159" s="574"/>
      <c r="I159" s="754"/>
      <c r="J159" s="754"/>
      <c r="K159" s="288"/>
      <c r="L159" s="311">
        <v>15</v>
      </c>
      <c r="M159" s="389" t="s">
        <v>408</v>
      </c>
      <c r="N159" s="313"/>
      <c r="O159" s="552"/>
      <c r="P159" s="458"/>
      <c r="Q159" s="315"/>
      <c r="R159" s="590"/>
      <c r="S159" s="627"/>
      <c r="T159" s="520" t="str">
        <f t="shared" ref="T159:T165" si="18">IF(W159&gt;1,EOMONTH(W159,0),"")</f>
        <v/>
      </c>
      <c r="U159" s="504">
        <f>(Q159/$X$155*$J$155)</f>
        <v>0</v>
      </c>
      <c r="V159" s="772"/>
      <c r="W159" s="574"/>
      <c r="X159" s="769"/>
      <c r="Y159" s="484"/>
    </row>
    <row r="160" spans="1:25">
      <c r="B160" s="311">
        <v>15</v>
      </c>
      <c r="C160" s="313"/>
      <c r="D160" s="313"/>
      <c r="E160" s="314"/>
      <c r="F160" s="458"/>
      <c r="G160" s="315"/>
      <c r="H160" s="574"/>
      <c r="I160" s="754"/>
      <c r="J160" s="754"/>
      <c r="K160" s="288"/>
      <c r="L160" s="311">
        <v>15</v>
      </c>
      <c r="M160" s="389" t="s">
        <v>408</v>
      </c>
      <c r="N160" s="313" t="s">
        <v>413</v>
      </c>
      <c r="O160" s="552"/>
      <c r="P160" s="458"/>
      <c r="Q160" s="315">
        <v>19400</v>
      </c>
      <c r="R160" s="590"/>
      <c r="S160" s="627" t="s">
        <v>414</v>
      </c>
      <c r="T160" s="652">
        <v>45930</v>
      </c>
      <c r="U160" s="504">
        <v>0</v>
      </c>
      <c r="V160" s="772"/>
      <c r="W160" s="537">
        <v>45954</v>
      </c>
      <c r="X160" s="769"/>
      <c r="Y160" s="484"/>
    </row>
    <row r="161" spans="2:25">
      <c r="B161" s="311">
        <v>15</v>
      </c>
      <c r="C161" s="313"/>
      <c r="D161" s="313"/>
      <c r="E161" s="314"/>
      <c r="F161" s="458"/>
      <c r="G161" s="315"/>
      <c r="H161" s="574"/>
      <c r="I161" s="754"/>
      <c r="J161" s="754"/>
      <c r="K161" s="288"/>
      <c r="L161" s="311">
        <v>15</v>
      </c>
      <c r="M161" s="389" t="s">
        <v>408</v>
      </c>
      <c r="N161" s="313"/>
      <c r="O161" s="552"/>
      <c r="P161" s="458"/>
      <c r="Q161" s="315"/>
      <c r="R161" s="590"/>
      <c r="S161" s="627"/>
      <c r="T161" s="520" t="str">
        <f t="shared" si="18"/>
        <v/>
      </c>
      <c r="U161" s="504">
        <f t="shared" ref="U161:U166" si="19">(Q161/$X$155*$J$155)</f>
        <v>0</v>
      </c>
      <c r="V161" s="772"/>
      <c r="W161" s="574"/>
      <c r="X161" s="769"/>
      <c r="Y161" s="484"/>
    </row>
    <row r="162" spans="2:25">
      <c r="B162" s="311">
        <v>15</v>
      </c>
      <c r="C162" s="313"/>
      <c r="D162" s="313"/>
      <c r="E162" s="314"/>
      <c r="F162" s="458"/>
      <c r="G162" s="315"/>
      <c r="H162" s="574"/>
      <c r="I162" s="754"/>
      <c r="J162" s="754"/>
      <c r="K162" s="288"/>
      <c r="L162" s="311">
        <v>15</v>
      </c>
      <c r="M162" s="389" t="s">
        <v>408</v>
      </c>
      <c r="N162" s="313" t="s">
        <v>415</v>
      </c>
      <c r="O162" s="552"/>
      <c r="P162" s="458"/>
      <c r="Q162" s="315">
        <v>4950</v>
      </c>
      <c r="R162" s="590" t="s">
        <v>416</v>
      </c>
      <c r="S162" s="627" t="s">
        <v>417</v>
      </c>
      <c r="T162" s="662">
        <v>45991</v>
      </c>
      <c r="U162" s="504">
        <v>0</v>
      </c>
      <c r="V162" s="772"/>
      <c r="W162" s="537">
        <v>45989</v>
      </c>
      <c r="X162" s="769"/>
      <c r="Y162" s="484"/>
    </row>
    <row r="163" spans="2:25">
      <c r="B163" s="311">
        <v>15</v>
      </c>
      <c r="C163" s="313"/>
      <c r="D163" s="313"/>
      <c r="E163" s="314"/>
      <c r="F163" s="458"/>
      <c r="G163" s="315"/>
      <c r="H163" s="574"/>
      <c r="I163" s="754"/>
      <c r="J163" s="754"/>
      <c r="K163" s="288"/>
      <c r="L163" s="311">
        <v>15</v>
      </c>
      <c r="M163" s="389" t="s">
        <v>408</v>
      </c>
      <c r="N163" s="313" t="s">
        <v>539</v>
      </c>
      <c r="O163" s="552"/>
      <c r="P163" s="458"/>
      <c r="Q163" s="315">
        <v>4400</v>
      </c>
      <c r="R163" s="590" t="s">
        <v>540</v>
      </c>
      <c r="S163" s="627"/>
      <c r="T163" s="520">
        <v>46112</v>
      </c>
      <c r="U163" s="504">
        <f t="shared" si="19"/>
        <v>5167.1831675093781</v>
      </c>
      <c r="V163" s="772"/>
      <c r="W163" s="574">
        <f>T163</f>
        <v>46112</v>
      </c>
      <c r="X163" s="769"/>
      <c r="Y163" s="484"/>
    </row>
    <row r="164" spans="2:25">
      <c r="B164" s="311">
        <v>15</v>
      </c>
      <c r="C164" s="313"/>
      <c r="D164" s="313"/>
      <c r="E164" s="314"/>
      <c r="F164" s="458"/>
      <c r="G164" s="315"/>
      <c r="H164" s="574"/>
      <c r="I164" s="754"/>
      <c r="J164" s="754"/>
      <c r="K164" s="288"/>
      <c r="L164" s="311">
        <v>15</v>
      </c>
      <c r="M164" s="389" t="s">
        <v>408</v>
      </c>
      <c r="N164" s="313"/>
      <c r="O164" s="552"/>
      <c r="P164" s="458"/>
      <c r="Q164" s="315"/>
      <c r="R164" s="590"/>
      <c r="S164" s="627"/>
      <c r="T164" s="662"/>
      <c r="U164" s="504">
        <v>0</v>
      </c>
      <c r="V164" s="772"/>
      <c r="W164" s="574"/>
      <c r="X164" s="769"/>
      <c r="Y164" s="484"/>
    </row>
    <row r="165" spans="2:25">
      <c r="B165" s="311">
        <v>15</v>
      </c>
      <c r="C165" s="313"/>
      <c r="D165" s="313"/>
      <c r="E165" s="314"/>
      <c r="F165" s="458"/>
      <c r="G165" s="315"/>
      <c r="H165" s="574"/>
      <c r="I165" s="754"/>
      <c r="J165" s="754"/>
      <c r="K165" s="288"/>
      <c r="L165" s="311">
        <v>15</v>
      </c>
      <c r="M165" s="389" t="s">
        <v>408</v>
      </c>
      <c r="N165" s="313"/>
      <c r="O165" s="552"/>
      <c r="P165" s="458"/>
      <c r="Q165" s="315"/>
      <c r="R165" s="590"/>
      <c r="S165" s="627"/>
      <c r="T165" s="520" t="str">
        <f t="shared" si="18"/>
        <v/>
      </c>
      <c r="U165" s="504">
        <f t="shared" si="19"/>
        <v>0</v>
      </c>
      <c r="V165" s="772"/>
      <c r="W165" s="574"/>
      <c r="X165" s="769"/>
      <c r="Y165" s="484"/>
    </row>
    <row r="166" spans="2:25" ht="15" customHeight="1" thickBot="1">
      <c r="B166" s="316">
        <v>15</v>
      </c>
      <c r="C166" s="317"/>
      <c r="D166" s="317"/>
      <c r="E166" s="318"/>
      <c r="F166" s="459"/>
      <c r="G166" s="330"/>
      <c r="H166" s="576"/>
      <c r="I166" s="755"/>
      <c r="J166" s="755"/>
      <c r="K166" s="289"/>
      <c r="L166" s="316">
        <v>15</v>
      </c>
      <c r="M166" s="418" t="s">
        <v>408</v>
      </c>
      <c r="N166" s="317"/>
      <c r="O166" s="554"/>
      <c r="P166" s="459"/>
      <c r="Q166" s="330"/>
      <c r="R166" s="592"/>
      <c r="S166" s="629"/>
      <c r="T166" s="522" t="str">
        <f t="shared" si="7"/>
        <v/>
      </c>
      <c r="U166" s="506">
        <f t="shared" si="19"/>
        <v>0</v>
      </c>
      <c r="V166" s="773"/>
      <c r="W166" s="576"/>
      <c r="X166" s="770"/>
      <c r="Y166" s="484"/>
    </row>
    <row r="167" spans="2:25" s="3" customFormat="1">
      <c r="B167" s="109"/>
      <c r="E167" s="4"/>
      <c r="F167" s="472"/>
      <c r="G167" s="5"/>
      <c r="H167" s="348"/>
      <c r="I167" s="347"/>
      <c r="J167" s="347"/>
      <c r="L167" s="109"/>
      <c r="O167" s="4"/>
      <c r="P167" s="472"/>
      <c r="Q167" s="348"/>
      <c r="R167" s="348"/>
      <c r="S167" s="348"/>
      <c r="T167" s="348"/>
      <c r="U167" s="348"/>
      <c r="V167" s="348"/>
      <c r="W167" s="348"/>
      <c r="X167" s="348"/>
    </row>
    <row r="168" spans="2:25">
      <c r="B168" s="112"/>
      <c r="C168" s="644" t="s">
        <v>418</v>
      </c>
      <c r="D168" s="65">
        <v>2005152.3800000001</v>
      </c>
      <c r="E168" s="546"/>
      <c r="F168" s="644">
        <v>2179513.4565217393</v>
      </c>
      <c r="G168" s="112"/>
      <c r="I168" s="112"/>
      <c r="J168" s="112"/>
    </row>
    <row r="169" spans="2:25">
      <c r="B169" s="112"/>
      <c r="C169" s="644" t="s">
        <v>419</v>
      </c>
      <c r="D169" s="65">
        <v>560000</v>
      </c>
      <c r="E169" s="546"/>
      <c r="F169" s="644">
        <v>608695.65217391308</v>
      </c>
      <c r="G169" s="112"/>
      <c r="I169" s="256"/>
      <c r="J169" s="256"/>
    </row>
    <row r="170" spans="2:25">
      <c r="B170" s="112"/>
      <c r="C170" s="644" t="s">
        <v>420</v>
      </c>
      <c r="D170" s="65">
        <v>429471</v>
      </c>
      <c r="E170" s="546"/>
      <c r="F170" s="644">
        <v>466816.30434782611</v>
      </c>
      <c r="G170" s="112"/>
      <c r="I170" s="349"/>
      <c r="J170" s="349"/>
    </row>
    <row r="171" spans="2:25">
      <c r="B171" s="112"/>
      <c r="C171" s="644" t="s">
        <v>283</v>
      </c>
      <c r="D171" s="65">
        <v>748943.9</v>
      </c>
      <c r="E171" s="546"/>
      <c r="F171" s="644">
        <v>814069.45652173914</v>
      </c>
      <c r="G171" s="112"/>
      <c r="I171" s="256"/>
      <c r="J171" s="256"/>
    </row>
    <row r="172" spans="2:25">
      <c r="B172" s="112"/>
      <c r="C172" s="644" t="s">
        <v>319</v>
      </c>
      <c r="D172" s="65">
        <v>1016362.1</v>
      </c>
      <c r="E172" s="546"/>
      <c r="F172" s="644">
        <v>1104741.4130434783</v>
      </c>
      <c r="G172" s="112"/>
      <c r="I172" s="349"/>
      <c r="J172" s="349"/>
    </row>
    <row r="173" spans="2:25">
      <c r="B173" s="112"/>
      <c r="C173" s="644" t="s">
        <v>305</v>
      </c>
      <c r="D173" s="65">
        <v>49000</v>
      </c>
      <c r="E173" s="546"/>
      <c r="F173" s="644">
        <v>53260.869565217392</v>
      </c>
      <c r="G173" s="112"/>
      <c r="I173" s="256"/>
      <c r="J173" s="256"/>
    </row>
    <row r="174" spans="2:25">
      <c r="B174" s="112"/>
      <c r="C174" s="644" t="s">
        <v>421</v>
      </c>
      <c r="D174" s="65">
        <v>0</v>
      </c>
      <c r="E174" s="546"/>
      <c r="F174" s="644">
        <v>0</v>
      </c>
      <c r="G174" s="112"/>
      <c r="I174" s="256"/>
      <c r="J174" s="256"/>
    </row>
    <row r="175" spans="2:25">
      <c r="B175" s="112"/>
      <c r="C175" s="644" t="s">
        <v>422</v>
      </c>
      <c r="D175" s="65">
        <v>0</v>
      </c>
      <c r="E175" s="546"/>
      <c r="F175" s="644">
        <v>0</v>
      </c>
      <c r="G175" s="112"/>
      <c r="I175" s="256"/>
      <c r="J175" s="256"/>
    </row>
    <row r="176" spans="2:25">
      <c r="B176" s="112"/>
      <c r="C176" s="644" t="s">
        <v>423</v>
      </c>
      <c r="D176" s="65">
        <v>0</v>
      </c>
      <c r="E176" s="546"/>
      <c r="F176" s="644">
        <v>0</v>
      </c>
      <c r="G176" s="112"/>
      <c r="I176" s="256"/>
      <c r="J176" s="256"/>
    </row>
    <row r="177" spans="2:10">
      <c r="B177" s="112"/>
      <c r="C177" s="644" t="s">
        <v>424</v>
      </c>
      <c r="D177" s="65">
        <v>0</v>
      </c>
      <c r="E177" s="546"/>
      <c r="F177" s="644">
        <v>0</v>
      </c>
      <c r="G177" s="112"/>
      <c r="I177" s="256"/>
      <c r="J177" s="256"/>
    </row>
    <row r="178" spans="2:10">
      <c r="B178" s="112"/>
      <c r="C178" s="644" t="s">
        <v>425</v>
      </c>
      <c r="D178" s="65">
        <v>0</v>
      </c>
      <c r="E178" s="546"/>
      <c r="F178" s="644">
        <v>0</v>
      </c>
      <c r="G178" s="112"/>
      <c r="I178" s="256"/>
      <c r="J178" s="256"/>
    </row>
    <row r="179" spans="2:10">
      <c r="B179" s="112"/>
      <c r="C179" s="644" t="s">
        <v>426</v>
      </c>
      <c r="D179" s="65"/>
      <c r="E179" s="546"/>
      <c r="F179" s="644"/>
      <c r="G179" s="112"/>
      <c r="I179" s="256"/>
      <c r="J179" s="256"/>
    </row>
    <row r="180" spans="2:10">
      <c r="B180" s="112"/>
      <c r="C180" s="644"/>
      <c r="D180" s="65"/>
      <c r="E180" s="546"/>
      <c r="F180" s="644"/>
      <c r="G180" s="112"/>
      <c r="I180" s="256"/>
      <c r="J180" s="256"/>
    </row>
    <row r="181" spans="2:10" s="112" customFormat="1">
      <c r="C181" s="644" t="s">
        <v>427</v>
      </c>
      <c r="D181" s="644">
        <v>238595</v>
      </c>
      <c r="E181" s="546"/>
      <c r="F181" s="644">
        <v>280700</v>
      </c>
      <c r="I181" s="256"/>
      <c r="J181" s="256"/>
    </row>
    <row r="182" spans="2:10" s="112" customFormat="1">
      <c r="C182" s="644" t="s">
        <v>428</v>
      </c>
      <c r="D182" s="644">
        <v>533330</v>
      </c>
      <c r="E182" s="546"/>
      <c r="F182" s="644">
        <v>627447.0588235294</v>
      </c>
      <c r="I182" s="256"/>
      <c r="J182" s="256"/>
    </row>
    <row r="183" spans="2:10" s="112" customFormat="1">
      <c r="C183" s="644" t="s">
        <v>429</v>
      </c>
      <c r="D183" s="644">
        <v>286542.73600000003</v>
      </c>
      <c r="E183" s="546"/>
      <c r="F183" s="644">
        <v>325616.74545454548</v>
      </c>
      <c r="I183" s="256"/>
      <c r="J183" s="256"/>
    </row>
    <row r="184" spans="2:10" s="112" customFormat="1">
      <c r="C184" s="644" t="s">
        <v>430</v>
      </c>
      <c r="D184" s="644">
        <v>158578.5</v>
      </c>
      <c r="E184" s="546"/>
      <c r="F184" s="644">
        <v>186562.9411764706</v>
      </c>
      <c r="I184" s="256"/>
      <c r="J184" s="256"/>
    </row>
    <row r="185" spans="2:10" s="112" customFormat="1">
      <c r="C185" s="644" t="s">
        <v>431</v>
      </c>
      <c r="D185" s="644">
        <v>8500</v>
      </c>
      <c r="E185" s="546"/>
      <c r="F185" s="644">
        <v>10000</v>
      </c>
      <c r="I185" s="256"/>
      <c r="J185" s="256"/>
    </row>
    <row r="186" spans="2:10" s="112" customFormat="1">
      <c r="C186" s="644" t="s">
        <v>432</v>
      </c>
      <c r="D186" s="644">
        <v>0</v>
      </c>
      <c r="E186" s="546"/>
      <c r="F186" s="644">
        <v>0</v>
      </c>
      <c r="I186" s="256"/>
      <c r="J186" s="256"/>
    </row>
    <row r="187" spans="2:10" s="112" customFormat="1">
      <c r="C187" s="644" t="s">
        <v>433</v>
      </c>
      <c r="D187" s="644">
        <v>17575</v>
      </c>
      <c r="E187" s="546"/>
      <c r="F187" s="644">
        <v>20676.470588235294</v>
      </c>
      <c r="I187" s="256"/>
      <c r="J187" s="256"/>
    </row>
    <row r="188" spans="2:10" s="112" customFormat="1">
      <c r="C188" s="644" t="s">
        <v>434</v>
      </c>
      <c r="D188" s="644">
        <v>114000</v>
      </c>
      <c r="E188" s="546"/>
      <c r="F188" s="644">
        <v>134117.64705882352</v>
      </c>
      <c r="I188" s="256"/>
      <c r="J188" s="256"/>
    </row>
    <row r="189" spans="2:10" s="112" customFormat="1">
      <c r="C189" s="644" t="s">
        <v>435</v>
      </c>
      <c r="D189" s="644">
        <v>51911</v>
      </c>
      <c r="E189" s="546"/>
      <c r="F189" s="644">
        <v>61071.76470588235</v>
      </c>
      <c r="I189" s="256"/>
      <c r="J189" s="256"/>
    </row>
    <row r="190" spans="2:10" s="112" customFormat="1">
      <c r="C190" s="644" t="s">
        <v>436</v>
      </c>
      <c r="D190" s="644">
        <v>0</v>
      </c>
      <c r="E190" s="546"/>
      <c r="F190" s="644">
        <v>0</v>
      </c>
      <c r="I190" s="256"/>
      <c r="J190" s="256"/>
    </row>
    <row r="191" spans="2:10" s="112" customFormat="1">
      <c r="C191" s="644" t="s">
        <v>423</v>
      </c>
      <c r="D191" s="644">
        <v>1800000</v>
      </c>
      <c r="E191" s="546"/>
      <c r="F191" s="644">
        <v>1800000</v>
      </c>
      <c r="I191" s="256"/>
      <c r="J191" s="256"/>
    </row>
    <row r="192" spans="2:10" s="112" customFormat="1">
      <c r="C192" s="644"/>
      <c r="D192" s="644"/>
      <c r="E192" s="546"/>
      <c r="F192" s="644"/>
      <c r="I192" s="256"/>
      <c r="J192" s="256"/>
    </row>
    <row r="193" spans="3:10" s="112" customFormat="1">
      <c r="C193" s="644" t="s">
        <v>437</v>
      </c>
      <c r="D193" s="644"/>
      <c r="E193" s="546"/>
      <c r="F193" s="644"/>
      <c r="I193" s="256"/>
      <c r="J193" s="256"/>
    </row>
    <row r="194" spans="3:10" s="112" customFormat="1">
      <c r="C194" s="644" t="s">
        <v>438</v>
      </c>
      <c r="D194" s="644">
        <v>16625</v>
      </c>
      <c r="E194" s="546"/>
      <c r="F194" s="644">
        <v>19558.823529411766</v>
      </c>
      <c r="I194" s="256"/>
      <c r="J194" s="256"/>
    </row>
    <row r="195" spans="3:10" s="112" customFormat="1">
      <c r="C195" s="550"/>
      <c r="D195" s="550"/>
      <c r="E195" s="165"/>
      <c r="F195" s="463"/>
      <c r="I195" s="256"/>
      <c r="J195" s="256"/>
    </row>
    <row r="196" spans="3:10" s="112" customFormat="1">
      <c r="C196" s="550"/>
      <c r="D196" s="550"/>
      <c r="E196" s="165"/>
      <c r="F196" s="463"/>
      <c r="I196" s="256"/>
      <c r="J196" s="256"/>
    </row>
    <row r="197" spans="3:10" s="112" customFormat="1">
      <c r="C197" s="550"/>
      <c r="D197" s="550"/>
      <c r="E197" s="165"/>
      <c r="F197" s="463"/>
      <c r="I197" s="256"/>
      <c r="J197" s="256"/>
    </row>
    <row r="198" spans="3:10" s="112" customFormat="1">
      <c r="C198" s="550"/>
      <c r="D198" s="550"/>
      <c r="E198" s="165"/>
      <c r="F198" s="463"/>
      <c r="I198" s="256"/>
      <c r="J198" s="256"/>
    </row>
    <row r="199" spans="3:10" s="112" customFormat="1">
      <c r="C199" s="550"/>
      <c r="D199" s="550"/>
      <c r="E199" s="165"/>
      <c r="F199" s="463"/>
      <c r="I199" s="256"/>
      <c r="J199" s="256"/>
    </row>
    <row r="200" spans="3:10" s="112" customFormat="1">
      <c r="C200" s="550"/>
      <c r="D200" s="550"/>
      <c r="E200" s="165"/>
      <c r="F200" s="463"/>
      <c r="I200" s="256"/>
      <c r="J200" s="256"/>
    </row>
    <row r="201" spans="3:10" s="112" customFormat="1">
      <c r="C201" s="550"/>
      <c r="D201" s="550"/>
      <c r="E201" s="165"/>
      <c r="F201" s="463"/>
      <c r="I201" s="256"/>
      <c r="J201" s="256"/>
    </row>
    <row r="202" spans="3:10" s="112" customFormat="1">
      <c r="C202" s="550"/>
      <c r="D202" s="550"/>
      <c r="E202" s="165"/>
      <c r="F202" s="463"/>
      <c r="I202" s="256"/>
      <c r="J202" s="256"/>
    </row>
    <row r="203" spans="3:10" s="112" customFormat="1">
      <c r="C203" s="550"/>
      <c r="D203" s="550"/>
      <c r="E203" s="165"/>
      <c r="F203" s="463"/>
      <c r="I203" s="256"/>
      <c r="J203" s="256"/>
    </row>
    <row r="204" spans="3:10" s="112" customFormat="1">
      <c r="C204" s="550"/>
      <c r="D204" s="550"/>
      <c r="E204" s="165"/>
      <c r="F204" s="463"/>
      <c r="I204" s="256"/>
      <c r="J204" s="256"/>
    </row>
    <row r="205" spans="3:10" s="112" customFormat="1">
      <c r="C205" s="550"/>
      <c r="D205" s="550"/>
      <c r="E205" s="165"/>
      <c r="F205" s="463"/>
      <c r="I205" s="256"/>
      <c r="J205" s="256"/>
    </row>
    <row r="206" spans="3:10" s="112" customFormat="1">
      <c r="C206" s="550"/>
      <c r="D206" s="550"/>
      <c r="E206" s="165"/>
      <c r="F206" s="463"/>
      <c r="I206" s="256"/>
      <c r="J206" s="256"/>
    </row>
    <row r="207" spans="3:10" s="112" customFormat="1">
      <c r="C207" s="550"/>
      <c r="D207" s="550"/>
      <c r="E207" s="165"/>
      <c r="F207" s="463"/>
      <c r="I207" s="256"/>
      <c r="J207" s="256"/>
    </row>
    <row r="208" spans="3:10" s="112" customFormat="1">
      <c r="C208" s="550"/>
      <c r="D208" s="550"/>
      <c r="E208" s="165"/>
      <c r="F208" s="463"/>
      <c r="I208" s="256"/>
      <c r="J208" s="256"/>
    </row>
    <row r="209" spans="3:10" s="112" customFormat="1">
      <c r="C209" s="550"/>
      <c r="D209" s="550"/>
      <c r="E209" s="165"/>
      <c r="F209" s="463"/>
      <c r="I209" s="256"/>
      <c r="J209" s="256"/>
    </row>
    <row r="210" spans="3:10" s="112" customFormat="1">
      <c r="C210" s="550"/>
      <c r="D210" s="550"/>
      <c r="E210" s="165"/>
      <c r="F210" s="463"/>
      <c r="I210" s="256"/>
      <c r="J210" s="256"/>
    </row>
    <row r="211" spans="3:10" s="112" customFormat="1">
      <c r="C211" s="550"/>
      <c r="D211" s="550"/>
      <c r="E211" s="165"/>
      <c r="F211" s="463"/>
      <c r="I211" s="256"/>
      <c r="J211" s="256"/>
    </row>
    <row r="212" spans="3:10" s="112" customFormat="1">
      <c r="C212" s="550"/>
      <c r="D212" s="550"/>
      <c r="E212" s="165"/>
      <c r="F212" s="463"/>
      <c r="I212" s="256"/>
      <c r="J212" s="256"/>
    </row>
    <row r="213" spans="3:10" s="112" customFormat="1">
      <c r="C213" s="550"/>
      <c r="D213" s="550"/>
      <c r="E213" s="165"/>
      <c r="F213" s="463"/>
      <c r="I213" s="256"/>
      <c r="J213" s="256"/>
    </row>
    <row r="214" spans="3:10" s="112" customFormat="1">
      <c r="C214" s="550"/>
      <c r="D214" s="550"/>
      <c r="E214" s="165"/>
      <c r="F214" s="463"/>
      <c r="I214" s="256"/>
      <c r="J214" s="256"/>
    </row>
    <row r="215" spans="3:10" s="112" customFormat="1">
      <c r="E215" s="165"/>
      <c r="F215" s="463"/>
      <c r="I215" s="256"/>
      <c r="J215" s="256"/>
    </row>
    <row r="216" spans="3:10" s="112" customFormat="1">
      <c r="E216" s="165"/>
      <c r="F216" s="463"/>
      <c r="I216" s="256"/>
      <c r="J216" s="256"/>
    </row>
    <row r="217" spans="3:10" s="112" customFormat="1">
      <c r="E217" s="165"/>
      <c r="F217" s="463"/>
      <c r="I217" s="256"/>
      <c r="J217" s="256"/>
    </row>
    <row r="218" spans="3:10" s="112" customFormat="1">
      <c r="E218" s="165"/>
      <c r="F218" s="463"/>
      <c r="I218" s="256"/>
      <c r="J218" s="256"/>
    </row>
    <row r="219" spans="3:10" s="112" customFormat="1">
      <c r="E219" s="165"/>
      <c r="F219" s="463"/>
      <c r="I219" s="256"/>
      <c r="J219" s="256"/>
    </row>
    <row r="220" spans="3:10" s="112" customFormat="1">
      <c r="E220" s="165"/>
      <c r="F220" s="463"/>
      <c r="I220" s="256"/>
      <c r="J220" s="256"/>
    </row>
    <row r="221" spans="3:10" s="112" customFormat="1">
      <c r="E221" s="165"/>
      <c r="F221" s="463"/>
      <c r="I221" s="256"/>
      <c r="J221" s="256"/>
    </row>
    <row r="222" spans="3:10" s="112" customFormat="1">
      <c r="E222" s="165"/>
      <c r="F222" s="463"/>
      <c r="I222" s="256"/>
      <c r="J222" s="256"/>
    </row>
    <row r="223" spans="3:10" s="112" customFormat="1">
      <c r="E223" s="165"/>
      <c r="F223" s="463"/>
      <c r="I223" s="256"/>
      <c r="J223" s="256"/>
    </row>
    <row r="224" spans="3:10" s="112" customFormat="1">
      <c r="E224" s="165"/>
      <c r="F224" s="463"/>
      <c r="I224" s="256"/>
      <c r="J224" s="256"/>
    </row>
    <row r="225" spans="5:10" s="112" customFormat="1">
      <c r="E225" s="165"/>
      <c r="F225" s="463"/>
      <c r="I225" s="256"/>
      <c r="J225" s="256"/>
    </row>
    <row r="226" spans="5:10" s="112" customFormat="1">
      <c r="E226" s="165"/>
      <c r="F226" s="463"/>
      <c r="I226" s="256"/>
      <c r="J226" s="256"/>
    </row>
    <row r="227" spans="5:10" s="112" customFormat="1">
      <c r="E227" s="165"/>
      <c r="F227" s="463"/>
      <c r="I227" s="256"/>
      <c r="J227" s="256"/>
    </row>
    <row r="228" spans="5:10" s="112" customFormat="1">
      <c r="E228" s="165"/>
      <c r="F228" s="463"/>
      <c r="I228" s="256"/>
      <c r="J228" s="256"/>
    </row>
    <row r="229" spans="5:10" s="112" customFormat="1">
      <c r="E229" s="165"/>
      <c r="F229" s="463"/>
      <c r="I229" s="256"/>
      <c r="J229" s="256"/>
    </row>
    <row r="230" spans="5:10" s="112" customFormat="1">
      <c r="E230" s="165"/>
      <c r="F230" s="463"/>
      <c r="I230" s="256"/>
      <c r="J230" s="256"/>
    </row>
    <row r="231" spans="5:10" s="112" customFormat="1">
      <c r="E231" s="165"/>
      <c r="F231" s="463"/>
      <c r="I231" s="256"/>
      <c r="J231" s="256"/>
    </row>
    <row r="232" spans="5:10" s="112" customFormat="1">
      <c r="E232" s="165"/>
      <c r="F232" s="463"/>
      <c r="I232" s="256"/>
      <c r="J232" s="256"/>
    </row>
    <row r="233" spans="5:10" s="112" customFormat="1">
      <c r="E233" s="165"/>
      <c r="F233" s="463"/>
      <c r="I233" s="256"/>
      <c r="J233" s="256"/>
    </row>
    <row r="234" spans="5:10" s="112" customFormat="1">
      <c r="E234" s="165"/>
      <c r="F234" s="463"/>
      <c r="I234" s="256"/>
      <c r="J234" s="256"/>
    </row>
    <row r="235" spans="5:10" s="112" customFormat="1">
      <c r="E235" s="165"/>
      <c r="F235" s="463"/>
      <c r="I235" s="256"/>
      <c r="J235" s="256"/>
    </row>
    <row r="236" spans="5:10" s="112" customFormat="1">
      <c r="E236" s="165"/>
      <c r="F236" s="463"/>
      <c r="I236" s="256"/>
      <c r="J236" s="256"/>
    </row>
    <row r="237" spans="5:10" s="112" customFormat="1">
      <c r="E237" s="165"/>
      <c r="F237" s="463"/>
      <c r="I237" s="256"/>
      <c r="J237" s="256"/>
    </row>
    <row r="238" spans="5:10" s="112" customFormat="1">
      <c r="E238" s="165"/>
      <c r="F238" s="463"/>
      <c r="I238" s="256"/>
      <c r="J238" s="256"/>
    </row>
    <row r="239" spans="5:10" s="112" customFormat="1">
      <c r="E239" s="165"/>
      <c r="F239" s="463"/>
      <c r="I239" s="256"/>
      <c r="J239" s="256"/>
    </row>
    <row r="240" spans="5:10" s="112" customFormat="1">
      <c r="E240" s="165"/>
      <c r="F240" s="463"/>
      <c r="I240" s="256"/>
      <c r="J240" s="256"/>
    </row>
    <row r="241" spans="5:10" s="112" customFormat="1">
      <c r="E241" s="165"/>
      <c r="F241" s="463"/>
      <c r="I241" s="256"/>
      <c r="J241" s="256"/>
    </row>
    <row r="242" spans="5:10" s="112" customFormat="1">
      <c r="E242" s="165"/>
      <c r="F242" s="463"/>
      <c r="I242" s="256"/>
      <c r="J242" s="256"/>
    </row>
    <row r="243" spans="5:10" s="112" customFormat="1">
      <c r="E243" s="165"/>
      <c r="F243" s="463"/>
      <c r="I243" s="256"/>
      <c r="J243" s="256"/>
    </row>
    <row r="244" spans="5:10" s="112" customFormat="1">
      <c r="E244" s="165"/>
      <c r="F244" s="463"/>
      <c r="I244" s="256"/>
      <c r="J244" s="256"/>
    </row>
    <row r="245" spans="5:10" s="112" customFormat="1">
      <c r="E245" s="165"/>
      <c r="F245" s="463"/>
      <c r="I245" s="256"/>
      <c r="J245" s="256"/>
    </row>
    <row r="246" spans="5:10" s="112" customFormat="1">
      <c r="E246" s="165"/>
      <c r="F246" s="463"/>
      <c r="I246" s="256"/>
      <c r="J246" s="256"/>
    </row>
    <row r="247" spans="5:10" s="112" customFormat="1">
      <c r="E247" s="165"/>
      <c r="F247" s="463"/>
      <c r="I247" s="256"/>
      <c r="J247" s="256"/>
    </row>
    <row r="248" spans="5:10" s="112" customFormat="1">
      <c r="E248" s="165"/>
      <c r="F248" s="463"/>
      <c r="I248" s="256"/>
      <c r="J248" s="256"/>
    </row>
    <row r="249" spans="5:10" s="112" customFormat="1">
      <c r="E249" s="165"/>
      <c r="F249" s="463"/>
      <c r="I249" s="256"/>
      <c r="J249" s="256"/>
    </row>
    <row r="250" spans="5:10" s="112" customFormat="1">
      <c r="E250" s="165"/>
      <c r="F250" s="463"/>
      <c r="I250" s="256"/>
      <c r="J250" s="256"/>
    </row>
    <row r="251" spans="5:10" s="112" customFormat="1">
      <c r="E251" s="165"/>
      <c r="F251" s="463"/>
      <c r="I251" s="256"/>
      <c r="J251" s="256"/>
    </row>
    <row r="252" spans="5:10" s="112" customFormat="1">
      <c r="E252" s="165"/>
      <c r="F252" s="463"/>
      <c r="I252" s="256"/>
      <c r="J252" s="256"/>
    </row>
    <row r="253" spans="5:10" s="112" customFormat="1">
      <c r="E253" s="165"/>
      <c r="F253" s="463"/>
      <c r="I253" s="256"/>
      <c r="J253" s="256"/>
    </row>
    <row r="254" spans="5:10" s="112" customFormat="1">
      <c r="E254" s="165"/>
      <c r="F254" s="463"/>
      <c r="I254" s="256"/>
      <c r="J254" s="256"/>
    </row>
    <row r="255" spans="5:10" s="112" customFormat="1">
      <c r="E255" s="165"/>
      <c r="F255" s="463"/>
      <c r="I255" s="256"/>
      <c r="J255" s="256"/>
    </row>
    <row r="256" spans="5:10" s="112" customFormat="1">
      <c r="E256" s="165"/>
      <c r="F256" s="463"/>
      <c r="I256" s="256"/>
      <c r="J256" s="256"/>
    </row>
    <row r="257" spans="5:10" s="112" customFormat="1">
      <c r="E257" s="165"/>
      <c r="F257" s="463"/>
      <c r="I257" s="256"/>
      <c r="J257" s="256"/>
    </row>
    <row r="258" spans="5:10" s="112" customFormat="1">
      <c r="E258" s="165"/>
      <c r="F258" s="463"/>
      <c r="I258" s="256"/>
      <c r="J258" s="256"/>
    </row>
    <row r="259" spans="5:10" s="112" customFormat="1">
      <c r="E259" s="165"/>
      <c r="F259" s="463"/>
      <c r="I259" s="256"/>
      <c r="J259" s="256"/>
    </row>
    <row r="260" spans="5:10" s="112" customFormat="1">
      <c r="E260" s="165"/>
      <c r="F260" s="463"/>
      <c r="I260" s="256"/>
      <c r="J260" s="256"/>
    </row>
    <row r="261" spans="5:10" s="112" customFormat="1">
      <c r="E261" s="165"/>
      <c r="F261" s="463"/>
      <c r="I261" s="256"/>
      <c r="J261" s="256"/>
    </row>
    <row r="262" spans="5:10" s="112" customFormat="1">
      <c r="E262" s="165"/>
      <c r="F262" s="463"/>
      <c r="I262" s="256"/>
      <c r="J262" s="256"/>
    </row>
    <row r="263" spans="5:10" s="112" customFormat="1">
      <c r="E263" s="165"/>
      <c r="F263" s="463"/>
      <c r="I263" s="256"/>
      <c r="J263" s="256"/>
    </row>
    <row r="264" spans="5:10" s="112" customFormat="1">
      <c r="E264" s="165"/>
      <c r="F264" s="463"/>
      <c r="I264" s="256"/>
      <c r="J264" s="256"/>
    </row>
    <row r="265" spans="5:10" s="112" customFormat="1">
      <c r="E265" s="165"/>
      <c r="F265" s="463"/>
      <c r="I265" s="256"/>
      <c r="J265" s="256"/>
    </row>
    <row r="266" spans="5:10" s="112" customFormat="1">
      <c r="E266" s="165"/>
      <c r="F266" s="463"/>
      <c r="I266" s="256"/>
      <c r="J266" s="256"/>
    </row>
    <row r="267" spans="5:10" s="112" customFormat="1">
      <c r="E267" s="165"/>
      <c r="F267" s="463"/>
      <c r="I267" s="256"/>
      <c r="J267" s="256"/>
    </row>
    <row r="268" spans="5:10" s="112" customFormat="1">
      <c r="E268" s="165"/>
      <c r="F268" s="463"/>
      <c r="I268" s="256"/>
      <c r="J268" s="256"/>
    </row>
    <row r="269" spans="5:10" s="112" customFormat="1">
      <c r="E269" s="165"/>
      <c r="F269" s="463"/>
      <c r="I269" s="256"/>
      <c r="J269" s="256"/>
    </row>
    <row r="270" spans="5:10" s="112" customFormat="1">
      <c r="E270" s="165"/>
      <c r="F270" s="463"/>
      <c r="I270" s="256"/>
      <c r="J270" s="256"/>
    </row>
    <row r="271" spans="5:10" s="112" customFormat="1">
      <c r="E271" s="165"/>
      <c r="F271" s="463"/>
      <c r="I271" s="256"/>
      <c r="J271" s="256"/>
    </row>
    <row r="272" spans="5:10" s="112" customFormat="1">
      <c r="E272" s="165"/>
      <c r="F272" s="463"/>
      <c r="I272" s="256"/>
      <c r="J272" s="256"/>
    </row>
    <row r="273" spans="5:10" s="112" customFormat="1">
      <c r="E273" s="165"/>
      <c r="F273" s="463"/>
      <c r="I273" s="256"/>
      <c r="J273" s="256"/>
    </row>
    <row r="274" spans="5:10" s="112" customFormat="1">
      <c r="E274" s="165"/>
      <c r="F274" s="463"/>
      <c r="I274" s="256"/>
      <c r="J274" s="256"/>
    </row>
    <row r="275" spans="5:10" s="112" customFormat="1">
      <c r="E275" s="165"/>
      <c r="F275" s="463"/>
      <c r="I275" s="256"/>
      <c r="J275" s="256"/>
    </row>
    <row r="276" spans="5:10" s="112" customFormat="1">
      <c r="E276" s="165"/>
      <c r="F276" s="463"/>
      <c r="I276" s="256"/>
      <c r="J276" s="256"/>
    </row>
    <row r="277" spans="5:10" s="112" customFormat="1">
      <c r="E277" s="165"/>
      <c r="F277" s="463"/>
      <c r="I277" s="256"/>
      <c r="J277" s="256"/>
    </row>
    <row r="278" spans="5:10" s="112" customFormat="1">
      <c r="E278" s="165"/>
      <c r="F278" s="463"/>
      <c r="I278" s="256"/>
      <c r="J278" s="256"/>
    </row>
    <row r="279" spans="5:10" s="112" customFormat="1">
      <c r="E279" s="165"/>
      <c r="F279" s="463"/>
      <c r="I279" s="256"/>
      <c r="J279" s="256"/>
    </row>
    <row r="280" spans="5:10" s="112" customFormat="1">
      <c r="E280" s="165"/>
      <c r="F280" s="463"/>
      <c r="I280" s="256"/>
      <c r="J280" s="256"/>
    </row>
    <row r="281" spans="5:10" s="112" customFormat="1">
      <c r="E281" s="165"/>
      <c r="F281" s="463"/>
      <c r="I281" s="256"/>
      <c r="J281" s="256"/>
    </row>
    <row r="282" spans="5:10" s="112" customFormat="1">
      <c r="E282" s="165"/>
      <c r="F282" s="463"/>
      <c r="I282" s="256"/>
      <c r="J282" s="256"/>
    </row>
    <row r="283" spans="5:10" s="112" customFormat="1">
      <c r="E283" s="165"/>
      <c r="F283" s="463"/>
      <c r="I283" s="256"/>
      <c r="J283" s="256"/>
    </row>
    <row r="284" spans="5:10" s="112" customFormat="1">
      <c r="E284" s="165"/>
      <c r="F284" s="463"/>
      <c r="I284" s="256"/>
      <c r="J284" s="256"/>
    </row>
    <row r="285" spans="5:10" s="112" customFormat="1">
      <c r="E285" s="165"/>
      <c r="F285" s="463"/>
      <c r="I285" s="256"/>
      <c r="J285" s="256"/>
    </row>
    <row r="286" spans="5:10" s="112" customFormat="1">
      <c r="E286" s="165"/>
      <c r="F286" s="463"/>
      <c r="I286" s="256"/>
      <c r="J286" s="256"/>
    </row>
    <row r="287" spans="5:10" s="112" customFormat="1">
      <c r="E287" s="165"/>
      <c r="F287" s="463"/>
      <c r="I287" s="256"/>
      <c r="J287" s="256"/>
    </row>
    <row r="288" spans="5:10" s="112" customFormat="1">
      <c r="E288" s="165"/>
      <c r="F288" s="463"/>
      <c r="I288" s="256"/>
      <c r="J288" s="256"/>
    </row>
    <row r="289" spans="5:10" s="112" customFormat="1">
      <c r="E289" s="165"/>
      <c r="F289" s="463"/>
      <c r="I289" s="256"/>
      <c r="J289" s="256"/>
    </row>
    <row r="290" spans="5:10" s="112" customFormat="1">
      <c r="E290" s="165"/>
      <c r="F290" s="463"/>
      <c r="I290" s="256"/>
      <c r="J290" s="256"/>
    </row>
    <row r="291" spans="5:10" s="112" customFormat="1">
      <c r="E291" s="165"/>
      <c r="F291" s="463"/>
      <c r="I291" s="256"/>
      <c r="J291" s="256"/>
    </row>
    <row r="292" spans="5:10" s="112" customFormat="1">
      <c r="E292" s="165"/>
      <c r="F292" s="463"/>
      <c r="I292" s="256"/>
      <c r="J292" s="256"/>
    </row>
    <row r="293" spans="5:10" s="112" customFormat="1">
      <c r="E293" s="165"/>
      <c r="F293" s="463"/>
      <c r="I293" s="256"/>
      <c r="J293" s="256"/>
    </row>
    <row r="294" spans="5:10" s="112" customFormat="1">
      <c r="E294" s="165"/>
      <c r="F294" s="463"/>
      <c r="I294" s="256"/>
      <c r="J294" s="256"/>
    </row>
    <row r="295" spans="5:10" s="112" customFormat="1">
      <c r="E295" s="165"/>
      <c r="F295" s="463"/>
      <c r="I295" s="256"/>
      <c r="J295" s="256"/>
    </row>
    <row r="296" spans="5:10" s="112" customFormat="1">
      <c r="E296" s="165"/>
      <c r="F296" s="463"/>
      <c r="I296" s="256"/>
      <c r="J296" s="256"/>
    </row>
    <row r="297" spans="5:10" s="112" customFormat="1">
      <c r="E297" s="165"/>
      <c r="F297" s="463"/>
      <c r="I297" s="256"/>
      <c r="J297" s="256"/>
    </row>
    <row r="298" spans="5:10" s="112" customFormat="1">
      <c r="E298" s="165"/>
      <c r="F298" s="463"/>
      <c r="I298" s="256"/>
      <c r="J298" s="256"/>
    </row>
    <row r="299" spans="5:10" s="112" customFormat="1">
      <c r="E299" s="165"/>
      <c r="F299" s="463"/>
      <c r="I299" s="256"/>
      <c r="J299" s="256"/>
    </row>
    <row r="300" spans="5:10" s="112" customFormat="1">
      <c r="E300" s="165"/>
      <c r="F300" s="463"/>
      <c r="I300" s="256"/>
      <c r="J300" s="256"/>
    </row>
    <row r="301" spans="5:10" s="112" customFormat="1">
      <c r="E301" s="165"/>
      <c r="F301" s="463"/>
      <c r="I301" s="256"/>
      <c r="J301" s="256"/>
    </row>
    <row r="302" spans="5:10" s="112" customFormat="1">
      <c r="E302" s="165"/>
      <c r="F302" s="463"/>
      <c r="I302" s="256"/>
      <c r="J302" s="256"/>
    </row>
    <row r="303" spans="5:10" s="112" customFormat="1">
      <c r="E303" s="165"/>
      <c r="F303" s="463"/>
      <c r="I303" s="256"/>
      <c r="J303" s="256"/>
    </row>
    <row r="304" spans="5:10" s="112" customFormat="1">
      <c r="E304" s="165"/>
      <c r="F304" s="463"/>
      <c r="I304" s="256"/>
      <c r="J304" s="256"/>
    </row>
    <row r="305" spans="5:10" s="112" customFormat="1">
      <c r="E305" s="165"/>
      <c r="F305" s="463"/>
      <c r="I305" s="256"/>
      <c r="J305" s="256"/>
    </row>
    <row r="306" spans="5:10" s="112" customFormat="1">
      <c r="E306" s="165"/>
      <c r="F306" s="463"/>
      <c r="I306" s="256"/>
      <c r="J306" s="256"/>
    </row>
    <row r="307" spans="5:10" s="112" customFormat="1">
      <c r="E307" s="165"/>
      <c r="F307" s="463"/>
      <c r="I307" s="256"/>
      <c r="J307" s="256"/>
    </row>
    <row r="308" spans="5:10" s="112" customFormat="1">
      <c r="E308" s="165"/>
      <c r="F308" s="463"/>
      <c r="I308" s="256"/>
      <c r="J308" s="256"/>
    </row>
    <row r="309" spans="5:10" s="112" customFormat="1">
      <c r="E309" s="165"/>
      <c r="F309" s="463"/>
      <c r="I309" s="256"/>
      <c r="J309" s="256"/>
    </row>
    <row r="310" spans="5:10" s="112" customFormat="1">
      <c r="E310" s="165"/>
      <c r="F310" s="463"/>
      <c r="I310" s="256"/>
      <c r="J310" s="256"/>
    </row>
    <row r="311" spans="5:10" s="112" customFormat="1">
      <c r="E311" s="165"/>
      <c r="F311" s="463"/>
      <c r="I311" s="256"/>
      <c r="J311" s="256"/>
    </row>
    <row r="312" spans="5:10" s="112" customFormat="1">
      <c r="E312" s="165"/>
      <c r="F312" s="463"/>
      <c r="I312" s="256"/>
      <c r="J312" s="256"/>
    </row>
    <row r="313" spans="5:10" s="112" customFormat="1">
      <c r="E313" s="165"/>
      <c r="F313" s="463"/>
      <c r="I313" s="256"/>
      <c r="J313" s="256"/>
    </row>
    <row r="314" spans="5:10" s="112" customFormat="1">
      <c r="E314" s="165"/>
      <c r="F314" s="463"/>
      <c r="I314" s="256"/>
      <c r="J314" s="256"/>
    </row>
    <row r="315" spans="5:10" s="112" customFormat="1">
      <c r="E315" s="165"/>
      <c r="F315" s="463"/>
      <c r="I315" s="256"/>
      <c r="J315" s="256"/>
    </row>
    <row r="316" spans="5:10" s="112" customFormat="1">
      <c r="E316" s="165"/>
      <c r="F316" s="463"/>
      <c r="I316" s="256"/>
      <c r="J316" s="256"/>
    </row>
    <row r="317" spans="5:10" s="112" customFormat="1">
      <c r="E317" s="165"/>
      <c r="F317" s="463"/>
      <c r="I317" s="256"/>
      <c r="J317" s="256"/>
    </row>
    <row r="318" spans="5:10" s="112" customFormat="1">
      <c r="E318" s="165"/>
      <c r="F318" s="463"/>
      <c r="I318" s="256"/>
      <c r="J318" s="256"/>
    </row>
    <row r="319" spans="5:10" s="112" customFormat="1">
      <c r="E319" s="165"/>
      <c r="F319" s="463"/>
      <c r="I319" s="256"/>
      <c r="J319" s="256"/>
    </row>
    <row r="320" spans="5:10" s="112" customFormat="1">
      <c r="E320" s="165"/>
      <c r="F320" s="463"/>
      <c r="I320" s="256"/>
      <c r="J320" s="256"/>
    </row>
    <row r="321" spans="5:10" s="112" customFormat="1">
      <c r="E321" s="165"/>
      <c r="F321" s="463"/>
      <c r="I321" s="256"/>
      <c r="J321" s="256"/>
    </row>
    <row r="322" spans="5:10" s="112" customFormat="1">
      <c r="E322" s="165"/>
      <c r="F322" s="463"/>
      <c r="I322" s="256"/>
      <c r="J322" s="256"/>
    </row>
    <row r="323" spans="5:10" s="112" customFormat="1">
      <c r="E323" s="165"/>
      <c r="F323" s="463"/>
      <c r="I323" s="256"/>
      <c r="J323" s="256"/>
    </row>
    <row r="324" spans="5:10" s="112" customFormat="1">
      <c r="E324" s="165"/>
      <c r="F324" s="463"/>
      <c r="I324" s="256"/>
      <c r="J324" s="256"/>
    </row>
    <row r="325" spans="5:10" s="112" customFormat="1">
      <c r="E325" s="165"/>
      <c r="F325" s="463"/>
      <c r="I325" s="256"/>
      <c r="J325" s="256"/>
    </row>
    <row r="326" spans="5:10" s="112" customFormat="1">
      <c r="E326" s="165"/>
      <c r="F326" s="463"/>
      <c r="I326" s="256"/>
      <c r="J326" s="256"/>
    </row>
    <row r="327" spans="5:10" s="112" customFormat="1">
      <c r="E327" s="165"/>
      <c r="F327" s="463"/>
      <c r="I327" s="256"/>
      <c r="J327" s="256"/>
    </row>
    <row r="328" spans="5:10" s="112" customFormat="1">
      <c r="E328" s="165"/>
      <c r="F328" s="463"/>
      <c r="I328" s="256"/>
      <c r="J328" s="256"/>
    </row>
    <row r="329" spans="5:10" s="112" customFormat="1">
      <c r="E329" s="165"/>
      <c r="F329" s="463"/>
      <c r="I329" s="256"/>
      <c r="J329" s="256"/>
    </row>
    <row r="330" spans="5:10" s="112" customFormat="1">
      <c r="E330" s="165"/>
      <c r="F330" s="463"/>
      <c r="I330" s="256"/>
      <c r="J330" s="256"/>
    </row>
    <row r="331" spans="5:10" s="112" customFormat="1">
      <c r="E331" s="165"/>
      <c r="F331" s="463"/>
      <c r="I331" s="256"/>
      <c r="J331" s="256"/>
    </row>
    <row r="332" spans="5:10" s="112" customFormat="1">
      <c r="E332" s="165"/>
      <c r="F332" s="463"/>
      <c r="I332" s="256"/>
      <c r="J332" s="256"/>
    </row>
    <row r="333" spans="5:10" s="112" customFormat="1">
      <c r="E333" s="165"/>
      <c r="F333" s="463"/>
      <c r="I333" s="256"/>
      <c r="J333" s="256"/>
    </row>
    <row r="334" spans="5:10" s="112" customFormat="1">
      <c r="E334" s="165"/>
      <c r="F334" s="463"/>
      <c r="I334" s="256"/>
      <c r="J334" s="256"/>
    </row>
    <row r="335" spans="5:10" s="112" customFormat="1">
      <c r="E335" s="165"/>
      <c r="F335" s="463"/>
      <c r="I335" s="256"/>
      <c r="J335" s="256"/>
    </row>
    <row r="336" spans="5:10" s="112" customFormat="1">
      <c r="E336" s="165"/>
      <c r="F336" s="463"/>
      <c r="I336" s="256"/>
      <c r="J336" s="256"/>
    </row>
    <row r="337" spans="5:10" s="112" customFormat="1">
      <c r="E337" s="165"/>
      <c r="F337" s="463"/>
      <c r="I337" s="256"/>
      <c r="J337" s="256"/>
    </row>
    <row r="338" spans="5:10" s="112" customFormat="1">
      <c r="E338" s="165"/>
      <c r="F338" s="463"/>
      <c r="I338" s="256"/>
      <c r="J338" s="256"/>
    </row>
    <row r="339" spans="5:10" s="112" customFormat="1">
      <c r="E339" s="165"/>
      <c r="F339" s="463"/>
      <c r="I339" s="256"/>
      <c r="J339" s="256"/>
    </row>
    <row r="340" spans="5:10" s="112" customFormat="1">
      <c r="E340" s="165"/>
      <c r="F340" s="463"/>
      <c r="I340" s="256"/>
      <c r="J340" s="256"/>
    </row>
    <row r="341" spans="5:10" s="112" customFormat="1">
      <c r="E341" s="165"/>
      <c r="F341" s="463"/>
      <c r="I341" s="256"/>
      <c r="J341" s="256"/>
    </row>
    <row r="342" spans="5:10" s="112" customFormat="1">
      <c r="E342" s="165"/>
      <c r="F342" s="463"/>
      <c r="I342" s="256"/>
      <c r="J342" s="256"/>
    </row>
    <row r="343" spans="5:10" s="112" customFormat="1">
      <c r="E343" s="165"/>
      <c r="F343" s="463"/>
      <c r="I343" s="256"/>
      <c r="J343" s="256"/>
    </row>
    <row r="344" spans="5:10" s="112" customFormat="1">
      <c r="E344" s="165"/>
      <c r="F344" s="463"/>
      <c r="I344" s="256"/>
      <c r="J344" s="256"/>
    </row>
    <row r="345" spans="5:10" s="112" customFormat="1">
      <c r="E345" s="165"/>
      <c r="F345" s="463"/>
      <c r="I345" s="256"/>
      <c r="J345" s="256"/>
    </row>
    <row r="346" spans="5:10" s="112" customFormat="1">
      <c r="E346" s="165"/>
      <c r="F346" s="463"/>
      <c r="I346" s="256"/>
      <c r="J346" s="256"/>
    </row>
    <row r="347" spans="5:10" s="112" customFormat="1">
      <c r="E347" s="165"/>
      <c r="F347" s="463"/>
      <c r="I347" s="256"/>
      <c r="J347" s="256"/>
    </row>
    <row r="348" spans="5:10" s="112" customFormat="1">
      <c r="E348" s="165"/>
      <c r="F348" s="463"/>
      <c r="I348" s="256"/>
      <c r="J348" s="256"/>
    </row>
    <row r="349" spans="5:10" s="112" customFormat="1">
      <c r="E349" s="165"/>
      <c r="F349" s="463"/>
      <c r="I349" s="256"/>
      <c r="J349" s="256"/>
    </row>
    <row r="350" spans="5:10" s="112" customFormat="1">
      <c r="E350" s="165"/>
      <c r="F350" s="463"/>
      <c r="I350" s="256"/>
      <c r="J350" s="256"/>
    </row>
    <row r="351" spans="5:10" s="112" customFormat="1">
      <c r="E351" s="165"/>
      <c r="F351" s="463"/>
      <c r="I351" s="256"/>
      <c r="J351" s="256"/>
    </row>
    <row r="352" spans="5:10" s="112" customFormat="1">
      <c r="E352" s="165"/>
      <c r="F352" s="463"/>
      <c r="I352" s="256"/>
      <c r="J352" s="256"/>
    </row>
    <row r="353" spans="5:10" s="112" customFormat="1">
      <c r="E353" s="165"/>
      <c r="F353" s="463"/>
      <c r="I353" s="256"/>
      <c r="J353" s="256"/>
    </row>
    <row r="354" spans="5:10" s="112" customFormat="1">
      <c r="E354" s="165"/>
      <c r="F354" s="463"/>
      <c r="I354" s="256"/>
      <c r="J354" s="256"/>
    </row>
    <row r="355" spans="5:10" s="112" customFormat="1">
      <c r="E355" s="165"/>
      <c r="F355" s="463"/>
      <c r="I355" s="256"/>
      <c r="J355" s="256"/>
    </row>
    <row r="356" spans="5:10" s="112" customFormat="1">
      <c r="E356" s="165"/>
      <c r="F356" s="463"/>
      <c r="I356" s="256"/>
      <c r="J356" s="256"/>
    </row>
    <row r="357" spans="5:10" s="112" customFormat="1">
      <c r="E357" s="165"/>
      <c r="F357" s="463"/>
      <c r="I357" s="256"/>
      <c r="J357" s="256"/>
    </row>
    <row r="358" spans="5:10" s="112" customFormat="1">
      <c r="E358" s="165"/>
      <c r="F358" s="463"/>
      <c r="I358" s="256"/>
      <c r="J358" s="256"/>
    </row>
    <row r="359" spans="5:10" s="112" customFormat="1">
      <c r="E359" s="165"/>
      <c r="F359" s="463"/>
      <c r="I359" s="256"/>
      <c r="J359" s="256"/>
    </row>
    <row r="360" spans="5:10" s="112" customFormat="1">
      <c r="E360" s="165"/>
      <c r="F360" s="463"/>
      <c r="I360" s="256"/>
      <c r="J360" s="256"/>
    </row>
    <row r="361" spans="5:10" s="112" customFormat="1">
      <c r="E361" s="165"/>
      <c r="F361" s="463"/>
      <c r="I361" s="256"/>
      <c r="J361" s="256"/>
    </row>
    <row r="362" spans="5:10" s="112" customFormat="1">
      <c r="E362" s="165"/>
      <c r="F362" s="463"/>
      <c r="I362" s="256"/>
      <c r="J362" s="256"/>
    </row>
    <row r="363" spans="5:10" s="112" customFormat="1">
      <c r="E363" s="165"/>
      <c r="F363" s="463"/>
      <c r="I363" s="256"/>
      <c r="J363" s="256"/>
    </row>
    <row r="364" spans="5:10" s="112" customFormat="1">
      <c r="E364" s="165"/>
      <c r="F364" s="463"/>
      <c r="I364" s="256"/>
      <c r="J364" s="256"/>
    </row>
    <row r="365" spans="5:10" s="112" customFormat="1">
      <c r="E365" s="165"/>
      <c r="F365" s="463"/>
      <c r="I365" s="256"/>
      <c r="J365" s="256"/>
    </row>
    <row r="366" spans="5:10" s="112" customFormat="1">
      <c r="E366" s="165"/>
      <c r="F366" s="463"/>
      <c r="I366" s="256"/>
      <c r="J366" s="256"/>
    </row>
    <row r="367" spans="5:10" s="112" customFormat="1">
      <c r="E367" s="165"/>
      <c r="F367" s="463"/>
      <c r="I367" s="256"/>
      <c r="J367" s="256"/>
    </row>
    <row r="368" spans="5:10" s="112" customFormat="1">
      <c r="E368" s="165"/>
      <c r="F368" s="463"/>
      <c r="I368" s="256"/>
      <c r="J368" s="256"/>
    </row>
    <row r="369" spans="5:10" s="112" customFormat="1">
      <c r="E369" s="165"/>
      <c r="F369" s="463"/>
      <c r="I369" s="256"/>
      <c r="J369" s="256"/>
    </row>
    <row r="370" spans="5:10" s="112" customFormat="1">
      <c r="E370" s="165"/>
      <c r="F370" s="463"/>
      <c r="I370" s="256"/>
      <c r="J370" s="256"/>
    </row>
    <row r="371" spans="5:10" s="112" customFormat="1">
      <c r="E371" s="165"/>
      <c r="F371" s="463"/>
      <c r="I371" s="256"/>
      <c r="J371" s="256"/>
    </row>
    <row r="372" spans="5:10" s="112" customFormat="1">
      <c r="E372" s="165"/>
      <c r="F372" s="463"/>
      <c r="I372" s="256"/>
      <c r="J372" s="256"/>
    </row>
    <row r="373" spans="5:10" s="112" customFormat="1">
      <c r="E373" s="165"/>
      <c r="F373" s="463"/>
      <c r="I373" s="256"/>
      <c r="J373" s="256"/>
    </row>
    <row r="374" spans="5:10" s="112" customFormat="1">
      <c r="E374" s="165"/>
      <c r="F374" s="463"/>
      <c r="I374" s="256"/>
      <c r="J374" s="256"/>
    </row>
    <row r="375" spans="5:10" s="112" customFormat="1">
      <c r="E375" s="165"/>
      <c r="F375" s="463"/>
      <c r="I375" s="256"/>
      <c r="J375" s="256"/>
    </row>
    <row r="376" spans="5:10" s="112" customFormat="1">
      <c r="E376" s="165"/>
      <c r="F376" s="463"/>
      <c r="I376" s="256"/>
      <c r="J376" s="256"/>
    </row>
    <row r="377" spans="5:10" s="112" customFormat="1">
      <c r="E377" s="165"/>
      <c r="F377" s="463"/>
      <c r="I377" s="256"/>
      <c r="J377" s="256"/>
    </row>
    <row r="378" spans="5:10" s="112" customFormat="1">
      <c r="E378" s="165"/>
      <c r="F378" s="463"/>
      <c r="I378" s="256"/>
      <c r="J378" s="256"/>
    </row>
    <row r="379" spans="5:10" s="112" customFormat="1">
      <c r="E379" s="165"/>
      <c r="F379" s="463"/>
      <c r="I379" s="256"/>
      <c r="J379" s="256"/>
    </row>
    <row r="380" spans="5:10" s="112" customFormat="1">
      <c r="E380" s="165"/>
      <c r="F380" s="463"/>
      <c r="I380" s="256"/>
      <c r="J380" s="256"/>
    </row>
    <row r="381" spans="5:10" s="112" customFormat="1">
      <c r="E381" s="165"/>
      <c r="F381" s="463"/>
      <c r="I381" s="256"/>
      <c r="J381" s="256"/>
    </row>
    <row r="382" spans="5:10" s="112" customFormat="1">
      <c r="E382" s="165"/>
      <c r="F382" s="463"/>
      <c r="I382" s="256"/>
      <c r="J382" s="256"/>
    </row>
    <row r="383" spans="5:10" s="112" customFormat="1">
      <c r="E383" s="165"/>
      <c r="F383" s="463"/>
      <c r="I383" s="256"/>
      <c r="J383" s="256"/>
    </row>
    <row r="384" spans="5:10" s="112" customFormat="1">
      <c r="E384" s="165"/>
      <c r="F384" s="463"/>
      <c r="I384" s="256"/>
      <c r="J384" s="256"/>
    </row>
    <row r="385" spans="5:10" s="112" customFormat="1">
      <c r="E385" s="165"/>
      <c r="F385" s="463"/>
      <c r="I385" s="256"/>
      <c r="J385" s="256"/>
    </row>
    <row r="386" spans="5:10" s="112" customFormat="1">
      <c r="E386" s="165"/>
      <c r="F386" s="463"/>
      <c r="I386" s="256"/>
      <c r="J386" s="256"/>
    </row>
    <row r="387" spans="5:10" s="112" customFormat="1">
      <c r="E387" s="165"/>
      <c r="F387" s="463"/>
      <c r="I387" s="256"/>
      <c r="J387" s="256"/>
    </row>
    <row r="388" spans="5:10" s="112" customFormat="1">
      <c r="E388" s="165"/>
      <c r="F388" s="463"/>
      <c r="I388" s="256"/>
      <c r="J388" s="256"/>
    </row>
    <row r="389" spans="5:10" s="112" customFormat="1">
      <c r="E389" s="165"/>
      <c r="F389" s="463"/>
      <c r="I389" s="256"/>
      <c r="J389" s="256"/>
    </row>
    <row r="390" spans="5:10" s="112" customFormat="1">
      <c r="E390" s="165"/>
      <c r="F390" s="463"/>
      <c r="I390" s="256"/>
      <c r="J390" s="256"/>
    </row>
    <row r="391" spans="5:10" s="112" customFormat="1">
      <c r="E391" s="165"/>
      <c r="F391" s="463"/>
      <c r="I391" s="256"/>
      <c r="J391" s="256"/>
    </row>
    <row r="392" spans="5:10" s="112" customFormat="1">
      <c r="E392" s="165"/>
      <c r="F392" s="463"/>
      <c r="I392" s="256"/>
      <c r="J392" s="256"/>
    </row>
    <row r="393" spans="5:10" s="112" customFormat="1">
      <c r="E393" s="165"/>
      <c r="F393" s="463"/>
      <c r="I393" s="256"/>
      <c r="J393" s="256"/>
    </row>
    <row r="394" spans="5:10" s="112" customFormat="1">
      <c r="E394" s="165"/>
      <c r="F394" s="463"/>
      <c r="I394" s="256"/>
      <c r="J394" s="256"/>
    </row>
    <row r="395" spans="5:10" s="112" customFormat="1">
      <c r="E395" s="165"/>
      <c r="F395" s="463"/>
      <c r="I395" s="256"/>
      <c r="J395" s="256"/>
    </row>
    <row r="396" spans="5:10" s="112" customFormat="1">
      <c r="E396" s="165"/>
      <c r="F396" s="463"/>
      <c r="I396" s="256"/>
      <c r="J396" s="256"/>
    </row>
    <row r="397" spans="5:10" s="112" customFormat="1">
      <c r="E397" s="165"/>
      <c r="F397" s="463"/>
      <c r="I397" s="256"/>
      <c r="J397" s="256"/>
    </row>
    <row r="398" spans="5:10" s="112" customFormat="1">
      <c r="E398" s="165"/>
      <c r="F398" s="463"/>
      <c r="I398" s="256"/>
      <c r="J398" s="256"/>
    </row>
    <row r="399" spans="5:10" s="112" customFormat="1">
      <c r="E399" s="165"/>
      <c r="F399" s="463"/>
      <c r="I399" s="256"/>
      <c r="J399" s="256"/>
    </row>
    <row r="400" spans="5:10" s="112" customFormat="1">
      <c r="E400" s="165"/>
      <c r="F400" s="463"/>
      <c r="I400" s="256"/>
      <c r="J400" s="256"/>
    </row>
    <row r="401" spans="5:10" s="112" customFormat="1">
      <c r="E401" s="165"/>
      <c r="F401" s="463"/>
      <c r="I401" s="256"/>
      <c r="J401" s="256"/>
    </row>
    <row r="402" spans="5:10" s="112" customFormat="1">
      <c r="E402" s="165"/>
      <c r="F402" s="463"/>
      <c r="I402" s="256"/>
      <c r="J402" s="256"/>
    </row>
    <row r="403" spans="5:10" s="112" customFormat="1">
      <c r="E403" s="165"/>
      <c r="F403" s="463"/>
      <c r="I403" s="256"/>
      <c r="J403" s="256"/>
    </row>
    <row r="404" spans="5:10" s="112" customFormat="1">
      <c r="E404" s="165"/>
      <c r="F404" s="463"/>
      <c r="I404" s="256"/>
      <c r="J404" s="256"/>
    </row>
    <row r="405" spans="5:10" s="112" customFormat="1">
      <c r="E405" s="165"/>
      <c r="F405" s="463"/>
      <c r="I405" s="256"/>
      <c r="J405" s="256"/>
    </row>
    <row r="406" spans="5:10" s="112" customFormat="1">
      <c r="E406" s="165"/>
      <c r="F406" s="463"/>
      <c r="I406" s="256"/>
      <c r="J406" s="256"/>
    </row>
    <row r="407" spans="5:10" s="112" customFormat="1">
      <c r="E407" s="165"/>
      <c r="F407" s="463"/>
      <c r="I407" s="256"/>
      <c r="J407" s="256"/>
    </row>
    <row r="408" spans="5:10" s="112" customFormat="1">
      <c r="E408" s="165"/>
      <c r="F408" s="463"/>
      <c r="I408" s="256"/>
      <c r="J408" s="256"/>
    </row>
    <row r="409" spans="5:10" s="112" customFormat="1">
      <c r="E409" s="165"/>
      <c r="F409" s="463"/>
      <c r="I409" s="256"/>
      <c r="J409" s="256"/>
    </row>
    <row r="410" spans="5:10" s="112" customFormat="1">
      <c r="E410" s="165"/>
      <c r="F410" s="463"/>
      <c r="I410" s="256"/>
      <c r="J410" s="256"/>
    </row>
    <row r="411" spans="5:10" s="112" customFormat="1">
      <c r="E411" s="165"/>
      <c r="F411" s="463"/>
      <c r="I411" s="256"/>
      <c r="J411" s="256"/>
    </row>
    <row r="412" spans="5:10" s="112" customFormat="1">
      <c r="E412" s="165"/>
      <c r="F412" s="463"/>
      <c r="I412" s="256"/>
      <c r="J412" s="256"/>
    </row>
    <row r="413" spans="5:10" s="112" customFormat="1">
      <c r="E413" s="165"/>
      <c r="F413" s="463"/>
      <c r="I413" s="256"/>
      <c r="J413" s="256"/>
    </row>
    <row r="414" spans="5:10" s="112" customFormat="1">
      <c r="E414" s="165"/>
      <c r="F414" s="463"/>
      <c r="I414" s="256"/>
      <c r="J414" s="256"/>
    </row>
    <row r="415" spans="5:10" s="112" customFormat="1">
      <c r="E415" s="165"/>
      <c r="F415" s="463"/>
      <c r="I415" s="256"/>
      <c r="J415" s="256"/>
    </row>
    <row r="416" spans="5:10" s="112" customFormat="1">
      <c r="E416" s="165"/>
      <c r="F416" s="463"/>
      <c r="I416" s="256"/>
      <c r="J416" s="256"/>
    </row>
    <row r="417" spans="5:10" s="112" customFormat="1">
      <c r="E417" s="165"/>
      <c r="F417" s="463"/>
      <c r="I417" s="256"/>
      <c r="J417" s="256"/>
    </row>
    <row r="418" spans="5:10" s="112" customFormat="1">
      <c r="E418" s="165"/>
      <c r="F418" s="463"/>
      <c r="I418" s="256"/>
      <c r="J418" s="256"/>
    </row>
    <row r="419" spans="5:10" s="112" customFormat="1">
      <c r="E419" s="165"/>
      <c r="F419" s="463"/>
      <c r="I419" s="256"/>
      <c r="J419" s="256"/>
    </row>
    <row r="420" spans="5:10" s="112" customFormat="1">
      <c r="E420" s="165"/>
      <c r="F420" s="463"/>
      <c r="I420" s="256"/>
      <c r="J420" s="256"/>
    </row>
    <row r="421" spans="5:10" s="112" customFormat="1">
      <c r="E421" s="165"/>
      <c r="F421" s="463"/>
      <c r="I421" s="256"/>
      <c r="J421" s="256"/>
    </row>
    <row r="422" spans="5:10" s="112" customFormat="1">
      <c r="E422" s="165"/>
      <c r="F422" s="463"/>
      <c r="I422" s="256"/>
      <c r="J422" s="256"/>
    </row>
    <row r="423" spans="5:10" s="112" customFormat="1">
      <c r="E423" s="165"/>
      <c r="F423" s="463"/>
      <c r="I423" s="256"/>
      <c r="J423" s="256"/>
    </row>
    <row r="424" spans="5:10" s="112" customFormat="1">
      <c r="E424" s="165"/>
      <c r="F424" s="463"/>
      <c r="I424" s="256"/>
      <c r="J424" s="256"/>
    </row>
    <row r="425" spans="5:10" s="112" customFormat="1">
      <c r="E425" s="165"/>
      <c r="F425" s="463"/>
      <c r="I425" s="256"/>
      <c r="J425" s="256"/>
    </row>
    <row r="426" spans="5:10" s="112" customFormat="1">
      <c r="E426" s="165"/>
      <c r="F426" s="463"/>
      <c r="I426" s="256"/>
      <c r="J426" s="256"/>
    </row>
    <row r="427" spans="5:10" s="112" customFormat="1">
      <c r="E427" s="165"/>
      <c r="F427" s="463"/>
      <c r="I427" s="256"/>
      <c r="J427" s="256"/>
    </row>
    <row r="428" spans="5:10" s="112" customFormat="1">
      <c r="E428" s="165"/>
      <c r="F428" s="463"/>
      <c r="I428" s="256"/>
      <c r="J428" s="256"/>
    </row>
    <row r="429" spans="5:10" s="112" customFormat="1">
      <c r="E429" s="165"/>
      <c r="F429" s="463"/>
      <c r="I429" s="256"/>
      <c r="J429" s="256"/>
    </row>
    <row r="430" spans="5:10" s="112" customFormat="1">
      <c r="E430" s="165"/>
      <c r="F430" s="463"/>
      <c r="I430" s="256"/>
      <c r="J430" s="256"/>
    </row>
    <row r="431" spans="5:10" s="112" customFormat="1">
      <c r="E431" s="165"/>
      <c r="F431" s="463"/>
      <c r="I431" s="256"/>
      <c r="J431" s="256"/>
    </row>
    <row r="432" spans="5:10" s="112" customFormat="1">
      <c r="E432" s="165"/>
      <c r="F432" s="463"/>
      <c r="I432" s="256"/>
      <c r="J432" s="256"/>
    </row>
    <row r="433" spans="5:10" s="112" customFormat="1">
      <c r="E433" s="165"/>
      <c r="F433" s="463"/>
      <c r="I433" s="256"/>
      <c r="J433" s="256"/>
    </row>
    <row r="434" spans="5:10" s="112" customFormat="1">
      <c r="E434" s="165"/>
      <c r="F434" s="463"/>
      <c r="I434" s="256"/>
      <c r="J434" s="256"/>
    </row>
    <row r="435" spans="5:10" s="112" customFormat="1">
      <c r="E435" s="165"/>
      <c r="F435" s="463"/>
      <c r="I435" s="256"/>
      <c r="J435" s="256"/>
    </row>
    <row r="436" spans="5:10" s="112" customFormat="1">
      <c r="E436" s="165"/>
      <c r="F436" s="463"/>
      <c r="I436" s="256"/>
      <c r="J436" s="256"/>
    </row>
    <row r="437" spans="5:10" s="112" customFormat="1">
      <c r="E437" s="165"/>
      <c r="F437" s="463"/>
      <c r="I437" s="256"/>
      <c r="J437" s="256"/>
    </row>
    <row r="438" spans="5:10" s="112" customFormat="1">
      <c r="E438" s="165"/>
      <c r="F438" s="463"/>
      <c r="I438" s="256"/>
      <c r="J438" s="256"/>
    </row>
    <row r="439" spans="5:10" s="112" customFormat="1">
      <c r="E439" s="165"/>
      <c r="F439" s="463"/>
      <c r="I439" s="256"/>
      <c r="J439" s="256"/>
    </row>
    <row r="440" spans="5:10" s="112" customFormat="1">
      <c r="E440" s="165"/>
      <c r="F440" s="463"/>
      <c r="I440" s="256"/>
      <c r="J440" s="256"/>
    </row>
    <row r="441" spans="5:10" s="112" customFormat="1">
      <c r="E441" s="165"/>
      <c r="F441" s="463"/>
      <c r="I441" s="256"/>
      <c r="J441" s="256"/>
    </row>
    <row r="442" spans="5:10" s="112" customFormat="1">
      <c r="E442" s="165"/>
      <c r="F442" s="463"/>
      <c r="I442" s="256"/>
      <c r="J442" s="256"/>
    </row>
    <row r="443" spans="5:10" s="112" customFormat="1">
      <c r="E443" s="165"/>
      <c r="F443" s="463"/>
      <c r="I443" s="256"/>
      <c r="J443" s="256"/>
    </row>
    <row r="444" spans="5:10" s="112" customFormat="1">
      <c r="E444" s="165"/>
      <c r="F444" s="463"/>
      <c r="I444" s="256"/>
      <c r="J444" s="256"/>
    </row>
    <row r="445" spans="5:10" s="112" customFormat="1">
      <c r="E445" s="165"/>
      <c r="F445" s="463"/>
      <c r="I445" s="256"/>
      <c r="J445" s="256"/>
    </row>
    <row r="446" spans="5:10" s="112" customFormat="1">
      <c r="E446" s="165"/>
      <c r="F446" s="463"/>
      <c r="I446" s="256"/>
      <c r="J446" s="256"/>
    </row>
    <row r="447" spans="5:10" s="112" customFormat="1">
      <c r="E447" s="165"/>
      <c r="F447" s="463"/>
      <c r="I447" s="256"/>
      <c r="J447" s="256"/>
    </row>
    <row r="448" spans="5:10" s="112" customFormat="1">
      <c r="E448" s="165"/>
      <c r="F448" s="463"/>
      <c r="I448" s="256"/>
      <c r="J448" s="256"/>
    </row>
    <row r="449" spans="5:10" s="112" customFormat="1">
      <c r="E449" s="165"/>
      <c r="F449" s="463"/>
      <c r="I449" s="256"/>
      <c r="J449" s="256"/>
    </row>
    <row r="450" spans="5:10" s="112" customFormat="1">
      <c r="E450" s="165"/>
      <c r="F450" s="463"/>
      <c r="I450" s="256"/>
      <c r="J450" s="256"/>
    </row>
    <row r="451" spans="5:10" s="112" customFormat="1">
      <c r="E451" s="165"/>
      <c r="F451" s="463"/>
      <c r="I451" s="256"/>
      <c r="J451" s="256"/>
    </row>
    <row r="452" spans="5:10" s="112" customFormat="1">
      <c r="E452" s="165"/>
      <c r="F452" s="463"/>
      <c r="I452" s="256"/>
      <c r="J452" s="256"/>
    </row>
    <row r="453" spans="5:10" s="112" customFormat="1">
      <c r="E453" s="165"/>
      <c r="F453" s="463"/>
      <c r="I453" s="256"/>
      <c r="J453" s="256"/>
    </row>
    <row r="454" spans="5:10" s="112" customFormat="1">
      <c r="E454" s="165"/>
      <c r="F454" s="463"/>
      <c r="I454" s="256"/>
      <c r="J454" s="256"/>
    </row>
    <row r="455" spans="5:10" s="112" customFormat="1">
      <c r="E455" s="165"/>
      <c r="F455" s="463"/>
      <c r="I455" s="256"/>
      <c r="J455" s="256"/>
    </row>
    <row r="456" spans="5:10" s="112" customFormat="1">
      <c r="E456" s="165"/>
      <c r="F456" s="463"/>
      <c r="I456" s="256"/>
      <c r="J456" s="256"/>
    </row>
    <row r="457" spans="5:10" s="112" customFormat="1">
      <c r="E457" s="165"/>
      <c r="F457" s="463"/>
      <c r="I457" s="256"/>
      <c r="J457" s="256"/>
    </row>
    <row r="458" spans="5:10" s="112" customFormat="1">
      <c r="E458" s="165"/>
      <c r="F458" s="463"/>
      <c r="I458" s="256"/>
      <c r="J458" s="256"/>
    </row>
    <row r="459" spans="5:10" s="112" customFormat="1">
      <c r="E459" s="165"/>
      <c r="F459" s="463"/>
      <c r="I459" s="256"/>
      <c r="J459" s="256"/>
    </row>
    <row r="460" spans="5:10" s="112" customFormat="1">
      <c r="E460" s="165"/>
      <c r="F460" s="463"/>
      <c r="I460" s="256"/>
      <c r="J460" s="256"/>
    </row>
    <row r="461" spans="5:10" s="112" customFormat="1">
      <c r="E461" s="165"/>
      <c r="F461" s="463"/>
      <c r="I461" s="256"/>
      <c r="J461" s="256"/>
    </row>
    <row r="462" spans="5:10" s="112" customFormat="1">
      <c r="E462" s="165"/>
      <c r="F462" s="463"/>
      <c r="I462" s="256"/>
      <c r="J462" s="256"/>
    </row>
    <row r="463" spans="5:10" s="112" customFormat="1">
      <c r="E463" s="165"/>
      <c r="F463" s="463"/>
      <c r="I463" s="256"/>
      <c r="J463" s="256"/>
    </row>
    <row r="464" spans="5:10" s="112" customFormat="1">
      <c r="E464" s="165"/>
      <c r="F464" s="463"/>
      <c r="I464" s="256"/>
      <c r="J464" s="256"/>
    </row>
    <row r="465" spans="5:10" s="112" customFormat="1">
      <c r="E465" s="165"/>
      <c r="F465" s="463"/>
      <c r="I465" s="256"/>
      <c r="J465" s="256"/>
    </row>
    <row r="466" spans="5:10" s="112" customFormat="1">
      <c r="E466" s="165"/>
      <c r="F466" s="463"/>
      <c r="I466" s="256"/>
      <c r="J466" s="256"/>
    </row>
    <row r="467" spans="5:10" s="112" customFormat="1">
      <c r="E467" s="165"/>
      <c r="F467" s="463"/>
      <c r="I467" s="256"/>
      <c r="J467" s="256"/>
    </row>
    <row r="468" spans="5:10" s="112" customFormat="1">
      <c r="E468" s="165"/>
      <c r="F468" s="463"/>
      <c r="I468" s="256"/>
      <c r="J468" s="256"/>
    </row>
    <row r="469" spans="5:10" s="112" customFormat="1">
      <c r="E469" s="165"/>
      <c r="F469" s="463"/>
      <c r="I469" s="256"/>
      <c r="J469" s="256"/>
    </row>
    <row r="470" spans="5:10" s="112" customFormat="1">
      <c r="E470" s="165"/>
      <c r="F470" s="463"/>
      <c r="I470" s="256"/>
      <c r="J470" s="256"/>
    </row>
    <row r="471" spans="5:10" s="112" customFormat="1">
      <c r="E471" s="165"/>
      <c r="F471" s="463"/>
      <c r="I471" s="256"/>
      <c r="J471" s="256"/>
    </row>
    <row r="472" spans="5:10" s="112" customFormat="1">
      <c r="E472" s="165"/>
      <c r="F472" s="463"/>
      <c r="I472" s="256"/>
      <c r="J472" s="256"/>
    </row>
    <row r="473" spans="5:10" s="112" customFormat="1">
      <c r="E473" s="165"/>
      <c r="F473" s="463"/>
      <c r="I473" s="256"/>
      <c r="J473" s="256"/>
    </row>
    <row r="474" spans="5:10" s="112" customFormat="1">
      <c r="E474" s="165"/>
      <c r="F474" s="463"/>
      <c r="I474" s="256"/>
      <c r="J474" s="256"/>
    </row>
    <row r="475" spans="5:10" s="112" customFormat="1">
      <c r="E475" s="165"/>
      <c r="F475" s="463"/>
      <c r="I475" s="256"/>
      <c r="J475" s="256"/>
    </row>
    <row r="476" spans="5:10" s="112" customFormat="1">
      <c r="E476" s="165"/>
      <c r="F476" s="463"/>
      <c r="I476" s="256"/>
      <c r="J476" s="256"/>
    </row>
    <row r="477" spans="5:10" s="112" customFormat="1">
      <c r="E477" s="165"/>
      <c r="F477" s="463"/>
      <c r="I477" s="256"/>
      <c r="J477" s="256"/>
    </row>
    <row r="478" spans="5:10" s="112" customFormat="1">
      <c r="E478" s="165"/>
      <c r="F478" s="463"/>
      <c r="I478" s="256"/>
      <c r="J478" s="256"/>
    </row>
    <row r="479" spans="5:10" s="112" customFormat="1">
      <c r="E479" s="165"/>
      <c r="F479" s="463"/>
      <c r="I479" s="256"/>
      <c r="J479" s="256"/>
    </row>
    <row r="480" spans="5:10" s="112" customFormat="1">
      <c r="E480" s="165"/>
      <c r="F480" s="463"/>
      <c r="I480" s="256"/>
      <c r="J480" s="256"/>
    </row>
    <row r="481" spans="5:10" s="112" customFormat="1">
      <c r="E481" s="165"/>
      <c r="F481" s="463"/>
      <c r="I481" s="256"/>
      <c r="J481" s="256"/>
    </row>
    <row r="482" spans="5:10" s="112" customFormat="1">
      <c r="E482" s="165"/>
      <c r="F482" s="463"/>
      <c r="I482" s="256"/>
      <c r="J482" s="256"/>
    </row>
    <row r="483" spans="5:10" s="112" customFormat="1">
      <c r="E483" s="165"/>
      <c r="F483" s="463"/>
      <c r="I483" s="256"/>
      <c r="J483" s="256"/>
    </row>
    <row r="484" spans="5:10" s="112" customFormat="1">
      <c r="E484" s="165"/>
      <c r="F484" s="463"/>
      <c r="I484" s="256"/>
      <c r="J484" s="256"/>
    </row>
    <row r="485" spans="5:10" s="112" customFormat="1">
      <c r="E485" s="165"/>
      <c r="F485" s="463"/>
      <c r="I485" s="256"/>
      <c r="J485" s="256"/>
    </row>
    <row r="486" spans="5:10" s="112" customFormat="1">
      <c r="E486" s="165"/>
      <c r="F486" s="463"/>
      <c r="I486" s="256"/>
      <c r="J486" s="256"/>
    </row>
    <row r="487" spans="5:10" s="112" customFormat="1">
      <c r="E487" s="165"/>
      <c r="F487" s="463"/>
      <c r="I487" s="256"/>
      <c r="J487" s="256"/>
    </row>
    <row r="488" spans="5:10" s="112" customFormat="1">
      <c r="E488" s="165"/>
      <c r="F488" s="463"/>
      <c r="I488" s="256"/>
      <c r="J488" s="256"/>
    </row>
    <row r="489" spans="5:10" s="112" customFormat="1">
      <c r="E489" s="165"/>
      <c r="F489" s="463"/>
      <c r="I489" s="256"/>
      <c r="J489" s="256"/>
    </row>
    <row r="490" spans="5:10" s="112" customFormat="1">
      <c r="E490" s="165"/>
      <c r="F490" s="463"/>
      <c r="I490" s="256"/>
      <c r="J490" s="256"/>
    </row>
    <row r="491" spans="5:10" s="112" customFormat="1">
      <c r="E491" s="165"/>
      <c r="F491" s="463"/>
      <c r="I491" s="256"/>
      <c r="J491" s="256"/>
    </row>
    <row r="492" spans="5:10" s="112" customFormat="1">
      <c r="E492" s="165"/>
      <c r="F492" s="463"/>
      <c r="I492" s="256"/>
      <c r="J492" s="256"/>
    </row>
    <row r="493" spans="5:10" s="112" customFormat="1">
      <c r="E493" s="165"/>
      <c r="F493" s="463"/>
      <c r="I493" s="256"/>
      <c r="J493" s="256"/>
    </row>
    <row r="494" spans="5:10" s="112" customFormat="1">
      <c r="E494" s="165"/>
      <c r="F494" s="463"/>
      <c r="I494" s="256"/>
      <c r="J494" s="256"/>
    </row>
    <row r="495" spans="5:10" s="112" customFormat="1">
      <c r="E495" s="165"/>
      <c r="F495" s="463"/>
      <c r="I495" s="256"/>
      <c r="J495" s="256"/>
    </row>
    <row r="496" spans="5:10" s="112" customFormat="1">
      <c r="E496" s="165"/>
      <c r="F496" s="463"/>
      <c r="I496" s="256"/>
      <c r="J496" s="256"/>
    </row>
    <row r="497" spans="5:10" s="112" customFormat="1">
      <c r="E497" s="165"/>
      <c r="F497" s="463"/>
      <c r="I497" s="256"/>
      <c r="J497" s="256"/>
    </row>
    <row r="498" spans="5:10" s="112" customFormat="1">
      <c r="E498" s="165"/>
      <c r="F498" s="463"/>
      <c r="I498" s="256"/>
      <c r="J498" s="256"/>
    </row>
    <row r="499" spans="5:10" s="112" customFormat="1">
      <c r="E499" s="165"/>
      <c r="F499" s="463"/>
      <c r="I499" s="256"/>
      <c r="J499" s="256"/>
    </row>
    <row r="500" spans="5:10" s="112" customFormat="1">
      <c r="E500" s="165"/>
      <c r="F500" s="463"/>
      <c r="I500" s="256"/>
      <c r="J500" s="256"/>
    </row>
    <row r="501" spans="5:10" s="112" customFormat="1">
      <c r="E501" s="165"/>
      <c r="F501" s="463"/>
      <c r="I501" s="256"/>
      <c r="J501" s="256"/>
    </row>
    <row r="502" spans="5:10" s="112" customFormat="1">
      <c r="E502" s="165"/>
      <c r="F502" s="463"/>
      <c r="I502" s="256"/>
      <c r="J502" s="256"/>
    </row>
    <row r="503" spans="5:10" s="112" customFormat="1">
      <c r="E503" s="165"/>
      <c r="F503" s="463"/>
      <c r="I503" s="256"/>
      <c r="J503" s="256"/>
    </row>
    <row r="504" spans="5:10" s="112" customFormat="1">
      <c r="E504" s="165"/>
      <c r="F504" s="463"/>
      <c r="I504" s="256"/>
      <c r="J504" s="256"/>
    </row>
    <row r="505" spans="5:10" s="112" customFormat="1">
      <c r="E505" s="165"/>
      <c r="F505" s="463"/>
      <c r="I505" s="256"/>
      <c r="J505" s="256"/>
    </row>
    <row r="506" spans="5:10" s="112" customFormat="1">
      <c r="E506" s="165"/>
      <c r="F506" s="463"/>
      <c r="I506" s="256"/>
      <c r="J506" s="256"/>
    </row>
    <row r="507" spans="5:10" s="112" customFormat="1">
      <c r="E507" s="165"/>
      <c r="F507" s="463"/>
      <c r="I507" s="256"/>
      <c r="J507" s="256"/>
    </row>
    <row r="508" spans="5:10" s="112" customFormat="1">
      <c r="E508" s="165"/>
      <c r="F508" s="463"/>
      <c r="I508" s="256"/>
      <c r="J508" s="256"/>
    </row>
    <row r="509" spans="5:10" s="112" customFormat="1">
      <c r="E509" s="165"/>
      <c r="F509" s="463"/>
      <c r="I509" s="256"/>
      <c r="J509" s="256"/>
    </row>
    <row r="510" spans="5:10" s="112" customFormat="1">
      <c r="E510" s="165"/>
      <c r="F510" s="463"/>
      <c r="I510" s="256"/>
      <c r="J510" s="256"/>
    </row>
    <row r="511" spans="5:10" s="112" customFormat="1">
      <c r="E511" s="165"/>
      <c r="F511" s="463"/>
      <c r="I511" s="256"/>
      <c r="J511" s="256"/>
    </row>
    <row r="512" spans="5:10" s="112" customFormat="1">
      <c r="E512" s="165"/>
      <c r="F512" s="463"/>
      <c r="I512" s="256"/>
      <c r="J512" s="256"/>
    </row>
    <row r="513" spans="5:10" s="112" customFormat="1">
      <c r="E513" s="165"/>
      <c r="F513" s="463"/>
      <c r="I513" s="256"/>
      <c r="J513" s="256"/>
    </row>
    <row r="514" spans="5:10" s="112" customFormat="1">
      <c r="E514" s="165"/>
      <c r="F514" s="463"/>
      <c r="I514" s="256"/>
      <c r="J514" s="256"/>
    </row>
    <row r="515" spans="5:10" s="112" customFormat="1">
      <c r="E515" s="165"/>
      <c r="F515" s="463"/>
      <c r="I515" s="256"/>
      <c r="J515" s="256"/>
    </row>
    <row r="516" spans="5:10" s="112" customFormat="1">
      <c r="E516" s="165"/>
      <c r="F516" s="463"/>
      <c r="I516" s="256"/>
      <c r="J516" s="256"/>
    </row>
    <row r="517" spans="5:10" s="112" customFormat="1">
      <c r="E517" s="165"/>
      <c r="F517" s="463"/>
      <c r="I517" s="256"/>
      <c r="J517" s="256"/>
    </row>
    <row r="518" spans="5:10" s="112" customFormat="1">
      <c r="E518" s="165"/>
      <c r="F518" s="463"/>
      <c r="I518" s="256"/>
      <c r="J518" s="256"/>
    </row>
    <row r="519" spans="5:10" s="112" customFormat="1">
      <c r="E519" s="165"/>
      <c r="F519" s="463"/>
      <c r="I519" s="256"/>
      <c r="J519" s="256"/>
    </row>
    <row r="520" spans="5:10" s="112" customFormat="1">
      <c r="E520" s="165"/>
      <c r="F520" s="463"/>
      <c r="I520" s="256"/>
      <c r="J520" s="256"/>
    </row>
    <row r="521" spans="5:10" s="112" customFormat="1">
      <c r="E521" s="165"/>
      <c r="F521" s="463"/>
      <c r="I521" s="256"/>
      <c r="J521" s="256"/>
    </row>
    <row r="522" spans="5:10" s="112" customFormat="1">
      <c r="E522" s="165"/>
      <c r="F522" s="463"/>
      <c r="I522" s="256"/>
      <c r="J522" s="256"/>
    </row>
    <row r="523" spans="5:10" s="112" customFormat="1">
      <c r="E523" s="165"/>
      <c r="F523" s="463"/>
      <c r="I523" s="256"/>
      <c r="J523" s="256"/>
    </row>
    <row r="524" spans="5:10" s="112" customFormat="1">
      <c r="E524" s="165"/>
      <c r="F524" s="463"/>
      <c r="I524" s="256"/>
      <c r="J524" s="256"/>
    </row>
    <row r="525" spans="5:10" s="112" customFormat="1">
      <c r="E525" s="165"/>
      <c r="F525" s="463"/>
      <c r="I525" s="256"/>
      <c r="J525" s="256"/>
    </row>
    <row r="526" spans="5:10" s="112" customFormat="1">
      <c r="E526" s="165"/>
      <c r="F526" s="463"/>
      <c r="I526" s="256"/>
      <c r="J526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155:I166"/>
    <mergeCell ref="J155:J166"/>
    <mergeCell ref="X155:X166"/>
    <mergeCell ref="I134:I139"/>
    <mergeCell ref="J134:J139"/>
    <mergeCell ref="X134:X139"/>
    <mergeCell ref="I141:I153"/>
    <mergeCell ref="J141:J153"/>
    <mergeCell ref="X141:X153"/>
    <mergeCell ref="V134:V139"/>
    <mergeCell ref="V141:V153"/>
    <mergeCell ref="V155:V166"/>
    <mergeCell ref="X125:X129"/>
    <mergeCell ref="I131:I132"/>
    <mergeCell ref="J131:J132"/>
    <mergeCell ref="X131:X132"/>
    <mergeCell ref="V125:V129"/>
    <mergeCell ref="I125:I129"/>
    <mergeCell ref="J125:J129"/>
    <mergeCell ref="I104:I123"/>
    <mergeCell ref="J104:J123"/>
    <mergeCell ref="X104:X123"/>
    <mergeCell ref="I80:I89"/>
    <mergeCell ref="J80:J89"/>
    <mergeCell ref="X80:X89"/>
    <mergeCell ref="I91:I102"/>
    <mergeCell ref="J91:J102"/>
    <mergeCell ref="X91:X102"/>
    <mergeCell ref="V104:V123"/>
    <mergeCell ref="V80:V89"/>
    <mergeCell ref="V91:V102"/>
    <mergeCell ref="R113:R120"/>
    <mergeCell ref="R92:R99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28:R29"/>
    <mergeCell ref="R32:R3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BI33" activePane="bottomRight" state="frozen"/>
      <selection pane="topRight" activeCell="X33" sqref="X33"/>
      <selection pane="bottomLeft" activeCell="X33" sqref="X33"/>
      <selection pane="bottomRight" activeCell="BI11" sqref="BI11"/>
    </sheetView>
  </sheetViews>
  <sheetFormatPr defaultColWidth="9.26953125" defaultRowHeight="14.5"/>
  <cols>
    <col min="1" max="1" width="9.26953125" customWidth="1"/>
    <col min="2" max="2" width="34.7265625" customWidth="1"/>
    <col min="3" max="3" width="18.7265625" bestFit="1" customWidth="1"/>
    <col min="4" max="4" width="21.08984375" customWidth="1"/>
    <col min="5" max="5" width="4.26953125" customWidth="1"/>
    <col min="6" max="6" width="16.26953125" bestFit="1" customWidth="1"/>
    <col min="7" max="7" width="20.26953125" customWidth="1"/>
    <col min="8" max="316" width="15.26953125" bestFit="1" customWidth="1"/>
    <col min="317" max="317" width="9.26953125" style="191"/>
  </cols>
  <sheetData>
    <row r="1" spans="1:794">
      <c r="D1" s="187" t="s">
        <v>439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4" t="s">
        <v>440</v>
      </c>
      <c r="B2" s="192"/>
      <c r="C2" s="193" t="s">
        <v>238</v>
      </c>
      <c r="D2" s="193" t="s">
        <v>238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5"/>
      <c r="B3" s="195" t="s">
        <v>84</v>
      </c>
      <c r="C3" s="196">
        <f>'Revenue Tracking'!D4</f>
        <v>8692848.6099999994</v>
      </c>
      <c r="D3" s="196">
        <f>SUM(F3:LD3)</f>
        <v>8692848.6100000013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1738569.7220000001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1303927.2914999998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1738569.7220000001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3477139.4439999997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434642.43050000002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5"/>
      <c r="B4" s="195" t="s">
        <v>441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1738569.7220000001</v>
      </c>
      <c r="U4" s="198">
        <f t="shared" si="5"/>
        <v>1738569.7220000001</v>
      </c>
      <c r="V4" s="198">
        <f t="shared" si="5"/>
        <v>1738569.7220000001</v>
      </c>
      <c r="W4" s="198">
        <f t="shared" si="5"/>
        <v>1738569.7220000001</v>
      </c>
      <c r="X4" s="198">
        <f t="shared" si="5"/>
        <v>1738569.7220000001</v>
      </c>
      <c r="Y4" s="198">
        <f t="shared" si="5"/>
        <v>1738569.7220000001</v>
      </c>
      <c r="Z4" s="198">
        <f t="shared" si="5"/>
        <v>1738569.7220000001</v>
      </c>
      <c r="AA4" s="198">
        <f t="shared" si="5"/>
        <v>1738569.7220000001</v>
      </c>
      <c r="AB4" s="198">
        <f t="shared" si="5"/>
        <v>1738569.7220000001</v>
      </c>
      <c r="AC4" s="198">
        <f t="shared" si="5"/>
        <v>1738569.7220000001</v>
      </c>
      <c r="AD4" s="198">
        <f t="shared" si="5"/>
        <v>1738569.7220000001</v>
      </c>
      <c r="AE4" s="198">
        <f t="shared" si="5"/>
        <v>1738569.7220000001</v>
      </c>
      <c r="AF4" s="198">
        <f t="shared" si="5"/>
        <v>3042497.0134999999</v>
      </c>
      <c r="AG4" s="198">
        <f t="shared" si="5"/>
        <v>3042497.0134999999</v>
      </c>
      <c r="AH4" s="198">
        <f t="shared" si="5"/>
        <v>3042497.0134999999</v>
      </c>
      <c r="AI4" s="198">
        <f t="shared" si="5"/>
        <v>4781066.7355000004</v>
      </c>
      <c r="AJ4" s="198">
        <f t="shared" si="5"/>
        <v>4781066.7355000004</v>
      </c>
      <c r="AK4" s="198">
        <f t="shared" si="5"/>
        <v>4781066.7355000004</v>
      </c>
      <c r="AL4" s="198">
        <f t="shared" si="5"/>
        <v>4781066.7355000004</v>
      </c>
      <c r="AM4" s="198">
        <f t="shared" si="5"/>
        <v>4781066.7355000004</v>
      </c>
      <c r="AN4" s="198">
        <f t="shared" si="5"/>
        <v>4781066.7355000004</v>
      </c>
      <c r="AO4" s="198">
        <f t="shared" si="5"/>
        <v>4781066.7355000004</v>
      </c>
      <c r="AP4" s="198">
        <f t="shared" si="5"/>
        <v>4781066.7355000004</v>
      </c>
      <c r="AQ4" s="198">
        <f t="shared" si="5"/>
        <v>4781066.7355000004</v>
      </c>
      <c r="AR4" s="198">
        <f t="shared" si="5"/>
        <v>4781066.7355000004</v>
      </c>
      <c r="AS4" s="198">
        <f t="shared" si="5"/>
        <v>4781066.7355000004</v>
      </c>
      <c r="AT4" s="198">
        <f t="shared" si="5"/>
        <v>4781066.7355000004</v>
      </c>
      <c r="AU4" s="198">
        <f t="shared" si="5"/>
        <v>8258206.1795000006</v>
      </c>
      <c r="AV4" s="198">
        <f t="shared" si="5"/>
        <v>8258206.1795000006</v>
      </c>
      <c r="AW4" s="198">
        <f t="shared" si="5"/>
        <v>8258206.1795000006</v>
      </c>
      <c r="AX4" s="198">
        <f t="shared" si="5"/>
        <v>8258206.1795000006</v>
      </c>
      <c r="AY4" s="198">
        <f t="shared" si="5"/>
        <v>8258206.1795000006</v>
      </c>
      <c r="AZ4" s="198">
        <f t="shared" si="5"/>
        <v>8258206.1795000006</v>
      </c>
      <c r="BA4" s="198">
        <f t="shared" si="5"/>
        <v>8258206.1795000006</v>
      </c>
      <c r="BB4" s="198">
        <f t="shared" si="5"/>
        <v>8258206.1795000006</v>
      </c>
      <c r="BC4" s="198">
        <f t="shared" si="5"/>
        <v>8258206.1795000006</v>
      </c>
      <c r="BD4" s="198">
        <f t="shared" si="5"/>
        <v>8258206.1795000006</v>
      </c>
      <c r="BE4" s="198">
        <f t="shared" si="5"/>
        <v>8258206.1795000006</v>
      </c>
      <c r="BF4" s="198">
        <f t="shared" si="5"/>
        <v>8258206.1795000006</v>
      </c>
      <c r="BG4" s="198">
        <f t="shared" si="5"/>
        <v>8258206.1795000006</v>
      </c>
      <c r="BH4" s="198">
        <f t="shared" si="5"/>
        <v>8258206.1795000006</v>
      </c>
      <c r="BI4" s="198">
        <f t="shared" si="5"/>
        <v>8258206.1795000006</v>
      </c>
      <c r="BJ4" s="198">
        <f t="shared" si="5"/>
        <v>8258206.1795000006</v>
      </c>
      <c r="BK4" s="198">
        <f t="shared" si="5"/>
        <v>8258206.1795000006</v>
      </c>
      <c r="BL4" s="198">
        <f t="shared" si="5"/>
        <v>8258206.1795000006</v>
      </c>
      <c r="BM4" s="198">
        <f t="shared" si="5"/>
        <v>8692848.6100000013</v>
      </c>
      <c r="BN4" s="198">
        <f t="shared" si="5"/>
        <v>8692848.6100000013</v>
      </c>
      <c r="BO4" s="198">
        <f t="shared" si="5"/>
        <v>8692848.6100000013</v>
      </c>
      <c r="BP4" s="198">
        <f t="shared" si="5"/>
        <v>8692848.6100000013</v>
      </c>
      <c r="BQ4" s="198">
        <f t="shared" si="5"/>
        <v>8692848.6100000013</v>
      </c>
      <c r="BR4" s="198">
        <f t="shared" si="5"/>
        <v>8692848.6100000013</v>
      </c>
      <c r="BS4" s="198">
        <f t="shared" si="5"/>
        <v>8692848.6100000013</v>
      </c>
      <c r="BT4" s="198">
        <f t="shared" si="5"/>
        <v>8692848.6100000013</v>
      </c>
      <c r="BU4" s="198">
        <f t="shared" ref="BU4:EF4" si="6">BT4+BU3</f>
        <v>8692848.6100000013</v>
      </c>
      <c r="BV4" s="198">
        <f t="shared" si="6"/>
        <v>8692848.6100000013</v>
      </c>
      <c r="BW4" s="198">
        <f t="shared" si="6"/>
        <v>8692848.6100000013</v>
      </c>
      <c r="BX4" s="198">
        <f t="shared" si="6"/>
        <v>8692848.6100000013</v>
      </c>
      <c r="BY4" s="198">
        <f t="shared" si="6"/>
        <v>8692848.6100000013</v>
      </c>
      <c r="BZ4" s="198">
        <f t="shared" si="6"/>
        <v>8692848.6100000013</v>
      </c>
      <c r="CA4" s="198">
        <f t="shared" si="6"/>
        <v>8692848.6100000013</v>
      </c>
      <c r="CB4" s="198">
        <f t="shared" si="6"/>
        <v>8692848.6100000013</v>
      </c>
      <c r="CC4" s="198">
        <f t="shared" si="6"/>
        <v>8692848.6100000013</v>
      </c>
      <c r="CD4" s="198">
        <f t="shared" si="6"/>
        <v>8692848.6100000013</v>
      </c>
      <c r="CE4" s="198">
        <f t="shared" si="6"/>
        <v>8692848.6100000013</v>
      </c>
      <c r="CF4" s="198">
        <f t="shared" si="6"/>
        <v>8692848.6100000013</v>
      </c>
      <c r="CG4" s="198">
        <f t="shared" si="6"/>
        <v>8692848.6100000013</v>
      </c>
      <c r="CH4" s="198">
        <f t="shared" si="6"/>
        <v>8692848.6100000013</v>
      </c>
      <c r="CI4" s="198">
        <f t="shared" si="6"/>
        <v>8692848.6100000013</v>
      </c>
      <c r="CJ4" s="198">
        <f t="shared" si="6"/>
        <v>8692848.6100000013</v>
      </c>
      <c r="CK4" s="198">
        <f t="shared" si="6"/>
        <v>8692848.6100000013</v>
      </c>
      <c r="CL4" s="198">
        <f t="shared" si="6"/>
        <v>8692848.6100000013</v>
      </c>
      <c r="CM4" s="198">
        <f t="shared" si="6"/>
        <v>8692848.6100000013</v>
      </c>
      <c r="CN4" s="198">
        <f t="shared" si="6"/>
        <v>8692848.6100000013</v>
      </c>
      <c r="CO4" s="198">
        <f t="shared" si="6"/>
        <v>8692848.6100000013</v>
      </c>
      <c r="CP4" s="198">
        <f t="shared" si="6"/>
        <v>8692848.6100000013</v>
      </c>
      <c r="CQ4" s="198">
        <f t="shared" si="6"/>
        <v>8692848.6100000013</v>
      </c>
      <c r="CR4" s="198">
        <f t="shared" si="6"/>
        <v>8692848.6100000013</v>
      </c>
      <c r="CS4" s="198">
        <f t="shared" si="6"/>
        <v>8692848.6100000013</v>
      </c>
      <c r="CT4" s="198">
        <f t="shared" si="6"/>
        <v>8692848.6100000013</v>
      </c>
      <c r="CU4" s="198">
        <f t="shared" si="6"/>
        <v>8692848.6100000013</v>
      </c>
      <c r="CV4" s="198">
        <f t="shared" si="6"/>
        <v>8692848.6100000013</v>
      </c>
      <c r="CW4" s="198">
        <f t="shared" si="6"/>
        <v>8692848.6100000013</v>
      </c>
      <c r="CX4" s="198">
        <f t="shared" si="6"/>
        <v>8692848.6100000013</v>
      </c>
      <c r="CY4" s="198">
        <f t="shared" si="6"/>
        <v>8692848.6100000013</v>
      </c>
      <c r="CZ4" s="198">
        <f t="shared" si="6"/>
        <v>8692848.6100000013</v>
      </c>
      <c r="DA4" s="198">
        <f t="shared" si="6"/>
        <v>8692848.6100000013</v>
      </c>
      <c r="DB4" s="198">
        <f t="shared" si="6"/>
        <v>8692848.6100000013</v>
      </c>
      <c r="DC4" s="198">
        <f t="shared" si="6"/>
        <v>8692848.6100000013</v>
      </c>
      <c r="DD4" s="198">
        <f t="shared" si="6"/>
        <v>8692848.6100000013</v>
      </c>
      <c r="DE4" s="198">
        <f t="shared" si="6"/>
        <v>8692848.6100000013</v>
      </c>
      <c r="DF4" s="198">
        <f t="shared" si="6"/>
        <v>8692848.6100000013</v>
      </c>
      <c r="DG4" s="198">
        <f t="shared" si="6"/>
        <v>8692848.6100000013</v>
      </c>
      <c r="DH4" s="198">
        <f t="shared" si="6"/>
        <v>8692848.6100000013</v>
      </c>
      <c r="DI4" s="198">
        <f t="shared" si="6"/>
        <v>8692848.6100000013</v>
      </c>
      <c r="DJ4" s="198">
        <f t="shared" si="6"/>
        <v>8692848.6100000013</v>
      </c>
      <c r="DK4" s="198">
        <f t="shared" si="6"/>
        <v>8692848.6100000013</v>
      </c>
      <c r="DL4" s="198">
        <f t="shared" si="6"/>
        <v>8692848.6100000013</v>
      </c>
      <c r="DM4" s="198">
        <f t="shared" si="6"/>
        <v>8692848.6100000013</v>
      </c>
      <c r="DN4" s="198">
        <f t="shared" si="6"/>
        <v>8692848.6100000013</v>
      </c>
      <c r="DO4" s="198">
        <f t="shared" si="6"/>
        <v>8692848.6100000013</v>
      </c>
      <c r="DP4" s="198">
        <f t="shared" si="6"/>
        <v>8692848.6100000013</v>
      </c>
      <c r="DQ4" s="198">
        <f t="shared" si="6"/>
        <v>8692848.6100000013</v>
      </c>
      <c r="DR4" s="198">
        <f t="shared" si="6"/>
        <v>8692848.6100000013</v>
      </c>
      <c r="DS4" s="198">
        <f t="shared" si="6"/>
        <v>8692848.6100000013</v>
      </c>
      <c r="DT4" s="198">
        <f t="shared" si="6"/>
        <v>8692848.6100000013</v>
      </c>
      <c r="DU4" s="198">
        <f t="shared" si="6"/>
        <v>8692848.6100000013</v>
      </c>
      <c r="DV4" s="198">
        <f t="shared" si="6"/>
        <v>8692848.6100000013</v>
      </c>
      <c r="DW4" s="198">
        <f t="shared" si="6"/>
        <v>8692848.6100000013</v>
      </c>
      <c r="DX4" s="198">
        <f t="shared" si="6"/>
        <v>8692848.6100000013</v>
      </c>
      <c r="DY4" s="198">
        <f t="shared" si="6"/>
        <v>8692848.6100000013</v>
      </c>
      <c r="DZ4" s="198">
        <f t="shared" si="6"/>
        <v>8692848.6100000013</v>
      </c>
      <c r="EA4" s="198">
        <f t="shared" si="6"/>
        <v>8692848.6100000013</v>
      </c>
      <c r="EB4" s="198">
        <f t="shared" si="6"/>
        <v>8692848.6100000013</v>
      </c>
      <c r="EC4" s="198">
        <f t="shared" si="6"/>
        <v>8692848.6100000013</v>
      </c>
      <c r="ED4" s="198">
        <f t="shared" si="6"/>
        <v>8692848.6100000013</v>
      </c>
      <c r="EE4" s="198">
        <f t="shared" si="6"/>
        <v>8692848.6100000013</v>
      </c>
      <c r="EF4" s="198">
        <f t="shared" si="6"/>
        <v>8692848.6100000013</v>
      </c>
      <c r="EG4" s="198">
        <f t="shared" ref="EG4:GR4" si="7">EF4+EG3</f>
        <v>8692848.6100000013</v>
      </c>
      <c r="EH4" s="198">
        <f t="shared" si="7"/>
        <v>8692848.6100000013</v>
      </c>
      <c r="EI4" s="198">
        <f t="shared" si="7"/>
        <v>8692848.6100000013</v>
      </c>
      <c r="EJ4" s="198">
        <f t="shared" si="7"/>
        <v>8692848.6100000013</v>
      </c>
      <c r="EK4" s="198">
        <f t="shared" si="7"/>
        <v>8692848.6100000013</v>
      </c>
      <c r="EL4" s="198">
        <f t="shared" si="7"/>
        <v>8692848.6100000013</v>
      </c>
      <c r="EM4" s="198">
        <f t="shared" si="7"/>
        <v>8692848.6100000013</v>
      </c>
      <c r="EN4" s="198">
        <f t="shared" si="7"/>
        <v>8692848.6100000013</v>
      </c>
      <c r="EO4" s="198">
        <f t="shared" si="7"/>
        <v>8692848.6100000013</v>
      </c>
      <c r="EP4" s="198">
        <f t="shared" si="7"/>
        <v>8692848.6100000013</v>
      </c>
      <c r="EQ4" s="198">
        <f t="shared" si="7"/>
        <v>8692848.6100000013</v>
      </c>
      <c r="ER4" s="198">
        <f t="shared" si="7"/>
        <v>8692848.6100000013</v>
      </c>
      <c r="ES4" s="198">
        <f t="shared" si="7"/>
        <v>8692848.6100000013</v>
      </c>
      <c r="ET4" s="198">
        <f t="shared" si="7"/>
        <v>8692848.6100000013</v>
      </c>
      <c r="EU4" s="198">
        <f t="shared" si="7"/>
        <v>8692848.6100000013</v>
      </c>
      <c r="EV4" s="198">
        <f t="shared" si="7"/>
        <v>8692848.6100000013</v>
      </c>
      <c r="EW4" s="198">
        <f t="shared" si="7"/>
        <v>8692848.6100000013</v>
      </c>
      <c r="EX4" s="198">
        <f t="shared" si="7"/>
        <v>8692848.6100000013</v>
      </c>
      <c r="EY4" s="198">
        <f t="shared" si="7"/>
        <v>8692848.6100000013</v>
      </c>
      <c r="EZ4" s="198">
        <f t="shared" si="7"/>
        <v>8692848.6100000013</v>
      </c>
      <c r="FA4" s="198">
        <f t="shared" si="7"/>
        <v>8692848.6100000013</v>
      </c>
      <c r="FB4" s="198">
        <f t="shared" si="7"/>
        <v>8692848.6100000013</v>
      </c>
      <c r="FC4" s="198">
        <f t="shared" si="7"/>
        <v>8692848.6100000013</v>
      </c>
      <c r="FD4" s="198">
        <f t="shared" si="7"/>
        <v>8692848.6100000013</v>
      </c>
      <c r="FE4" s="198">
        <f t="shared" si="7"/>
        <v>8692848.6100000013</v>
      </c>
      <c r="FF4" s="198">
        <f t="shared" si="7"/>
        <v>8692848.6100000013</v>
      </c>
      <c r="FG4" s="198">
        <f t="shared" si="7"/>
        <v>8692848.6100000013</v>
      </c>
      <c r="FH4" s="198">
        <f t="shared" si="7"/>
        <v>8692848.6100000013</v>
      </c>
      <c r="FI4" s="198">
        <f t="shared" si="7"/>
        <v>8692848.6100000013</v>
      </c>
      <c r="FJ4" s="198">
        <f t="shared" si="7"/>
        <v>8692848.6100000013</v>
      </c>
      <c r="FK4" s="198">
        <f t="shared" si="7"/>
        <v>8692848.6100000013</v>
      </c>
      <c r="FL4" s="198">
        <f t="shared" si="7"/>
        <v>8692848.6100000013</v>
      </c>
      <c r="FM4" s="198">
        <f t="shared" si="7"/>
        <v>8692848.6100000013</v>
      </c>
      <c r="FN4" s="198">
        <f t="shared" si="7"/>
        <v>8692848.6100000013</v>
      </c>
      <c r="FO4" s="198">
        <f t="shared" si="7"/>
        <v>8692848.6100000013</v>
      </c>
      <c r="FP4" s="198">
        <f t="shared" si="7"/>
        <v>8692848.6100000013</v>
      </c>
      <c r="FQ4" s="198">
        <f t="shared" si="7"/>
        <v>8692848.6100000013</v>
      </c>
      <c r="FR4" s="198">
        <f t="shared" si="7"/>
        <v>8692848.6100000013</v>
      </c>
      <c r="FS4" s="198">
        <f t="shared" si="7"/>
        <v>8692848.6100000013</v>
      </c>
      <c r="FT4" s="198">
        <f t="shared" si="7"/>
        <v>8692848.6100000013</v>
      </c>
      <c r="FU4" s="198">
        <f t="shared" si="7"/>
        <v>8692848.6100000013</v>
      </c>
      <c r="FV4" s="198">
        <f t="shared" si="7"/>
        <v>8692848.6100000013</v>
      </c>
      <c r="FW4" s="198">
        <f t="shared" si="7"/>
        <v>8692848.6100000013</v>
      </c>
      <c r="FX4" s="198">
        <f t="shared" si="7"/>
        <v>8692848.6100000013</v>
      </c>
      <c r="FY4" s="198">
        <f t="shared" si="7"/>
        <v>8692848.6100000013</v>
      </c>
      <c r="FZ4" s="198">
        <f t="shared" si="7"/>
        <v>8692848.6100000013</v>
      </c>
      <c r="GA4" s="198">
        <f t="shared" si="7"/>
        <v>8692848.6100000013</v>
      </c>
      <c r="GB4" s="198">
        <f t="shared" si="7"/>
        <v>8692848.6100000013</v>
      </c>
      <c r="GC4" s="198">
        <f t="shared" si="7"/>
        <v>8692848.6100000013</v>
      </c>
      <c r="GD4" s="198">
        <f t="shared" si="7"/>
        <v>8692848.6100000013</v>
      </c>
      <c r="GE4" s="198">
        <f t="shared" si="7"/>
        <v>8692848.6100000013</v>
      </c>
      <c r="GF4" s="198">
        <f t="shared" si="7"/>
        <v>8692848.6100000013</v>
      </c>
      <c r="GG4" s="198">
        <f t="shared" si="7"/>
        <v>8692848.6100000013</v>
      </c>
      <c r="GH4" s="198">
        <f t="shared" si="7"/>
        <v>8692848.6100000013</v>
      </c>
      <c r="GI4" s="198">
        <f t="shared" si="7"/>
        <v>8692848.6100000013</v>
      </c>
      <c r="GJ4" s="198">
        <f t="shared" si="7"/>
        <v>8692848.6100000013</v>
      </c>
      <c r="GK4" s="198">
        <f t="shared" si="7"/>
        <v>8692848.6100000013</v>
      </c>
      <c r="GL4" s="198">
        <f t="shared" si="7"/>
        <v>8692848.6100000013</v>
      </c>
      <c r="GM4" s="198">
        <f t="shared" si="7"/>
        <v>8692848.6100000013</v>
      </c>
      <c r="GN4" s="198">
        <f t="shared" si="7"/>
        <v>8692848.6100000013</v>
      </c>
      <c r="GO4" s="198">
        <f t="shared" si="7"/>
        <v>8692848.6100000013</v>
      </c>
      <c r="GP4" s="198">
        <f t="shared" si="7"/>
        <v>8692848.6100000013</v>
      </c>
      <c r="GQ4" s="198">
        <f t="shared" si="7"/>
        <v>8692848.6100000013</v>
      </c>
      <c r="GR4" s="198">
        <f t="shared" si="7"/>
        <v>8692848.6100000013</v>
      </c>
      <c r="GS4" s="198">
        <f t="shared" ref="GS4:JD4" si="8">GR4+GS3</f>
        <v>8692848.6100000013</v>
      </c>
      <c r="GT4" s="198">
        <f t="shared" si="8"/>
        <v>8692848.6100000013</v>
      </c>
      <c r="GU4" s="198">
        <f t="shared" si="8"/>
        <v>8692848.6100000013</v>
      </c>
      <c r="GV4" s="198">
        <f t="shared" si="8"/>
        <v>8692848.6100000013</v>
      </c>
      <c r="GW4" s="198">
        <f t="shared" si="8"/>
        <v>8692848.6100000013</v>
      </c>
      <c r="GX4" s="198">
        <f t="shared" si="8"/>
        <v>8692848.6100000013</v>
      </c>
      <c r="GY4" s="198">
        <f t="shared" si="8"/>
        <v>8692848.6100000013</v>
      </c>
      <c r="GZ4" s="198">
        <f t="shared" si="8"/>
        <v>8692848.6100000013</v>
      </c>
      <c r="HA4" s="198">
        <f t="shared" si="8"/>
        <v>8692848.6100000013</v>
      </c>
      <c r="HB4" s="198">
        <f t="shared" si="8"/>
        <v>8692848.6100000013</v>
      </c>
      <c r="HC4" s="198">
        <f t="shared" si="8"/>
        <v>8692848.6100000013</v>
      </c>
      <c r="HD4" s="198">
        <f t="shared" si="8"/>
        <v>8692848.6100000013</v>
      </c>
      <c r="HE4" s="198">
        <f t="shared" si="8"/>
        <v>8692848.6100000013</v>
      </c>
      <c r="HF4" s="198">
        <f t="shared" si="8"/>
        <v>8692848.6100000013</v>
      </c>
      <c r="HG4" s="198">
        <f t="shared" si="8"/>
        <v>8692848.6100000013</v>
      </c>
      <c r="HH4" s="198">
        <f t="shared" si="8"/>
        <v>8692848.6100000013</v>
      </c>
      <c r="HI4" s="198">
        <f t="shared" si="8"/>
        <v>8692848.6100000013</v>
      </c>
      <c r="HJ4" s="198">
        <f t="shared" si="8"/>
        <v>8692848.6100000013</v>
      </c>
      <c r="HK4" s="198">
        <f t="shared" si="8"/>
        <v>8692848.6100000013</v>
      </c>
      <c r="HL4" s="198">
        <f t="shared" si="8"/>
        <v>8692848.6100000013</v>
      </c>
      <c r="HM4" s="198">
        <f t="shared" si="8"/>
        <v>8692848.6100000013</v>
      </c>
      <c r="HN4" s="198">
        <f t="shared" si="8"/>
        <v>8692848.6100000013</v>
      </c>
      <c r="HO4" s="198">
        <f t="shared" si="8"/>
        <v>8692848.6100000013</v>
      </c>
      <c r="HP4" s="198">
        <f t="shared" si="8"/>
        <v>8692848.6100000013</v>
      </c>
      <c r="HQ4" s="198">
        <f t="shared" si="8"/>
        <v>8692848.6100000013</v>
      </c>
      <c r="HR4" s="198">
        <f t="shared" si="8"/>
        <v>8692848.6100000013</v>
      </c>
      <c r="HS4" s="198">
        <f t="shared" si="8"/>
        <v>8692848.6100000013</v>
      </c>
      <c r="HT4" s="198">
        <f t="shared" si="8"/>
        <v>8692848.6100000013</v>
      </c>
      <c r="HU4" s="198">
        <f t="shared" si="8"/>
        <v>8692848.6100000013</v>
      </c>
      <c r="HV4" s="198">
        <f t="shared" si="8"/>
        <v>8692848.6100000013</v>
      </c>
      <c r="HW4" s="198">
        <f t="shared" si="8"/>
        <v>8692848.6100000013</v>
      </c>
      <c r="HX4" s="198">
        <f t="shared" si="8"/>
        <v>8692848.6100000013</v>
      </c>
      <c r="HY4" s="198">
        <f t="shared" si="8"/>
        <v>8692848.6100000013</v>
      </c>
      <c r="HZ4" s="198">
        <f t="shared" si="8"/>
        <v>8692848.6100000013</v>
      </c>
      <c r="IA4" s="198">
        <f t="shared" si="8"/>
        <v>8692848.6100000013</v>
      </c>
      <c r="IB4" s="198">
        <f t="shared" si="8"/>
        <v>8692848.6100000013</v>
      </c>
      <c r="IC4" s="198">
        <f t="shared" si="8"/>
        <v>8692848.6100000013</v>
      </c>
      <c r="ID4" s="198">
        <f t="shared" si="8"/>
        <v>8692848.6100000013</v>
      </c>
      <c r="IE4" s="198">
        <f t="shared" si="8"/>
        <v>8692848.6100000013</v>
      </c>
      <c r="IF4" s="198">
        <f t="shared" si="8"/>
        <v>8692848.6100000013</v>
      </c>
      <c r="IG4" s="198">
        <f t="shared" si="8"/>
        <v>8692848.6100000013</v>
      </c>
      <c r="IH4" s="198">
        <f t="shared" si="8"/>
        <v>8692848.6100000013</v>
      </c>
      <c r="II4" s="198">
        <f t="shared" si="8"/>
        <v>8692848.6100000013</v>
      </c>
      <c r="IJ4" s="198">
        <f t="shared" si="8"/>
        <v>8692848.6100000013</v>
      </c>
      <c r="IK4" s="198">
        <f t="shared" si="8"/>
        <v>8692848.6100000013</v>
      </c>
      <c r="IL4" s="198">
        <f t="shared" si="8"/>
        <v>8692848.6100000013</v>
      </c>
      <c r="IM4" s="198">
        <f t="shared" si="8"/>
        <v>8692848.6100000013</v>
      </c>
      <c r="IN4" s="198">
        <f t="shared" si="8"/>
        <v>8692848.6100000013</v>
      </c>
      <c r="IO4" s="198">
        <f t="shared" si="8"/>
        <v>8692848.6100000013</v>
      </c>
      <c r="IP4" s="198">
        <f t="shared" si="8"/>
        <v>8692848.6100000013</v>
      </c>
      <c r="IQ4" s="198">
        <f t="shared" si="8"/>
        <v>8692848.6100000013</v>
      </c>
      <c r="IR4" s="198">
        <f t="shared" si="8"/>
        <v>8692848.6100000013</v>
      </c>
      <c r="IS4" s="198">
        <f t="shared" si="8"/>
        <v>8692848.6100000013</v>
      </c>
      <c r="IT4" s="198">
        <f t="shared" si="8"/>
        <v>8692848.6100000013</v>
      </c>
      <c r="IU4" s="198">
        <f t="shared" si="8"/>
        <v>8692848.6100000013</v>
      </c>
      <c r="IV4" s="198">
        <f t="shared" si="8"/>
        <v>8692848.6100000013</v>
      </c>
      <c r="IW4" s="198">
        <f t="shared" si="8"/>
        <v>8692848.6100000013</v>
      </c>
      <c r="IX4" s="198">
        <f t="shared" si="8"/>
        <v>8692848.6100000013</v>
      </c>
      <c r="IY4" s="198">
        <f t="shared" si="8"/>
        <v>8692848.6100000013</v>
      </c>
      <c r="IZ4" s="198">
        <f t="shared" si="8"/>
        <v>8692848.6100000013</v>
      </c>
      <c r="JA4" s="198">
        <f t="shared" si="8"/>
        <v>8692848.6100000013</v>
      </c>
      <c r="JB4" s="198">
        <f t="shared" si="8"/>
        <v>8692848.6100000013</v>
      </c>
      <c r="JC4" s="198">
        <f t="shared" si="8"/>
        <v>8692848.6100000013</v>
      </c>
      <c r="JD4" s="198">
        <f t="shared" si="8"/>
        <v>8692848.6100000013</v>
      </c>
      <c r="JE4" s="198">
        <f t="shared" ref="JE4:LD4" si="9">JD4+JE3</f>
        <v>8692848.6100000013</v>
      </c>
      <c r="JF4" s="198">
        <f t="shared" si="9"/>
        <v>8692848.6100000013</v>
      </c>
      <c r="JG4" s="198">
        <f t="shared" si="9"/>
        <v>8692848.6100000013</v>
      </c>
      <c r="JH4" s="198">
        <f t="shared" si="9"/>
        <v>8692848.6100000013</v>
      </c>
      <c r="JI4" s="198">
        <f t="shared" si="9"/>
        <v>8692848.6100000013</v>
      </c>
      <c r="JJ4" s="198">
        <f t="shared" si="9"/>
        <v>8692848.6100000013</v>
      </c>
      <c r="JK4" s="198">
        <f t="shared" si="9"/>
        <v>8692848.6100000013</v>
      </c>
      <c r="JL4" s="198">
        <f t="shared" si="9"/>
        <v>8692848.6100000013</v>
      </c>
      <c r="JM4" s="198">
        <f t="shared" si="9"/>
        <v>8692848.6100000013</v>
      </c>
      <c r="JN4" s="198">
        <f t="shared" si="9"/>
        <v>8692848.6100000013</v>
      </c>
      <c r="JO4" s="198">
        <f t="shared" si="9"/>
        <v>8692848.6100000013</v>
      </c>
      <c r="JP4" s="198">
        <f t="shared" si="9"/>
        <v>8692848.6100000013</v>
      </c>
      <c r="JQ4" s="198">
        <f t="shared" si="9"/>
        <v>8692848.6100000013</v>
      </c>
      <c r="JR4" s="198">
        <f t="shared" si="9"/>
        <v>8692848.6100000013</v>
      </c>
      <c r="JS4" s="198">
        <f t="shared" si="9"/>
        <v>8692848.6100000013</v>
      </c>
      <c r="JT4" s="198">
        <f t="shared" si="9"/>
        <v>8692848.6100000013</v>
      </c>
      <c r="JU4" s="198">
        <f t="shared" si="9"/>
        <v>8692848.6100000013</v>
      </c>
      <c r="JV4" s="198">
        <f t="shared" si="9"/>
        <v>8692848.6100000013</v>
      </c>
      <c r="JW4" s="198">
        <f t="shared" si="9"/>
        <v>8692848.6100000013</v>
      </c>
      <c r="JX4" s="198">
        <f t="shared" si="9"/>
        <v>8692848.6100000013</v>
      </c>
      <c r="JY4" s="198">
        <f t="shared" si="9"/>
        <v>8692848.6100000013</v>
      </c>
      <c r="JZ4" s="198">
        <f t="shared" si="9"/>
        <v>8692848.6100000013</v>
      </c>
      <c r="KA4" s="198">
        <f t="shared" si="9"/>
        <v>8692848.6100000013</v>
      </c>
      <c r="KB4" s="198">
        <f t="shared" si="9"/>
        <v>8692848.6100000013</v>
      </c>
      <c r="KC4" s="198">
        <f t="shared" si="9"/>
        <v>8692848.6100000013</v>
      </c>
      <c r="KD4" s="198">
        <f t="shared" si="9"/>
        <v>8692848.6100000013</v>
      </c>
      <c r="KE4" s="198">
        <f t="shared" si="9"/>
        <v>8692848.6100000013</v>
      </c>
      <c r="KF4" s="198">
        <f t="shared" si="9"/>
        <v>8692848.6100000013</v>
      </c>
      <c r="KG4" s="198">
        <f t="shared" si="9"/>
        <v>8692848.6100000013</v>
      </c>
      <c r="KH4" s="198">
        <f t="shared" si="9"/>
        <v>8692848.6100000013</v>
      </c>
      <c r="KI4" s="198">
        <f t="shared" si="9"/>
        <v>8692848.6100000013</v>
      </c>
      <c r="KJ4" s="198">
        <f t="shared" si="9"/>
        <v>8692848.6100000013</v>
      </c>
      <c r="KK4" s="198">
        <f t="shared" si="9"/>
        <v>8692848.6100000013</v>
      </c>
      <c r="KL4" s="198">
        <f t="shared" si="9"/>
        <v>8692848.6100000013</v>
      </c>
      <c r="KM4" s="198">
        <f t="shared" si="9"/>
        <v>8692848.6100000013</v>
      </c>
      <c r="KN4" s="198">
        <f t="shared" si="9"/>
        <v>8692848.6100000013</v>
      </c>
      <c r="KO4" s="198">
        <f t="shared" si="9"/>
        <v>8692848.6100000013</v>
      </c>
      <c r="KP4" s="198">
        <f t="shared" si="9"/>
        <v>8692848.6100000013</v>
      </c>
      <c r="KQ4" s="198">
        <f t="shared" si="9"/>
        <v>8692848.6100000013</v>
      </c>
      <c r="KR4" s="198">
        <f t="shared" si="9"/>
        <v>8692848.6100000013</v>
      </c>
      <c r="KS4" s="198">
        <f t="shared" si="9"/>
        <v>8692848.6100000013</v>
      </c>
      <c r="KT4" s="198">
        <f t="shared" si="9"/>
        <v>8692848.6100000013</v>
      </c>
      <c r="KU4" s="198">
        <f t="shared" si="9"/>
        <v>8692848.6100000013</v>
      </c>
      <c r="KV4" s="198">
        <f t="shared" si="9"/>
        <v>8692848.6100000013</v>
      </c>
      <c r="KW4" s="198">
        <f t="shared" si="9"/>
        <v>8692848.6100000013</v>
      </c>
      <c r="KX4" s="198">
        <f t="shared" si="9"/>
        <v>8692848.6100000013</v>
      </c>
      <c r="KY4" s="198">
        <f t="shared" si="9"/>
        <v>8692848.6100000013</v>
      </c>
      <c r="KZ4" s="198">
        <f t="shared" si="9"/>
        <v>8692848.6100000013</v>
      </c>
      <c r="LA4" s="198">
        <f t="shared" si="9"/>
        <v>8692848.6100000013</v>
      </c>
      <c r="LB4" s="198">
        <f t="shared" si="9"/>
        <v>8692848.6100000013</v>
      </c>
      <c r="LC4" s="198">
        <f t="shared" si="9"/>
        <v>8692848.6100000013</v>
      </c>
      <c r="LD4" s="198">
        <f t="shared" si="9"/>
        <v>8692848.6100000013</v>
      </c>
    </row>
    <row r="5" spans="1:794" s="203" customFormat="1">
      <c r="A5" s="805"/>
      <c r="B5" s="199" t="s">
        <v>86</v>
      </c>
      <c r="C5" s="200">
        <f>'Revenue Tracking'!D5</f>
        <v>8166239.0135021619</v>
      </c>
      <c r="D5" s="200">
        <f>SUM(F5:LD5)</f>
        <v>8166239.0135021638</v>
      </c>
      <c r="E5" s="197"/>
      <c r="F5" s="201">
        <f>SUMIFS('Expenditure Breakdown'!$G$6:$G$174, 'Expenditure Breakdown'!$H$6:$H$174, "&gt;="&amp;F1,'Expenditure Breakdown'!$H$6:$H$174, "&lt;"&amp;G1)</f>
        <v>0</v>
      </c>
      <c r="G5" s="201">
        <f>SUMIFS('Expenditure Breakdown'!$G$6:$G$174, 'Expenditure Breakdown'!$H$6:$H$174, "&gt;="&amp;G1,'Expenditure Breakdown'!$H$6:$H$174, "&lt;"&amp;H1)</f>
        <v>0</v>
      </c>
      <c r="H5" s="201">
        <f>SUMIFS('Expenditure Breakdown'!$G$6:$G$174, 'Expenditure Breakdown'!$H$6:$H$174, "&gt;="&amp;H1,'Expenditure Breakdown'!$H$6:$H$174, "&lt;"&amp;I1)</f>
        <v>0</v>
      </c>
      <c r="I5" s="201">
        <f>SUMIFS('Expenditure Breakdown'!$G$6:$G$174, 'Expenditure Breakdown'!$H$6:$H$174, "&gt;="&amp;I1,'Expenditure Breakdown'!$H$6:$H$174, "&lt;"&amp;J1)</f>
        <v>0</v>
      </c>
      <c r="J5" s="201">
        <f>SUMIFS('Expenditure Breakdown'!$G$6:$G$174, 'Expenditure Breakdown'!$H$6:$H$174, "&gt;="&amp;J1,'Expenditure Breakdown'!$H$6:$H$174, "&lt;"&amp;K1)</f>
        <v>0</v>
      </c>
      <c r="K5" s="201">
        <f>SUMIFS('Expenditure Breakdown'!$G$6:$G$174, 'Expenditure Breakdown'!$H$6:$H$174, "&gt;="&amp;K1,'Expenditure Breakdown'!$H$6:$H$174, "&lt;"&amp;L1)</f>
        <v>0</v>
      </c>
      <c r="L5" s="201">
        <f>SUMIFS('Expenditure Breakdown'!$G$6:$G$174, 'Expenditure Breakdown'!$H$6:$H$174, "&gt;="&amp;L1,'Expenditure Breakdown'!$H$6:$H$174, "&lt;"&amp;M1)</f>
        <v>0</v>
      </c>
      <c r="M5" s="201">
        <f>SUMIFS('Expenditure Breakdown'!$G$6:$G$174, 'Expenditure Breakdown'!$H$6:$H$174, "&gt;="&amp;M1,'Expenditure Breakdown'!$H$6:$H$174, "&lt;"&amp;N1)</f>
        <v>0</v>
      </c>
      <c r="N5" s="201">
        <f>SUMIFS('Expenditure Breakdown'!$G$6:$G$174, 'Expenditure Breakdown'!$H$6:$H$174, "&gt;="&amp;N1,'Expenditure Breakdown'!$H$6:$H$174, "&lt;"&amp;O1)</f>
        <v>0</v>
      </c>
      <c r="O5" s="201">
        <f>SUMIFS('Expenditure Breakdown'!$G$6:$G$174, 'Expenditure Breakdown'!$H$6:$H$174, "&gt;="&amp;O1,'Expenditure Breakdown'!$H$6:$H$174, "&lt;"&amp;P1)</f>
        <v>0</v>
      </c>
      <c r="P5" s="201">
        <f>SUMIFS('Expenditure Breakdown'!$G$6:$G$174, 'Expenditure Breakdown'!$H$6:$H$174, "&gt;="&amp;P1,'Expenditure Breakdown'!$H$6:$H$174, "&lt;"&amp;Q1)</f>
        <v>0</v>
      </c>
      <c r="Q5" s="201">
        <f>SUMIFS('Expenditure Breakdown'!$G$6:$G$174, 'Expenditure Breakdown'!$H$6:$H$174, "&gt;="&amp;Q1,'Expenditure Breakdown'!$H$6:$H$174, "&lt;"&amp;R1)</f>
        <v>0</v>
      </c>
      <c r="R5" s="201">
        <f>SUMIFS('Expenditure Breakdown'!$G$6:$G$174, 'Expenditure Breakdown'!$H$6:$H$174, "&gt;="&amp;R1,'Expenditure Breakdown'!$H$6:$H$174, "&lt;"&amp;S1)</f>
        <v>0</v>
      </c>
      <c r="S5" s="201">
        <f>SUMIFS('Expenditure Breakdown'!$G$6:$G$174, 'Expenditure Breakdown'!$H$6:$H$174, "&gt;="&amp;S1,'Expenditure Breakdown'!$H$6:$H$174, "&lt;"&amp;T1)</f>
        <v>0</v>
      </c>
      <c r="T5" s="201">
        <f>SUMIFS('Expenditure Breakdown'!$G$6:$G$174, 'Expenditure Breakdown'!$H$6:$H$174, "&gt;="&amp;T1,'Expenditure Breakdown'!$H$6:$H$174, "&lt;"&amp;U1)</f>
        <v>0</v>
      </c>
      <c r="U5" s="201">
        <f>SUMIFS('Expenditure Breakdown'!$G$6:$G$174, 'Expenditure Breakdown'!$H$6:$H$174, "&gt;="&amp;U1,'Expenditure Breakdown'!$H$6:$H$174, "&lt;"&amp;V1)</f>
        <v>16625</v>
      </c>
      <c r="V5" s="201">
        <f>SUMIFS('Expenditure Breakdown'!$G$6:$G$174, 'Expenditure Breakdown'!$H$6:$H$174, "&gt;="&amp;V1,'Expenditure Breakdown'!$H$6:$H$174, "&lt;"&amp;W1)</f>
        <v>771925</v>
      </c>
      <c r="W5" s="201">
        <f>SUMIFS('Expenditure Breakdown'!$G$6:$G$174, 'Expenditure Breakdown'!$H$6:$H$174, "&gt;="&amp;W1,'Expenditure Breakdown'!$H$6:$H$174, "&lt;"&amp;X1)</f>
        <v>0</v>
      </c>
      <c r="X5" s="201">
        <f>SUMIFS('Expenditure Breakdown'!$G$6:$G$174, 'Expenditure Breakdown'!$H$6:$H$174, "&gt;="&amp;X1,'Expenditure Breakdown'!$H$6:$H$174, "&lt;"&amp;Y1)</f>
        <v>15000</v>
      </c>
      <c r="Y5" s="201">
        <f>SUMIFS('Expenditure Breakdown'!$G$6:$G$174, 'Expenditure Breakdown'!$H$6:$H$174, "&gt;="&amp;Y1,'Expenditure Breakdown'!$H$6:$H$174, "&lt;"&amp;Z1)</f>
        <v>0</v>
      </c>
      <c r="Z5" s="201">
        <f>SUMIFS('Expenditure Breakdown'!$G$6:$G$174, 'Expenditure Breakdown'!$H$6:$H$174, "&gt;="&amp;Z1,'Expenditure Breakdown'!$H$6:$H$174, "&lt;"&amp;AA1)</f>
        <v>0</v>
      </c>
      <c r="AA5" s="201">
        <f>SUMIFS('Expenditure Breakdown'!$G$6:$G$174, 'Expenditure Breakdown'!$H$6:$H$174, "&gt;="&amp;AA1,'Expenditure Breakdown'!$H$6:$H$174, "&lt;"&amp;AB1)</f>
        <v>0</v>
      </c>
      <c r="AB5" s="201">
        <f>SUMIFS('Expenditure Breakdown'!$G$6:$G$174, 'Expenditure Breakdown'!$H$6:$H$174, "&gt;="&amp;AB1,'Expenditure Breakdown'!$H$6:$H$174, "&lt;"&amp;AC1)</f>
        <v>0</v>
      </c>
      <c r="AC5" s="201">
        <f>SUMIFS('Expenditure Breakdown'!$G$6:$G$174, 'Expenditure Breakdown'!$H$6:$H$174, "&gt;="&amp;AC1,'Expenditure Breakdown'!$H$6:$H$174, "&lt;"&amp;AD1)</f>
        <v>0</v>
      </c>
      <c r="AD5" s="201">
        <f>SUMIFS('Expenditure Breakdown'!$G$6:$G$174, 'Expenditure Breakdown'!$H$6:$H$174, "&gt;="&amp;AD1,'Expenditure Breakdown'!$H$6:$H$174, "&lt;"&amp;AE1)</f>
        <v>1800000</v>
      </c>
      <c r="AE5" s="201">
        <f>SUMIFS('Expenditure Breakdown'!$G$6:$G$174, 'Expenditure Breakdown'!$H$6:$H$174, "&gt;="&amp;AE1,'Expenditure Breakdown'!$H$6:$H$174, "&lt;"&amp;AF1)</f>
        <v>34000</v>
      </c>
      <c r="AF5" s="201">
        <f>SUMIFS('Expenditure Breakdown'!$G$6:$G$174, 'Expenditure Breakdown'!$H$6:$H$174, "&gt;="&amp;AF1,'Expenditure Breakdown'!$H$6:$H$174, "&lt;"&amp;AG1)</f>
        <v>0</v>
      </c>
      <c r="AG5" s="201">
        <f>SUMIFS('Expenditure Breakdown'!$G$6:$G$174, 'Expenditure Breakdown'!$H$6:$H$174, "&gt;="&amp;AG1,'Expenditure Breakdown'!$H$6:$H$174, "&lt;"&amp;AH1)</f>
        <v>3450985.48</v>
      </c>
      <c r="AH5" s="201">
        <f>SUMIFS('Expenditure Breakdown'!$G$6:$G$174, 'Expenditure Breakdown'!$H$6:$H$174, "&gt;="&amp;AH1,'Expenditure Breakdown'!$H$6:$H$174, "&lt;"&amp;AI1)</f>
        <v>0</v>
      </c>
      <c r="AI5" s="201">
        <f>SUMIFS('Expenditure Breakdown'!$G$6:$G$174, 'Expenditure Breakdown'!$H$6:$H$174, "&gt;="&amp;AI1,'Expenditure Breakdown'!$H$6:$H$174, "&lt;"&amp;AJ1)</f>
        <v>0</v>
      </c>
      <c r="AJ5" s="201">
        <f>SUMIFS('Expenditure Breakdown'!$G$6:$G$174, 'Expenditure Breakdown'!$H$6:$H$174, "&gt;="&amp;AJ1,'Expenditure Breakdown'!$H$6:$H$174, "&lt;"&amp;AK1)</f>
        <v>1308943.8999999999</v>
      </c>
      <c r="AK5" s="201">
        <f>SUMIFS('Expenditure Breakdown'!$G$6:$G$174, 'Expenditure Breakdown'!$H$6:$H$174, "&gt;="&amp;AK1,'Expenditure Breakdown'!$H$6:$H$174, "&lt;"&amp;AL1)</f>
        <v>0</v>
      </c>
      <c r="AL5" s="201">
        <f>SUMIFS('Expenditure Breakdown'!$G$6:$G$174, 'Expenditure Breakdown'!$H$6:$H$174, "&gt;="&amp;AL1,'Expenditure Breakdown'!$H$6:$H$174, "&lt;"&amp;AM1)</f>
        <v>8500</v>
      </c>
      <c r="AM5" s="201">
        <f>SUMIFS('Expenditure Breakdown'!$G$6:$G$174, 'Expenditure Breakdown'!$H$6:$H$174, "&gt;="&amp;AM1,'Expenditure Breakdown'!$H$6:$H$174, "&lt;"&amp;AN1)</f>
        <v>0</v>
      </c>
      <c r="AN5" s="201">
        <f>SUMIFS('Expenditure Breakdown'!$G$6:$G$174, 'Expenditure Breakdown'!$H$6:$H$174, "&gt;="&amp;AN1,'Expenditure Breakdown'!$H$6:$H$174, "&lt;"&amp;AO1)</f>
        <v>0</v>
      </c>
      <c r="AO5" s="201">
        <f>SUMIFS('Expenditure Breakdown'!$G$6:$G$174, 'Expenditure Breakdown'!$H$6:$H$174, "&gt;="&amp;AO1,'Expenditure Breakdown'!$H$6:$H$174, "&lt;"&amp;AP1)</f>
        <v>0</v>
      </c>
      <c r="AP5" s="201">
        <f>SUMIFS('Expenditure Breakdown'!$G$6:$G$174, 'Expenditure Breakdown'!$H$6:$H$174, "&gt;="&amp;AP1,'Expenditure Breakdown'!$H$6:$H$174, "&lt;"&amp;AQ1)</f>
        <v>473716.89750216232</v>
      </c>
      <c r="AQ5" s="201">
        <f>SUMIFS('Expenditure Breakdown'!$G$6:$G$174, 'Expenditure Breakdown'!$H$6:$H$174, "&gt;="&amp;AQ1,'Expenditure Breakdown'!$H$6:$H$174, "&lt;"&amp;AR1)</f>
        <v>0</v>
      </c>
      <c r="AR5" s="201">
        <f>SUMIFS('Expenditure Breakdown'!$G$6:$G$174, 'Expenditure Breakdown'!$H$6:$H$174, "&gt;="&amp;AR1,'Expenditure Breakdown'!$H$6:$H$174, "&lt;"&amp;AS1)</f>
        <v>0</v>
      </c>
      <c r="AS5" s="201">
        <f>SUMIFS('Expenditure Breakdown'!$G$6:$G$174, 'Expenditure Breakdown'!$H$6:$H$174, "&gt;="&amp;AS1,'Expenditure Breakdown'!$H$6:$H$174, "&lt;"&amp;AT1)</f>
        <v>0</v>
      </c>
      <c r="AT5" s="201">
        <f>SUMIFS('Expenditure Breakdown'!$G$6:$G$174, 'Expenditure Breakdown'!$H$6:$H$174, "&gt;="&amp;AT1,'Expenditure Breakdown'!$H$6:$H$174, "&lt;"&amp;AU1)</f>
        <v>0</v>
      </c>
      <c r="AU5" s="201">
        <f>SUMIFS('Expenditure Breakdown'!$G$6:$G$174, 'Expenditure Breakdown'!$H$6:$H$174, "&gt;="&amp;AU1,'Expenditure Breakdown'!$H$6:$H$174, "&lt;"&amp;AV1)</f>
        <v>0</v>
      </c>
      <c r="AV5" s="201">
        <f>SUMIFS('Expenditure Breakdown'!$G$6:$G$174, 'Expenditure Breakdown'!$H$6:$H$174, "&gt;="&amp;AV1,'Expenditure Breakdown'!$H$6:$H$174, "&lt;"&amp;AW1)</f>
        <v>0</v>
      </c>
      <c r="AW5" s="201">
        <f>SUMIFS('Expenditure Breakdown'!$G$6:$G$174, 'Expenditure Breakdown'!$H$6:$H$174, "&gt;="&amp;AW1,'Expenditure Breakdown'!$H$6:$H$174, "&lt;"&amp;AX1)</f>
        <v>0</v>
      </c>
      <c r="AX5" s="201">
        <f>SUMIFS('Expenditure Breakdown'!$G$6:$G$174, 'Expenditure Breakdown'!$H$6:$H$174, "&gt;="&amp;AX1,'Expenditure Breakdown'!$H$6:$H$174, "&lt;"&amp;AY1)</f>
        <v>0</v>
      </c>
      <c r="AY5" s="201">
        <f>SUMIFS('Expenditure Breakdown'!$G$6:$G$174, 'Expenditure Breakdown'!$H$6:$H$174, "&gt;="&amp;AY1,'Expenditure Breakdown'!$H$6:$H$174, "&lt;"&amp;AZ1)</f>
        <v>0</v>
      </c>
      <c r="AZ5" s="201">
        <f>SUMIFS('Expenditure Breakdown'!$G$6:$G$174, 'Expenditure Breakdown'!$H$6:$H$174, "&gt;="&amp;AZ1,'Expenditure Breakdown'!$H$6:$H$174, "&lt;"&amp;BA1)</f>
        <v>0</v>
      </c>
      <c r="BA5" s="201">
        <f>SUMIFS('Expenditure Breakdown'!$G$6:$G$174, 'Expenditure Breakdown'!$H$6:$H$174, "&gt;="&amp;BA1,'Expenditure Breakdown'!$H$6:$H$174, "&lt;"&amp;BB1)</f>
        <v>0</v>
      </c>
      <c r="BB5" s="201">
        <f>SUMIFS('Expenditure Breakdown'!$G$6:$G$174, 'Expenditure Breakdown'!$H$6:$H$174, "&gt;="&amp;BB1,'Expenditure Breakdown'!$H$6:$H$174, "&lt;"&amp;BC1)</f>
        <v>0</v>
      </c>
      <c r="BC5" s="201">
        <f>SUMIFS('Expenditure Breakdown'!$G$6:$G$174, 'Expenditure Breakdown'!$H$6:$H$174, "&gt;="&amp;BC1,'Expenditure Breakdown'!$H$6:$H$174, "&lt;"&amp;BD1)</f>
        <v>286542.73600000003</v>
      </c>
      <c r="BD5" s="201">
        <f>SUMIFS('Expenditure Breakdown'!$G$6:$G$174, 'Expenditure Breakdown'!$H$6:$H$174, "&gt;="&amp;BD1,'Expenditure Breakdown'!$H$6:$H$174, "&lt;"&amp;BE1)</f>
        <v>0</v>
      </c>
      <c r="BE5" s="201">
        <f>SUMIFS('Expenditure Breakdown'!$G$6:$G$174, 'Expenditure Breakdown'!$H$6:$H$174, "&gt;="&amp;BE1,'Expenditure Breakdown'!$H$6:$H$174, "&lt;"&amp;BF1)</f>
        <v>0</v>
      </c>
      <c r="BF5" s="201">
        <f>SUMIFS('Expenditure Breakdown'!$G$6:$G$174, 'Expenditure Breakdown'!$H$6:$H$174, "&gt;="&amp;BF1,'Expenditure Breakdown'!$H$6:$H$174, "&lt;"&amp;BG1)</f>
        <v>0</v>
      </c>
      <c r="BG5" s="201">
        <f>SUMIFS('Expenditure Breakdown'!$G$6:$G$174, 'Expenditure Breakdown'!$H$6:$H$174, "&gt;="&amp;BG1,'Expenditure Breakdown'!$H$6:$H$174, "&lt;"&amp;BH1)</f>
        <v>0</v>
      </c>
      <c r="BH5" s="201">
        <f>SUMIFS('Expenditure Breakdown'!$G$6:$G$174, 'Expenditure Breakdown'!$H$6:$H$174, "&gt;="&amp;BH1,'Expenditure Breakdown'!$H$6:$H$174, "&lt;"&amp;BI1)</f>
        <v>0</v>
      </c>
      <c r="BI5" s="201">
        <f>SUMIFS('Expenditure Breakdown'!$G$6:$G$174, 'Expenditure Breakdown'!$H$6:$H$174, "&gt;="&amp;BI1,'Expenditure Breakdown'!$H$6:$H$174, "&lt;"&amp;BJ1)</f>
        <v>0</v>
      </c>
      <c r="BJ5" s="201">
        <f>SUMIFS('Expenditure Breakdown'!$G$6:$G$174, 'Expenditure Breakdown'!$H$6:$H$174, "&gt;="&amp;BJ1,'Expenditure Breakdown'!$H$6:$H$174, "&lt;"&amp;BK1)</f>
        <v>0</v>
      </c>
      <c r="BK5" s="201">
        <f>SUMIFS('Expenditure Breakdown'!$G$6:$G$174, 'Expenditure Breakdown'!$H$6:$H$174, "&gt;="&amp;BK1,'Expenditure Breakdown'!$H$6:$H$174, "&lt;"&amp;BL1)</f>
        <v>0</v>
      </c>
      <c r="BL5" s="201">
        <f>SUMIFS('Expenditure Breakdown'!$G$6:$G$174, 'Expenditure Breakdown'!$H$6:$H$174, "&gt;="&amp;BL1,'Expenditure Breakdown'!$H$6:$H$174, "&lt;"&amp;BM1)</f>
        <v>0</v>
      </c>
      <c r="BM5" s="201">
        <f>SUMIFS('Expenditure Breakdown'!$G$6:$G$174, 'Expenditure Breakdown'!$H$6:$H$174, "&gt;="&amp;BM1,'Expenditure Breakdown'!$H$6:$H$174, "&lt;"&amp;BN1)</f>
        <v>0</v>
      </c>
      <c r="BN5" s="201">
        <f>SUMIFS('Expenditure Breakdown'!$G$6:$G$174, 'Expenditure Breakdown'!$H$6:$H$174, "&gt;="&amp;BN1,'Expenditure Breakdown'!$H$6:$H$174, "&lt;"&amp;BO1)</f>
        <v>0</v>
      </c>
      <c r="BO5" s="201">
        <f>SUMIFS('Expenditure Breakdown'!$G$6:$G$174, 'Expenditure Breakdown'!$H$6:$H$174, "&gt;="&amp;BO1,'Expenditure Breakdown'!$H$6:$H$174, "&lt;"&amp;BP1)</f>
        <v>0</v>
      </c>
      <c r="BP5" s="201">
        <f>SUMIFS('Expenditure Breakdown'!$G$6:$G$174, 'Expenditure Breakdown'!$H$6:$H$174, "&gt;="&amp;BP1,'Expenditure Breakdown'!$H$6:$H$174, "&lt;"&amp;BQ1)</f>
        <v>0</v>
      </c>
      <c r="BQ5" s="201">
        <f>SUMIFS('Expenditure Breakdown'!$G$6:$G$174, 'Expenditure Breakdown'!$H$6:$H$174, "&gt;="&amp;BQ1,'Expenditure Breakdown'!$H$6:$H$174, "&lt;"&amp;BR1)</f>
        <v>0</v>
      </c>
      <c r="BR5" s="201">
        <f>SUMIFS('Expenditure Breakdown'!$G$6:$G$174, 'Expenditure Breakdown'!$H$6:$H$174, "&gt;="&amp;BR1,'Expenditure Breakdown'!$H$6:$H$174, "&lt;"&amp;BS1)</f>
        <v>0</v>
      </c>
      <c r="BS5" s="201">
        <f>SUMIFS('Expenditure Breakdown'!$G$6:$G$174, 'Expenditure Breakdown'!$H$6:$H$174, "&gt;="&amp;BS1,'Expenditure Breakdown'!$H$6:$H$174, "&lt;"&amp;BT1)</f>
        <v>0</v>
      </c>
      <c r="BT5" s="201">
        <f>SUMIFS('Expenditure Breakdown'!$G$6:$G$174, 'Expenditure Breakdown'!$H$6:$H$174, "&gt;="&amp;BT1,'Expenditure Breakdown'!$H$6:$H$174, "&lt;"&amp;BU1)</f>
        <v>0</v>
      </c>
      <c r="BU5" s="201">
        <f>SUMIFS('Expenditure Breakdown'!$G$6:$G$174, 'Expenditure Breakdown'!$H$6:$H$174, "&gt;="&amp;BU1,'Expenditure Breakdown'!$H$6:$H$174, "&lt;"&amp;BV1)</f>
        <v>0</v>
      </c>
      <c r="BV5" s="201">
        <f>SUMIFS('Expenditure Breakdown'!$G$6:$G$174, 'Expenditure Breakdown'!$H$6:$H$174, "&gt;="&amp;BV1,'Expenditure Breakdown'!$H$6:$H$174, "&lt;"&amp;BW1)</f>
        <v>0</v>
      </c>
      <c r="BW5" s="201">
        <f>SUMIFS('Expenditure Breakdown'!$G$6:$G$174, 'Expenditure Breakdown'!$H$6:$H$174, "&gt;="&amp;BW1,'Expenditure Breakdown'!$H$6:$H$174, "&lt;"&amp;BX1)</f>
        <v>0</v>
      </c>
      <c r="BX5" s="201">
        <f>SUMIFS('Expenditure Breakdown'!$G$6:$G$174, 'Expenditure Breakdown'!$H$6:$H$174, "&gt;="&amp;BX1,'Expenditure Breakdown'!$H$6:$H$174, "&lt;"&amp;BY1)</f>
        <v>0</v>
      </c>
      <c r="BY5" s="201">
        <f>SUMIFS('Expenditure Breakdown'!$G$6:$G$174, 'Expenditure Breakdown'!$H$6:$H$174, "&gt;="&amp;BY1,'Expenditure Breakdown'!$H$6:$H$174, "&lt;"&amp;BZ1)</f>
        <v>0</v>
      </c>
      <c r="BZ5" s="201">
        <f>SUMIFS('Expenditure Breakdown'!$G$6:$G$174, 'Expenditure Breakdown'!$H$6:$H$174, "&gt;="&amp;BZ1,'Expenditure Breakdown'!$H$6:$H$174, "&lt;"&amp;CA1)</f>
        <v>0</v>
      </c>
      <c r="CA5" s="201">
        <f>SUMIFS('Expenditure Breakdown'!$G$6:$G$174, 'Expenditure Breakdown'!$H$6:$H$174, "&gt;="&amp;CA1,'Expenditure Breakdown'!$H$6:$H$174, "&lt;"&amp;CB1)</f>
        <v>0</v>
      </c>
      <c r="CB5" s="201">
        <f>SUMIFS('Expenditure Breakdown'!$G$6:$G$174, 'Expenditure Breakdown'!$H$6:$H$174, "&gt;="&amp;CB1,'Expenditure Breakdown'!$H$6:$H$174, "&lt;"&amp;CC1)</f>
        <v>0</v>
      </c>
      <c r="CC5" s="201">
        <f>SUMIFS('Expenditure Breakdown'!$G$6:$G$174, 'Expenditure Breakdown'!$H$6:$H$174, "&gt;="&amp;CC1,'Expenditure Breakdown'!$H$6:$H$174, "&lt;"&amp;CD1)</f>
        <v>0</v>
      </c>
      <c r="CD5" s="201">
        <f>SUMIFS('Expenditure Breakdown'!$G$6:$G$174, 'Expenditure Breakdown'!$H$6:$H$174, "&gt;="&amp;CD1,'Expenditure Breakdown'!$H$6:$H$174, "&lt;"&amp;CE1)</f>
        <v>0</v>
      </c>
      <c r="CE5" s="201">
        <f>SUMIFS('Expenditure Breakdown'!$G$6:$G$174, 'Expenditure Breakdown'!$H$6:$H$174, "&gt;="&amp;CE1,'Expenditure Breakdown'!$H$6:$H$174, "&lt;"&amp;CF1)</f>
        <v>0</v>
      </c>
      <c r="CF5" s="201">
        <f>SUMIFS('Expenditure Breakdown'!$G$6:$G$174, 'Expenditure Breakdown'!$H$6:$H$174, "&gt;="&amp;CF1,'Expenditure Breakdown'!$H$6:$H$174, "&lt;"&amp;CG1)</f>
        <v>0</v>
      </c>
      <c r="CG5" s="201">
        <f>SUMIFS('Expenditure Breakdown'!$G$6:$G$174, 'Expenditure Breakdown'!$H$6:$H$174, "&gt;="&amp;CG1,'Expenditure Breakdown'!$H$6:$H$174, "&lt;"&amp;CH1)</f>
        <v>0</v>
      </c>
      <c r="CH5" s="201">
        <f>SUMIFS('Expenditure Breakdown'!$G$6:$G$174, 'Expenditure Breakdown'!$H$6:$H$174, "&gt;="&amp;CH1,'Expenditure Breakdown'!$H$6:$H$174, "&lt;"&amp;CI1)</f>
        <v>0</v>
      </c>
      <c r="CI5" s="201">
        <f>SUMIFS('Expenditure Breakdown'!$G$6:$G$174, 'Expenditure Breakdown'!$H$6:$H$174, "&gt;="&amp;CI1,'Expenditure Breakdown'!$H$6:$H$174, "&lt;"&amp;CJ1)</f>
        <v>0</v>
      </c>
      <c r="CJ5" s="201">
        <f>SUMIFS('Expenditure Breakdown'!$G$6:$G$174, 'Expenditure Breakdown'!$H$6:$H$174, "&gt;="&amp;CJ1,'Expenditure Breakdown'!$H$6:$H$174, "&lt;"&amp;CK1)</f>
        <v>0</v>
      </c>
      <c r="CK5" s="201">
        <f>SUMIFS('Expenditure Breakdown'!$G$6:$G$174, 'Expenditure Breakdown'!$H$6:$H$174, "&gt;="&amp;CK1,'Expenditure Breakdown'!$H$6:$H$174, "&lt;"&amp;CL1)</f>
        <v>0</v>
      </c>
      <c r="CL5" s="201">
        <f>SUMIFS('Expenditure Breakdown'!$G$6:$G$174, 'Expenditure Breakdown'!$H$6:$H$174, "&gt;="&amp;CL1,'Expenditure Breakdown'!$H$6:$H$174, "&lt;"&amp;CM1)</f>
        <v>0</v>
      </c>
      <c r="CM5" s="201">
        <f>SUMIFS('Expenditure Breakdown'!$G$6:$G$174, 'Expenditure Breakdown'!$H$6:$H$174, "&gt;="&amp;CM1,'Expenditure Breakdown'!$H$6:$H$174, "&lt;"&amp;CN1)</f>
        <v>0</v>
      </c>
      <c r="CN5" s="201">
        <f>SUMIFS('Expenditure Breakdown'!$G$6:$G$174, 'Expenditure Breakdown'!$H$6:$H$174, "&gt;="&amp;CN1,'Expenditure Breakdown'!$H$6:$H$174, "&lt;"&amp;CO1)</f>
        <v>0</v>
      </c>
      <c r="CO5" s="201">
        <f>SUMIFS('Expenditure Breakdown'!$G$6:$G$174, 'Expenditure Breakdown'!$H$6:$H$174, "&gt;="&amp;CO1,'Expenditure Breakdown'!$H$6:$H$174, "&lt;"&amp;CP1)</f>
        <v>0</v>
      </c>
      <c r="CP5" s="201">
        <f>SUMIFS('Expenditure Breakdown'!$G$6:$G$174, 'Expenditure Breakdown'!$H$6:$H$174, "&gt;="&amp;CP1,'Expenditure Breakdown'!$H$6:$H$174, "&lt;"&amp;CQ1)</f>
        <v>0</v>
      </c>
      <c r="CQ5" s="201">
        <f>SUMIFS('Expenditure Breakdown'!$G$6:$G$174, 'Expenditure Breakdown'!$H$6:$H$174, "&gt;="&amp;CQ1,'Expenditure Breakdown'!$H$6:$H$174, "&lt;"&amp;CR1)</f>
        <v>0</v>
      </c>
      <c r="CR5" s="201">
        <f>SUMIFS('Expenditure Breakdown'!$G$6:$G$174, 'Expenditure Breakdown'!$H$6:$H$174, "&gt;="&amp;CR1,'Expenditure Breakdown'!$H$6:$H$174, "&lt;"&amp;CS1)</f>
        <v>0</v>
      </c>
      <c r="CS5" s="201">
        <f>SUMIFS('Expenditure Breakdown'!$G$6:$G$174, 'Expenditure Breakdown'!$H$6:$H$174, "&gt;="&amp;CS1,'Expenditure Breakdown'!$H$6:$H$174, "&lt;"&amp;CT1)</f>
        <v>0</v>
      </c>
      <c r="CT5" s="201">
        <f>SUMIFS('Expenditure Breakdown'!$G$6:$G$174, 'Expenditure Breakdown'!$H$6:$H$174, "&gt;="&amp;CT1,'Expenditure Breakdown'!$H$6:$H$174, "&lt;"&amp;CU1)</f>
        <v>0</v>
      </c>
      <c r="CU5" s="201">
        <f>SUMIFS('Expenditure Breakdown'!$G$6:$G$174, 'Expenditure Breakdown'!$H$6:$H$174, "&gt;="&amp;CU1,'Expenditure Breakdown'!$H$6:$H$174, "&lt;"&amp;CV1)</f>
        <v>0</v>
      </c>
      <c r="CV5" s="201">
        <f>SUMIFS('Expenditure Breakdown'!$G$6:$G$174, 'Expenditure Breakdown'!$H$6:$H$174, "&gt;="&amp;CV1,'Expenditure Breakdown'!$H$6:$H$174, "&lt;"&amp;CW1)</f>
        <v>0</v>
      </c>
      <c r="CW5" s="201">
        <f>SUMIFS('Expenditure Breakdown'!$G$6:$G$174, 'Expenditure Breakdown'!$H$6:$H$174, "&gt;="&amp;CW1,'Expenditure Breakdown'!$H$6:$H$174, "&lt;"&amp;CX1)</f>
        <v>0</v>
      </c>
      <c r="CX5" s="201">
        <f>SUMIFS('Expenditure Breakdown'!$G$6:$G$174, 'Expenditure Breakdown'!$H$6:$H$174, "&gt;="&amp;CX1,'Expenditure Breakdown'!$H$6:$H$174, "&lt;"&amp;CY1)</f>
        <v>0</v>
      </c>
      <c r="CY5" s="201">
        <f>SUMIFS('Expenditure Breakdown'!$G$6:$G$174, 'Expenditure Breakdown'!$H$6:$H$174, "&gt;="&amp;CY1,'Expenditure Breakdown'!$H$6:$H$174, "&lt;"&amp;CZ1)</f>
        <v>0</v>
      </c>
      <c r="CZ5" s="201">
        <f>SUMIFS('Expenditure Breakdown'!$G$6:$G$174, 'Expenditure Breakdown'!$H$6:$H$174, "&gt;="&amp;CZ1,'Expenditure Breakdown'!$H$6:$H$174, "&lt;"&amp;DA1)</f>
        <v>0</v>
      </c>
      <c r="DA5" s="201">
        <f>SUMIFS('Expenditure Breakdown'!$G$6:$G$174, 'Expenditure Breakdown'!$H$6:$H$174, "&gt;="&amp;DA1,'Expenditure Breakdown'!$H$6:$H$174, "&lt;"&amp;DB1)</f>
        <v>0</v>
      </c>
      <c r="DB5" s="201">
        <f>SUMIFS('Expenditure Breakdown'!$G$6:$G$174, 'Expenditure Breakdown'!$H$6:$H$174, "&gt;="&amp;DB1,'Expenditure Breakdown'!$H$6:$H$174, "&lt;"&amp;DC1)</f>
        <v>0</v>
      </c>
      <c r="DC5" s="201">
        <f>SUMIFS('Expenditure Breakdown'!$G$6:$G$174, 'Expenditure Breakdown'!$H$6:$H$174, "&gt;="&amp;DC1,'Expenditure Breakdown'!$H$6:$H$174, "&lt;"&amp;DD1)</f>
        <v>0</v>
      </c>
      <c r="DD5" s="201">
        <f>SUMIFS('Expenditure Breakdown'!$G$6:$G$174, 'Expenditure Breakdown'!$H$6:$H$174, "&gt;="&amp;DD1,'Expenditure Breakdown'!$H$6:$H$174, "&lt;"&amp;DE1)</f>
        <v>0</v>
      </c>
      <c r="DE5" s="201">
        <f>SUMIFS('Expenditure Breakdown'!$G$6:$G$174, 'Expenditure Breakdown'!$H$6:$H$174, "&gt;="&amp;DE1,'Expenditure Breakdown'!$H$6:$H$174, "&lt;"&amp;DF1)</f>
        <v>0</v>
      </c>
      <c r="DF5" s="201">
        <f>SUMIFS('Expenditure Breakdown'!$G$6:$G$174, 'Expenditure Breakdown'!$H$6:$H$174, "&gt;="&amp;DF1,'Expenditure Breakdown'!$H$6:$H$174, "&lt;"&amp;DG1)</f>
        <v>0</v>
      </c>
      <c r="DG5" s="201">
        <f>SUMIFS('Expenditure Breakdown'!$G$6:$G$174, 'Expenditure Breakdown'!$H$6:$H$174, "&gt;="&amp;DG1,'Expenditure Breakdown'!$H$6:$H$174, "&lt;"&amp;DH1)</f>
        <v>0</v>
      </c>
      <c r="DH5" s="201">
        <f>SUMIFS('Expenditure Breakdown'!$G$6:$G$174, 'Expenditure Breakdown'!$H$6:$H$174, "&gt;="&amp;DH1,'Expenditure Breakdown'!$H$6:$H$174, "&lt;"&amp;DI1)</f>
        <v>0</v>
      </c>
      <c r="DI5" s="201">
        <f>SUMIFS('Expenditure Breakdown'!$G$6:$G$174, 'Expenditure Breakdown'!$H$6:$H$174, "&gt;="&amp;DI1,'Expenditure Breakdown'!$H$6:$H$174, "&lt;"&amp;DJ1)</f>
        <v>0</v>
      </c>
      <c r="DJ5" s="201">
        <f>SUMIFS('Expenditure Breakdown'!$G$6:$G$174, 'Expenditure Breakdown'!$H$6:$H$174, "&gt;="&amp;DJ1,'Expenditure Breakdown'!$H$6:$H$174, "&lt;"&amp;DK1)</f>
        <v>0</v>
      </c>
      <c r="DK5" s="201">
        <f>SUMIFS('Expenditure Breakdown'!$G$6:$G$174, 'Expenditure Breakdown'!$H$6:$H$174, "&gt;="&amp;DK1,'Expenditure Breakdown'!$H$6:$H$174, "&lt;"&amp;DL1)</f>
        <v>0</v>
      </c>
      <c r="DL5" s="201">
        <f>SUMIFS('Expenditure Breakdown'!$G$6:$G$174, 'Expenditure Breakdown'!$H$6:$H$174, "&gt;="&amp;DL1,'Expenditure Breakdown'!$H$6:$H$174, "&lt;"&amp;DM1)</f>
        <v>0</v>
      </c>
      <c r="DM5" s="201">
        <f>SUMIFS('Expenditure Breakdown'!$G$6:$G$174, 'Expenditure Breakdown'!$H$6:$H$174, "&gt;="&amp;DM1,'Expenditure Breakdown'!$H$6:$H$174, "&lt;"&amp;DN1)</f>
        <v>0</v>
      </c>
      <c r="DN5" s="201">
        <f>SUMIFS('Expenditure Breakdown'!$G$6:$G$174, 'Expenditure Breakdown'!$H$6:$H$174, "&gt;="&amp;DN1,'Expenditure Breakdown'!$H$6:$H$174, "&lt;"&amp;DO1)</f>
        <v>0</v>
      </c>
      <c r="DO5" s="201">
        <f>SUMIFS('Expenditure Breakdown'!$G$6:$G$174, 'Expenditure Breakdown'!$H$6:$H$174, "&gt;="&amp;DO1,'Expenditure Breakdown'!$H$6:$H$174, "&lt;"&amp;DP1)</f>
        <v>0</v>
      </c>
      <c r="DP5" s="201">
        <f>SUMIFS('Expenditure Breakdown'!$G$6:$G$174, 'Expenditure Breakdown'!$H$6:$H$174, "&gt;="&amp;DP1,'Expenditure Breakdown'!$H$6:$H$174, "&lt;"&amp;DQ1)</f>
        <v>0</v>
      </c>
      <c r="DQ5" s="201">
        <f>SUMIFS('Expenditure Breakdown'!$G$6:$G$174, 'Expenditure Breakdown'!$H$6:$H$174, "&gt;="&amp;DQ1,'Expenditure Breakdown'!$H$6:$H$174, "&lt;"&amp;DR1)</f>
        <v>0</v>
      </c>
      <c r="DR5" s="201">
        <f>SUMIFS('Expenditure Breakdown'!$G$6:$G$174, 'Expenditure Breakdown'!$H$6:$H$174, "&gt;="&amp;DR1,'Expenditure Breakdown'!$H$6:$H$174, "&lt;"&amp;DS1)</f>
        <v>0</v>
      </c>
      <c r="DS5" s="201">
        <f>SUMIFS('Expenditure Breakdown'!$G$6:$G$174, 'Expenditure Breakdown'!$H$6:$H$174, "&gt;="&amp;DS1,'Expenditure Breakdown'!$H$6:$H$174, "&lt;"&amp;DT1)</f>
        <v>0</v>
      </c>
      <c r="DT5" s="201">
        <f>SUMIFS('Expenditure Breakdown'!$G$6:$G$174, 'Expenditure Breakdown'!$H$6:$H$174, "&gt;="&amp;DT1,'Expenditure Breakdown'!$H$6:$H$174, "&lt;"&amp;DU1)</f>
        <v>0</v>
      </c>
      <c r="DU5" s="201">
        <f>SUMIFS('Expenditure Breakdown'!$G$6:$G$174, 'Expenditure Breakdown'!$H$6:$H$174, "&gt;="&amp;DU1,'Expenditure Breakdown'!$H$6:$H$174, "&lt;"&amp;DV1)</f>
        <v>0</v>
      </c>
      <c r="DV5" s="201">
        <f>SUMIFS('Expenditure Breakdown'!$G$6:$G$174, 'Expenditure Breakdown'!$H$6:$H$174, "&gt;="&amp;DV1,'Expenditure Breakdown'!$H$6:$H$174, "&lt;"&amp;DW1)</f>
        <v>0</v>
      </c>
      <c r="DW5" s="201">
        <f>SUMIFS('Expenditure Breakdown'!$G$6:$G$174, 'Expenditure Breakdown'!$H$6:$H$174, "&gt;="&amp;DW1,'Expenditure Breakdown'!$H$6:$H$174, "&lt;"&amp;DX1)</f>
        <v>0</v>
      </c>
      <c r="DX5" s="201">
        <f>SUMIFS('Expenditure Breakdown'!$G$6:$G$174, 'Expenditure Breakdown'!$H$6:$H$174, "&gt;="&amp;DX1,'Expenditure Breakdown'!$H$6:$H$174, "&lt;"&amp;DY1)</f>
        <v>0</v>
      </c>
      <c r="DY5" s="201">
        <f>SUMIFS('Expenditure Breakdown'!$G$6:$G$174, 'Expenditure Breakdown'!$H$6:$H$174, "&gt;="&amp;DY1,'Expenditure Breakdown'!$H$6:$H$174, "&lt;"&amp;DZ1)</f>
        <v>0</v>
      </c>
      <c r="DZ5" s="201">
        <f>SUMIFS('Expenditure Breakdown'!$G$6:$G$174, 'Expenditure Breakdown'!$H$6:$H$174, "&gt;="&amp;DZ1,'Expenditure Breakdown'!$H$6:$H$174, "&lt;"&amp;EA1)</f>
        <v>0</v>
      </c>
      <c r="EA5" s="201">
        <f>SUMIFS('Expenditure Breakdown'!$G$6:$G$174, 'Expenditure Breakdown'!$H$6:$H$174, "&gt;="&amp;EA1,'Expenditure Breakdown'!$H$6:$H$174, "&lt;"&amp;EB1)</f>
        <v>0</v>
      </c>
      <c r="EB5" s="201">
        <f>SUMIFS('Expenditure Breakdown'!$G$6:$G$174, 'Expenditure Breakdown'!$H$6:$H$174, "&gt;="&amp;EB1,'Expenditure Breakdown'!$H$6:$H$174, "&lt;"&amp;EC1)</f>
        <v>0</v>
      </c>
      <c r="EC5" s="201">
        <f>SUMIFS('Expenditure Breakdown'!$G$6:$G$174, 'Expenditure Breakdown'!$H$6:$H$174, "&gt;="&amp;EC1,'Expenditure Breakdown'!$H$6:$H$174, "&lt;"&amp;ED1)</f>
        <v>0</v>
      </c>
      <c r="ED5" s="201">
        <f>SUMIFS('Expenditure Breakdown'!$G$6:$G$174, 'Expenditure Breakdown'!$H$6:$H$174, "&gt;="&amp;ED1,'Expenditure Breakdown'!$H$6:$H$174, "&lt;"&amp;EE1)</f>
        <v>0</v>
      </c>
      <c r="EE5" s="201">
        <f>SUMIFS('Expenditure Breakdown'!$G$6:$G$174, 'Expenditure Breakdown'!$H$6:$H$174, "&gt;="&amp;EE1,'Expenditure Breakdown'!$H$6:$H$174, "&lt;"&amp;EF1)</f>
        <v>0</v>
      </c>
      <c r="EF5" s="201">
        <f>SUMIFS('Expenditure Breakdown'!$G$6:$G$174, 'Expenditure Breakdown'!$H$6:$H$174, "&gt;="&amp;EF1,'Expenditure Breakdown'!$H$6:$H$174, "&lt;"&amp;EG1)</f>
        <v>0</v>
      </c>
      <c r="EG5" s="201">
        <f>SUMIFS('Expenditure Breakdown'!$G$6:$G$174, 'Expenditure Breakdown'!$H$6:$H$174, "&gt;="&amp;EG1,'Expenditure Breakdown'!$H$6:$H$174, "&lt;"&amp;EH1)</f>
        <v>0</v>
      </c>
      <c r="EH5" s="201">
        <f>SUMIFS('Expenditure Breakdown'!$G$6:$G$174, 'Expenditure Breakdown'!$H$6:$H$174, "&gt;="&amp;EH1,'Expenditure Breakdown'!$H$6:$H$174, "&lt;"&amp;EI1)</f>
        <v>0</v>
      </c>
      <c r="EI5" s="201">
        <f>SUMIFS('Expenditure Breakdown'!$G$6:$G$174, 'Expenditure Breakdown'!$H$6:$H$174, "&gt;="&amp;EI1,'Expenditure Breakdown'!$H$6:$H$174, "&lt;"&amp;EJ1)</f>
        <v>0</v>
      </c>
      <c r="EJ5" s="201">
        <f>SUMIFS('Expenditure Breakdown'!$G$6:$G$174, 'Expenditure Breakdown'!$H$6:$H$174, "&gt;="&amp;EJ1,'Expenditure Breakdown'!$H$6:$H$174, "&lt;"&amp;EK1)</f>
        <v>0</v>
      </c>
      <c r="EK5" s="201">
        <f>SUMIFS('Expenditure Breakdown'!$G$6:$G$174, 'Expenditure Breakdown'!$H$6:$H$174, "&gt;="&amp;EK1,'Expenditure Breakdown'!$H$6:$H$174, "&lt;"&amp;EL1)</f>
        <v>0</v>
      </c>
      <c r="EL5" s="201">
        <f>SUMIFS('Expenditure Breakdown'!$G$6:$G$174, 'Expenditure Breakdown'!$H$6:$H$174, "&gt;="&amp;EL1,'Expenditure Breakdown'!$H$6:$H$174, "&lt;"&amp;EM1)</f>
        <v>0</v>
      </c>
      <c r="EM5" s="201">
        <f>SUMIFS('Expenditure Breakdown'!$G$6:$G$174, 'Expenditure Breakdown'!$H$6:$H$174, "&gt;="&amp;EM1,'Expenditure Breakdown'!$H$6:$H$174, "&lt;"&amp;EN1)</f>
        <v>0</v>
      </c>
      <c r="EN5" s="201">
        <f>SUMIFS('Expenditure Breakdown'!$G$6:$G$174, 'Expenditure Breakdown'!$H$6:$H$174, "&gt;="&amp;EN1,'Expenditure Breakdown'!$H$6:$H$174, "&lt;"&amp;EO1)</f>
        <v>0</v>
      </c>
      <c r="EO5" s="201">
        <f>SUMIFS('Expenditure Breakdown'!$G$6:$G$174, 'Expenditure Breakdown'!$H$6:$H$174, "&gt;="&amp;EO1,'Expenditure Breakdown'!$H$6:$H$174, "&lt;"&amp;EP1)</f>
        <v>0</v>
      </c>
      <c r="EP5" s="201">
        <f>SUMIFS('Expenditure Breakdown'!$G$6:$G$174, 'Expenditure Breakdown'!$H$6:$H$174, "&gt;="&amp;EP1,'Expenditure Breakdown'!$H$6:$H$174, "&lt;"&amp;EQ1)</f>
        <v>0</v>
      </c>
      <c r="EQ5" s="201">
        <f>SUMIFS('Expenditure Breakdown'!$G$6:$G$174, 'Expenditure Breakdown'!$H$6:$H$174, "&gt;="&amp;EQ1,'Expenditure Breakdown'!$H$6:$H$174, "&lt;"&amp;ER1)</f>
        <v>0</v>
      </c>
      <c r="ER5" s="201">
        <f>SUMIFS('Expenditure Breakdown'!$G$6:$G$174, 'Expenditure Breakdown'!$H$6:$H$174, "&gt;="&amp;ER1,'Expenditure Breakdown'!$H$6:$H$174, "&lt;"&amp;ES1)</f>
        <v>0</v>
      </c>
      <c r="ES5" s="201">
        <f>SUMIFS('Expenditure Breakdown'!$G$6:$G$174, 'Expenditure Breakdown'!$H$6:$H$174, "&gt;="&amp;ES1,'Expenditure Breakdown'!$H$6:$H$174, "&lt;"&amp;ET1)</f>
        <v>0</v>
      </c>
      <c r="ET5" s="201">
        <f>SUMIFS('Expenditure Breakdown'!$G$6:$G$174, 'Expenditure Breakdown'!$H$6:$H$174, "&gt;="&amp;ET1,'Expenditure Breakdown'!$H$6:$H$174, "&lt;"&amp;EU1)</f>
        <v>0</v>
      </c>
      <c r="EU5" s="201">
        <f>SUMIFS('Expenditure Breakdown'!$G$6:$G$174, 'Expenditure Breakdown'!$H$6:$H$174, "&gt;="&amp;EU1,'Expenditure Breakdown'!$H$6:$H$174, "&lt;"&amp;EV1)</f>
        <v>0</v>
      </c>
      <c r="EV5" s="201">
        <f>SUMIFS('Expenditure Breakdown'!$G$6:$G$174, 'Expenditure Breakdown'!$H$6:$H$174, "&gt;="&amp;EV1,'Expenditure Breakdown'!$H$6:$H$174, "&lt;"&amp;EW1)</f>
        <v>0</v>
      </c>
      <c r="EW5" s="201">
        <f>SUMIFS('Expenditure Breakdown'!$G$6:$G$174, 'Expenditure Breakdown'!$H$6:$H$174, "&gt;="&amp;EW1,'Expenditure Breakdown'!$H$6:$H$174, "&lt;"&amp;EX1)</f>
        <v>0</v>
      </c>
      <c r="EX5" s="201">
        <f>SUMIFS('Expenditure Breakdown'!$G$6:$G$174, 'Expenditure Breakdown'!$H$6:$H$174, "&gt;="&amp;EX1,'Expenditure Breakdown'!$H$6:$H$174, "&lt;"&amp;EY1)</f>
        <v>0</v>
      </c>
      <c r="EY5" s="201">
        <f>SUMIFS('Expenditure Breakdown'!$G$6:$G$174, 'Expenditure Breakdown'!$H$6:$H$174, "&gt;="&amp;EY1,'Expenditure Breakdown'!$H$6:$H$174, "&lt;"&amp;EZ1)</f>
        <v>0</v>
      </c>
      <c r="EZ5" s="201">
        <f>SUMIFS('Expenditure Breakdown'!$G$6:$G$174, 'Expenditure Breakdown'!$H$6:$H$174, "&gt;="&amp;EZ1,'Expenditure Breakdown'!$H$6:$H$174, "&lt;"&amp;FA1)</f>
        <v>0</v>
      </c>
      <c r="FA5" s="201">
        <f>SUMIFS('Expenditure Breakdown'!$G$6:$G$174, 'Expenditure Breakdown'!$H$6:$H$174, "&gt;="&amp;FA1,'Expenditure Breakdown'!$H$6:$H$174, "&lt;"&amp;FB1)</f>
        <v>0</v>
      </c>
      <c r="FB5" s="201">
        <f>SUMIFS('Expenditure Breakdown'!$G$6:$G$174, 'Expenditure Breakdown'!$H$6:$H$174, "&gt;="&amp;FB1,'Expenditure Breakdown'!$H$6:$H$174, "&lt;"&amp;FC1)</f>
        <v>0</v>
      </c>
      <c r="FC5" s="201">
        <f>SUMIFS('Expenditure Breakdown'!$G$6:$G$174, 'Expenditure Breakdown'!$H$6:$H$174, "&gt;="&amp;FC1,'Expenditure Breakdown'!$H$6:$H$174, "&lt;"&amp;FD1)</f>
        <v>0</v>
      </c>
      <c r="FD5" s="201">
        <f>SUMIFS('Expenditure Breakdown'!$G$6:$G$174, 'Expenditure Breakdown'!$H$6:$H$174, "&gt;="&amp;FD1,'Expenditure Breakdown'!$H$6:$H$174, "&lt;"&amp;FE1)</f>
        <v>0</v>
      </c>
      <c r="FE5" s="201">
        <f>SUMIFS('Expenditure Breakdown'!$G$6:$G$174, 'Expenditure Breakdown'!$H$6:$H$174, "&gt;="&amp;FE1,'Expenditure Breakdown'!$H$6:$H$174, "&lt;"&amp;FF1)</f>
        <v>0</v>
      </c>
      <c r="FF5" s="201">
        <f>SUMIFS('Expenditure Breakdown'!$G$6:$G$174, 'Expenditure Breakdown'!$H$6:$H$174, "&gt;="&amp;FF1,'Expenditure Breakdown'!$H$6:$H$174, "&lt;"&amp;FG1)</f>
        <v>0</v>
      </c>
      <c r="FG5" s="201">
        <f>SUMIFS('Expenditure Breakdown'!$G$6:$G$174, 'Expenditure Breakdown'!$H$6:$H$174, "&gt;="&amp;FG1,'Expenditure Breakdown'!$H$6:$H$174, "&lt;"&amp;FH1)</f>
        <v>0</v>
      </c>
      <c r="FH5" s="201">
        <f>SUMIFS('Expenditure Breakdown'!$G$6:$G$174, 'Expenditure Breakdown'!$H$6:$H$174, "&gt;="&amp;FH1,'Expenditure Breakdown'!$H$6:$H$174, "&lt;"&amp;FI1)</f>
        <v>0</v>
      </c>
      <c r="FI5" s="201">
        <f>SUMIFS('Expenditure Breakdown'!$G$6:$G$174, 'Expenditure Breakdown'!$H$6:$H$174, "&gt;="&amp;FI1,'Expenditure Breakdown'!$H$6:$H$174, "&lt;"&amp;FJ1)</f>
        <v>0</v>
      </c>
      <c r="FJ5" s="201">
        <f>SUMIFS('Expenditure Breakdown'!$G$6:$G$174, 'Expenditure Breakdown'!$H$6:$H$174, "&gt;="&amp;FJ1,'Expenditure Breakdown'!$H$6:$H$174, "&lt;"&amp;FK1)</f>
        <v>0</v>
      </c>
      <c r="FK5" s="201">
        <f>SUMIFS('Expenditure Breakdown'!$G$6:$G$174, 'Expenditure Breakdown'!$H$6:$H$174, "&gt;="&amp;FK1,'Expenditure Breakdown'!$H$6:$H$174, "&lt;"&amp;FL1)</f>
        <v>0</v>
      </c>
      <c r="FL5" s="201">
        <f>SUMIFS('Expenditure Breakdown'!$G$6:$G$174, 'Expenditure Breakdown'!$H$6:$H$174, "&gt;="&amp;FL1,'Expenditure Breakdown'!$H$6:$H$174, "&lt;"&amp;FM1)</f>
        <v>0</v>
      </c>
      <c r="FM5" s="201">
        <f>SUMIFS('Expenditure Breakdown'!$G$6:$G$174, 'Expenditure Breakdown'!$H$6:$H$174, "&gt;="&amp;FM1,'Expenditure Breakdown'!$H$6:$H$174, "&lt;"&amp;FN1)</f>
        <v>0</v>
      </c>
      <c r="FN5" s="201">
        <f>SUMIFS('Expenditure Breakdown'!$G$6:$G$174, 'Expenditure Breakdown'!$H$6:$H$174, "&gt;="&amp;FN1,'Expenditure Breakdown'!$H$6:$H$174, "&lt;"&amp;FO1)</f>
        <v>0</v>
      </c>
      <c r="FO5" s="201">
        <f>SUMIFS('Expenditure Breakdown'!$G$6:$G$174, 'Expenditure Breakdown'!$H$6:$H$174, "&gt;="&amp;FO1,'Expenditure Breakdown'!$H$6:$H$174, "&lt;"&amp;FP1)</f>
        <v>0</v>
      </c>
      <c r="FP5" s="201">
        <f>SUMIFS('Expenditure Breakdown'!$G$6:$G$174, 'Expenditure Breakdown'!$H$6:$H$174, "&gt;="&amp;FP1,'Expenditure Breakdown'!$H$6:$H$174, "&lt;"&amp;FQ1)</f>
        <v>0</v>
      </c>
      <c r="FQ5" s="201">
        <f>SUMIFS('Expenditure Breakdown'!$G$6:$G$174, 'Expenditure Breakdown'!$H$6:$H$174, "&gt;="&amp;FQ1,'Expenditure Breakdown'!$H$6:$H$174, "&lt;"&amp;FR1)</f>
        <v>0</v>
      </c>
      <c r="FR5" s="201">
        <f>SUMIFS('Expenditure Breakdown'!$G$6:$G$174, 'Expenditure Breakdown'!$H$6:$H$174, "&gt;="&amp;FR1,'Expenditure Breakdown'!$H$6:$H$174, "&lt;"&amp;FS1)</f>
        <v>0</v>
      </c>
      <c r="FS5" s="201">
        <f>SUMIFS('Expenditure Breakdown'!$G$6:$G$174, 'Expenditure Breakdown'!$H$6:$H$174, "&gt;="&amp;FS1,'Expenditure Breakdown'!$H$6:$H$174, "&lt;"&amp;FT1)</f>
        <v>0</v>
      </c>
      <c r="FT5" s="201">
        <f>SUMIFS('Expenditure Breakdown'!$G$6:$G$174, 'Expenditure Breakdown'!$H$6:$H$174, "&gt;="&amp;FT1,'Expenditure Breakdown'!$H$6:$H$174, "&lt;"&amp;FU1)</f>
        <v>0</v>
      </c>
      <c r="FU5" s="201">
        <f>SUMIFS('Expenditure Breakdown'!$G$6:$G$174, 'Expenditure Breakdown'!$H$6:$H$174, "&gt;="&amp;FU1,'Expenditure Breakdown'!$H$6:$H$174, "&lt;"&amp;FV1)</f>
        <v>0</v>
      </c>
      <c r="FV5" s="201">
        <f>SUMIFS('Expenditure Breakdown'!$G$6:$G$174, 'Expenditure Breakdown'!$H$6:$H$174, "&gt;="&amp;FV1,'Expenditure Breakdown'!$H$6:$H$174, "&lt;"&amp;FW1)</f>
        <v>0</v>
      </c>
      <c r="FW5" s="201">
        <f>SUMIFS('Expenditure Breakdown'!$G$6:$G$174, 'Expenditure Breakdown'!$H$6:$H$174, "&gt;="&amp;FW1,'Expenditure Breakdown'!$H$6:$H$174, "&lt;"&amp;FX1)</f>
        <v>0</v>
      </c>
      <c r="FX5" s="201">
        <f>SUMIFS('Expenditure Breakdown'!$G$6:$G$174, 'Expenditure Breakdown'!$H$6:$H$174, "&gt;="&amp;FX1,'Expenditure Breakdown'!$H$6:$H$174, "&lt;"&amp;FY1)</f>
        <v>0</v>
      </c>
      <c r="FY5" s="201">
        <f>SUMIFS('Expenditure Breakdown'!$G$6:$G$174, 'Expenditure Breakdown'!$H$6:$H$174, "&gt;="&amp;FY1,'Expenditure Breakdown'!$H$6:$H$174, "&lt;"&amp;FZ1)</f>
        <v>0</v>
      </c>
      <c r="FZ5" s="201">
        <f>SUMIFS('Expenditure Breakdown'!$G$6:$G$174, 'Expenditure Breakdown'!$H$6:$H$174, "&gt;="&amp;FZ1,'Expenditure Breakdown'!$H$6:$H$174, "&lt;"&amp;GA1)</f>
        <v>0</v>
      </c>
      <c r="GA5" s="201">
        <f>SUMIFS('Expenditure Breakdown'!$G$6:$G$174, 'Expenditure Breakdown'!$H$6:$H$174, "&gt;="&amp;GA1,'Expenditure Breakdown'!$H$6:$H$174, "&lt;"&amp;GB1)</f>
        <v>0</v>
      </c>
      <c r="GB5" s="201">
        <f>SUMIFS('Expenditure Breakdown'!$G$6:$G$174, 'Expenditure Breakdown'!$H$6:$H$174, "&gt;="&amp;GB1,'Expenditure Breakdown'!$H$6:$H$174, "&lt;"&amp;GC1)</f>
        <v>0</v>
      </c>
      <c r="GC5" s="201">
        <f>SUMIFS('Expenditure Breakdown'!$G$6:$G$174, 'Expenditure Breakdown'!$H$6:$H$174, "&gt;="&amp;GC1,'Expenditure Breakdown'!$H$6:$H$174, "&lt;"&amp;GD1)</f>
        <v>0</v>
      </c>
      <c r="GD5" s="201">
        <f>SUMIFS('Expenditure Breakdown'!$G$6:$G$174, 'Expenditure Breakdown'!$H$6:$H$174, "&gt;="&amp;GD1,'Expenditure Breakdown'!$H$6:$H$174, "&lt;"&amp;GE1)</f>
        <v>0</v>
      </c>
      <c r="GE5" s="201">
        <f>SUMIFS('Expenditure Breakdown'!$G$6:$G$174, 'Expenditure Breakdown'!$H$6:$H$174, "&gt;="&amp;GE1,'Expenditure Breakdown'!$H$6:$H$174, "&lt;"&amp;GF1)</f>
        <v>0</v>
      </c>
      <c r="GF5" s="201">
        <f>SUMIFS('Expenditure Breakdown'!$G$6:$G$174, 'Expenditure Breakdown'!$H$6:$H$174, "&gt;="&amp;GF1,'Expenditure Breakdown'!$H$6:$H$174, "&lt;"&amp;GG1)</f>
        <v>0</v>
      </c>
      <c r="GG5" s="201">
        <f>SUMIFS('Expenditure Breakdown'!$G$6:$G$174, 'Expenditure Breakdown'!$H$6:$H$174, "&gt;="&amp;GG1,'Expenditure Breakdown'!$H$6:$H$174, "&lt;"&amp;GH1)</f>
        <v>0</v>
      </c>
      <c r="GH5" s="201">
        <f>SUMIFS('Expenditure Breakdown'!$G$6:$G$174, 'Expenditure Breakdown'!$H$6:$H$174, "&gt;="&amp;GH1,'Expenditure Breakdown'!$H$6:$H$174, "&lt;"&amp;GI1)</f>
        <v>0</v>
      </c>
      <c r="GI5" s="201">
        <f>SUMIFS('Expenditure Breakdown'!$G$6:$G$174, 'Expenditure Breakdown'!$H$6:$H$174, "&gt;="&amp;GI1,'Expenditure Breakdown'!$H$6:$H$174, "&lt;"&amp;GJ1)</f>
        <v>0</v>
      </c>
      <c r="GJ5" s="201">
        <f>SUMIFS('Expenditure Breakdown'!$G$6:$G$174, 'Expenditure Breakdown'!$H$6:$H$174, "&gt;="&amp;GJ1,'Expenditure Breakdown'!$H$6:$H$174, "&lt;"&amp;GK1)</f>
        <v>0</v>
      </c>
      <c r="GK5" s="201">
        <f>SUMIFS('Expenditure Breakdown'!$G$6:$G$174, 'Expenditure Breakdown'!$H$6:$H$174, "&gt;="&amp;GK1,'Expenditure Breakdown'!$H$6:$H$174, "&lt;"&amp;GL1)</f>
        <v>0</v>
      </c>
      <c r="GL5" s="201">
        <f>SUMIFS('Expenditure Breakdown'!$G$6:$G$174, 'Expenditure Breakdown'!$H$6:$H$174, "&gt;="&amp;GL1,'Expenditure Breakdown'!$H$6:$H$174, "&lt;"&amp;GM1)</f>
        <v>0</v>
      </c>
      <c r="GM5" s="201">
        <f>SUMIFS('Expenditure Breakdown'!$G$6:$G$174, 'Expenditure Breakdown'!$H$6:$H$174, "&gt;="&amp;GM1,'Expenditure Breakdown'!$H$6:$H$174, "&lt;"&amp;GN1)</f>
        <v>0</v>
      </c>
      <c r="GN5" s="201">
        <f>SUMIFS('Expenditure Breakdown'!$G$6:$G$174, 'Expenditure Breakdown'!$H$6:$H$174, "&gt;="&amp;GN1,'Expenditure Breakdown'!$H$6:$H$174, "&lt;"&amp;GO1)</f>
        <v>0</v>
      </c>
      <c r="GO5" s="201">
        <f>SUMIFS('Expenditure Breakdown'!$G$6:$G$174, 'Expenditure Breakdown'!$H$6:$H$174, "&gt;="&amp;GO1,'Expenditure Breakdown'!$H$6:$H$174, "&lt;"&amp;GP1)</f>
        <v>0</v>
      </c>
      <c r="GP5" s="201">
        <f>SUMIFS('Expenditure Breakdown'!$G$6:$G$174, 'Expenditure Breakdown'!$H$6:$H$174, "&gt;="&amp;GP1,'Expenditure Breakdown'!$H$6:$H$174, "&lt;"&amp;GQ1)</f>
        <v>0</v>
      </c>
      <c r="GQ5" s="201">
        <f>SUMIFS('Expenditure Breakdown'!$G$6:$G$174, 'Expenditure Breakdown'!$H$6:$H$174, "&gt;="&amp;GQ1,'Expenditure Breakdown'!$H$6:$H$174, "&lt;"&amp;GR1)</f>
        <v>0</v>
      </c>
      <c r="GR5" s="201">
        <f>SUMIFS('Expenditure Breakdown'!$G$6:$G$174, 'Expenditure Breakdown'!$H$6:$H$174, "&gt;="&amp;GR1,'Expenditure Breakdown'!$H$6:$H$174, "&lt;"&amp;GS1)</f>
        <v>0</v>
      </c>
      <c r="GS5" s="201">
        <f>SUMIFS('Expenditure Breakdown'!$G$6:$G$174, 'Expenditure Breakdown'!$H$6:$H$174, "&gt;="&amp;GS1,'Expenditure Breakdown'!$H$6:$H$174, "&lt;"&amp;GT1)</f>
        <v>0</v>
      </c>
      <c r="GT5" s="201">
        <f>SUMIFS('Expenditure Breakdown'!$G$6:$G$174, 'Expenditure Breakdown'!$H$6:$H$174, "&gt;="&amp;GT1,'Expenditure Breakdown'!$H$6:$H$174, "&lt;"&amp;GU1)</f>
        <v>0</v>
      </c>
      <c r="GU5" s="201">
        <f>SUMIFS('Expenditure Breakdown'!$G$6:$G$174, 'Expenditure Breakdown'!$H$6:$H$174, "&gt;="&amp;GU1,'Expenditure Breakdown'!$H$6:$H$174, "&lt;"&amp;GV1)</f>
        <v>0</v>
      </c>
      <c r="GV5" s="201">
        <f>SUMIFS('Expenditure Breakdown'!$G$6:$G$174, 'Expenditure Breakdown'!$H$6:$H$174, "&gt;="&amp;GV1,'Expenditure Breakdown'!$H$6:$H$174, "&lt;"&amp;GW1)</f>
        <v>0</v>
      </c>
      <c r="GW5" s="201">
        <f>SUMIFS('Expenditure Breakdown'!$G$6:$G$174, 'Expenditure Breakdown'!$H$6:$H$174, "&gt;="&amp;GW1,'Expenditure Breakdown'!$H$6:$H$174, "&lt;"&amp;GX1)</f>
        <v>0</v>
      </c>
      <c r="GX5" s="201">
        <f>SUMIFS('Expenditure Breakdown'!$G$6:$G$174, 'Expenditure Breakdown'!$H$6:$H$174, "&gt;="&amp;GX1,'Expenditure Breakdown'!$H$6:$H$174, "&lt;"&amp;GY1)</f>
        <v>0</v>
      </c>
      <c r="GY5" s="201">
        <f>SUMIFS('Expenditure Breakdown'!$G$6:$G$174, 'Expenditure Breakdown'!$H$6:$H$174, "&gt;="&amp;GY1,'Expenditure Breakdown'!$H$6:$H$174, "&lt;"&amp;GZ1)</f>
        <v>0</v>
      </c>
      <c r="GZ5" s="201">
        <f>SUMIFS('Expenditure Breakdown'!$G$6:$G$174, 'Expenditure Breakdown'!$H$6:$H$174, "&gt;="&amp;GZ1,'Expenditure Breakdown'!$H$6:$H$174, "&lt;"&amp;HA1)</f>
        <v>0</v>
      </c>
      <c r="HA5" s="201">
        <f>SUMIFS('Expenditure Breakdown'!$G$6:$G$174, 'Expenditure Breakdown'!$H$6:$H$174, "&gt;="&amp;HA1,'Expenditure Breakdown'!$H$6:$H$174, "&lt;"&amp;HB1)</f>
        <v>0</v>
      </c>
      <c r="HB5" s="201">
        <f>SUMIFS('Expenditure Breakdown'!$G$6:$G$174, 'Expenditure Breakdown'!$H$6:$H$174, "&gt;="&amp;HB1,'Expenditure Breakdown'!$H$6:$H$174, "&lt;"&amp;HC1)</f>
        <v>0</v>
      </c>
      <c r="HC5" s="201">
        <f>SUMIFS('Expenditure Breakdown'!$G$6:$G$174, 'Expenditure Breakdown'!$H$6:$H$174, "&gt;="&amp;HC1,'Expenditure Breakdown'!$H$6:$H$174, "&lt;"&amp;HD1)</f>
        <v>0</v>
      </c>
      <c r="HD5" s="201">
        <f>SUMIFS('Expenditure Breakdown'!$G$6:$G$174, 'Expenditure Breakdown'!$H$6:$H$174, "&gt;="&amp;HD1,'Expenditure Breakdown'!$H$6:$H$174, "&lt;"&amp;HE1)</f>
        <v>0</v>
      </c>
      <c r="HE5" s="201">
        <f>SUMIFS('Expenditure Breakdown'!$G$6:$G$174, 'Expenditure Breakdown'!$H$6:$H$174, "&gt;="&amp;HE1,'Expenditure Breakdown'!$H$6:$H$174, "&lt;"&amp;HF1)</f>
        <v>0</v>
      </c>
      <c r="HF5" s="201">
        <f>SUMIFS('Expenditure Breakdown'!$G$6:$G$174, 'Expenditure Breakdown'!$H$6:$H$174, "&gt;="&amp;HF1,'Expenditure Breakdown'!$H$6:$H$174, "&lt;"&amp;HG1)</f>
        <v>0</v>
      </c>
      <c r="HG5" s="201">
        <f>SUMIFS('Expenditure Breakdown'!$G$6:$G$174, 'Expenditure Breakdown'!$H$6:$H$174, "&gt;="&amp;HG1,'Expenditure Breakdown'!$H$6:$H$174, "&lt;"&amp;HH1)</f>
        <v>0</v>
      </c>
      <c r="HH5" s="201">
        <f>SUMIFS('Expenditure Breakdown'!$G$6:$G$174, 'Expenditure Breakdown'!$H$6:$H$174, "&gt;="&amp;HH1,'Expenditure Breakdown'!$H$6:$H$174, "&lt;"&amp;HI1)</f>
        <v>0</v>
      </c>
      <c r="HI5" s="201">
        <f>SUMIFS('Expenditure Breakdown'!$G$6:$G$174, 'Expenditure Breakdown'!$H$6:$H$174, "&gt;="&amp;HI1,'Expenditure Breakdown'!$H$6:$H$174, "&lt;"&amp;HJ1)</f>
        <v>0</v>
      </c>
      <c r="HJ5" s="201">
        <f>SUMIFS('Expenditure Breakdown'!$G$6:$G$174, 'Expenditure Breakdown'!$H$6:$H$174, "&gt;="&amp;HJ1,'Expenditure Breakdown'!$H$6:$H$174, "&lt;"&amp;HK1)</f>
        <v>0</v>
      </c>
      <c r="HK5" s="201">
        <f>SUMIFS('Expenditure Breakdown'!$G$6:$G$174, 'Expenditure Breakdown'!$H$6:$H$174, "&gt;="&amp;HK1,'Expenditure Breakdown'!$H$6:$H$174, "&lt;"&amp;HL1)</f>
        <v>0</v>
      </c>
      <c r="HL5" s="201">
        <f>SUMIFS('Expenditure Breakdown'!$G$6:$G$174, 'Expenditure Breakdown'!$H$6:$H$174, "&gt;="&amp;HL1,'Expenditure Breakdown'!$H$6:$H$174, "&lt;"&amp;HM1)</f>
        <v>0</v>
      </c>
      <c r="HM5" s="201">
        <f>SUMIFS('Expenditure Breakdown'!$G$6:$G$174, 'Expenditure Breakdown'!$H$6:$H$174, "&gt;="&amp;HM1,'Expenditure Breakdown'!$H$6:$H$174, "&lt;"&amp;HN1)</f>
        <v>0</v>
      </c>
      <c r="HN5" s="201">
        <f>SUMIFS('Expenditure Breakdown'!$G$6:$G$174, 'Expenditure Breakdown'!$H$6:$H$174, "&gt;="&amp;HN1,'Expenditure Breakdown'!$H$6:$H$174, "&lt;"&amp;HO1)</f>
        <v>0</v>
      </c>
      <c r="HO5" s="201">
        <f>SUMIFS('Expenditure Breakdown'!$G$6:$G$174, 'Expenditure Breakdown'!$H$6:$H$174, "&gt;="&amp;HO1,'Expenditure Breakdown'!$H$6:$H$174, "&lt;"&amp;HP1)</f>
        <v>0</v>
      </c>
      <c r="HP5" s="201">
        <f>SUMIFS('Expenditure Breakdown'!$G$6:$G$174, 'Expenditure Breakdown'!$H$6:$H$174, "&gt;="&amp;HP1,'Expenditure Breakdown'!$H$6:$H$174, "&lt;"&amp;HQ1)</f>
        <v>0</v>
      </c>
      <c r="HQ5" s="201">
        <f>SUMIFS('Expenditure Breakdown'!$G$6:$G$174, 'Expenditure Breakdown'!$H$6:$H$174, "&gt;="&amp;HQ1,'Expenditure Breakdown'!$H$6:$H$174, "&lt;"&amp;HR1)</f>
        <v>0</v>
      </c>
      <c r="HR5" s="201">
        <f>SUMIFS('Expenditure Breakdown'!$G$6:$G$174, 'Expenditure Breakdown'!$H$6:$H$174, "&gt;="&amp;HR1,'Expenditure Breakdown'!$H$6:$H$174, "&lt;"&amp;HS1)</f>
        <v>0</v>
      </c>
      <c r="HS5" s="201">
        <f>SUMIFS('Expenditure Breakdown'!$G$6:$G$174, 'Expenditure Breakdown'!$H$6:$H$174, "&gt;="&amp;HS1,'Expenditure Breakdown'!$H$6:$H$174, "&lt;"&amp;HT1)</f>
        <v>0</v>
      </c>
      <c r="HT5" s="201">
        <f>SUMIFS('Expenditure Breakdown'!$G$6:$G$174, 'Expenditure Breakdown'!$H$6:$H$174, "&gt;="&amp;HT1,'Expenditure Breakdown'!$H$6:$H$174, "&lt;"&amp;HU1)</f>
        <v>0</v>
      </c>
      <c r="HU5" s="201">
        <f>SUMIFS('Expenditure Breakdown'!$G$6:$G$174, 'Expenditure Breakdown'!$H$6:$H$174, "&gt;="&amp;HU1,'Expenditure Breakdown'!$H$6:$H$174, "&lt;"&amp;HV1)</f>
        <v>0</v>
      </c>
      <c r="HV5" s="201">
        <f>SUMIFS('Expenditure Breakdown'!$G$6:$G$174, 'Expenditure Breakdown'!$H$6:$H$174, "&gt;="&amp;HV1,'Expenditure Breakdown'!$H$6:$H$174, "&lt;"&amp;HW1)</f>
        <v>0</v>
      </c>
      <c r="HW5" s="201">
        <f>SUMIFS('Expenditure Breakdown'!$G$6:$G$174, 'Expenditure Breakdown'!$H$6:$H$174, "&gt;="&amp;HW1,'Expenditure Breakdown'!$H$6:$H$174, "&lt;"&amp;HX1)</f>
        <v>0</v>
      </c>
      <c r="HX5" s="201">
        <f>SUMIFS('Expenditure Breakdown'!$G$6:$G$174, 'Expenditure Breakdown'!$H$6:$H$174, "&gt;="&amp;HX1,'Expenditure Breakdown'!$H$6:$H$174, "&lt;"&amp;HY1)</f>
        <v>0</v>
      </c>
      <c r="HY5" s="201">
        <f>SUMIFS('Expenditure Breakdown'!$G$6:$G$174, 'Expenditure Breakdown'!$H$6:$H$174, "&gt;="&amp;HY1,'Expenditure Breakdown'!$H$6:$H$174, "&lt;"&amp;HZ1)</f>
        <v>0</v>
      </c>
      <c r="HZ5" s="201">
        <f>SUMIFS('Expenditure Breakdown'!$G$6:$G$174, 'Expenditure Breakdown'!$H$6:$H$174, "&gt;="&amp;HZ1,'Expenditure Breakdown'!$H$6:$H$174, "&lt;"&amp;IA1)</f>
        <v>0</v>
      </c>
      <c r="IA5" s="201">
        <f>SUMIFS('Expenditure Breakdown'!$G$6:$G$174, 'Expenditure Breakdown'!$H$6:$H$174, "&gt;="&amp;IA1,'Expenditure Breakdown'!$H$6:$H$174, "&lt;"&amp;IB1)</f>
        <v>0</v>
      </c>
      <c r="IB5" s="201">
        <f>SUMIFS('Expenditure Breakdown'!$G$6:$G$174, 'Expenditure Breakdown'!$H$6:$H$174, "&gt;="&amp;IB1,'Expenditure Breakdown'!$H$6:$H$174, "&lt;"&amp;IC1)</f>
        <v>0</v>
      </c>
      <c r="IC5" s="201">
        <f>SUMIFS('Expenditure Breakdown'!$G$6:$G$174, 'Expenditure Breakdown'!$H$6:$H$174, "&gt;="&amp;IC1,'Expenditure Breakdown'!$H$6:$H$174, "&lt;"&amp;ID1)</f>
        <v>0</v>
      </c>
      <c r="ID5" s="201">
        <f>SUMIFS('Expenditure Breakdown'!$G$6:$G$174, 'Expenditure Breakdown'!$H$6:$H$174, "&gt;="&amp;ID1,'Expenditure Breakdown'!$H$6:$H$174, "&lt;"&amp;IE1)</f>
        <v>0</v>
      </c>
      <c r="IE5" s="201">
        <f>SUMIFS('Expenditure Breakdown'!$G$6:$G$174, 'Expenditure Breakdown'!$H$6:$H$174, "&gt;="&amp;IE1,'Expenditure Breakdown'!$H$6:$H$174, "&lt;"&amp;IF1)</f>
        <v>0</v>
      </c>
      <c r="IF5" s="201">
        <f>SUMIFS('Expenditure Breakdown'!$G$6:$G$174, 'Expenditure Breakdown'!$H$6:$H$174, "&gt;="&amp;IF1,'Expenditure Breakdown'!$H$6:$H$174, "&lt;"&amp;IG1)</f>
        <v>0</v>
      </c>
      <c r="IG5" s="201">
        <f>SUMIFS('Expenditure Breakdown'!$G$6:$G$174, 'Expenditure Breakdown'!$H$6:$H$174, "&gt;="&amp;IG1,'Expenditure Breakdown'!$H$6:$H$174, "&lt;"&amp;IH1)</f>
        <v>0</v>
      </c>
      <c r="IH5" s="201">
        <f>SUMIFS('Expenditure Breakdown'!$G$6:$G$174, 'Expenditure Breakdown'!$H$6:$H$174, "&gt;="&amp;IH1,'Expenditure Breakdown'!$H$6:$H$174, "&lt;"&amp;II1)</f>
        <v>0</v>
      </c>
      <c r="II5" s="201">
        <f>SUMIFS('Expenditure Breakdown'!$G$6:$G$174, 'Expenditure Breakdown'!$H$6:$H$174, "&gt;="&amp;II1,'Expenditure Breakdown'!$H$6:$H$174, "&lt;"&amp;IJ1)</f>
        <v>0</v>
      </c>
      <c r="IJ5" s="201">
        <f>SUMIFS('Expenditure Breakdown'!$G$6:$G$174, 'Expenditure Breakdown'!$H$6:$H$174, "&gt;="&amp;IJ1,'Expenditure Breakdown'!$H$6:$H$174, "&lt;"&amp;IK1)</f>
        <v>0</v>
      </c>
      <c r="IK5" s="201">
        <f>SUMIFS('Expenditure Breakdown'!$G$6:$G$174, 'Expenditure Breakdown'!$H$6:$H$174, "&gt;="&amp;IK1,'Expenditure Breakdown'!$H$6:$H$174, "&lt;"&amp;IL1)</f>
        <v>0</v>
      </c>
      <c r="IL5" s="201">
        <f>SUMIFS('Expenditure Breakdown'!$G$6:$G$174, 'Expenditure Breakdown'!$H$6:$H$174, "&gt;="&amp;IL1,'Expenditure Breakdown'!$H$6:$H$174, "&lt;"&amp;IM1)</f>
        <v>0</v>
      </c>
      <c r="IM5" s="201">
        <f>SUMIFS('Expenditure Breakdown'!$G$6:$G$174, 'Expenditure Breakdown'!$H$6:$H$174, "&gt;="&amp;IM1,'Expenditure Breakdown'!$H$6:$H$174, "&lt;"&amp;IN1)</f>
        <v>0</v>
      </c>
      <c r="IN5" s="201">
        <f>SUMIFS('Expenditure Breakdown'!$G$6:$G$174, 'Expenditure Breakdown'!$H$6:$H$174, "&gt;="&amp;IN1,'Expenditure Breakdown'!$H$6:$H$174, "&lt;"&amp;IO1)</f>
        <v>0</v>
      </c>
      <c r="IO5" s="201">
        <f>SUMIFS('Expenditure Breakdown'!$G$6:$G$174, 'Expenditure Breakdown'!$H$6:$H$174, "&gt;="&amp;IO1,'Expenditure Breakdown'!$H$6:$H$174, "&lt;"&amp;IP1)</f>
        <v>0</v>
      </c>
      <c r="IP5" s="201">
        <f>SUMIFS('Expenditure Breakdown'!$G$6:$G$174, 'Expenditure Breakdown'!$H$6:$H$174, "&gt;="&amp;IP1,'Expenditure Breakdown'!$H$6:$H$174, "&lt;"&amp;IQ1)</f>
        <v>0</v>
      </c>
      <c r="IQ5" s="201">
        <f>SUMIFS('Expenditure Breakdown'!$G$6:$G$174, 'Expenditure Breakdown'!$H$6:$H$174, "&gt;="&amp;IQ1,'Expenditure Breakdown'!$H$6:$H$174, "&lt;"&amp;IR1)</f>
        <v>0</v>
      </c>
      <c r="IR5" s="201">
        <f>SUMIFS('Expenditure Breakdown'!$G$6:$G$174, 'Expenditure Breakdown'!$H$6:$H$174, "&gt;="&amp;IR1,'Expenditure Breakdown'!$H$6:$H$174, "&lt;"&amp;IS1)</f>
        <v>0</v>
      </c>
      <c r="IS5" s="201">
        <f>SUMIFS('Expenditure Breakdown'!$G$6:$G$174, 'Expenditure Breakdown'!$H$6:$H$174, "&gt;="&amp;IS1,'Expenditure Breakdown'!$H$6:$H$174, "&lt;"&amp;IT1)</f>
        <v>0</v>
      </c>
      <c r="IT5" s="201">
        <f>SUMIFS('Expenditure Breakdown'!$G$6:$G$174, 'Expenditure Breakdown'!$H$6:$H$174, "&gt;="&amp;IT1,'Expenditure Breakdown'!$H$6:$H$174, "&lt;"&amp;IU1)</f>
        <v>0</v>
      </c>
      <c r="IU5" s="201">
        <f>SUMIFS('Expenditure Breakdown'!$G$6:$G$174, 'Expenditure Breakdown'!$H$6:$H$174, "&gt;="&amp;IU1,'Expenditure Breakdown'!$H$6:$H$174, "&lt;"&amp;IV1)</f>
        <v>0</v>
      </c>
      <c r="IV5" s="201">
        <f>SUMIFS('Expenditure Breakdown'!$G$6:$G$174, 'Expenditure Breakdown'!$H$6:$H$174, "&gt;="&amp;IV1,'Expenditure Breakdown'!$H$6:$H$174, "&lt;"&amp;IW1)</f>
        <v>0</v>
      </c>
      <c r="IW5" s="201">
        <f>SUMIFS('Expenditure Breakdown'!$G$6:$G$174, 'Expenditure Breakdown'!$H$6:$H$174, "&gt;="&amp;IW1,'Expenditure Breakdown'!$H$6:$H$174, "&lt;"&amp;IX1)</f>
        <v>0</v>
      </c>
      <c r="IX5" s="201">
        <f>SUMIFS('Expenditure Breakdown'!$G$6:$G$174, 'Expenditure Breakdown'!$H$6:$H$174, "&gt;="&amp;IX1,'Expenditure Breakdown'!$H$6:$H$174, "&lt;"&amp;IY1)</f>
        <v>0</v>
      </c>
      <c r="IY5" s="201">
        <f>SUMIFS('Expenditure Breakdown'!$G$6:$G$174, 'Expenditure Breakdown'!$H$6:$H$174, "&gt;="&amp;IY1,'Expenditure Breakdown'!$H$6:$H$174, "&lt;"&amp;IZ1)</f>
        <v>0</v>
      </c>
      <c r="IZ5" s="201">
        <f>SUMIFS('Expenditure Breakdown'!$G$6:$G$174, 'Expenditure Breakdown'!$H$6:$H$174, "&gt;="&amp;IZ1,'Expenditure Breakdown'!$H$6:$H$174, "&lt;"&amp;JA1)</f>
        <v>0</v>
      </c>
      <c r="JA5" s="201">
        <f>SUMIFS('Expenditure Breakdown'!$G$6:$G$174, 'Expenditure Breakdown'!$H$6:$H$174, "&gt;="&amp;JA1,'Expenditure Breakdown'!$H$6:$H$174, "&lt;"&amp;JB1)</f>
        <v>0</v>
      </c>
      <c r="JB5" s="201">
        <f>SUMIFS('Expenditure Breakdown'!$G$6:$G$174, 'Expenditure Breakdown'!$H$6:$H$174, "&gt;="&amp;JB1,'Expenditure Breakdown'!$H$6:$H$174, "&lt;"&amp;JC1)</f>
        <v>0</v>
      </c>
      <c r="JC5" s="201">
        <f>SUMIFS('Expenditure Breakdown'!$G$6:$G$174, 'Expenditure Breakdown'!$H$6:$H$174, "&gt;="&amp;JC1,'Expenditure Breakdown'!$H$6:$H$174, "&lt;"&amp;JD1)</f>
        <v>0</v>
      </c>
      <c r="JD5" s="201">
        <f>SUMIFS('Expenditure Breakdown'!$G$6:$G$174, 'Expenditure Breakdown'!$H$6:$H$174, "&gt;="&amp;JD1,'Expenditure Breakdown'!$H$6:$H$174, "&lt;"&amp;JE1)</f>
        <v>0</v>
      </c>
      <c r="JE5" s="201">
        <f>SUMIFS('Expenditure Breakdown'!$G$6:$G$174, 'Expenditure Breakdown'!$H$6:$H$174, "&gt;="&amp;JE1,'Expenditure Breakdown'!$H$6:$H$174, "&lt;"&amp;JF1)</f>
        <v>0</v>
      </c>
      <c r="JF5" s="201">
        <f>SUMIFS('Expenditure Breakdown'!$G$6:$G$174, 'Expenditure Breakdown'!$H$6:$H$174, "&gt;="&amp;JF1,'Expenditure Breakdown'!$H$6:$H$174, "&lt;"&amp;JG1)</f>
        <v>0</v>
      </c>
      <c r="JG5" s="201">
        <f>SUMIFS('Expenditure Breakdown'!$G$6:$G$174, 'Expenditure Breakdown'!$H$6:$H$174, "&gt;="&amp;JG1,'Expenditure Breakdown'!$H$6:$H$174, "&lt;"&amp;JH1)</f>
        <v>0</v>
      </c>
      <c r="JH5" s="201">
        <f>SUMIFS('Expenditure Breakdown'!$G$6:$G$174, 'Expenditure Breakdown'!$H$6:$H$174, "&gt;="&amp;JH1,'Expenditure Breakdown'!$H$6:$H$174, "&lt;"&amp;JI1)</f>
        <v>0</v>
      </c>
      <c r="JI5" s="201">
        <f>SUMIFS('Expenditure Breakdown'!$G$6:$G$174, 'Expenditure Breakdown'!$H$6:$H$174, "&gt;="&amp;JI1,'Expenditure Breakdown'!$H$6:$H$174, "&lt;"&amp;JJ1)</f>
        <v>0</v>
      </c>
      <c r="JJ5" s="201">
        <f>SUMIFS('Expenditure Breakdown'!$G$6:$G$174, 'Expenditure Breakdown'!$H$6:$H$174, "&gt;="&amp;JJ1,'Expenditure Breakdown'!$H$6:$H$174, "&lt;"&amp;JK1)</f>
        <v>0</v>
      </c>
      <c r="JK5" s="201">
        <f>SUMIFS('Expenditure Breakdown'!$G$6:$G$174, 'Expenditure Breakdown'!$H$6:$H$174, "&gt;="&amp;JK1,'Expenditure Breakdown'!$H$6:$H$174, "&lt;"&amp;JL1)</f>
        <v>0</v>
      </c>
      <c r="JL5" s="201">
        <f>SUMIFS('Expenditure Breakdown'!$G$6:$G$174, 'Expenditure Breakdown'!$H$6:$H$174, "&gt;="&amp;JL1,'Expenditure Breakdown'!$H$6:$H$174, "&lt;"&amp;JM1)</f>
        <v>0</v>
      </c>
      <c r="JM5" s="201">
        <f>SUMIFS('Expenditure Breakdown'!$G$6:$G$174, 'Expenditure Breakdown'!$H$6:$H$174, "&gt;="&amp;JM1,'Expenditure Breakdown'!$H$6:$H$174, "&lt;"&amp;JN1)</f>
        <v>0</v>
      </c>
      <c r="JN5" s="201">
        <f>SUMIFS('Expenditure Breakdown'!$G$6:$G$174, 'Expenditure Breakdown'!$H$6:$H$174, "&gt;="&amp;JN1,'Expenditure Breakdown'!$H$6:$H$174, "&lt;"&amp;JO1)</f>
        <v>0</v>
      </c>
      <c r="JO5" s="201">
        <f>SUMIFS('Expenditure Breakdown'!$G$6:$G$174, 'Expenditure Breakdown'!$H$6:$H$174, "&gt;="&amp;JO1,'Expenditure Breakdown'!$H$6:$H$174, "&lt;"&amp;JP1)</f>
        <v>0</v>
      </c>
      <c r="JP5" s="201">
        <f>SUMIFS('Expenditure Breakdown'!$G$6:$G$174, 'Expenditure Breakdown'!$H$6:$H$174, "&gt;="&amp;JP1,'Expenditure Breakdown'!$H$6:$H$174, "&lt;"&amp;JQ1)</f>
        <v>0</v>
      </c>
      <c r="JQ5" s="201">
        <f>SUMIFS('Expenditure Breakdown'!$G$6:$G$174, 'Expenditure Breakdown'!$H$6:$H$174, "&gt;="&amp;JQ1,'Expenditure Breakdown'!$H$6:$H$174, "&lt;"&amp;JR1)</f>
        <v>0</v>
      </c>
      <c r="JR5" s="201">
        <f>SUMIFS('Expenditure Breakdown'!$G$6:$G$174, 'Expenditure Breakdown'!$H$6:$H$174, "&gt;="&amp;JR1,'Expenditure Breakdown'!$H$6:$H$174, "&lt;"&amp;JS1)</f>
        <v>0</v>
      </c>
      <c r="JS5" s="201">
        <f>SUMIFS('Expenditure Breakdown'!$G$6:$G$174, 'Expenditure Breakdown'!$H$6:$H$174, "&gt;="&amp;JS1,'Expenditure Breakdown'!$H$6:$H$174, "&lt;"&amp;JT1)</f>
        <v>0</v>
      </c>
      <c r="JT5" s="201">
        <f>SUMIFS('Expenditure Breakdown'!$G$6:$G$174, 'Expenditure Breakdown'!$H$6:$H$174, "&gt;="&amp;JT1,'Expenditure Breakdown'!$H$6:$H$174, "&lt;"&amp;JU1)</f>
        <v>0</v>
      </c>
      <c r="JU5" s="201">
        <f>SUMIFS('Expenditure Breakdown'!$G$6:$G$174, 'Expenditure Breakdown'!$H$6:$H$174, "&gt;="&amp;JU1,'Expenditure Breakdown'!$H$6:$H$174, "&lt;"&amp;JV1)</f>
        <v>0</v>
      </c>
      <c r="JV5" s="201">
        <f>SUMIFS('Expenditure Breakdown'!$G$6:$G$174, 'Expenditure Breakdown'!$H$6:$H$174, "&gt;="&amp;JV1,'Expenditure Breakdown'!$H$6:$H$174, "&lt;"&amp;JW1)</f>
        <v>0</v>
      </c>
      <c r="JW5" s="201">
        <f>SUMIFS('Expenditure Breakdown'!$G$6:$G$174, 'Expenditure Breakdown'!$H$6:$H$174, "&gt;="&amp;JW1,'Expenditure Breakdown'!$H$6:$H$174, "&lt;"&amp;JX1)</f>
        <v>0</v>
      </c>
      <c r="JX5" s="201">
        <f>SUMIFS('Expenditure Breakdown'!$G$6:$G$174, 'Expenditure Breakdown'!$H$6:$H$174, "&gt;="&amp;JX1,'Expenditure Breakdown'!$H$6:$H$174, "&lt;"&amp;JY1)</f>
        <v>0</v>
      </c>
      <c r="JY5" s="201">
        <f>SUMIFS('Expenditure Breakdown'!$G$6:$G$174, 'Expenditure Breakdown'!$H$6:$H$174, "&gt;="&amp;JY1,'Expenditure Breakdown'!$H$6:$H$174, "&lt;"&amp;JZ1)</f>
        <v>0</v>
      </c>
      <c r="JZ5" s="201">
        <f>SUMIFS('Expenditure Breakdown'!$G$6:$G$174, 'Expenditure Breakdown'!$H$6:$H$174, "&gt;="&amp;JZ1,'Expenditure Breakdown'!$H$6:$H$174, "&lt;"&amp;KA1)</f>
        <v>0</v>
      </c>
      <c r="KA5" s="201">
        <f>SUMIFS('Expenditure Breakdown'!$G$6:$G$174, 'Expenditure Breakdown'!$H$6:$H$174, "&gt;="&amp;KA1,'Expenditure Breakdown'!$H$6:$H$174, "&lt;"&amp;KB1)</f>
        <v>0</v>
      </c>
      <c r="KB5" s="201">
        <f>SUMIFS('Expenditure Breakdown'!$G$6:$G$174, 'Expenditure Breakdown'!$H$6:$H$174, "&gt;="&amp;KB1,'Expenditure Breakdown'!$H$6:$H$174, "&lt;"&amp;KC1)</f>
        <v>0</v>
      </c>
      <c r="KC5" s="201">
        <f>SUMIFS('Expenditure Breakdown'!$G$6:$G$174, 'Expenditure Breakdown'!$H$6:$H$174, "&gt;="&amp;KC1,'Expenditure Breakdown'!$H$6:$H$174, "&lt;"&amp;KD1)</f>
        <v>0</v>
      </c>
      <c r="KD5" s="201">
        <f>SUMIFS('Expenditure Breakdown'!$G$6:$G$174, 'Expenditure Breakdown'!$H$6:$H$174, "&gt;="&amp;KD1,'Expenditure Breakdown'!$H$6:$H$174, "&lt;"&amp;KE1)</f>
        <v>0</v>
      </c>
      <c r="KE5" s="201">
        <f>SUMIFS('Expenditure Breakdown'!$G$6:$G$174, 'Expenditure Breakdown'!$H$6:$H$174, "&gt;="&amp;KE1,'Expenditure Breakdown'!$H$6:$H$174, "&lt;"&amp;KF1)</f>
        <v>0</v>
      </c>
      <c r="KF5" s="201">
        <f>SUMIFS('Expenditure Breakdown'!$G$6:$G$174, 'Expenditure Breakdown'!$H$6:$H$174, "&gt;="&amp;KF1,'Expenditure Breakdown'!$H$6:$H$174, "&lt;"&amp;KG1)</f>
        <v>0</v>
      </c>
      <c r="KG5" s="201">
        <f>SUMIFS('Expenditure Breakdown'!$G$6:$G$174, 'Expenditure Breakdown'!$H$6:$H$174, "&gt;="&amp;KG1,'Expenditure Breakdown'!$H$6:$H$174, "&lt;"&amp;KH1)</f>
        <v>0</v>
      </c>
      <c r="KH5" s="201">
        <f>SUMIFS('Expenditure Breakdown'!$G$6:$G$174, 'Expenditure Breakdown'!$H$6:$H$174, "&gt;="&amp;KH1,'Expenditure Breakdown'!$H$6:$H$174, "&lt;"&amp;KI1)</f>
        <v>0</v>
      </c>
      <c r="KI5" s="201">
        <f>SUMIFS('Expenditure Breakdown'!$G$6:$G$174, 'Expenditure Breakdown'!$H$6:$H$174, "&gt;="&amp;KI1,'Expenditure Breakdown'!$H$6:$H$174, "&lt;"&amp;KJ1)</f>
        <v>0</v>
      </c>
      <c r="KJ5" s="201">
        <f>SUMIFS('Expenditure Breakdown'!$G$6:$G$174, 'Expenditure Breakdown'!$H$6:$H$174, "&gt;="&amp;KJ1,'Expenditure Breakdown'!$H$6:$H$174, "&lt;"&amp;KK1)</f>
        <v>0</v>
      </c>
      <c r="KK5" s="201">
        <f>SUMIFS('Expenditure Breakdown'!$G$6:$G$174, 'Expenditure Breakdown'!$H$6:$H$174, "&gt;="&amp;KK1,'Expenditure Breakdown'!$H$6:$H$174, "&lt;"&amp;KL1)</f>
        <v>0</v>
      </c>
      <c r="KL5" s="201">
        <f>SUMIFS('Expenditure Breakdown'!$G$6:$G$174, 'Expenditure Breakdown'!$H$6:$H$174, "&gt;="&amp;KL1,'Expenditure Breakdown'!$H$6:$H$174, "&lt;"&amp;KM1)</f>
        <v>0</v>
      </c>
      <c r="KM5" s="201">
        <f>SUMIFS('Expenditure Breakdown'!$G$6:$G$174, 'Expenditure Breakdown'!$H$6:$H$174, "&gt;="&amp;KM1,'Expenditure Breakdown'!$H$6:$H$174, "&lt;"&amp;KN1)</f>
        <v>0</v>
      </c>
      <c r="KN5" s="201">
        <f>SUMIFS('Expenditure Breakdown'!$G$6:$G$174, 'Expenditure Breakdown'!$H$6:$H$174, "&gt;="&amp;KN1,'Expenditure Breakdown'!$H$6:$H$174, "&lt;"&amp;KO1)</f>
        <v>0</v>
      </c>
      <c r="KO5" s="201">
        <f>SUMIFS('Expenditure Breakdown'!$G$6:$G$174, 'Expenditure Breakdown'!$H$6:$H$174, "&gt;="&amp;KO1,'Expenditure Breakdown'!$H$6:$H$174, "&lt;"&amp;KP1)</f>
        <v>0</v>
      </c>
      <c r="KP5" s="201">
        <f>SUMIFS('Expenditure Breakdown'!$G$6:$G$174, 'Expenditure Breakdown'!$H$6:$H$174, "&gt;="&amp;KP1,'Expenditure Breakdown'!$H$6:$H$174, "&lt;"&amp;KQ1)</f>
        <v>0</v>
      </c>
      <c r="KQ5" s="201">
        <f>SUMIFS('Expenditure Breakdown'!$G$6:$G$174, 'Expenditure Breakdown'!$H$6:$H$174, "&gt;="&amp;KQ1,'Expenditure Breakdown'!$H$6:$H$174, "&lt;"&amp;KR1)</f>
        <v>0</v>
      </c>
      <c r="KR5" s="201">
        <f>SUMIFS('Expenditure Breakdown'!$G$6:$G$174, 'Expenditure Breakdown'!$H$6:$H$174, "&gt;="&amp;KR1,'Expenditure Breakdown'!$H$6:$H$174, "&lt;"&amp;KS1)</f>
        <v>0</v>
      </c>
      <c r="KS5" s="201">
        <f>SUMIFS('Expenditure Breakdown'!$G$6:$G$174, 'Expenditure Breakdown'!$H$6:$H$174, "&gt;="&amp;KS1,'Expenditure Breakdown'!$H$6:$H$174, "&lt;"&amp;KT1)</f>
        <v>0</v>
      </c>
      <c r="KT5" s="201">
        <f>SUMIFS('Expenditure Breakdown'!$G$6:$G$174, 'Expenditure Breakdown'!$H$6:$H$174, "&gt;="&amp;KT1,'Expenditure Breakdown'!$H$6:$H$174, "&lt;"&amp;KU1)</f>
        <v>0</v>
      </c>
      <c r="KU5" s="201">
        <f>SUMIFS('Expenditure Breakdown'!$G$6:$G$174, 'Expenditure Breakdown'!$H$6:$H$174, "&gt;="&amp;KU1,'Expenditure Breakdown'!$H$6:$H$174, "&lt;"&amp;KV1)</f>
        <v>0</v>
      </c>
      <c r="KV5" s="201">
        <f>SUMIFS('Expenditure Breakdown'!$G$6:$G$174, 'Expenditure Breakdown'!$H$6:$H$174, "&gt;="&amp;KV1,'Expenditure Breakdown'!$H$6:$H$174, "&lt;"&amp;KW1)</f>
        <v>0</v>
      </c>
      <c r="KW5" s="201">
        <f>SUMIFS('Expenditure Breakdown'!$G$6:$G$174, 'Expenditure Breakdown'!$H$6:$H$174, "&gt;="&amp;KW1,'Expenditure Breakdown'!$H$6:$H$174, "&lt;"&amp;KX1)</f>
        <v>0</v>
      </c>
      <c r="KX5" s="201">
        <f>SUMIFS('Expenditure Breakdown'!$G$6:$G$174, 'Expenditure Breakdown'!$H$6:$H$174, "&gt;="&amp;KX1,'Expenditure Breakdown'!$H$6:$H$174, "&lt;"&amp;KY1)</f>
        <v>0</v>
      </c>
      <c r="KY5" s="201">
        <f>SUMIFS('Expenditure Breakdown'!$G$6:$G$174, 'Expenditure Breakdown'!$H$6:$H$174, "&gt;="&amp;KY1,'Expenditure Breakdown'!$H$6:$H$174, "&lt;"&amp;KZ1)</f>
        <v>0</v>
      </c>
      <c r="KZ5" s="201">
        <f>SUMIFS('Expenditure Breakdown'!$G$6:$G$174, 'Expenditure Breakdown'!$H$6:$H$174, "&gt;="&amp;KZ1,'Expenditure Breakdown'!$H$6:$H$174, "&lt;"&amp;LA1)</f>
        <v>0</v>
      </c>
      <c r="LA5" s="201">
        <f>SUMIFS('Expenditure Breakdown'!$G$6:$G$174, 'Expenditure Breakdown'!$H$6:$H$174, "&gt;="&amp;LA1,'Expenditure Breakdown'!$H$6:$H$174, "&lt;"&amp;LB1)</f>
        <v>0</v>
      </c>
      <c r="LB5" s="201">
        <f>SUMIFS('Expenditure Breakdown'!$G$6:$G$174, 'Expenditure Breakdown'!$H$6:$H$174, "&gt;="&amp;LB1,'Expenditure Breakdown'!$H$6:$H$174, "&lt;"&amp;LC1)</f>
        <v>0</v>
      </c>
      <c r="LC5" s="201">
        <f>SUMIFS('Expenditure Breakdown'!$G$6:$G$174, 'Expenditure Breakdown'!$H$6:$H$174, "&gt;="&amp;LC1,'Expenditure Breakdown'!$H$6:$H$174, "&lt;"&amp;LD1)</f>
        <v>0</v>
      </c>
      <c r="LD5" s="201">
        <f>SUMIFS('Expenditure Breakdown'!$G$6:$G$174, 'Expenditure Breakdown'!$H$6:$H$174, "&gt;="&amp;LD1,'Expenditure Breakdown'!$H$6:$H$174, "&lt;"&amp;#REF!)</f>
        <v>0</v>
      </c>
      <c r="LE5" s="191"/>
      <c r="LF5" s="202"/>
      <c r="LG5" s="202"/>
    </row>
    <row r="6" spans="1:794" s="203" customFormat="1">
      <c r="A6" s="805"/>
      <c r="B6" s="199" t="s">
        <v>442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16625</v>
      </c>
      <c r="V6" s="201">
        <f t="shared" si="10"/>
        <v>788550</v>
      </c>
      <c r="W6" s="201">
        <f t="shared" si="10"/>
        <v>788550</v>
      </c>
      <c r="X6" s="201">
        <f t="shared" si="10"/>
        <v>803550</v>
      </c>
      <c r="Y6" s="201">
        <f t="shared" si="10"/>
        <v>803550</v>
      </c>
      <c r="Z6" s="201">
        <f t="shared" si="10"/>
        <v>803550</v>
      </c>
      <c r="AA6" s="201">
        <f t="shared" si="10"/>
        <v>803550</v>
      </c>
      <c r="AB6" s="201">
        <f t="shared" si="10"/>
        <v>803550</v>
      </c>
      <c r="AC6" s="201">
        <f t="shared" si="10"/>
        <v>803550</v>
      </c>
      <c r="AD6" s="201">
        <f t="shared" si="10"/>
        <v>2603550</v>
      </c>
      <c r="AE6" s="201">
        <f t="shared" si="10"/>
        <v>2637550</v>
      </c>
      <c r="AF6" s="201">
        <f t="shared" si="10"/>
        <v>2637550</v>
      </c>
      <c r="AG6" s="201">
        <f t="shared" si="10"/>
        <v>6088535.4800000004</v>
      </c>
      <c r="AH6" s="201">
        <f t="shared" si="10"/>
        <v>6088535.4800000004</v>
      </c>
      <c r="AI6" s="201">
        <f t="shared" si="10"/>
        <v>6088535.4800000004</v>
      </c>
      <c r="AJ6" s="201">
        <f t="shared" si="10"/>
        <v>7397479.3800000008</v>
      </c>
      <c r="AK6" s="201">
        <f t="shared" si="10"/>
        <v>7397479.3800000008</v>
      </c>
      <c r="AL6" s="201">
        <f t="shared" si="10"/>
        <v>7405979.3800000008</v>
      </c>
      <c r="AM6" s="201">
        <f t="shared" si="10"/>
        <v>7405979.3800000008</v>
      </c>
      <c r="AN6" s="201">
        <f t="shared" si="10"/>
        <v>7405979.3800000008</v>
      </c>
      <c r="AO6" s="201">
        <f t="shared" si="10"/>
        <v>7405979.3800000008</v>
      </c>
      <c r="AP6" s="201">
        <f t="shared" si="10"/>
        <v>7879696.2775021633</v>
      </c>
      <c r="AQ6" s="201">
        <f t="shared" si="10"/>
        <v>7879696.2775021633</v>
      </c>
      <c r="AR6" s="201">
        <f t="shared" si="10"/>
        <v>7879696.2775021633</v>
      </c>
      <c r="AS6" s="201">
        <f t="shared" si="10"/>
        <v>7879696.2775021633</v>
      </c>
      <c r="AT6" s="201">
        <f t="shared" si="10"/>
        <v>7879696.2775021633</v>
      </c>
      <c r="AU6" s="201">
        <f t="shared" si="10"/>
        <v>7879696.2775021633</v>
      </c>
      <c r="AV6" s="201">
        <f t="shared" si="10"/>
        <v>7879696.2775021633</v>
      </c>
      <c r="AW6" s="201">
        <f t="shared" si="10"/>
        <v>7879696.2775021633</v>
      </c>
      <c r="AX6" s="201">
        <f t="shared" si="10"/>
        <v>7879696.2775021633</v>
      </c>
      <c r="AY6" s="201">
        <f t="shared" si="10"/>
        <v>7879696.2775021633</v>
      </c>
      <c r="AZ6" s="201">
        <f t="shared" si="10"/>
        <v>7879696.2775021633</v>
      </c>
      <c r="BA6" s="201">
        <f t="shared" si="10"/>
        <v>7879696.2775021633</v>
      </c>
      <c r="BB6" s="201">
        <f t="shared" si="10"/>
        <v>7879696.2775021633</v>
      </c>
      <c r="BC6" s="201">
        <f t="shared" si="10"/>
        <v>8166239.0135021638</v>
      </c>
      <c r="BD6" s="201">
        <f t="shared" si="10"/>
        <v>8166239.0135021638</v>
      </c>
      <c r="BE6" s="201">
        <f t="shared" si="10"/>
        <v>8166239.0135021638</v>
      </c>
      <c r="BF6" s="201">
        <f t="shared" si="10"/>
        <v>8166239.0135021638</v>
      </c>
      <c r="BG6" s="201">
        <f t="shared" si="10"/>
        <v>8166239.0135021638</v>
      </c>
      <c r="BH6" s="201">
        <f t="shared" si="10"/>
        <v>8166239.0135021638</v>
      </c>
      <c r="BI6" s="201">
        <f t="shared" si="10"/>
        <v>8166239.0135021638</v>
      </c>
      <c r="BJ6" s="201">
        <f t="shared" si="10"/>
        <v>8166239.0135021638</v>
      </c>
      <c r="BK6" s="201">
        <f t="shared" si="10"/>
        <v>8166239.0135021638</v>
      </c>
      <c r="BL6" s="201">
        <f t="shared" si="10"/>
        <v>8166239.0135021638</v>
      </c>
      <c r="BM6" s="201">
        <f t="shared" si="10"/>
        <v>8166239.0135021638</v>
      </c>
      <c r="BN6" s="201">
        <f t="shared" si="10"/>
        <v>8166239.0135021638</v>
      </c>
      <c r="BO6" s="201">
        <f t="shared" si="10"/>
        <v>8166239.0135021638</v>
      </c>
      <c r="BP6" s="201">
        <f t="shared" si="10"/>
        <v>8166239.0135021638</v>
      </c>
      <c r="BQ6" s="201">
        <f t="shared" si="10"/>
        <v>8166239.0135021638</v>
      </c>
      <c r="BR6" s="201">
        <f t="shared" si="10"/>
        <v>8166239.0135021638</v>
      </c>
      <c r="BS6" s="201">
        <f t="shared" si="10"/>
        <v>8166239.0135021638</v>
      </c>
      <c r="BT6" s="201">
        <f t="shared" si="10"/>
        <v>8166239.0135021638</v>
      </c>
      <c r="BU6" s="201">
        <f t="shared" ref="BU6:EF6" si="11">BT6+BU5</f>
        <v>8166239.0135021638</v>
      </c>
      <c r="BV6" s="201">
        <f t="shared" si="11"/>
        <v>8166239.0135021638</v>
      </c>
      <c r="BW6" s="201">
        <f t="shared" si="11"/>
        <v>8166239.0135021638</v>
      </c>
      <c r="BX6" s="201">
        <f t="shared" si="11"/>
        <v>8166239.0135021638</v>
      </c>
      <c r="BY6" s="201">
        <f t="shared" si="11"/>
        <v>8166239.0135021638</v>
      </c>
      <c r="BZ6" s="201">
        <f t="shared" si="11"/>
        <v>8166239.0135021638</v>
      </c>
      <c r="CA6" s="201">
        <f t="shared" si="11"/>
        <v>8166239.0135021638</v>
      </c>
      <c r="CB6" s="201">
        <f t="shared" si="11"/>
        <v>8166239.0135021638</v>
      </c>
      <c r="CC6" s="201">
        <f t="shared" si="11"/>
        <v>8166239.0135021638</v>
      </c>
      <c r="CD6" s="201">
        <f t="shared" si="11"/>
        <v>8166239.0135021638</v>
      </c>
      <c r="CE6" s="201">
        <f t="shared" si="11"/>
        <v>8166239.0135021638</v>
      </c>
      <c r="CF6" s="201">
        <f t="shared" si="11"/>
        <v>8166239.0135021638</v>
      </c>
      <c r="CG6" s="201">
        <f t="shared" si="11"/>
        <v>8166239.0135021638</v>
      </c>
      <c r="CH6" s="201">
        <f t="shared" si="11"/>
        <v>8166239.0135021638</v>
      </c>
      <c r="CI6" s="201">
        <f t="shared" si="11"/>
        <v>8166239.0135021638</v>
      </c>
      <c r="CJ6" s="201">
        <f t="shared" si="11"/>
        <v>8166239.0135021638</v>
      </c>
      <c r="CK6" s="201">
        <f t="shared" si="11"/>
        <v>8166239.0135021638</v>
      </c>
      <c r="CL6" s="201">
        <f t="shared" si="11"/>
        <v>8166239.0135021638</v>
      </c>
      <c r="CM6" s="201">
        <f t="shared" si="11"/>
        <v>8166239.0135021638</v>
      </c>
      <c r="CN6" s="201">
        <f t="shared" si="11"/>
        <v>8166239.0135021638</v>
      </c>
      <c r="CO6" s="201">
        <f t="shared" si="11"/>
        <v>8166239.0135021638</v>
      </c>
      <c r="CP6" s="201">
        <f t="shared" si="11"/>
        <v>8166239.0135021638</v>
      </c>
      <c r="CQ6" s="201">
        <f t="shared" si="11"/>
        <v>8166239.0135021638</v>
      </c>
      <c r="CR6" s="201">
        <f t="shared" si="11"/>
        <v>8166239.0135021638</v>
      </c>
      <c r="CS6" s="201">
        <f t="shared" si="11"/>
        <v>8166239.0135021638</v>
      </c>
      <c r="CT6" s="201">
        <f t="shared" si="11"/>
        <v>8166239.0135021638</v>
      </c>
      <c r="CU6" s="201">
        <f t="shared" si="11"/>
        <v>8166239.0135021638</v>
      </c>
      <c r="CV6" s="201">
        <f t="shared" si="11"/>
        <v>8166239.0135021638</v>
      </c>
      <c r="CW6" s="201">
        <f t="shared" si="11"/>
        <v>8166239.0135021638</v>
      </c>
      <c r="CX6" s="201">
        <f t="shared" si="11"/>
        <v>8166239.0135021638</v>
      </c>
      <c r="CY6" s="201">
        <f t="shared" si="11"/>
        <v>8166239.0135021638</v>
      </c>
      <c r="CZ6" s="201">
        <f t="shared" si="11"/>
        <v>8166239.0135021638</v>
      </c>
      <c r="DA6" s="201">
        <f t="shared" si="11"/>
        <v>8166239.0135021638</v>
      </c>
      <c r="DB6" s="201">
        <f t="shared" si="11"/>
        <v>8166239.0135021638</v>
      </c>
      <c r="DC6" s="201">
        <f t="shared" si="11"/>
        <v>8166239.0135021638</v>
      </c>
      <c r="DD6" s="201">
        <f t="shared" si="11"/>
        <v>8166239.0135021638</v>
      </c>
      <c r="DE6" s="201">
        <f t="shared" si="11"/>
        <v>8166239.0135021638</v>
      </c>
      <c r="DF6" s="201">
        <f t="shared" si="11"/>
        <v>8166239.0135021638</v>
      </c>
      <c r="DG6" s="201">
        <f t="shared" si="11"/>
        <v>8166239.0135021638</v>
      </c>
      <c r="DH6" s="201">
        <f t="shared" si="11"/>
        <v>8166239.0135021638</v>
      </c>
      <c r="DI6" s="201">
        <f t="shared" si="11"/>
        <v>8166239.0135021638</v>
      </c>
      <c r="DJ6" s="201">
        <f t="shared" si="11"/>
        <v>8166239.0135021638</v>
      </c>
      <c r="DK6" s="201">
        <f t="shared" si="11"/>
        <v>8166239.0135021638</v>
      </c>
      <c r="DL6" s="201">
        <f t="shared" si="11"/>
        <v>8166239.0135021638</v>
      </c>
      <c r="DM6" s="201">
        <f t="shared" si="11"/>
        <v>8166239.0135021638</v>
      </c>
      <c r="DN6" s="201">
        <f t="shared" si="11"/>
        <v>8166239.0135021638</v>
      </c>
      <c r="DO6" s="201">
        <f t="shared" si="11"/>
        <v>8166239.0135021638</v>
      </c>
      <c r="DP6" s="201">
        <f t="shared" si="11"/>
        <v>8166239.0135021638</v>
      </c>
      <c r="DQ6" s="201">
        <f t="shared" si="11"/>
        <v>8166239.0135021638</v>
      </c>
      <c r="DR6" s="201">
        <f t="shared" si="11"/>
        <v>8166239.0135021638</v>
      </c>
      <c r="DS6" s="201">
        <f t="shared" si="11"/>
        <v>8166239.0135021638</v>
      </c>
      <c r="DT6" s="201">
        <f t="shared" si="11"/>
        <v>8166239.0135021638</v>
      </c>
      <c r="DU6" s="201">
        <f t="shared" si="11"/>
        <v>8166239.0135021638</v>
      </c>
      <c r="DV6" s="201">
        <f t="shared" si="11"/>
        <v>8166239.0135021638</v>
      </c>
      <c r="DW6" s="201">
        <f t="shared" si="11"/>
        <v>8166239.0135021638</v>
      </c>
      <c r="DX6" s="201">
        <f t="shared" si="11"/>
        <v>8166239.0135021638</v>
      </c>
      <c r="DY6" s="201">
        <f t="shared" si="11"/>
        <v>8166239.0135021638</v>
      </c>
      <c r="DZ6" s="201">
        <f t="shared" si="11"/>
        <v>8166239.0135021638</v>
      </c>
      <c r="EA6" s="201">
        <f t="shared" si="11"/>
        <v>8166239.0135021638</v>
      </c>
      <c r="EB6" s="201">
        <f t="shared" si="11"/>
        <v>8166239.0135021638</v>
      </c>
      <c r="EC6" s="201">
        <f t="shared" si="11"/>
        <v>8166239.0135021638</v>
      </c>
      <c r="ED6" s="201">
        <f t="shared" si="11"/>
        <v>8166239.0135021638</v>
      </c>
      <c r="EE6" s="201">
        <f t="shared" si="11"/>
        <v>8166239.0135021638</v>
      </c>
      <c r="EF6" s="201">
        <f t="shared" si="11"/>
        <v>8166239.0135021638</v>
      </c>
      <c r="EG6" s="201">
        <f t="shared" ref="EG6:GR6" si="12">EF6+EG5</f>
        <v>8166239.0135021638</v>
      </c>
      <c r="EH6" s="201">
        <f t="shared" si="12"/>
        <v>8166239.0135021638</v>
      </c>
      <c r="EI6" s="201">
        <f t="shared" si="12"/>
        <v>8166239.0135021638</v>
      </c>
      <c r="EJ6" s="201">
        <f t="shared" si="12"/>
        <v>8166239.0135021638</v>
      </c>
      <c r="EK6" s="201">
        <f t="shared" si="12"/>
        <v>8166239.0135021638</v>
      </c>
      <c r="EL6" s="201">
        <f t="shared" si="12"/>
        <v>8166239.0135021638</v>
      </c>
      <c r="EM6" s="201">
        <f t="shared" si="12"/>
        <v>8166239.0135021638</v>
      </c>
      <c r="EN6" s="201">
        <f t="shared" si="12"/>
        <v>8166239.0135021638</v>
      </c>
      <c r="EO6" s="201">
        <f t="shared" si="12"/>
        <v>8166239.0135021638</v>
      </c>
      <c r="EP6" s="201">
        <f t="shared" si="12"/>
        <v>8166239.0135021638</v>
      </c>
      <c r="EQ6" s="201">
        <f t="shared" si="12"/>
        <v>8166239.0135021638</v>
      </c>
      <c r="ER6" s="201">
        <f t="shared" si="12"/>
        <v>8166239.0135021638</v>
      </c>
      <c r="ES6" s="201">
        <f t="shared" si="12"/>
        <v>8166239.0135021638</v>
      </c>
      <c r="ET6" s="201">
        <f t="shared" si="12"/>
        <v>8166239.0135021638</v>
      </c>
      <c r="EU6" s="201">
        <f t="shared" si="12"/>
        <v>8166239.0135021638</v>
      </c>
      <c r="EV6" s="201">
        <f t="shared" si="12"/>
        <v>8166239.0135021638</v>
      </c>
      <c r="EW6" s="201">
        <f t="shared" si="12"/>
        <v>8166239.0135021638</v>
      </c>
      <c r="EX6" s="201">
        <f t="shared" si="12"/>
        <v>8166239.0135021638</v>
      </c>
      <c r="EY6" s="201">
        <f t="shared" si="12"/>
        <v>8166239.0135021638</v>
      </c>
      <c r="EZ6" s="201">
        <f t="shared" si="12"/>
        <v>8166239.0135021638</v>
      </c>
      <c r="FA6" s="201">
        <f t="shared" si="12"/>
        <v>8166239.0135021638</v>
      </c>
      <c r="FB6" s="201">
        <f t="shared" si="12"/>
        <v>8166239.0135021638</v>
      </c>
      <c r="FC6" s="201">
        <f t="shared" si="12"/>
        <v>8166239.0135021638</v>
      </c>
      <c r="FD6" s="201">
        <f t="shared" si="12"/>
        <v>8166239.0135021638</v>
      </c>
      <c r="FE6" s="201">
        <f t="shared" si="12"/>
        <v>8166239.0135021638</v>
      </c>
      <c r="FF6" s="201">
        <f t="shared" si="12"/>
        <v>8166239.0135021638</v>
      </c>
      <c r="FG6" s="201">
        <f t="shared" si="12"/>
        <v>8166239.0135021638</v>
      </c>
      <c r="FH6" s="201">
        <f t="shared" si="12"/>
        <v>8166239.0135021638</v>
      </c>
      <c r="FI6" s="201">
        <f t="shared" si="12"/>
        <v>8166239.0135021638</v>
      </c>
      <c r="FJ6" s="201">
        <f t="shared" si="12"/>
        <v>8166239.0135021638</v>
      </c>
      <c r="FK6" s="201">
        <f t="shared" si="12"/>
        <v>8166239.0135021638</v>
      </c>
      <c r="FL6" s="201">
        <f t="shared" si="12"/>
        <v>8166239.0135021638</v>
      </c>
      <c r="FM6" s="201">
        <f t="shared" si="12"/>
        <v>8166239.0135021638</v>
      </c>
      <c r="FN6" s="201">
        <f t="shared" si="12"/>
        <v>8166239.0135021638</v>
      </c>
      <c r="FO6" s="201">
        <f t="shared" si="12"/>
        <v>8166239.0135021638</v>
      </c>
      <c r="FP6" s="201">
        <f t="shared" si="12"/>
        <v>8166239.0135021638</v>
      </c>
      <c r="FQ6" s="201">
        <f t="shared" si="12"/>
        <v>8166239.0135021638</v>
      </c>
      <c r="FR6" s="201">
        <f t="shared" si="12"/>
        <v>8166239.0135021638</v>
      </c>
      <c r="FS6" s="201">
        <f t="shared" si="12"/>
        <v>8166239.0135021638</v>
      </c>
      <c r="FT6" s="201">
        <f t="shared" si="12"/>
        <v>8166239.0135021638</v>
      </c>
      <c r="FU6" s="201">
        <f t="shared" si="12"/>
        <v>8166239.0135021638</v>
      </c>
      <c r="FV6" s="201">
        <f t="shared" si="12"/>
        <v>8166239.0135021638</v>
      </c>
      <c r="FW6" s="201">
        <f t="shared" si="12"/>
        <v>8166239.0135021638</v>
      </c>
      <c r="FX6" s="201">
        <f t="shared" si="12"/>
        <v>8166239.0135021638</v>
      </c>
      <c r="FY6" s="201">
        <f t="shared" si="12"/>
        <v>8166239.0135021638</v>
      </c>
      <c r="FZ6" s="201">
        <f t="shared" si="12"/>
        <v>8166239.0135021638</v>
      </c>
      <c r="GA6" s="201">
        <f t="shared" si="12"/>
        <v>8166239.0135021638</v>
      </c>
      <c r="GB6" s="201">
        <f t="shared" si="12"/>
        <v>8166239.0135021638</v>
      </c>
      <c r="GC6" s="201">
        <f t="shared" si="12"/>
        <v>8166239.0135021638</v>
      </c>
      <c r="GD6" s="201">
        <f t="shared" si="12"/>
        <v>8166239.0135021638</v>
      </c>
      <c r="GE6" s="201">
        <f t="shared" si="12"/>
        <v>8166239.0135021638</v>
      </c>
      <c r="GF6" s="201">
        <f t="shared" si="12"/>
        <v>8166239.0135021638</v>
      </c>
      <c r="GG6" s="201">
        <f t="shared" si="12"/>
        <v>8166239.0135021638</v>
      </c>
      <c r="GH6" s="201">
        <f t="shared" si="12"/>
        <v>8166239.0135021638</v>
      </c>
      <c r="GI6" s="201">
        <f t="shared" si="12"/>
        <v>8166239.0135021638</v>
      </c>
      <c r="GJ6" s="201">
        <f t="shared" si="12"/>
        <v>8166239.0135021638</v>
      </c>
      <c r="GK6" s="201">
        <f t="shared" si="12"/>
        <v>8166239.0135021638</v>
      </c>
      <c r="GL6" s="201">
        <f t="shared" si="12"/>
        <v>8166239.0135021638</v>
      </c>
      <c r="GM6" s="201">
        <f t="shared" si="12"/>
        <v>8166239.0135021638</v>
      </c>
      <c r="GN6" s="201">
        <f t="shared" si="12"/>
        <v>8166239.0135021638</v>
      </c>
      <c r="GO6" s="201">
        <f t="shared" si="12"/>
        <v>8166239.0135021638</v>
      </c>
      <c r="GP6" s="201">
        <f t="shared" si="12"/>
        <v>8166239.0135021638</v>
      </c>
      <c r="GQ6" s="201">
        <f t="shared" si="12"/>
        <v>8166239.0135021638</v>
      </c>
      <c r="GR6" s="201">
        <f t="shared" si="12"/>
        <v>8166239.0135021638</v>
      </c>
      <c r="GS6" s="201">
        <f t="shared" ref="GS6:JD6" si="13">GR6+GS5</f>
        <v>8166239.0135021638</v>
      </c>
      <c r="GT6" s="201">
        <f t="shared" si="13"/>
        <v>8166239.0135021638</v>
      </c>
      <c r="GU6" s="201">
        <f t="shared" si="13"/>
        <v>8166239.0135021638</v>
      </c>
      <c r="GV6" s="201">
        <f t="shared" si="13"/>
        <v>8166239.0135021638</v>
      </c>
      <c r="GW6" s="201">
        <f t="shared" si="13"/>
        <v>8166239.0135021638</v>
      </c>
      <c r="GX6" s="201">
        <f t="shared" si="13"/>
        <v>8166239.0135021638</v>
      </c>
      <c r="GY6" s="201">
        <f t="shared" si="13"/>
        <v>8166239.0135021638</v>
      </c>
      <c r="GZ6" s="201">
        <f t="shared" si="13"/>
        <v>8166239.0135021638</v>
      </c>
      <c r="HA6" s="201">
        <f t="shared" si="13"/>
        <v>8166239.0135021638</v>
      </c>
      <c r="HB6" s="201">
        <f t="shared" si="13"/>
        <v>8166239.0135021638</v>
      </c>
      <c r="HC6" s="201">
        <f t="shared" si="13"/>
        <v>8166239.0135021638</v>
      </c>
      <c r="HD6" s="201">
        <f t="shared" si="13"/>
        <v>8166239.0135021638</v>
      </c>
      <c r="HE6" s="201">
        <f t="shared" si="13"/>
        <v>8166239.0135021638</v>
      </c>
      <c r="HF6" s="201">
        <f t="shared" si="13"/>
        <v>8166239.0135021638</v>
      </c>
      <c r="HG6" s="201">
        <f t="shared" si="13"/>
        <v>8166239.0135021638</v>
      </c>
      <c r="HH6" s="201">
        <f t="shared" si="13"/>
        <v>8166239.0135021638</v>
      </c>
      <c r="HI6" s="201">
        <f t="shared" si="13"/>
        <v>8166239.0135021638</v>
      </c>
      <c r="HJ6" s="201">
        <f t="shared" si="13"/>
        <v>8166239.0135021638</v>
      </c>
      <c r="HK6" s="201">
        <f t="shared" si="13"/>
        <v>8166239.0135021638</v>
      </c>
      <c r="HL6" s="201">
        <f t="shared" si="13"/>
        <v>8166239.0135021638</v>
      </c>
      <c r="HM6" s="201">
        <f t="shared" si="13"/>
        <v>8166239.0135021638</v>
      </c>
      <c r="HN6" s="201">
        <f t="shared" si="13"/>
        <v>8166239.0135021638</v>
      </c>
      <c r="HO6" s="201">
        <f t="shared" si="13"/>
        <v>8166239.0135021638</v>
      </c>
      <c r="HP6" s="201">
        <f t="shared" si="13"/>
        <v>8166239.0135021638</v>
      </c>
      <c r="HQ6" s="201">
        <f t="shared" si="13"/>
        <v>8166239.0135021638</v>
      </c>
      <c r="HR6" s="201">
        <f t="shared" si="13"/>
        <v>8166239.0135021638</v>
      </c>
      <c r="HS6" s="201">
        <f t="shared" si="13"/>
        <v>8166239.0135021638</v>
      </c>
      <c r="HT6" s="201">
        <f t="shared" si="13"/>
        <v>8166239.0135021638</v>
      </c>
      <c r="HU6" s="201">
        <f t="shared" si="13"/>
        <v>8166239.0135021638</v>
      </c>
      <c r="HV6" s="201">
        <f t="shared" si="13"/>
        <v>8166239.0135021638</v>
      </c>
      <c r="HW6" s="201">
        <f t="shared" si="13"/>
        <v>8166239.0135021638</v>
      </c>
      <c r="HX6" s="201">
        <f t="shared" si="13"/>
        <v>8166239.0135021638</v>
      </c>
      <c r="HY6" s="201">
        <f t="shared" si="13"/>
        <v>8166239.0135021638</v>
      </c>
      <c r="HZ6" s="201">
        <f t="shared" si="13"/>
        <v>8166239.0135021638</v>
      </c>
      <c r="IA6" s="201">
        <f t="shared" si="13"/>
        <v>8166239.0135021638</v>
      </c>
      <c r="IB6" s="201">
        <f t="shared" si="13"/>
        <v>8166239.0135021638</v>
      </c>
      <c r="IC6" s="201">
        <f t="shared" si="13"/>
        <v>8166239.0135021638</v>
      </c>
      <c r="ID6" s="201">
        <f t="shared" si="13"/>
        <v>8166239.0135021638</v>
      </c>
      <c r="IE6" s="201">
        <f t="shared" si="13"/>
        <v>8166239.0135021638</v>
      </c>
      <c r="IF6" s="201">
        <f t="shared" si="13"/>
        <v>8166239.0135021638</v>
      </c>
      <c r="IG6" s="201">
        <f t="shared" si="13"/>
        <v>8166239.0135021638</v>
      </c>
      <c r="IH6" s="201">
        <f t="shared" si="13"/>
        <v>8166239.0135021638</v>
      </c>
      <c r="II6" s="201">
        <f t="shared" si="13"/>
        <v>8166239.0135021638</v>
      </c>
      <c r="IJ6" s="201">
        <f t="shared" si="13"/>
        <v>8166239.0135021638</v>
      </c>
      <c r="IK6" s="201">
        <f t="shared" si="13"/>
        <v>8166239.0135021638</v>
      </c>
      <c r="IL6" s="201">
        <f t="shared" si="13"/>
        <v>8166239.0135021638</v>
      </c>
      <c r="IM6" s="201">
        <f t="shared" si="13"/>
        <v>8166239.0135021638</v>
      </c>
      <c r="IN6" s="201">
        <f t="shared" si="13"/>
        <v>8166239.0135021638</v>
      </c>
      <c r="IO6" s="201">
        <f t="shared" si="13"/>
        <v>8166239.0135021638</v>
      </c>
      <c r="IP6" s="201">
        <f t="shared" si="13"/>
        <v>8166239.0135021638</v>
      </c>
      <c r="IQ6" s="201">
        <f t="shared" si="13"/>
        <v>8166239.0135021638</v>
      </c>
      <c r="IR6" s="201">
        <f t="shared" si="13"/>
        <v>8166239.0135021638</v>
      </c>
      <c r="IS6" s="201">
        <f t="shared" si="13"/>
        <v>8166239.0135021638</v>
      </c>
      <c r="IT6" s="201">
        <f t="shared" si="13"/>
        <v>8166239.0135021638</v>
      </c>
      <c r="IU6" s="201">
        <f t="shared" si="13"/>
        <v>8166239.0135021638</v>
      </c>
      <c r="IV6" s="201">
        <f t="shared" si="13"/>
        <v>8166239.0135021638</v>
      </c>
      <c r="IW6" s="201">
        <f t="shared" si="13"/>
        <v>8166239.0135021638</v>
      </c>
      <c r="IX6" s="201">
        <f t="shared" si="13"/>
        <v>8166239.0135021638</v>
      </c>
      <c r="IY6" s="201">
        <f t="shared" si="13"/>
        <v>8166239.0135021638</v>
      </c>
      <c r="IZ6" s="201">
        <f t="shared" si="13"/>
        <v>8166239.0135021638</v>
      </c>
      <c r="JA6" s="201">
        <f t="shared" si="13"/>
        <v>8166239.0135021638</v>
      </c>
      <c r="JB6" s="201">
        <f t="shared" si="13"/>
        <v>8166239.0135021638</v>
      </c>
      <c r="JC6" s="201">
        <f t="shared" si="13"/>
        <v>8166239.0135021638</v>
      </c>
      <c r="JD6" s="201">
        <f t="shared" si="13"/>
        <v>8166239.0135021638</v>
      </c>
      <c r="JE6" s="201">
        <f t="shared" ref="JE6:LD6" si="14">JD6+JE5</f>
        <v>8166239.0135021638</v>
      </c>
      <c r="JF6" s="201">
        <f t="shared" si="14"/>
        <v>8166239.0135021638</v>
      </c>
      <c r="JG6" s="201">
        <f t="shared" si="14"/>
        <v>8166239.0135021638</v>
      </c>
      <c r="JH6" s="201">
        <f t="shared" si="14"/>
        <v>8166239.0135021638</v>
      </c>
      <c r="JI6" s="201">
        <f t="shared" si="14"/>
        <v>8166239.0135021638</v>
      </c>
      <c r="JJ6" s="201">
        <f t="shared" si="14"/>
        <v>8166239.0135021638</v>
      </c>
      <c r="JK6" s="201">
        <f t="shared" si="14"/>
        <v>8166239.0135021638</v>
      </c>
      <c r="JL6" s="201">
        <f t="shared" si="14"/>
        <v>8166239.0135021638</v>
      </c>
      <c r="JM6" s="201">
        <f t="shared" si="14"/>
        <v>8166239.0135021638</v>
      </c>
      <c r="JN6" s="201">
        <f t="shared" si="14"/>
        <v>8166239.0135021638</v>
      </c>
      <c r="JO6" s="201">
        <f t="shared" si="14"/>
        <v>8166239.0135021638</v>
      </c>
      <c r="JP6" s="201">
        <f t="shared" si="14"/>
        <v>8166239.0135021638</v>
      </c>
      <c r="JQ6" s="201">
        <f t="shared" si="14"/>
        <v>8166239.0135021638</v>
      </c>
      <c r="JR6" s="201">
        <f t="shared" si="14"/>
        <v>8166239.0135021638</v>
      </c>
      <c r="JS6" s="201">
        <f t="shared" si="14"/>
        <v>8166239.0135021638</v>
      </c>
      <c r="JT6" s="201">
        <f t="shared" si="14"/>
        <v>8166239.0135021638</v>
      </c>
      <c r="JU6" s="201">
        <f t="shared" si="14"/>
        <v>8166239.0135021638</v>
      </c>
      <c r="JV6" s="201">
        <f t="shared" si="14"/>
        <v>8166239.0135021638</v>
      </c>
      <c r="JW6" s="201">
        <f t="shared" si="14"/>
        <v>8166239.0135021638</v>
      </c>
      <c r="JX6" s="201">
        <f t="shared" si="14"/>
        <v>8166239.0135021638</v>
      </c>
      <c r="JY6" s="201">
        <f t="shared" si="14"/>
        <v>8166239.0135021638</v>
      </c>
      <c r="JZ6" s="201">
        <f t="shared" si="14"/>
        <v>8166239.0135021638</v>
      </c>
      <c r="KA6" s="201">
        <f t="shared" si="14"/>
        <v>8166239.0135021638</v>
      </c>
      <c r="KB6" s="201">
        <f t="shared" si="14"/>
        <v>8166239.0135021638</v>
      </c>
      <c r="KC6" s="201">
        <f t="shared" si="14"/>
        <v>8166239.0135021638</v>
      </c>
      <c r="KD6" s="201">
        <f t="shared" si="14"/>
        <v>8166239.0135021638</v>
      </c>
      <c r="KE6" s="201">
        <f t="shared" si="14"/>
        <v>8166239.0135021638</v>
      </c>
      <c r="KF6" s="201">
        <f t="shared" si="14"/>
        <v>8166239.0135021638</v>
      </c>
      <c r="KG6" s="201">
        <f t="shared" si="14"/>
        <v>8166239.0135021638</v>
      </c>
      <c r="KH6" s="201">
        <f t="shared" si="14"/>
        <v>8166239.0135021638</v>
      </c>
      <c r="KI6" s="201">
        <f t="shared" si="14"/>
        <v>8166239.0135021638</v>
      </c>
      <c r="KJ6" s="201">
        <f t="shared" si="14"/>
        <v>8166239.0135021638</v>
      </c>
      <c r="KK6" s="201">
        <f t="shared" si="14"/>
        <v>8166239.0135021638</v>
      </c>
      <c r="KL6" s="201">
        <f t="shared" si="14"/>
        <v>8166239.0135021638</v>
      </c>
      <c r="KM6" s="201">
        <f t="shared" si="14"/>
        <v>8166239.0135021638</v>
      </c>
      <c r="KN6" s="201">
        <f t="shared" si="14"/>
        <v>8166239.0135021638</v>
      </c>
      <c r="KO6" s="201">
        <f t="shared" si="14"/>
        <v>8166239.0135021638</v>
      </c>
      <c r="KP6" s="201">
        <f t="shared" si="14"/>
        <v>8166239.0135021638</v>
      </c>
      <c r="KQ6" s="201">
        <f t="shared" si="14"/>
        <v>8166239.0135021638</v>
      </c>
      <c r="KR6" s="201">
        <f t="shared" si="14"/>
        <v>8166239.0135021638</v>
      </c>
      <c r="KS6" s="201">
        <f t="shared" si="14"/>
        <v>8166239.0135021638</v>
      </c>
      <c r="KT6" s="201">
        <f t="shared" si="14"/>
        <v>8166239.0135021638</v>
      </c>
      <c r="KU6" s="201">
        <f t="shared" si="14"/>
        <v>8166239.0135021638</v>
      </c>
      <c r="KV6" s="201">
        <f t="shared" si="14"/>
        <v>8166239.0135021638</v>
      </c>
      <c r="KW6" s="201">
        <f t="shared" si="14"/>
        <v>8166239.0135021638</v>
      </c>
      <c r="KX6" s="201">
        <f t="shared" si="14"/>
        <v>8166239.0135021638</v>
      </c>
      <c r="KY6" s="201">
        <f t="shared" si="14"/>
        <v>8166239.0135021638</v>
      </c>
      <c r="KZ6" s="201">
        <f t="shared" si="14"/>
        <v>8166239.0135021638</v>
      </c>
      <c r="LA6" s="201">
        <f t="shared" si="14"/>
        <v>8166239.0135021638</v>
      </c>
      <c r="LB6" s="201">
        <f t="shared" si="14"/>
        <v>8166239.0135021638</v>
      </c>
      <c r="LC6" s="201">
        <f t="shared" si="14"/>
        <v>8166239.0135021638</v>
      </c>
      <c r="LD6" s="201">
        <f t="shared" si="14"/>
        <v>8166239.0135021638</v>
      </c>
      <c r="LE6" s="191"/>
      <c r="LF6" s="202"/>
    </row>
    <row r="7" spans="1:794">
      <c r="A7" s="805"/>
      <c r="B7" s="204" t="s">
        <v>443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1738569.7220000001</v>
      </c>
      <c r="U7" s="207">
        <f t="shared" si="16"/>
        <v>1721944.7220000001</v>
      </c>
      <c r="V7" s="207">
        <f t="shared" si="16"/>
        <v>950019.72200000007</v>
      </c>
      <c r="W7" s="207">
        <f t="shared" si="16"/>
        <v>950019.72200000007</v>
      </c>
      <c r="X7" s="207">
        <f t="shared" si="16"/>
        <v>935019.72200000007</v>
      </c>
      <c r="Y7" s="207">
        <f t="shared" si="16"/>
        <v>935019.72200000007</v>
      </c>
      <c r="Z7" s="207">
        <f t="shared" si="16"/>
        <v>935019.72200000007</v>
      </c>
      <c r="AA7" s="207">
        <f t="shared" si="16"/>
        <v>935019.72200000007</v>
      </c>
      <c r="AB7" s="207">
        <f t="shared" si="16"/>
        <v>935019.72200000007</v>
      </c>
      <c r="AC7" s="207">
        <f t="shared" si="16"/>
        <v>935019.72200000007</v>
      </c>
      <c r="AD7" s="207">
        <f t="shared" si="16"/>
        <v>-864980.27799999993</v>
      </c>
      <c r="AE7" s="207">
        <f t="shared" si="16"/>
        <v>-898980.27799999993</v>
      </c>
      <c r="AF7" s="207">
        <f t="shared" si="16"/>
        <v>404947.01349999988</v>
      </c>
      <c r="AG7" s="207">
        <f t="shared" si="16"/>
        <v>-3046038.4665000006</v>
      </c>
      <c r="AH7" s="207">
        <f t="shared" si="16"/>
        <v>-3046038.4665000006</v>
      </c>
      <c r="AI7" s="207">
        <f t="shared" si="16"/>
        <v>-1307468.7445</v>
      </c>
      <c r="AJ7" s="207">
        <f t="shared" si="16"/>
        <v>-2616412.6445000004</v>
      </c>
      <c r="AK7" s="207">
        <f t="shared" si="16"/>
        <v>-2616412.6445000004</v>
      </c>
      <c r="AL7" s="207">
        <f t="shared" si="16"/>
        <v>-2624912.6445000004</v>
      </c>
      <c r="AM7" s="207">
        <f t="shared" si="16"/>
        <v>-2624912.6445000004</v>
      </c>
      <c r="AN7" s="207">
        <f t="shared" si="16"/>
        <v>-2624912.6445000004</v>
      </c>
      <c r="AO7" s="207">
        <f t="shared" si="16"/>
        <v>-2624912.6445000004</v>
      </c>
      <c r="AP7" s="207">
        <f t="shared" si="16"/>
        <v>-3098629.5420021629</v>
      </c>
      <c r="AQ7" s="207">
        <f t="shared" si="16"/>
        <v>-3098629.5420021629</v>
      </c>
      <c r="AR7" s="207">
        <f t="shared" si="16"/>
        <v>-3098629.5420021629</v>
      </c>
      <c r="AS7" s="207">
        <f t="shared" si="16"/>
        <v>-3098629.5420021629</v>
      </c>
      <c r="AT7" s="207">
        <f t="shared" si="16"/>
        <v>-3098629.5420021629</v>
      </c>
      <c r="AU7" s="207">
        <f t="shared" si="16"/>
        <v>378509.90199783724</v>
      </c>
      <c r="AV7" s="207">
        <f t="shared" si="16"/>
        <v>378509.90199783724</v>
      </c>
      <c r="AW7" s="207">
        <f t="shared" si="16"/>
        <v>378509.90199783724</v>
      </c>
      <c r="AX7" s="207">
        <f t="shared" si="16"/>
        <v>378509.90199783724</v>
      </c>
      <c r="AY7" s="207">
        <f t="shared" si="16"/>
        <v>378509.90199783724</v>
      </c>
      <c r="AZ7" s="207">
        <f t="shared" si="16"/>
        <v>378509.90199783724</v>
      </c>
      <c r="BA7" s="207">
        <f t="shared" si="16"/>
        <v>378509.90199783724</v>
      </c>
      <c r="BB7" s="207">
        <f t="shared" si="16"/>
        <v>378509.90199783724</v>
      </c>
      <c r="BC7" s="207">
        <f t="shared" si="16"/>
        <v>91967.165997836739</v>
      </c>
      <c r="BD7" s="207">
        <f t="shared" si="16"/>
        <v>91967.165997836739</v>
      </c>
      <c r="BE7" s="207">
        <f t="shared" si="16"/>
        <v>91967.165997836739</v>
      </c>
      <c r="BF7" s="207">
        <f t="shared" si="16"/>
        <v>91967.165997836739</v>
      </c>
      <c r="BG7" s="207">
        <f t="shared" si="16"/>
        <v>91967.165997836739</v>
      </c>
      <c r="BH7" s="207">
        <f t="shared" si="16"/>
        <v>91967.165997836739</v>
      </c>
      <c r="BI7" s="207">
        <f t="shared" si="16"/>
        <v>91967.165997836739</v>
      </c>
      <c r="BJ7" s="207">
        <f t="shared" si="16"/>
        <v>91967.165997836739</v>
      </c>
      <c r="BK7" s="207">
        <f t="shared" si="16"/>
        <v>91967.165997836739</v>
      </c>
      <c r="BL7" s="207">
        <f t="shared" si="16"/>
        <v>91967.165997836739</v>
      </c>
      <c r="BM7" s="207">
        <f t="shared" si="16"/>
        <v>526609.59649783745</v>
      </c>
      <c r="BN7" s="207">
        <f t="shared" si="16"/>
        <v>526609.59649783745</v>
      </c>
      <c r="BO7" s="207">
        <f t="shared" si="16"/>
        <v>526609.59649783745</v>
      </c>
      <c r="BP7" s="207">
        <f t="shared" si="16"/>
        <v>526609.59649783745</v>
      </c>
      <c r="BQ7" s="207">
        <f t="shared" si="16"/>
        <v>526609.59649783745</v>
      </c>
      <c r="BR7" s="207">
        <f t="shared" si="16"/>
        <v>526609.59649783745</v>
      </c>
      <c r="BS7" s="207">
        <f t="shared" si="16"/>
        <v>526609.59649783745</v>
      </c>
      <c r="BT7" s="207">
        <f t="shared" si="16"/>
        <v>526609.59649783745</v>
      </c>
      <c r="BU7" s="207">
        <f t="shared" ref="BU7:EF7" si="17">BU4-BU6</f>
        <v>526609.59649783745</v>
      </c>
      <c r="BV7" s="207">
        <f t="shared" si="17"/>
        <v>526609.59649783745</v>
      </c>
      <c r="BW7" s="207">
        <f t="shared" si="17"/>
        <v>526609.59649783745</v>
      </c>
      <c r="BX7" s="207">
        <f t="shared" si="17"/>
        <v>526609.59649783745</v>
      </c>
      <c r="BY7" s="207">
        <f t="shared" si="17"/>
        <v>526609.59649783745</v>
      </c>
      <c r="BZ7" s="207">
        <f t="shared" si="17"/>
        <v>526609.59649783745</v>
      </c>
      <c r="CA7" s="207">
        <f t="shared" si="17"/>
        <v>526609.59649783745</v>
      </c>
      <c r="CB7" s="207">
        <f t="shared" si="17"/>
        <v>526609.59649783745</v>
      </c>
      <c r="CC7" s="207">
        <f t="shared" si="17"/>
        <v>526609.59649783745</v>
      </c>
      <c r="CD7" s="207">
        <f t="shared" si="17"/>
        <v>526609.59649783745</v>
      </c>
      <c r="CE7" s="207">
        <f t="shared" si="17"/>
        <v>526609.59649783745</v>
      </c>
      <c r="CF7" s="207">
        <f t="shared" si="17"/>
        <v>526609.59649783745</v>
      </c>
      <c r="CG7" s="207">
        <f t="shared" si="17"/>
        <v>526609.59649783745</v>
      </c>
      <c r="CH7" s="207">
        <f t="shared" si="17"/>
        <v>526609.59649783745</v>
      </c>
      <c r="CI7" s="207">
        <f t="shared" si="17"/>
        <v>526609.59649783745</v>
      </c>
      <c r="CJ7" s="207">
        <f t="shared" si="17"/>
        <v>526609.59649783745</v>
      </c>
      <c r="CK7" s="207">
        <f t="shared" si="17"/>
        <v>526609.59649783745</v>
      </c>
      <c r="CL7" s="207">
        <f t="shared" si="17"/>
        <v>526609.59649783745</v>
      </c>
      <c r="CM7" s="207">
        <f t="shared" si="17"/>
        <v>526609.59649783745</v>
      </c>
      <c r="CN7" s="207">
        <f t="shared" si="17"/>
        <v>526609.59649783745</v>
      </c>
      <c r="CO7" s="207">
        <f t="shared" si="17"/>
        <v>526609.59649783745</v>
      </c>
      <c r="CP7" s="207">
        <f t="shared" si="17"/>
        <v>526609.59649783745</v>
      </c>
      <c r="CQ7" s="207">
        <f t="shared" si="17"/>
        <v>526609.59649783745</v>
      </c>
      <c r="CR7" s="207">
        <f t="shared" si="17"/>
        <v>526609.59649783745</v>
      </c>
      <c r="CS7" s="207">
        <f t="shared" si="17"/>
        <v>526609.59649783745</v>
      </c>
      <c r="CT7" s="207">
        <f t="shared" si="17"/>
        <v>526609.59649783745</v>
      </c>
      <c r="CU7" s="207">
        <f t="shared" si="17"/>
        <v>526609.59649783745</v>
      </c>
      <c r="CV7" s="207">
        <f t="shared" si="17"/>
        <v>526609.59649783745</v>
      </c>
      <c r="CW7" s="207">
        <f t="shared" si="17"/>
        <v>526609.59649783745</v>
      </c>
      <c r="CX7" s="207">
        <f t="shared" si="17"/>
        <v>526609.59649783745</v>
      </c>
      <c r="CY7" s="207">
        <f t="shared" si="17"/>
        <v>526609.59649783745</v>
      </c>
      <c r="CZ7" s="207">
        <f t="shared" si="17"/>
        <v>526609.59649783745</v>
      </c>
      <c r="DA7" s="207">
        <f t="shared" si="17"/>
        <v>526609.59649783745</v>
      </c>
      <c r="DB7" s="207">
        <f t="shared" si="17"/>
        <v>526609.59649783745</v>
      </c>
      <c r="DC7" s="207">
        <f t="shared" si="17"/>
        <v>526609.59649783745</v>
      </c>
      <c r="DD7" s="207">
        <f t="shared" si="17"/>
        <v>526609.59649783745</v>
      </c>
      <c r="DE7" s="207">
        <f t="shared" si="17"/>
        <v>526609.59649783745</v>
      </c>
      <c r="DF7" s="207">
        <f t="shared" si="17"/>
        <v>526609.59649783745</v>
      </c>
      <c r="DG7" s="207">
        <f t="shared" si="17"/>
        <v>526609.59649783745</v>
      </c>
      <c r="DH7" s="207">
        <f t="shared" si="17"/>
        <v>526609.59649783745</v>
      </c>
      <c r="DI7" s="207">
        <f t="shared" si="17"/>
        <v>526609.59649783745</v>
      </c>
      <c r="DJ7" s="207">
        <f t="shared" si="17"/>
        <v>526609.59649783745</v>
      </c>
      <c r="DK7" s="207">
        <f t="shared" si="17"/>
        <v>526609.59649783745</v>
      </c>
      <c r="DL7" s="207">
        <f t="shared" si="17"/>
        <v>526609.59649783745</v>
      </c>
      <c r="DM7" s="207">
        <f t="shared" si="17"/>
        <v>526609.59649783745</v>
      </c>
      <c r="DN7" s="207">
        <f t="shared" si="17"/>
        <v>526609.59649783745</v>
      </c>
      <c r="DO7" s="207">
        <f t="shared" si="17"/>
        <v>526609.59649783745</v>
      </c>
      <c r="DP7" s="207">
        <f t="shared" si="17"/>
        <v>526609.59649783745</v>
      </c>
      <c r="DQ7" s="207">
        <f t="shared" si="17"/>
        <v>526609.59649783745</v>
      </c>
      <c r="DR7" s="207">
        <f t="shared" si="17"/>
        <v>526609.59649783745</v>
      </c>
      <c r="DS7" s="207">
        <f t="shared" si="17"/>
        <v>526609.59649783745</v>
      </c>
      <c r="DT7" s="207">
        <f t="shared" si="17"/>
        <v>526609.59649783745</v>
      </c>
      <c r="DU7" s="207">
        <f t="shared" si="17"/>
        <v>526609.59649783745</v>
      </c>
      <c r="DV7" s="207">
        <f t="shared" si="17"/>
        <v>526609.59649783745</v>
      </c>
      <c r="DW7" s="207">
        <f t="shared" si="17"/>
        <v>526609.59649783745</v>
      </c>
      <c r="DX7" s="207">
        <f t="shared" si="17"/>
        <v>526609.59649783745</v>
      </c>
      <c r="DY7" s="207">
        <f t="shared" si="17"/>
        <v>526609.59649783745</v>
      </c>
      <c r="DZ7" s="207">
        <f t="shared" si="17"/>
        <v>526609.59649783745</v>
      </c>
      <c r="EA7" s="207">
        <f t="shared" si="17"/>
        <v>526609.59649783745</v>
      </c>
      <c r="EB7" s="207">
        <f t="shared" si="17"/>
        <v>526609.59649783745</v>
      </c>
      <c r="EC7" s="207">
        <f t="shared" si="17"/>
        <v>526609.59649783745</v>
      </c>
      <c r="ED7" s="207">
        <f t="shared" si="17"/>
        <v>526609.59649783745</v>
      </c>
      <c r="EE7" s="207">
        <f t="shared" si="17"/>
        <v>526609.59649783745</v>
      </c>
      <c r="EF7" s="207">
        <f t="shared" si="17"/>
        <v>526609.59649783745</v>
      </c>
      <c r="EG7" s="207">
        <f t="shared" ref="EG7:GR7" si="18">EG4-EG6</f>
        <v>526609.59649783745</v>
      </c>
      <c r="EH7" s="207">
        <f t="shared" si="18"/>
        <v>526609.59649783745</v>
      </c>
      <c r="EI7" s="207">
        <f t="shared" si="18"/>
        <v>526609.59649783745</v>
      </c>
      <c r="EJ7" s="207">
        <f t="shared" si="18"/>
        <v>526609.59649783745</v>
      </c>
      <c r="EK7" s="207">
        <f t="shared" si="18"/>
        <v>526609.59649783745</v>
      </c>
      <c r="EL7" s="207">
        <f t="shared" si="18"/>
        <v>526609.59649783745</v>
      </c>
      <c r="EM7" s="207">
        <f t="shared" si="18"/>
        <v>526609.59649783745</v>
      </c>
      <c r="EN7" s="207">
        <f t="shared" si="18"/>
        <v>526609.59649783745</v>
      </c>
      <c r="EO7" s="207">
        <f t="shared" si="18"/>
        <v>526609.59649783745</v>
      </c>
      <c r="EP7" s="207">
        <f t="shared" si="18"/>
        <v>526609.59649783745</v>
      </c>
      <c r="EQ7" s="207">
        <f t="shared" si="18"/>
        <v>526609.59649783745</v>
      </c>
      <c r="ER7" s="207">
        <f t="shared" si="18"/>
        <v>526609.59649783745</v>
      </c>
      <c r="ES7" s="207">
        <f t="shared" si="18"/>
        <v>526609.59649783745</v>
      </c>
      <c r="ET7" s="207">
        <f t="shared" si="18"/>
        <v>526609.59649783745</v>
      </c>
      <c r="EU7" s="207">
        <f t="shared" si="18"/>
        <v>526609.59649783745</v>
      </c>
      <c r="EV7" s="207">
        <f t="shared" si="18"/>
        <v>526609.59649783745</v>
      </c>
      <c r="EW7" s="207">
        <f t="shared" si="18"/>
        <v>526609.59649783745</v>
      </c>
      <c r="EX7" s="207">
        <f t="shared" si="18"/>
        <v>526609.59649783745</v>
      </c>
      <c r="EY7" s="207">
        <f t="shared" si="18"/>
        <v>526609.59649783745</v>
      </c>
      <c r="EZ7" s="207">
        <f t="shared" si="18"/>
        <v>526609.59649783745</v>
      </c>
      <c r="FA7" s="207">
        <f t="shared" si="18"/>
        <v>526609.59649783745</v>
      </c>
      <c r="FB7" s="207">
        <f t="shared" si="18"/>
        <v>526609.59649783745</v>
      </c>
      <c r="FC7" s="207">
        <f t="shared" si="18"/>
        <v>526609.59649783745</v>
      </c>
      <c r="FD7" s="207">
        <f t="shared" si="18"/>
        <v>526609.59649783745</v>
      </c>
      <c r="FE7" s="207">
        <f t="shared" si="18"/>
        <v>526609.59649783745</v>
      </c>
      <c r="FF7" s="207">
        <f t="shared" si="18"/>
        <v>526609.59649783745</v>
      </c>
      <c r="FG7" s="207">
        <f t="shared" si="18"/>
        <v>526609.59649783745</v>
      </c>
      <c r="FH7" s="207">
        <f t="shared" si="18"/>
        <v>526609.59649783745</v>
      </c>
      <c r="FI7" s="207">
        <f t="shared" si="18"/>
        <v>526609.59649783745</v>
      </c>
      <c r="FJ7" s="207">
        <f t="shared" si="18"/>
        <v>526609.59649783745</v>
      </c>
      <c r="FK7" s="207">
        <f t="shared" si="18"/>
        <v>526609.59649783745</v>
      </c>
      <c r="FL7" s="207">
        <f t="shared" si="18"/>
        <v>526609.59649783745</v>
      </c>
      <c r="FM7" s="207">
        <f t="shared" si="18"/>
        <v>526609.59649783745</v>
      </c>
      <c r="FN7" s="207">
        <f t="shared" si="18"/>
        <v>526609.59649783745</v>
      </c>
      <c r="FO7" s="207">
        <f t="shared" si="18"/>
        <v>526609.59649783745</v>
      </c>
      <c r="FP7" s="207">
        <f t="shared" si="18"/>
        <v>526609.59649783745</v>
      </c>
      <c r="FQ7" s="207">
        <f t="shared" si="18"/>
        <v>526609.59649783745</v>
      </c>
      <c r="FR7" s="207">
        <f t="shared" si="18"/>
        <v>526609.59649783745</v>
      </c>
      <c r="FS7" s="207">
        <f t="shared" si="18"/>
        <v>526609.59649783745</v>
      </c>
      <c r="FT7" s="207">
        <f t="shared" si="18"/>
        <v>526609.59649783745</v>
      </c>
      <c r="FU7" s="207">
        <f t="shared" si="18"/>
        <v>526609.59649783745</v>
      </c>
      <c r="FV7" s="207">
        <f t="shared" si="18"/>
        <v>526609.59649783745</v>
      </c>
      <c r="FW7" s="207">
        <f t="shared" si="18"/>
        <v>526609.59649783745</v>
      </c>
      <c r="FX7" s="207">
        <f t="shared" si="18"/>
        <v>526609.59649783745</v>
      </c>
      <c r="FY7" s="207">
        <f t="shared" si="18"/>
        <v>526609.59649783745</v>
      </c>
      <c r="FZ7" s="207">
        <f t="shared" si="18"/>
        <v>526609.59649783745</v>
      </c>
      <c r="GA7" s="207">
        <f t="shared" si="18"/>
        <v>526609.59649783745</v>
      </c>
      <c r="GB7" s="207">
        <f t="shared" si="18"/>
        <v>526609.59649783745</v>
      </c>
      <c r="GC7" s="207">
        <f t="shared" si="18"/>
        <v>526609.59649783745</v>
      </c>
      <c r="GD7" s="207">
        <f t="shared" si="18"/>
        <v>526609.59649783745</v>
      </c>
      <c r="GE7" s="207">
        <f t="shared" si="18"/>
        <v>526609.59649783745</v>
      </c>
      <c r="GF7" s="207">
        <f t="shared" si="18"/>
        <v>526609.59649783745</v>
      </c>
      <c r="GG7" s="207">
        <f t="shared" si="18"/>
        <v>526609.59649783745</v>
      </c>
      <c r="GH7" s="207">
        <f t="shared" si="18"/>
        <v>526609.59649783745</v>
      </c>
      <c r="GI7" s="207">
        <f t="shared" si="18"/>
        <v>526609.59649783745</v>
      </c>
      <c r="GJ7" s="207">
        <f t="shared" si="18"/>
        <v>526609.59649783745</v>
      </c>
      <c r="GK7" s="207">
        <f t="shared" si="18"/>
        <v>526609.59649783745</v>
      </c>
      <c r="GL7" s="207">
        <f t="shared" si="18"/>
        <v>526609.59649783745</v>
      </c>
      <c r="GM7" s="207">
        <f t="shared" si="18"/>
        <v>526609.59649783745</v>
      </c>
      <c r="GN7" s="207">
        <f t="shared" si="18"/>
        <v>526609.59649783745</v>
      </c>
      <c r="GO7" s="207">
        <f t="shared" si="18"/>
        <v>526609.59649783745</v>
      </c>
      <c r="GP7" s="207">
        <f t="shared" si="18"/>
        <v>526609.59649783745</v>
      </c>
      <c r="GQ7" s="207">
        <f t="shared" si="18"/>
        <v>526609.59649783745</v>
      </c>
      <c r="GR7" s="207">
        <f t="shared" si="18"/>
        <v>526609.59649783745</v>
      </c>
      <c r="GS7" s="207">
        <f t="shared" ref="GS7:JD7" si="19">GS4-GS6</f>
        <v>526609.59649783745</v>
      </c>
      <c r="GT7" s="207">
        <f t="shared" si="19"/>
        <v>526609.59649783745</v>
      </c>
      <c r="GU7" s="207">
        <f t="shared" si="19"/>
        <v>526609.59649783745</v>
      </c>
      <c r="GV7" s="207">
        <f t="shared" si="19"/>
        <v>526609.59649783745</v>
      </c>
      <c r="GW7" s="207">
        <f t="shared" si="19"/>
        <v>526609.59649783745</v>
      </c>
      <c r="GX7" s="207">
        <f t="shared" si="19"/>
        <v>526609.59649783745</v>
      </c>
      <c r="GY7" s="207">
        <f t="shared" si="19"/>
        <v>526609.59649783745</v>
      </c>
      <c r="GZ7" s="207">
        <f t="shared" si="19"/>
        <v>526609.59649783745</v>
      </c>
      <c r="HA7" s="207">
        <f t="shared" si="19"/>
        <v>526609.59649783745</v>
      </c>
      <c r="HB7" s="207">
        <f t="shared" si="19"/>
        <v>526609.59649783745</v>
      </c>
      <c r="HC7" s="207">
        <f t="shared" si="19"/>
        <v>526609.59649783745</v>
      </c>
      <c r="HD7" s="207">
        <f t="shared" si="19"/>
        <v>526609.59649783745</v>
      </c>
      <c r="HE7" s="207">
        <f t="shared" si="19"/>
        <v>526609.59649783745</v>
      </c>
      <c r="HF7" s="207">
        <f t="shared" si="19"/>
        <v>526609.59649783745</v>
      </c>
      <c r="HG7" s="207">
        <f t="shared" si="19"/>
        <v>526609.59649783745</v>
      </c>
      <c r="HH7" s="207">
        <f t="shared" si="19"/>
        <v>526609.59649783745</v>
      </c>
      <c r="HI7" s="207">
        <f t="shared" si="19"/>
        <v>526609.59649783745</v>
      </c>
      <c r="HJ7" s="207">
        <f t="shared" si="19"/>
        <v>526609.59649783745</v>
      </c>
      <c r="HK7" s="207">
        <f t="shared" si="19"/>
        <v>526609.59649783745</v>
      </c>
      <c r="HL7" s="207">
        <f t="shared" si="19"/>
        <v>526609.59649783745</v>
      </c>
      <c r="HM7" s="207">
        <f t="shared" si="19"/>
        <v>526609.59649783745</v>
      </c>
      <c r="HN7" s="207">
        <f t="shared" si="19"/>
        <v>526609.59649783745</v>
      </c>
      <c r="HO7" s="207">
        <f t="shared" si="19"/>
        <v>526609.59649783745</v>
      </c>
      <c r="HP7" s="207">
        <f t="shared" si="19"/>
        <v>526609.59649783745</v>
      </c>
      <c r="HQ7" s="207">
        <f t="shared" si="19"/>
        <v>526609.59649783745</v>
      </c>
      <c r="HR7" s="207">
        <f t="shared" si="19"/>
        <v>526609.59649783745</v>
      </c>
      <c r="HS7" s="207">
        <f t="shared" si="19"/>
        <v>526609.59649783745</v>
      </c>
      <c r="HT7" s="207">
        <f t="shared" si="19"/>
        <v>526609.59649783745</v>
      </c>
      <c r="HU7" s="207">
        <f t="shared" si="19"/>
        <v>526609.59649783745</v>
      </c>
      <c r="HV7" s="207">
        <f t="shared" si="19"/>
        <v>526609.59649783745</v>
      </c>
      <c r="HW7" s="207">
        <f t="shared" si="19"/>
        <v>526609.59649783745</v>
      </c>
      <c r="HX7" s="207">
        <f t="shared" si="19"/>
        <v>526609.59649783745</v>
      </c>
      <c r="HY7" s="207">
        <f t="shared" si="19"/>
        <v>526609.59649783745</v>
      </c>
      <c r="HZ7" s="207">
        <f t="shared" si="19"/>
        <v>526609.59649783745</v>
      </c>
      <c r="IA7" s="207">
        <f t="shared" si="19"/>
        <v>526609.59649783745</v>
      </c>
      <c r="IB7" s="207">
        <f t="shared" si="19"/>
        <v>526609.59649783745</v>
      </c>
      <c r="IC7" s="207">
        <f t="shared" si="19"/>
        <v>526609.59649783745</v>
      </c>
      <c r="ID7" s="207">
        <f t="shared" si="19"/>
        <v>526609.59649783745</v>
      </c>
      <c r="IE7" s="207">
        <f t="shared" si="19"/>
        <v>526609.59649783745</v>
      </c>
      <c r="IF7" s="207">
        <f t="shared" si="19"/>
        <v>526609.59649783745</v>
      </c>
      <c r="IG7" s="207">
        <f t="shared" si="19"/>
        <v>526609.59649783745</v>
      </c>
      <c r="IH7" s="207">
        <f t="shared" si="19"/>
        <v>526609.59649783745</v>
      </c>
      <c r="II7" s="207">
        <f t="shared" si="19"/>
        <v>526609.59649783745</v>
      </c>
      <c r="IJ7" s="207">
        <f t="shared" si="19"/>
        <v>526609.59649783745</v>
      </c>
      <c r="IK7" s="207">
        <f t="shared" si="19"/>
        <v>526609.59649783745</v>
      </c>
      <c r="IL7" s="207">
        <f t="shared" si="19"/>
        <v>526609.59649783745</v>
      </c>
      <c r="IM7" s="207">
        <f t="shared" si="19"/>
        <v>526609.59649783745</v>
      </c>
      <c r="IN7" s="207">
        <f t="shared" si="19"/>
        <v>526609.59649783745</v>
      </c>
      <c r="IO7" s="207">
        <f t="shared" si="19"/>
        <v>526609.59649783745</v>
      </c>
      <c r="IP7" s="207">
        <f t="shared" si="19"/>
        <v>526609.59649783745</v>
      </c>
      <c r="IQ7" s="207">
        <f t="shared" si="19"/>
        <v>526609.59649783745</v>
      </c>
      <c r="IR7" s="207">
        <f t="shared" si="19"/>
        <v>526609.59649783745</v>
      </c>
      <c r="IS7" s="207">
        <f t="shared" si="19"/>
        <v>526609.59649783745</v>
      </c>
      <c r="IT7" s="207">
        <f t="shared" si="19"/>
        <v>526609.59649783745</v>
      </c>
      <c r="IU7" s="207">
        <f t="shared" si="19"/>
        <v>526609.59649783745</v>
      </c>
      <c r="IV7" s="207">
        <f t="shared" si="19"/>
        <v>526609.59649783745</v>
      </c>
      <c r="IW7" s="207">
        <f t="shared" si="19"/>
        <v>526609.59649783745</v>
      </c>
      <c r="IX7" s="207">
        <f t="shared" si="19"/>
        <v>526609.59649783745</v>
      </c>
      <c r="IY7" s="207">
        <f t="shared" si="19"/>
        <v>526609.59649783745</v>
      </c>
      <c r="IZ7" s="207">
        <f t="shared" si="19"/>
        <v>526609.59649783745</v>
      </c>
      <c r="JA7" s="207">
        <f t="shared" si="19"/>
        <v>526609.59649783745</v>
      </c>
      <c r="JB7" s="207">
        <f t="shared" si="19"/>
        <v>526609.59649783745</v>
      </c>
      <c r="JC7" s="207">
        <f t="shared" si="19"/>
        <v>526609.59649783745</v>
      </c>
      <c r="JD7" s="207">
        <f t="shared" si="19"/>
        <v>526609.59649783745</v>
      </c>
      <c r="JE7" s="207">
        <f t="shared" ref="JE7:LD7" si="20">JE4-JE6</f>
        <v>526609.59649783745</v>
      </c>
      <c r="JF7" s="207">
        <f t="shared" si="20"/>
        <v>526609.59649783745</v>
      </c>
      <c r="JG7" s="207">
        <f t="shared" si="20"/>
        <v>526609.59649783745</v>
      </c>
      <c r="JH7" s="207">
        <f t="shared" si="20"/>
        <v>526609.59649783745</v>
      </c>
      <c r="JI7" s="207">
        <f t="shared" si="20"/>
        <v>526609.59649783745</v>
      </c>
      <c r="JJ7" s="207">
        <f t="shared" si="20"/>
        <v>526609.59649783745</v>
      </c>
      <c r="JK7" s="207">
        <f t="shared" si="20"/>
        <v>526609.59649783745</v>
      </c>
      <c r="JL7" s="207">
        <f t="shared" si="20"/>
        <v>526609.59649783745</v>
      </c>
      <c r="JM7" s="207">
        <f t="shared" si="20"/>
        <v>526609.59649783745</v>
      </c>
      <c r="JN7" s="207">
        <f t="shared" si="20"/>
        <v>526609.59649783745</v>
      </c>
      <c r="JO7" s="207">
        <f t="shared" si="20"/>
        <v>526609.59649783745</v>
      </c>
      <c r="JP7" s="207">
        <f t="shared" si="20"/>
        <v>526609.59649783745</v>
      </c>
      <c r="JQ7" s="207">
        <f t="shared" si="20"/>
        <v>526609.59649783745</v>
      </c>
      <c r="JR7" s="207">
        <f t="shared" si="20"/>
        <v>526609.59649783745</v>
      </c>
      <c r="JS7" s="207">
        <f t="shared" si="20"/>
        <v>526609.59649783745</v>
      </c>
      <c r="JT7" s="207">
        <f t="shared" si="20"/>
        <v>526609.59649783745</v>
      </c>
      <c r="JU7" s="207">
        <f t="shared" si="20"/>
        <v>526609.59649783745</v>
      </c>
      <c r="JV7" s="207">
        <f t="shared" si="20"/>
        <v>526609.59649783745</v>
      </c>
      <c r="JW7" s="207">
        <f t="shared" si="20"/>
        <v>526609.59649783745</v>
      </c>
      <c r="JX7" s="207">
        <f t="shared" si="20"/>
        <v>526609.59649783745</v>
      </c>
      <c r="JY7" s="207">
        <f t="shared" si="20"/>
        <v>526609.59649783745</v>
      </c>
      <c r="JZ7" s="207">
        <f t="shared" si="20"/>
        <v>526609.59649783745</v>
      </c>
      <c r="KA7" s="207">
        <f t="shared" si="20"/>
        <v>526609.59649783745</v>
      </c>
      <c r="KB7" s="207">
        <f t="shared" si="20"/>
        <v>526609.59649783745</v>
      </c>
      <c r="KC7" s="207">
        <f t="shared" si="20"/>
        <v>526609.59649783745</v>
      </c>
      <c r="KD7" s="207">
        <f t="shared" si="20"/>
        <v>526609.59649783745</v>
      </c>
      <c r="KE7" s="207">
        <f t="shared" si="20"/>
        <v>526609.59649783745</v>
      </c>
      <c r="KF7" s="207">
        <f t="shared" si="20"/>
        <v>526609.59649783745</v>
      </c>
      <c r="KG7" s="207">
        <f t="shared" si="20"/>
        <v>526609.59649783745</v>
      </c>
      <c r="KH7" s="207">
        <f t="shared" si="20"/>
        <v>526609.59649783745</v>
      </c>
      <c r="KI7" s="207">
        <f t="shared" si="20"/>
        <v>526609.59649783745</v>
      </c>
      <c r="KJ7" s="207">
        <f t="shared" si="20"/>
        <v>526609.59649783745</v>
      </c>
      <c r="KK7" s="207">
        <f t="shared" si="20"/>
        <v>526609.59649783745</v>
      </c>
      <c r="KL7" s="207">
        <f t="shared" si="20"/>
        <v>526609.59649783745</v>
      </c>
      <c r="KM7" s="207">
        <f t="shared" si="20"/>
        <v>526609.59649783745</v>
      </c>
      <c r="KN7" s="207">
        <f t="shared" si="20"/>
        <v>526609.59649783745</v>
      </c>
      <c r="KO7" s="207">
        <f t="shared" si="20"/>
        <v>526609.59649783745</v>
      </c>
      <c r="KP7" s="207">
        <f t="shared" si="20"/>
        <v>526609.59649783745</v>
      </c>
      <c r="KQ7" s="207">
        <f t="shared" si="20"/>
        <v>526609.59649783745</v>
      </c>
      <c r="KR7" s="207">
        <f t="shared" si="20"/>
        <v>526609.59649783745</v>
      </c>
      <c r="KS7" s="207">
        <f t="shared" si="20"/>
        <v>526609.59649783745</v>
      </c>
      <c r="KT7" s="207">
        <f t="shared" si="20"/>
        <v>526609.59649783745</v>
      </c>
      <c r="KU7" s="207">
        <f t="shared" si="20"/>
        <v>526609.59649783745</v>
      </c>
      <c r="KV7" s="207">
        <f t="shared" si="20"/>
        <v>526609.59649783745</v>
      </c>
      <c r="KW7" s="207">
        <f t="shared" si="20"/>
        <v>526609.59649783745</v>
      </c>
      <c r="KX7" s="207">
        <f t="shared" si="20"/>
        <v>526609.59649783745</v>
      </c>
      <c r="KY7" s="207">
        <f t="shared" si="20"/>
        <v>526609.59649783745</v>
      </c>
      <c r="KZ7" s="207">
        <f t="shared" si="20"/>
        <v>526609.59649783745</v>
      </c>
      <c r="LA7" s="207">
        <f t="shared" si="20"/>
        <v>526609.59649783745</v>
      </c>
      <c r="LB7" s="207">
        <f t="shared" si="20"/>
        <v>526609.59649783745</v>
      </c>
      <c r="LC7" s="207">
        <f t="shared" si="20"/>
        <v>526609.59649783745</v>
      </c>
      <c r="LD7" s="207">
        <f t="shared" si="20"/>
        <v>526609.59649783745</v>
      </c>
    </row>
    <row r="8" spans="1:794" s="191" customFormat="1">
      <c r="A8" s="804" t="s">
        <v>75</v>
      </c>
      <c r="B8" s="192"/>
      <c r="C8" s="193" t="s">
        <v>238</v>
      </c>
      <c r="D8" s="193" t="s">
        <v>238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5"/>
      <c r="B9" s="209" t="s">
        <v>444</v>
      </c>
      <c r="C9" s="210">
        <f>'Revenue Tracking'!F4</f>
        <v>8692848.6100000013</v>
      </c>
      <c r="D9" s="210">
        <f>SUM(F9:LD9)</f>
        <v>8692848.6100000013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1738569.7220000001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3042497.0134999999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3477139.4439999997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434642.43050000002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5"/>
      <c r="B10" s="209" t="s">
        <v>445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1738569.7220000001</v>
      </c>
      <c r="U10" s="211">
        <f t="shared" si="21"/>
        <v>1738569.7220000001</v>
      </c>
      <c r="V10" s="211">
        <f t="shared" si="21"/>
        <v>1738569.7220000001</v>
      </c>
      <c r="W10" s="211">
        <f t="shared" si="21"/>
        <v>1738569.7220000001</v>
      </c>
      <c r="X10" s="211">
        <f t="shared" si="21"/>
        <v>1738569.7220000001</v>
      </c>
      <c r="Y10" s="211">
        <f t="shared" si="21"/>
        <v>1738569.7220000001</v>
      </c>
      <c r="Z10" s="211">
        <f t="shared" si="21"/>
        <v>1738569.7220000001</v>
      </c>
      <c r="AA10" s="211">
        <f t="shared" si="21"/>
        <v>1738569.7220000001</v>
      </c>
      <c r="AB10" s="211">
        <f t="shared" si="21"/>
        <v>1738569.7220000001</v>
      </c>
      <c r="AC10" s="211">
        <f t="shared" si="21"/>
        <v>4781066.7355000004</v>
      </c>
      <c r="AD10" s="211">
        <f t="shared" si="21"/>
        <v>4781066.7355000004</v>
      </c>
      <c r="AE10" s="211">
        <f t="shared" si="21"/>
        <v>4781066.7355000004</v>
      </c>
      <c r="AF10" s="211">
        <f t="shared" si="21"/>
        <v>4781066.7355000004</v>
      </c>
      <c r="AG10" s="211">
        <f t="shared" si="21"/>
        <v>4781066.7355000004</v>
      </c>
      <c r="AH10" s="211">
        <f t="shared" si="21"/>
        <v>4781066.7355000004</v>
      </c>
      <c r="AI10" s="211">
        <f t="shared" si="21"/>
        <v>4781066.7355000004</v>
      </c>
      <c r="AJ10" s="211">
        <f t="shared" si="21"/>
        <v>4781066.7355000004</v>
      </c>
      <c r="AK10" s="211">
        <f t="shared" si="21"/>
        <v>4781066.7355000004</v>
      </c>
      <c r="AL10" s="211">
        <f t="shared" si="21"/>
        <v>4781066.7355000004</v>
      </c>
      <c r="AM10" s="211">
        <f t="shared" si="21"/>
        <v>4781066.7355000004</v>
      </c>
      <c r="AN10" s="211">
        <f t="shared" si="21"/>
        <v>4781066.7355000004</v>
      </c>
      <c r="AO10" s="211">
        <f t="shared" si="21"/>
        <v>4781066.7355000004</v>
      </c>
      <c r="AP10" s="211">
        <f t="shared" si="21"/>
        <v>4781066.7355000004</v>
      </c>
      <c r="AQ10" s="211">
        <f t="shared" si="21"/>
        <v>4781066.7355000004</v>
      </c>
      <c r="AR10" s="211">
        <f t="shared" si="21"/>
        <v>4781066.7355000004</v>
      </c>
      <c r="AS10" s="211">
        <f t="shared" si="21"/>
        <v>4781066.7355000004</v>
      </c>
      <c r="AT10" s="211">
        <f t="shared" si="21"/>
        <v>4781066.7355000004</v>
      </c>
      <c r="AU10" s="211">
        <f t="shared" si="21"/>
        <v>4781066.7355000004</v>
      </c>
      <c r="AV10" s="211">
        <f t="shared" si="21"/>
        <v>4781066.7355000004</v>
      </c>
      <c r="AW10" s="211">
        <f t="shared" si="21"/>
        <v>4781066.7355000004</v>
      </c>
      <c r="AX10" s="211">
        <f t="shared" si="21"/>
        <v>4781066.7355000004</v>
      </c>
      <c r="AY10" s="211">
        <f t="shared" si="21"/>
        <v>4781066.7355000004</v>
      </c>
      <c r="AZ10" s="211">
        <f t="shared" si="21"/>
        <v>4781066.7355000004</v>
      </c>
      <c r="BA10" s="211">
        <f t="shared" si="21"/>
        <v>4781066.7355000004</v>
      </c>
      <c r="BB10" s="211">
        <f t="shared" si="21"/>
        <v>4781066.7355000004</v>
      </c>
      <c r="BC10" s="211">
        <f t="shared" si="21"/>
        <v>8258206.1795000006</v>
      </c>
      <c r="BD10" s="211">
        <f t="shared" si="21"/>
        <v>8258206.1795000006</v>
      </c>
      <c r="BE10" s="211">
        <f t="shared" si="21"/>
        <v>8692848.6100000013</v>
      </c>
      <c r="BF10" s="211">
        <f t="shared" si="21"/>
        <v>8692848.6100000013</v>
      </c>
      <c r="BG10" s="211">
        <f t="shared" si="21"/>
        <v>8692848.6100000013</v>
      </c>
      <c r="BH10" s="211">
        <f t="shared" si="21"/>
        <v>8692848.6100000013</v>
      </c>
      <c r="BI10" s="211">
        <f t="shared" si="21"/>
        <v>8692848.6100000013</v>
      </c>
      <c r="BJ10" s="211">
        <f t="shared" si="21"/>
        <v>8692848.6100000013</v>
      </c>
      <c r="BK10" s="211">
        <f t="shared" si="21"/>
        <v>8692848.6100000013</v>
      </c>
      <c r="BL10" s="211">
        <f t="shared" si="21"/>
        <v>8692848.6100000013</v>
      </c>
      <c r="BM10" s="211">
        <f t="shared" si="21"/>
        <v>8692848.6100000013</v>
      </c>
      <c r="BN10" s="211">
        <f t="shared" si="21"/>
        <v>8692848.6100000013</v>
      </c>
      <c r="BO10" s="211">
        <f t="shared" si="21"/>
        <v>8692848.6100000013</v>
      </c>
      <c r="BP10" s="211">
        <f t="shared" si="21"/>
        <v>8692848.6100000013</v>
      </c>
      <c r="BQ10" s="211">
        <f t="shared" si="21"/>
        <v>8692848.6100000013</v>
      </c>
      <c r="BR10" s="211">
        <f t="shared" si="21"/>
        <v>8692848.6100000013</v>
      </c>
      <c r="BS10" s="211">
        <f t="shared" si="21"/>
        <v>8692848.6100000013</v>
      </c>
      <c r="BT10" s="211">
        <f t="shared" si="21"/>
        <v>8692848.6100000013</v>
      </c>
      <c r="BU10" s="211">
        <f t="shared" ref="BU10:EF10" si="22">BT10+BU9</f>
        <v>8692848.6100000013</v>
      </c>
      <c r="BV10" s="211">
        <f t="shared" si="22"/>
        <v>8692848.6100000013</v>
      </c>
      <c r="BW10" s="211">
        <f t="shared" si="22"/>
        <v>8692848.6100000013</v>
      </c>
      <c r="BX10" s="211">
        <f t="shared" si="22"/>
        <v>8692848.6100000013</v>
      </c>
      <c r="BY10" s="211">
        <f t="shared" si="22"/>
        <v>8692848.6100000013</v>
      </c>
      <c r="BZ10" s="211">
        <f t="shared" si="22"/>
        <v>8692848.6100000013</v>
      </c>
      <c r="CA10" s="211">
        <f t="shared" si="22"/>
        <v>8692848.6100000013</v>
      </c>
      <c r="CB10" s="211">
        <f t="shared" si="22"/>
        <v>8692848.6100000013</v>
      </c>
      <c r="CC10" s="211">
        <f t="shared" si="22"/>
        <v>8692848.6100000013</v>
      </c>
      <c r="CD10" s="211">
        <f t="shared" si="22"/>
        <v>8692848.6100000013</v>
      </c>
      <c r="CE10" s="211">
        <f t="shared" si="22"/>
        <v>8692848.6100000013</v>
      </c>
      <c r="CF10" s="211">
        <f t="shared" si="22"/>
        <v>8692848.6100000013</v>
      </c>
      <c r="CG10" s="211">
        <f t="shared" si="22"/>
        <v>8692848.6100000013</v>
      </c>
      <c r="CH10" s="211">
        <f t="shared" si="22"/>
        <v>8692848.6100000013</v>
      </c>
      <c r="CI10" s="211">
        <f t="shared" si="22"/>
        <v>8692848.6100000013</v>
      </c>
      <c r="CJ10" s="211">
        <f t="shared" si="22"/>
        <v>8692848.6100000013</v>
      </c>
      <c r="CK10" s="211">
        <f t="shared" si="22"/>
        <v>8692848.6100000013</v>
      </c>
      <c r="CL10" s="211">
        <f t="shared" si="22"/>
        <v>8692848.6100000013</v>
      </c>
      <c r="CM10" s="211">
        <f t="shared" si="22"/>
        <v>8692848.6100000013</v>
      </c>
      <c r="CN10" s="211">
        <f t="shared" si="22"/>
        <v>8692848.6100000013</v>
      </c>
      <c r="CO10" s="211">
        <f t="shared" si="22"/>
        <v>8692848.6100000013</v>
      </c>
      <c r="CP10" s="211">
        <f t="shared" si="22"/>
        <v>8692848.6100000013</v>
      </c>
      <c r="CQ10" s="211">
        <f t="shared" si="22"/>
        <v>8692848.6100000013</v>
      </c>
      <c r="CR10" s="211">
        <f t="shared" si="22"/>
        <v>8692848.6100000013</v>
      </c>
      <c r="CS10" s="211">
        <f t="shared" si="22"/>
        <v>8692848.6100000013</v>
      </c>
      <c r="CT10" s="211">
        <f t="shared" si="22"/>
        <v>8692848.6100000013</v>
      </c>
      <c r="CU10" s="211">
        <f t="shared" si="22"/>
        <v>8692848.6100000013</v>
      </c>
      <c r="CV10" s="211">
        <f t="shared" si="22"/>
        <v>8692848.6100000013</v>
      </c>
      <c r="CW10" s="211">
        <f t="shared" si="22"/>
        <v>8692848.6100000013</v>
      </c>
      <c r="CX10" s="211">
        <f t="shared" si="22"/>
        <v>8692848.6100000013</v>
      </c>
      <c r="CY10" s="211">
        <f t="shared" si="22"/>
        <v>8692848.6100000013</v>
      </c>
      <c r="CZ10" s="211">
        <f t="shared" si="22"/>
        <v>8692848.6100000013</v>
      </c>
      <c r="DA10" s="211">
        <f t="shared" si="22"/>
        <v>8692848.6100000013</v>
      </c>
      <c r="DB10" s="211">
        <f t="shared" si="22"/>
        <v>8692848.6100000013</v>
      </c>
      <c r="DC10" s="211">
        <f t="shared" si="22"/>
        <v>8692848.6100000013</v>
      </c>
      <c r="DD10" s="211">
        <f t="shared" si="22"/>
        <v>8692848.6100000013</v>
      </c>
      <c r="DE10" s="211">
        <f t="shared" si="22"/>
        <v>8692848.6100000013</v>
      </c>
      <c r="DF10" s="211">
        <f t="shared" si="22"/>
        <v>8692848.6100000013</v>
      </c>
      <c r="DG10" s="211">
        <f t="shared" si="22"/>
        <v>8692848.6100000013</v>
      </c>
      <c r="DH10" s="211">
        <f t="shared" si="22"/>
        <v>8692848.6100000013</v>
      </c>
      <c r="DI10" s="211">
        <f t="shared" si="22"/>
        <v>8692848.6100000013</v>
      </c>
      <c r="DJ10" s="211">
        <f t="shared" si="22"/>
        <v>8692848.6100000013</v>
      </c>
      <c r="DK10" s="211">
        <f t="shared" si="22"/>
        <v>8692848.6100000013</v>
      </c>
      <c r="DL10" s="211">
        <f t="shared" si="22"/>
        <v>8692848.6100000013</v>
      </c>
      <c r="DM10" s="211">
        <f t="shared" si="22"/>
        <v>8692848.6100000013</v>
      </c>
      <c r="DN10" s="211">
        <f t="shared" si="22"/>
        <v>8692848.6100000013</v>
      </c>
      <c r="DO10" s="211">
        <f t="shared" si="22"/>
        <v>8692848.6100000013</v>
      </c>
      <c r="DP10" s="211">
        <f t="shared" si="22"/>
        <v>8692848.6100000013</v>
      </c>
      <c r="DQ10" s="211">
        <f t="shared" si="22"/>
        <v>8692848.6100000013</v>
      </c>
      <c r="DR10" s="211">
        <f t="shared" si="22"/>
        <v>8692848.6100000013</v>
      </c>
      <c r="DS10" s="211">
        <f t="shared" si="22"/>
        <v>8692848.6100000013</v>
      </c>
      <c r="DT10" s="211">
        <f t="shared" si="22"/>
        <v>8692848.6100000013</v>
      </c>
      <c r="DU10" s="211">
        <f t="shared" si="22"/>
        <v>8692848.6100000013</v>
      </c>
      <c r="DV10" s="211">
        <f t="shared" si="22"/>
        <v>8692848.6100000013</v>
      </c>
      <c r="DW10" s="211">
        <f t="shared" si="22"/>
        <v>8692848.6100000013</v>
      </c>
      <c r="DX10" s="211">
        <f t="shared" si="22"/>
        <v>8692848.6100000013</v>
      </c>
      <c r="DY10" s="211">
        <f t="shared" si="22"/>
        <v>8692848.6100000013</v>
      </c>
      <c r="DZ10" s="211">
        <f t="shared" si="22"/>
        <v>8692848.6100000013</v>
      </c>
      <c r="EA10" s="211">
        <f t="shared" si="22"/>
        <v>8692848.6100000013</v>
      </c>
      <c r="EB10" s="211">
        <f t="shared" si="22"/>
        <v>8692848.6100000013</v>
      </c>
      <c r="EC10" s="211">
        <f t="shared" si="22"/>
        <v>8692848.6100000013</v>
      </c>
      <c r="ED10" s="211">
        <f t="shared" si="22"/>
        <v>8692848.6100000013</v>
      </c>
      <c r="EE10" s="211">
        <f t="shared" si="22"/>
        <v>8692848.6100000013</v>
      </c>
      <c r="EF10" s="211">
        <f t="shared" si="22"/>
        <v>8692848.6100000013</v>
      </c>
      <c r="EG10" s="211">
        <f t="shared" ref="EG10:GR10" si="23">EF10+EG9</f>
        <v>8692848.6100000013</v>
      </c>
      <c r="EH10" s="211">
        <f t="shared" si="23"/>
        <v>8692848.6100000013</v>
      </c>
      <c r="EI10" s="211">
        <f t="shared" si="23"/>
        <v>8692848.6100000013</v>
      </c>
      <c r="EJ10" s="211">
        <f t="shared" si="23"/>
        <v>8692848.6100000013</v>
      </c>
      <c r="EK10" s="211">
        <f t="shared" si="23"/>
        <v>8692848.6100000013</v>
      </c>
      <c r="EL10" s="211">
        <f t="shared" si="23"/>
        <v>8692848.6100000013</v>
      </c>
      <c r="EM10" s="211">
        <f t="shared" si="23"/>
        <v>8692848.6100000013</v>
      </c>
      <c r="EN10" s="211">
        <f t="shared" si="23"/>
        <v>8692848.6100000013</v>
      </c>
      <c r="EO10" s="211">
        <f t="shared" si="23"/>
        <v>8692848.6100000013</v>
      </c>
      <c r="EP10" s="211">
        <f t="shared" si="23"/>
        <v>8692848.6100000013</v>
      </c>
      <c r="EQ10" s="211">
        <f t="shared" si="23"/>
        <v>8692848.6100000013</v>
      </c>
      <c r="ER10" s="211">
        <f t="shared" si="23"/>
        <v>8692848.6100000013</v>
      </c>
      <c r="ES10" s="211">
        <f t="shared" si="23"/>
        <v>8692848.6100000013</v>
      </c>
      <c r="ET10" s="211">
        <f t="shared" si="23"/>
        <v>8692848.6100000013</v>
      </c>
      <c r="EU10" s="211">
        <f t="shared" si="23"/>
        <v>8692848.6100000013</v>
      </c>
      <c r="EV10" s="211">
        <f t="shared" si="23"/>
        <v>8692848.6100000013</v>
      </c>
      <c r="EW10" s="211">
        <f t="shared" si="23"/>
        <v>8692848.6100000013</v>
      </c>
      <c r="EX10" s="211">
        <f t="shared" si="23"/>
        <v>8692848.6100000013</v>
      </c>
      <c r="EY10" s="211">
        <f t="shared" si="23"/>
        <v>8692848.6100000013</v>
      </c>
      <c r="EZ10" s="211">
        <f t="shared" si="23"/>
        <v>8692848.6100000013</v>
      </c>
      <c r="FA10" s="211">
        <f t="shared" si="23"/>
        <v>8692848.6100000013</v>
      </c>
      <c r="FB10" s="211">
        <f t="shared" si="23"/>
        <v>8692848.6100000013</v>
      </c>
      <c r="FC10" s="211">
        <f t="shared" si="23"/>
        <v>8692848.6100000013</v>
      </c>
      <c r="FD10" s="211">
        <f t="shared" si="23"/>
        <v>8692848.6100000013</v>
      </c>
      <c r="FE10" s="211">
        <f t="shared" si="23"/>
        <v>8692848.6100000013</v>
      </c>
      <c r="FF10" s="211">
        <f t="shared" si="23"/>
        <v>8692848.6100000013</v>
      </c>
      <c r="FG10" s="211">
        <f t="shared" si="23"/>
        <v>8692848.6100000013</v>
      </c>
      <c r="FH10" s="211">
        <f t="shared" si="23"/>
        <v>8692848.6100000013</v>
      </c>
      <c r="FI10" s="211">
        <f t="shared" si="23"/>
        <v>8692848.6100000013</v>
      </c>
      <c r="FJ10" s="211">
        <f t="shared" si="23"/>
        <v>8692848.6100000013</v>
      </c>
      <c r="FK10" s="211">
        <f t="shared" si="23"/>
        <v>8692848.6100000013</v>
      </c>
      <c r="FL10" s="211">
        <f t="shared" si="23"/>
        <v>8692848.6100000013</v>
      </c>
      <c r="FM10" s="211">
        <f t="shared" si="23"/>
        <v>8692848.6100000013</v>
      </c>
      <c r="FN10" s="211">
        <f t="shared" si="23"/>
        <v>8692848.6100000013</v>
      </c>
      <c r="FO10" s="211">
        <f t="shared" si="23"/>
        <v>8692848.6100000013</v>
      </c>
      <c r="FP10" s="211">
        <f t="shared" si="23"/>
        <v>8692848.6100000013</v>
      </c>
      <c r="FQ10" s="211">
        <f t="shared" si="23"/>
        <v>8692848.6100000013</v>
      </c>
      <c r="FR10" s="211">
        <f t="shared" si="23"/>
        <v>8692848.6100000013</v>
      </c>
      <c r="FS10" s="211">
        <f t="shared" si="23"/>
        <v>8692848.6100000013</v>
      </c>
      <c r="FT10" s="211">
        <f t="shared" si="23"/>
        <v>8692848.6100000013</v>
      </c>
      <c r="FU10" s="211">
        <f t="shared" si="23"/>
        <v>8692848.6100000013</v>
      </c>
      <c r="FV10" s="211">
        <f t="shared" si="23"/>
        <v>8692848.6100000013</v>
      </c>
      <c r="FW10" s="211">
        <f t="shared" si="23"/>
        <v>8692848.6100000013</v>
      </c>
      <c r="FX10" s="211">
        <f t="shared" si="23"/>
        <v>8692848.6100000013</v>
      </c>
      <c r="FY10" s="211">
        <f t="shared" si="23"/>
        <v>8692848.6100000013</v>
      </c>
      <c r="FZ10" s="211">
        <f t="shared" si="23"/>
        <v>8692848.6100000013</v>
      </c>
      <c r="GA10" s="211">
        <f t="shared" si="23"/>
        <v>8692848.6100000013</v>
      </c>
      <c r="GB10" s="211">
        <f t="shared" si="23"/>
        <v>8692848.6100000013</v>
      </c>
      <c r="GC10" s="211">
        <f t="shared" si="23"/>
        <v>8692848.6100000013</v>
      </c>
      <c r="GD10" s="211">
        <f t="shared" si="23"/>
        <v>8692848.6100000013</v>
      </c>
      <c r="GE10" s="211">
        <f t="shared" si="23"/>
        <v>8692848.6100000013</v>
      </c>
      <c r="GF10" s="211">
        <f t="shared" si="23"/>
        <v>8692848.6100000013</v>
      </c>
      <c r="GG10" s="211">
        <f t="shared" si="23"/>
        <v>8692848.6100000013</v>
      </c>
      <c r="GH10" s="211">
        <f t="shared" si="23"/>
        <v>8692848.6100000013</v>
      </c>
      <c r="GI10" s="211">
        <f t="shared" si="23"/>
        <v>8692848.6100000013</v>
      </c>
      <c r="GJ10" s="211">
        <f t="shared" si="23"/>
        <v>8692848.6100000013</v>
      </c>
      <c r="GK10" s="211">
        <f t="shared" si="23"/>
        <v>8692848.6100000013</v>
      </c>
      <c r="GL10" s="211">
        <f t="shared" si="23"/>
        <v>8692848.6100000013</v>
      </c>
      <c r="GM10" s="211">
        <f t="shared" si="23"/>
        <v>8692848.6100000013</v>
      </c>
      <c r="GN10" s="211">
        <f t="shared" si="23"/>
        <v>8692848.6100000013</v>
      </c>
      <c r="GO10" s="211">
        <f t="shared" si="23"/>
        <v>8692848.6100000013</v>
      </c>
      <c r="GP10" s="211">
        <f t="shared" si="23"/>
        <v>8692848.6100000013</v>
      </c>
      <c r="GQ10" s="211">
        <f t="shared" si="23"/>
        <v>8692848.6100000013</v>
      </c>
      <c r="GR10" s="211">
        <f t="shared" si="23"/>
        <v>8692848.6100000013</v>
      </c>
      <c r="GS10" s="211">
        <f t="shared" ref="GS10:JD10" si="24">GR10+GS9</f>
        <v>8692848.6100000013</v>
      </c>
      <c r="GT10" s="211">
        <f t="shared" si="24"/>
        <v>8692848.6100000013</v>
      </c>
      <c r="GU10" s="211">
        <f t="shared" si="24"/>
        <v>8692848.6100000013</v>
      </c>
      <c r="GV10" s="211">
        <f t="shared" si="24"/>
        <v>8692848.6100000013</v>
      </c>
      <c r="GW10" s="211">
        <f t="shared" si="24"/>
        <v>8692848.6100000013</v>
      </c>
      <c r="GX10" s="211">
        <f t="shared" si="24"/>
        <v>8692848.6100000013</v>
      </c>
      <c r="GY10" s="211">
        <f t="shared" si="24"/>
        <v>8692848.6100000013</v>
      </c>
      <c r="GZ10" s="211">
        <f t="shared" si="24"/>
        <v>8692848.6100000013</v>
      </c>
      <c r="HA10" s="211">
        <f t="shared" si="24"/>
        <v>8692848.6100000013</v>
      </c>
      <c r="HB10" s="211">
        <f t="shared" si="24"/>
        <v>8692848.6100000013</v>
      </c>
      <c r="HC10" s="211">
        <f t="shared" si="24"/>
        <v>8692848.6100000013</v>
      </c>
      <c r="HD10" s="211">
        <f t="shared" si="24"/>
        <v>8692848.6100000013</v>
      </c>
      <c r="HE10" s="211">
        <f t="shared" si="24"/>
        <v>8692848.6100000013</v>
      </c>
      <c r="HF10" s="211">
        <f t="shared" si="24"/>
        <v>8692848.6100000013</v>
      </c>
      <c r="HG10" s="211">
        <f t="shared" si="24"/>
        <v>8692848.6100000013</v>
      </c>
      <c r="HH10" s="211">
        <f t="shared" si="24"/>
        <v>8692848.6100000013</v>
      </c>
      <c r="HI10" s="211">
        <f t="shared" si="24"/>
        <v>8692848.6100000013</v>
      </c>
      <c r="HJ10" s="211">
        <f t="shared" si="24"/>
        <v>8692848.6100000013</v>
      </c>
      <c r="HK10" s="211">
        <f t="shared" si="24"/>
        <v>8692848.6100000013</v>
      </c>
      <c r="HL10" s="211">
        <f t="shared" si="24"/>
        <v>8692848.6100000013</v>
      </c>
      <c r="HM10" s="211">
        <f t="shared" si="24"/>
        <v>8692848.6100000013</v>
      </c>
      <c r="HN10" s="211">
        <f t="shared" si="24"/>
        <v>8692848.6100000013</v>
      </c>
      <c r="HO10" s="211">
        <f t="shared" si="24"/>
        <v>8692848.6100000013</v>
      </c>
      <c r="HP10" s="211">
        <f t="shared" si="24"/>
        <v>8692848.6100000013</v>
      </c>
      <c r="HQ10" s="211">
        <f t="shared" si="24"/>
        <v>8692848.6100000013</v>
      </c>
      <c r="HR10" s="211">
        <f t="shared" si="24"/>
        <v>8692848.6100000013</v>
      </c>
      <c r="HS10" s="211">
        <f t="shared" si="24"/>
        <v>8692848.6100000013</v>
      </c>
      <c r="HT10" s="211">
        <f t="shared" si="24"/>
        <v>8692848.6100000013</v>
      </c>
      <c r="HU10" s="211">
        <f t="shared" si="24"/>
        <v>8692848.6100000013</v>
      </c>
      <c r="HV10" s="211">
        <f t="shared" si="24"/>
        <v>8692848.6100000013</v>
      </c>
      <c r="HW10" s="211">
        <f t="shared" si="24"/>
        <v>8692848.6100000013</v>
      </c>
      <c r="HX10" s="211">
        <f t="shared" si="24"/>
        <v>8692848.6100000013</v>
      </c>
      <c r="HY10" s="211">
        <f t="shared" si="24"/>
        <v>8692848.6100000013</v>
      </c>
      <c r="HZ10" s="211">
        <f t="shared" si="24"/>
        <v>8692848.6100000013</v>
      </c>
      <c r="IA10" s="211">
        <f t="shared" si="24"/>
        <v>8692848.6100000013</v>
      </c>
      <c r="IB10" s="211">
        <f t="shared" si="24"/>
        <v>8692848.6100000013</v>
      </c>
      <c r="IC10" s="211">
        <f t="shared" si="24"/>
        <v>8692848.6100000013</v>
      </c>
      <c r="ID10" s="211">
        <f t="shared" si="24"/>
        <v>8692848.6100000013</v>
      </c>
      <c r="IE10" s="211">
        <f t="shared" si="24"/>
        <v>8692848.6100000013</v>
      </c>
      <c r="IF10" s="211">
        <f t="shared" si="24"/>
        <v>8692848.6100000013</v>
      </c>
      <c r="IG10" s="211">
        <f t="shared" si="24"/>
        <v>8692848.6100000013</v>
      </c>
      <c r="IH10" s="211">
        <f t="shared" si="24"/>
        <v>8692848.6100000013</v>
      </c>
      <c r="II10" s="211">
        <f t="shared" si="24"/>
        <v>8692848.6100000013</v>
      </c>
      <c r="IJ10" s="211">
        <f t="shared" si="24"/>
        <v>8692848.6100000013</v>
      </c>
      <c r="IK10" s="211">
        <f t="shared" si="24"/>
        <v>8692848.6100000013</v>
      </c>
      <c r="IL10" s="211">
        <f t="shared" si="24"/>
        <v>8692848.6100000013</v>
      </c>
      <c r="IM10" s="211">
        <f t="shared" si="24"/>
        <v>8692848.6100000013</v>
      </c>
      <c r="IN10" s="211">
        <f t="shared" si="24"/>
        <v>8692848.6100000013</v>
      </c>
      <c r="IO10" s="211">
        <f t="shared" si="24"/>
        <v>8692848.6100000013</v>
      </c>
      <c r="IP10" s="211">
        <f t="shared" si="24"/>
        <v>8692848.6100000013</v>
      </c>
      <c r="IQ10" s="211">
        <f t="shared" si="24"/>
        <v>8692848.6100000013</v>
      </c>
      <c r="IR10" s="211">
        <f t="shared" si="24"/>
        <v>8692848.6100000013</v>
      </c>
      <c r="IS10" s="211">
        <f t="shared" si="24"/>
        <v>8692848.6100000013</v>
      </c>
      <c r="IT10" s="211">
        <f t="shared" si="24"/>
        <v>8692848.6100000013</v>
      </c>
      <c r="IU10" s="211">
        <f t="shared" si="24"/>
        <v>8692848.6100000013</v>
      </c>
      <c r="IV10" s="211">
        <f t="shared" si="24"/>
        <v>8692848.6100000013</v>
      </c>
      <c r="IW10" s="211">
        <f t="shared" si="24"/>
        <v>8692848.6100000013</v>
      </c>
      <c r="IX10" s="211">
        <f t="shared" si="24"/>
        <v>8692848.6100000013</v>
      </c>
      <c r="IY10" s="211">
        <f t="shared" si="24"/>
        <v>8692848.6100000013</v>
      </c>
      <c r="IZ10" s="211">
        <f t="shared" si="24"/>
        <v>8692848.6100000013</v>
      </c>
      <c r="JA10" s="211">
        <f t="shared" si="24"/>
        <v>8692848.6100000013</v>
      </c>
      <c r="JB10" s="211">
        <f t="shared" si="24"/>
        <v>8692848.6100000013</v>
      </c>
      <c r="JC10" s="211">
        <f t="shared" si="24"/>
        <v>8692848.6100000013</v>
      </c>
      <c r="JD10" s="211">
        <f t="shared" si="24"/>
        <v>8692848.6100000013</v>
      </c>
      <c r="JE10" s="211">
        <f t="shared" ref="JE10:LD10" si="25">JD10+JE9</f>
        <v>8692848.6100000013</v>
      </c>
      <c r="JF10" s="211">
        <f t="shared" si="25"/>
        <v>8692848.6100000013</v>
      </c>
      <c r="JG10" s="211">
        <f t="shared" si="25"/>
        <v>8692848.6100000013</v>
      </c>
      <c r="JH10" s="211">
        <f t="shared" si="25"/>
        <v>8692848.6100000013</v>
      </c>
      <c r="JI10" s="211">
        <f t="shared" si="25"/>
        <v>8692848.6100000013</v>
      </c>
      <c r="JJ10" s="211">
        <f t="shared" si="25"/>
        <v>8692848.6100000013</v>
      </c>
      <c r="JK10" s="211">
        <f t="shared" si="25"/>
        <v>8692848.6100000013</v>
      </c>
      <c r="JL10" s="211">
        <f t="shared" si="25"/>
        <v>8692848.6100000013</v>
      </c>
      <c r="JM10" s="211">
        <f t="shared" si="25"/>
        <v>8692848.6100000013</v>
      </c>
      <c r="JN10" s="211">
        <f t="shared" si="25"/>
        <v>8692848.6100000013</v>
      </c>
      <c r="JO10" s="211">
        <f t="shared" si="25"/>
        <v>8692848.6100000013</v>
      </c>
      <c r="JP10" s="211">
        <f t="shared" si="25"/>
        <v>8692848.6100000013</v>
      </c>
      <c r="JQ10" s="211">
        <f t="shared" si="25"/>
        <v>8692848.6100000013</v>
      </c>
      <c r="JR10" s="211">
        <f t="shared" si="25"/>
        <v>8692848.6100000013</v>
      </c>
      <c r="JS10" s="211">
        <f t="shared" si="25"/>
        <v>8692848.6100000013</v>
      </c>
      <c r="JT10" s="211">
        <f t="shared" si="25"/>
        <v>8692848.6100000013</v>
      </c>
      <c r="JU10" s="211">
        <f t="shared" si="25"/>
        <v>8692848.6100000013</v>
      </c>
      <c r="JV10" s="211">
        <f t="shared" si="25"/>
        <v>8692848.6100000013</v>
      </c>
      <c r="JW10" s="211">
        <f t="shared" si="25"/>
        <v>8692848.6100000013</v>
      </c>
      <c r="JX10" s="211">
        <f t="shared" si="25"/>
        <v>8692848.6100000013</v>
      </c>
      <c r="JY10" s="211">
        <f t="shared" si="25"/>
        <v>8692848.6100000013</v>
      </c>
      <c r="JZ10" s="211">
        <f t="shared" si="25"/>
        <v>8692848.6100000013</v>
      </c>
      <c r="KA10" s="211">
        <f t="shared" si="25"/>
        <v>8692848.6100000013</v>
      </c>
      <c r="KB10" s="211">
        <f t="shared" si="25"/>
        <v>8692848.6100000013</v>
      </c>
      <c r="KC10" s="211">
        <f t="shared" si="25"/>
        <v>8692848.6100000013</v>
      </c>
      <c r="KD10" s="211">
        <f t="shared" si="25"/>
        <v>8692848.6100000013</v>
      </c>
      <c r="KE10" s="211">
        <f t="shared" si="25"/>
        <v>8692848.6100000013</v>
      </c>
      <c r="KF10" s="211">
        <f t="shared" si="25"/>
        <v>8692848.6100000013</v>
      </c>
      <c r="KG10" s="211">
        <f t="shared" si="25"/>
        <v>8692848.6100000013</v>
      </c>
      <c r="KH10" s="211">
        <f t="shared" si="25"/>
        <v>8692848.6100000013</v>
      </c>
      <c r="KI10" s="211">
        <f t="shared" si="25"/>
        <v>8692848.6100000013</v>
      </c>
      <c r="KJ10" s="211">
        <f t="shared" si="25"/>
        <v>8692848.6100000013</v>
      </c>
      <c r="KK10" s="211">
        <f t="shared" si="25"/>
        <v>8692848.6100000013</v>
      </c>
      <c r="KL10" s="211">
        <f t="shared" si="25"/>
        <v>8692848.6100000013</v>
      </c>
      <c r="KM10" s="211">
        <f t="shared" si="25"/>
        <v>8692848.6100000013</v>
      </c>
      <c r="KN10" s="211">
        <f t="shared" si="25"/>
        <v>8692848.6100000013</v>
      </c>
      <c r="KO10" s="211">
        <f t="shared" si="25"/>
        <v>8692848.6100000013</v>
      </c>
      <c r="KP10" s="211">
        <f t="shared" si="25"/>
        <v>8692848.6100000013</v>
      </c>
      <c r="KQ10" s="211">
        <f t="shared" si="25"/>
        <v>8692848.6100000013</v>
      </c>
      <c r="KR10" s="211">
        <f t="shared" si="25"/>
        <v>8692848.6100000013</v>
      </c>
      <c r="KS10" s="211">
        <f t="shared" si="25"/>
        <v>8692848.6100000013</v>
      </c>
      <c r="KT10" s="211">
        <f t="shared" si="25"/>
        <v>8692848.6100000013</v>
      </c>
      <c r="KU10" s="211">
        <f t="shared" si="25"/>
        <v>8692848.6100000013</v>
      </c>
      <c r="KV10" s="211">
        <f t="shared" si="25"/>
        <v>8692848.6100000013</v>
      </c>
      <c r="KW10" s="211">
        <f t="shared" si="25"/>
        <v>8692848.6100000013</v>
      </c>
      <c r="KX10" s="211">
        <f t="shared" si="25"/>
        <v>8692848.6100000013</v>
      </c>
      <c r="KY10" s="211">
        <f t="shared" si="25"/>
        <v>8692848.6100000013</v>
      </c>
      <c r="KZ10" s="211">
        <f t="shared" si="25"/>
        <v>8692848.6100000013</v>
      </c>
      <c r="LA10" s="211">
        <f t="shared" si="25"/>
        <v>8692848.6100000013</v>
      </c>
      <c r="LB10" s="211">
        <f t="shared" si="25"/>
        <v>8692848.6100000013</v>
      </c>
      <c r="LC10" s="211">
        <f t="shared" si="25"/>
        <v>8692848.6100000013</v>
      </c>
      <c r="LD10" s="211">
        <f t="shared" si="25"/>
        <v>8692848.6100000013</v>
      </c>
    </row>
    <row r="11" spans="1:794" s="203" customFormat="1">
      <c r="A11" s="805"/>
      <c r="B11" s="212" t="s">
        <v>446</v>
      </c>
      <c r="C11" s="213">
        <f>'Revenue Tracking'!F5</f>
        <v>7090051.4276250005</v>
      </c>
      <c r="D11" s="213">
        <f>SUM(F11:LD11)</f>
        <v>7090051.4276250005</v>
      </c>
      <c r="E11" s="197"/>
      <c r="F11" s="214">
        <f>SUMIFS('Expenditure Breakdown'!$Q$6:$Q$174, 'Expenditure Breakdown'!$W$6:$W$174, "&gt;="&amp;F1,'Expenditure Breakdown'!$W$6:$W$174, "&lt;"&amp;G1)</f>
        <v>0</v>
      </c>
      <c r="G11" s="214">
        <f>SUMIFS('Expenditure Breakdown'!$Q$6:$Q$174, 'Expenditure Breakdown'!$W$6:$W$174, "&gt;="&amp;G1,'Expenditure Breakdown'!$W$6:$W$174, "&lt;"&amp;H1)</f>
        <v>0</v>
      </c>
      <c r="H11" s="214">
        <f>SUMIFS('Expenditure Breakdown'!$Q$6:$Q$174, 'Expenditure Breakdown'!$W$6:$W$174, "&gt;="&amp;H1,'Expenditure Breakdown'!$W$6:$W$174, "&lt;"&amp;I1)</f>
        <v>0</v>
      </c>
      <c r="I11" s="214">
        <f>SUMIFS('Expenditure Breakdown'!$Q$6:$Q$174, 'Expenditure Breakdown'!$W$6:$W$174, "&gt;="&amp;I1,'Expenditure Breakdown'!$W$6:$W$174, "&lt;"&amp;J1)</f>
        <v>0</v>
      </c>
      <c r="J11" s="214">
        <f>SUMIFS('Expenditure Breakdown'!$Q$6:$Q$174, 'Expenditure Breakdown'!$W$6:$W$174, "&gt;="&amp;J1,'Expenditure Breakdown'!$W$6:$W$174, "&lt;"&amp;K1)</f>
        <v>0</v>
      </c>
      <c r="K11" s="214">
        <f>SUMIFS('Expenditure Breakdown'!$Q$6:$Q$174, 'Expenditure Breakdown'!$W$6:$W$174, "&gt;="&amp;K1,'Expenditure Breakdown'!$W$6:$W$174, "&lt;"&amp;L1)</f>
        <v>0</v>
      </c>
      <c r="L11" s="214">
        <f>SUMIFS('Expenditure Breakdown'!$Q$6:$Q$174, 'Expenditure Breakdown'!$W$6:$W$174, "&gt;="&amp;L1,'Expenditure Breakdown'!$W$6:$W$174, "&lt;"&amp;M1)</f>
        <v>0</v>
      </c>
      <c r="M11" s="214">
        <f>SUMIFS('Expenditure Breakdown'!$Q$6:$Q$174, 'Expenditure Breakdown'!$W$6:$W$174, "&gt;="&amp;M1,'Expenditure Breakdown'!$W$6:$W$174, "&lt;"&amp;N1)</f>
        <v>0</v>
      </c>
      <c r="N11" s="214">
        <f>SUMIFS('Expenditure Breakdown'!$Q$6:$Q$174, 'Expenditure Breakdown'!$W$6:$W$174, "&gt;="&amp;N1,'Expenditure Breakdown'!$W$6:$W$174, "&lt;"&amp;O1)</f>
        <v>0</v>
      </c>
      <c r="O11" s="214">
        <f>SUMIFS('Expenditure Breakdown'!$Q$6:$Q$174, 'Expenditure Breakdown'!$W$6:$W$174, "&gt;="&amp;O1,'Expenditure Breakdown'!$W$6:$W$174, "&lt;"&amp;P1)</f>
        <v>0</v>
      </c>
      <c r="P11" s="214">
        <f>SUMIFS('Expenditure Breakdown'!$Q$6:$Q$174, 'Expenditure Breakdown'!$W$6:$W$174, "&gt;="&amp;P1,'Expenditure Breakdown'!$W$6:$W$174, "&lt;"&amp;Q1)</f>
        <v>0</v>
      </c>
      <c r="Q11" s="214">
        <f>SUMIFS('Expenditure Breakdown'!$Q$6:$Q$174, 'Expenditure Breakdown'!$W$6:$W$174, "&gt;="&amp;Q1,'Expenditure Breakdown'!$W$6:$W$174, "&lt;"&amp;R1)</f>
        <v>7811.75</v>
      </c>
      <c r="R11" s="214">
        <f>SUMIFS('Expenditure Breakdown'!$Q$6:$Q$174, 'Expenditure Breakdown'!$W$6:$W$174, "&gt;="&amp;R1,'Expenditure Breakdown'!$W$6:$W$174, "&lt;"&amp;S1)</f>
        <v>0</v>
      </c>
      <c r="S11" s="214">
        <f>SUMIFS('Expenditure Breakdown'!$Q$6:$Q$174, 'Expenditure Breakdown'!$W$6:$W$174, "&gt;="&amp;S1,'Expenditure Breakdown'!$W$6:$W$174, "&lt;"&amp;T1)</f>
        <v>0</v>
      </c>
      <c r="T11" s="214">
        <f>SUMIFS('Expenditure Breakdown'!$Q$6:$Q$174, 'Expenditure Breakdown'!$W$6:$W$174, "&gt;="&amp;T1,'Expenditure Breakdown'!$W$6:$W$174, "&lt;"&amp;U1)</f>
        <v>0</v>
      </c>
      <c r="U11" s="214">
        <f>SUMIFS('Expenditure Breakdown'!$Q$6:$Q$174, 'Expenditure Breakdown'!$W$6:$W$174, "&gt;="&amp;U1,'Expenditure Breakdown'!$W$6:$W$174, "&lt;"&amp;V1)</f>
        <v>2022.74</v>
      </c>
      <c r="V11" s="214">
        <f>SUMIFS('Expenditure Breakdown'!$Q$6:$Q$174, 'Expenditure Breakdown'!$W$6:$W$174, "&gt;="&amp;V1,'Expenditure Breakdown'!$W$6:$W$174, "&lt;"&amp;W1)</f>
        <v>151851.85</v>
      </c>
      <c r="W11" s="214">
        <f>SUMIFS('Expenditure Breakdown'!$Q$6:$Q$174, 'Expenditure Breakdown'!$W$6:$W$174, "&gt;="&amp;W1,'Expenditure Breakdown'!$W$6:$W$174, "&lt;"&amp;X1)</f>
        <v>2250.5</v>
      </c>
      <c r="X11" s="214">
        <f>SUMIFS('Expenditure Breakdown'!$Q$6:$Q$174, 'Expenditure Breakdown'!$W$6:$W$174, "&gt;="&amp;X1,'Expenditure Breakdown'!$W$6:$W$174, "&lt;"&amp;Y1)</f>
        <v>14805</v>
      </c>
      <c r="Y11" s="214">
        <f>SUMIFS('Expenditure Breakdown'!$Q$6:$Q$174, 'Expenditure Breakdown'!$W$6:$W$174, "&gt;="&amp;Y1,'Expenditure Breakdown'!$W$6:$W$174, "&lt;"&amp;Z1)</f>
        <v>0</v>
      </c>
      <c r="Z11" s="214">
        <f>SUMIFS('Expenditure Breakdown'!$Q$6:$Q$174, 'Expenditure Breakdown'!$W$6:$W$174, "&gt;="&amp;Z1,'Expenditure Breakdown'!$W$6:$W$174, "&lt;"&amp;AA1)</f>
        <v>1399.4599999999998</v>
      </c>
      <c r="AA11" s="214">
        <f>SUMIFS('Expenditure Breakdown'!$Q$6:$Q$174, 'Expenditure Breakdown'!$W$6:$W$174, "&gt;="&amp;AA1,'Expenditure Breakdown'!$W$6:$W$174, "&lt;"&amp;AB1)</f>
        <v>0</v>
      </c>
      <c r="AB11" s="214">
        <f>SUMIFS('Expenditure Breakdown'!$Q$6:$Q$174, 'Expenditure Breakdown'!$W$6:$W$174, "&gt;="&amp;AB1,'Expenditure Breakdown'!$W$6:$W$174, "&lt;"&amp;AC1)</f>
        <v>232877.77499999999</v>
      </c>
      <c r="AC11" s="214">
        <f>SUMIFS('Expenditure Breakdown'!$Q$6:$Q$174, 'Expenditure Breakdown'!$W$6:$W$174, "&gt;="&amp;AC1,'Expenditure Breakdown'!$W$6:$W$174, "&lt;"&amp;AD1)</f>
        <v>18088.739999999998</v>
      </c>
      <c r="AD11" s="214">
        <f>SUMIFS('Expenditure Breakdown'!$Q$6:$Q$174, 'Expenditure Breakdown'!$W$6:$W$174, "&gt;="&amp;AD1,'Expenditure Breakdown'!$W$6:$W$174, "&lt;"&amp;AE1)</f>
        <v>752000</v>
      </c>
      <c r="AE11" s="214">
        <f>SUMIFS('Expenditure Breakdown'!$Q$6:$Q$174, 'Expenditure Breakdown'!$W$6:$W$174, "&gt;="&amp;AE1,'Expenditure Breakdown'!$W$6:$W$174, "&lt;"&amp;AF1)</f>
        <v>8598.35</v>
      </c>
      <c r="AF11" s="214">
        <f>SUMIFS('Expenditure Breakdown'!$Q$6:$Q$174, 'Expenditure Breakdown'!$W$6:$W$174, "&gt;="&amp;AF1,'Expenditure Breakdown'!$W$6:$W$174, "&lt;"&amp;AG1)</f>
        <v>0</v>
      </c>
      <c r="AG11" s="214">
        <f>SUMIFS('Expenditure Breakdown'!$Q$6:$Q$174, 'Expenditure Breakdown'!$W$6:$W$174, "&gt;="&amp;AG1,'Expenditure Breakdown'!$W$6:$W$174, "&lt;"&amp;AH1)</f>
        <v>1080575.0491304349</v>
      </c>
      <c r="AH11" s="214">
        <f>SUMIFS('Expenditure Breakdown'!$Q$6:$Q$174, 'Expenditure Breakdown'!$W$6:$W$174, "&gt;="&amp;AH1,'Expenditure Breakdown'!$W$6:$W$174, "&lt;"&amp;AI1)</f>
        <v>0</v>
      </c>
      <c r="AI11" s="214">
        <f>SUMIFS('Expenditure Breakdown'!$Q$6:$Q$174, 'Expenditure Breakdown'!$W$6:$W$174, "&gt;="&amp;AI1,'Expenditure Breakdown'!$W$6:$W$174, "&lt;"&amp;AJ1)</f>
        <v>0</v>
      </c>
      <c r="AJ11" s="214">
        <f>SUMIFS('Expenditure Breakdown'!$Q$6:$Q$174, 'Expenditure Breakdown'!$W$6:$W$174, "&gt;="&amp;AJ1,'Expenditure Breakdown'!$W$6:$W$174, "&lt;"&amp;AK1)</f>
        <v>2087530.4308695651</v>
      </c>
      <c r="AK11" s="214">
        <f>SUMIFS('Expenditure Breakdown'!$Q$6:$Q$174, 'Expenditure Breakdown'!$W$6:$W$174, "&gt;="&amp;AK1,'Expenditure Breakdown'!$W$6:$W$174, "&lt;"&amp;AL1)</f>
        <v>0</v>
      </c>
      <c r="AL11" s="214">
        <f>SUMIFS('Expenditure Breakdown'!$Q$6:$Q$174, 'Expenditure Breakdown'!$W$6:$W$174, "&gt;="&amp;AL1,'Expenditure Breakdown'!$W$6:$W$174, "&lt;"&amp;AM1)</f>
        <v>68600</v>
      </c>
      <c r="AM11" s="214">
        <f>SUMIFS('Expenditure Breakdown'!$Q$6:$Q$174, 'Expenditure Breakdown'!$W$6:$W$174, "&gt;="&amp;AM1,'Expenditure Breakdown'!$W$6:$W$174, "&lt;"&amp;AN1)</f>
        <v>0</v>
      </c>
      <c r="AN11" s="214">
        <f>SUMIFS('Expenditure Breakdown'!$Q$6:$Q$174, 'Expenditure Breakdown'!$W$6:$W$174, "&gt;="&amp;AN1,'Expenditure Breakdown'!$W$6:$W$174, "&lt;"&amp;AO1)</f>
        <v>0</v>
      </c>
      <c r="AO11" s="214">
        <f>SUMIFS('Expenditure Breakdown'!$Q$6:$Q$174, 'Expenditure Breakdown'!$W$6:$W$174, "&gt;="&amp;AO1,'Expenditure Breakdown'!$W$6:$W$174, "&lt;"&amp;AP1)</f>
        <v>0</v>
      </c>
      <c r="AP11" s="214">
        <f>SUMIFS('Expenditure Breakdown'!$Q$6:$Q$174, 'Expenditure Breakdown'!$W$6:$W$174, "&gt;="&amp;AP1,'Expenditure Breakdown'!$W$6:$W$174, "&lt;"&amp;AQ1)</f>
        <v>0</v>
      </c>
      <c r="AQ11" s="214">
        <f>SUMIFS('Expenditure Breakdown'!$Q$6:$Q$174, 'Expenditure Breakdown'!$W$6:$W$174, "&gt;="&amp;AQ1,'Expenditure Breakdown'!$W$6:$W$174, "&lt;"&amp;AR1)</f>
        <v>60760.56</v>
      </c>
      <c r="AR11" s="214">
        <f>SUMIFS('Expenditure Breakdown'!$Q$6:$Q$174, 'Expenditure Breakdown'!$W$6:$W$174, "&gt;="&amp;AR1,'Expenditure Breakdown'!$W$6:$W$174, "&lt;"&amp;AS1)</f>
        <v>0</v>
      </c>
      <c r="AS11" s="214">
        <f>SUMIFS('Expenditure Breakdown'!$Q$6:$Q$174, 'Expenditure Breakdown'!$W$6:$W$174, "&gt;="&amp;AS1,'Expenditure Breakdown'!$W$6:$W$174, "&lt;"&amp;AT1)</f>
        <v>338723.7</v>
      </c>
      <c r="AT11" s="214">
        <f>SUMIFS('Expenditure Breakdown'!$Q$6:$Q$174, 'Expenditure Breakdown'!$W$6:$W$174, "&gt;="&amp;AT1,'Expenditure Breakdown'!$W$6:$W$174, "&lt;"&amp;AU1)</f>
        <v>59780</v>
      </c>
      <c r="AU11" s="214">
        <f>SUMIFS('Expenditure Breakdown'!$Q$6:$Q$174, 'Expenditure Breakdown'!$W$6:$W$174, "&gt;="&amp;AU1,'Expenditure Breakdown'!$W$6:$W$174, "&lt;"&amp;AV1)</f>
        <v>3618.49</v>
      </c>
      <c r="AV11" s="214">
        <f>SUMIFS('Expenditure Breakdown'!$Q$6:$Q$174, 'Expenditure Breakdown'!$W$6:$W$174, "&gt;="&amp;AV1,'Expenditure Breakdown'!$W$6:$W$174, "&lt;"&amp;AW1)</f>
        <v>60760</v>
      </c>
      <c r="AW11" s="214">
        <f>SUMIFS('Expenditure Breakdown'!$Q$6:$Q$174, 'Expenditure Breakdown'!$W$6:$W$174, "&gt;="&amp;AW1,'Expenditure Breakdown'!$W$6:$W$174, "&lt;"&amp;AX1)</f>
        <v>6000</v>
      </c>
      <c r="AX11" s="214">
        <f>SUMIFS('Expenditure Breakdown'!$Q$6:$Q$174, 'Expenditure Breakdown'!$W$6:$W$174, "&gt;="&amp;AX1,'Expenditure Breakdown'!$W$6:$W$174, "&lt;"&amp;AY1)</f>
        <v>4950</v>
      </c>
      <c r="AY11" s="214">
        <f>SUMIFS('Expenditure Breakdown'!$Q$6:$Q$174, 'Expenditure Breakdown'!$W$6:$W$174, "&gt;="&amp;AY1,'Expenditure Breakdown'!$W$6:$W$174, "&lt;"&amp;AZ1)</f>
        <v>1827.75</v>
      </c>
      <c r="AZ11" s="214">
        <f>SUMIFS('Expenditure Breakdown'!$Q$6:$Q$174, 'Expenditure Breakdown'!$W$6:$W$174, "&gt;="&amp;AZ1,'Expenditure Breakdown'!$W$6:$W$174, "&lt;"&amp;BA1)</f>
        <v>16488</v>
      </c>
      <c r="BA11" s="214">
        <f>SUMIFS('Expenditure Breakdown'!$Q$6:$Q$174, 'Expenditure Breakdown'!$W$6:$W$174, "&gt;="&amp;BA1,'Expenditure Breakdown'!$W$6:$W$174, "&lt;"&amp;BB1)</f>
        <v>429135.97499999998</v>
      </c>
      <c r="BB11" s="214">
        <f>SUMIFS('Expenditure Breakdown'!$Q$6:$Q$174, 'Expenditure Breakdown'!$W$6:$W$174, "&gt;="&amp;BB1,'Expenditure Breakdown'!$W$6:$W$174, "&lt;"&amp;BC1)</f>
        <v>0</v>
      </c>
      <c r="BC11" s="214">
        <f>SUMIFS('Expenditure Breakdown'!$Q$6:$Q$174, 'Expenditure Breakdown'!$W$6:$W$174, "&gt;="&amp;BC1,'Expenditure Breakdown'!$W$6:$W$174, "&lt;"&amp;BD1)</f>
        <v>6506</v>
      </c>
      <c r="BD11" s="214">
        <f>SUMIFS('Expenditure Breakdown'!$Q$6:$Q$174, 'Expenditure Breakdown'!$W$6:$W$174, "&gt;="&amp;BD1,'Expenditure Breakdown'!$W$6:$W$174, "&lt;"&amp;BE1)</f>
        <v>495.04</v>
      </c>
      <c r="BE11" s="214">
        <f>SUMIFS('Expenditure Breakdown'!$Q$6:$Q$174, 'Expenditure Breakdown'!$W$6:$W$174, "&gt;="&amp;BE1,'Expenditure Breakdown'!$W$6:$W$174, "&lt;"&amp;BF1)</f>
        <v>762780</v>
      </c>
      <c r="BF11" s="214">
        <f>SUMIFS('Expenditure Breakdown'!$Q$6:$Q$174, 'Expenditure Breakdown'!$W$6:$W$174, "&gt;="&amp;BF1,'Expenditure Breakdown'!$W$6:$W$174, "&lt;"&amp;BG1)</f>
        <v>6969</v>
      </c>
      <c r="BG11" s="214">
        <f>SUMIFS('Expenditure Breakdown'!$Q$6:$Q$174, 'Expenditure Breakdown'!$W$6:$W$174, "&gt;="&amp;BG1,'Expenditure Breakdown'!$W$6:$W$174, "&lt;"&amp;BH1)</f>
        <v>277471.98</v>
      </c>
      <c r="BH11" s="214">
        <f>SUMIFS('Expenditure Breakdown'!$Q$6:$Q$174, 'Expenditure Breakdown'!$W$6:$W$174, "&gt;="&amp;BH1,'Expenditure Breakdown'!$W$6:$W$174, "&lt;"&amp;BI1)</f>
        <v>188121.93</v>
      </c>
      <c r="BI11" s="214">
        <f>SUMIFS('Expenditure Breakdown'!$Q$6:$Q$174, 'Expenditure Breakdown'!$W$6:$W$174, "&gt;="&amp;BI1,'Expenditure Breakdown'!$W$6:$W$174, "&lt;"&amp;BJ1)</f>
        <v>75925.925000000003</v>
      </c>
      <c r="BJ11" s="214">
        <f>SUMIFS('Expenditure Breakdown'!$Q$6:$Q$174, 'Expenditure Breakdown'!$W$6:$W$174, "&gt;="&amp;BJ1,'Expenditure Breakdown'!$W$6:$W$174, "&lt;"&amp;BK1)</f>
        <v>0</v>
      </c>
      <c r="BK11" s="214">
        <f>SUMIFS('Expenditure Breakdown'!$Q$6:$Q$174, 'Expenditure Breakdown'!$W$6:$W$174, "&gt;="&amp;BK1,'Expenditure Breakdown'!$W$6:$W$174, "&lt;"&amp;BL1)</f>
        <v>153008.9</v>
      </c>
      <c r="BL11" s="214">
        <f>SUMIFS('Expenditure Breakdown'!$Q$6:$Q$174, 'Expenditure Breakdown'!$W$6:$W$174, "&gt;="&amp;BL1,'Expenditure Breakdown'!$W$6:$W$174, "&lt;"&amp;BM1)</f>
        <v>500</v>
      </c>
      <c r="BM11" s="214">
        <f>SUMIFS('Expenditure Breakdown'!$Q$6:$Q$174, 'Expenditure Breakdown'!$W$6:$W$174, "&gt;="&amp;BM1,'Expenditure Breakdown'!$W$6:$W$174, "&lt;"&amp;BN1)</f>
        <v>75925.925000000003</v>
      </c>
      <c r="BN11" s="214">
        <f>SUMIFS('Expenditure Breakdown'!$Q$6:$Q$174, 'Expenditure Breakdown'!$W$6:$W$174, "&gt;="&amp;BN1,'Expenditure Breakdown'!$W$6:$W$174, "&lt;"&amp;BO1)</f>
        <v>0</v>
      </c>
      <c r="BO11" s="214">
        <f>SUMIFS('Expenditure Breakdown'!$Q$6:$Q$174, 'Expenditure Breakdown'!$W$6:$W$174, "&gt;="&amp;BO1,'Expenditure Breakdown'!$W$6:$W$174, "&lt;"&amp;BP1)</f>
        <v>0</v>
      </c>
      <c r="BP11" s="214">
        <f>SUMIFS('Expenditure Breakdown'!$Q$6:$Q$174, 'Expenditure Breakdown'!$W$6:$W$174, "&gt;="&amp;BP1,'Expenditure Breakdown'!$W$6:$W$174, "&lt;"&amp;BQ1)</f>
        <v>92100</v>
      </c>
      <c r="BQ11" s="214">
        <f>SUMIFS('Expenditure Breakdown'!$Q$6:$Q$174, 'Expenditure Breakdown'!$W$6:$W$174, "&gt;="&amp;BQ1,'Expenditure Breakdown'!$W$6:$W$174, "&lt;"&amp;BR1)</f>
        <v>0</v>
      </c>
      <c r="BR11" s="214">
        <f>SUMIFS('Expenditure Breakdown'!$Q$6:$Q$174, 'Expenditure Breakdown'!$W$6:$W$174, "&gt;="&amp;BR1,'Expenditure Breakdown'!$W$6:$W$174, "&lt;"&amp;BS1)</f>
        <v>0</v>
      </c>
      <c r="BS11" s="214">
        <f>SUMIFS('Expenditure Breakdown'!$Q$6:$Q$174, 'Expenditure Breakdown'!$W$6:$W$174, "&gt;="&amp;BS1,'Expenditure Breakdown'!$W$6:$W$174, "&lt;"&amp;BT1)</f>
        <v>0</v>
      </c>
      <c r="BT11" s="214">
        <f>SUMIFS('Expenditure Breakdown'!$Q$6:$Q$174, 'Expenditure Breakdown'!$W$6:$W$174, "&gt;="&amp;BT1,'Expenditure Breakdown'!$W$6:$W$174, "&lt;"&amp;BU1)</f>
        <v>39790.607625000004</v>
      </c>
      <c r="BU11" s="214">
        <f>SUMIFS('Expenditure Breakdown'!$Q$6:$Q$174, 'Expenditure Breakdown'!$W$6:$W$174, "&gt;="&amp;BU1,'Expenditure Breakdown'!$W$6:$W$174, "&lt;"&amp;BV1)</f>
        <v>0</v>
      </c>
      <c r="BV11" s="214">
        <f>SUMIFS('Expenditure Breakdown'!$Q$6:$Q$174, 'Expenditure Breakdown'!$W$6:$W$174, "&gt;="&amp;BV1,'Expenditure Breakdown'!$W$6:$W$174, "&lt;"&amp;BW1)</f>
        <v>0</v>
      </c>
      <c r="BW11" s="214">
        <f>SUMIFS('Expenditure Breakdown'!$Q$6:$Q$174, 'Expenditure Breakdown'!$W$6:$W$174, "&gt;="&amp;BW1,'Expenditure Breakdown'!$W$6:$W$174, "&lt;"&amp;BX1)</f>
        <v>0</v>
      </c>
      <c r="BX11" s="214">
        <f>SUMIFS('Expenditure Breakdown'!$Q$6:$Q$174, 'Expenditure Breakdown'!$W$6:$W$174, "&gt;="&amp;BX1,'Expenditure Breakdown'!$W$6:$W$174, "&lt;"&amp;BY1)</f>
        <v>0</v>
      </c>
      <c r="BY11" s="214">
        <f>SUMIFS('Expenditure Breakdown'!$Q$6:$Q$174, 'Expenditure Breakdown'!$W$6:$W$174, "&gt;="&amp;BY1,'Expenditure Breakdown'!$W$6:$W$174, "&lt;"&amp;BZ1)</f>
        <v>0</v>
      </c>
      <c r="BZ11" s="214">
        <f>SUMIFS('Expenditure Breakdown'!$Q$6:$Q$174, 'Expenditure Breakdown'!$W$6:$W$174, "&gt;="&amp;BZ1,'Expenditure Breakdown'!$W$6:$W$174, "&lt;"&amp;CA1)</f>
        <v>0</v>
      </c>
      <c r="CA11" s="214">
        <f>SUMIFS('Expenditure Breakdown'!$Q$6:$Q$174, 'Expenditure Breakdown'!$W$6:$W$174, "&gt;="&amp;CA1,'Expenditure Breakdown'!$W$6:$W$174, "&lt;"&amp;CB1)</f>
        <v>0</v>
      </c>
      <c r="CB11" s="214">
        <f>SUMIFS('Expenditure Breakdown'!$Q$6:$Q$174, 'Expenditure Breakdown'!$W$6:$W$174, "&gt;="&amp;CB1,'Expenditure Breakdown'!$W$6:$W$174, "&lt;"&amp;CC1)</f>
        <v>0</v>
      </c>
      <c r="CC11" s="214">
        <f>SUMIFS('Expenditure Breakdown'!$Q$6:$Q$174, 'Expenditure Breakdown'!$W$6:$W$174, "&gt;="&amp;CC1,'Expenditure Breakdown'!$W$6:$W$174, "&lt;"&amp;CD1)</f>
        <v>0</v>
      </c>
      <c r="CD11" s="214">
        <f>SUMIFS('Expenditure Breakdown'!$Q$6:$Q$174, 'Expenditure Breakdown'!$W$6:$W$174, "&gt;="&amp;CD1,'Expenditure Breakdown'!$W$6:$W$174, "&lt;"&amp;CE1)</f>
        <v>0</v>
      </c>
      <c r="CE11" s="214">
        <f>SUMIFS('Expenditure Breakdown'!$Q$6:$Q$174, 'Expenditure Breakdown'!$W$6:$W$174, "&gt;="&amp;CE1,'Expenditure Breakdown'!$W$6:$W$174, "&lt;"&amp;CF1)</f>
        <v>0</v>
      </c>
      <c r="CF11" s="214">
        <f>SUMIFS('Expenditure Breakdown'!$Q$6:$Q$174, 'Expenditure Breakdown'!$W$6:$W$174, "&gt;="&amp;CF1,'Expenditure Breakdown'!$W$6:$W$174, "&lt;"&amp;CG1)</f>
        <v>0</v>
      </c>
      <c r="CG11" s="214">
        <f>SUMIFS('Expenditure Breakdown'!$Q$6:$Q$174, 'Expenditure Breakdown'!$W$6:$W$174, "&gt;="&amp;CG1,'Expenditure Breakdown'!$W$6:$W$174, "&lt;"&amp;CH1)</f>
        <v>0</v>
      </c>
      <c r="CH11" s="214">
        <f>SUMIFS('Expenditure Breakdown'!$Q$6:$Q$174, 'Expenditure Breakdown'!$W$6:$W$174, "&gt;="&amp;CH1,'Expenditure Breakdown'!$W$6:$W$174, "&lt;"&amp;CI1)</f>
        <v>0</v>
      </c>
      <c r="CI11" s="214">
        <f>SUMIFS('Expenditure Breakdown'!$Q$6:$Q$174, 'Expenditure Breakdown'!$W$6:$W$174, "&gt;="&amp;CI1,'Expenditure Breakdown'!$W$6:$W$174, "&lt;"&amp;CJ1)</f>
        <v>0</v>
      </c>
      <c r="CJ11" s="214">
        <f>SUMIFS('Expenditure Breakdown'!$Q$6:$Q$174, 'Expenditure Breakdown'!$W$6:$W$174, "&gt;="&amp;CJ1,'Expenditure Breakdown'!$W$6:$W$174, "&lt;"&amp;CK1)</f>
        <v>0</v>
      </c>
      <c r="CK11" s="214">
        <f>SUMIFS('Expenditure Breakdown'!$Q$6:$Q$174, 'Expenditure Breakdown'!$W$6:$W$174, "&gt;="&amp;CK1,'Expenditure Breakdown'!$W$6:$W$174, "&lt;"&amp;CL1)</f>
        <v>0</v>
      </c>
      <c r="CL11" s="214">
        <f>SUMIFS('Expenditure Breakdown'!$Q$6:$Q$174, 'Expenditure Breakdown'!$W$6:$W$174, "&gt;="&amp;CL1,'Expenditure Breakdown'!$W$6:$W$174, "&lt;"&amp;CM1)</f>
        <v>0</v>
      </c>
      <c r="CM11" s="214">
        <f>SUMIFS('Expenditure Breakdown'!$Q$6:$Q$174, 'Expenditure Breakdown'!$W$6:$W$174, "&gt;="&amp;CM1,'Expenditure Breakdown'!$W$6:$W$174, "&lt;"&amp;CN1)</f>
        <v>0</v>
      </c>
      <c r="CN11" s="214">
        <f>SUMIFS('Expenditure Breakdown'!$Q$6:$Q$174, 'Expenditure Breakdown'!$W$6:$W$174, "&gt;="&amp;CN1,'Expenditure Breakdown'!$W$6:$W$174, "&lt;"&amp;CO1)</f>
        <v>0</v>
      </c>
      <c r="CO11" s="214">
        <f>SUMIFS('Expenditure Breakdown'!$Q$6:$Q$174, 'Expenditure Breakdown'!$W$6:$W$174, "&gt;="&amp;CO1,'Expenditure Breakdown'!$W$6:$W$174, "&lt;"&amp;CP1)</f>
        <v>0</v>
      </c>
      <c r="CP11" s="214">
        <f>SUMIFS('Expenditure Breakdown'!$Q$6:$Q$174, 'Expenditure Breakdown'!$W$6:$W$174, "&gt;="&amp;CP1,'Expenditure Breakdown'!$W$6:$W$174, "&lt;"&amp;CQ1)</f>
        <v>0</v>
      </c>
      <c r="CQ11" s="214">
        <f>SUMIFS('Expenditure Breakdown'!$Q$6:$Q$174, 'Expenditure Breakdown'!$W$6:$W$174, "&gt;="&amp;CQ1,'Expenditure Breakdown'!$W$6:$W$174, "&lt;"&amp;CR1)</f>
        <v>0</v>
      </c>
      <c r="CR11" s="214">
        <f>SUMIFS('Expenditure Breakdown'!$Q$6:$Q$174, 'Expenditure Breakdown'!$W$6:$W$174, "&gt;="&amp;CR1,'Expenditure Breakdown'!$W$6:$W$174, "&lt;"&amp;CS1)</f>
        <v>0</v>
      </c>
      <c r="CS11" s="214">
        <f>SUMIFS('Expenditure Breakdown'!$Q$6:$Q$174, 'Expenditure Breakdown'!$W$6:$W$174, "&gt;="&amp;CS1,'Expenditure Breakdown'!$W$6:$W$174, "&lt;"&amp;CT1)</f>
        <v>0</v>
      </c>
      <c r="CT11" s="214">
        <f>SUMIFS('Expenditure Breakdown'!$Q$6:$Q$174, 'Expenditure Breakdown'!$W$6:$W$174, "&gt;="&amp;CT1,'Expenditure Breakdown'!$W$6:$W$174, "&lt;"&amp;CU1)</f>
        <v>0</v>
      </c>
      <c r="CU11" s="214">
        <f>SUMIFS('Expenditure Breakdown'!$Q$6:$Q$174, 'Expenditure Breakdown'!$W$6:$W$174, "&gt;="&amp;CU1,'Expenditure Breakdown'!$W$6:$W$174, "&lt;"&amp;CV1)</f>
        <v>0</v>
      </c>
      <c r="CV11" s="214">
        <f>SUMIFS('Expenditure Breakdown'!$Q$6:$Q$174, 'Expenditure Breakdown'!$W$6:$W$174, "&gt;="&amp;CV1,'Expenditure Breakdown'!$W$6:$W$174, "&lt;"&amp;CW1)</f>
        <v>0</v>
      </c>
      <c r="CW11" s="214">
        <f>SUMIFS('Expenditure Breakdown'!$Q$6:$Q$174, 'Expenditure Breakdown'!$W$6:$W$174, "&gt;="&amp;CW1,'Expenditure Breakdown'!$W$6:$W$174, "&lt;"&amp;CX1)</f>
        <v>0</v>
      </c>
      <c r="CX11" s="214">
        <f>SUMIFS('Expenditure Breakdown'!$Q$6:$Q$174, 'Expenditure Breakdown'!$W$6:$W$174, "&gt;="&amp;CX1,'Expenditure Breakdown'!$W$6:$W$174, "&lt;"&amp;CY1)</f>
        <v>0</v>
      </c>
      <c r="CY11" s="214">
        <f>SUMIFS('Expenditure Breakdown'!$Q$6:$Q$174, 'Expenditure Breakdown'!$W$6:$W$174, "&gt;="&amp;CY1,'Expenditure Breakdown'!$W$6:$W$174, "&lt;"&amp;CZ1)</f>
        <v>0</v>
      </c>
      <c r="CZ11" s="214">
        <f>SUMIFS('Expenditure Breakdown'!$Q$6:$Q$174, 'Expenditure Breakdown'!$W$6:$W$174, "&gt;="&amp;CZ1,'Expenditure Breakdown'!$W$6:$W$174, "&lt;"&amp;DA1)</f>
        <v>0</v>
      </c>
      <c r="DA11" s="214">
        <f>SUMIFS('Expenditure Breakdown'!$Q$6:$Q$174, 'Expenditure Breakdown'!$W$6:$W$174, "&gt;="&amp;DA1,'Expenditure Breakdown'!$W$6:$W$174, "&lt;"&amp;DB1)</f>
        <v>0</v>
      </c>
      <c r="DB11" s="214">
        <f>SUMIFS('Expenditure Breakdown'!$Q$6:$Q$174, 'Expenditure Breakdown'!$W$6:$W$174, "&gt;="&amp;DB1,'Expenditure Breakdown'!$W$6:$W$174, "&lt;"&amp;DC1)</f>
        <v>0</v>
      </c>
      <c r="DC11" s="214">
        <f>SUMIFS('Expenditure Breakdown'!$Q$6:$Q$174, 'Expenditure Breakdown'!$W$6:$W$174, "&gt;="&amp;DC1,'Expenditure Breakdown'!$W$6:$W$174, "&lt;"&amp;DD1)</f>
        <v>0</v>
      </c>
      <c r="DD11" s="214">
        <f>SUMIFS('Expenditure Breakdown'!$Q$6:$Q$174, 'Expenditure Breakdown'!$W$6:$W$174, "&gt;="&amp;DD1,'Expenditure Breakdown'!$W$6:$W$174, "&lt;"&amp;DE1)</f>
        <v>0</v>
      </c>
      <c r="DE11" s="214">
        <f>SUMIFS('Expenditure Breakdown'!$Q$6:$Q$174, 'Expenditure Breakdown'!$W$6:$W$174, "&gt;="&amp;DE1,'Expenditure Breakdown'!$W$6:$W$174, "&lt;"&amp;DF1)</f>
        <v>0</v>
      </c>
      <c r="DF11" s="214">
        <f>SUMIFS('Expenditure Breakdown'!$Q$6:$Q$174, 'Expenditure Breakdown'!$W$6:$W$174, "&gt;="&amp;DF1,'Expenditure Breakdown'!$W$6:$W$174, "&lt;"&amp;DG1)</f>
        <v>0</v>
      </c>
      <c r="DG11" s="214">
        <f>SUMIFS('Expenditure Breakdown'!$Q$6:$Q$174, 'Expenditure Breakdown'!$W$6:$W$174, "&gt;="&amp;DG1,'Expenditure Breakdown'!$W$6:$W$174, "&lt;"&amp;DH1)</f>
        <v>0</v>
      </c>
      <c r="DH11" s="214">
        <f>SUMIFS('Expenditure Breakdown'!$Q$6:$Q$174, 'Expenditure Breakdown'!$W$6:$W$174, "&gt;="&amp;DH1,'Expenditure Breakdown'!$W$6:$W$174, "&lt;"&amp;DI1)</f>
        <v>0</v>
      </c>
      <c r="DI11" s="214">
        <f>SUMIFS('Expenditure Breakdown'!$Q$6:$Q$174, 'Expenditure Breakdown'!$W$6:$W$174, "&gt;="&amp;DI1,'Expenditure Breakdown'!$W$6:$W$174, "&lt;"&amp;DJ1)</f>
        <v>0</v>
      </c>
      <c r="DJ11" s="214">
        <f>SUMIFS('Expenditure Breakdown'!$Q$6:$Q$174, 'Expenditure Breakdown'!$W$6:$W$174, "&gt;="&amp;DJ1,'Expenditure Breakdown'!$W$6:$W$174, "&lt;"&amp;DK1)</f>
        <v>0</v>
      </c>
      <c r="DK11" s="214">
        <f>SUMIFS('Expenditure Breakdown'!$Q$6:$Q$174, 'Expenditure Breakdown'!$W$6:$W$174, "&gt;="&amp;DK1,'Expenditure Breakdown'!$W$6:$W$174, "&lt;"&amp;DL1)</f>
        <v>0</v>
      </c>
      <c r="DL11" s="214">
        <f>SUMIFS('Expenditure Breakdown'!$Q$6:$Q$174, 'Expenditure Breakdown'!$W$6:$W$174, "&gt;="&amp;DL1,'Expenditure Breakdown'!$W$6:$W$174, "&lt;"&amp;DM1)</f>
        <v>0</v>
      </c>
      <c r="DM11" s="214">
        <f>SUMIFS('Expenditure Breakdown'!$Q$6:$Q$174, 'Expenditure Breakdown'!$W$6:$W$174, "&gt;="&amp;DM1,'Expenditure Breakdown'!$W$6:$W$174, "&lt;"&amp;DN1)</f>
        <v>0</v>
      </c>
      <c r="DN11" s="214">
        <f>SUMIFS('Expenditure Breakdown'!$Q$6:$Q$174, 'Expenditure Breakdown'!$W$6:$W$174, "&gt;="&amp;DN1,'Expenditure Breakdown'!$W$6:$W$174, "&lt;"&amp;DO1)</f>
        <v>0</v>
      </c>
      <c r="DO11" s="214">
        <f>SUMIFS('Expenditure Breakdown'!$Q$6:$Q$174, 'Expenditure Breakdown'!$W$6:$W$174, "&gt;="&amp;DO1,'Expenditure Breakdown'!$W$6:$W$174, "&lt;"&amp;DP1)</f>
        <v>0</v>
      </c>
      <c r="DP11" s="214">
        <f>SUMIFS('Expenditure Breakdown'!$Q$6:$Q$174, 'Expenditure Breakdown'!$W$6:$W$174, "&gt;="&amp;DP1,'Expenditure Breakdown'!$W$6:$W$174, "&lt;"&amp;DQ1)</f>
        <v>0</v>
      </c>
      <c r="DQ11" s="214">
        <f>SUMIFS('Expenditure Breakdown'!$Q$6:$Q$174, 'Expenditure Breakdown'!$W$6:$W$174, "&gt;="&amp;DQ1,'Expenditure Breakdown'!$W$6:$W$174, "&lt;"&amp;DR1)</f>
        <v>0</v>
      </c>
      <c r="DR11" s="214">
        <f>SUMIFS('Expenditure Breakdown'!$Q$6:$Q$174, 'Expenditure Breakdown'!$W$6:$W$174, "&gt;="&amp;DR1,'Expenditure Breakdown'!$W$6:$W$174, "&lt;"&amp;DS1)</f>
        <v>0</v>
      </c>
      <c r="DS11" s="214">
        <f>SUMIFS('Expenditure Breakdown'!$Q$6:$Q$174, 'Expenditure Breakdown'!$W$6:$W$174, "&gt;="&amp;DS1,'Expenditure Breakdown'!$W$6:$W$174, "&lt;"&amp;DT1)</f>
        <v>0</v>
      </c>
      <c r="DT11" s="214">
        <f>SUMIFS('Expenditure Breakdown'!$Q$6:$Q$174, 'Expenditure Breakdown'!$W$6:$W$174, "&gt;="&amp;DT1,'Expenditure Breakdown'!$W$6:$W$174, "&lt;"&amp;DU1)</f>
        <v>0</v>
      </c>
      <c r="DU11" s="214">
        <f>SUMIFS('Expenditure Breakdown'!$Q$6:$Q$174, 'Expenditure Breakdown'!$W$6:$W$174, "&gt;="&amp;DU1,'Expenditure Breakdown'!$W$6:$W$174, "&lt;"&amp;DV1)</f>
        <v>0</v>
      </c>
      <c r="DV11" s="214">
        <f>SUMIFS('Expenditure Breakdown'!$Q$6:$Q$174, 'Expenditure Breakdown'!$W$6:$W$174, "&gt;="&amp;DV1,'Expenditure Breakdown'!$W$6:$W$174, "&lt;"&amp;DW1)</f>
        <v>0</v>
      </c>
      <c r="DW11" s="214">
        <f>SUMIFS('Expenditure Breakdown'!$Q$6:$Q$174, 'Expenditure Breakdown'!$W$6:$W$174, "&gt;="&amp;DW1,'Expenditure Breakdown'!$W$6:$W$174, "&lt;"&amp;DX1)</f>
        <v>0</v>
      </c>
      <c r="DX11" s="214">
        <f>SUMIFS('Expenditure Breakdown'!$Q$6:$Q$174, 'Expenditure Breakdown'!$W$6:$W$174, "&gt;="&amp;DX1,'Expenditure Breakdown'!$W$6:$W$174, "&lt;"&amp;DY1)</f>
        <v>0</v>
      </c>
      <c r="DY11" s="214">
        <f>SUMIFS('Expenditure Breakdown'!$Q$6:$Q$174, 'Expenditure Breakdown'!$W$6:$W$174, "&gt;="&amp;DY1,'Expenditure Breakdown'!$W$6:$W$174, "&lt;"&amp;DZ1)</f>
        <v>0</v>
      </c>
      <c r="DZ11" s="214">
        <f>SUMIFS('Expenditure Breakdown'!$Q$6:$Q$174, 'Expenditure Breakdown'!$W$6:$W$174, "&gt;="&amp;DZ1,'Expenditure Breakdown'!$W$6:$W$174, "&lt;"&amp;EA1)</f>
        <v>0</v>
      </c>
      <c r="EA11" s="214">
        <f>SUMIFS('Expenditure Breakdown'!$Q$6:$Q$174, 'Expenditure Breakdown'!$W$6:$W$174, "&gt;="&amp;EA1,'Expenditure Breakdown'!$W$6:$W$174, "&lt;"&amp;EB1)</f>
        <v>0</v>
      </c>
      <c r="EB11" s="214">
        <f>SUMIFS('Expenditure Breakdown'!$Q$6:$Q$174, 'Expenditure Breakdown'!$W$6:$W$174, "&gt;="&amp;EB1,'Expenditure Breakdown'!$W$6:$W$174, "&lt;"&amp;EC1)</f>
        <v>0</v>
      </c>
      <c r="EC11" s="214">
        <f>SUMIFS('Expenditure Breakdown'!$Q$6:$Q$174, 'Expenditure Breakdown'!$W$6:$W$174, "&gt;="&amp;EC1,'Expenditure Breakdown'!$W$6:$W$174, "&lt;"&amp;ED1)</f>
        <v>0</v>
      </c>
      <c r="ED11" s="214">
        <f>SUMIFS('Expenditure Breakdown'!$Q$6:$Q$174, 'Expenditure Breakdown'!$W$6:$W$174, "&gt;="&amp;ED1,'Expenditure Breakdown'!$W$6:$W$174, "&lt;"&amp;EE1)</f>
        <v>0</v>
      </c>
      <c r="EE11" s="214">
        <f>SUMIFS('Expenditure Breakdown'!$Q$6:$Q$174, 'Expenditure Breakdown'!$W$6:$W$174, "&gt;="&amp;EE1,'Expenditure Breakdown'!$W$6:$W$174, "&lt;"&amp;EF1)</f>
        <v>0</v>
      </c>
      <c r="EF11" s="214">
        <f>SUMIFS('Expenditure Breakdown'!$Q$6:$Q$174, 'Expenditure Breakdown'!$W$6:$W$174, "&gt;="&amp;EF1,'Expenditure Breakdown'!$W$6:$W$174, "&lt;"&amp;EG1)</f>
        <v>0</v>
      </c>
      <c r="EG11" s="214">
        <f>SUMIFS('Expenditure Breakdown'!$Q$6:$Q$174, 'Expenditure Breakdown'!$W$6:$W$174, "&gt;="&amp;EG1,'Expenditure Breakdown'!$W$6:$W$174, "&lt;"&amp;EH1)</f>
        <v>0</v>
      </c>
      <c r="EH11" s="214">
        <f>SUMIFS('Expenditure Breakdown'!$Q$6:$Q$174, 'Expenditure Breakdown'!$W$6:$W$174, "&gt;="&amp;EH1,'Expenditure Breakdown'!$W$6:$W$174, "&lt;"&amp;EI1)</f>
        <v>0</v>
      </c>
      <c r="EI11" s="214">
        <f>SUMIFS('Expenditure Breakdown'!$Q$6:$Q$174, 'Expenditure Breakdown'!$W$6:$W$174, "&gt;="&amp;EI1,'Expenditure Breakdown'!$W$6:$W$174, "&lt;"&amp;EJ1)</f>
        <v>0</v>
      </c>
      <c r="EJ11" s="214">
        <f>SUMIFS('Expenditure Breakdown'!$Q$6:$Q$174, 'Expenditure Breakdown'!$W$6:$W$174, "&gt;="&amp;EJ1,'Expenditure Breakdown'!$W$6:$W$174, "&lt;"&amp;EK1)</f>
        <v>0</v>
      </c>
      <c r="EK11" s="214">
        <f>SUMIFS('Expenditure Breakdown'!$Q$6:$Q$174, 'Expenditure Breakdown'!$W$6:$W$174, "&gt;="&amp;EK1,'Expenditure Breakdown'!$W$6:$W$174, "&lt;"&amp;EL1)</f>
        <v>0</v>
      </c>
      <c r="EL11" s="214">
        <f>SUMIFS('Expenditure Breakdown'!$Q$6:$Q$174, 'Expenditure Breakdown'!$W$6:$W$174, "&gt;="&amp;EL1,'Expenditure Breakdown'!$W$6:$W$174, "&lt;"&amp;EM1)</f>
        <v>0</v>
      </c>
      <c r="EM11" s="214">
        <f>SUMIFS('Expenditure Breakdown'!$Q$6:$Q$174, 'Expenditure Breakdown'!$W$6:$W$174, "&gt;="&amp;EM1,'Expenditure Breakdown'!$W$6:$W$174, "&lt;"&amp;EN1)</f>
        <v>0</v>
      </c>
      <c r="EN11" s="214">
        <f>SUMIFS('Expenditure Breakdown'!$Q$6:$Q$174, 'Expenditure Breakdown'!$W$6:$W$174, "&gt;="&amp;EN1,'Expenditure Breakdown'!$W$6:$W$174, "&lt;"&amp;EO1)</f>
        <v>0</v>
      </c>
      <c r="EO11" s="214">
        <f>SUMIFS('Expenditure Breakdown'!$Q$6:$Q$174, 'Expenditure Breakdown'!$W$6:$W$174, "&gt;="&amp;EO1,'Expenditure Breakdown'!$W$6:$W$174, "&lt;"&amp;EP1)</f>
        <v>0</v>
      </c>
      <c r="EP11" s="214">
        <f>SUMIFS('Expenditure Breakdown'!$Q$6:$Q$174, 'Expenditure Breakdown'!$W$6:$W$174, "&gt;="&amp;EP1,'Expenditure Breakdown'!$W$6:$W$174, "&lt;"&amp;EQ1)</f>
        <v>0</v>
      </c>
      <c r="EQ11" s="214">
        <f>SUMIFS('Expenditure Breakdown'!$Q$6:$Q$174, 'Expenditure Breakdown'!$W$6:$W$174, "&gt;="&amp;EQ1,'Expenditure Breakdown'!$W$6:$W$174, "&lt;"&amp;ER1)</f>
        <v>0</v>
      </c>
      <c r="ER11" s="214">
        <f>SUMIFS('Expenditure Breakdown'!$Q$6:$Q$174, 'Expenditure Breakdown'!$W$6:$W$174, "&gt;="&amp;ER1,'Expenditure Breakdown'!$W$6:$W$174, "&lt;"&amp;ES1)</f>
        <v>0</v>
      </c>
      <c r="ES11" s="214">
        <f>SUMIFS('Expenditure Breakdown'!$Q$6:$Q$174, 'Expenditure Breakdown'!$W$6:$W$174, "&gt;="&amp;ES1,'Expenditure Breakdown'!$W$6:$W$174, "&lt;"&amp;ET1)</f>
        <v>0</v>
      </c>
      <c r="ET11" s="214">
        <f>SUMIFS('Expenditure Breakdown'!$Q$6:$Q$174, 'Expenditure Breakdown'!$W$6:$W$174, "&gt;="&amp;ET1,'Expenditure Breakdown'!$W$6:$W$174, "&lt;"&amp;EU1)</f>
        <v>0</v>
      </c>
      <c r="EU11" s="214">
        <f>SUMIFS('Expenditure Breakdown'!$Q$6:$Q$174, 'Expenditure Breakdown'!$W$6:$W$174, "&gt;="&amp;EU1,'Expenditure Breakdown'!$W$6:$W$174, "&lt;"&amp;EV1)</f>
        <v>0</v>
      </c>
      <c r="EV11" s="214">
        <f>SUMIFS('Expenditure Breakdown'!$Q$6:$Q$174, 'Expenditure Breakdown'!$W$6:$W$174, "&gt;="&amp;EV1,'Expenditure Breakdown'!$W$6:$W$174, "&lt;"&amp;EW1)</f>
        <v>0</v>
      </c>
      <c r="EW11" s="214">
        <f>SUMIFS('Expenditure Breakdown'!$Q$6:$Q$174, 'Expenditure Breakdown'!$W$6:$W$174, "&gt;="&amp;EW1,'Expenditure Breakdown'!$W$6:$W$174, "&lt;"&amp;EX1)</f>
        <v>0</v>
      </c>
      <c r="EX11" s="214">
        <f>SUMIFS('Expenditure Breakdown'!$Q$6:$Q$174, 'Expenditure Breakdown'!$W$6:$W$174, "&gt;="&amp;EX1,'Expenditure Breakdown'!$W$6:$W$174, "&lt;"&amp;EY1)</f>
        <v>0</v>
      </c>
      <c r="EY11" s="214">
        <f>SUMIFS('Expenditure Breakdown'!$Q$6:$Q$174, 'Expenditure Breakdown'!$W$6:$W$174, "&gt;="&amp;EY1,'Expenditure Breakdown'!$W$6:$W$174, "&lt;"&amp;EZ1)</f>
        <v>0</v>
      </c>
      <c r="EZ11" s="214">
        <f>SUMIFS('Expenditure Breakdown'!$Q$6:$Q$174, 'Expenditure Breakdown'!$W$6:$W$174, "&gt;="&amp;EZ1,'Expenditure Breakdown'!$W$6:$W$174, "&lt;"&amp;FA1)</f>
        <v>0</v>
      </c>
      <c r="FA11" s="214">
        <f>SUMIFS('Expenditure Breakdown'!$Q$6:$Q$174, 'Expenditure Breakdown'!$W$6:$W$174, "&gt;="&amp;FA1,'Expenditure Breakdown'!$W$6:$W$174, "&lt;"&amp;FB1)</f>
        <v>0</v>
      </c>
      <c r="FB11" s="214">
        <f>SUMIFS('Expenditure Breakdown'!$Q$6:$Q$174, 'Expenditure Breakdown'!$W$6:$W$174, "&gt;="&amp;FB1,'Expenditure Breakdown'!$W$6:$W$174, "&lt;"&amp;FC1)</f>
        <v>0</v>
      </c>
      <c r="FC11" s="214">
        <f>SUMIFS('Expenditure Breakdown'!$Q$6:$Q$174, 'Expenditure Breakdown'!$W$6:$W$174, "&gt;="&amp;FC1,'Expenditure Breakdown'!$W$6:$W$174, "&lt;"&amp;FD1)</f>
        <v>0</v>
      </c>
      <c r="FD11" s="214">
        <f>SUMIFS('Expenditure Breakdown'!$Q$6:$Q$174, 'Expenditure Breakdown'!$W$6:$W$174, "&gt;="&amp;FD1,'Expenditure Breakdown'!$W$6:$W$174, "&lt;"&amp;FE1)</f>
        <v>0</v>
      </c>
      <c r="FE11" s="214">
        <f>SUMIFS('Expenditure Breakdown'!$Q$6:$Q$174, 'Expenditure Breakdown'!$W$6:$W$174, "&gt;="&amp;FE1,'Expenditure Breakdown'!$W$6:$W$174, "&lt;"&amp;FF1)</f>
        <v>0</v>
      </c>
      <c r="FF11" s="214">
        <f>SUMIFS('Expenditure Breakdown'!$Q$6:$Q$174, 'Expenditure Breakdown'!$W$6:$W$174, "&gt;="&amp;FF1,'Expenditure Breakdown'!$W$6:$W$174, "&lt;"&amp;FG1)</f>
        <v>0</v>
      </c>
      <c r="FG11" s="214">
        <f>SUMIFS('Expenditure Breakdown'!$Q$6:$Q$174, 'Expenditure Breakdown'!$W$6:$W$174, "&gt;="&amp;FG1,'Expenditure Breakdown'!$W$6:$W$174, "&lt;"&amp;FH1)</f>
        <v>0</v>
      </c>
      <c r="FH11" s="214">
        <f>SUMIFS('Expenditure Breakdown'!$Q$6:$Q$174, 'Expenditure Breakdown'!$W$6:$W$174, "&gt;="&amp;FH1,'Expenditure Breakdown'!$W$6:$W$174, "&lt;"&amp;FI1)</f>
        <v>0</v>
      </c>
      <c r="FI11" s="214">
        <f>SUMIFS('Expenditure Breakdown'!$Q$6:$Q$174, 'Expenditure Breakdown'!$W$6:$W$174, "&gt;="&amp;FI1,'Expenditure Breakdown'!$W$6:$W$174, "&lt;"&amp;FJ1)</f>
        <v>0</v>
      </c>
      <c r="FJ11" s="214">
        <f>SUMIFS('Expenditure Breakdown'!$Q$6:$Q$174, 'Expenditure Breakdown'!$W$6:$W$174, "&gt;="&amp;FJ1,'Expenditure Breakdown'!$W$6:$W$174, "&lt;"&amp;FK1)</f>
        <v>0</v>
      </c>
      <c r="FK11" s="214">
        <f>SUMIFS('Expenditure Breakdown'!$Q$6:$Q$174, 'Expenditure Breakdown'!$W$6:$W$174, "&gt;="&amp;FK1,'Expenditure Breakdown'!$W$6:$W$174, "&lt;"&amp;FL1)</f>
        <v>0</v>
      </c>
      <c r="FL11" s="214">
        <f>SUMIFS('Expenditure Breakdown'!$Q$6:$Q$174, 'Expenditure Breakdown'!$W$6:$W$174, "&gt;="&amp;FL1,'Expenditure Breakdown'!$W$6:$W$174, "&lt;"&amp;FM1)</f>
        <v>0</v>
      </c>
      <c r="FM11" s="214">
        <f>SUMIFS('Expenditure Breakdown'!$Q$6:$Q$174, 'Expenditure Breakdown'!$W$6:$W$174, "&gt;="&amp;FM1,'Expenditure Breakdown'!$W$6:$W$174, "&lt;"&amp;FN1)</f>
        <v>0</v>
      </c>
      <c r="FN11" s="214">
        <f>SUMIFS('Expenditure Breakdown'!$Q$6:$Q$174, 'Expenditure Breakdown'!$W$6:$W$174, "&gt;="&amp;FN1,'Expenditure Breakdown'!$W$6:$W$174, "&lt;"&amp;FO1)</f>
        <v>0</v>
      </c>
      <c r="FO11" s="214">
        <f>SUMIFS('Expenditure Breakdown'!$Q$6:$Q$174, 'Expenditure Breakdown'!$W$6:$W$174, "&gt;="&amp;FO1,'Expenditure Breakdown'!$W$6:$W$174, "&lt;"&amp;FP1)</f>
        <v>0</v>
      </c>
      <c r="FP11" s="214">
        <f>SUMIFS('Expenditure Breakdown'!$Q$6:$Q$174, 'Expenditure Breakdown'!$W$6:$W$174, "&gt;="&amp;FP1,'Expenditure Breakdown'!$W$6:$W$174, "&lt;"&amp;FQ1)</f>
        <v>0</v>
      </c>
      <c r="FQ11" s="214">
        <f>SUMIFS('Expenditure Breakdown'!$Q$6:$Q$174, 'Expenditure Breakdown'!$W$6:$W$174, "&gt;="&amp;FQ1,'Expenditure Breakdown'!$W$6:$W$174, "&lt;"&amp;FR1)</f>
        <v>0</v>
      </c>
      <c r="FR11" s="214">
        <f>SUMIFS('Expenditure Breakdown'!$Q$6:$Q$174, 'Expenditure Breakdown'!$W$6:$W$174, "&gt;="&amp;FR1,'Expenditure Breakdown'!$W$6:$W$174, "&lt;"&amp;FS1)</f>
        <v>0</v>
      </c>
      <c r="FS11" s="214">
        <f>SUMIFS('Expenditure Breakdown'!$Q$6:$Q$174, 'Expenditure Breakdown'!$W$6:$W$174, "&gt;="&amp;FS1,'Expenditure Breakdown'!$W$6:$W$174, "&lt;"&amp;FT1)</f>
        <v>0</v>
      </c>
      <c r="FT11" s="214">
        <f>SUMIFS('Expenditure Breakdown'!$Q$6:$Q$174, 'Expenditure Breakdown'!$W$6:$W$174, "&gt;="&amp;FT1,'Expenditure Breakdown'!$W$6:$W$174, "&lt;"&amp;FU1)</f>
        <v>0</v>
      </c>
      <c r="FU11" s="214">
        <f>SUMIFS('Expenditure Breakdown'!$Q$6:$Q$174, 'Expenditure Breakdown'!$W$6:$W$174, "&gt;="&amp;FU1,'Expenditure Breakdown'!$W$6:$W$174, "&lt;"&amp;FV1)</f>
        <v>0</v>
      </c>
      <c r="FV11" s="214">
        <f>SUMIFS('Expenditure Breakdown'!$Q$6:$Q$174, 'Expenditure Breakdown'!$W$6:$W$174, "&gt;="&amp;FV1,'Expenditure Breakdown'!$W$6:$W$174, "&lt;"&amp;FW1)</f>
        <v>0</v>
      </c>
      <c r="FW11" s="214">
        <f>SUMIFS('Expenditure Breakdown'!$Q$6:$Q$174, 'Expenditure Breakdown'!$W$6:$W$174, "&gt;="&amp;FW1,'Expenditure Breakdown'!$W$6:$W$174, "&lt;"&amp;FX1)</f>
        <v>0</v>
      </c>
      <c r="FX11" s="214">
        <f>SUMIFS('Expenditure Breakdown'!$Q$6:$Q$174, 'Expenditure Breakdown'!$W$6:$W$174, "&gt;="&amp;FX1,'Expenditure Breakdown'!$W$6:$W$174, "&lt;"&amp;FY1)</f>
        <v>0</v>
      </c>
      <c r="FY11" s="214">
        <f>SUMIFS('Expenditure Breakdown'!$Q$6:$Q$174, 'Expenditure Breakdown'!$W$6:$W$174, "&gt;="&amp;FY1,'Expenditure Breakdown'!$W$6:$W$174, "&lt;"&amp;FZ1)</f>
        <v>0</v>
      </c>
      <c r="FZ11" s="214">
        <f>SUMIFS('Expenditure Breakdown'!$Q$6:$Q$174, 'Expenditure Breakdown'!$W$6:$W$174, "&gt;="&amp;FZ1,'Expenditure Breakdown'!$W$6:$W$174, "&lt;"&amp;GA1)</f>
        <v>0</v>
      </c>
      <c r="GA11" s="214">
        <f>SUMIFS('Expenditure Breakdown'!$Q$6:$Q$174, 'Expenditure Breakdown'!$W$6:$W$174, "&gt;="&amp;GA1,'Expenditure Breakdown'!$W$6:$W$174, "&lt;"&amp;GB1)</f>
        <v>0</v>
      </c>
      <c r="GB11" s="214">
        <f>SUMIFS('Expenditure Breakdown'!$Q$6:$Q$174, 'Expenditure Breakdown'!$W$6:$W$174, "&gt;="&amp;GB1,'Expenditure Breakdown'!$W$6:$W$174, "&lt;"&amp;GC1)</f>
        <v>0</v>
      </c>
      <c r="GC11" s="214">
        <f>SUMIFS('Expenditure Breakdown'!$Q$6:$Q$174, 'Expenditure Breakdown'!$W$6:$W$174, "&gt;="&amp;GC1,'Expenditure Breakdown'!$W$6:$W$174, "&lt;"&amp;GD1)</f>
        <v>0</v>
      </c>
      <c r="GD11" s="214">
        <f>SUMIFS('Expenditure Breakdown'!$Q$6:$Q$174, 'Expenditure Breakdown'!$W$6:$W$174, "&gt;="&amp;GD1,'Expenditure Breakdown'!$W$6:$W$174, "&lt;"&amp;GE1)</f>
        <v>0</v>
      </c>
      <c r="GE11" s="214">
        <f>SUMIFS('Expenditure Breakdown'!$Q$6:$Q$174, 'Expenditure Breakdown'!$W$6:$W$174, "&gt;="&amp;GE1,'Expenditure Breakdown'!$W$6:$W$174, "&lt;"&amp;GF1)</f>
        <v>0</v>
      </c>
      <c r="GF11" s="214">
        <f>SUMIFS('Expenditure Breakdown'!$Q$6:$Q$174, 'Expenditure Breakdown'!$W$6:$W$174, "&gt;="&amp;GF1,'Expenditure Breakdown'!$W$6:$W$174, "&lt;"&amp;GG1)</f>
        <v>0</v>
      </c>
      <c r="GG11" s="214">
        <f>SUMIFS('Expenditure Breakdown'!$Q$6:$Q$174, 'Expenditure Breakdown'!$W$6:$W$174, "&gt;="&amp;GG1,'Expenditure Breakdown'!$W$6:$W$174, "&lt;"&amp;GH1)</f>
        <v>0</v>
      </c>
      <c r="GH11" s="214">
        <f>SUMIFS('Expenditure Breakdown'!$Q$6:$Q$174, 'Expenditure Breakdown'!$W$6:$W$174, "&gt;="&amp;GH1,'Expenditure Breakdown'!$W$6:$W$174, "&lt;"&amp;GI1)</f>
        <v>0</v>
      </c>
      <c r="GI11" s="214">
        <f>SUMIFS('Expenditure Breakdown'!$Q$6:$Q$174, 'Expenditure Breakdown'!$W$6:$W$174, "&gt;="&amp;GI1,'Expenditure Breakdown'!$W$6:$W$174, "&lt;"&amp;GJ1)</f>
        <v>0</v>
      </c>
      <c r="GJ11" s="214">
        <f>SUMIFS('Expenditure Breakdown'!$Q$6:$Q$174, 'Expenditure Breakdown'!$W$6:$W$174, "&gt;="&amp;GJ1,'Expenditure Breakdown'!$W$6:$W$174, "&lt;"&amp;GK1)</f>
        <v>0</v>
      </c>
      <c r="GK11" s="214">
        <f>SUMIFS('Expenditure Breakdown'!$Q$6:$Q$174, 'Expenditure Breakdown'!$W$6:$W$174, "&gt;="&amp;GK1,'Expenditure Breakdown'!$W$6:$W$174, "&lt;"&amp;GL1)</f>
        <v>0</v>
      </c>
      <c r="GL11" s="214">
        <f>SUMIFS('Expenditure Breakdown'!$Q$6:$Q$174, 'Expenditure Breakdown'!$W$6:$W$174, "&gt;="&amp;GL1,'Expenditure Breakdown'!$W$6:$W$174, "&lt;"&amp;GM1)</f>
        <v>0</v>
      </c>
      <c r="GM11" s="214">
        <f>SUMIFS('Expenditure Breakdown'!$Q$6:$Q$174, 'Expenditure Breakdown'!$W$6:$W$174, "&gt;="&amp;GM1,'Expenditure Breakdown'!$W$6:$W$174, "&lt;"&amp;GN1)</f>
        <v>0</v>
      </c>
      <c r="GN11" s="214">
        <f>SUMIFS('Expenditure Breakdown'!$Q$6:$Q$174, 'Expenditure Breakdown'!$W$6:$W$174, "&gt;="&amp;GN1,'Expenditure Breakdown'!$W$6:$W$174, "&lt;"&amp;GO1)</f>
        <v>0</v>
      </c>
      <c r="GO11" s="214">
        <f>SUMIFS('Expenditure Breakdown'!$Q$6:$Q$174, 'Expenditure Breakdown'!$W$6:$W$174, "&gt;="&amp;GO1,'Expenditure Breakdown'!$W$6:$W$174, "&lt;"&amp;GP1)</f>
        <v>0</v>
      </c>
      <c r="GP11" s="214">
        <f>SUMIFS('Expenditure Breakdown'!$Q$6:$Q$174, 'Expenditure Breakdown'!$W$6:$W$174, "&gt;="&amp;GP1,'Expenditure Breakdown'!$W$6:$W$174, "&lt;"&amp;GQ1)</f>
        <v>0</v>
      </c>
      <c r="GQ11" s="214">
        <f>SUMIFS('Expenditure Breakdown'!$Q$6:$Q$174, 'Expenditure Breakdown'!$W$6:$W$174, "&gt;="&amp;GQ1,'Expenditure Breakdown'!$W$6:$W$174, "&lt;"&amp;GR1)</f>
        <v>0</v>
      </c>
      <c r="GR11" s="214">
        <f>SUMIFS('Expenditure Breakdown'!$Q$6:$Q$174, 'Expenditure Breakdown'!$W$6:$W$174, "&gt;="&amp;GR1,'Expenditure Breakdown'!$W$6:$W$174, "&lt;"&amp;GS1)</f>
        <v>0</v>
      </c>
      <c r="GS11" s="214">
        <f>SUMIFS('Expenditure Breakdown'!$Q$6:$Q$174, 'Expenditure Breakdown'!$W$6:$W$174, "&gt;="&amp;GS1,'Expenditure Breakdown'!$W$6:$W$174, "&lt;"&amp;GT1)</f>
        <v>0</v>
      </c>
      <c r="GT11" s="214">
        <f>SUMIFS('Expenditure Breakdown'!$Q$6:$Q$174, 'Expenditure Breakdown'!$W$6:$W$174, "&gt;="&amp;GT1,'Expenditure Breakdown'!$W$6:$W$174, "&lt;"&amp;GU1)</f>
        <v>0</v>
      </c>
      <c r="GU11" s="214">
        <f>SUMIFS('Expenditure Breakdown'!$Q$6:$Q$174, 'Expenditure Breakdown'!$W$6:$W$174, "&gt;="&amp;GU1,'Expenditure Breakdown'!$W$6:$W$174, "&lt;"&amp;GV1)</f>
        <v>0</v>
      </c>
      <c r="GV11" s="214">
        <f>SUMIFS('Expenditure Breakdown'!$Q$6:$Q$174, 'Expenditure Breakdown'!$W$6:$W$174, "&gt;="&amp;GV1,'Expenditure Breakdown'!$W$6:$W$174, "&lt;"&amp;GW1)</f>
        <v>0</v>
      </c>
      <c r="GW11" s="214">
        <f>SUMIFS('Expenditure Breakdown'!$Q$6:$Q$174, 'Expenditure Breakdown'!$W$6:$W$174, "&gt;="&amp;GW1,'Expenditure Breakdown'!$W$6:$W$174, "&lt;"&amp;GX1)</f>
        <v>0</v>
      </c>
      <c r="GX11" s="214">
        <f>SUMIFS('Expenditure Breakdown'!$Q$6:$Q$174, 'Expenditure Breakdown'!$W$6:$W$174, "&gt;="&amp;GX1,'Expenditure Breakdown'!$W$6:$W$174, "&lt;"&amp;GY1)</f>
        <v>0</v>
      </c>
      <c r="GY11" s="214">
        <f>SUMIFS('Expenditure Breakdown'!$Q$6:$Q$174, 'Expenditure Breakdown'!$W$6:$W$174, "&gt;="&amp;GY1,'Expenditure Breakdown'!$W$6:$W$174, "&lt;"&amp;GZ1)</f>
        <v>0</v>
      </c>
      <c r="GZ11" s="214">
        <f>SUMIFS('Expenditure Breakdown'!$Q$6:$Q$174, 'Expenditure Breakdown'!$W$6:$W$174, "&gt;="&amp;GZ1,'Expenditure Breakdown'!$W$6:$W$174, "&lt;"&amp;HA1)</f>
        <v>0</v>
      </c>
      <c r="HA11" s="214">
        <f>SUMIFS('Expenditure Breakdown'!$Q$6:$Q$174, 'Expenditure Breakdown'!$W$6:$W$174, "&gt;="&amp;HA1,'Expenditure Breakdown'!$W$6:$W$174, "&lt;"&amp;HB1)</f>
        <v>0</v>
      </c>
      <c r="HB11" s="214">
        <f>SUMIFS('Expenditure Breakdown'!$Q$6:$Q$174, 'Expenditure Breakdown'!$W$6:$W$174, "&gt;="&amp;HB1,'Expenditure Breakdown'!$W$6:$W$174, "&lt;"&amp;HC1)</f>
        <v>0</v>
      </c>
      <c r="HC11" s="214">
        <f>SUMIFS('Expenditure Breakdown'!$Q$6:$Q$174, 'Expenditure Breakdown'!$W$6:$W$174, "&gt;="&amp;HC1,'Expenditure Breakdown'!$W$6:$W$174, "&lt;"&amp;HD1)</f>
        <v>0</v>
      </c>
      <c r="HD11" s="214">
        <f>SUMIFS('Expenditure Breakdown'!$Q$6:$Q$174, 'Expenditure Breakdown'!$W$6:$W$174, "&gt;="&amp;HD1,'Expenditure Breakdown'!$W$6:$W$174, "&lt;"&amp;HE1)</f>
        <v>0</v>
      </c>
      <c r="HE11" s="214">
        <f>SUMIFS('Expenditure Breakdown'!$Q$6:$Q$174, 'Expenditure Breakdown'!$W$6:$W$174, "&gt;="&amp;HE1,'Expenditure Breakdown'!$W$6:$W$174, "&lt;"&amp;HF1)</f>
        <v>0</v>
      </c>
      <c r="HF11" s="214">
        <f>SUMIFS('Expenditure Breakdown'!$Q$6:$Q$174, 'Expenditure Breakdown'!$W$6:$W$174, "&gt;="&amp;HF1,'Expenditure Breakdown'!$W$6:$W$174, "&lt;"&amp;HG1)</f>
        <v>0</v>
      </c>
      <c r="HG11" s="214">
        <f>SUMIFS('Expenditure Breakdown'!$Q$6:$Q$174, 'Expenditure Breakdown'!$W$6:$W$174, "&gt;="&amp;HG1,'Expenditure Breakdown'!$W$6:$W$174, "&lt;"&amp;HH1)</f>
        <v>0</v>
      </c>
      <c r="HH11" s="214">
        <f>SUMIFS('Expenditure Breakdown'!$Q$6:$Q$174, 'Expenditure Breakdown'!$W$6:$W$174, "&gt;="&amp;HH1,'Expenditure Breakdown'!$W$6:$W$174, "&lt;"&amp;HI1)</f>
        <v>0</v>
      </c>
      <c r="HI11" s="214">
        <f>SUMIFS('Expenditure Breakdown'!$Q$6:$Q$174, 'Expenditure Breakdown'!$W$6:$W$174, "&gt;="&amp;HI1,'Expenditure Breakdown'!$W$6:$W$174, "&lt;"&amp;HJ1)</f>
        <v>0</v>
      </c>
      <c r="HJ11" s="214">
        <f>SUMIFS('Expenditure Breakdown'!$Q$6:$Q$174, 'Expenditure Breakdown'!$W$6:$W$174, "&gt;="&amp;HJ1,'Expenditure Breakdown'!$W$6:$W$174, "&lt;"&amp;HK1)</f>
        <v>0</v>
      </c>
      <c r="HK11" s="214">
        <f>SUMIFS('Expenditure Breakdown'!$Q$6:$Q$174, 'Expenditure Breakdown'!$W$6:$W$174, "&gt;="&amp;HK1,'Expenditure Breakdown'!$W$6:$W$174, "&lt;"&amp;HL1)</f>
        <v>0</v>
      </c>
      <c r="HL11" s="214">
        <f>SUMIFS('Expenditure Breakdown'!$Q$6:$Q$174, 'Expenditure Breakdown'!$W$6:$W$174, "&gt;="&amp;HL1,'Expenditure Breakdown'!$W$6:$W$174, "&lt;"&amp;HM1)</f>
        <v>0</v>
      </c>
      <c r="HM11" s="214">
        <f>SUMIFS('Expenditure Breakdown'!$Q$6:$Q$174, 'Expenditure Breakdown'!$W$6:$W$174, "&gt;="&amp;HM1,'Expenditure Breakdown'!$W$6:$W$174, "&lt;"&amp;HN1)</f>
        <v>0</v>
      </c>
      <c r="HN11" s="214">
        <f>SUMIFS('Expenditure Breakdown'!$Q$6:$Q$174, 'Expenditure Breakdown'!$W$6:$W$174, "&gt;="&amp;HN1,'Expenditure Breakdown'!$W$6:$W$174, "&lt;"&amp;HO1)</f>
        <v>0</v>
      </c>
      <c r="HO11" s="214">
        <f>SUMIFS('Expenditure Breakdown'!$Q$6:$Q$174, 'Expenditure Breakdown'!$W$6:$W$174, "&gt;="&amp;HO1,'Expenditure Breakdown'!$W$6:$W$174, "&lt;"&amp;HP1)</f>
        <v>0</v>
      </c>
      <c r="HP11" s="214">
        <f>SUMIFS('Expenditure Breakdown'!$Q$6:$Q$174, 'Expenditure Breakdown'!$W$6:$W$174, "&gt;="&amp;HP1,'Expenditure Breakdown'!$W$6:$W$174, "&lt;"&amp;HQ1)</f>
        <v>0</v>
      </c>
      <c r="HQ11" s="214">
        <f>SUMIFS('Expenditure Breakdown'!$Q$6:$Q$174, 'Expenditure Breakdown'!$W$6:$W$174, "&gt;="&amp;HQ1,'Expenditure Breakdown'!$W$6:$W$174, "&lt;"&amp;HR1)</f>
        <v>0</v>
      </c>
      <c r="HR11" s="214">
        <f>SUMIFS('Expenditure Breakdown'!$Q$6:$Q$174, 'Expenditure Breakdown'!$W$6:$W$174, "&gt;="&amp;HR1,'Expenditure Breakdown'!$W$6:$W$174, "&lt;"&amp;HS1)</f>
        <v>0</v>
      </c>
      <c r="HS11" s="214">
        <f>SUMIFS('Expenditure Breakdown'!$Q$6:$Q$174, 'Expenditure Breakdown'!$W$6:$W$174, "&gt;="&amp;HS1,'Expenditure Breakdown'!$W$6:$W$174, "&lt;"&amp;HT1)</f>
        <v>0</v>
      </c>
      <c r="HT11" s="214">
        <f>SUMIFS('Expenditure Breakdown'!$Q$6:$Q$174, 'Expenditure Breakdown'!$W$6:$W$174, "&gt;="&amp;HT1,'Expenditure Breakdown'!$W$6:$W$174, "&lt;"&amp;HU1)</f>
        <v>0</v>
      </c>
      <c r="HU11" s="214">
        <f>SUMIFS('Expenditure Breakdown'!$Q$6:$Q$174, 'Expenditure Breakdown'!$W$6:$W$174, "&gt;="&amp;HU1,'Expenditure Breakdown'!$W$6:$W$174, "&lt;"&amp;HV1)</f>
        <v>0</v>
      </c>
      <c r="HV11" s="214">
        <f>SUMIFS('Expenditure Breakdown'!$Q$6:$Q$174, 'Expenditure Breakdown'!$W$6:$W$174, "&gt;="&amp;HV1,'Expenditure Breakdown'!$W$6:$W$174, "&lt;"&amp;HW1)</f>
        <v>0</v>
      </c>
      <c r="HW11" s="214">
        <f>SUMIFS('Expenditure Breakdown'!$Q$6:$Q$174, 'Expenditure Breakdown'!$W$6:$W$174, "&gt;="&amp;HW1,'Expenditure Breakdown'!$W$6:$W$174, "&lt;"&amp;HX1)</f>
        <v>0</v>
      </c>
      <c r="HX11" s="214">
        <f>SUMIFS('Expenditure Breakdown'!$Q$6:$Q$174, 'Expenditure Breakdown'!$W$6:$W$174, "&gt;="&amp;HX1,'Expenditure Breakdown'!$W$6:$W$174, "&lt;"&amp;HY1)</f>
        <v>0</v>
      </c>
      <c r="HY11" s="214">
        <f>SUMIFS('Expenditure Breakdown'!$Q$6:$Q$174, 'Expenditure Breakdown'!$W$6:$W$174, "&gt;="&amp;HY1,'Expenditure Breakdown'!$W$6:$W$174, "&lt;"&amp;HZ1)</f>
        <v>0</v>
      </c>
      <c r="HZ11" s="214">
        <f>SUMIFS('Expenditure Breakdown'!$Q$6:$Q$174, 'Expenditure Breakdown'!$W$6:$W$174, "&gt;="&amp;HZ1,'Expenditure Breakdown'!$W$6:$W$174, "&lt;"&amp;IA1)</f>
        <v>0</v>
      </c>
      <c r="IA11" s="214">
        <f>SUMIFS('Expenditure Breakdown'!$Q$6:$Q$174, 'Expenditure Breakdown'!$W$6:$W$174, "&gt;="&amp;IA1,'Expenditure Breakdown'!$W$6:$W$174, "&lt;"&amp;IB1)</f>
        <v>0</v>
      </c>
      <c r="IB11" s="214">
        <f>SUMIFS('Expenditure Breakdown'!$Q$6:$Q$174, 'Expenditure Breakdown'!$W$6:$W$174, "&gt;="&amp;IB1,'Expenditure Breakdown'!$W$6:$W$174, "&lt;"&amp;IC1)</f>
        <v>0</v>
      </c>
      <c r="IC11" s="214">
        <f>SUMIFS('Expenditure Breakdown'!$Q$6:$Q$174, 'Expenditure Breakdown'!$W$6:$W$174, "&gt;="&amp;IC1,'Expenditure Breakdown'!$W$6:$W$174, "&lt;"&amp;ID1)</f>
        <v>0</v>
      </c>
      <c r="ID11" s="214">
        <f>SUMIFS('Expenditure Breakdown'!$Q$6:$Q$174, 'Expenditure Breakdown'!$W$6:$W$174, "&gt;="&amp;ID1,'Expenditure Breakdown'!$W$6:$W$174, "&lt;"&amp;IE1)</f>
        <v>0</v>
      </c>
      <c r="IE11" s="214">
        <f>SUMIFS('Expenditure Breakdown'!$Q$6:$Q$174, 'Expenditure Breakdown'!$W$6:$W$174, "&gt;="&amp;IE1,'Expenditure Breakdown'!$W$6:$W$174, "&lt;"&amp;IF1)</f>
        <v>0</v>
      </c>
      <c r="IF11" s="214">
        <f>SUMIFS('Expenditure Breakdown'!$Q$6:$Q$174, 'Expenditure Breakdown'!$W$6:$W$174, "&gt;="&amp;IF1,'Expenditure Breakdown'!$W$6:$W$174, "&lt;"&amp;IG1)</f>
        <v>0</v>
      </c>
      <c r="IG11" s="214">
        <f>SUMIFS('Expenditure Breakdown'!$Q$6:$Q$174, 'Expenditure Breakdown'!$W$6:$W$174, "&gt;="&amp;IG1,'Expenditure Breakdown'!$W$6:$W$174, "&lt;"&amp;IH1)</f>
        <v>0</v>
      </c>
      <c r="IH11" s="214">
        <f>SUMIFS('Expenditure Breakdown'!$Q$6:$Q$174, 'Expenditure Breakdown'!$W$6:$W$174, "&gt;="&amp;IH1,'Expenditure Breakdown'!$W$6:$W$174, "&lt;"&amp;II1)</f>
        <v>0</v>
      </c>
      <c r="II11" s="214">
        <f>SUMIFS('Expenditure Breakdown'!$Q$6:$Q$174, 'Expenditure Breakdown'!$W$6:$W$174, "&gt;="&amp;II1,'Expenditure Breakdown'!$W$6:$W$174, "&lt;"&amp;IJ1)</f>
        <v>0</v>
      </c>
      <c r="IJ11" s="214">
        <f>SUMIFS('Expenditure Breakdown'!$Q$6:$Q$174, 'Expenditure Breakdown'!$W$6:$W$174, "&gt;="&amp;IJ1,'Expenditure Breakdown'!$W$6:$W$174, "&lt;"&amp;IK1)</f>
        <v>0</v>
      </c>
      <c r="IK11" s="214">
        <f>SUMIFS('Expenditure Breakdown'!$Q$6:$Q$174, 'Expenditure Breakdown'!$W$6:$W$174, "&gt;="&amp;IK1,'Expenditure Breakdown'!$W$6:$W$174, "&lt;"&amp;IL1)</f>
        <v>0</v>
      </c>
      <c r="IL11" s="214">
        <f>SUMIFS('Expenditure Breakdown'!$Q$6:$Q$174, 'Expenditure Breakdown'!$W$6:$W$174, "&gt;="&amp;IL1,'Expenditure Breakdown'!$W$6:$W$174, "&lt;"&amp;IM1)</f>
        <v>0</v>
      </c>
      <c r="IM11" s="214">
        <f>SUMIFS('Expenditure Breakdown'!$Q$6:$Q$174, 'Expenditure Breakdown'!$W$6:$W$174, "&gt;="&amp;IM1,'Expenditure Breakdown'!$W$6:$W$174, "&lt;"&amp;IN1)</f>
        <v>0</v>
      </c>
      <c r="IN11" s="214">
        <f>SUMIFS('Expenditure Breakdown'!$Q$6:$Q$174, 'Expenditure Breakdown'!$W$6:$W$174, "&gt;="&amp;IN1,'Expenditure Breakdown'!$W$6:$W$174, "&lt;"&amp;IO1)</f>
        <v>0</v>
      </c>
      <c r="IO11" s="214">
        <f>SUMIFS('Expenditure Breakdown'!$Q$6:$Q$174, 'Expenditure Breakdown'!$W$6:$W$174, "&gt;="&amp;IO1,'Expenditure Breakdown'!$W$6:$W$174, "&lt;"&amp;IP1)</f>
        <v>0</v>
      </c>
      <c r="IP11" s="214">
        <f>SUMIFS('Expenditure Breakdown'!$Q$6:$Q$174, 'Expenditure Breakdown'!$W$6:$W$174, "&gt;="&amp;IP1,'Expenditure Breakdown'!$W$6:$W$174, "&lt;"&amp;IQ1)</f>
        <v>0</v>
      </c>
      <c r="IQ11" s="214">
        <f>SUMIFS('Expenditure Breakdown'!$Q$6:$Q$174, 'Expenditure Breakdown'!$W$6:$W$174, "&gt;="&amp;IQ1,'Expenditure Breakdown'!$W$6:$W$174, "&lt;"&amp;IR1)</f>
        <v>0</v>
      </c>
      <c r="IR11" s="214">
        <f>SUMIFS('Expenditure Breakdown'!$Q$6:$Q$174, 'Expenditure Breakdown'!$W$6:$W$174, "&gt;="&amp;IR1,'Expenditure Breakdown'!$W$6:$W$174, "&lt;"&amp;IS1)</f>
        <v>0</v>
      </c>
      <c r="IS11" s="214">
        <f>SUMIFS('Expenditure Breakdown'!$Q$6:$Q$174, 'Expenditure Breakdown'!$W$6:$W$174, "&gt;="&amp;IS1,'Expenditure Breakdown'!$W$6:$W$174, "&lt;"&amp;IT1)</f>
        <v>0</v>
      </c>
      <c r="IT11" s="214">
        <f>SUMIFS('Expenditure Breakdown'!$Q$6:$Q$174, 'Expenditure Breakdown'!$W$6:$W$174, "&gt;="&amp;IT1,'Expenditure Breakdown'!$W$6:$W$174, "&lt;"&amp;IU1)</f>
        <v>0</v>
      </c>
      <c r="IU11" s="214">
        <f>SUMIFS('Expenditure Breakdown'!$Q$6:$Q$174, 'Expenditure Breakdown'!$W$6:$W$174, "&gt;="&amp;IU1,'Expenditure Breakdown'!$W$6:$W$174, "&lt;"&amp;IV1)</f>
        <v>0</v>
      </c>
      <c r="IV11" s="214">
        <f>SUMIFS('Expenditure Breakdown'!$Q$6:$Q$174, 'Expenditure Breakdown'!$W$6:$W$174, "&gt;="&amp;IV1,'Expenditure Breakdown'!$W$6:$W$174, "&lt;"&amp;IW1)</f>
        <v>0</v>
      </c>
      <c r="IW11" s="214">
        <f>SUMIFS('Expenditure Breakdown'!$Q$6:$Q$174, 'Expenditure Breakdown'!$W$6:$W$174, "&gt;="&amp;IW1,'Expenditure Breakdown'!$W$6:$W$174, "&lt;"&amp;IX1)</f>
        <v>0</v>
      </c>
      <c r="IX11" s="214">
        <f>SUMIFS('Expenditure Breakdown'!$Q$6:$Q$174, 'Expenditure Breakdown'!$W$6:$W$174, "&gt;="&amp;IX1,'Expenditure Breakdown'!$W$6:$W$174, "&lt;"&amp;IY1)</f>
        <v>0</v>
      </c>
      <c r="IY11" s="214">
        <f>SUMIFS('Expenditure Breakdown'!$Q$6:$Q$174, 'Expenditure Breakdown'!$W$6:$W$174, "&gt;="&amp;IY1,'Expenditure Breakdown'!$W$6:$W$174, "&lt;"&amp;IZ1)</f>
        <v>0</v>
      </c>
      <c r="IZ11" s="214">
        <f>SUMIFS('Expenditure Breakdown'!$Q$6:$Q$174, 'Expenditure Breakdown'!$W$6:$W$174, "&gt;="&amp;IZ1,'Expenditure Breakdown'!$W$6:$W$174, "&lt;"&amp;JA1)</f>
        <v>0</v>
      </c>
      <c r="JA11" s="214">
        <f>SUMIFS('Expenditure Breakdown'!$Q$6:$Q$174, 'Expenditure Breakdown'!$W$6:$W$174, "&gt;="&amp;JA1,'Expenditure Breakdown'!$W$6:$W$174, "&lt;"&amp;JB1)</f>
        <v>0</v>
      </c>
      <c r="JB11" s="214">
        <f>SUMIFS('Expenditure Breakdown'!$Q$6:$Q$174, 'Expenditure Breakdown'!$W$6:$W$174, "&gt;="&amp;JB1,'Expenditure Breakdown'!$W$6:$W$174, "&lt;"&amp;JC1)</f>
        <v>0</v>
      </c>
      <c r="JC11" s="214">
        <f>SUMIFS('Expenditure Breakdown'!$Q$6:$Q$174, 'Expenditure Breakdown'!$W$6:$W$174, "&gt;="&amp;JC1,'Expenditure Breakdown'!$W$6:$W$174, "&lt;"&amp;JD1)</f>
        <v>0</v>
      </c>
      <c r="JD11" s="214">
        <f>SUMIFS('Expenditure Breakdown'!$Q$6:$Q$174, 'Expenditure Breakdown'!$W$6:$W$174, "&gt;="&amp;JD1,'Expenditure Breakdown'!$W$6:$W$174, "&lt;"&amp;JE1)</f>
        <v>0</v>
      </c>
      <c r="JE11" s="214">
        <f>SUMIFS('Expenditure Breakdown'!$Q$6:$Q$174, 'Expenditure Breakdown'!$W$6:$W$174, "&gt;="&amp;JE1,'Expenditure Breakdown'!$W$6:$W$174, "&lt;"&amp;JF1)</f>
        <v>0</v>
      </c>
      <c r="JF11" s="214">
        <f>SUMIFS('Expenditure Breakdown'!$Q$6:$Q$174, 'Expenditure Breakdown'!$W$6:$W$174, "&gt;="&amp;JF1,'Expenditure Breakdown'!$W$6:$W$174, "&lt;"&amp;JG1)</f>
        <v>0</v>
      </c>
      <c r="JG11" s="214">
        <f>SUMIFS('Expenditure Breakdown'!$Q$6:$Q$174, 'Expenditure Breakdown'!$W$6:$W$174, "&gt;="&amp;JG1,'Expenditure Breakdown'!$W$6:$W$174, "&lt;"&amp;JH1)</f>
        <v>0</v>
      </c>
      <c r="JH11" s="214">
        <f>SUMIFS('Expenditure Breakdown'!$Q$6:$Q$174, 'Expenditure Breakdown'!$W$6:$W$174, "&gt;="&amp;JH1,'Expenditure Breakdown'!$W$6:$W$174, "&lt;"&amp;JI1)</f>
        <v>0</v>
      </c>
      <c r="JI11" s="214">
        <f>SUMIFS('Expenditure Breakdown'!$Q$6:$Q$174, 'Expenditure Breakdown'!$W$6:$W$174, "&gt;="&amp;JI1,'Expenditure Breakdown'!$W$6:$W$174, "&lt;"&amp;JJ1)</f>
        <v>0</v>
      </c>
      <c r="JJ11" s="214">
        <f>SUMIFS('Expenditure Breakdown'!$Q$6:$Q$174, 'Expenditure Breakdown'!$W$6:$W$174, "&gt;="&amp;JJ1,'Expenditure Breakdown'!$W$6:$W$174, "&lt;"&amp;JK1)</f>
        <v>0</v>
      </c>
      <c r="JK11" s="214">
        <f>SUMIFS('Expenditure Breakdown'!$Q$6:$Q$174, 'Expenditure Breakdown'!$W$6:$W$174, "&gt;="&amp;JK1,'Expenditure Breakdown'!$W$6:$W$174, "&lt;"&amp;JL1)</f>
        <v>0</v>
      </c>
      <c r="JL11" s="214">
        <f>SUMIFS('Expenditure Breakdown'!$Q$6:$Q$174, 'Expenditure Breakdown'!$W$6:$W$174, "&gt;="&amp;JL1,'Expenditure Breakdown'!$W$6:$W$174, "&lt;"&amp;JM1)</f>
        <v>0</v>
      </c>
      <c r="JM11" s="214">
        <f>SUMIFS('Expenditure Breakdown'!$Q$6:$Q$174, 'Expenditure Breakdown'!$W$6:$W$174, "&gt;="&amp;JM1,'Expenditure Breakdown'!$W$6:$W$174, "&lt;"&amp;JN1)</f>
        <v>0</v>
      </c>
      <c r="JN11" s="214">
        <f>SUMIFS('Expenditure Breakdown'!$Q$6:$Q$174, 'Expenditure Breakdown'!$W$6:$W$174, "&gt;="&amp;JN1,'Expenditure Breakdown'!$W$6:$W$174, "&lt;"&amp;JO1)</f>
        <v>0</v>
      </c>
      <c r="JO11" s="214">
        <f>SUMIFS('Expenditure Breakdown'!$Q$6:$Q$174, 'Expenditure Breakdown'!$W$6:$W$174, "&gt;="&amp;JO1,'Expenditure Breakdown'!$W$6:$W$174, "&lt;"&amp;JP1)</f>
        <v>0</v>
      </c>
      <c r="JP11" s="214">
        <f>SUMIFS('Expenditure Breakdown'!$Q$6:$Q$174, 'Expenditure Breakdown'!$W$6:$W$174, "&gt;="&amp;JP1,'Expenditure Breakdown'!$W$6:$W$174, "&lt;"&amp;JQ1)</f>
        <v>0</v>
      </c>
      <c r="JQ11" s="214">
        <f>SUMIFS('Expenditure Breakdown'!$Q$6:$Q$174, 'Expenditure Breakdown'!$W$6:$W$174, "&gt;="&amp;JQ1,'Expenditure Breakdown'!$W$6:$W$174, "&lt;"&amp;JR1)</f>
        <v>0</v>
      </c>
      <c r="JR11" s="214">
        <f>SUMIFS('Expenditure Breakdown'!$Q$6:$Q$174, 'Expenditure Breakdown'!$W$6:$W$174, "&gt;="&amp;JR1,'Expenditure Breakdown'!$W$6:$W$174, "&lt;"&amp;JS1)</f>
        <v>0</v>
      </c>
      <c r="JS11" s="214">
        <f>SUMIFS('Expenditure Breakdown'!$Q$6:$Q$174, 'Expenditure Breakdown'!$W$6:$W$174, "&gt;="&amp;JS1,'Expenditure Breakdown'!$W$6:$W$174, "&lt;"&amp;JT1)</f>
        <v>0</v>
      </c>
      <c r="JT11" s="214">
        <f>SUMIFS('Expenditure Breakdown'!$Q$6:$Q$174, 'Expenditure Breakdown'!$W$6:$W$174, "&gt;="&amp;JT1,'Expenditure Breakdown'!$W$6:$W$174, "&lt;"&amp;JU1)</f>
        <v>0</v>
      </c>
      <c r="JU11" s="214">
        <f>SUMIFS('Expenditure Breakdown'!$Q$6:$Q$174, 'Expenditure Breakdown'!$W$6:$W$174, "&gt;="&amp;JU1,'Expenditure Breakdown'!$W$6:$W$174, "&lt;"&amp;JV1)</f>
        <v>0</v>
      </c>
      <c r="JV11" s="214">
        <f>SUMIFS('Expenditure Breakdown'!$Q$6:$Q$174, 'Expenditure Breakdown'!$W$6:$W$174, "&gt;="&amp;JV1,'Expenditure Breakdown'!$W$6:$W$174, "&lt;"&amp;JW1)</f>
        <v>0</v>
      </c>
      <c r="JW11" s="214">
        <f>SUMIFS('Expenditure Breakdown'!$Q$6:$Q$174, 'Expenditure Breakdown'!$W$6:$W$174, "&gt;="&amp;JW1,'Expenditure Breakdown'!$W$6:$W$174, "&lt;"&amp;JX1)</f>
        <v>0</v>
      </c>
      <c r="JX11" s="214">
        <f>SUMIFS('Expenditure Breakdown'!$Q$6:$Q$174, 'Expenditure Breakdown'!$W$6:$W$174, "&gt;="&amp;JX1,'Expenditure Breakdown'!$W$6:$W$174, "&lt;"&amp;JY1)</f>
        <v>0</v>
      </c>
      <c r="JY11" s="214">
        <f>SUMIFS('Expenditure Breakdown'!$Q$6:$Q$174, 'Expenditure Breakdown'!$W$6:$W$174, "&gt;="&amp;JY1,'Expenditure Breakdown'!$W$6:$W$174, "&lt;"&amp;JZ1)</f>
        <v>0</v>
      </c>
      <c r="JZ11" s="214">
        <f>SUMIFS('Expenditure Breakdown'!$Q$6:$Q$174, 'Expenditure Breakdown'!$W$6:$W$174, "&gt;="&amp;JZ1,'Expenditure Breakdown'!$W$6:$W$174, "&lt;"&amp;KA1)</f>
        <v>0</v>
      </c>
      <c r="KA11" s="214">
        <f>SUMIFS('Expenditure Breakdown'!$Q$6:$Q$174, 'Expenditure Breakdown'!$W$6:$W$174, "&gt;="&amp;KA1,'Expenditure Breakdown'!$W$6:$W$174, "&lt;"&amp;KB1)</f>
        <v>0</v>
      </c>
      <c r="KB11" s="214">
        <f>SUMIFS('Expenditure Breakdown'!$Q$6:$Q$174, 'Expenditure Breakdown'!$W$6:$W$174, "&gt;="&amp;KB1,'Expenditure Breakdown'!$W$6:$W$174, "&lt;"&amp;KC1)</f>
        <v>0</v>
      </c>
      <c r="KC11" s="214">
        <f>SUMIFS('Expenditure Breakdown'!$Q$6:$Q$174, 'Expenditure Breakdown'!$W$6:$W$174, "&gt;="&amp;KC1,'Expenditure Breakdown'!$W$6:$W$174, "&lt;"&amp;KD1)</f>
        <v>0</v>
      </c>
      <c r="KD11" s="214">
        <f>SUMIFS('Expenditure Breakdown'!$Q$6:$Q$174, 'Expenditure Breakdown'!$W$6:$W$174, "&gt;="&amp;KD1,'Expenditure Breakdown'!$W$6:$W$174, "&lt;"&amp;KE1)</f>
        <v>0</v>
      </c>
      <c r="KE11" s="214">
        <f>SUMIFS('Expenditure Breakdown'!$Q$6:$Q$174, 'Expenditure Breakdown'!$W$6:$W$174, "&gt;="&amp;KE1,'Expenditure Breakdown'!$W$6:$W$174, "&lt;"&amp;KF1)</f>
        <v>0</v>
      </c>
      <c r="KF11" s="214">
        <f>SUMIFS('Expenditure Breakdown'!$Q$6:$Q$174, 'Expenditure Breakdown'!$W$6:$W$174, "&gt;="&amp;KF1,'Expenditure Breakdown'!$W$6:$W$174, "&lt;"&amp;KG1)</f>
        <v>0</v>
      </c>
      <c r="KG11" s="214">
        <f>SUMIFS('Expenditure Breakdown'!$Q$6:$Q$174, 'Expenditure Breakdown'!$W$6:$W$174, "&gt;="&amp;KG1,'Expenditure Breakdown'!$W$6:$W$174, "&lt;"&amp;KH1)</f>
        <v>0</v>
      </c>
      <c r="KH11" s="214">
        <f>SUMIFS('Expenditure Breakdown'!$Q$6:$Q$174, 'Expenditure Breakdown'!$W$6:$W$174, "&gt;="&amp;KH1,'Expenditure Breakdown'!$W$6:$W$174, "&lt;"&amp;KI1)</f>
        <v>0</v>
      </c>
      <c r="KI11" s="214">
        <f>SUMIFS('Expenditure Breakdown'!$Q$6:$Q$174, 'Expenditure Breakdown'!$W$6:$W$174, "&gt;="&amp;KI1,'Expenditure Breakdown'!$W$6:$W$174, "&lt;"&amp;KJ1)</f>
        <v>0</v>
      </c>
      <c r="KJ11" s="214">
        <f>SUMIFS('Expenditure Breakdown'!$Q$6:$Q$174, 'Expenditure Breakdown'!$W$6:$W$174, "&gt;="&amp;KJ1,'Expenditure Breakdown'!$W$6:$W$174, "&lt;"&amp;KK1)</f>
        <v>0</v>
      </c>
      <c r="KK11" s="214">
        <f>SUMIFS('Expenditure Breakdown'!$Q$6:$Q$174, 'Expenditure Breakdown'!$W$6:$W$174, "&gt;="&amp;KK1,'Expenditure Breakdown'!$W$6:$W$174, "&lt;"&amp;KL1)</f>
        <v>0</v>
      </c>
      <c r="KL11" s="214">
        <f>SUMIFS('Expenditure Breakdown'!$Q$6:$Q$174, 'Expenditure Breakdown'!$W$6:$W$174, "&gt;="&amp;KL1,'Expenditure Breakdown'!$W$6:$W$174, "&lt;"&amp;KM1)</f>
        <v>0</v>
      </c>
      <c r="KM11" s="214">
        <f>SUMIFS('Expenditure Breakdown'!$Q$6:$Q$174, 'Expenditure Breakdown'!$W$6:$W$174, "&gt;="&amp;KM1,'Expenditure Breakdown'!$W$6:$W$174, "&lt;"&amp;KN1)</f>
        <v>0</v>
      </c>
      <c r="KN11" s="214">
        <f>SUMIFS('Expenditure Breakdown'!$Q$6:$Q$174, 'Expenditure Breakdown'!$W$6:$W$174, "&gt;="&amp;KN1,'Expenditure Breakdown'!$W$6:$W$174, "&lt;"&amp;KO1)</f>
        <v>0</v>
      </c>
      <c r="KO11" s="214">
        <f>SUMIFS('Expenditure Breakdown'!$Q$6:$Q$174, 'Expenditure Breakdown'!$W$6:$W$174, "&gt;="&amp;KO1,'Expenditure Breakdown'!$W$6:$W$174, "&lt;"&amp;KP1)</f>
        <v>0</v>
      </c>
      <c r="KP11" s="214">
        <f>SUMIFS('Expenditure Breakdown'!$Q$6:$Q$174, 'Expenditure Breakdown'!$W$6:$W$174, "&gt;="&amp;KP1,'Expenditure Breakdown'!$W$6:$W$174, "&lt;"&amp;KQ1)</f>
        <v>0</v>
      </c>
      <c r="KQ11" s="214">
        <f>SUMIFS('Expenditure Breakdown'!$Q$6:$Q$174, 'Expenditure Breakdown'!$W$6:$W$174, "&gt;="&amp;KQ1,'Expenditure Breakdown'!$W$6:$W$174, "&lt;"&amp;KR1)</f>
        <v>0</v>
      </c>
      <c r="KR11" s="214">
        <f>SUMIFS('Expenditure Breakdown'!$Q$6:$Q$174, 'Expenditure Breakdown'!$W$6:$W$174, "&gt;="&amp;KR1,'Expenditure Breakdown'!$W$6:$W$174, "&lt;"&amp;KS1)</f>
        <v>0</v>
      </c>
      <c r="KS11" s="214">
        <f>SUMIFS('Expenditure Breakdown'!$Q$6:$Q$174, 'Expenditure Breakdown'!$W$6:$W$174, "&gt;="&amp;KS1,'Expenditure Breakdown'!$W$6:$W$174, "&lt;"&amp;KT1)</f>
        <v>0</v>
      </c>
      <c r="KT11" s="214">
        <f>SUMIFS('Expenditure Breakdown'!$Q$6:$Q$174, 'Expenditure Breakdown'!$W$6:$W$174, "&gt;="&amp;KT1,'Expenditure Breakdown'!$W$6:$W$174, "&lt;"&amp;KU1)</f>
        <v>0</v>
      </c>
      <c r="KU11" s="214">
        <f>SUMIFS('Expenditure Breakdown'!$Q$6:$Q$174, 'Expenditure Breakdown'!$W$6:$W$174, "&gt;="&amp;KU1,'Expenditure Breakdown'!$W$6:$W$174, "&lt;"&amp;KV1)</f>
        <v>0</v>
      </c>
      <c r="KV11" s="214">
        <f>SUMIFS('Expenditure Breakdown'!$Q$6:$Q$174, 'Expenditure Breakdown'!$W$6:$W$174, "&gt;="&amp;KV1,'Expenditure Breakdown'!$W$6:$W$174, "&lt;"&amp;KW1)</f>
        <v>0</v>
      </c>
      <c r="KW11" s="214">
        <f>SUMIFS('Expenditure Breakdown'!$Q$6:$Q$174, 'Expenditure Breakdown'!$W$6:$W$174, "&gt;="&amp;KW1,'Expenditure Breakdown'!$W$6:$W$174, "&lt;"&amp;KX1)</f>
        <v>0</v>
      </c>
      <c r="KX11" s="214">
        <f>SUMIFS('Expenditure Breakdown'!$Q$6:$Q$174, 'Expenditure Breakdown'!$W$6:$W$174, "&gt;="&amp;KX1,'Expenditure Breakdown'!$W$6:$W$174, "&lt;"&amp;KY1)</f>
        <v>0</v>
      </c>
      <c r="KY11" s="214">
        <f>SUMIFS('Expenditure Breakdown'!$Q$6:$Q$174, 'Expenditure Breakdown'!$W$6:$W$174, "&gt;="&amp;KY1,'Expenditure Breakdown'!$W$6:$W$174, "&lt;"&amp;KZ1)</f>
        <v>0</v>
      </c>
      <c r="KZ11" s="214">
        <f>SUMIFS('Expenditure Breakdown'!$Q$6:$Q$174, 'Expenditure Breakdown'!$W$6:$W$174, "&gt;="&amp;KZ1,'Expenditure Breakdown'!$W$6:$W$174, "&lt;"&amp;LA1)</f>
        <v>0</v>
      </c>
      <c r="LA11" s="214">
        <f>SUMIFS('Expenditure Breakdown'!$Q$6:$Q$174, 'Expenditure Breakdown'!$W$6:$W$174, "&gt;="&amp;LA1,'Expenditure Breakdown'!$W$6:$W$174, "&lt;"&amp;LB1)</f>
        <v>0</v>
      </c>
      <c r="LB11" s="214">
        <f>SUMIFS('Expenditure Breakdown'!$Q$6:$Q$174, 'Expenditure Breakdown'!$W$6:$W$174, "&gt;="&amp;LB1,'Expenditure Breakdown'!$W$6:$W$174, "&lt;"&amp;LC1)</f>
        <v>0</v>
      </c>
      <c r="LC11" s="214">
        <f>SUMIFS('Expenditure Breakdown'!$Q$6:$Q$174, 'Expenditure Breakdown'!$W$6:$W$174, "&gt;="&amp;LC1,'Expenditure Breakdown'!$W$6:$W$174, "&lt;"&amp;LD1)</f>
        <v>0</v>
      </c>
      <c r="LD11" s="214">
        <f>SUMIFS('Expenditure Breakdown'!$Q$6:$Q$174, 'Expenditure Breakdown'!$W$6:$W$174, "&gt;="&amp;LD1,'Expenditure Breakdown'!$W$6:$W$174, "&lt;"&amp;#REF!)</f>
        <v>0</v>
      </c>
      <c r="LE11" s="191"/>
      <c r="LF11" s="202"/>
      <c r="LG11" s="202"/>
    </row>
    <row r="12" spans="1:794" s="203" customFormat="1">
      <c r="A12" s="805"/>
      <c r="B12" s="212" t="s">
        <v>447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9834.49</v>
      </c>
      <c r="V12" s="214">
        <f t="shared" si="26"/>
        <v>161686.34</v>
      </c>
      <c r="W12" s="214">
        <f t="shared" si="26"/>
        <v>163936.84</v>
      </c>
      <c r="X12" s="214">
        <f t="shared" si="26"/>
        <v>178741.84</v>
      </c>
      <c r="Y12" s="214">
        <f t="shared" si="26"/>
        <v>178741.84</v>
      </c>
      <c r="Z12" s="214">
        <f t="shared" si="26"/>
        <v>180141.3</v>
      </c>
      <c r="AA12" s="214">
        <f t="shared" si="26"/>
        <v>180141.3</v>
      </c>
      <c r="AB12" s="214">
        <f t="shared" si="26"/>
        <v>413019.07499999995</v>
      </c>
      <c r="AC12" s="214">
        <f t="shared" si="26"/>
        <v>431107.81499999994</v>
      </c>
      <c r="AD12" s="214">
        <f t="shared" si="26"/>
        <v>1183107.8149999999</v>
      </c>
      <c r="AE12" s="214">
        <f t="shared" si="26"/>
        <v>1191706.165</v>
      </c>
      <c r="AF12" s="214">
        <f t="shared" si="26"/>
        <v>1191706.165</v>
      </c>
      <c r="AG12" s="214">
        <f t="shared" si="26"/>
        <v>2272281.2141304351</v>
      </c>
      <c r="AH12" s="214">
        <f t="shared" si="26"/>
        <v>2272281.2141304351</v>
      </c>
      <c r="AI12" s="214">
        <f t="shared" si="26"/>
        <v>2272281.2141304351</v>
      </c>
      <c r="AJ12" s="214">
        <f t="shared" si="26"/>
        <v>4359811.6450000005</v>
      </c>
      <c r="AK12" s="214">
        <f t="shared" si="26"/>
        <v>4359811.6450000005</v>
      </c>
      <c r="AL12" s="214">
        <f t="shared" si="26"/>
        <v>4428411.6450000005</v>
      </c>
      <c r="AM12" s="214">
        <f t="shared" si="26"/>
        <v>4428411.6450000005</v>
      </c>
      <c r="AN12" s="214">
        <f t="shared" si="26"/>
        <v>4428411.6450000005</v>
      </c>
      <c r="AO12" s="214">
        <f t="shared" si="26"/>
        <v>4428411.6450000005</v>
      </c>
      <c r="AP12" s="214">
        <f t="shared" si="26"/>
        <v>4428411.6450000005</v>
      </c>
      <c r="AQ12" s="214">
        <f t="shared" si="26"/>
        <v>4489172.2050000001</v>
      </c>
      <c r="AR12" s="214">
        <f t="shared" si="26"/>
        <v>4489172.2050000001</v>
      </c>
      <c r="AS12" s="214">
        <f t="shared" si="26"/>
        <v>4827895.9050000003</v>
      </c>
      <c r="AT12" s="214">
        <f t="shared" si="26"/>
        <v>4887675.9050000003</v>
      </c>
      <c r="AU12" s="214">
        <f t="shared" si="26"/>
        <v>4891294.3950000005</v>
      </c>
      <c r="AV12" s="214">
        <f t="shared" si="26"/>
        <v>4952054.3950000005</v>
      </c>
      <c r="AW12" s="214">
        <f t="shared" si="26"/>
        <v>4958054.3950000005</v>
      </c>
      <c r="AX12" s="214">
        <f t="shared" si="26"/>
        <v>4963004.3950000005</v>
      </c>
      <c r="AY12" s="214">
        <f t="shared" si="26"/>
        <v>4964832.1450000005</v>
      </c>
      <c r="AZ12" s="214">
        <f t="shared" si="26"/>
        <v>4981320.1450000005</v>
      </c>
      <c r="BA12" s="214">
        <f t="shared" si="26"/>
        <v>5410456.1200000001</v>
      </c>
      <c r="BB12" s="214">
        <f t="shared" si="26"/>
        <v>5410456.1200000001</v>
      </c>
      <c r="BC12" s="214">
        <f t="shared" si="26"/>
        <v>5416962.1200000001</v>
      </c>
      <c r="BD12" s="214">
        <f t="shared" si="26"/>
        <v>5417457.1600000001</v>
      </c>
      <c r="BE12" s="214">
        <f t="shared" si="26"/>
        <v>6180237.1600000001</v>
      </c>
      <c r="BF12" s="214">
        <f t="shared" si="26"/>
        <v>6187206.1600000001</v>
      </c>
      <c r="BG12" s="214">
        <f t="shared" si="26"/>
        <v>6464678.1400000006</v>
      </c>
      <c r="BH12" s="214">
        <f t="shared" si="26"/>
        <v>6652800.0700000003</v>
      </c>
      <c r="BI12" s="214">
        <f t="shared" si="26"/>
        <v>6728725.9950000001</v>
      </c>
      <c r="BJ12" s="214">
        <f t="shared" si="26"/>
        <v>6728725.9950000001</v>
      </c>
      <c r="BK12" s="214">
        <f t="shared" si="26"/>
        <v>6881734.8950000005</v>
      </c>
      <c r="BL12" s="214">
        <f t="shared" si="26"/>
        <v>6882234.8950000005</v>
      </c>
      <c r="BM12" s="214">
        <f t="shared" si="26"/>
        <v>6958160.8200000003</v>
      </c>
      <c r="BN12" s="214">
        <f t="shared" si="26"/>
        <v>6958160.8200000003</v>
      </c>
      <c r="BO12" s="214">
        <f t="shared" si="26"/>
        <v>6958160.8200000003</v>
      </c>
      <c r="BP12" s="214">
        <f t="shared" si="26"/>
        <v>7050260.8200000003</v>
      </c>
      <c r="BQ12" s="214">
        <f t="shared" si="26"/>
        <v>7050260.8200000003</v>
      </c>
      <c r="BR12" s="214">
        <f t="shared" si="26"/>
        <v>7050260.8200000003</v>
      </c>
      <c r="BS12" s="214">
        <f t="shared" si="26"/>
        <v>7050260.8200000003</v>
      </c>
      <c r="BT12" s="214">
        <f t="shared" si="26"/>
        <v>7090051.4276250005</v>
      </c>
      <c r="BU12" s="214">
        <f t="shared" ref="BU12:EF12" si="27">BT12+BU11</f>
        <v>7090051.4276250005</v>
      </c>
      <c r="BV12" s="214">
        <f t="shared" si="27"/>
        <v>7090051.4276250005</v>
      </c>
      <c r="BW12" s="214">
        <f t="shared" si="27"/>
        <v>7090051.4276250005</v>
      </c>
      <c r="BX12" s="214">
        <f t="shared" si="27"/>
        <v>7090051.4276250005</v>
      </c>
      <c r="BY12" s="214">
        <f t="shared" si="27"/>
        <v>7090051.4276250005</v>
      </c>
      <c r="BZ12" s="214">
        <f t="shared" si="27"/>
        <v>7090051.4276250005</v>
      </c>
      <c r="CA12" s="214">
        <f t="shared" si="27"/>
        <v>7090051.4276250005</v>
      </c>
      <c r="CB12" s="214">
        <f t="shared" si="27"/>
        <v>7090051.4276250005</v>
      </c>
      <c r="CC12" s="214">
        <f t="shared" si="27"/>
        <v>7090051.4276250005</v>
      </c>
      <c r="CD12" s="214">
        <f t="shared" si="27"/>
        <v>7090051.4276250005</v>
      </c>
      <c r="CE12" s="214">
        <f t="shared" si="27"/>
        <v>7090051.4276250005</v>
      </c>
      <c r="CF12" s="214">
        <f t="shared" si="27"/>
        <v>7090051.4276250005</v>
      </c>
      <c r="CG12" s="214">
        <f t="shared" si="27"/>
        <v>7090051.4276250005</v>
      </c>
      <c r="CH12" s="214">
        <f t="shared" si="27"/>
        <v>7090051.4276250005</v>
      </c>
      <c r="CI12" s="214">
        <f t="shared" si="27"/>
        <v>7090051.4276250005</v>
      </c>
      <c r="CJ12" s="214">
        <f t="shared" si="27"/>
        <v>7090051.4276250005</v>
      </c>
      <c r="CK12" s="214">
        <f t="shared" si="27"/>
        <v>7090051.4276250005</v>
      </c>
      <c r="CL12" s="214">
        <f t="shared" si="27"/>
        <v>7090051.4276250005</v>
      </c>
      <c r="CM12" s="214">
        <f t="shared" si="27"/>
        <v>7090051.4276250005</v>
      </c>
      <c r="CN12" s="214">
        <f t="shared" si="27"/>
        <v>7090051.4276250005</v>
      </c>
      <c r="CO12" s="214">
        <f t="shared" si="27"/>
        <v>7090051.4276250005</v>
      </c>
      <c r="CP12" s="214">
        <f t="shared" si="27"/>
        <v>7090051.4276250005</v>
      </c>
      <c r="CQ12" s="214">
        <f t="shared" si="27"/>
        <v>7090051.4276250005</v>
      </c>
      <c r="CR12" s="214">
        <f t="shared" si="27"/>
        <v>7090051.4276250005</v>
      </c>
      <c r="CS12" s="214">
        <f t="shared" si="27"/>
        <v>7090051.4276250005</v>
      </c>
      <c r="CT12" s="214">
        <f t="shared" si="27"/>
        <v>7090051.4276250005</v>
      </c>
      <c r="CU12" s="214">
        <f t="shared" si="27"/>
        <v>7090051.4276250005</v>
      </c>
      <c r="CV12" s="214">
        <f t="shared" si="27"/>
        <v>7090051.4276250005</v>
      </c>
      <c r="CW12" s="214">
        <f t="shared" si="27"/>
        <v>7090051.4276250005</v>
      </c>
      <c r="CX12" s="214">
        <f t="shared" si="27"/>
        <v>7090051.4276250005</v>
      </c>
      <c r="CY12" s="214">
        <f t="shared" si="27"/>
        <v>7090051.4276250005</v>
      </c>
      <c r="CZ12" s="214">
        <f t="shared" si="27"/>
        <v>7090051.4276250005</v>
      </c>
      <c r="DA12" s="214">
        <f t="shared" si="27"/>
        <v>7090051.4276250005</v>
      </c>
      <c r="DB12" s="214">
        <f t="shared" si="27"/>
        <v>7090051.4276250005</v>
      </c>
      <c r="DC12" s="214">
        <f t="shared" si="27"/>
        <v>7090051.4276250005</v>
      </c>
      <c r="DD12" s="214">
        <f t="shared" si="27"/>
        <v>7090051.4276250005</v>
      </c>
      <c r="DE12" s="214">
        <f t="shared" si="27"/>
        <v>7090051.4276250005</v>
      </c>
      <c r="DF12" s="214">
        <f t="shared" si="27"/>
        <v>7090051.4276250005</v>
      </c>
      <c r="DG12" s="214">
        <f t="shared" si="27"/>
        <v>7090051.4276250005</v>
      </c>
      <c r="DH12" s="214">
        <f t="shared" si="27"/>
        <v>7090051.4276250005</v>
      </c>
      <c r="DI12" s="214">
        <f t="shared" si="27"/>
        <v>7090051.4276250005</v>
      </c>
      <c r="DJ12" s="214">
        <f t="shared" si="27"/>
        <v>7090051.4276250005</v>
      </c>
      <c r="DK12" s="214">
        <f t="shared" si="27"/>
        <v>7090051.4276250005</v>
      </c>
      <c r="DL12" s="214">
        <f t="shared" si="27"/>
        <v>7090051.4276250005</v>
      </c>
      <c r="DM12" s="214">
        <f t="shared" si="27"/>
        <v>7090051.4276250005</v>
      </c>
      <c r="DN12" s="214">
        <f t="shared" si="27"/>
        <v>7090051.4276250005</v>
      </c>
      <c r="DO12" s="214">
        <f t="shared" si="27"/>
        <v>7090051.4276250005</v>
      </c>
      <c r="DP12" s="214">
        <f t="shared" si="27"/>
        <v>7090051.4276250005</v>
      </c>
      <c r="DQ12" s="214">
        <f t="shared" si="27"/>
        <v>7090051.4276250005</v>
      </c>
      <c r="DR12" s="214">
        <f t="shared" si="27"/>
        <v>7090051.4276250005</v>
      </c>
      <c r="DS12" s="214">
        <f t="shared" si="27"/>
        <v>7090051.4276250005</v>
      </c>
      <c r="DT12" s="214">
        <f t="shared" si="27"/>
        <v>7090051.4276250005</v>
      </c>
      <c r="DU12" s="214">
        <f t="shared" si="27"/>
        <v>7090051.4276250005</v>
      </c>
      <c r="DV12" s="214">
        <f t="shared" si="27"/>
        <v>7090051.4276250005</v>
      </c>
      <c r="DW12" s="214">
        <f t="shared" si="27"/>
        <v>7090051.4276250005</v>
      </c>
      <c r="DX12" s="214">
        <f t="shared" si="27"/>
        <v>7090051.4276250005</v>
      </c>
      <c r="DY12" s="214">
        <f t="shared" si="27"/>
        <v>7090051.4276250005</v>
      </c>
      <c r="DZ12" s="214">
        <f t="shared" si="27"/>
        <v>7090051.4276250005</v>
      </c>
      <c r="EA12" s="214">
        <f t="shared" si="27"/>
        <v>7090051.4276250005</v>
      </c>
      <c r="EB12" s="214">
        <f t="shared" si="27"/>
        <v>7090051.4276250005</v>
      </c>
      <c r="EC12" s="214">
        <f t="shared" si="27"/>
        <v>7090051.4276250005</v>
      </c>
      <c r="ED12" s="214">
        <f t="shared" si="27"/>
        <v>7090051.4276250005</v>
      </c>
      <c r="EE12" s="214">
        <f t="shared" si="27"/>
        <v>7090051.4276250005</v>
      </c>
      <c r="EF12" s="214">
        <f t="shared" si="27"/>
        <v>7090051.4276250005</v>
      </c>
      <c r="EG12" s="214">
        <f t="shared" ref="EG12:GR12" si="28">EF12+EG11</f>
        <v>7090051.4276250005</v>
      </c>
      <c r="EH12" s="214">
        <f t="shared" si="28"/>
        <v>7090051.4276250005</v>
      </c>
      <c r="EI12" s="214">
        <f t="shared" si="28"/>
        <v>7090051.4276250005</v>
      </c>
      <c r="EJ12" s="214">
        <f t="shared" si="28"/>
        <v>7090051.4276250005</v>
      </c>
      <c r="EK12" s="214">
        <f t="shared" si="28"/>
        <v>7090051.4276250005</v>
      </c>
      <c r="EL12" s="214">
        <f t="shared" si="28"/>
        <v>7090051.4276250005</v>
      </c>
      <c r="EM12" s="214">
        <f t="shared" si="28"/>
        <v>7090051.4276250005</v>
      </c>
      <c r="EN12" s="214">
        <f t="shared" si="28"/>
        <v>7090051.4276250005</v>
      </c>
      <c r="EO12" s="214">
        <f t="shared" si="28"/>
        <v>7090051.4276250005</v>
      </c>
      <c r="EP12" s="214">
        <f t="shared" si="28"/>
        <v>7090051.4276250005</v>
      </c>
      <c r="EQ12" s="214">
        <f t="shared" si="28"/>
        <v>7090051.4276250005</v>
      </c>
      <c r="ER12" s="214">
        <f t="shared" si="28"/>
        <v>7090051.4276250005</v>
      </c>
      <c r="ES12" s="214">
        <f t="shared" si="28"/>
        <v>7090051.4276250005</v>
      </c>
      <c r="ET12" s="214">
        <f t="shared" si="28"/>
        <v>7090051.4276250005</v>
      </c>
      <c r="EU12" s="214">
        <f t="shared" si="28"/>
        <v>7090051.4276250005</v>
      </c>
      <c r="EV12" s="214">
        <f t="shared" si="28"/>
        <v>7090051.4276250005</v>
      </c>
      <c r="EW12" s="214">
        <f t="shared" si="28"/>
        <v>7090051.4276250005</v>
      </c>
      <c r="EX12" s="214">
        <f t="shared" si="28"/>
        <v>7090051.4276250005</v>
      </c>
      <c r="EY12" s="214">
        <f t="shared" si="28"/>
        <v>7090051.4276250005</v>
      </c>
      <c r="EZ12" s="214">
        <f t="shared" si="28"/>
        <v>7090051.4276250005</v>
      </c>
      <c r="FA12" s="214">
        <f t="shared" si="28"/>
        <v>7090051.4276250005</v>
      </c>
      <c r="FB12" s="214">
        <f t="shared" si="28"/>
        <v>7090051.4276250005</v>
      </c>
      <c r="FC12" s="214">
        <f t="shared" si="28"/>
        <v>7090051.4276250005</v>
      </c>
      <c r="FD12" s="214">
        <f t="shared" si="28"/>
        <v>7090051.4276250005</v>
      </c>
      <c r="FE12" s="214">
        <f t="shared" si="28"/>
        <v>7090051.4276250005</v>
      </c>
      <c r="FF12" s="214">
        <f t="shared" si="28"/>
        <v>7090051.4276250005</v>
      </c>
      <c r="FG12" s="214">
        <f t="shared" si="28"/>
        <v>7090051.4276250005</v>
      </c>
      <c r="FH12" s="214">
        <f t="shared" si="28"/>
        <v>7090051.4276250005</v>
      </c>
      <c r="FI12" s="214">
        <f t="shared" si="28"/>
        <v>7090051.4276250005</v>
      </c>
      <c r="FJ12" s="214">
        <f t="shared" si="28"/>
        <v>7090051.4276250005</v>
      </c>
      <c r="FK12" s="214">
        <f t="shared" si="28"/>
        <v>7090051.4276250005</v>
      </c>
      <c r="FL12" s="214">
        <f t="shared" si="28"/>
        <v>7090051.4276250005</v>
      </c>
      <c r="FM12" s="214">
        <f t="shared" si="28"/>
        <v>7090051.4276250005</v>
      </c>
      <c r="FN12" s="214">
        <f t="shared" si="28"/>
        <v>7090051.4276250005</v>
      </c>
      <c r="FO12" s="214">
        <f t="shared" si="28"/>
        <v>7090051.4276250005</v>
      </c>
      <c r="FP12" s="214">
        <f t="shared" si="28"/>
        <v>7090051.4276250005</v>
      </c>
      <c r="FQ12" s="214">
        <f t="shared" si="28"/>
        <v>7090051.4276250005</v>
      </c>
      <c r="FR12" s="214">
        <f t="shared" si="28"/>
        <v>7090051.4276250005</v>
      </c>
      <c r="FS12" s="214">
        <f t="shared" si="28"/>
        <v>7090051.4276250005</v>
      </c>
      <c r="FT12" s="214">
        <f t="shared" si="28"/>
        <v>7090051.4276250005</v>
      </c>
      <c r="FU12" s="214">
        <f t="shared" si="28"/>
        <v>7090051.4276250005</v>
      </c>
      <c r="FV12" s="214">
        <f t="shared" si="28"/>
        <v>7090051.4276250005</v>
      </c>
      <c r="FW12" s="214">
        <f t="shared" si="28"/>
        <v>7090051.4276250005</v>
      </c>
      <c r="FX12" s="214">
        <f t="shared" si="28"/>
        <v>7090051.4276250005</v>
      </c>
      <c r="FY12" s="214">
        <f t="shared" si="28"/>
        <v>7090051.4276250005</v>
      </c>
      <c r="FZ12" s="214">
        <f t="shared" si="28"/>
        <v>7090051.4276250005</v>
      </c>
      <c r="GA12" s="214">
        <f t="shared" si="28"/>
        <v>7090051.4276250005</v>
      </c>
      <c r="GB12" s="214">
        <f t="shared" si="28"/>
        <v>7090051.4276250005</v>
      </c>
      <c r="GC12" s="214">
        <f t="shared" si="28"/>
        <v>7090051.4276250005</v>
      </c>
      <c r="GD12" s="214">
        <f t="shared" si="28"/>
        <v>7090051.4276250005</v>
      </c>
      <c r="GE12" s="214">
        <f t="shared" si="28"/>
        <v>7090051.4276250005</v>
      </c>
      <c r="GF12" s="214">
        <f t="shared" si="28"/>
        <v>7090051.4276250005</v>
      </c>
      <c r="GG12" s="214">
        <f t="shared" si="28"/>
        <v>7090051.4276250005</v>
      </c>
      <c r="GH12" s="214">
        <f t="shared" si="28"/>
        <v>7090051.4276250005</v>
      </c>
      <c r="GI12" s="214">
        <f t="shared" si="28"/>
        <v>7090051.4276250005</v>
      </c>
      <c r="GJ12" s="214">
        <f t="shared" si="28"/>
        <v>7090051.4276250005</v>
      </c>
      <c r="GK12" s="214">
        <f t="shared" si="28"/>
        <v>7090051.4276250005</v>
      </c>
      <c r="GL12" s="214">
        <f t="shared" si="28"/>
        <v>7090051.4276250005</v>
      </c>
      <c r="GM12" s="214">
        <f t="shared" si="28"/>
        <v>7090051.4276250005</v>
      </c>
      <c r="GN12" s="214">
        <f t="shared" si="28"/>
        <v>7090051.4276250005</v>
      </c>
      <c r="GO12" s="214">
        <f t="shared" si="28"/>
        <v>7090051.4276250005</v>
      </c>
      <c r="GP12" s="214">
        <f t="shared" si="28"/>
        <v>7090051.4276250005</v>
      </c>
      <c r="GQ12" s="214">
        <f t="shared" si="28"/>
        <v>7090051.4276250005</v>
      </c>
      <c r="GR12" s="214">
        <f t="shared" si="28"/>
        <v>7090051.4276250005</v>
      </c>
      <c r="GS12" s="214">
        <f t="shared" ref="GS12:JD12" si="29">GR12+GS11</f>
        <v>7090051.4276250005</v>
      </c>
      <c r="GT12" s="214">
        <f t="shared" si="29"/>
        <v>7090051.4276250005</v>
      </c>
      <c r="GU12" s="214">
        <f t="shared" si="29"/>
        <v>7090051.4276250005</v>
      </c>
      <c r="GV12" s="214">
        <f t="shared" si="29"/>
        <v>7090051.4276250005</v>
      </c>
      <c r="GW12" s="214">
        <f t="shared" si="29"/>
        <v>7090051.4276250005</v>
      </c>
      <c r="GX12" s="214">
        <f t="shared" si="29"/>
        <v>7090051.4276250005</v>
      </c>
      <c r="GY12" s="214">
        <f t="shared" si="29"/>
        <v>7090051.4276250005</v>
      </c>
      <c r="GZ12" s="214">
        <f t="shared" si="29"/>
        <v>7090051.4276250005</v>
      </c>
      <c r="HA12" s="214">
        <f t="shared" si="29"/>
        <v>7090051.4276250005</v>
      </c>
      <c r="HB12" s="214">
        <f t="shared" si="29"/>
        <v>7090051.4276250005</v>
      </c>
      <c r="HC12" s="214">
        <f t="shared" si="29"/>
        <v>7090051.4276250005</v>
      </c>
      <c r="HD12" s="214">
        <f t="shared" si="29"/>
        <v>7090051.4276250005</v>
      </c>
      <c r="HE12" s="214">
        <f t="shared" si="29"/>
        <v>7090051.4276250005</v>
      </c>
      <c r="HF12" s="214">
        <f t="shared" si="29"/>
        <v>7090051.4276250005</v>
      </c>
      <c r="HG12" s="214">
        <f t="shared" si="29"/>
        <v>7090051.4276250005</v>
      </c>
      <c r="HH12" s="214">
        <f t="shared" si="29"/>
        <v>7090051.4276250005</v>
      </c>
      <c r="HI12" s="214">
        <f t="shared" si="29"/>
        <v>7090051.4276250005</v>
      </c>
      <c r="HJ12" s="214">
        <f t="shared" si="29"/>
        <v>7090051.4276250005</v>
      </c>
      <c r="HK12" s="214">
        <f t="shared" si="29"/>
        <v>7090051.4276250005</v>
      </c>
      <c r="HL12" s="214">
        <f t="shared" si="29"/>
        <v>7090051.4276250005</v>
      </c>
      <c r="HM12" s="214">
        <f t="shared" si="29"/>
        <v>7090051.4276250005</v>
      </c>
      <c r="HN12" s="214">
        <f t="shared" si="29"/>
        <v>7090051.4276250005</v>
      </c>
      <c r="HO12" s="214">
        <f t="shared" si="29"/>
        <v>7090051.4276250005</v>
      </c>
      <c r="HP12" s="214">
        <f t="shared" si="29"/>
        <v>7090051.4276250005</v>
      </c>
      <c r="HQ12" s="214">
        <f t="shared" si="29"/>
        <v>7090051.4276250005</v>
      </c>
      <c r="HR12" s="214">
        <f t="shared" si="29"/>
        <v>7090051.4276250005</v>
      </c>
      <c r="HS12" s="214">
        <f t="shared" si="29"/>
        <v>7090051.4276250005</v>
      </c>
      <c r="HT12" s="214">
        <f t="shared" si="29"/>
        <v>7090051.4276250005</v>
      </c>
      <c r="HU12" s="214">
        <f t="shared" si="29"/>
        <v>7090051.4276250005</v>
      </c>
      <c r="HV12" s="214">
        <f t="shared" si="29"/>
        <v>7090051.4276250005</v>
      </c>
      <c r="HW12" s="214">
        <f t="shared" si="29"/>
        <v>7090051.4276250005</v>
      </c>
      <c r="HX12" s="214">
        <f t="shared" si="29"/>
        <v>7090051.4276250005</v>
      </c>
      <c r="HY12" s="214">
        <f t="shared" si="29"/>
        <v>7090051.4276250005</v>
      </c>
      <c r="HZ12" s="214">
        <f t="shared" si="29"/>
        <v>7090051.4276250005</v>
      </c>
      <c r="IA12" s="214">
        <f t="shared" si="29"/>
        <v>7090051.4276250005</v>
      </c>
      <c r="IB12" s="214">
        <f t="shared" si="29"/>
        <v>7090051.4276250005</v>
      </c>
      <c r="IC12" s="214">
        <f t="shared" si="29"/>
        <v>7090051.4276250005</v>
      </c>
      <c r="ID12" s="214">
        <f t="shared" si="29"/>
        <v>7090051.4276250005</v>
      </c>
      <c r="IE12" s="214">
        <f t="shared" si="29"/>
        <v>7090051.4276250005</v>
      </c>
      <c r="IF12" s="214">
        <f t="shared" si="29"/>
        <v>7090051.4276250005</v>
      </c>
      <c r="IG12" s="214">
        <f t="shared" si="29"/>
        <v>7090051.4276250005</v>
      </c>
      <c r="IH12" s="214">
        <f t="shared" si="29"/>
        <v>7090051.4276250005</v>
      </c>
      <c r="II12" s="214">
        <f t="shared" si="29"/>
        <v>7090051.4276250005</v>
      </c>
      <c r="IJ12" s="214">
        <f t="shared" si="29"/>
        <v>7090051.4276250005</v>
      </c>
      <c r="IK12" s="214">
        <f t="shared" si="29"/>
        <v>7090051.4276250005</v>
      </c>
      <c r="IL12" s="214">
        <f t="shared" si="29"/>
        <v>7090051.4276250005</v>
      </c>
      <c r="IM12" s="214">
        <f t="shared" si="29"/>
        <v>7090051.4276250005</v>
      </c>
      <c r="IN12" s="214">
        <f t="shared" si="29"/>
        <v>7090051.4276250005</v>
      </c>
      <c r="IO12" s="214">
        <f t="shared" si="29"/>
        <v>7090051.4276250005</v>
      </c>
      <c r="IP12" s="214">
        <f t="shared" si="29"/>
        <v>7090051.4276250005</v>
      </c>
      <c r="IQ12" s="214">
        <f t="shared" si="29"/>
        <v>7090051.4276250005</v>
      </c>
      <c r="IR12" s="214">
        <f t="shared" si="29"/>
        <v>7090051.4276250005</v>
      </c>
      <c r="IS12" s="214">
        <f t="shared" si="29"/>
        <v>7090051.4276250005</v>
      </c>
      <c r="IT12" s="214">
        <f t="shared" si="29"/>
        <v>7090051.4276250005</v>
      </c>
      <c r="IU12" s="214">
        <f t="shared" si="29"/>
        <v>7090051.4276250005</v>
      </c>
      <c r="IV12" s="214">
        <f t="shared" si="29"/>
        <v>7090051.4276250005</v>
      </c>
      <c r="IW12" s="214">
        <f t="shared" si="29"/>
        <v>7090051.4276250005</v>
      </c>
      <c r="IX12" s="214">
        <f t="shared" si="29"/>
        <v>7090051.4276250005</v>
      </c>
      <c r="IY12" s="214">
        <f t="shared" si="29"/>
        <v>7090051.4276250005</v>
      </c>
      <c r="IZ12" s="214">
        <f t="shared" si="29"/>
        <v>7090051.4276250005</v>
      </c>
      <c r="JA12" s="214">
        <f t="shared" si="29"/>
        <v>7090051.4276250005</v>
      </c>
      <c r="JB12" s="214">
        <f t="shared" si="29"/>
        <v>7090051.4276250005</v>
      </c>
      <c r="JC12" s="214">
        <f t="shared" si="29"/>
        <v>7090051.4276250005</v>
      </c>
      <c r="JD12" s="214">
        <f t="shared" si="29"/>
        <v>7090051.4276250005</v>
      </c>
      <c r="JE12" s="214">
        <f t="shared" ref="JE12:LD12" si="30">JD12+JE11</f>
        <v>7090051.4276250005</v>
      </c>
      <c r="JF12" s="214">
        <f t="shared" si="30"/>
        <v>7090051.4276250005</v>
      </c>
      <c r="JG12" s="214">
        <f t="shared" si="30"/>
        <v>7090051.4276250005</v>
      </c>
      <c r="JH12" s="214">
        <f t="shared" si="30"/>
        <v>7090051.4276250005</v>
      </c>
      <c r="JI12" s="214">
        <f t="shared" si="30"/>
        <v>7090051.4276250005</v>
      </c>
      <c r="JJ12" s="214">
        <f t="shared" si="30"/>
        <v>7090051.4276250005</v>
      </c>
      <c r="JK12" s="214">
        <f t="shared" si="30"/>
        <v>7090051.4276250005</v>
      </c>
      <c r="JL12" s="214">
        <f t="shared" si="30"/>
        <v>7090051.4276250005</v>
      </c>
      <c r="JM12" s="214">
        <f t="shared" si="30"/>
        <v>7090051.4276250005</v>
      </c>
      <c r="JN12" s="214">
        <f t="shared" si="30"/>
        <v>7090051.4276250005</v>
      </c>
      <c r="JO12" s="214">
        <f t="shared" si="30"/>
        <v>7090051.4276250005</v>
      </c>
      <c r="JP12" s="214">
        <f t="shared" si="30"/>
        <v>7090051.4276250005</v>
      </c>
      <c r="JQ12" s="214">
        <f t="shared" si="30"/>
        <v>7090051.4276250005</v>
      </c>
      <c r="JR12" s="214">
        <f t="shared" si="30"/>
        <v>7090051.4276250005</v>
      </c>
      <c r="JS12" s="214">
        <f t="shared" si="30"/>
        <v>7090051.4276250005</v>
      </c>
      <c r="JT12" s="214">
        <f t="shared" si="30"/>
        <v>7090051.4276250005</v>
      </c>
      <c r="JU12" s="214">
        <f t="shared" si="30"/>
        <v>7090051.4276250005</v>
      </c>
      <c r="JV12" s="214">
        <f t="shared" si="30"/>
        <v>7090051.4276250005</v>
      </c>
      <c r="JW12" s="214">
        <f t="shared" si="30"/>
        <v>7090051.4276250005</v>
      </c>
      <c r="JX12" s="214">
        <f t="shared" si="30"/>
        <v>7090051.4276250005</v>
      </c>
      <c r="JY12" s="214">
        <f t="shared" si="30"/>
        <v>7090051.4276250005</v>
      </c>
      <c r="JZ12" s="214">
        <f t="shared" si="30"/>
        <v>7090051.4276250005</v>
      </c>
      <c r="KA12" s="214">
        <f t="shared" si="30"/>
        <v>7090051.4276250005</v>
      </c>
      <c r="KB12" s="214">
        <f t="shared" si="30"/>
        <v>7090051.4276250005</v>
      </c>
      <c r="KC12" s="214">
        <f t="shared" si="30"/>
        <v>7090051.4276250005</v>
      </c>
      <c r="KD12" s="214">
        <f t="shared" si="30"/>
        <v>7090051.4276250005</v>
      </c>
      <c r="KE12" s="214">
        <f t="shared" si="30"/>
        <v>7090051.4276250005</v>
      </c>
      <c r="KF12" s="214">
        <f t="shared" si="30"/>
        <v>7090051.4276250005</v>
      </c>
      <c r="KG12" s="214">
        <f t="shared" si="30"/>
        <v>7090051.4276250005</v>
      </c>
      <c r="KH12" s="214">
        <f t="shared" si="30"/>
        <v>7090051.4276250005</v>
      </c>
      <c r="KI12" s="214">
        <f t="shared" si="30"/>
        <v>7090051.4276250005</v>
      </c>
      <c r="KJ12" s="214">
        <f t="shared" si="30"/>
        <v>7090051.4276250005</v>
      </c>
      <c r="KK12" s="214">
        <f t="shared" si="30"/>
        <v>7090051.4276250005</v>
      </c>
      <c r="KL12" s="214">
        <f t="shared" si="30"/>
        <v>7090051.4276250005</v>
      </c>
      <c r="KM12" s="214">
        <f t="shared" si="30"/>
        <v>7090051.4276250005</v>
      </c>
      <c r="KN12" s="214">
        <f t="shared" si="30"/>
        <v>7090051.4276250005</v>
      </c>
      <c r="KO12" s="214">
        <f t="shared" si="30"/>
        <v>7090051.4276250005</v>
      </c>
      <c r="KP12" s="214">
        <f t="shared" si="30"/>
        <v>7090051.4276250005</v>
      </c>
      <c r="KQ12" s="214">
        <f t="shared" si="30"/>
        <v>7090051.4276250005</v>
      </c>
      <c r="KR12" s="214">
        <f t="shared" si="30"/>
        <v>7090051.4276250005</v>
      </c>
      <c r="KS12" s="214">
        <f t="shared" si="30"/>
        <v>7090051.4276250005</v>
      </c>
      <c r="KT12" s="214">
        <f t="shared" si="30"/>
        <v>7090051.4276250005</v>
      </c>
      <c r="KU12" s="214">
        <f t="shared" si="30"/>
        <v>7090051.4276250005</v>
      </c>
      <c r="KV12" s="214">
        <f t="shared" si="30"/>
        <v>7090051.4276250005</v>
      </c>
      <c r="KW12" s="214">
        <f t="shared" si="30"/>
        <v>7090051.4276250005</v>
      </c>
      <c r="KX12" s="214">
        <f t="shared" si="30"/>
        <v>7090051.4276250005</v>
      </c>
      <c r="KY12" s="214">
        <f t="shared" si="30"/>
        <v>7090051.4276250005</v>
      </c>
      <c r="KZ12" s="214">
        <f t="shared" si="30"/>
        <v>7090051.4276250005</v>
      </c>
      <c r="LA12" s="214">
        <f t="shared" si="30"/>
        <v>7090051.4276250005</v>
      </c>
      <c r="LB12" s="214">
        <f t="shared" si="30"/>
        <v>7090051.4276250005</v>
      </c>
      <c r="LC12" s="214">
        <f t="shared" si="30"/>
        <v>7090051.4276250005</v>
      </c>
      <c r="LD12" s="214">
        <f t="shared" si="30"/>
        <v>7090051.4276250005</v>
      </c>
      <c r="LE12" s="191"/>
      <c r="LF12" s="202"/>
    </row>
    <row r="13" spans="1:794" s="191" customFormat="1">
      <c r="A13" s="805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5"/>
      <c r="B14" s="204" t="s">
        <v>448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1730757.9720000001</v>
      </c>
      <c r="U14" s="207">
        <f t="shared" si="32"/>
        <v>1728735.2320000001</v>
      </c>
      <c r="V14" s="207">
        <f t="shared" si="32"/>
        <v>1576883.382</v>
      </c>
      <c r="W14" s="207">
        <f t="shared" si="32"/>
        <v>1574632.882</v>
      </c>
      <c r="X14" s="207">
        <f t="shared" si="32"/>
        <v>1559827.882</v>
      </c>
      <c r="Y14" s="207">
        <f t="shared" si="32"/>
        <v>1559827.882</v>
      </c>
      <c r="Z14" s="207">
        <f t="shared" si="32"/>
        <v>1558428.422</v>
      </c>
      <c r="AA14" s="207">
        <f t="shared" si="32"/>
        <v>1558428.422</v>
      </c>
      <c r="AB14" s="207">
        <f t="shared" si="32"/>
        <v>1325550.6470000001</v>
      </c>
      <c r="AC14" s="207">
        <f t="shared" si="32"/>
        <v>4349958.9205000009</v>
      </c>
      <c r="AD14" s="207">
        <f t="shared" si="32"/>
        <v>3597958.9205000005</v>
      </c>
      <c r="AE14" s="207">
        <f t="shared" si="32"/>
        <v>3589360.5705000004</v>
      </c>
      <c r="AF14" s="207">
        <f t="shared" si="32"/>
        <v>3589360.5705000004</v>
      </c>
      <c r="AG14" s="207">
        <f t="shared" si="32"/>
        <v>2508785.5213695653</v>
      </c>
      <c r="AH14" s="207">
        <f t="shared" si="32"/>
        <v>2508785.5213695653</v>
      </c>
      <c r="AI14" s="207">
        <f t="shared" si="32"/>
        <v>2508785.5213695653</v>
      </c>
      <c r="AJ14" s="207">
        <f t="shared" si="32"/>
        <v>421255.09049999993</v>
      </c>
      <c r="AK14" s="207">
        <f t="shared" si="32"/>
        <v>421255.09049999993</v>
      </c>
      <c r="AL14" s="207">
        <f t="shared" si="32"/>
        <v>352655.09049999993</v>
      </c>
      <c r="AM14" s="207">
        <f t="shared" si="32"/>
        <v>352655.09049999993</v>
      </c>
      <c r="AN14" s="207">
        <f t="shared" si="32"/>
        <v>352655.09049999993</v>
      </c>
      <c r="AO14" s="207">
        <f t="shared" si="32"/>
        <v>352655.09049999993</v>
      </c>
      <c r="AP14" s="207">
        <f t="shared" si="32"/>
        <v>352655.09049999993</v>
      </c>
      <c r="AQ14" s="207">
        <f t="shared" si="32"/>
        <v>291894.53050000034</v>
      </c>
      <c r="AR14" s="207">
        <f t="shared" si="32"/>
        <v>291894.53050000034</v>
      </c>
      <c r="AS14" s="207">
        <f t="shared" si="32"/>
        <v>-46829.169499999844</v>
      </c>
      <c r="AT14" s="207">
        <f t="shared" si="32"/>
        <v>-106609.16949999984</v>
      </c>
      <c r="AU14" s="207">
        <f t="shared" si="32"/>
        <v>-110227.65950000007</v>
      </c>
      <c r="AV14" s="207">
        <f t="shared" si="32"/>
        <v>-170987.65950000007</v>
      </c>
      <c r="AW14" s="207">
        <f t="shared" si="32"/>
        <v>-176987.65950000007</v>
      </c>
      <c r="AX14" s="207">
        <f t="shared" si="32"/>
        <v>-181937.65950000007</v>
      </c>
      <c r="AY14" s="207">
        <f t="shared" si="32"/>
        <v>-183765.40950000007</v>
      </c>
      <c r="AZ14" s="207">
        <f t="shared" si="32"/>
        <v>-200253.40950000007</v>
      </c>
      <c r="BA14" s="207">
        <f t="shared" si="32"/>
        <v>-629389.38449999969</v>
      </c>
      <c r="BB14" s="207">
        <f t="shared" si="32"/>
        <v>-629389.38449999969</v>
      </c>
      <c r="BC14" s="207">
        <f t="shared" si="32"/>
        <v>2841244.0595000004</v>
      </c>
      <c r="BD14" s="207">
        <f t="shared" si="32"/>
        <v>2840749.0195000004</v>
      </c>
      <c r="BE14" s="207">
        <f t="shared" si="32"/>
        <v>2512611.4500000011</v>
      </c>
      <c r="BF14" s="207">
        <f t="shared" si="32"/>
        <v>2505642.4500000011</v>
      </c>
      <c r="BG14" s="207">
        <f t="shared" si="32"/>
        <v>2228170.4700000007</v>
      </c>
      <c r="BH14" s="207">
        <f t="shared" si="32"/>
        <v>2040048.540000001</v>
      </c>
      <c r="BI14" s="207">
        <f t="shared" si="32"/>
        <v>1964122.6150000012</v>
      </c>
      <c r="BJ14" s="207">
        <f t="shared" si="32"/>
        <v>1964122.6150000012</v>
      </c>
      <c r="BK14" s="207">
        <f t="shared" si="32"/>
        <v>1811113.7150000008</v>
      </c>
      <c r="BL14" s="207">
        <f t="shared" si="32"/>
        <v>1810613.7150000008</v>
      </c>
      <c r="BM14" s="207">
        <f t="shared" si="32"/>
        <v>1734687.790000001</v>
      </c>
      <c r="BN14" s="207">
        <f t="shared" si="32"/>
        <v>1734687.790000001</v>
      </c>
      <c r="BO14" s="207">
        <f t="shared" si="32"/>
        <v>1734687.790000001</v>
      </c>
      <c r="BP14" s="207">
        <f t="shared" si="32"/>
        <v>1642587.790000001</v>
      </c>
      <c r="BQ14" s="207">
        <f t="shared" si="32"/>
        <v>1642587.790000001</v>
      </c>
      <c r="BR14" s="207">
        <f t="shared" si="32"/>
        <v>1642587.790000001</v>
      </c>
      <c r="BS14" s="207">
        <f t="shared" si="32"/>
        <v>1642587.790000001</v>
      </c>
      <c r="BT14" s="207">
        <f t="shared" si="32"/>
        <v>1602797.1823750008</v>
      </c>
      <c r="BU14" s="207">
        <f t="shared" ref="BU14:EF14" si="33">BU10-BU12</f>
        <v>1602797.1823750008</v>
      </c>
      <c r="BV14" s="207">
        <f t="shared" si="33"/>
        <v>1602797.1823750008</v>
      </c>
      <c r="BW14" s="207">
        <f t="shared" si="33"/>
        <v>1602797.1823750008</v>
      </c>
      <c r="BX14" s="207">
        <f t="shared" si="33"/>
        <v>1602797.1823750008</v>
      </c>
      <c r="BY14" s="207">
        <f t="shared" si="33"/>
        <v>1602797.1823750008</v>
      </c>
      <c r="BZ14" s="207">
        <f t="shared" si="33"/>
        <v>1602797.1823750008</v>
      </c>
      <c r="CA14" s="207">
        <f t="shared" si="33"/>
        <v>1602797.1823750008</v>
      </c>
      <c r="CB14" s="207">
        <f t="shared" si="33"/>
        <v>1602797.1823750008</v>
      </c>
      <c r="CC14" s="207">
        <f t="shared" si="33"/>
        <v>1602797.1823750008</v>
      </c>
      <c r="CD14" s="207">
        <f t="shared" si="33"/>
        <v>1602797.1823750008</v>
      </c>
      <c r="CE14" s="207">
        <f t="shared" si="33"/>
        <v>1602797.1823750008</v>
      </c>
      <c r="CF14" s="207">
        <f t="shared" si="33"/>
        <v>1602797.1823750008</v>
      </c>
      <c r="CG14" s="207">
        <f t="shared" si="33"/>
        <v>1602797.1823750008</v>
      </c>
      <c r="CH14" s="207">
        <f t="shared" si="33"/>
        <v>1602797.1823750008</v>
      </c>
      <c r="CI14" s="207">
        <f t="shared" si="33"/>
        <v>1602797.1823750008</v>
      </c>
      <c r="CJ14" s="207">
        <f t="shared" si="33"/>
        <v>1602797.1823750008</v>
      </c>
      <c r="CK14" s="207">
        <f t="shared" si="33"/>
        <v>1602797.1823750008</v>
      </c>
      <c r="CL14" s="207">
        <f t="shared" si="33"/>
        <v>1602797.1823750008</v>
      </c>
      <c r="CM14" s="207">
        <f t="shared" si="33"/>
        <v>1602797.1823750008</v>
      </c>
      <c r="CN14" s="207">
        <f t="shared" si="33"/>
        <v>1602797.1823750008</v>
      </c>
      <c r="CO14" s="207">
        <f t="shared" si="33"/>
        <v>1602797.1823750008</v>
      </c>
      <c r="CP14" s="207">
        <f t="shared" si="33"/>
        <v>1602797.1823750008</v>
      </c>
      <c r="CQ14" s="207">
        <f t="shared" si="33"/>
        <v>1602797.1823750008</v>
      </c>
      <c r="CR14" s="207">
        <f t="shared" si="33"/>
        <v>1602797.1823750008</v>
      </c>
      <c r="CS14" s="207">
        <f t="shared" si="33"/>
        <v>1602797.1823750008</v>
      </c>
      <c r="CT14" s="207">
        <f t="shared" si="33"/>
        <v>1602797.1823750008</v>
      </c>
      <c r="CU14" s="207">
        <f t="shared" si="33"/>
        <v>1602797.1823750008</v>
      </c>
      <c r="CV14" s="207">
        <f t="shared" si="33"/>
        <v>1602797.1823750008</v>
      </c>
      <c r="CW14" s="207">
        <f t="shared" si="33"/>
        <v>1602797.1823750008</v>
      </c>
      <c r="CX14" s="207">
        <f t="shared" si="33"/>
        <v>1602797.1823750008</v>
      </c>
      <c r="CY14" s="207">
        <f t="shared" si="33"/>
        <v>1602797.1823750008</v>
      </c>
      <c r="CZ14" s="207">
        <f t="shared" si="33"/>
        <v>1602797.1823750008</v>
      </c>
      <c r="DA14" s="207">
        <f t="shared" si="33"/>
        <v>1602797.1823750008</v>
      </c>
      <c r="DB14" s="207">
        <f t="shared" si="33"/>
        <v>1602797.1823750008</v>
      </c>
      <c r="DC14" s="207">
        <f t="shared" si="33"/>
        <v>1602797.1823750008</v>
      </c>
      <c r="DD14" s="207">
        <f t="shared" si="33"/>
        <v>1602797.1823750008</v>
      </c>
      <c r="DE14" s="207">
        <f t="shared" si="33"/>
        <v>1602797.1823750008</v>
      </c>
      <c r="DF14" s="207">
        <f t="shared" si="33"/>
        <v>1602797.1823750008</v>
      </c>
      <c r="DG14" s="207">
        <f t="shared" si="33"/>
        <v>1602797.1823750008</v>
      </c>
      <c r="DH14" s="207">
        <f t="shared" si="33"/>
        <v>1602797.1823750008</v>
      </c>
      <c r="DI14" s="207">
        <f t="shared" si="33"/>
        <v>1602797.1823750008</v>
      </c>
      <c r="DJ14" s="207">
        <f t="shared" si="33"/>
        <v>1602797.1823750008</v>
      </c>
      <c r="DK14" s="207">
        <f t="shared" si="33"/>
        <v>1602797.1823750008</v>
      </c>
      <c r="DL14" s="207">
        <f t="shared" si="33"/>
        <v>1602797.1823750008</v>
      </c>
      <c r="DM14" s="207">
        <f t="shared" si="33"/>
        <v>1602797.1823750008</v>
      </c>
      <c r="DN14" s="207">
        <f t="shared" si="33"/>
        <v>1602797.1823750008</v>
      </c>
      <c r="DO14" s="207">
        <f t="shared" si="33"/>
        <v>1602797.1823750008</v>
      </c>
      <c r="DP14" s="207">
        <f t="shared" si="33"/>
        <v>1602797.1823750008</v>
      </c>
      <c r="DQ14" s="207">
        <f t="shared" si="33"/>
        <v>1602797.1823750008</v>
      </c>
      <c r="DR14" s="207">
        <f t="shared" si="33"/>
        <v>1602797.1823750008</v>
      </c>
      <c r="DS14" s="207">
        <f t="shared" si="33"/>
        <v>1602797.1823750008</v>
      </c>
      <c r="DT14" s="207">
        <f t="shared" si="33"/>
        <v>1602797.1823750008</v>
      </c>
      <c r="DU14" s="207">
        <f t="shared" si="33"/>
        <v>1602797.1823750008</v>
      </c>
      <c r="DV14" s="207">
        <f t="shared" si="33"/>
        <v>1602797.1823750008</v>
      </c>
      <c r="DW14" s="207">
        <f t="shared" si="33"/>
        <v>1602797.1823750008</v>
      </c>
      <c r="DX14" s="207">
        <f t="shared" si="33"/>
        <v>1602797.1823750008</v>
      </c>
      <c r="DY14" s="207">
        <f t="shared" si="33"/>
        <v>1602797.1823750008</v>
      </c>
      <c r="DZ14" s="207">
        <f t="shared" si="33"/>
        <v>1602797.1823750008</v>
      </c>
      <c r="EA14" s="207">
        <f t="shared" si="33"/>
        <v>1602797.1823750008</v>
      </c>
      <c r="EB14" s="207">
        <f t="shared" si="33"/>
        <v>1602797.1823750008</v>
      </c>
      <c r="EC14" s="207">
        <f t="shared" si="33"/>
        <v>1602797.1823750008</v>
      </c>
      <c r="ED14" s="207">
        <f t="shared" si="33"/>
        <v>1602797.1823750008</v>
      </c>
      <c r="EE14" s="207">
        <f t="shared" si="33"/>
        <v>1602797.1823750008</v>
      </c>
      <c r="EF14" s="207">
        <f t="shared" si="33"/>
        <v>1602797.1823750008</v>
      </c>
      <c r="EG14" s="207">
        <f t="shared" ref="EG14:GR14" si="34">EG10-EG12</f>
        <v>1602797.1823750008</v>
      </c>
      <c r="EH14" s="207">
        <f t="shared" si="34"/>
        <v>1602797.1823750008</v>
      </c>
      <c r="EI14" s="207">
        <f t="shared" si="34"/>
        <v>1602797.1823750008</v>
      </c>
      <c r="EJ14" s="207">
        <f t="shared" si="34"/>
        <v>1602797.1823750008</v>
      </c>
      <c r="EK14" s="207">
        <f t="shared" si="34"/>
        <v>1602797.1823750008</v>
      </c>
      <c r="EL14" s="207">
        <f t="shared" si="34"/>
        <v>1602797.1823750008</v>
      </c>
      <c r="EM14" s="207">
        <f t="shared" si="34"/>
        <v>1602797.1823750008</v>
      </c>
      <c r="EN14" s="207">
        <f t="shared" si="34"/>
        <v>1602797.1823750008</v>
      </c>
      <c r="EO14" s="207">
        <f t="shared" si="34"/>
        <v>1602797.1823750008</v>
      </c>
      <c r="EP14" s="207">
        <f t="shared" si="34"/>
        <v>1602797.1823750008</v>
      </c>
      <c r="EQ14" s="207">
        <f t="shared" si="34"/>
        <v>1602797.1823750008</v>
      </c>
      <c r="ER14" s="207">
        <f t="shared" si="34"/>
        <v>1602797.1823750008</v>
      </c>
      <c r="ES14" s="207">
        <f t="shared" si="34"/>
        <v>1602797.1823750008</v>
      </c>
      <c r="ET14" s="207">
        <f t="shared" si="34"/>
        <v>1602797.1823750008</v>
      </c>
      <c r="EU14" s="207">
        <f t="shared" si="34"/>
        <v>1602797.1823750008</v>
      </c>
      <c r="EV14" s="207">
        <f t="shared" si="34"/>
        <v>1602797.1823750008</v>
      </c>
      <c r="EW14" s="207">
        <f t="shared" si="34"/>
        <v>1602797.1823750008</v>
      </c>
      <c r="EX14" s="207">
        <f t="shared" si="34"/>
        <v>1602797.1823750008</v>
      </c>
      <c r="EY14" s="207">
        <f t="shared" si="34"/>
        <v>1602797.1823750008</v>
      </c>
      <c r="EZ14" s="207">
        <f t="shared" si="34"/>
        <v>1602797.1823750008</v>
      </c>
      <c r="FA14" s="207">
        <f t="shared" si="34"/>
        <v>1602797.1823750008</v>
      </c>
      <c r="FB14" s="207">
        <f t="shared" si="34"/>
        <v>1602797.1823750008</v>
      </c>
      <c r="FC14" s="207">
        <f t="shared" si="34"/>
        <v>1602797.1823750008</v>
      </c>
      <c r="FD14" s="207">
        <f t="shared" si="34"/>
        <v>1602797.1823750008</v>
      </c>
      <c r="FE14" s="207">
        <f t="shared" si="34"/>
        <v>1602797.1823750008</v>
      </c>
      <c r="FF14" s="207">
        <f t="shared" si="34"/>
        <v>1602797.1823750008</v>
      </c>
      <c r="FG14" s="207">
        <f t="shared" si="34"/>
        <v>1602797.1823750008</v>
      </c>
      <c r="FH14" s="207">
        <f t="shared" si="34"/>
        <v>1602797.1823750008</v>
      </c>
      <c r="FI14" s="207">
        <f t="shared" si="34"/>
        <v>1602797.1823750008</v>
      </c>
      <c r="FJ14" s="207">
        <f t="shared" si="34"/>
        <v>1602797.1823750008</v>
      </c>
      <c r="FK14" s="207">
        <f t="shared" si="34"/>
        <v>1602797.1823750008</v>
      </c>
      <c r="FL14" s="207">
        <f t="shared" si="34"/>
        <v>1602797.1823750008</v>
      </c>
      <c r="FM14" s="207">
        <f t="shared" si="34"/>
        <v>1602797.1823750008</v>
      </c>
      <c r="FN14" s="207">
        <f t="shared" si="34"/>
        <v>1602797.1823750008</v>
      </c>
      <c r="FO14" s="207">
        <f t="shared" si="34"/>
        <v>1602797.1823750008</v>
      </c>
      <c r="FP14" s="207">
        <f t="shared" si="34"/>
        <v>1602797.1823750008</v>
      </c>
      <c r="FQ14" s="207">
        <f t="shared" si="34"/>
        <v>1602797.1823750008</v>
      </c>
      <c r="FR14" s="207">
        <f t="shared" si="34"/>
        <v>1602797.1823750008</v>
      </c>
      <c r="FS14" s="207">
        <f t="shared" si="34"/>
        <v>1602797.1823750008</v>
      </c>
      <c r="FT14" s="207">
        <f t="shared" si="34"/>
        <v>1602797.1823750008</v>
      </c>
      <c r="FU14" s="207">
        <f t="shared" si="34"/>
        <v>1602797.1823750008</v>
      </c>
      <c r="FV14" s="207">
        <f t="shared" si="34"/>
        <v>1602797.1823750008</v>
      </c>
      <c r="FW14" s="207">
        <f t="shared" si="34"/>
        <v>1602797.1823750008</v>
      </c>
      <c r="FX14" s="207">
        <f t="shared" si="34"/>
        <v>1602797.1823750008</v>
      </c>
      <c r="FY14" s="207">
        <f t="shared" si="34"/>
        <v>1602797.1823750008</v>
      </c>
      <c r="FZ14" s="207">
        <f t="shared" si="34"/>
        <v>1602797.1823750008</v>
      </c>
      <c r="GA14" s="207">
        <f t="shared" si="34"/>
        <v>1602797.1823750008</v>
      </c>
      <c r="GB14" s="207">
        <f t="shared" si="34"/>
        <v>1602797.1823750008</v>
      </c>
      <c r="GC14" s="207">
        <f t="shared" si="34"/>
        <v>1602797.1823750008</v>
      </c>
      <c r="GD14" s="207">
        <f t="shared" si="34"/>
        <v>1602797.1823750008</v>
      </c>
      <c r="GE14" s="207">
        <f t="shared" si="34"/>
        <v>1602797.1823750008</v>
      </c>
      <c r="GF14" s="207">
        <f t="shared" si="34"/>
        <v>1602797.1823750008</v>
      </c>
      <c r="GG14" s="207">
        <f t="shared" si="34"/>
        <v>1602797.1823750008</v>
      </c>
      <c r="GH14" s="207">
        <f t="shared" si="34"/>
        <v>1602797.1823750008</v>
      </c>
      <c r="GI14" s="207">
        <f t="shared" si="34"/>
        <v>1602797.1823750008</v>
      </c>
      <c r="GJ14" s="207">
        <f t="shared" si="34"/>
        <v>1602797.1823750008</v>
      </c>
      <c r="GK14" s="207">
        <f t="shared" si="34"/>
        <v>1602797.1823750008</v>
      </c>
      <c r="GL14" s="207">
        <f t="shared" si="34"/>
        <v>1602797.1823750008</v>
      </c>
      <c r="GM14" s="207">
        <f t="shared" si="34"/>
        <v>1602797.1823750008</v>
      </c>
      <c r="GN14" s="207">
        <f t="shared" si="34"/>
        <v>1602797.1823750008</v>
      </c>
      <c r="GO14" s="207">
        <f t="shared" si="34"/>
        <v>1602797.1823750008</v>
      </c>
      <c r="GP14" s="207">
        <f t="shared" si="34"/>
        <v>1602797.1823750008</v>
      </c>
      <c r="GQ14" s="207">
        <f t="shared" si="34"/>
        <v>1602797.1823750008</v>
      </c>
      <c r="GR14" s="207">
        <f t="shared" si="34"/>
        <v>1602797.1823750008</v>
      </c>
      <c r="GS14" s="207">
        <f t="shared" ref="GS14:JD14" si="35">GS10-GS12</f>
        <v>1602797.1823750008</v>
      </c>
      <c r="GT14" s="207">
        <f t="shared" si="35"/>
        <v>1602797.1823750008</v>
      </c>
      <c r="GU14" s="207">
        <f t="shared" si="35"/>
        <v>1602797.1823750008</v>
      </c>
      <c r="GV14" s="207">
        <f t="shared" si="35"/>
        <v>1602797.1823750008</v>
      </c>
      <c r="GW14" s="207">
        <f t="shared" si="35"/>
        <v>1602797.1823750008</v>
      </c>
      <c r="GX14" s="207">
        <f t="shared" si="35"/>
        <v>1602797.1823750008</v>
      </c>
      <c r="GY14" s="207">
        <f t="shared" si="35"/>
        <v>1602797.1823750008</v>
      </c>
      <c r="GZ14" s="207">
        <f t="shared" si="35"/>
        <v>1602797.1823750008</v>
      </c>
      <c r="HA14" s="207">
        <f t="shared" si="35"/>
        <v>1602797.1823750008</v>
      </c>
      <c r="HB14" s="207">
        <f t="shared" si="35"/>
        <v>1602797.1823750008</v>
      </c>
      <c r="HC14" s="207">
        <f t="shared" si="35"/>
        <v>1602797.1823750008</v>
      </c>
      <c r="HD14" s="207">
        <f t="shared" si="35"/>
        <v>1602797.1823750008</v>
      </c>
      <c r="HE14" s="207">
        <f t="shared" si="35"/>
        <v>1602797.1823750008</v>
      </c>
      <c r="HF14" s="207">
        <f t="shared" si="35"/>
        <v>1602797.1823750008</v>
      </c>
      <c r="HG14" s="207">
        <f t="shared" si="35"/>
        <v>1602797.1823750008</v>
      </c>
      <c r="HH14" s="207">
        <f t="shared" si="35"/>
        <v>1602797.1823750008</v>
      </c>
      <c r="HI14" s="207">
        <f t="shared" si="35"/>
        <v>1602797.1823750008</v>
      </c>
      <c r="HJ14" s="207">
        <f t="shared" si="35"/>
        <v>1602797.1823750008</v>
      </c>
      <c r="HK14" s="207">
        <f t="shared" si="35"/>
        <v>1602797.1823750008</v>
      </c>
      <c r="HL14" s="207">
        <f t="shared" si="35"/>
        <v>1602797.1823750008</v>
      </c>
      <c r="HM14" s="207">
        <f t="shared" si="35"/>
        <v>1602797.1823750008</v>
      </c>
      <c r="HN14" s="207">
        <f t="shared" si="35"/>
        <v>1602797.1823750008</v>
      </c>
      <c r="HO14" s="207">
        <f t="shared" si="35"/>
        <v>1602797.1823750008</v>
      </c>
      <c r="HP14" s="207">
        <f t="shared" si="35"/>
        <v>1602797.1823750008</v>
      </c>
      <c r="HQ14" s="207">
        <f t="shared" si="35"/>
        <v>1602797.1823750008</v>
      </c>
      <c r="HR14" s="207">
        <f t="shared" si="35"/>
        <v>1602797.1823750008</v>
      </c>
      <c r="HS14" s="207">
        <f t="shared" si="35"/>
        <v>1602797.1823750008</v>
      </c>
      <c r="HT14" s="207">
        <f t="shared" si="35"/>
        <v>1602797.1823750008</v>
      </c>
      <c r="HU14" s="207">
        <f t="shared" si="35"/>
        <v>1602797.1823750008</v>
      </c>
      <c r="HV14" s="207">
        <f t="shared" si="35"/>
        <v>1602797.1823750008</v>
      </c>
      <c r="HW14" s="207">
        <f t="shared" si="35"/>
        <v>1602797.1823750008</v>
      </c>
      <c r="HX14" s="207">
        <f t="shared" si="35"/>
        <v>1602797.1823750008</v>
      </c>
      <c r="HY14" s="207">
        <f t="shared" si="35"/>
        <v>1602797.1823750008</v>
      </c>
      <c r="HZ14" s="207">
        <f t="shared" si="35"/>
        <v>1602797.1823750008</v>
      </c>
      <c r="IA14" s="207">
        <f t="shared" si="35"/>
        <v>1602797.1823750008</v>
      </c>
      <c r="IB14" s="207">
        <f t="shared" si="35"/>
        <v>1602797.1823750008</v>
      </c>
      <c r="IC14" s="207">
        <f t="shared" si="35"/>
        <v>1602797.1823750008</v>
      </c>
      <c r="ID14" s="207">
        <f t="shared" si="35"/>
        <v>1602797.1823750008</v>
      </c>
      <c r="IE14" s="207">
        <f t="shared" si="35"/>
        <v>1602797.1823750008</v>
      </c>
      <c r="IF14" s="207">
        <f t="shared" si="35"/>
        <v>1602797.1823750008</v>
      </c>
      <c r="IG14" s="207">
        <f t="shared" si="35"/>
        <v>1602797.1823750008</v>
      </c>
      <c r="IH14" s="207">
        <f t="shared" si="35"/>
        <v>1602797.1823750008</v>
      </c>
      <c r="II14" s="207">
        <f t="shared" si="35"/>
        <v>1602797.1823750008</v>
      </c>
      <c r="IJ14" s="207">
        <f t="shared" si="35"/>
        <v>1602797.1823750008</v>
      </c>
      <c r="IK14" s="207">
        <f t="shared" si="35"/>
        <v>1602797.1823750008</v>
      </c>
      <c r="IL14" s="207">
        <f t="shared" si="35"/>
        <v>1602797.1823750008</v>
      </c>
      <c r="IM14" s="207">
        <f t="shared" si="35"/>
        <v>1602797.1823750008</v>
      </c>
      <c r="IN14" s="207">
        <f t="shared" si="35"/>
        <v>1602797.1823750008</v>
      </c>
      <c r="IO14" s="207">
        <f t="shared" si="35"/>
        <v>1602797.1823750008</v>
      </c>
      <c r="IP14" s="207">
        <f t="shared" si="35"/>
        <v>1602797.1823750008</v>
      </c>
      <c r="IQ14" s="207">
        <f t="shared" si="35"/>
        <v>1602797.1823750008</v>
      </c>
      <c r="IR14" s="207">
        <f t="shared" si="35"/>
        <v>1602797.1823750008</v>
      </c>
      <c r="IS14" s="207">
        <f t="shared" si="35"/>
        <v>1602797.1823750008</v>
      </c>
      <c r="IT14" s="207">
        <f t="shared" si="35"/>
        <v>1602797.1823750008</v>
      </c>
      <c r="IU14" s="207">
        <f t="shared" si="35"/>
        <v>1602797.1823750008</v>
      </c>
      <c r="IV14" s="207">
        <f t="shared" si="35"/>
        <v>1602797.1823750008</v>
      </c>
      <c r="IW14" s="207">
        <f t="shared" si="35"/>
        <v>1602797.1823750008</v>
      </c>
      <c r="IX14" s="207">
        <f t="shared" si="35"/>
        <v>1602797.1823750008</v>
      </c>
      <c r="IY14" s="207">
        <f t="shared" si="35"/>
        <v>1602797.1823750008</v>
      </c>
      <c r="IZ14" s="207">
        <f t="shared" si="35"/>
        <v>1602797.1823750008</v>
      </c>
      <c r="JA14" s="207">
        <f t="shared" si="35"/>
        <v>1602797.1823750008</v>
      </c>
      <c r="JB14" s="207">
        <f t="shared" si="35"/>
        <v>1602797.1823750008</v>
      </c>
      <c r="JC14" s="207">
        <f t="shared" si="35"/>
        <v>1602797.1823750008</v>
      </c>
      <c r="JD14" s="207">
        <f t="shared" si="35"/>
        <v>1602797.1823750008</v>
      </c>
      <c r="JE14" s="207">
        <f t="shared" ref="JE14:LD14" si="36">JE10-JE12</f>
        <v>1602797.1823750008</v>
      </c>
      <c r="JF14" s="207">
        <f t="shared" si="36"/>
        <v>1602797.1823750008</v>
      </c>
      <c r="JG14" s="207">
        <f t="shared" si="36"/>
        <v>1602797.1823750008</v>
      </c>
      <c r="JH14" s="207">
        <f t="shared" si="36"/>
        <v>1602797.1823750008</v>
      </c>
      <c r="JI14" s="207">
        <f t="shared" si="36"/>
        <v>1602797.1823750008</v>
      </c>
      <c r="JJ14" s="207">
        <f t="shared" si="36"/>
        <v>1602797.1823750008</v>
      </c>
      <c r="JK14" s="207">
        <f t="shared" si="36"/>
        <v>1602797.1823750008</v>
      </c>
      <c r="JL14" s="207">
        <f t="shared" si="36"/>
        <v>1602797.1823750008</v>
      </c>
      <c r="JM14" s="207">
        <f t="shared" si="36"/>
        <v>1602797.1823750008</v>
      </c>
      <c r="JN14" s="207">
        <f t="shared" si="36"/>
        <v>1602797.1823750008</v>
      </c>
      <c r="JO14" s="207">
        <f t="shared" si="36"/>
        <v>1602797.1823750008</v>
      </c>
      <c r="JP14" s="207">
        <f t="shared" si="36"/>
        <v>1602797.1823750008</v>
      </c>
      <c r="JQ14" s="207">
        <f t="shared" si="36"/>
        <v>1602797.1823750008</v>
      </c>
      <c r="JR14" s="207">
        <f t="shared" si="36"/>
        <v>1602797.1823750008</v>
      </c>
      <c r="JS14" s="207">
        <f t="shared" si="36"/>
        <v>1602797.1823750008</v>
      </c>
      <c r="JT14" s="207">
        <f t="shared" si="36"/>
        <v>1602797.1823750008</v>
      </c>
      <c r="JU14" s="207">
        <f t="shared" si="36"/>
        <v>1602797.1823750008</v>
      </c>
      <c r="JV14" s="207">
        <f t="shared" si="36"/>
        <v>1602797.1823750008</v>
      </c>
      <c r="JW14" s="207">
        <f t="shared" si="36"/>
        <v>1602797.1823750008</v>
      </c>
      <c r="JX14" s="207">
        <f t="shared" si="36"/>
        <v>1602797.1823750008</v>
      </c>
      <c r="JY14" s="207">
        <f t="shared" si="36"/>
        <v>1602797.1823750008</v>
      </c>
      <c r="JZ14" s="207">
        <f t="shared" si="36"/>
        <v>1602797.1823750008</v>
      </c>
      <c r="KA14" s="207">
        <f t="shared" si="36"/>
        <v>1602797.1823750008</v>
      </c>
      <c r="KB14" s="207">
        <f t="shared" si="36"/>
        <v>1602797.1823750008</v>
      </c>
      <c r="KC14" s="207">
        <f t="shared" si="36"/>
        <v>1602797.1823750008</v>
      </c>
      <c r="KD14" s="207">
        <f t="shared" si="36"/>
        <v>1602797.1823750008</v>
      </c>
      <c r="KE14" s="207">
        <f t="shared" si="36"/>
        <v>1602797.1823750008</v>
      </c>
      <c r="KF14" s="207">
        <f t="shared" si="36"/>
        <v>1602797.1823750008</v>
      </c>
      <c r="KG14" s="207">
        <f t="shared" si="36"/>
        <v>1602797.1823750008</v>
      </c>
      <c r="KH14" s="207">
        <f t="shared" si="36"/>
        <v>1602797.1823750008</v>
      </c>
      <c r="KI14" s="207">
        <f t="shared" si="36"/>
        <v>1602797.1823750008</v>
      </c>
      <c r="KJ14" s="207">
        <f t="shared" si="36"/>
        <v>1602797.1823750008</v>
      </c>
      <c r="KK14" s="207">
        <f t="shared" si="36"/>
        <v>1602797.1823750008</v>
      </c>
      <c r="KL14" s="207">
        <f t="shared" si="36"/>
        <v>1602797.1823750008</v>
      </c>
      <c r="KM14" s="207">
        <f t="shared" si="36"/>
        <v>1602797.1823750008</v>
      </c>
      <c r="KN14" s="207">
        <f t="shared" si="36"/>
        <v>1602797.1823750008</v>
      </c>
      <c r="KO14" s="207">
        <f t="shared" si="36"/>
        <v>1602797.1823750008</v>
      </c>
      <c r="KP14" s="207">
        <f t="shared" si="36"/>
        <v>1602797.1823750008</v>
      </c>
      <c r="KQ14" s="207">
        <f t="shared" si="36"/>
        <v>1602797.1823750008</v>
      </c>
      <c r="KR14" s="207">
        <f t="shared" si="36"/>
        <v>1602797.1823750008</v>
      </c>
      <c r="KS14" s="207">
        <f t="shared" si="36"/>
        <v>1602797.1823750008</v>
      </c>
      <c r="KT14" s="207">
        <f t="shared" si="36"/>
        <v>1602797.1823750008</v>
      </c>
      <c r="KU14" s="207">
        <f t="shared" si="36"/>
        <v>1602797.1823750008</v>
      </c>
      <c r="KV14" s="207">
        <f t="shared" si="36"/>
        <v>1602797.1823750008</v>
      </c>
      <c r="KW14" s="207">
        <f t="shared" si="36"/>
        <v>1602797.1823750008</v>
      </c>
      <c r="KX14" s="207">
        <f t="shared" si="36"/>
        <v>1602797.1823750008</v>
      </c>
      <c r="KY14" s="207">
        <f t="shared" si="36"/>
        <v>1602797.1823750008</v>
      </c>
      <c r="KZ14" s="207">
        <f t="shared" si="36"/>
        <v>1602797.1823750008</v>
      </c>
      <c r="LA14" s="207">
        <f t="shared" si="36"/>
        <v>1602797.1823750008</v>
      </c>
      <c r="LB14" s="207">
        <f t="shared" si="36"/>
        <v>1602797.1823750008</v>
      </c>
      <c r="LC14" s="207">
        <f t="shared" si="36"/>
        <v>1602797.1823750008</v>
      </c>
      <c r="LD14" s="207">
        <f t="shared" si="36"/>
        <v>1602797.1823750008</v>
      </c>
    </row>
    <row r="15" spans="1:794" s="191" customFormat="1"/>
    <row r="16" spans="1:794" s="191" customFormat="1">
      <c r="C16" s="193" t="s">
        <v>238</v>
      </c>
      <c r="D16" s="193" t="s">
        <v>238</v>
      </c>
    </row>
    <row r="17" spans="1:316">
      <c r="A17" s="806"/>
      <c r="B17" s="195" t="s">
        <v>449</v>
      </c>
      <c r="C17" s="374">
        <f>C3-D17</f>
        <v>-5167.1689052544534</v>
      </c>
      <c r="D17" s="196">
        <f>SUM(F17:LD17)</f>
        <v>8698015.7789052539</v>
      </c>
      <c r="E17" s="206"/>
      <c r="F17" s="214">
        <f>SUMIFS('Expenditure Breakdown'!$U$6:$U$174, 'Expenditure Breakdown'!$T$6:$T$174, "&gt;="&amp;F1,'Expenditure Breakdown'!$T$6:$T$174, "&lt;"&amp;G1)</f>
        <v>0</v>
      </c>
      <c r="G17" s="214">
        <f>SUMIFS('Expenditure Breakdown'!$U$6:$U$174, 'Expenditure Breakdown'!$T$6:$T$174, "&gt;="&amp;G1,'Expenditure Breakdown'!$T$6:$T$174, "&lt;"&amp;H1)</f>
        <v>0</v>
      </c>
      <c r="H17" s="214">
        <f>SUMIFS('Expenditure Breakdown'!$U$6:$U$174, 'Expenditure Breakdown'!$T$6:$T$174, "&gt;="&amp;H1,'Expenditure Breakdown'!$T$6:$T$174, "&lt;"&amp;I1)</f>
        <v>0</v>
      </c>
      <c r="I17" s="214">
        <f>SUMIFS('Expenditure Breakdown'!$U$6:$U$174, 'Expenditure Breakdown'!$T$6:$T$174, "&gt;="&amp;I1,'Expenditure Breakdown'!$T$6:$T$174, "&lt;"&amp;J1)</f>
        <v>0</v>
      </c>
      <c r="J17" s="214">
        <f>SUMIFS('Expenditure Breakdown'!$U$6:$U$174, 'Expenditure Breakdown'!$T$6:$T$174, "&gt;="&amp;J1,'Expenditure Breakdown'!$T$6:$T$174, "&lt;"&amp;K1)</f>
        <v>0</v>
      </c>
      <c r="K17" s="214">
        <f>SUMIFS('Expenditure Breakdown'!$U$6:$U$174, 'Expenditure Breakdown'!$T$6:$T$174, "&gt;="&amp;K1,'Expenditure Breakdown'!$T$6:$T$174, "&lt;"&amp;L1)</f>
        <v>0</v>
      </c>
      <c r="L17" s="214">
        <f>SUMIFS('Expenditure Breakdown'!$U$6:$U$174, 'Expenditure Breakdown'!$T$6:$T$174, "&gt;="&amp;L1,'Expenditure Breakdown'!$T$6:$T$174, "&lt;"&amp;M1)</f>
        <v>0</v>
      </c>
      <c r="M17" s="214">
        <f>SUMIFS('Expenditure Breakdown'!$U$6:$U$174, 'Expenditure Breakdown'!$T$6:$T$174, "&gt;="&amp;M1,'Expenditure Breakdown'!$T$6:$T$174, "&lt;"&amp;N1)</f>
        <v>0</v>
      </c>
      <c r="N17" s="214">
        <f>SUMIFS('Expenditure Breakdown'!$U$6:$U$174, 'Expenditure Breakdown'!$T$6:$T$174, "&gt;="&amp;N1,'Expenditure Breakdown'!$T$6:$T$174, "&lt;"&amp;O1)</f>
        <v>0</v>
      </c>
      <c r="O17" s="214">
        <f>SUMIFS('Expenditure Breakdown'!$U$6:$U$174, 'Expenditure Breakdown'!$T$6:$T$174, "&gt;="&amp;O1,'Expenditure Breakdown'!$T$6:$T$174, "&lt;"&amp;P1)</f>
        <v>0</v>
      </c>
      <c r="P17" s="214">
        <f>SUMIFS('Expenditure Breakdown'!$U$6:$U$174, 'Expenditure Breakdown'!$T$6:$T$174, "&gt;="&amp;P1,'Expenditure Breakdown'!$T$6:$T$174, "&lt;"&amp;Q1)</f>
        <v>0</v>
      </c>
      <c r="Q17" s="214">
        <f>SUMIFS('Expenditure Breakdown'!$U$6:$U$174, 'Expenditure Breakdown'!$T$6:$T$174, "&gt;="&amp;Q1,'Expenditure Breakdown'!$T$6:$T$174, "&lt;"&amp;R1)</f>
        <v>0</v>
      </c>
      <c r="R17" s="214">
        <f>SUMIFS('Expenditure Breakdown'!$U$6:$U$174, 'Expenditure Breakdown'!$T$6:$T$174, "&gt;="&amp;R1,'Expenditure Breakdown'!$T$6:$T$174, "&lt;"&amp;S1)</f>
        <v>0</v>
      </c>
      <c r="S17" s="214">
        <f>SUMIFS('Expenditure Breakdown'!$U$6:$U$174, 'Expenditure Breakdown'!$T$6:$T$174, "&gt;="&amp;S1,'Expenditure Breakdown'!$T$6:$T$174, "&lt;"&amp;T1)</f>
        <v>0</v>
      </c>
      <c r="T17" s="214">
        <f>SUMIFS('Expenditure Breakdown'!$U$6:$U$174, 'Expenditure Breakdown'!$T$6:$T$174, "&gt;="&amp;T1,'Expenditure Breakdown'!$T$6:$T$174, "&lt;"&amp;U1)</f>
        <v>75615.557954589225</v>
      </c>
      <c r="U17" s="214">
        <f>SUMIFS('Expenditure Breakdown'!$U$6:$U$174, 'Expenditure Breakdown'!$T$6:$T$174, "&gt;="&amp;U1,'Expenditure Breakdown'!$T$6:$T$174, "&lt;"&amp;V1)</f>
        <v>0</v>
      </c>
      <c r="V17" s="214">
        <f>SUMIFS('Expenditure Breakdown'!$U$6:$U$174, 'Expenditure Breakdown'!$T$6:$T$174, "&gt;="&amp;V1,'Expenditure Breakdown'!$T$6:$T$174, "&lt;"&amp;W1)</f>
        <v>0</v>
      </c>
      <c r="W17" s="214">
        <f>SUMIFS('Expenditure Breakdown'!$U$6:$U$174, 'Expenditure Breakdown'!$T$6:$T$174, "&gt;="&amp;W1,'Expenditure Breakdown'!$T$6:$T$174, "&lt;"&amp;X1)</f>
        <v>0</v>
      </c>
      <c r="X17" s="214">
        <f>SUMIFS('Expenditure Breakdown'!$U$6:$U$174, 'Expenditure Breakdown'!$T$6:$T$174, "&gt;="&amp;X1,'Expenditure Breakdown'!$T$6:$T$174, "&lt;"&amp;Y1)</f>
        <v>204468.17967702134</v>
      </c>
      <c r="Y17" s="214">
        <f>SUMIFS('Expenditure Breakdown'!$U$6:$U$174, 'Expenditure Breakdown'!$T$6:$T$174, "&gt;="&amp;Y1,'Expenditure Breakdown'!$T$6:$T$174, "&lt;"&amp;Z1)</f>
        <v>0</v>
      </c>
      <c r="Z17" s="214">
        <f>SUMIFS('Expenditure Breakdown'!$U$6:$U$174, 'Expenditure Breakdown'!$T$6:$T$174, "&gt;="&amp;Z1,'Expenditure Breakdown'!$T$6:$T$174, "&lt;"&amp;AA1)</f>
        <v>0</v>
      </c>
      <c r="AA17" s="214">
        <f>SUMIFS('Expenditure Breakdown'!$U$6:$U$174, 'Expenditure Breakdown'!$T$6:$T$174, "&gt;="&amp;AA1,'Expenditure Breakdown'!$T$6:$T$174, "&lt;"&amp;AB1)</f>
        <v>0</v>
      </c>
      <c r="AB17" s="214">
        <f>SUMIFS('Expenditure Breakdown'!$U$6:$U$174, 'Expenditure Breakdown'!$T$6:$T$174, "&gt;="&amp;AB1,'Expenditure Breakdown'!$T$6:$T$174, "&lt;"&amp;AC1)</f>
        <v>0</v>
      </c>
      <c r="AC17" s="214">
        <f>SUMIFS('Expenditure Breakdown'!$U$6:$U$174, 'Expenditure Breakdown'!$T$6:$T$174, "&gt;="&amp;AC1,'Expenditure Breakdown'!$T$6:$T$174, "&lt;"&amp;AD1)</f>
        <v>6338584.9274901748</v>
      </c>
      <c r="AD17" s="214">
        <f>SUMIFS('Expenditure Breakdown'!$U$6:$U$174, 'Expenditure Breakdown'!$T$6:$T$174, "&gt;="&amp;AD1,'Expenditure Breakdown'!$T$6:$T$174, "&lt;"&amp;AE1)</f>
        <v>0</v>
      </c>
      <c r="AE17" s="214">
        <f>SUMIFS('Expenditure Breakdown'!$U$6:$U$174, 'Expenditure Breakdown'!$T$6:$T$174, "&gt;="&amp;AE1,'Expenditure Breakdown'!$T$6:$T$174, "&lt;"&amp;AF1)</f>
        <v>0</v>
      </c>
      <c r="AF17" s="214">
        <f>SUMIFS('Expenditure Breakdown'!$U$6:$U$174, 'Expenditure Breakdown'!$T$6:$T$174, "&gt;="&amp;AF1,'Expenditure Breakdown'!$T$6:$T$174, "&lt;"&amp;AG1)</f>
        <v>0</v>
      </c>
      <c r="AG17" s="214">
        <f>SUMIFS('Expenditure Breakdown'!$U$6:$U$174, 'Expenditure Breakdown'!$T$6:$T$174, "&gt;="&amp;AG1,'Expenditure Breakdown'!$T$6:$T$174, "&lt;"&amp;AH1)</f>
        <v>193457.61786046426</v>
      </c>
      <c r="AH17" s="214">
        <f>SUMIFS('Expenditure Breakdown'!$U$6:$U$174, 'Expenditure Breakdown'!$T$6:$T$174, "&gt;="&amp;AH1,'Expenditure Breakdown'!$T$6:$T$174, "&lt;"&amp;AI1)</f>
        <v>0</v>
      </c>
      <c r="AI17" s="214">
        <f>SUMIFS('Expenditure Breakdown'!$U$6:$U$174, 'Expenditure Breakdown'!$T$6:$T$174, "&gt;="&amp;AI1,'Expenditure Breakdown'!$T$6:$T$174, "&lt;"&amp;AJ1)</f>
        <v>0</v>
      </c>
      <c r="AJ17" s="214">
        <f>SUMIFS('Expenditure Breakdown'!$U$6:$U$174, 'Expenditure Breakdown'!$T$6:$T$174, "&gt;="&amp;AJ1,'Expenditure Breakdown'!$T$6:$T$174, "&lt;"&amp;AK1)</f>
        <v>0</v>
      </c>
      <c r="AK17" s="214">
        <f>SUMIFS('Expenditure Breakdown'!$U$6:$U$174, 'Expenditure Breakdown'!$T$6:$T$174, "&gt;="&amp;AK1,'Expenditure Breakdown'!$T$6:$T$174, "&lt;"&amp;AL1)</f>
        <v>917804.20579510834</v>
      </c>
      <c r="AL17" s="214">
        <f>SUMIFS('Expenditure Breakdown'!$U$6:$U$174, 'Expenditure Breakdown'!$T$6:$T$174, "&gt;="&amp;AL1,'Expenditure Breakdown'!$T$6:$T$174, "&lt;"&amp;AM1)</f>
        <v>0</v>
      </c>
      <c r="AM17" s="214">
        <f>SUMIFS('Expenditure Breakdown'!$U$6:$U$174, 'Expenditure Breakdown'!$T$6:$T$174, "&gt;="&amp;AM1,'Expenditure Breakdown'!$T$6:$T$174, "&lt;"&amp;AN1)</f>
        <v>0</v>
      </c>
      <c r="AN17" s="214">
        <f>SUMIFS('Expenditure Breakdown'!$U$6:$U$174, 'Expenditure Breakdown'!$T$6:$T$174, "&gt;="&amp;AN1,'Expenditure Breakdown'!$T$6:$T$174, "&lt;"&amp;AO1)</f>
        <v>0</v>
      </c>
      <c r="AO17" s="214">
        <f>SUMIFS('Expenditure Breakdown'!$U$6:$U$174, 'Expenditure Breakdown'!$T$6:$T$174, "&gt;="&amp;AO1,'Expenditure Breakdown'!$T$6:$T$174, "&lt;"&amp;AP1)</f>
        <v>0</v>
      </c>
      <c r="AP17" s="214">
        <f>SUMIFS('Expenditure Breakdown'!$U$6:$U$174, 'Expenditure Breakdown'!$T$6:$T$174, "&gt;="&amp;AP1,'Expenditure Breakdown'!$T$6:$T$174, "&lt;"&amp;AQ1)</f>
        <v>85939.511597313976</v>
      </c>
      <c r="AQ17" s="214">
        <f>SUMIFS('Expenditure Breakdown'!$U$6:$U$174, 'Expenditure Breakdown'!$T$6:$T$174, "&gt;="&amp;AQ1,'Expenditure Breakdown'!$T$6:$T$174, "&lt;"&amp;AR1)</f>
        <v>0</v>
      </c>
      <c r="AR17" s="214">
        <f>SUMIFS('Expenditure Breakdown'!$U$6:$U$174, 'Expenditure Breakdown'!$T$6:$T$174, "&gt;="&amp;AR1,'Expenditure Breakdown'!$T$6:$T$174, "&lt;"&amp;AS1)</f>
        <v>0</v>
      </c>
      <c r="AS17" s="214">
        <f>SUMIFS('Expenditure Breakdown'!$U$6:$U$174, 'Expenditure Breakdown'!$T$6:$T$174, "&gt;="&amp;AS1,'Expenditure Breakdown'!$T$6:$T$174, "&lt;"&amp;AT1)</f>
        <v>0</v>
      </c>
      <c r="AT17" s="214">
        <f>SUMIFS('Expenditure Breakdown'!$U$6:$U$174, 'Expenditure Breakdown'!$T$6:$T$174, "&gt;="&amp;AT1,'Expenditure Breakdown'!$T$6:$T$174, "&lt;"&amp;AU1)</f>
        <v>8078.7920056816365</v>
      </c>
      <c r="AU17" s="214">
        <f>SUMIFS('Expenditure Breakdown'!$U$6:$U$174, 'Expenditure Breakdown'!$T$6:$T$174, "&gt;="&amp;AU1,'Expenditure Breakdown'!$T$6:$T$174, "&lt;"&amp;AV1)</f>
        <v>0</v>
      </c>
      <c r="AV17" s="214">
        <f>SUMIFS('Expenditure Breakdown'!$U$6:$U$174, 'Expenditure Breakdown'!$T$6:$T$174, "&gt;="&amp;AV1,'Expenditure Breakdown'!$T$6:$T$174, "&lt;"&amp;AW1)</f>
        <v>0</v>
      </c>
      <c r="AW17" s="214">
        <f>SUMIFS('Expenditure Breakdown'!$U$6:$U$174, 'Expenditure Breakdown'!$T$6:$T$174, "&gt;="&amp;AW1,'Expenditure Breakdown'!$T$6:$T$174, "&lt;"&amp;AX1)</f>
        <v>0</v>
      </c>
      <c r="AX17" s="214">
        <f>SUMIFS('Expenditure Breakdown'!$U$6:$U$174, 'Expenditure Breakdown'!$T$6:$T$174, "&gt;="&amp;AX1,'Expenditure Breakdown'!$T$6:$T$174, "&lt;"&amp;AY1)</f>
        <v>430480.01322853618</v>
      </c>
      <c r="AY17" s="214">
        <f>SUMIFS('Expenditure Breakdown'!$U$6:$U$174, 'Expenditure Breakdown'!$T$6:$T$174, "&gt;="&amp;AY1,'Expenditure Breakdown'!$T$6:$T$174, "&lt;"&amp;AZ1)</f>
        <v>0</v>
      </c>
      <c r="AZ17" s="214">
        <f>SUMIFS('Expenditure Breakdown'!$U$6:$U$174, 'Expenditure Breakdown'!$T$6:$T$174, "&gt;="&amp;AZ1,'Expenditure Breakdown'!$T$6:$T$174, "&lt;"&amp;BA1)</f>
        <v>0</v>
      </c>
      <c r="BA17" s="214">
        <f>SUMIFS('Expenditure Breakdown'!$U$6:$U$174, 'Expenditure Breakdown'!$T$6:$T$174, "&gt;="&amp;BA1,'Expenditure Breakdown'!$T$6:$T$174, "&lt;"&amp;BB1)</f>
        <v>0</v>
      </c>
      <c r="BB17" s="214">
        <f>SUMIFS('Expenditure Breakdown'!$U$6:$U$174, 'Expenditure Breakdown'!$T$6:$T$174, "&gt;="&amp;BB1,'Expenditure Breakdown'!$T$6:$T$174, "&lt;"&amp;BC1)</f>
        <v>0</v>
      </c>
      <c r="BC17" s="214">
        <f>SUMIFS('Expenditure Breakdown'!$U$6:$U$174, 'Expenditure Breakdown'!$T$6:$T$174, "&gt;="&amp;BC1,'Expenditure Breakdown'!$T$6:$T$174, "&lt;"&amp;BD1)</f>
        <v>100334.86237587345</v>
      </c>
      <c r="BD17" s="214">
        <f>SUMIFS('Expenditure Breakdown'!$U$6:$U$174, 'Expenditure Breakdown'!$T$6:$T$174, "&gt;="&amp;BD1,'Expenditure Breakdown'!$T$6:$T$174, "&lt;"&amp;BE1)</f>
        <v>0</v>
      </c>
      <c r="BE17" s="214">
        <f>SUMIFS('Expenditure Breakdown'!$U$6:$U$174, 'Expenditure Breakdown'!$T$6:$T$174, "&gt;="&amp;BE1,'Expenditure Breakdown'!$T$6:$T$174, "&lt;"&amp;BF1)</f>
        <v>0</v>
      </c>
      <c r="BF17" s="214">
        <f>SUMIFS('Expenditure Breakdown'!$U$6:$U$174, 'Expenditure Breakdown'!$T$6:$T$174, "&gt;="&amp;BF1,'Expenditure Breakdown'!$T$6:$T$174, "&lt;"&amp;BG1)</f>
        <v>0</v>
      </c>
      <c r="BG17" s="214">
        <f>SUMIFS('Expenditure Breakdown'!$U$6:$U$174, 'Expenditure Breakdown'!$T$6:$T$174, "&gt;="&amp;BG1,'Expenditure Breakdown'!$T$6:$T$174, "&lt;"&amp;BH1)</f>
        <v>349.29500000000002</v>
      </c>
      <c r="BH17" s="214">
        <f>SUMIFS('Expenditure Breakdown'!$U$6:$U$174, 'Expenditure Breakdown'!$T$6:$T$174, "&gt;="&amp;BH1,'Expenditure Breakdown'!$T$6:$T$174, "&lt;"&amp;BI1)</f>
        <v>0</v>
      </c>
      <c r="BI17" s="214">
        <f>SUMIFS('Expenditure Breakdown'!$U$6:$U$174, 'Expenditure Breakdown'!$T$6:$T$174, "&gt;="&amp;BI1,'Expenditure Breakdown'!$T$6:$T$174, "&lt;"&amp;BJ1)</f>
        <v>0</v>
      </c>
      <c r="BJ17" s="214">
        <f>SUMIFS('Expenditure Breakdown'!$U$6:$U$174, 'Expenditure Breakdown'!$T$6:$T$174, "&gt;="&amp;BJ1,'Expenditure Breakdown'!$T$6:$T$174, "&lt;"&amp;BK1)</f>
        <v>0</v>
      </c>
      <c r="BK17" s="214">
        <f>SUMIFS('Expenditure Breakdown'!$U$6:$U$174, 'Expenditure Breakdown'!$T$6:$T$174, "&gt;="&amp;BK1,'Expenditure Breakdown'!$T$6:$T$174, "&lt;"&amp;BL1)</f>
        <v>12118.887298436764</v>
      </c>
      <c r="BL17" s="214">
        <f>SUMIFS('Expenditure Breakdown'!$U$6:$U$174, 'Expenditure Breakdown'!$T$6:$T$174, "&gt;="&amp;BL1,'Expenditure Breakdown'!$T$6:$T$174, "&lt;"&amp;BM1)</f>
        <v>0</v>
      </c>
      <c r="BM17" s="214">
        <f>SUMIFS('Expenditure Breakdown'!$U$6:$U$174, 'Expenditure Breakdown'!$T$6:$T$174, "&gt;="&amp;BM1,'Expenditure Breakdown'!$T$6:$T$174, "&lt;"&amp;BN1)</f>
        <v>0</v>
      </c>
      <c r="BN17" s="214">
        <f>SUMIFS('Expenditure Breakdown'!$U$6:$U$174, 'Expenditure Breakdown'!$T$6:$T$174, "&gt;="&amp;BN1,'Expenditure Breakdown'!$T$6:$T$174, "&lt;"&amp;BO1)</f>
        <v>0</v>
      </c>
      <c r="BO17" s="214">
        <f>SUMIFS('Expenditure Breakdown'!$U$6:$U$174, 'Expenditure Breakdown'!$T$6:$T$174, "&gt;="&amp;BO1,'Expenditure Breakdown'!$T$6:$T$174, "&lt;"&amp;BP1)</f>
        <v>0</v>
      </c>
      <c r="BP17" s="214">
        <f>SUMIFS('Expenditure Breakdown'!$U$6:$U$174, 'Expenditure Breakdown'!$T$6:$T$174, "&gt;="&amp;BP1,'Expenditure Breakdown'!$T$6:$T$174, "&lt;"&amp;BQ1)</f>
        <v>330783.92862205487</v>
      </c>
      <c r="BQ17" s="214">
        <f>SUMIFS('Expenditure Breakdown'!$U$6:$U$174, 'Expenditure Breakdown'!$T$6:$T$174, "&gt;="&amp;BQ1,'Expenditure Breakdown'!$T$6:$T$174, "&lt;"&amp;BR1)</f>
        <v>0</v>
      </c>
      <c r="BR17" s="214">
        <f>SUMIFS('Expenditure Breakdown'!$U$6:$U$174, 'Expenditure Breakdown'!$T$6:$T$174, "&gt;="&amp;BR1,'Expenditure Breakdown'!$T$6:$T$174, "&lt;"&amp;BS1)</f>
        <v>0</v>
      </c>
      <c r="BS17" s="214">
        <f>SUMIFS('Expenditure Breakdown'!$U$6:$U$174, 'Expenditure Breakdown'!$T$6:$T$174, "&gt;="&amp;BS1,'Expenditure Breakdown'!$T$6:$T$174, "&lt;"&amp;BT1)</f>
        <v>0</v>
      </c>
      <c r="BT17" s="214">
        <f>SUMIFS('Expenditure Breakdown'!$U$6:$U$174, 'Expenditure Breakdown'!$T$6:$T$174, "&gt;="&amp;BT1,'Expenditure Breakdown'!$T$6:$T$174, "&lt;"&amp;BU1)</f>
        <v>0</v>
      </c>
      <c r="BU17" s="214">
        <f>SUMIFS('Expenditure Breakdown'!$U$6:$U$174, 'Expenditure Breakdown'!$T$6:$T$174, "&gt;="&amp;BU1,'Expenditure Breakdown'!$T$6:$T$174, "&lt;"&amp;BV1)</f>
        <v>0</v>
      </c>
      <c r="BV17" s="214">
        <f>SUMIFS('Expenditure Breakdown'!$U$6:$U$174, 'Expenditure Breakdown'!$T$6:$T$174, "&gt;="&amp;BV1,'Expenditure Breakdown'!$T$6:$T$174, "&lt;"&amp;BW1)</f>
        <v>0</v>
      </c>
      <c r="BW17" s="214">
        <f>SUMIFS('Expenditure Breakdown'!$U$6:$U$174, 'Expenditure Breakdown'!$T$6:$T$174, "&gt;="&amp;BW1,'Expenditure Breakdown'!$T$6:$T$174, "&lt;"&amp;BX1)</f>
        <v>0</v>
      </c>
      <c r="BX17" s="214">
        <f>SUMIFS('Expenditure Breakdown'!$U$6:$U$174, 'Expenditure Breakdown'!$T$6:$T$174, "&gt;="&amp;BX1,'Expenditure Breakdown'!$T$6:$T$174, "&lt;"&amp;BY1)</f>
        <v>0</v>
      </c>
      <c r="BY17" s="214">
        <f>SUMIFS('Expenditure Breakdown'!$U$6:$U$174, 'Expenditure Breakdown'!$T$6:$T$174, "&gt;="&amp;BY1,'Expenditure Breakdown'!$T$6:$T$174, "&lt;"&amp;BZ1)</f>
        <v>0</v>
      </c>
      <c r="BZ17" s="214">
        <f>SUMIFS('Expenditure Breakdown'!$U$6:$U$174, 'Expenditure Breakdown'!$T$6:$T$174, "&gt;="&amp;BZ1,'Expenditure Breakdown'!$T$6:$T$174, "&lt;"&amp;CA1)</f>
        <v>0</v>
      </c>
      <c r="CA17" s="214">
        <f>SUMIFS('Expenditure Breakdown'!$U$6:$U$174, 'Expenditure Breakdown'!$T$6:$T$174, "&gt;="&amp;CA1,'Expenditure Breakdown'!$T$6:$T$174, "&lt;"&amp;CB1)</f>
        <v>0</v>
      </c>
      <c r="CB17" s="214">
        <f>SUMIFS('Expenditure Breakdown'!$U$6:$U$174, 'Expenditure Breakdown'!$T$6:$T$174, "&gt;="&amp;CB1,'Expenditure Breakdown'!$T$6:$T$174, "&lt;"&amp;CC1)</f>
        <v>0</v>
      </c>
      <c r="CC17" s="214">
        <f>SUMIFS('Expenditure Breakdown'!$U$6:$U$174, 'Expenditure Breakdown'!$T$6:$T$174, "&gt;="&amp;CC1,'Expenditure Breakdown'!$T$6:$T$174, "&lt;"&amp;CD1)</f>
        <v>0</v>
      </c>
      <c r="CD17" s="214">
        <f>SUMIFS('Expenditure Breakdown'!$U$6:$U$174, 'Expenditure Breakdown'!$T$6:$T$174, "&gt;="&amp;CD1,'Expenditure Breakdown'!$T$6:$T$174, "&lt;"&amp;CE1)</f>
        <v>0</v>
      </c>
      <c r="CE17" s="214">
        <f>SUMIFS('Expenditure Breakdown'!$U$6:$U$174, 'Expenditure Breakdown'!$T$6:$T$174, "&gt;="&amp;CE1,'Expenditure Breakdown'!$T$6:$T$174, "&lt;"&amp;CF1)</f>
        <v>0</v>
      </c>
      <c r="CF17" s="214">
        <f>SUMIFS('Expenditure Breakdown'!$U$6:$U$174, 'Expenditure Breakdown'!$T$6:$T$174, "&gt;="&amp;CF1,'Expenditure Breakdown'!$T$6:$T$174, "&lt;"&amp;CG1)</f>
        <v>0</v>
      </c>
      <c r="CG17" s="214">
        <f>SUMIFS('Expenditure Breakdown'!$U$6:$U$174, 'Expenditure Breakdown'!$T$6:$T$174, "&gt;="&amp;CG1,'Expenditure Breakdown'!$T$6:$T$174, "&lt;"&amp;CH1)</f>
        <v>0</v>
      </c>
      <c r="CH17" s="214">
        <f>SUMIFS('Expenditure Breakdown'!$U$6:$U$174, 'Expenditure Breakdown'!$T$6:$T$174, "&gt;="&amp;CH1,'Expenditure Breakdown'!$T$6:$T$174, "&lt;"&amp;CI1)</f>
        <v>0</v>
      </c>
      <c r="CI17" s="214">
        <f>SUMIFS('Expenditure Breakdown'!$U$6:$U$174, 'Expenditure Breakdown'!$T$6:$T$174, "&gt;="&amp;CI1,'Expenditure Breakdown'!$T$6:$T$174, "&lt;"&amp;CJ1)</f>
        <v>0</v>
      </c>
      <c r="CJ17" s="214">
        <f>SUMIFS('Expenditure Breakdown'!$U$6:$U$174, 'Expenditure Breakdown'!$T$6:$T$174, "&gt;="&amp;CJ1,'Expenditure Breakdown'!$T$6:$T$174, "&lt;"&amp;CK1)</f>
        <v>0</v>
      </c>
      <c r="CK17" s="214">
        <f>SUMIFS('Expenditure Breakdown'!$U$6:$U$174, 'Expenditure Breakdown'!$T$6:$T$174, "&gt;="&amp;CK1,'Expenditure Breakdown'!$T$6:$T$174, "&lt;"&amp;CL1)</f>
        <v>0</v>
      </c>
      <c r="CL17" s="214">
        <f>SUMIFS('Expenditure Breakdown'!$U$6:$U$174, 'Expenditure Breakdown'!$T$6:$T$174, "&gt;="&amp;CL1,'Expenditure Breakdown'!$T$6:$T$174, "&lt;"&amp;CM1)</f>
        <v>0</v>
      </c>
      <c r="CM17" s="214">
        <f>SUMIFS('Expenditure Breakdown'!$U$6:$U$174, 'Expenditure Breakdown'!$T$6:$T$174, "&gt;="&amp;CM1,'Expenditure Breakdown'!$T$6:$T$174, "&lt;"&amp;CN1)</f>
        <v>0</v>
      </c>
      <c r="CN17" s="214">
        <f>SUMIFS('Expenditure Breakdown'!$U$6:$U$174, 'Expenditure Breakdown'!$T$6:$T$174, "&gt;="&amp;CN1,'Expenditure Breakdown'!$T$6:$T$174, "&lt;"&amp;CO1)</f>
        <v>0</v>
      </c>
      <c r="CO17" s="214">
        <f>SUMIFS('Expenditure Breakdown'!$U$6:$U$174, 'Expenditure Breakdown'!$T$6:$T$174, "&gt;="&amp;CO1,'Expenditure Breakdown'!$T$6:$T$174, "&lt;"&amp;CP1)</f>
        <v>0</v>
      </c>
      <c r="CP17" s="214">
        <f>SUMIFS('Expenditure Breakdown'!$U$6:$U$174, 'Expenditure Breakdown'!$T$6:$T$174, "&gt;="&amp;CP1,'Expenditure Breakdown'!$T$6:$T$174, "&lt;"&amp;CQ1)</f>
        <v>0</v>
      </c>
      <c r="CQ17" s="214">
        <f>SUMIFS('Expenditure Breakdown'!$U$6:$U$174, 'Expenditure Breakdown'!$T$6:$T$174, "&gt;="&amp;CQ1,'Expenditure Breakdown'!$T$6:$T$174, "&lt;"&amp;CR1)</f>
        <v>0</v>
      </c>
      <c r="CR17" s="214">
        <f>SUMIFS('Expenditure Breakdown'!$U$6:$U$174, 'Expenditure Breakdown'!$T$6:$T$174, "&gt;="&amp;CR1,'Expenditure Breakdown'!$T$6:$T$174, "&lt;"&amp;CS1)</f>
        <v>0</v>
      </c>
      <c r="CS17" s="214">
        <f>SUMIFS('Expenditure Breakdown'!$U$6:$U$174, 'Expenditure Breakdown'!$T$6:$T$174, "&gt;="&amp;CS1,'Expenditure Breakdown'!$T$6:$T$174, "&lt;"&amp;CT1)</f>
        <v>0</v>
      </c>
      <c r="CT17" s="214">
        <f>SUMIFS('Expenditure Breakdown'!$U$6:$U$174, 'Expenditure Breakdown'!$T$6:$T$174, "&gt;="&amp;CT1,'Expenditure Breakdown'!$T$6:$T$174, "&lt;"&amp;CU1)</f>
        <v>0</v>
      </c>
      <c r="CU17" s="214">
        <f>SUMIFS('Expenditure Breakdown'!$U$6:$U$174, 'Expenditure Breakdown'!$T$6:$T$174, "&gt;="&amp;CU1,'Expenditure Breakdown'!$T$6:$T$174, "&lt;"&amp;CV1)</f>
        <v>0</v>
      </c>
      <c r="CV17" s="214">
        <f>SUMIFS('Expenditure Breakdown'!$U$6:$U$174, 'Expenditure Breakdown'!$T$6:$T$174, "&gt;="&amp;CV1,'Expenditure Breakdown'!$T$6:$T$174, "&lt;"&amp;CW1)</f>
        <v>0</v>
      </c>
      <c r="CW17" s="214">
        <f>SUMIFS('Expenditure Breakdown'!$U$6:$U$174, 'Expenditure Breakdown'!$T$6:$T$174, "&gt;="&amp;CW1,'Expenditure Breakdown'!$T$6:$T$174, "&lt;"&amp;CX1)</f>
        <v>0</v>
      </c>
      <c r="CX17" s="214">
        <f>SUMIFS('Expenditure Breakdown'!$U$6:$U$174, 'Expenditure Breakdown'!$T$6:$T$174, "&gt;="&amp;CX1,'Expenditure Breakdown'!$T$6:$T$174, "&lt;"&amp;CY1)</f>
        <v>0</v>
      </c>
      <c r="CY17" s="214">
        <f>SUMIFS('Expenditure Breakdown'!$U$6:$U$174, 'Expenditure Breakdown'!$T$6:$T$174, "&gt;="&amp;CY1,'Expenditure Breakdown'!$T$6:$T$174, "&lt;"&amp;CZ1)</f>
        <v>0</v>
      </c>
      <c r="CZ17" s="214">
        <f>SUMIFS('Expenditure Breakdown'!$U$6:$U$174, 'Expenditure Breakdown'!$T$6:$T$174, "&gt;="&amp;CZ1,'Expenditure Breakdown'!$T$6:$T$174, "&lt;"&amp;DA1)</f>
        <v>0</v>
      </c>
      <c r="DA17" s="214">
        <f>SUMIFS('Expenditure Breakdown'!$U$6:$U$174, 'Expenditure Breakdown'!$T$6:$T$174, "&gt;="&amp;DA1,'Expenditure Breakdown'!$T$6:$T$174, "&lt;"&amp;DB1)</f>
        <v>0</v>
      </c>
      <c r="DB17" s="214">
        <f>SUMIFS('Expenditure Breakdown'!$U$6:$U$174, 'Expenditure Breakdown'!$T$6:$T$174, "&gt;="&amp;DB1,'Expenditure Breakdown'!$T$6:$T$174, "&lt;"&amp;DC1)</f>
        <v>0</v>
      </c>
      <c r="DC17" s="214">
        <f>SUMIFS('Expenditure Breakdown'!$U$6:$U$174, 'Expenditure Breakdown'!$T$6:$T$174, "&gt;="&amp;DC1,'Expenditure Breakdown'!$T$6:$T$174, "&lt;"&amp;DD1)</f>
        <v>0</v>
      </c>
      <c r="DD17" s="214">
        <f>SUMIFS('Expenditure Breakdown'!$U$6:$U$174, 'Expenditure Breakdown'!$T$6:$T$174, "&gt;="&amp;DD1,'Expenditure Breakdown'!$T$6:$T$174, "&lt;"&amp;DE1)</f>
        <v>0</v>
      </c>
      <c r="DE17" s="214">
        <f>SUMIFS('Expenditure Breakdown'!$U$6:$U$174, 'Expenditure Breakdown'!$T$6:$T$174, "&gt;="&amp;DE1,'Expenditure Breakdown'!$T$6:$T$174, "&lt;"&amp;DF1)</f>
        <v>0</v>
      </c>
      <c r="DF17" s="214">
        <f>SUMIFS('Expenditure Breakdown'!$U$6:$U$174, 'Expenditure Breakdown'!$T$6:$T$174, "&gt;="&amp;DF1,'Expenditure Breakdown'!$T$6:$T$174, "&lt;"&amp;DG1)</f>
        <v>0</v>
      </c>
      <c r="DG17" s="214">
        <f>SUMIFS('Expenditure Breakdown'!$U$6:$U$174, 'Expenditure Breakdown'!$T$6:$T$174, "&gt;="&amp;DG1,'Expenditure Breakdown'!$T$6:$T$174, "&lt;"&amp;DH1)</f>
        <v>0</v>
      </c>
      <c r="DH17" s="214">
        <f>SUMIFS('Expenditure Breakdown'!$U$6:$U$174, 'Expenditure Breakdown'!$T$6:$T$174, "&gt;="&amp;DH1,'Expenditure Breakdown'!$T$6:$T$174, "&lt;"&amp;DI1)</f>
        <v>0</v>
      </c>
      <c r="DI17" s="214">
        <f>SUMIFS('Expenditure Breakdown'!$U$6:$U$174, 'Expenditure Breakdown'!$T$6:$T$174, "&gt;="&amp;DI1,'Expenditure Breakdown'!$T$6:$T$174, "&lt;"&amp;DJ1)</f>
        <v>0</v>
      </c>
      <c r="DJ17" s="214">
        <f>SUMIFS('Expenditure Breakdown'!$U$6:$U$174, 'Expenditure Breakdown'!$T$6:$T$174, "&gt;="&amp;DJ1,'Expenditure Breakdown'!$T$6:$T$174, "&lt;"&amp;DK1)</f>
        <v>0</v>
      </c>
      <c r="DK17" s="214">
        <f>SUMIFS('Expenditure Breakdown'!$U$6:$U$174, 'Expenditure Breakdown'!$T$6:$T$174, "&gt;="&amp;DK1,'Expenditure Breakdown'!$T$6:$T$174, "&lt;"&amp;DL1)</f>
        <v>0</v>
      </c>
      <c r="DL17" s="214">
        <f>SUMIFS('Expenditure Breakdown'!$U$6:$U$174, 'Expenditure Breakdown'!$T$6:$T$174, "&gt;="&amp;DL1,'Expenditure Breakdown'!$T$6:$T$174, "&lt;"&amp;DM1)</f>
        <v>0</v>
      </c>
      <c r="DM17" s="214">
        <f>SUMIFS('Expenditure Breakdown'!$U$6:$U$174, 'Expenditure Breakdown'!$T$6:$T$174, "&gt;="&amp;DM1,'Expenditure Breakdown'!$T$6:$T$174, "&lt;"&amp;DN1)</f>
        <v>0</v>
      </c>
      <c r="DN17" s="214">
        <f>SUMIFS('Expenditure Breakdown'!$U$6:$U$174, 'Expenditure Breakdown'!$T$6:$T$174, "&gt;="&amp;DN1,'Expenditure Breakdown'!$T$6:$T$174, "&lt;"&amp;DO1)</f>
        <v>0</v>
      </c>
      <c r="DO17" s="214">
        <f>SUMIFS('Expenditure Breakdown'!$U$6:$U$174, 'Expenditure Breakdown'!$T$6:$T$174, "&gt;="&amp;DO1,'Expenditure Breakdown'!$T$6:$T$174, "&lt;"&amp;DP1)</f>
        <v>0</v>
      </c>
      <c r="DP17" s="214">
        <f>SUMIFS('Expenditure Breakdown'!$U$6:$U$174, 'Expenditure Breakdown'!$T$6:$T$174, "&gt;="&amp;DP1,'Expenditure Breakdown'!$T$6:$T$174, "&lt;"&amp;DQ1)</f>
        <v>0</v>
      </c>
      <c r="DQ17" s="214">
        <f>SUMIFS('Expenditure Breakdown'!$U$6:$U$174, 'Expenditure Breakdown'!$T$6:$T$174, "&gt;="&amp;DQ1,'Expenditure Breakdown'!$T$6:$T$174, "&lt;"&amp;DR1)</f>
        <v>0</v>
      </c>
      <c r="DR17" s="214">
        <f>SUMIFS('Expenditure Breakdown'!$U$6:$U$174, 'Expenditure Breakdown'!$T$6:$T$174, "&gt;="&amp;DR1,'Expenditure Breakdown'!$T$6:$T$174, "&lt;"&amp;DS1)</f>
        <v>0</v>
      </c>
      <c r="DS17" s="214">
        <f>SUMIFS('Expenditure Breakdown'!$U$6:$U$174, 'Expenditure Breakdown'!$T$6:$T$174, "&gt;="&amp;DS1,'Expenditure Breakdown'!$T$6:$T$174, "&lt;"&amp;DT1)</f>
        <v>0</v>
      </c>
      <c r="DT17" s="214">
        <f>SUMIFS('Expenditure Breakdown'!$U$6:$U$174, 'Expenditure Breakdown'!$T$6:$T$174, "&gt;="&amp;DT1,'Expenditure Breakdown'!$T$6:$T$174, "&lt;"&amp;DU1)</f>
        <v>0</v>
      </c>
      <c r="DU17" s="214">
        <f>SUMIFS('Expenditure Breakdown'!$U$6:$U$174, 'Expenditure Breakdown'!$T$6:$T$174, "&gt;="&amp;DU1,'Expenditure Breakdown'!$T$6:$T$174, "&lt;"&amp;DV1)</f>
        <v>0</v>
      </c>
      <c r="DV17" s="214">
        <f>SUMIFS('Expenditure Breakdown'!$U$6:$U$174, 'Expenditure Breakdown'!$T$6:$T$174, "&gt;="&amp;DV1,'Expenditure Breakdown'!$T$6:$T$174, "&lt;"&amp;DW1)</f>
        <v>0</v>
      </c>
      <c r="DW17" s="214">
        <f>SUMIFS('Expenditure Breakdown'!$U$6:$U$174, 'Expenditure Breakdown'!$T$6:$T$174, "&gt;="&amp;DW1,'Expenditure Breakdown'!$T$6:$T$174, "&lt;"&amp;DX1)</f>
        <v>0</v>
      </c>
      <c r="DX17" s="214">
        <f>SUMIFS('Expenditure Breakdown'!$U$6:$U$174, 'Expenditure Breakdown'!$T$6:$T$174, "&gt;="&amp;DX1,'Expenditure Breakdown'!$T$6:$T$174, "&lt;"&amp;DY1)</f>
        <v>0</v>
      </c>
      <c r="DY17" s="214">
        <f>SUMIFS('Expenditure Breakdown'!$U$6:$U$174, 'Expenditure Breakdown'!$T$6:$T$174, "&gt;="&amp;DY1,'Expenditure Breakdown'!$T$6:$T$174, "&lt;"&amp;DZ1)</f>
        <v>0</v>
      </c>
      <c r="DZ17" s="214">
        <f>SUMIFS('Expenditure Breakdown'!$U$6:$U$174, 'Expenditure Breakdown'!$T$6:$T$174, "&gt;="&amp;DZ1,'Expenditure Breakdown'!$T$6:$T$174, "&lt;"&amp;EA1)</f>
        <v>0</v>
      </c>
      <c r="EA17" s="214">
        <f>SUMIFS('Expenditure Breakdown'!$U$6:$U$174, 'Expenditure Breakdown'!$T$6:$T$174, "&gt;="&amp;EA1,'Expenditure Breakdown'!$T$6:$T$174, "&lt;"&amp;EB1)</f>
        <v>0</v>
      </c>
      <c r="EB17" s="214">
        <f>SUMIFS('Expenditure Breakdown'!$U$6:$U$174, 'Expenditure Breakdown'!$T$6:$T$174, "&gt;="&amp;EB1,'Expenditure Breakdown'!$T$6:$T$174, "&lt;"&amp;EC1)</f>
        <v>0</v>
      </c>
      <c r="EC17" s="214">
        <f>SUMIFS('Expenditure Breakdown'!$U$6:$U$174, 'Expenditure Breakdown'!$T$6:$T$174, "&gt;="&amp;EC1,'Expenditure Breakdown'!$T$6:$T$174, "&lt;"&amp;ED1)</f>
        <v>0</v>
      </c>
      <c r="ED17" s="214">
        <f>SUMIFS('Expenditure Breakdown'!$U$6:$U$174, 'Expenditure Breakdown'!$T$6:$T$174, "&gt;="&amp;ED1,'Expenditure Breakdown'!$T$6:$T$174, "&lt;"&amp;EE1)</f>
        <v>0</v>
      </c>
      <c r="EE17" s="214">
        <f>SUMIFS('Expenditure Breakdown'!$U$6:$U$174, 'Expenditure Breakdown'!$T$6:$T$174, "&gt;="&amp;EE1,'Expenditure Breakdown'!$T$6:$T$174, "&lt;"&amp;EF1)</f>
        <v>0</v>
      </c>
      <c r="EF17" s="214">
        <f>SUMIFS('Expenditure Breakdown'!$U$6:$U$174, 'Expenditure Breakdown'!$T$6:$T$174, "&gt;="&amp;EF1,'Expenditure Breakdown'!$T$6:$T$174, "&lt;"&amp;EG1)</f>
        <v>0</v>
      </c>
      <c r="EG17" s="214">
        <f>SUMIFS('Expenditure Breakdown'!$U$6:$U$174, 'Expenditure Breakdown'!$T$6:$T$174, "&gt;="&amp;EG1,'Expenditure Breakdown'!$T$6:$T$174, "&lt;"&amp;EH1)</f>
        <v>0</v>
      </c>
      <c r="EH17" s="214">
        <f>SUMIFS('Expenditure Breakdown'!$U$6:$U$174, 'Expenditure Breakdown'!$T$6:$T$174, "&gt;="&amp;EH1,'Expenditure Breakdown'!$T$6:$T$174, "&lt;"&amp;EI1)</f>
        <v>0</v>
      </c>
      <c r="EI17" s="214">
        <f>SUMIFS('Expenditure Breakdown'!$U$6:$U$174, 'Expenditure Breakdown'!$T$6:$T$174, "&gt;="&amp;EI1,'Expenditure Breakdown'!$T$6:$T$174, "&lt;"&amp;EJ1)</f>
        <v>0</v>
      </c>
      <c r="EJ17" s="214">
        <f>SUMIFS('Expenditure Breakdown'!$U$6:$U$174, 'Expenditure Breakdown'!$T$6:$T$174, "&gt;="&amp;EJ1,'Expenditure Breakdown'!$T$6:$T$174, "&lt;"&amp;EK1)</f>
        <v>0</v>
      </c>
      <c r="EK17" s="214">
        <f>SUMIFS('Expenditure Breakdown'!$U$6:$U$174, 'Expenditure Breakdown'!$T$6:$T$174, "&gt;="&amp;EK1,'Expenditure Breakdown'!$T$6:$T$174, "&lt;"&amp;EL1)</f>
        <v>0</v>
      </c>
      <c r="EL17" s="214">
        <f>SUMIFS('Expenditure Breakdown'!$U$6:$U$174, 'Expenditure Breakdown'!$T$6:$T$174, "&gt;="&amp;EL1,'Expenditure Breakdown'!$T$6:$T$174, "&lt;"&amp;EM1)</f>
        <v>0</v>
      </c>
      <c r="EM17" s="214">
        <f>SUMIFS('Expenditure Breakdown'!$U$6:$U$174, 'Expenditure Breakdown'!$T$6:$T$174, "&gt;="&amp;EM1,'Expenditure Breakdown'!$T$6:$T$174, "&lt;"&amp;EN1)</f>
        <v>0</v>
      </c>
      <c r="EN17" s="214">
        <f>SUMIFS('Expenditure Breakdown'!$U$6:$U$174, 'Expenditure Breakdown'!$T$6:$T$174, "&gt;="&amp;EN1,'Expenditure Breakdown'!$T$6:$T$174, "&lt;"&amp;EO1)</f>
        <v>0</v>
      </c>
      <c r="EO17" s="214">
        <f>SUMIFS('Expenditure Breakdown'!$U$6:$U$174, 'Expenditure Breakdown'!$T$6:$T$174, "&gt;="&amp;EO1,'Expenditure Breakdown'!$T$6:$T$174, "&lt;"&amp;EP1)</f>
        <v>0</v>
      </c>
      <c r="EP17" s="214">
        <f>SUMIFS('Expenditure Breakdown'!$U$6:$U$174, 'Expenditure Breakdown'!$T$6:$T$174, "&gt;="&amp;EP1,'Expenditure Breakdown'!$T$6:$T$174, "&lt;"&amp;EQ1)</f>
        <v>0</v>
      </c>
      <c r="EQ17" s="214">
        <f>SUMIFS('Expenditure Breakdown'!$U$6:$U$174, 'Expenditure Breakdown'!$T$6:$T$174, "&gt;="&amp;EQ1,'Expenditure Breakdown'!$T$6:$T$174, "&lt;"&amp;ER1)</f>
        <v>0</v>
      </c>
      <c r="ER17" s="214">
        <f>SUMIFS('Expenditure Breakdown'!$U$6:$U$174, 'Expenditure Breakdown'!$T$6:$T$174, "&gt;="&amp;ER1,'Expenditure Breakdown'!$T$6:$T$174, "&lt;"&amp;ES1)</f>
        <v>0</v>
      </c>
      <c r="ES17" s="214">
        <f>SUMIFS('Expenditure Breakdown'!$U$6:$U$174, 'Expenditure Breakdown'!$T$6:$T$174, "&gt;="&amp;ES1,'Expenditure Breakdown'!$T$6:$T$174, "&lt;"&amp;ET1)</f>
        <v>0</v>
      </c>
      <c r="ET17" s="214">
        <f>SUMIFS('Expenditure Breakdown'!$U$6:$U$174, 'Expenditure Breakdown'!$T$6:$T$174, "&gt;="&amp;ET1,'Expenditure Breakdown'!$T$6:$T$174, "&lt;"&amp;EU1)</f>
        <v>0</v>
      </c>
      <c r="EU17" s="214">
        <f>SUMIFS('Expenditure Breakdown'!$U$6:$U$174, 'Expenditure Breakdown'!$T$6:$T$174, "&gt;="&amp;EU1,'Expenditure Breakdown'!$T$6:$T$174, "&lt;"&amp;EV1)</f>
        <v>0</v>
      </c>
      <c r="EV17" s="214">
        <f>SUMIFS('Expenditure Breakdown'!$U$6:$U$174, 'Expenditure Breakdown'!$T$6:$T$174, "&gt;="&amp;EV1,'Expenditure Breakdown'!$T$6:$T$174, "&lt;"&amp;EW1)</f>
        <v>0</v>
      </c>
      <c r="EW17" s="214">
        <f>SUMIFS('Expenditure Breakdown'!$U$6:$U$174, 'Expenditure Breakdown'!$T$6:$T$174, "&gt;="&amp;EW1,'Expenditure Breakdown'!$T$6:$T$174, "&lt;"&amp;EX1)</f>
        <v>0</v>
      </c>
      <c r="EX17" s="214">
        <f>SUMIFS('Expenditure Breakdown'!$U$6:$U$174, 'Expenditure Breakdown'!$T$6:$T$174, "&gt;="&amp;EX1,'Expenditure Breakdown'!$T$6:$T$174, "&lt;"&amp;EY1)</f>
        <v>0</v>
      </c>
      <c r="EY17" s="214">
        <f>SUMIFS('Expenditure Breakdown'!$U$6:$U$174, 'Expenditure Breakdown'!$T$6:$T$174, "&gt;="&amp;EY1,'Expenditure Breakdown'!$T$6:$T$174, "&lt;"&amp;EZ1)</f>
        <v>0</v>
      </c>
      <c r="EZ17" s="214">
        <f>SUMIFS('Expenditure Breakdown'!$U$6:$U$174, 'Expenditure Breakdown'!$T$6:$T$174, "&gt;="&amp;EZ1,'Expenditure Breakdown'!$T$6:$T$174, "&lt;"&amp;FA1)</f>
        <v>0</v>
      </c>
      <c r="FA17" s="214">
        <f>SUMIFS('Expenditure Breakdown'!$U$6:$U$174, 'Expenditure Breakdown'!$T$6:$T$174, "&gt;="&amp;FA1,'Expenditure Breakdown'!$T$6:$T$174, "&lt;"&amp;FB1)</f>
        <v>0</v>
      </c>
      <c r="FB17" s="214">
        <f>SUMIFS('Expenditure Breakdown'!$U$6:$U$174, 'Expenditure Breakdown'!$T$6:$T$174, "&gt;="&amp;FB1,'Expenditure Breakdown'!$T$6:$T$174, "&lt;"&amp;FC1)</f>
        <v>0</v>
      </c>
      <c r="FC17" s="214">
        <f>SUMIFS('Expenditure Breakdown'!$U$6:$U$174, 'Expenditure Breakdown'!$T$6:$T$174, "&gt;="&amp;FC1,'Expenditure Breakdown'!$T$6:$T$174, "&lt;"&amp;FD1)</f>
        <v>0</v>
      </c>
      <c r="FD17" s="214">
        <f>SUMIFS('Expenditure Breakdown'!$U$6:$U$174, 'Expenditure Breakdown'!$T$6:$T$174, "&gt;="&amp;FD1,'Expenditure Breakdown'!$T$6:$T$174, "&lt;"&amp;FE1)</f>
        <v>0</v>
      </c>
      <c r="FE17" s="214">
        <f>SUMIFS('Expenditure Breakdown'!$U$6:$U$174, 'Expenditure Breakdown'!$T$6:$T$174, "&gt;="&amp;FE1,'Expenditure Breakdown'!$T$6:$T$174, "&lt;"&amp;FF1)</f>
        <v>0</v>
      </c>
      <c r="FF17" s="214">
        <f>SUMIFS('Expenditure Breakdown'!$U$6:$U$174, 'Expenditure Breakdown'!$T$6:$T$174, "&gt;="&amp;FF1,'Expenditure Breakdown'!$T$6:$T$174, "&lt;"&amp;FG1)</f>
        <v>0</v>
      </c>
      <c r="FG17" s="214">
        <f>SUMIFS('Expenditure Breakdown'!$U$6:$U$174, 'Expenditure Breakdown'!$T$6:$T$174, "&gt;="&amp;FG1,'Expenditure Breakdown'!$T$6:$T$174, "&lt;"&amp;FH1)</f>
        <v>0</v>
      </c>
      <c r="FH17" s="214">
        <f>SUMIFS('Expenditure Breakdown'!$U$6:$U$174, 'Expenditure Breakdown'!$T$6:$T$174, "&gt;="&amp;FH1,'Expenditure Breakdown'!$T$6:$T$174, "&lt;"&amp;FI1)</f>
        <v>0</v>
      </c>
      <c r="FI17" s="214">
        <f>SUMIFS('Expenditure Breakdown'!$U$6:$U$174, 'Expenditure Breakdown'!$T$6:$T$174, "&gt;="&amp;FI1,'Expenditure Breakdown'!$T$6:$T$174, "&lt;"&amp;FJ1)</f>
        <v>0</v>
      </c>
      <c r="FJ17" s="214">
        <f>SUMIFS('Expenditure Breakdown'!$U$6:$U$174, 'Expenditure Breakdown'!$T$6:$T$174, "&gt;="&amp;FJ1,'Expenditure Breakdown'!$T$6:$T$174, "&lt;"&amp;FK1)</f>
        <v>0</v>
      </c>
      <c r="FK17" s="214">
        <f>SUMIFS('Expenditure Breakdown'!$U$6:$U$174, 'Expenditure Breakdown'!$T$6:$T$174, "&gt;="&amp;FK1,'Expenditure Breakdown'!$T$6:$T$174, "&lt;"&amp;FL1)</f>
        <v>0</v>
      </c>
      <c r="FL17" s="214">
        <f>SUMIFS('Expenditure Breakdown'!$U$6:$U$174, 'Expenditure Breakdown'!$T$6:$T$174, "&gt;="&amp;FL1,'Expenditure Breakdown'!$T$6:$T$174, "&lt;"&amp;FM1)</f>
        <v>0</v>
      </c>
      <c r="FM17" s="214">
        <f>SUMIFS('Expenditure Breakdown'!$U$6:$U$174, 'Expenditure Breakdown'!$T$6:$T$174, "&gt;="&amp;FM1,'Expenditure Breakdown'!$T$6:$T$174, "&lt;"&amp;FN1)</f>
        <v>0</v>
      </c>
      <c r="FN17" s="214">
        <f>SUMIFS('Expenditure Breakdown'!$U$6:$U$174, 'Expenditure Breakdown'!$T$6:$T$174, "&gt;="&amp;FN1,'Expenditure Breakdown'!$T$6:$T$174, "&lt;"&amp;FO1)</f>
        <v>0</v>
      </c>
      <c r="FO17" s="214">
        <f>SUMIFS('Expenditure Breakdown'!$U$6:$U$174, 'Expenditure Breakdown'!$T$6:$T$174, "&gt;="&amp;FO1,'Expenditure Breakdown'!$T$6:$T$174, "&lt;"&amp;FP1)</f>
        <v>0</v>
      </c>
      <c r="FP17" s="214">
        <f>SUMIFS('Expenditure Breakdown'!$U$6:$U$174, 'Expenditure Breakdown'!$T$6:$T$174, "&gt;="&amp;FP1,'Expenditure Breakdown'!$T$6:$T$174, "&lt;"&amp;FQ1)</f>
        <v>0</v>
      </c>
      <c r="FQ17" s="214">
        <f>SUMIFS('Expenditure Breakdown'!$U$6:$U$174, 'Expenditure Breakdown'!$T$6:$T$174, "&gt;="&amp;FQ1,'Expenditure Breakdown'!$T$6:$T$174, "&lt;"&amp;FR1)</f>
        <v>0</v>
      </c>
      <c r="FR17" s="214">
        <f>SUMIFS('Expenditure Breakdown'!$U$6:$U$174, 'Expenditure Breakdown'!$T$6:$T$174, "&gt;="&amp;FR1,'Expenditure Breakdown'!$T$6:$T$174, "&lt;"&amp;FS1)</f>
        <v>0</v>
      </c>
      <c r="FS17" s="214">
        <f>SUMIFS('Expenditure Breakdown'!$U$6:$U$174, 'Expenditure Breakdown'!$T$6:$T$174, "&gt;="&amp;FS1,'Expenditure Breakdown'!$T$6:$T$174, "&lt;"&amp;FT1)</f>
        <v>0</v>
      </c>
      <c r="FT17" s="214">
        <f>SUMIFS('Expenditure Breakdown'!$U$6:$U$174, 'Expenditure Breakdown'!$T$6:$T$174, "&gt;="&amp;FT1,'Expenditure Breakdown'!$T$6:$T$174, "&lt;"&amp;FU1)</f>
        <v>0</v>
      </c>
      <c r="FU17" s="214">
        <f>SUMIFS('Expenditure Breakdown'!$U$6:$U$174, 'Expenditure Breakdown'!$T$6:$T$174, "&gt;="&amp;FU1,'Expenditure Breakdown'!$T$6:$T$174, "&lt;"&amp;FV1)</f>
        <v>0</v>
      </c>
      <c r="FV17" s="214">
        <f>SUMIFS('Expenditure Breakdown'!$U$6:$U$174, 'Expenditure Breakdown'!$T$6:$T$174, "&gt;="&amp;FV1,'Expenditure Breakdown'!$T$6:$T$174, "&lt;"&amp;FW1)</f>
        <v>0</v>
      </c>
      <c r="FW17" s="214">
        <f>SUMIFS('Expenditure Breakdown'!$U$6:$U$174, 'Expenditure Breakdown'!$T$6:$T$174, "&gt;="&amp;FW1,'Expenditure Breakdown'!$T$6:$T$174, "&lt;"&amp;FX1)</f>
        <v>0</v>
      </c>
      <c r="FX17" s="214">
        <f>SUMIFS('Expenditure Breakdown'!$U$6:$U$174, 'Expenditure Breakdown'!$T$6:$T$174, "&gt;="&amp;FX1,'Expenditure Breakdown'!$T$6:$T$174, "&lt;"&amp;FY1)</f>
        <v>0</v>
      </c>
      <c r="FY17" s="214">
        <f>SUMIFS('Expenditure Breakdown'!$U$6:$U$174, 'Expenditure Breakdown'!$T$6:$T$174, "&gt;="&amp;FY1,'Expenditure Breakdown'!$T$6:$T$174, "&lt;"&amp;FZ1)</f>
        <v>0</v>
      </c>
      <c r="FZ17" s="214">
        <f>SUMIFS('Expenditure Breakdown'!$U$6:$U$174, 'Expenditure Breakdown'!$T$6:$T$174, "&gt;="&amp;FZ1,'Expenditure Breakdown'!$T$6:$T$174, "&lt;"&amp;GA1)</f>
        <v>0</v>
      </c>
      <c r="GA17" s="214">
        <f>SUMIFS('Expenditure Breakdown'!$U$6:$U$174, 'Expenditure Breakdown'!$T$6:$T$174, "&gt;="&amp;GA1,'Expenditure Breakdown'!$T$6:$T$174, "&lt;"&amp;GB1)</f>
        <v>0</v>
      </c>
      <c r="GB17" s="214">
        <f>SUMIFS('Expenditure Breakdown'!$U$6:$U$174, 'Expenditure Breakdown'!$T$6:$T$174, "&gt;="&amp;GB1,'Expenditure Breakdown'!$T$6:$T$174, "&lt;"&amp;GC1)</f>
        <v>0</v>
      </c>
      <c r="GC17" s="214">
        <f>SUMIFS('Expenditure Breakdown'!$U$6:$U$174, 'Expenditure Breakdown'!$T$6:$T$174, "&gt;="&amp;GC1,'Expenditure Breakdown'!$T$6:$T$174, "&lt;"&amp;GD1)</f>
        <v>0</v>
      </c>
      <c r="GD17" s="214">
        <f>SUMIFS('Expenditure Breakdown'!$U$6:$U$174, 'Expenditure Breakdown'!$T$6:$T$174, "&gt;="&amp;GD1,'Expenditure Breakdown'!$T$6:$T$174, "&lt;"&amp;GE1)</f>
        <v>0</v>
      </c>
      <c r="GE17" s="214">
        <f>SUMIFS('Expenditure Breakdown'!$U$6:$U$174, 'Expenditure Breakdown'!$T$6:$T$174, "&gt;="&amp;GE1,'Expenditure Breakdown'!$T$6:$T$174, "&lt;"&amp;GF1)</f>
        <v>0</v>
      </c>
      <c r="GF17" s="214">
        <f>SUMIFS('Expenditure Breakdown'!$U$6:$U$174, 'Expenditure Breakdown'!$T$6:$T$174, "&gt;="&amp;GF1,'Expenditure Breakdown'!$T$6:$T$174, "&lt;"&amp;GG1)</f>
        <v>0</v>
      </c>
      <c r="GG17" s="214">
        <f>SUMIFS('Expenditure Breakdown'!$U$6:$U$174, 'Expenditure Breakdown'!$T$6:$T$174, "&gt;="&amp;GG1,'Expenditure Breakdown'!$T$6:$T$174, "&lt;"&amp;GH1)</f>
        <v>0</v>
      </c>
      <c r="GH17" s="214">
        <f>SUMIFS('Expenditure Breakdown'!$U$6:$U$174, 'Expenditure Breakdown'!$T$6:$T$174, "&gt;="&amp;GH1,'Expenditure Breakdown'!$T$6:$T$174, "&lt;"&amp;GI1)</f>
        <v>0</v>
      </c>
      <c r="GI17" s="214">
        <f>SUMIFS('Expenditure Breakdown'!$U$6:$U$174, 'Expenditure Breakdown'!$T$6:$T$174, "&gt;="&amp;GI1,'Expenditure Breakdown'!$T$6:$T$174, "&lt;"&amp;GJ1)</f>
        <v>0</v>
      </c>
      <c r="GJ17" s="214">
        <f>SUMIFS('Expenditure Breakdown'!$U$6:$U$174, 'Expenditure Breakdown'!$T$6:$T$174, "&gt;="&amp;GJ1,'Expenditure Breakdown'!$T$6:$T$174, "&lt;"&amp;GK1)</f>
        <v>0</v>
      </c>
      <c r="GK17" s="214">
        <f>SUMIFS('Expenditure Breakdown'!$U$6:$U$174, 'Expenditure Breakdown'!$T$6:$T$174, "&gt;="&amp;GK1,'Expenditure Breakdown'!$T$6:$T$174, "&lt;"&amp;GL1)</f>
        <v>0</v>
      </c>
      <c r="GL17" s="214">
        <f>SUMIFS('Expenditure Breakdown'!$U$6:$U$174, 'Expenditure Breakdown'!$T$6:$T$174, "&gt;="&amp;GL1,'Expenditure Breakdown'!$T$6:$T$174, "&lt;"&amp;GM1)</f>
        <v>0</v>
      </c>
      <c r="GM17" s="214">
        <f>SUMIFS('Expenditure Breakdown'!$U$6:$U$174, 'Expenditure Breakdown'!$T$6:$T$174, "&gt;="&amp;GM1,'Expenditure Breakdown'!$T$6:$T$174, "&lt;"&amp;GN1)</f>
        <v>0</v>
      </c>
      <c r="GN17" s="214">
        <f>SUMIFS('Expenditure Breakdown'!$U$6:$U$174, 'Expenditure Breakdown'!$T$6:$T$174, "&gt;="&amp;GN1,'Expenditure Breakdown'!$T$6:$T$174, "&lt;"&amp;GO1)</f>
        <v>0</v>
      </c>
      <c r="GO17" s="214">
        <f>SUMIFS('Expenditure Breakdown'!$U$6:$U$174, 'Expenditure Breakdown'!$T$6:$T$174, "&gt;="&amp;GO1,'Expenditure Breakdown'!$T$6:$T$174, "&lt;"&amp;GP1)</f>
        <v>0</v>
      </c>
      <c r="GP17" s="214">
        <f>SUMIFS('Expenditure Breakdown'!$U$6:$U$174, 'Expenditure Breakdown'!$T$6:$T$174, "&gt;="&amp;GP1,'Expenditure Breakdown'!$T$6:$T$174, "&lt;"&amp;GQ1)</f>
        <v>0</v>
      </c>
      <c r="GQ17" s="214">
        <f>SUMIFS('Expenditure Breakdown'!$U$6:$U$174, 'Expenditure Breakdown'!$T$6:$T$174, "&gt;="&amp;GQ1,'Expenditure Breakdown'!$T$6:$T$174, "&lt;"&amp;GR1)</f>
        <v>0</v>
      </c>
      <c r="GR17" s="214">
        <f>SUMIFS('Expenditure Breakdown'!$U$6:$U$174, 'Expenditure Breakdown'!$T$6:$T$174, "&gt;="&amp;GR1,'Expenditure Breakdown'!$T$6:$T$174, "&lt;"&amp;GS1)</f>
        <v>0</v>
      </c>
      <c r="GS17" s="214">
        <f>SUMIFS('Expenditure Breakdown'!$U$6:$U$174, 'Expenditure Breakdown'!$T$6:$T$174, "&gt;="&amp;GS1,'Expenditure Breakdown'!$T$6:$T$174, "&lt;"&amp;GT1)</f>
        <v>0</v>
      </c>
      <c r="GT17" s="214">
        <f>SUMIFS('Expenditure Breakdown'!$U$6:$U$174, 'Expenditure Breakdown'!$T$6:$T$174, "&gt;="&amp;GT1,'Expenditure Breakdown'!$T$6:$T$174, "&lt;"&amp;GU1)</f>
        <v>0</v>
      </c>
      <c r="GU17" s="214">
        <f>SUMIFS('Expenditure Breakdown'!$U$6:$U$174, 'Expenditure Breakdown'!$T$6:$T$174, "&gt;="&amp;GU1,'Expenditure Breakdown'!$T$6:$T$174, "&lt;"&amp;GV1)</f>
        <v>0</v>
      </c>
      <c r="GV17" s="214">
        <f>SUMIFS('Expenditure Breakdown'!$U$6:$U$174, 'Expenditure Breakdown'!$T$6:$T$174, "&gt;="&amp;GV1,'Expenditure Breakdown'!$T$6:$T$174, "&lt;"&amp;GW1)</f>
        <v>0</v>
      </c>
      <c r="GW17" s="214">
        <f>SUMIFS('Expenditure Breakdown'!$U$6:$U$174, 'Expenditure Breakdown'!$T$6:$T$174, "&gt;="&amp;GW1,'Expenditure Breakdown'!$T$6:$T$174, "&lt;"&amp;GX1)</f>
        <v>0</v>
      </c>
      <c r="GX17" s="214">
        <f>SUMIFS('Expenditure Breakdown'!$U$6:$U$174, 'Expenditure Breakdown'!$T$6:$T$174, "&gt;="&amp;GX1,'Expenditure Breakdown'!$T$6:$T$174, "&lt;"&amp;GY1)</f>
        <v>0</v>
      </c>
      <c r="GY17" s="214">
        <f>SUMIFS('Expenditure Breakdown'!$U$6:$U$174, 'Expenditure Breakdown'!$T$6:$T$174, "&gt;="&amp;GY1,'Expenditure Breakdown'!$T$6:$T$174, "&lt;"&amp;GZ1)</f>
        <v>0</v>
      </c>
      <c r="GZ17" s="214">
        <f>SUMIFS('Expenditure Breakdown'!$U$6:$U$174, 'Expenditure Breakdown'!$T$6:$T$174, "&gt;="&amp;GZ1,'Expenditure Breakdown'!$T$6:$T$174, "&lt;"&amp;HA1)</f>
        <v>0</v>
      </c>
      <c r="HA17" s="214">
        <f>SUMIFS('Expenditure Breakdown'!$U$6:$U$174, 'Expenditure Breakdown'!$T$6:$T$174, "&gt;="&amp;HA1,'Expenditure Breakdown'!$T$6:$T$174, "&lt;"&amp;HB1)</f>
        <v>0</v>
      </c>
      <c r="HB17" s="214">
        <f>SUMIFS('Expenditure Breakdown'!$U$6:$U$174, 'Expenditure Breakdown'!$T$6:$T$174, "&gt;="&amp;HB1,'Expenditure Breakdown'!$T$6:$T$174, "&lt;"&amp;HC1)</f>
        <v>0</v>
      </c>
      <c r="HC17" s="214">
        <f>SUMIFS('Expenditure Breakdown'!$U$6:$U$174, 'Expenditure Breakdown'!$T$6:$T$174, "&gt;="&amp;HC1,'Expenditure Breakdown'!$T$6:$T$174, "&lt;"&amp;HD1)</f>
        <v>0</v>
      </c>
      <c r="HD17" s="214">
        <f>SUMIFS('Expenditure Breakdown'!$U$6:$U$174, 'Expenditure Breakdown'!$T$6:$T$174, "&gt;="&amp;HD1,'Expenditure Breakdown'!$T$6:$T$174, "&lt;"&amp;HE1)</f>
        <v>0</v>
      </c>
      <c r="HE17" s="214">
        <f>SUMIFS('Expenditure Breakdown'!$U$6:$U$174, 'Expenditure Breakdown'!$T$6:$T$174, "&gt;="&amp;HE1,'Expenditure Breakdown'!$T$6:$T$174, "&lt;"&amp;HF1)</f>
        <v>0</v>
      </c>
      <c r="HF17" s="214">
        <f>SUMIFS('Expenditure Breakdown'!$U$6:$U$174, 'Expenditure Breakdown'!$T$6:$T$174, "&gt;="&amp;HF1,'Expenditure Breakdown'!$T$6:$T$174, "&lt;"&amp;HG1)</f>
        <v>0</v>
      </c>
      <c r="HG17" s="214">
        <f>SUMIFS('Expenditure Breakdown'!$U$6:$U$174, 'Expenditure Breakdown'!$T$6:$T$174, "&gt;="&amp;HG1,'Expenditure Breakdown'!$T$6:$T$174, "&lt;"&amp;HH1)</f>
        <v>0</v>
      </c>
      <c r="HH17" s="214">
        <f>SUMIFS('Expenditure Breakdown'!$U$6:$U$174, 'Expenditure Breakdown'!$T$6:$T$174, "&gt;="&amp;HH1,'Expenditure Breakdown'!$T$6:$T$174, "&lt;"&amp;HI1)</f>
        <v>0</v>
      </c>
      <c r="HI17" s="214">
        <f>SUMIFS('Expenditure Breakdown'!$U$6:$U$174, 'Expenditure Breakdown'!$T$6:$T$174, "&gt;="&amp;HI1,'Expenditure Breakdown'!$T$6:$T$174, "&lt;"&amp;HJ1)</f>
        <v>0</v>
      </c>
      <c r="HJ17" s="214">
        <f>SUMIFS('Expenditure Breakdown'!$U$6:$U$174, 'Expenditure Breakdown'!$T$6:$T$174, "&gt;="&amp;HJ1,'Expenditure Breakdown'!$T$6:$T$174, "&lt;"&amp;HK1)</f>
        <v>0</v>
      </c>
      <c r="HK17" s="214">
        <f>SUMIFS('Expenditure Breakdown'!$U$6:$U$174, 'Expenditure Breakdown'!$T$6:$T$174, "&gt;="&amp;HK1,'Expenditure Breakdown'!$T$6:$T$174, "&lt;"&amp;HL1)</f>
        <v>0</v>
      </c>
      <c r="HL17" s="214">
        <f>SUMIFS('Expenditure Breakdown'!$U$6:$U$174, 'Expenditure Breakdown'!$T$6:$T$174, "&gt;="&amp;HL1,'Expenditure Breakdown'!$T$6:$T$174, "&lt;"&amp;HM1)</f>
        <v>0</v>
      </c>
      <c r="HM17" s="214">
        <f>SUMIFS('Expenditure Breakdown'!$U$6:$U$174, 'Expenditure Breakdown'!$T$6:$T$174, "&gt;="&amp;HM1,'Expenditure Breakdown'!$T$6:$T$174, "&lt;"&amp;HN1)</f>
        <v>0</v>
      </c>
      <c r="HN17" s="214">
        <f>SUMIFS('Expenditure Breakdown'!$U$6:$U$174, 'Expenditure Breakdown'!$T$6:$T$174, "&gt;="&amp;HN1,'Expenditure Breakdown'!$T$6:$T$174, "&lt;"&amp;HO1)</f>
        <v>0</v>
      </c>
      <c r="HO17" s="214">
        <f>SUMIFS('Expenditure Breakdown'!$U$6:$U$174, 'Expenditure Breakdown'!$T$6:$T$174, "&gt;="&amp;HO1,'Expenditure Breakdown'!$T$6:$T$174, "&lt;"&amp;HP1)</f>
        <v>0</v>
      </c>
      <c r="HP17" s="214">
        <f>SUMIFS('Expenditure Breakdown'!$U$6:$U$174, 'Expenditure Breakdown'!$T$6:$T$174, "&gt;="&amp;HP1,'Expenditure Breakdown'!$T$6:$T$174, "&lt;"&amp;HQ1)</f>
        <v>0</v>
      </c>
      <c r="HQ17" s="214">
        <f>SUMIFS('Expenditure Breakdown'!$U$6:$U$174, 'Expenditure Breakdown'!$T$6:$T$174, "&gt;="&amp;HQ1,'Expenditure Breakdown'!$T$6:$T$174, "&lt;"&amp;HR1)</f>
        <v>0</v>
      </c>
      <c r="HR17" s="214">
        <f>SUMIFS('Expenditure Breakdown'!$U$6:$U$174, 'Expenditure Breakdown'!$T$6:$T$174, "&gt;="&amp;HR1,'Expenditure Breakdown'!$T$6:$T$174, "&lt;"&amp;HS1)</f>
        <v>0</v>
      </c>
      <c r="HS17" s="214">
        <f>SUMIFS('Expenditure Breakdown'!$U$6:$U$174, 'Expenditure Breakdown'!$T$6:$T$174, "&gt;="&amp;HS1,'Expenditure Breakdown'!$T$6:$T$174, "&lt;"&amp;HT1)</f>
        <v>0</v>
      </c>
      <c r="HT17" s="214">
        <f>SUMIFS('Expenditure Breakdown'!$U$6:$U$174, 'Expenditure Breakdown'!$T$6:$T$174, "&gt;="&amp;HT1,'Expenditure Breakdown'!$T$6:$T$174, "&lt;"&amp;HU1)</f>
        <v>0</v>
      </c>
      <c r="HU17" s="214">
        <f>SUMIFS('Expenditure Breakdown'!$U$6:$U$174, 'Expenditure Breakdown'!$T$6:$T$174, "&gt;="&amp;HU1,'Expenditure Breakdown'!$T$6:$T$174, "&lt;"&amp;HV1)</f>
        <v>0</v>
      </c>
      <c r="HV17" s="214">
        <f>SUMIFS('Expenditure Breakdown'!$U$6:$U$174, 'Expenditure Breakdown'!$T$6:$T$174, "&gt;="&amp;HV1,'Expenditure Breakdown'!$T$6:$T$174, "&lt;"&amp;HW1)</f>
        <v>0</v>
      </c>
      <c r="HW17" s="214">
        <f>SUMIFS('Expenditure Breakdown'!$U$6:$U$174, 'Expenditure Breakdown'!$T$6:$T$174, "&gt;="&amp;HW1,'Expenditure Breakdown'!$T$6:$T$174, "&lt;"&amp;HX1)</f>
        <v>0</v>
      </c>
      <c r="HX17" s="214">
        <f>SUMIFS('Expenditure Breakdown'!$U$6:$U$174, 'Expenditure Breakdown'!$T$6:$T$174, "&gt;="&amp;HX1,'Expenditure Breakdown'!$T$6:$T$174, "&lt;"&amp;HY1)</f>
        <v>0</v>
      </c>
      <c r="HY17" s="214">
        <f>SUMIFS('Expenditure Breakdown'!$U$6:$U$174, 'Expenditure Breakdown'!$T$6:$T$174, "&gt;="&amp;HY1,'Expenditure Breakdown'!$T$6:$T$174, "&lt;"&amp;HZ1)</f>
        <v>0</v>
      </c>
      <c r="HZ17" s="214">
        <f>SUMIFS('Expenditure Breakdown'!$U$6:$U$174, 'Expenditure Breakdown'!$T$6:$T$174, "&gt;="&amp;HZ1,'Expenditure Breakdown'!$T$6:$T$174, "&lt;"&amp;IA1)</f>
        <v>0</v>
      </c>
      <c r="IA17" s="214">
        <f>SUMIFS('Expenditure Breakdown'!$U$6:$U$174, 'Expenditure Breakdown'!$T$6:$T$174, "&gt;="&amp;IA1,'Expenditure Breakdown'!$T$6:$T$174, "&lt;"&amp;IB1)</f>
        <v>0</v>
      </c>
      <c r="IB17" s="214">
        <f>SUMIFS('Expenditure Breakdown'!$U$6:$U$174, 'Expenditure Breakdown'!$T$6:$T$174, "&gt;="&amp;IB1,'Expenditure Breakdown'!$T$6:$T$174, "&lt;"&amp;IC1)</f>
        <v>0</v>
      </c>
      <c r="IC17" s="214">
        <f>SUMIFS('Expenditure Breakdown'!$U$6:$U$174, 'Expenditure Breakdown'!$T$6:$T$174, "&gt;="&amp;IC1,'Expenditure Breakdown'!$T$6:$T$174, "&lt;"&amp;ID1)</f>
        <v>0</v>
      </c>
      <c r="ID17" s="214">
        <f>SUMIFS('Expenditure Breakdown'!$U$6:$U$174, 'Expenditure Breakdown'!$T$6:$T$174, "&gt;="&amp;ID1,'Expenditure Breakdown'!$T$6:$T$174, "&lt;"&amp;IE1)</f>
        <v>0</v>
      </c>
      <c r="IE17" s="214">
        <f>SUMIFS('Expenditure Breakdown'!$U$6:$U$174, 'Expenditure Breakdown'!$T$6:$T$174, "&gt;="&amp;IE1,'Expenditure Breakdown'!$T$6:$T$174, "&lt;"&amp;IF1)</f>
        <v>0</v>
      </c>
      <c r="IF17" s="214">
        <f>SUMIFS('Expenditure Breakdown'!$U$6:$U$174, 'Expenditure Breakdown'!$T$6:$T$174, "&gt;="&amp;IF1,'Expenditure Breakdown'!$T$6:$T$174, "&lt;"&amp;IG1)</f>
        <v>0</v>
      </c>
      <c r="IG17" s="214">
        <f>SUMIFS('Expenditure Breakdown'!$U$6:$U$174, 'Expenditure Breakdown'!$T$6:$T$174, "&gt;="&amp;IG1,'Expenditure Breakdown'!$T$6:$T$174, "&lt;"&amp;IH1)</f>
        <v>0</v>
      </c>
      <c r="IH17" s="214">
        <f>SUMIFS('Expenditure Breakdown'!$U$6:$U$174, 'Expenditure Breakdown'!$T$6:$T$174, "&gt;="&amp;IH1,'Expenditure Breakdown'!$T$6:$T$174, "&lt;"&amp;II1)</f>
        <v>0</v>
      </c>
      <c r="II17" s="214">
        <f>SUMIFS('Expenditure Breakdown'!$U$6:$U$174, 'Expenditure Breakdown'!$T$6:$T$174, "&gt;="&amp;II1,'Expenditure Breakdown'!$T$6:$T$174, "&lt;"&amp;IJ1)</f>
        <v>0</v>
      </c>
      <c r="IJ17" s="214">
        <f>SUMIFS('Expenditure Breakdown'!$U$6:$U$174, 'Expenditure Breakdown'!$T$6:$T$174, "&gt;="&amp;IJ1,'Expenditure Breakdown'!$T$6:$T$174, "&lt;"&amp;IK1)</f>
        <v>0</v>
      </c>
      <c r="IK17" s="214">
        <f>SUMIFS('Expenditure Breakdown'!$U$6:$U$174, 'Expenditure Breakdown'!$T$6:$T$174, "&gt;="&amp;IK1,'Expenditure Breakdown'!$T$6:$T$174, "&lt;"&amp;IL1)</f>
        <v>0</v>
      </c>
      <c r="IL17" s="214">
        <f>SUMIFS('Expenditure Breakdown'!$U$6:$U$174, 'Expenditure Breakdown'!$T$6:$T$174, "&gt;="&amp;IL1,'Expenditure Breakdown'!$T$6:$T$174, "&lt;"&amp;IM1)</f>
        <v>0</v>
      </c>
      <c r="IM17" s="214">
        <f>SUMIFS('Expenditure Breakdown'!$U$6:$U$174, 'Expenditure Breakdown'!$T$6:$T$174, "&gt;="&amp;IM1,'Expenditure Breakdown'!$T$6:$T$174, "&lt;"&amp;IN1)</f>
        <v>0</v>
      </c>
      <c r="IN17" s="214">
        <f>SUMIFS('Expenditure Breakdown'!$U$6:$U$174, 'Expenditure Breakdown'!$T$6:$T$174, "&gt;="&amp;IN1,'Expenditure Breakdown'!$T$6:$T$174, "&lt;"&amp;IO1)</f>
        <v>0</v>
      </c>
      <c r="IO17" s="214">
        <f>SUMIFS('Expenditure Breakdown'!$U$6:$U$174, 'Expenditure Breakdown'!$T$6:$T$174, "&gt;="&amp;IO1,'Expenditure Breakdown'!$T$6:$T$174, "&lt;"&amp;IP1)</f>
        <v>0</v>
      </c>
      <c r="IP17" s="214">
        <f>SUMIFS('Expenditure Breakdown'!$U$6:$U$174, 'Expenditure Breakdown'!$T$6:$T$174, "&gt;="&amp;IP1,'Expenditure Breakdown'!$T$6:$T$174, "&lt;"&amp;IQ1)</f>
        <v>0</v>
      </c>
      <c r="IQ17" s="214">
        <f>SUMIFS('Expenditure Breakdown'!$U$6:$U$174, 'Expenditure Breakdown'!$T$6:$T$174, "&gt;="&amp;IQ1,'Expenditure Breakdown'!$T$6:$T$174, "&lt;"&amp;IR1)</f>
        <v>0</v>
      </c>
      <c r="IR17" s="214">
        <f>SUMIFS('Expenditure Breakdown'!$U$6:$U$174, 'Expenditure Breakdown'!$T$6:$T$174, "&gt;="&amp;IR1,'Expenditure Breakdown'!$T$6:$T$174, "&lt;"&amp;IS1)</f>
        <v>0</v>
      </c>
      <c r="IS17" s="214">
        <f>SUMIFS('Expenditure Breakdown'!$U$6:$U$174, 'Expenditure Breakdown'!$T$6:$T$174, "&gt;="&amp;IS1,'Expenditure Breakdown'!$T$6:$T$174, "&lt;"&amp;IT1)</f>
        <v>0</v>
      </c>
      <c r="IT17" s="214">
        <f>SUMIFS('Expenditure Breakdown'!$U$6:$U$174, 'Expenditure Breakdown'!$T$6:$T$174, "&gt;="&amp;IT1,'Expenditure Breakdown'!$T$6:$T$174, "&lt;"&amp;IU1)</f>
        <v>0</v>
      </c>
      <c r="IU17" s="214">
        <f>SUMIFS('Expenditure Breakdown'!$U$6:$U$174, 'Expenditure Breakdown'!$T$6:$T$174, "&gt;="&amp;IU1,'Expenditure Breakdown'!$T$6:$T$174, "&lt;"&amp;IV1)</f>
        <v>0</v>
      </c>
      <c r="IV17" s="214">
        <f>SUMIFS('Expenditure Breakdown'!$U$6:$U$174, 'Expenditure Breakdown'!$T$6:$T$174, "&gt;="&amp;IV1,'Expenditure Breakdown'!$T$6:$T$174, "&lt;"&amp;IW1)</f>
        <v>0</v>
      </c>
      <c r="IW17" s="214">
        <f>SUMIFS('Expenditure Breakdown'!$U$6:$U$174, 'Expenditure Breakdown'!$T$6:$T$174, "&gt;="&amp;IW1,'Expenditure Breakdown'!$T$6:$T$174, "&lt;"&amp;IX1)</f>
        <v>0</v>
      </c>
      <c r="IX17" s="214">
        <f>SUMIFS('Expenditure Breakdown'!$U$6:$U$174, 'Expenditure Breakdown'!$T$6:$T$174, "&gt;="&amp;IX1,'Expenditure Breakdown'!$T$6:$T$174, "&lt;"&amp;IY1)</f>
        <v>0</v>
      </c>
      <c r="IY17" s="214">
        <f>SUMIFS('Expenditure Breakdown'!$U$6:$U$174, 'Expenditure Breakdown'!$T$6:$T$174, "&gt;="&amp;IY1,'Expenditure Breakdown'!$T$6:$T$174, "&lt;"&amp;IZ1)</f>
        <v>0</v>
      </c>
      <c r="IZ17" s="214">
        <f>SUMIFS('Expenditure Breakdown'!$U$6:$U$174, 'Expenditure Breakdown'!$T$6:$T$174, "&gt;="&amp;IZ1,'Expenditure Breakdown'!$T$6:$T$174, "&lt;"&amp;JA1)</f>
        <v>0</v>
      </c>
      <c r="JA17" s="214">
        <f>SUMIFS('Expenditure Breakdown'!$U$6:$U$174, 'Expenditure Breakdown'!$T$6:$T$174, "&gt;="&amp;JA1,'Expenditure Breakdown'!$T$6:$T$174, "&lt;"&amp;JB1)</f>
        <v>0</v>
      </c>
      <c r="JB17" s="214">
        <f>SUMIFS('Expenditure Breakdown'!$U$6:$U$174, 'Expenditure Breakdown'!$T$6:$T$174, "&gt;="&amp;JB1,'Expenditure Breakdown'!$T$6:$T$174, "&lt;"&amp;JC1)</f>
        <v>0</v>
      </c>
      <c r="JC17" s="214">
        <f>SUMIFS('Expenditure Breakdown'!$U$6:$U$174, 'Expenditure Breakdown'!$T$6:$T$174, "&gt;="&amp;JC1,'Expenditure Breakdown'!$T$6:$T$174, "&lt;"&amp;JD1)</f>
        <v>0</v>
      </c>
      <c r="JD17" s="214">
        <f>SUMIFS('Expenditure Breakdown'!$U$6:$U$174, 'Expenditure Breakdown'!$T$6:$T$174, "&gt;="&amp;JD1,'Expenditure Breakdown'!$T$6:$T$174, "&lt;"&amp;JE1)</f>
        <v>0</v>
      </c>
      <c r="JE17" s="214">
        <f>SUMIFS('Expenditure Breakdown'!$U$6:$U$174, 'Expenditure Breakdown'!$T$6:$T$174, "&gt;="&amp;JE1,'Expenditure Breakdown'!$T$6:$T$174, "&lt;"&amp;JF1)</f>
        <v>0</v>
      </c>
      <c r="JF17" s="214">
        <f>SUMIFS('Expenditure Breakdown'!$U$6:$U$174, 'Expenditure Breakdown'!$T$6:$T$174, "&gt;="&amp;JF1,'Expenditure Breakdown'!$T$6:$T$174, "&lt;"&amp;JG1)</f>
        <v>0</v>
      </c>
      <c r="JG17" s="214">
        <f>SUMIFS('Expenditure Breakdown'!$U$6:$U$174, 'Expenditure Breakdown'!$T$6:$T$174, "&gt;="&amp;JG1,'Expenditure Breakdown'!$T$6:$T$174, "&lt;"&amp;JH1)</f>
        <v>0</v>
      </c>
      <c r="JH17" s="214">
        <f>SUMIFS('Expenditure Breakdown'!$U$6:$U$174, 'Expenditure Breakdown'!$T$6:$T$174, "&gt;="&amp;JH1,'Expenditure Breakdown'!$T$6:$T$174, "&lt;"&amp;JI1)</f>
        <v>0</v>
      </c>
      <c r="JI17" s="214">
        <f>SUMIFS('Expenditure Breakdown'!$U$6:$U$174, 'Expenditure Breakdown'!$T$6:$T$174, "&gt;="&amp;JI1,'Expenditure Breakdown'!$T$6:$T$174, "&lt;"&amp;JJ1)</f>
        <v>0</v>
      </c>
      <c r="JJ17" s="214">
        <f>SUMIFS('Expenditure Breakdown'!$U$6:$U$174, 'Expenditure Breakdown'!$T$6:$T$174, "&gt;="&amp;JJ1,'Expenditure Breakdown'!$T$6:$T$174, "&lt;"&amp;JK1)</f>
        <v>0</v>
      </c>
      <c r="JK17" s="214">
        <f>SUMIFS('Expenditure Breakdown'!$U$6:$U$174, 'Expenditure Breakdown'!$T$6:$T$174, "&gt;="&amp;JK1,'Expenditure Breakdown'!$T$6:$T$174, "&lt;"&amp;JL1)</f>
        <v>0</v>
      </c>
      <c r="JL17" s="214">
        <f>SUMIFS('Expenditure Breakdown'!$U$6:$U$174, 'Expenditure Breakdown'!$T$6:$T$174, "&gt;="&amp;JL1,'Expenditure Breakdown'!$T$6:$T$174, "&lt;"&amp;JM1)</f>
        <v>0</v>
      </c>
      <c r="JM17" s="214">
        <f>SUMIFS('Expenditure Breakdown'!$U$6:$U$174, 'Expenditure Breakdown'!$T$6:$T$174, "&gt;="&amp;JM1,'Expenditure Breakdown'!$T$6:$T$174, "&lt;"&amp;JN1)</f>
        <v>0</v>
      </c>
      <c r="JN17" s="214">
        <f>SUMIFS('Expenditure Breakdown'!$U$6:$U$174, 'Expenditure Breakdown'!$T$6:$T$174, "&gt;="&amp;JN1,'Expenditure Breakdown'!$T$6:$T$174, "&lt;"&amp;JO1)</f>
        <v>0</v>
      </c>
      <c r="JO17" s="214">
        <f>SUMIFS('Expenditure Breakdown'!$U$6:$U$174, 'Expenditure Breakdown'!$T$6:$T$174, "&gt;="&amp;JO1,'Expenditure Breakdown'!$T$6:$T$174, "&lt;"&amp;JP1)</f>
        <v>0</v>
      </c>
      <c r="JP17" s="214">
        <f>SUMIFS('Expenditure Breakdown'!$U$6:$U$174, 'Expenditure Breakdown'!$T$6:$T$174, "&gt;="&amp;JP1,'Expenditure Breakdown'!$T$6:$T$174, "&lt;"&amp;JQ1)</f>
        <v>0</v>
      </c>
      <c r="JQ17" s="214">
        <f>SUMIFS('Expenditure Breakdown'!$U$6:$U$174, 'Expenditure Breakdown'!$T$6:$T$174, "&gt;="&amp;JQ1,'Expenditure Breakdown'!$T$6:$T$174, "&lt;"&amp;JR1)</f>
        <v>0</v>
      </c>
      <c r="JR17" s="214">
        <f>SUMIFS('Expenditure Breakdown'!$U$6:$U$174, 'Expenditure Breakdown'!$T$6:$T$174, "&gt;="&amp;JR1,'Expenditure Breakdown'!$T$6:$T$174, "&lt;"&amp;JS1)</f>
        <v>0</v>
      </c>
      <c r="JS17" s="214">
        <f>SUMIFS('Expenditure Breakdown'!$U$6:$U$174, 'Expenditure Breakdown'!$T$6:$T$174, "&gt;="&amp;JS1,'Expenditure Breakdown'!$T$6:$T$174, "&lt;"&amp;JT1)</f>
        <v>0</v>
      </c>
      <c r="JT17" s="214">
        <f>SUMIFS('Expenditure Breakdown'!$U$6:$U$174, 'Expenditure Breakdown'!$T$6:$T$174, "&gt;="&amp;JT1,'Expenditure Breakdown'!$T$6:$T$174, "&lt;"&amp;JU1)</f>
        <v>0</v>
      </c>
      <c r="JU17" s="214">
        <f>SUMIFS('Expenditure Breakdown'!$U$6:$U$174, 'Expenditure Breakdown'!$T$6:$T$174, "&gt;="&amp;JU1,'Expenditure Breakdown'!$T$6:$T$174, "&lt;"&amp;JV1)</f>
        <v>0</v>
      </c>
      <c r="JV17" s="214">
        <f>SUMIFS('Expenditure Breakdown'!$U$6:$U$174, 'Expenditure Breakdown'!$T$6:$T$174, "&gt;="&amp;JV1,'Expenditure Breakdown'!$T$6:$T$174, "&lt;"&amp;JW1)</f>
        <v>0</v>
      </c>
      <c r="JW17" s="214">
        <f>SUMIFS('Expenditure Breakdown'!$U$6:$U$174, 'Expenditure Breakdown'!$T$6:$T$174, "&gt;="&amp;JW1,'Expenditure Breakdown'!$T$6:$T$174, "&lt;"&amp;JX1)</f>
        <v>0</v>
      </c>
      <c r="JX17" s="214">
        <f>SUMIFS('Expenditure Breakdown'!$U$6:$U$174, 'Expenditure Breakdown'!$T$6:$T$174, "&gt;="&amp;JX1,'Expenditure Breakdown'!$T$6:$T$174, "&lt;"&amp;JY1)</f>
        <v>0</v>
      </c>
      <c r="JY17" s="214">
        <f>SUMIFS('Expenditure Breakdown'!$U$6:$U$174, 'Expenditure Breakdown'!$T$6:$T$174, "&gt;="&amp;JY1,'Expenditure Breakdown'!$T$6:$T$174, "&lt;"&amp;JZ1)</f>
        <v>0</v>
      </c>
      <c r="JZ17" s="214">
        <f>SUMIFS('Expenditure Breakdown'!$U$6:$U$174, 'Expenditure Breakdown'!$T$6:$T$174, "&gt;="&amp;JZ1,'Expenditure Breakdown'!$T$6:$T$174, "&lt;"&amp;KA1)</f>
        <v>0</v>
      </c>
      <c r="KA17" s="214">
        <f>SUMIFS('Expenditure Breakdown'!$U$6:$U$174, 'Expenditure Breakdown'!$T$6:$T$174, "&gt;="&amp;KA1,'Expenditure Breakdown'!$T$6:$T$174, "&lt;"&amp;KB1)</f>
        <v>0</v>
      </c>
      <c r="KB17" s="214">
        <f>SUMIFS('Expenditure Breakdown'!$U$6:$U$174, 'Expenditure Breakdown'!$T$6:$T$174, "&gt;="&amp;KB1,'Expenditure Breakdown'!$T$6:$T$174, "&lt;"&amp;KC1)</f>
        <v>0</v>
      </c>
      <c r="KC17" s="214">
        <f>SUMIFS('Expenditure Breakdown'!$U$6:$U$174, 'Expenditure Breakdown'!$T$6:$T$174, "&gt;="&amp;KC1,'Expenditure Breakdown'!$T$6:$T$174, "&lt;"&amp;KD1)</f>
        <v>0</v>
      </c>
      <c r="KD17" s="214">
        <f>SUMIFS('Expenditure Breakdown'!$U$6:$U$174, 'Expenditure Breakdown'!$T$6:$T$174, "&gt;="&amp;KD1,'Expenditure Breakdown'!$T$6:$T$174, "&lt;"&amp;KE1)</f>
        <v>0</v>
      </c>
      <c r="KE17" s="214">
        <f>SUMIFS('Expenditure Breakdown'!$U$6:$U$174, 'Expenditure Breakdown'!$T$6:$T$174, "&gt;="&amp;KE1,'Expenditure Breakdown'!$T$6:$T$174, "&lt;"&amp;KF1)</f>
        <v>0</v>
      </c>
      <c r="KF17" s="214">
        <f>SUMIFS('Expenditure Breakdown'!$U$6:$U$174, 'Expenditure Breakdown'!$T$6:$T$174, "&gt;="&amp;KF1,'Expenditure Breakdown'!$T$6:$T$174, "&lt;"&amp;KG1)</f>
        <v>0</v>
      </c>
      <c r="KG17" s="214">
        <f>SUMIFS('Expenditure Breakdown'!$U$6:$U$174, 'Expenditure Breakdown'!$T$6:$T$174, "&gt;="&amp;KG1,'Expenditure Breakdown'!$T$6:$T$174, "&lt;"&amp;KH1)</f>
        <v>0</v>
      </c>
      <c r="KH17" s="214">
        <f>SUMIFS('Expenditure Breakdown'!$U$6:$U$174, 'Expenditure Breakdown'!$T$6:$T$174, "&gt;="&amp;KH1,'Expenditure Breakdown'!$T$6:$T$174, "&lt;"&amp;KI1)</f>
        <v>0</v>
      </c>
      <c r="KI17" s="214">
        <f>SUMIFS('Expenditure Breakdown'!$U$6:$U$174, 'Expenditure Breakdown'!$T$6:$T$174, "&gt;="&amp;KI1,'Expenditure Breakdown'!$T$6:$T$174, "&lt;"&amp;KJ1)</f>
        <v>0</v>
      </c>
      <c r="KJ17" s="214">
        <f>SUMIFS('Expenditure Breakdown'!$U$6:$U$174, 'Expenditure Breakdown'!$T$6:$T$174, "&gt;="&amp;KJ1,'Expenditure Breakdown'!$T$6:$T$174, "&lt;"&amp;KK1)</f>
        <v>0</v>
      </c>
      <c r="KK17" s="214">
        <f>SUMIFS('Expenditure Breakdown'!$U$6:$U$174, 'Expenditure Breakdown'!$T$6:$T$174, "&gt;="&amp;KK1,'Expenditure Breakdown'!$T$6:$T$174, "&lt;"&amp;KL1)</f>
        <v>0</v>
      </c>
      <c r="KL17" s="214">
        <f>SUMIFS('Expenditure Breakdown'!$U$6:$U$174, 'Expenditure Breakdown'!$T$6:$T$174, "&gt;="&amp;KL1,'Expenditure Breakdown'!$T$6:$T$174, "&lt;"&amp;KM1)</f>
        <v>0</v>
      </c>
      <c r="KM17" s="214">
        <f>SUMIFS('Expenditure Breakdown'!$U$6:$U$174, 'Expenditure Breakdown'!$T$6:$T$174, "&gt;="&amp;KM1,'Expenditure Breakdown'!$T$6:$T$174, "&lt;"&amp;KN1)</f>
        <v>0</v>
      </c>
      <c r="KN17" s="214">
        <f>SUMIFS('Expenditure Breakdown'!$U$6:$U$174, 'Expenditure Breakdown'!$T$6:$T$174, "&gt;="&amp;KN1,'Expenditure Breakdown'!$T$6:$T$174, "&lt;"&amp;KO1)</f>
        <v>0</v>
      </c>
      <c r="KO17" s="214">
        <f>SUMIFS('Expenditure Breakdown'!$U$6:$U$174, 'Expenditure Breakdown'!$T$6:$T$174, "&gt;="&amp;KO1,'Expenditure Breakdown'!$T$6:$T$174, "&lt;"&amp;KP1)</f>
        <v>0</v>
      </c>
      <c r="KP17" s="214">
        <f>SUMIFS('Expenditure Breakdown'!$U$6:$U$174, 'Expenditure Breakdown'!$T$6:$T$174, "&gt;="&amp;KP1,'Expenditure Breakdown'!$T$6:$T$174, "&lt;"&amp;KQ1)</f>
        <v>0</v>
      </c>
      <c r="KQ17" s="214">
        <f>SUMIFS('Expenditure Breakdown'!$U$6:$U$174, 'Expenditure Breakdown'!$T$6:$T$174, "&gt;="&amp;KQ1,'Expenditure Breakdown'!$T$6:$T$174, "&lt;"&amp;KR1)</f>
        <v>0</v>
      </c>
      <c r="KR17" s="214">
        <f>SUMIFS('Expenditure Breakdown'!$U$6:$U$174, 'Expenditure Breakdown'!$T$6:$T$174, "&gt;="&amp;KR1,'Expenditure Breakdown'!$T$6:$T$174, "&lt;"&amp;KS1)</f>
        <v>0</v>
      </c>
      <c r="KS17" s="214">
        <f>SUMIFS('Expenditure Breakdown'!$U$6:$U$174, 'Expenditure Breakdown'!$T$6:$T$174, "&gt;="&amp;KS1,'Expenditure Breakdown'!$T$6:$T$174, "&lt;"&amp;KT1)</f>
        <v>0</v>
      </c>
      <c r="KT17" s="214">
        <f>SUMIFS('Expenditure Breakdown'!$U$6:$U$174, 'Expenditure Breakdown'!$T$6:$T$174, "&gt;="&amp;KT1,'Expenditure Breakdown'!$T$6:$T$174, "&lt;"&amp;KU1)</f>
        <v>0</v>
      </c>
      <c r="KU17" s="214">
        <f>SUMIFS('Expenditure Breakdown'!$U$6:$U$174, 'Expenditure Breakdown'!$T$6:$T$174, "&gt;="&amp;KU1,'Expenditure Breakdown'!$T$6:$T$174, "&lt;"&amp;KV1)</f>
        <v>0</v>
      </c>
      <c r="KV17" s="214">
        <f>SUMIFS('Expenditure Breakdown'!$U$6:$U$174, 'Expenditure Breakdown'!$T$6:$T$174, "&gt;="&amp;KV1,'Expenditure Breakdown'!$T$6:$T$174, "&lt;"&amp;KW1)</f>
        <v>0</v>
      </c>
      <c r="KW17" s="214">
        <f>SUMIFS('Expenditure Breakdown'!$U$6:$U$174, 'Expenditure Breakdown'!$T$6:$T$174, "&gt;="&amp;KW1,'Expenditure Breakdown'!$T$6:$T$174, "&lt;"&amp;KX1)</f>
        <v>0</v>
      </c>
      <c r="KX17" s="214">
        <f>SUMIFS('Expenditure Breakdown'!$U$6:$U$174, 'Expenditure Breakdown'!$T$6:$T$174, "&gt;="&amp;KX1,'Expenditure Breakdown'!$T$6:$T$174, "&lt;"&amp;KY1)</f>
        <v>0</v>
      </c>
      <c r="KY17" s="214">
        <f>SUMIFS('Expenditure Breakdown'!$U$6:$U$174, 'Expenditure Breakdown'!$T$6:$T$174, "&gt;="&amp;KY1,'Expenditure Breakdown'!$T$6:$T$174, "&lt;"&amp;KZ1)</f>
        <v>0</v>
      </c>
      <c r="KZ17" s="214">
        <f>SUMIFS('Expenditure Breakdown'!$U$6:$U$174, 'Expenditure Breakdown'!$T$6:$T$174, "&gt;="&amp;KZ1,'Expenditure Breakdown'!$T$6:$T$174, "&lt;"&amp;LA1)</f>
        <v>0</v>
      </c>
      <c r="LA17" s="214">
        <f>SUMIFS('Expenditure Breakdown'!$U$6:$U$174, 'Expenditure Breakdown'!$T$6:$T$174, "&gt;="&amp;LA1,'Expenditure Breakdown'!$T$6:$T$174, "&lt;"&amp;LB1)</f>
        <v>0</v>
      </c>
      <c r="LB17" s="214">
        <f>SUMIFS('Expenditure Breakdown'!$U$6:$U$174, 'Expenditure Breakdown'!$T$6:$T$174, "&gt;="&amp;LB1,'Expenditure Breakdown'!$T$6:$T$174, "&lt;"&amp;LC1)</f>
        <v>0</v>
      </c>
      <c r="LC17" s="214">
        <f>SUMIFS('Expenditure Breakdown'!$U$6:$U$174, 'Expenditure Breakdown'!$T$6:$T$174, "&gt;="&amp;LC1,'Expenditure Breakdown'!$T$6:$T$174, "&lt;"&amp;LD1)</f>
        <v>0</v>
      </c>
      <c r="LD17" s="214">
        <f>SUMIFS('Expenditure Breakdown'!$U$6:$U$174, 'Expenditure Breakdown'!$T$6:$T$174, "&gt;="&amp;LD1,'Expenditure Breakdown'!$T$6:$T$174, "&lt;"&amp;#REF!)</f>
        <v>0</v>
      </c>
    </row>
    <row r="18" spans="1:316">
      <c r="A18" s="806"/>
      <c r="B18" s="195" t="s">
        <v>450</v>
      </c>
      <c r="C18" s="374">
        <f>D17-D18</f>
        <v>0</v>
      </c>
      <c r="D18" s="196">
        <f>MAX(F18:LD18)</f>
        <v>8698015.7789052539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75615.557954589225</v>
      </c>
      <c r="U18" s="214">
        <f t="shared" si="37"/>
        <v>75615.557954589225</v>
      </c>
      <c r="V18" s="214">
        <f t="shared" si="37"/>
        <v>75615.557954589225</v>
      </c>
      <c r="W18" s="214">
        <f t="shared" si="37"/>
        <v>75615.557954589225</v>
      </c>
      <c r="X18" s="214">
        <f t="shared" si="37"/>
        <v>280083.73763161059</v>
      </c>
      <c r="Y18" s="214">
        <f t="shared" si="37"/>
        <v>280083.73763161059</v>
      </c>
      <c r="Z18" s="214">
        <f t="shared" si="37"/>
        <v>280083.73763161059</v>
      </c>
      <c r="AA18" s="214">
        <f t="shared" si="37"/>
        <v>280083.73763161059</v>
      </c>
      <c r="AB18" s="214">
        <f t="shared" si="37"/>
        <v>280083.73763161059</v>
      </c>
      <c r="AC18" s="214">
        <f t="shared" si="37"/>
        <v>6618668.6651217854</v>
      </c>
      <c r="AD18" s="214">
        <f t="shared" si="37"/>
        <v>6618668.6651217854</v>
      </c>
      <c r="AE18" s="214">
        <f t="shared" si="37"/>
        <v>6618668.6651217854</v>
      </c>
      <c r="AF18" s="214">
        <f t="shared" si="37"/>
        <v>6618668.6651217854</v>
      </c>
      <c r="AG18" s="214">
        <f t="shared" si="37"/>
        <v>6812126.2829822497</v>
      </c>
      <c r="AH18" s="214">
        <f t="shared" si="37"/>
        <v>6812126.2829822497</v>
      </c>
      <c r="AI18" s="214">
        <f t="shared" si="37"/>
        <v>6812126.2829822497</v>
      </c>
      <c r="AJ18" s="214">
        <f t="shared" si="37"/>
        <v>6812126.2829822497</v>
      </c>
      <c r="AK18" s="214">
        <f t="shared" si="37"/>
        <v>7729930.4887773581</v>
      </c>
      <c r="AL18" s="214">
        <f t="shared" si="37"/>
        <v>7729930.4887773581</v>
      </c>
      <c r="AM18" s="214">
        <f t="shared" si="37"/>
        <v>7729930.4887773581</v>
      </c>
      <c r="AN18" s="214">
        <f t="shared" si="37"/>
        <v>7729930.4887773581</v>
      </c>
      <c r="AO18" s="214">
        <f t="shared" si="37"/>
        <v>7729930.4887773581</v>
      </c>
      <c r="AP18" s="214">
        <f t="shared" si="37"/>
        <v>7815870.000374672</v>
      </c>
      <c r="AQ18" s="214">
        <f t="shared" si="37"/>
        <v>7815870.000374672</v>
      </c>
      <c r="AR18" s="214">
        <f t="shared" si="37"/>
        <v>7815870.000374672</v>
      </c>
      <c r="AS18" s="214">
        <f t="shared" si="37"/>
        <v>7815870.000374672</v>
      </c>
      <c r="AT18" s="214">
        <f t="shared" si="37"/>
        <v>7823948.7923803534</v>
      </c>
      <c r="AU18" s="214">
        <f t="shared" si="37"/>
        <v>7823948.7923803534</v>
      </c>
      <c r="AV18" s="214">
        <f t="shared" si="37"/>
        <v>7823948.7923803534</v>
      </c>
      <c r="AW18" s="214">
        <f t="shared" si="37"/>
        <v>7823948.7923803534</v>
      </c>
      <c r="AX18" s="214">
        <f t="shared" si="37"/>
        <v>8254428.80560889</v>
      </c>
      <c r="AY18" s="214">
        <f t="shared" si="37"/>
        <v>8254428.80560889</v>
      </c>
      <c r="AZ18" s="214">
        <f t="shared" si="37"/>
        <v>8254428.80560889</v>
      </c>
      <c r="BA18" s="214">
        <f t="shared" si="37"/>
        <v>8254428.80560889</v>
      </c>
      <c r="BB18" s="214">
        <f t="shared" si="37"/>
        <v>8254428.80560889</v>
      </c>
      <c r="BC18" s="214">
        <f t="shared" si="37"/>
        <v>8354763.6679847632</v>
      </c>
      <c r="BD18" s="214">
        <f t="shared" si="37"/>
        <v>8354763.6679847632</v>
      </c>
      <c r="BE18" s="214">
        <f t="shared" si="37"/>
        <v>8354763.6679847632</v>
      </c>
      <c r="BF18" s="214">
        <f t="shared" si="37"/>
        <v>8354763.6679847632</v>
      </c>
      <c r="BG18" s="214">
        <f t="shared" si="37"/>
        <v>8355112.9629847631</v>
      </c>
      <c r="BH18" s="214">
        <f t="shared" si="37"/>
        <v>8355112.9629847631</v>
      </c>
      <c r="BI18" s="214">
        <f t="shared" si="37"/>
        <v>8355112.9629847631</v>
      </c>
      <c r="BJ18" s="214">
        <f t="shared" si="37"/>
        <v>8355112.9629847631</v>
      </c>
      <c r="BK18" s="214">
        <f t="shared" si="37"/>
        <v>8367231.8502831999</v>
      </c>
      <c r="BL18" s="214">
        <f t="shared" si="37"/>
        <v>8367231.8502831999</v>
      </c>
      <c r="BM18" s="214">
        <f t="shared" si="37"/>
        <v>8367231.8502831999</v>
      </c>
      <c r="BN18" s="214">
        <f t="shared" si="37"/>
        <v>8367231.8502831999</v>
      </c>
      <c r="BO18" s="214">
        <f t="shared" si="37"/>
        <v>8367231.8502831999</v>
      </c>
      <c r="BP18" s="214">
        <f t="shared" si="37"/>
        <v>8698015.7789052539</v>
      </c>
      <c r="BQ18" s="214">
        <f t="shared" si="37"/>
        <v>8698015.7789052539</v>
      </c>
      <c r="BR18" s="214">
        <f t="shared" si="37"/>
        <v>8698015.7789052539</v>
      </c>
      <c r="BS18" s="214">
        <f t="shared" si="37"/>
        <v>8698015.7789052539</v>
      </c>
      <c r="BT18" s="214">
        <f t="shared" si="37"/>
        <v>8698015.7789052539</v>
      </c>
      <c r="BU18" s="214">
        <f t="shared" ref="BU18:EF18" si="38">BT18+BU17</f>
        <v>8698015.7789052539</v>
      </c>
      <c r="BV18" s="214">
        <f t="shared" si="38"/>
        <v>8698015.7789052539</v>
      </c>
      <c r="BW18" s="214">
        <f t="shared" si="38"/>
        <v>8698015.7789052539</v>
      </c>
      <c r="BX18" s="214">
        <f t="shared" si="38"/>
        <v>8698015.7789052539</v>
      </c>
      <c r="BY18" s="214">
        <f t="shared" si="38"/>
        <v>8698015.7789052539</v>
      </c>
      <c r="BZ18" s="214">
        <f t="shared" si="38"/>
        <v>8698015.7789052539</v>
      </c>
      <c r="CA18" s="214">
        <f t="shared" si="38"/>
        <v>8698015.7789052539</v>
      </c>
      <c r="CB18" s="214">
        <f t="shared" si="38"/>
        <v>8698015.7789052539</v>
      </c>
      <c r="CC18" s="214">
        <f t="shared" si="38"/>
        <v>8698015.7789052539</v>
      </c>
      <c r="CD18" s="214">
        <f t="shared" si="38"/>
        <v>8698015.7789052539</v>
      </c>
      <c r="CE18" s="214">
        <f t="shared" si="38"/>
        <v>8698015.7789052539</v>
      </c>
      <c r="CF18" s="214">
        <f t="shared" si="38"/>
        <v>8698015.7789052539</v>
      </c>
      <c r="CG18" s="214">
        <f t="shared" si="38"/>
        <v>8698015.7789052539</v>
      </c>
      <c r="CH18" s="214">
        <f t="shared" si="38"/>
        <v>8698015.7789052539</v>
      </c>
      <c r="CI18" s="214">
        <f t="shared" si="38"/>
        <v>8698015.7789052539</v>
      </c>
      <c r="CJ18" s="214">
        <f t="shared" si="38"/>
        <v>8698015.7789052539</v>
      </c>
      <c r="CK18" s="214">
        <f t="shared" si="38"/>
        <v>8698015.7789052539</v>
      </c>
      <c r="CL18" s="214">
        <f t="shared" si="38"/>
        <v>8698015.7789052539</v>
      </c>
      <c r="CM18" s="214">
        <f t="shared" si="38"/>
        <v>8698015.7789052539</v>
      </c>
      <c r="CN18" s="214">
        <f t="shared" si="38"/>
        <v>8698015.7789052539</v>
      </c>
      <c r="CO18" s="214">
        <f t="shared" si="38"/>
        <v>8698015.7789052539</v>
      </c>
      <c r="CP18" s="214">
        <f t="shared" si="38"/>
        <v>8698015.7789052539</v>
      </c>
      <c r="CQ18" s="214">
        <f t="shared" si="38"/>
        <v>8698015.7789052539</v>
      </c>
      <c r="CR18" s="214">
        <f t="shared" si="38"/>
        <v>8698015.7789052539</v>
      </c>
      <c r="CS18" s="214">
        <f t="shared" si="38"/>
        <v>8698015.7789052539</v>
      </c>
      <c r="CT18" s="214">
        <f t="shared" si="38"/>
        <v>8698015.7789052539</v>
      </c>
      <c r="CU18" s="214">
        <f t="shared" si="38"/>
        <v>8698015.7789052539</v>
      </c>
      <c r="CV18" s="214">
        <f t="shared" si="38"/>
        <v>8698015.7789052539</v>
      </c>
      <c r="CW18" s="214">
        <f t="shared" si="38"/>
        <v>8698015.7789052539</v>
      </c>
      <c r="CX18" s="214">
        <f t="shared" si="38"/>
        <v>8698015.7789052539</v>
      </c>
      <c r="CY18" s="214">
        <f t="shared" si="38"/>
        <v>8698015.7789052539</v>
      </c>
      <c r="CZ18" s="214">
        <f t="shared" si="38"/>
        <v>8698015.7789052539</v>
      </c>
      <c r="DA18" s="214">
        <f t="shared" si="38"/>
        <v>8698015.7789052539</v>
      </c>
      <c r="DB18" s="214">
        <f t="shared" si="38"/>
        <v>8698015.7789052539</v>
      </c>
      <c r="DC18" s="214">
        <f t="shared" si="38"/>
        <v>8698015.7789052539</v>
      </c>
      <c r="DD18" s="214">
        <f t="shared" si="38"/>
        <v>8698015.7789052539</v>
      </c>
      <c r="DE18" s="214">
        <f t="shared" si="38"/>
        <v>8698015.7789052539</v>
      </c>
      <c r="DF18" s="214">
        <f t="shared" si="38"/>
        <v>8698015.7789052539</v>
      </c>
      <c r="DG18" s="214">
        <f t="shared" si="38"/>
        <v>8698015.7789052539</v>
      </c>
      <c r="DH18" s="214">
        <f t="shared" si="38"/>
        <v>8698015.7789052539</v>
      </c>
      <c r="DI18" s="214">
        <f t="shared" si="38"/>
        <v>8698015.7789052539</v>
      </c>
      <c r="DJ18" s="214">
        <f t="shared" si="38"/>
        <v>8698015.7789052539</v>
      </c>
      <c r="DK18" s="214">
        <f t="shared" si="38"/>
        <v>8698015.7789052539</v>
      </c>
      <c r="DL18" s="214">
        <f t="shared" si="38"/>
        <v>8698015.7789052539</v>
      </c>
      <c r="DM18" s="214">
        <f t="shared" si="38"/>
        <v>8698015.7789052539</v>
      </c>
      <c r="DN18" s="214">
        <f t="shared" si="38"/>
        <v>8698015.7789052539</v>
      </c>
      <c r="DO18" s="214">
        <f t="shared" si="38"/>
        <v>8698015.7789052539</v>
      </c>
      <c r="DP18" s="214">
        <f t="shared" si="38"/>
        <v>8698015.7789052539</v>
      </c>
      <c r="DQ18" s="214">
        <f t="shared" si="38"/>
        <v>8698015.7789052539</v>
      </c>
      <c r="DR18" s="214">
        <f t="shared" si="38"/>
        <v>8698015.7789052539</v>
      </c>
      <c r="DS18" s="214">
        <f t="shared" si="38"/>
        <v>8698015.7789052539</v>
      </c>
      <c r="DT18" s="214">
        <f t="shared" si="38"/>
        <v>8698015.7789052539</v>
      </c>
      <c r="DU18" s="214">
        <f t="shared" si="38"/>
        <v>8698015.7789052539</v>
      </c>
      <c r="DV18" s="214">
        <f t="shared" si="38"/>
        <v>8698015.7789052539</v>
      </c>
      <c r="DW18" s="214">
        <f t="shared" si="38"/>
        <v>8698015.7789052539</v>
      </c>
      <c r="DX18" s="214">
        <f t="shared" si="38"/>
        <v>8698015.7789052539</v>
      </c>
      <c r="DY18" s="214">
        <f t="shared" si="38"/>
        <v>8698015.7789052539</v>
      </c>
      <c r="DZ18" s="214">
        <f t="shared" si="38"/>
        <v>8698015.7789052539</v>
      </c>
      <c r="EA18" s="214">
        <f t="shared" si="38"/>
        <v>8698015.7789052539</v>
      </c>
      <c r="EB18" s="214">
        <f t="shared" si="38"/>
        <v>8698015.7789052539</v>
      </c>
      <c r="EC18" s="214">
        <f t="shared" si="38"/>
        <v>8698015.7789052539</v>
      </c>
      <c r="ED18" s="214">
        <f t="shared" si="38"/>
        <v>8698015.7789052539</v>
      </c>
      <c r="EE18" s="214">
        <f t="shared" si="38"/>
        <v>8698015.7789052539</v>
      </c>
      <c r="EF18" s="214">
        <f t="shared" si="38"/>
        <v>8698015.7789052539</v>
      </c>
      <c r="EG18" s="214">
        <f t="shared" ref="EG18:GR18" si="39">EF18+EG17</f>
        <v>8698015.7789052539</v>
      </c>
      <c r="EH18" s="214">
        <f t="shared" si="39"/>
        <v>8698015.7789052539</v>
      </c>
      <c r="EI18" s="214">
        <f t="shared" si="39"/>
        <v>8698015.7789052539</v>
      </c>
      <c r="EJ18" s="214">
        <f t="shared" si="39"/>
        <v>8698015.7789052539</v>
      </c>
      <c r="EK18" s="214">
        <f t="shared" si="39"/>
        <v>8698015.7789052539</v>
      </c>
      <c r="EL18" s="214">
        <f t="shared" si="39"/>
        <v>8698015.7789052539</v>
      </c>
      <c r="EM18" s="214">
        <f t="shared" si="39"/>
        <v>8698015.7789052539</v>
      </c>
      <c r="EN18" s="214">
        <f t="shared" si="39"/>
        <v>8698015.7789052539</v>
      </c>
      <c r="EO18" s="214">
        <f t="shared" si="39"/>
        <v>8698015.7789052539</v>
      </c>
      <c r="EP18" s="214">
        <f t="shared" si="39"/>
        <v>8698015.7789052539</v>
      </c>
      <c r="EQ18" s="214">
        <f t="shared" si="39"/>
        <v>8698015.7789052539</v>
      </c>
      <c r="ER18" s="214">
        <f t="shared" si="39"/>
        <v>8698015.7789052539</v>
      </c>
      <c r="ES18" s="214">
        <f t="shared" si="39"/>
        <v>8698015.7789052539</v>
      </c>
      <c r="ET18" s="214">
        <f t="shared" si="39"/>
        <v>8698015.7789052539</v>
      </c>
      <c r="EU18" s="214">
        <f t="shared" si="39"/>
        <v>8698015.7789052539</v>
      </c>
      <c r="EV18" s="214">
        <f t="shared" si="39"/>
        <v>8698015.7789052539</v>
      </c>
      <c r="EW18" s="214">
        <f t="shared" si="39"/>
        <v>8698015.7789052539</v>
      </c>
      <c r="EX18" s="214">
        <f t="shared" si="39"/>
        <v>8698015.7789052539</v>
      </c>
      <c r="EY18" s="214">
        <f t="shared" si="39"/>
        <v>8698015.7789052539</v>
      </c>
      <c r="EZ18" s="214">
        <f t="shared" si="39"/>
        <v>8698015.7789052539</v>
      </c>
      <c r="FA18" s="214">
        <f t="shared" si="39"/>
        <v>8698015.7789052539</v>
      </c>
      <c r="FB18" s="214">
        <f t="shared" si="39"/>
        <v>8698015.7789052539</v>
      </c>
      <c r="FC18" s="214">
        <f t="shared" si="39"/>
        <v>8698015.7789052539</v>
      </c>
      <c r="FD18" s="214">
        <f t="shared" si="39"/>
        <v>8698015.7789052539</v>
      </c>
      <c r="FE18" s="214">
        <f t="shared" si="39"/>
        <v>8698015.7789052539</v>
      </c>
      <c r="FF18" s="214">
        <f t="shared" si="39"/>
        <v>8698015.7789052539</v>
      </c>
      <c r="FG18" s="214">
        <f t="shared" si="39"/>
        <v>8698015.7789052539</v>
      </c>
      <c r="FH18" s="214">
        <f t="shared" si="39"/>
        <v>8698015.7789052539</v>
      </c>
      <c r="FI18" s="214">
        <f t="shared" si="39"/>
        <v>8698015.7789052539</v>
      </c>
      <c r="FJ18" s="214">
        <f t="shared" si="39"/>
        <v>8698015.7789052539</v>
      </c>
      <c r="FK18" s="214">
        <f t="shared" si="39"/>
        <v>8698015.7789052539</v>
      </c>
      <c r="FL18" s="214">
        <f t="shared" si="39"/>
        <v>8698015.7789052539</v>
      </c>
      <c r="FM18" s="214">
        <f t="shared" si="39"/>
        <v>8698015.7789052539</v>
      </c>
      <c r="FN18" s="214">
        <f t="shared" si="39"/>
        <v>8698015.7789052539</v>
      </c>
      <c r="FO18" s="214">
        <f t="shared" si="39"/>
        <v>8698015.7789052539</v>
      </c>
      <c r="FP18" s="214">
        <f t="shared" si="39"/>
        <v>8698015.7789052539</v>
      </c>
      <c r="FQ18" s="214">
        <f t="shared" si="39"/>
        <v>8698015.7789052539</v>
      </c>
      <c r="FR18" s="214">
        <f t="shared" si="39"/>
        <v>8698015.7789052539</v>
      </c>
      <c r="FS18" s="214">
        <f t="shared" si="39"/>
        <v>8698015.7789052539</v>
      </c>
      <c r="FT18" s="214">
        <f t="shared" si="39"/>
        <v>8698015.7789052539</v>
      </c>
      <c r="FU18" s="214">
        <f t="shared" si="39"/>
        <v>8698015.7789052539</v>
      </c>
      <c r="FV18" s="214">
        <f t="shared" si="39"/>
        <v>8698015.7789052539</v>
      </c>
      <c r="FW18" s="214">
        <f t="shared" si="39"/>
        <v>8698015.7789052539</v>
      </c>
      <c r="FX18" s="214">
        <f t="shared" si="39"/>
        <v>8698015.7789052539</v>
      </c>
      <c r="FY18" s="214">
        <f t="shared" si="39"/>
        <v>8698015.7789052539</v>
      </c>
      <c r="FZ18" s="214">
        <f t="shared" si="39"/>
        <v>8698015.7789052539</v>
      </c>
      <c r="GA18" s="214">
        <f t="shared" si="39"/>
        <v>8698015.7789052539</v>
      </c>
      <c r="GB18" s="214">
        <f t="shared" si="39"/>
        <v>8698015.7789052539</v>
      </c>
      <c r="GC18" s="214">
        <f t="shared" si="39"/>
        <v>8698015.7789052539</v>
      </c>
      <c r="GD18" s="214">
        <f t="shared" si="39"/>
        <v>8698015.7789052539</v>
      </c>
      <c r="GE18" s="214">
        <f t="shared" si="39"/>
        <v>8698015.7789052539</v>
      </c>
      <c r="GF18" s="214">
        <f t="shared" si="39"/>
        <v>8698015.7789052539</v>
      </c>
      <c r="GG18" s="214">
        <f t="shared" si="39"/>
        <v>8698015.7789052539</v>
      </c>
      <c r="GH18" s="214">
        <f t="shared" si="39"/>
        <v>8698015.7789052539</v>
      </c>
      <c r="GI18" s="214">
        <f t="shared" si="39"/>
        <v>8698015.7789052539</v>
      </c>
      <c r="GJ18" s="214">
        <f t="shared" si="39"/>
        <v>8698015.7789052539</v>
      </c>
      <c r="GK18" s="214">
        <f t="shared" si="39"/>
        <v>8698015.7789052539</v>
      </c>
      <c r="GL18" s="214">
        <f t="shared" si="39"/>
        <v>8698015.7789052539</v>
      </c>
      <c r="GM18" s="214">
        <f t="shared" si="39"/>
        <v>8698015.7789052539</v>
      </c>
      <c r="GN18" s="214">
        <f t="shared" si="39"/>
        <v>8698015.7789052539</v>
      </c>
      <c r="GO18" s="214">
        <f t="shared" si="39"/>
        <v>8698015.7789052539</v>
      </c>
      <c r="GP18" s="214">
        <f t="shared" si="39"/>
        <v>8698015.7789052539</v>
      </c>
      <c r="GQ18" s="214">
        <f t="shared" si="39"/>
        <v>8698015.7789052539</v>
      </c>
      <c r="GR18" s="214">
        <f t="shared" si="39"/>
        <v>8698015.7789052539</v>
      </c>
      <c r="GS18" s="214">
        <f t="shared" ref="GS18:JD18" si="40">GR18+GS17</f>
        <v>8698015.7789052539</v>
      </c>
      <c r="GT18" s="214">
        <f t="shared" si="40"/>
        <v>8698015.7789052539</v>
      </c>
      <c r="GU18" s="214">
        <f t="shared" si="40"/>
        <v>8698015.7789052539</v>
      </c>
      <c r="GV18" s="214">
        <f t="shared" si="40"/>
        <v>8698015.7789052539</v>
      </c>
      <c r="GW18" s="214">
        <f t="shared" si="40"/>
        <v>8698015.7789052539</v>
      </c>
      <c r="GX18" s="214">
        <f t="shared" si="40"/>
        <v>8698015.7789052539</v>
      </c>
      <c r="GY18" s="214">
        <f t="shared" si="40"/>
        <v>8698015.7789052539</v>
      </c>
      <c r="GZ18" s="214">
        <f t="shared" si="40"/>
        <v>8698015.7789052539</v>
      </c>
      <c r="HA18" s="214">
        <f t="shared" si="40"/>
        <v>8698015.7789052539</v>
      </c>
      <c r="HB18" s="214">
        <f t="shared" si="40"/>
        <v>8698015.7789052539</v>
      </c>
      <c r="HC18" s="214">
        <f t="shared" si="40"/>
        <v>8698015.7789052539</v>
      </c>
      <c r="HD18" s="214">
        <f t="shared" si="40"/>
        <v>8698015.7789052539</v>
      </c>
      <c r="HE18" s="214">
        <f t="shared" si="40"/>
        <v>8698015.7789052539</v>
      </c>
      <c r="HF18" s="214">
        <f t="shared" si="40"/>
        <v>8698015.7789052539</v>
      </c>
      <c r="HG18" s="214">
        <f t="shared" si="40"/>
        <v>8698015.7789052539</v>
      </c>
      <c r="HH18" s="214">
        <f t="shared" si="40"/>
        <v>8698015.7789052539</v>
      </c>
      <c r="HI18" s="214">
        <f t="shared" si="40"/>
        <v>8698015.7789052539</v>
      </c>
      <c r="HJ18" s="214">
        <f t="shared" si="40"/>
        <v>8698015.7789052539</v>
      </c>
      <c r="HK18" s="214">
        <f t="shared" si="40"/>
        <v>8698015.7789052539</v>
      </c>
      <c r="HL18" s="214">
        <f t="shared" si="40"/>
        <v>8698015.7789052539</v>
      </c>
      <c r="HM18" s="214">
        <f t="shared" si="40"/>
        <v>8698015.7789052539</v>
      </c>
      <c r="HN18" s="214">
        <f t="shared" si="40"/>
        <v>8698015.7789052539</v>
      </c>
      <c r="HO18" s="214">
        <f t="shared" si="40"/>
        <v>8698015.7789052539</v>
      </c>
      <c r="HP18" s="214">
        <f t="shared" si="40"/>
        <v>8698015.7789052539</v>
      </c>
      <c r="HQ18" s="214">
        <f t="shared" si="40"/>
        <v>8698015.7789052539</v>
      </c>
      <c r="HR18" s="214">
        <f t="shared" si="40"/>
        <v>8698015.7789052539</v>
      </c>
      <c r="HS18" s="214">
        <f t="shared" si="40"/>
        <v>8698015.7789052539</v>
      </c>
      <c r="HT18" s="214">
        <f t="shared" si="40"/>
        <v>8698015.7789052539</v>
      </c>
      <c r="HU18" s="214">
        <f t="shared" si="40"/>
        <v>8698015.7789052539</v>
      </c>
      <c r="HV18" s="214">
        <f t="shared" si="40"/>
        <v>8698015.7789052539</v>
      </c>
      <c r="HW18" s="214">
        <f t="shared" si="40"/>
        <v>8698015.7789052539</v>
      </c>
      <c r="HX18" s="214">
        <f t="shared" si="40"/>
        <v>8698015.7789052539</v>
      </c>
      <c r="HY18" s="214">
        <f t="shared" si="40"/>
        <v>8698015.7789052539</v>
      </c>
      <c r="HZ18" s="214">
        <f t="shared" si="40"/>
        <v>8698015.7789052539</v>
      </c>
      <c r="IA18" s="214">
        <f t="shared" si="40"/>
        <v>8698015.7789052539</v>
      </c>
      <c r="IB18" s="214">
        <f t="shared" si="40"/>
        <v>8698015.7789052539</v>
      </c>
      <c r="IC18" s="214">
        <f t="shared" si="40"/>
        <v>8698015.7789052539</v>
      </c>
      <c r="ID18" s="214">
        <f t="shared" si="40"/>
        <v>8698015.7789052539</v>
      </c>
      <c r="IE18" s="214">
        <f t="shared" si="40"/>
        <v>8698015.7789052539</v>
      </c>
      <c r="IF18" s="214">
        <f t="shared" si="40"/>
        <v>8698015.7789052539</v>
      </c>
      <c r="IG18" s="214">
        <f t="shared" si="40"/>
        <v>8698015.7789052539</v>
      </c>
      <c r="IH18" s="214">
        <f t="shared" si="40"/>
        <v>8698015.7789052539</v>
      </c>
      <c r="II18" s="214">
        <f t="shared" si="40"/>
        <v>8698015.7789052539</v>
      </c>
      <c r="IJ18" s="214">
        <f t="shared" si="40"/>
        <v>8698015.7789052539</v>
      </c>
      <c r="IK18" s="214">
        <f t="shared" si="40"/>
        <v>8698015.7789052539</v>
      </c>
      <c r="IL18" s="214">
        <f t="shared" si="40"/>
        <v>8698015.7789052539</v>
      </c>
      <c r="IM18" s="214">
        <f t="shared" si="40"/>
        <v>8698015.7789052539</v>
      </c>
      <c r="IN18" s="214">
        <f t="shared" si="40"/>
        <v>8698015.7789052539</v>
      </c>
      <c r="IO18" s="214">
        <f t="shared" si="40"/>
        <v>8698015.7789052539</v>
      </c>
      <c r="IP18" s="214">
        <f t="shared" si="40"/>
        <v>8698015.7789052539</v>
      </c>
      <c r="IQ18" s="214">
        <f t="shared" si="40"/>
        <v>8698015.7789052539</v>
      </c>
      <c r="IR18" s="214">
        <f t="shared" si="40"/>
        <v>8698015.7789052539</v>
      </c>
      <c r="IS18" s="214">
        <f t="shared" si="40"/>
        <v>8698015.7789052539</v>
      </c>
      <c r="IT18" s="214">
        <f t="shared" si="40"/>
        <v>8698015.7789052539</v>
      </c>
      <c r="IU18" s="214">
        <f t="shared" si="40"/>
        <v>8698015.7789052539</v>
      </c>
      <c r="IV18" s="214">
        <f t="shared" si="40"/>
        <v>8698015.7789052539</v>
      </c>
      <c r="IW18" s="214">
        <f t="shared" si="40"/>
        <v>8698015.7789052539</v>
      </c>
      <c r="IX18" s="214">
        <f t="shared" si="40"/>
        <v>8698015.7789052539</v>
      </c>
      <c r="IY18" s="214">
        <f t="shared" si="40"/>
        <v>8698015.7789052539</v>
      </c>
      <c r="IZ18" s="214">
        <f t="shared" si="40"/>
        <v>8698015.7789052539</v>
      </c>
      <c r="JA18" s="214">
        <f t="shared" si="40"/>
        <v>8698015.7789052539</v>
      </c>
      <c r="JB18" s="214">
        <f t="shared" si="40"/>
        <v>8698015.7789052539</v>
      </c>
      <c r="JC18" s="214">
        <f t="shared" si="40"/>
        <v>8698015.7789052539</v>
      </c>
      <c r="JD18" s="214">
        <f t="shared" si="40"/>
        <v>8698015.7789052539</v>
      </c>
      <c r="JE18" s="214">
        <f t="shared" ref="JE18:LD18" si="41">JD18+JE17</f>
        <v>8698015.7789052539</v>
      </c>
      <c r="JF18" s="214">
        <f t="shared" si="41"/>
        <v>8698015.7789052539</v>
      </c>
      <c r="JG18" s="214">
        <f t="shared" si="41"/>
        <v>8698015.7789052539</v>
      </c>
      <c r="JH18" s="214">
        <f t="shared" si="41"/>
        <v>8698015.7789052539</v>
      </c>
      <c r="JI18" s="214">
        <f t="shared" si="41"/>
        <v>8698015.7789052539</v>
      </c>
      <c r="JJ18" s="214">
        <f t="shared" si="41"/>
        <v>8698015.7789052539</v>
      </c>
      <c r="JK18" s="214">
        <f t="shared" si="41"/>
        <v>8698015.7789052539</v>
      </c>
      <c r="JL18" s="214">
        <f t="shared" si="41"/>
        <v>8698015.7789052539</v>
      </c>
      <c r="JM18" s="214">
        <f t="shared" si="41"/>
        <v>8698015.7789052539</v>
      </c>
      <c r="JN18" s="214">
        <f t="shared" si="41"/>
        <v>8698015.7789052539</v>
      </c>
      <c r="JO18" s="214">
        <f t="shared" si="41"/>
        <v>8698015.7789052539</v>
      </c>
      <c r="JP18" s="214">
        <f t="shared" si="41"/>
        <v>8698015.7789052539</v>
      </c>
      <c r="JQ18" s="214">
        <f t="shared" si="41"/>
        <v>8698015.7789052539</v>
      </c>
      <c r="JR18" s="214">
        <f t="shared" si="41"/>
        <v>8698015.7789052539</v>
      </c>
      <c r="JS18" s="214">
        <f t="shared" si="41"/>
        <v>8698015.7789052539</v>
      </c>
      <c r="JT18" s="214">
        <f t="shared" si="41"/>
        <v>8698015.7789052539</v>
      </c>
      <c r="JU18" s="214">
        <f t="shared" si="41"/>
        <v>8698015.7789052539</v>
      </c>
      <c r="JV18" s="214">
        <f t="shared" si="41"/>
        <v>8698015.7789052539</v>
      </c>
      <c r="JW18" s="214">
        <f t="shared" si="41"/>
        <v>8698015.7789052539</v>
      </c>
      <c r="JX18" s="214">
        <f t="shared" si="41"/>
        <v>8698015.7789052539</v>
      </c>
      <c r="JY18" s="214">
        <f t="shared" si="41"/>
        <v>8698015.7789052539</v>
      </c>
      <c r="JZ18" s="214">
        <f t="shared" si="41"/>
        <v>8698015.7789052539</v>
      </c>
      <c r="KA18" s="214">
        <f t="shared" si="41"/>
        <v>8698015.7789052539</v>
      </c>
      <c r="KB18" s="214">
        <f t="shared" si="41"/>
        <v>8698015.7789052539</v>
      </c>
      <c r="KC18" s="214">
        <f t="shared" si="41"/>
        <v>8698015.7789052539</v>
      </c>
      <c r="KD18" s="214">
        <f t="shared" si="41"/>
        <v>8698015.7789052539</v>
      </c>
      <c r="KE18" s="214">
        <f t="shared" si="41"/>
        <v>8698015.7789052539</v>
      </c>
      <c r="KF18" s="214">
        <f t="shared" si="41"/>
        <v>8698015.7789052539</v>
      </c>
      <c r="KG18" s="214">
        <f t="shared" si="41"/>
        <v>8698015.7789052539</v>
      </c>
      <c r="KH18" s="214">
        <f t="shared" si="41"/>
        <v>8698015.7789052539</v>
      </c>
      <c r="KI18" s="214">
        <f t="shared" si="41"/>
        <v>8698015.7789052539</v>
      </c>
      <c r="KJ18" s="214">
        <f t="shared" si="41"/>
        <v>8698015.7789052539</v>
      </c>
      <c r="KK18" s="214">
        <f t="shared" si="41"/>
        <v>8698015.7789052539</v>
      </c>
      <c r="KL18" s="214">
        <f t="shared" si="41"/>
        <v>8698015.7789052539</v>
      </c>
      <c r="KM18" s="214">
        <f t="shared" si="41"/>
        <v>8698015.7789052539</v>
      </c>
      <c r="KN18" s="214">
        <f t="shared" si="41"/>
        <v>8698015.7789052539</v>
      </c>
      <c r="KO18" s="214">
        <f t="shared" si="41"/>
        <v>8698015.7789052539</v>
      </c>
      <c r="KP18" s="214">
        <f t="shared" si="41"/>
        <v>8698015.7789052539</v>
      </c>
      <c r="KQ18" s="214">
        <f t="shared" si="41"/>
        <v>8698015.7789052539</v>
      </c>
      <c r="KR18" s="214">
        <f t="shared" si="41"/>
        <v>8698015.7789052539</v>
      </c>
      <c r="KS18" s="214">
        <f t="shared" si="41"/>
        <v>8698015.7789052539</v>
      </c>
      <c r="KT18" s="214">
        <f t="shared" si="41"/>
        <v>8698015.7789052539</v>
      </c>
      <c r="KU18" s="214">
        <f t="shared" si="41"/>
        <v>8698015.7789052539</v>
      </c>
      <c r="KV18" s="214">
        <f t="shared" si="41"/>
        <v>8698015.7789052539</v>
      </c>
      <c r="KW18" s="214">
        <f t="shared" si="41"/>
        <v>8698015.7789052539</v>
      </c>
      <c r="KX18" s="214">
        <f t="shared" si="41"/>
        <v>8698015.7789052539</v>
      </c>
      <c r="KY18" s="214">
        <f t="shared" si="41"/>
        <v>8698015.7789052539</v>
      </c>
      <c r="KZ18" s="214">
        <f t="shared" si="41"/>
        <v>8698015.7789052539</v>
      </c>
      <c r="LA18" s="214">
        <f t="shared" si="41"/>
        <v>8698015.7789052539</v>
      </c>
      <c r="LB18" s="214">
        <f t="shared" si="41"/>
        <v>8698015.7789052539</v>
      </c>
      <c r="LC18" s="214">
        <f t="shared" si="41"/>
        <v>8698015.7789052539</v>
      </c>
      <c r="LD18" s="214">
        <f t="shared" si="41"/>
        <v>8698015.7789052539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M10" sqref="M10"/>
    </sheetView>
  </sheetViews>
  <sheetFormatPr defaultColWidth="12.08984375" defaultRowHeight="14.5"/>
  <cols>
    <col min="1" max="1" width="39.26953125" style="365" bestFit="1" customWidth="1"/>
    <col min="2" max="2" width="17.26953125" style="366" bestFit="1" customWidth="1"/>
    <col min="3" max="3" width="12" style="365" bestFit="1" customWidth="1"/>
    <col min="4" max="4" width="13.26953125" style="365" bestFit="1" customWidth="1"/>
    <col min="5" max="5" width="14.7265625" style="365" bestFit="1" customWidth="1"/>
    <col min="6" max="7" width="13.26953125" style="365" bestFit="1" customWidth="1"/>
    <col min="8" max="8" width="12" style="365" bestFit="1" customWidth="1"/>
    <col min="9" max="9" width="11.7265625" style="365" bestFit="1" customWidth="1"/>
    <col min="10" max="11" width="13.26953125" style="365" bestFit="1" customWidth="1"/>
    <col min="12" max="12" width="4.7265625" style="365" bestFit="1" customWidth="1"/>
    <col min="13" max="13" width="10.7265625" style="365" bestFit="1" customWidth="1"/>
    <col min="14" max="14" width="13.26953125" style="365" bestFit="1" customWidth="1"/>
    <col min="15" max="15" width="14.7265625" style="365" bestFit="1" customWidth="1"/>
    <col min="16" max="18" width="11.26953125" style="365" bestFit="1" customWidth="1"/>
    <col min="19" max="19" width="13.7265625" style="365" bestFit="1" customWidth="1"/>
    <col min="20" max="16384" width="12.089843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451</v>
      </c>
      <c r="B3" s="445" t="s">
        <v>452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453</v>
      </c>
      <c r="B4" t="s">
        <v>454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t="s">
        <v>455</v>
      </c>
      <c r="P4"/>
      <c r="Q4"/>
      <c r="R4"/>
      <c r="S4"/>
      <c r="T4"/>
    </row>
    <row r="5" spans="1:20">
      <c r="A5" s="446" t="s">
        <v>454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6" t="s">
        <v>241</v>
      </c>
      <c r="B6" s="370"/>
      <c r="C6" s="370"/>
      <c r="D6" s="370"/>
      <c r="E6" s="370">
        <v>2179513.4565217393</v>
      </c>
      <c r="F6" s="370"/>
      <c r="G6" s="370"/>
      <c r="H6" s="370"/>
      <c r="I6" s="370"/>
      <c r="J6" s="370">
        <v>0</v>
      </c>
      <c r="K6" s="370"/>
      <c r="L6" s="370">
        <v>0</v>
      </c>
      <c r="M6" s="370"/>
      <c r="N6" s="370"/>
      <c r="O6" s="370">
        <v>2179513.4565217393</v>
      </c>
      <c r="P6"/>
      <c r="Q6"/>
      <c r="R6"/>
      <c r="S6"/>
      <c r="T6"/>
    </row>
    <row r="7" spans="1:20">
      <c r="A7" s="446" t="s">
        <v>253</v>
      </c>
      <c r="B7" s="370">
        <v>0</v>
      </c>
      <c r="C7" s="370"/>
      <c r="D7" s="370"/>
      <c r="E7" s="370">
        <v>608695.65217391308</v>
      </c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>
        <v>608695.65217391308</v>
      </c>
      <c r="P7"/>
      <c r="Q7"/>
      <c r="R7"/>
      <c r="S7"/>
      <c r="T7"/>
    </row>
    <row r="8" spans="1:20">
      <c r="A8" s="446" t="s">
        <v>267</v>
      </c>
      <c r="B8" s="370"/>
      <c r="C8" s="370"/>
      <c r="D8" s="370"/>
      <c r="E8" s="370">
        <v>466816.30434782611</v>
      </c>
      <c r="F8" s="370"/>
      <c r="G8" s="370"/>
      <c r="H8" s="370"/>
      <c r="I8" s="370"/>
      <c r="J8" s="370">
        <v>0</v>
      </c>
      <c r="K8" s="370"/>
      <c r="L8" s="370">
        <v>0</v>
      </c>
      <c r="M8" s="370"/>
      <c r="N8" s="370"/>
      <c r="O8" s="370">
        <v>466816.30434782611</v>
      </c>
      <c r="P8"/>
      <c r="Q8"/>
      <c r="R8"/>
      <c r="S8"/>
      <c r="T8"/>
    </row>
    <row r="9" spans="1:20">
      <c r="A9" s="446" t="s">
        <v>280</v>
      </c>
      <c r="B9" s="370"/>
      <c r="C9" s="370"/>
      <c r="D9" s="370">
        <v>37001.328445073632</v>
      </c>
      <c r="E9" s="370">
        <v>498432.31410264352</v>
      </c>
      <c r="F9" s="370"/>
      <c r="G9" s="370">
        <v>278635.81095802551</v>
      </c>
      <c r="H9" s="370"/>
      <c r="I9" s="370"/>
      <c r="J9" s="370"/>
      <c r="K9" s="370">
        <v>0</v>
      </c>
      <c r="L9" s="370">
        <v>0</v>
      </c>
      <c r="M9" s="370"/>
      <c r="N9" s="370"/>
      <c r="O9" s="370">
        <v>814069.45350574271</v>
      </c>
      <c r="P9"/>
      <c r="Q9"/>
      <c r="R9"/>
      <c r="S9"/>
      <c r="T9"/>
    </row>
    <row r="10" spans="1:20">
      <c r="A10" s="446" t="s">
        <v>306</v>
      </c>
      <c r="B10" s="370"/>
      <c r="C10" s="370">
        <v>19230.024970443686</v>
      </c>
      <c r="D10" s="370">
        <v>14379.247949889341</v>
      </c>
      <c r="E10" s="370">
        <v>19651.594657169622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>
        <v>53260.86757750265</v>
      </c>
      <c r="P10"/>
      <c r="Q10"/>
      <c r="R10"/>
      <c r="S10"/>
      <c r="T10"/>
    </row>
    <row r="11" spans="1:20">
      <c r="A11" s="446" t="s">
        <v>320</v>
      </c>
      <c r="B11" s="370"/>
      <c r="C11" s="370"/>
      <c r="D11" s="370">
        <v>50466.957904751558</v>
      </c>
      <c r="E11" s="370">
        <v>680971.50636168965</v>
      </c>
      <c r="F11" s="370"/>
      <c r="G11" s="370">
        <v>373302.95001334295</v>
      </c>
      <c r="H11" s="370"/>
      <c r="I11" s="370"/>
      <c r="J11" s="370"/>
      <c r="K11" s="370"/>
      <c r="L11" s="370">
        <v>0</v>
      </c>
      <c r="M11" s="370"/>
      <c r="N11" s="370"/>
      <c r="O11" s="370">
        <v>1104741.4142797841</v>
      </c>
      <c r="P11"/>
      <c r="Q11"/>
      <c r="R11"/>
      <c r="S11"/>
      <c r="T11"/>
    </row>
    <row r="12" spans="1:20">
      <c r="A12" s="446" t="s">
        <v>327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/>
      <c r="Q12"/>
      <c r="R12"/>
      <c r="S12"/>
      <c r="T12"/>
    </row>
    <row r="13" spans="1:20">
      <c r="A13" s="446" t="s">
        <v>349</v>
      </c>
      <c r="B13" s="370"/>
      <c r="C13" s="370"/>
      <c r="D13" s="370">
        <v>90814.705882352951</v>
      </c>
      <c r="E13" s="370">
        <v>136222.0588235294</v>
      </c>
      <c r="F13" s="370"/>
      <c r="G13" s="370">
        <v>181629.4117647059</v>
      </c>
      <c r="H13" s="370"/>
      <c r="I13" s="370"/>
      <c r="J13" s="370">
        <v>408666.17647058825</v>
      </c>
      <c r="K13" s="370">
        <v>90814.705882352951</v>
      </c>
      <c r="L13" s="370">
        <v>0</v>
      </c>
      <c r="M13" s="370"/>
      <c r="N13" s="370"/>
      <c r="O13" s="370">
        <v>908147.0588235294</v>
      </c>
      <c r="P13"/>
      <c r="Q13"/>
      <c r="R13"/>
      <c r="S13"/>
      <c r="T13"/>
    </row>
    <row r="14" spans="1:20">
      <c r="A14" s="446" t="s">
        <v>357</v>
      </c>
      <c r="B14" s="370">
        <v>0</v>
      </c>
      <c r="C14" s="370"/>
      <c r="D14" s="370">
        <v>8551.1514315900513</v>
      </c>
      <c r="E14" s="370">
        <v>12303.803485541619</v>
      </c>
      <c r="F14" s="370">
        <v>72467.863152348014</v>
      </c>
      <c r="G14" s="370">
        <v>15182.323059034166</v>
      </c>
      <c r="H14" s="370">
        <v>83868.386231460318</v>
      </c>
      <c r="I14" s="370">
        <v>4428.63</v>
      </c>
      <c r="J14" s="370">
        <v>20241.664453471887</v>
      </c>
      <c r="K14" s="370">
        <v>8822.0562202681194</v>
      </c>
      <c r="L14" s="370">
        <v>0</v>
      </c>
      <c r="M14" s="370">
        <v>0</v>
      </c>
      <c r="N14" s="370"/>
      <c r="O14" s="370">
        <v>225865.87803371419</v>
      </c>
      <c r="P14"/>
      <c r="Q14"/>
      <c r="R14"/>
      <c r="S14"/>
      <c r="T14"/>
    </row>
    <row r="15" spans="1:20">
      <c r="A15" s="446" t="s">
        <v>374</v>
      </c>
      <c r="B15" s="370"/>
      <c r="C15" s="370">
        <v>53803.591718687647</v>
      </c>
      <c r="D15" s="370"/>
      <c r="E15" s="370"/>
      <c r="F15" s="370">
        <v>120989.75470811623</v>
      </c>
      <c r="G15" s="370"/>
      <c r="H15" s="370"/>
      <c r="I15" s="370"/>
      <c r="J15" s="370"/>
      <c r="K15" s="370"/>
      <c r="L15" s="370"/>
      <c r="M15" s="370"/>
      <c r="N15" s="370">
        <v>11769.592298436764</v>
      </c>
      <c r="O15" s="370">
        <v>186562.93872524064</v>
      </c>
      <c r="P15"/>
      <c r="Q15"/>
      <c r="R15"/>
      <c r="S15"/>
      <c r="T15"/>
    </row>
    <row r="16" spans="1:20">
      <c r="A16" s="446" t="s">
        <v>394</v>
      </c>
      <c r="B16" s="370">
        <v>0</v>
      </c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325616.74545454548</v>
      </c>
      <c r="O16" s="370">
        <v>325616.74545454548</v>
      </c>
      <c r="P16"/>
      <c r="Q16"/>
      <c r="R16"/>
      <c r="S16"/>
      <c r="T16"/>
    </row>
    <row r="17" spans="1:20">
      <c r="A17" s="446" t="s">
        <v>402</v>
      </c>
      <c r="B17" s="370"/>
      <c r="C17" s="370">
        <v>2581.9412654578982</v>
      </c>
      <c r="D17" s="370">
        <v>3254.7880633638042</v>
      </c>
      <c r="E17" s="370">
        <v>5031.9454560193735</v>
      </c>
      <c r="F17" s="370">
        <v>0</v>
      </c>
      <c r="G17" s="370">
        <v>0</v>
      </c>
      <c r="H17" s="370">
        <v>2071.1253658536589</v>
      </c>
      <c r="I17" s="370">
        <v>3650.1620056816359</v>
      </c>
      <c r="J17" s="370">
        <v>1572.1723044759729</v>
      </c>
      <c r="K17" s="370">
        <v>698.10027325238354</v>
      </c>
      <c r="L17" s="370">
        <v>0</v>
      </c>
      <c r="M17" s="370">
        <v>349.29500000000002</v>
      </c>
      <c r="N17" s="370">
        <v>349.29500000000002</v>
      </c>
      <c r="O17" s="370">
        <v>19558.824734104724</v>
      </c>
      <c r="P17"/>
      <c r="Q17"/>
      <c r="R17"/>
      <c r="S17"/>
      <c r="T17"/>
    </row>
    <row r="18" spans="1:20">
      <c r="A18" s="446" t="s">
        <v>408</v>
      </c>
      <c r="B18" s="370">
        <v>0</v>
      </c>
      <c r="C18" s="370"/>
      <c r="D18" s="370"/>
      <c r="E18" s="370">
        <v>1730946.2915601023</v>
      </c>
      <c r="F18" s="370"/>
      <c r="G18" s="370">
        <v>69053.709999999963</v>
      </c>
      <c r="H18" s="370">
        <v>0</v>
      </c>
      <c r="I18" s="370"/>
      <c r="J18" s="370">
        <v>0</v>
      </c>
      <c r="K18" s="370"/>
      <c r="L18" s="370">
        <v>0</v>
      </c>
      <c r="M18" s="370"/>
      <c r="N18" s="370"/>
      <c r="O18" s="370">
        <v>1800000.0015601022</v>
      </c>
      <c r="P18"/>
      <c r="Q18"/>
      <c r="R18"/>
      <c r="S18"/>
      <c r="T18"/>
    </row>
    <row r="19" spans="1:20">
      <c r="A19" s="446" t="s">
        <v>390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/>
      <c r="Q19"/>
      <c r="R19"/>
      <c r="S19"/>
      <c r="T19"/>
    </row>
    <row r="20" spans="1:20">
      <c r="A20" s="446" t="s">
        <v>325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/>
      <c r="Q20"/>
      <c r="R20"/>
      <c r="S20"/>
      <c r="T20"/>
    </row>
    <row r="21" spans="1:20">
      <c r="A21" s="446" t="s">
        <v>455</v>
      </c>
      <c r="B21" s="370">
        <v>0</v>
      </c>
      <c r="C21" s="370">
        <v>75615.557954589225</v>
      </c>
      <c r="D21" s="370">
        <v>204468.17967702137</v>
      </c>
      <c r="E21" s="370">
        <v>6338584.9274901748</v>
      </c>
      <c r="F21" s="370">
        <v>193457.61786046426</v>
      </c>
      <c r="G21" s="370">
        <v>917804.20579510857</v>
      </c>
      <c r="H21" s="370">
        <v>85939.511597313976</v>
      </c>
      <c r="I21" s="370">
        <v>8078.7920056816365</v>
      </c>
      <c r="J21" s="370">
        <v>430480.01322853612</v>
      </c>
      <c r="K21" s="370">
        <v>100334.86237587345</v>
      </c>
      <c r="L21" s="370">
        <v>0</v>
      </c>
      <c r="M21" s="370">
        <v>349.29500000000002</v>
      </c>
      <c r="N21" s="370">
        <v>337735.63275298226</v>
      </c>
      <c r="O21" s="370">
        <v>8692848.5957377441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L7" sqref="L7"/>
    </sheetView>
  </sheetViews>
  <sheetFormatPr defaultColWidth="8.7265625" defaultRowHeight="14.5"/>
  <cols>
    <col min="1" max="1" width="21.7265625" bestFit="1" customWidth="1"/>
    <col min="2" max="2" width="17.26953125" style="406" bestFit="1" customWidth="1"/>
    <col min="3" max="3" width="12" style="406" bestFit="1" customWidth="1"/>
    <col min="4" max="4" width="13.26953125" style="406" bestFit="1" customWidth="1"/>
    <col min="5" max="5" width="14.7265625" style="406" bestFit="1" customWidth="1"/>
    <col min="6" max="8" width="13.26953125" style="406" bestFit="1" customWidth="1"/>
    <col min="9" max="9" width="12" style="406" bestFit="1" customWidth="1"/>
    <col min="10" max="11" width="13.26953125" bestFit="1" customWidth="1"/>
    <col min="12" max="12" width="14.7265625" bestFit="1" customWidth="1"/>
    <col min="13" max="14" width="13.26953125" bestFit="1" customWidth="1"/>
    <col min="15" max="15" width="14.7265625" bestFit="1" customWidth="1"/>
    <col min="16" max="16" width="10.7265625" bestFit="1" customWidth="1"/>
    <col min="17" max="18" width="11.7265625" bestFit="1" customWidth="1"/>
    <col min="19" max="19" width="13.26953125" bestFit="1" customWidth="1"/>
  </cols>
  <sheetData>
    <row r="3" spans="1:15">
      <c r="A3" s="445" t="s">
        <v>456</v>
      </c>
      <c r="B3" s="445" t="s">
        <v>452</v>
      </c>
      <c r="C3"/>
      <c r="D3"/>
      <c r="E3"/>
      <c r="F3"/>
      <c r="G3"/>
      <c r="H3"/>
      <c r="I3"/>
    </row>
    <row r="4" spans="1:15">
      <c r="A4" s="445" t="s">
        <v>453</v>
      </c>
      <c r="B4" t="s">
        <v>454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t="s">
        <v>455</v>
      </c>
    </row>
    <row r="5" spans="1:15">
      <c r="A5" s="446" t="s">
        <v>454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</row>
    <row r="6" spans="1:15">
      <c r="A6" s="446" t="s">
        <v>241</v>
      </c>
      <c r="B6" s="448"/>
      <c r="C6" s="448"/>
      <c r="D6" s="448"/>
      <c r="E6" s="448">
        <v>1898818.2</v>
      </c>
      <c r="F6" s="448"/>
      <c r="G6" s="448"/>
      <c r="H6" s="448"/>
      <c r="I6" s="448"/>
      <c r="J6" s="448">
        <v>6969</v>
      </c>
      <c r="K6" s="448"/>
      <c r="L6" s="448"/>
      <c r="M6" s="448"/>
      <c r="N6" s="448"/>
      <c r="O6" s="448">
        <v>1905787.2</v>
      </c>
    </row>
    <row r="7" spans="1:15">
      <c r="A7" s="446" t="s">
        <v>253</v>
      </c>
      <c r="B7" s="448"/>
      <c r="C7" s="448"/>
      <c r="D7" s="448"/>
      <c r="E7" s="448">
        <v>332186.77</v>
      </c>
      <c r="F7" s="448"/>
      <c r="G7" s="448"/>
      <c r="H7" s="448"/>
      <c r="I7" s="448"/>
      <c r="J7" s="448"/>
      <c r="K7" s="448"/>
      <c r="L7" s="448"/>
      <c r="M7" s="448"/>
      <c r="N7" s="448"/>
      <c r="O7" s="448">
        <v>332186.77</v>
      </c>
    </row>
    <row r="8" spans="1:15">
      <c r="A8" s="446" t="s">
        <v>267</v>
      </c>
      <c r="B8" s="448"/>
      <c r="C8" s="448"/>
      <c r="D8" s="448"/>
      <c r="E8" s="448">
        <v>245639.2</v>
      </c>
      <c r="F8" s="448"/>
      <c r="G8" s="448"/>
      <c r="H8" s="448"/>
      <c r="I8" s="448"/>
      <c r="J8" s="448">
        <v>6506</v>
      </c>
      <c r="K8" s="448"/>
      <c r="L8" s="448"/>
      <c r="M8" s="448"/>
      <c r="N8" s="448"/>
      <c r="O8" s="448">
        <v>252145.2</v>
      </c>
    </row>
    <row r="9" spans="1:15">
      <c r="A9" s="446" t="s">
        <v>280</v>
      </c>
      <c r="B9" s="448"/>
      <c r="C9" s="448"/>
      <c r="D9" s="448">
        <v>29247.350000000002</v>
      </c>
      <c r="E9" s="448">
        <v>392271.02500000002</v>
      </c>
      <c r="F9" s="448"/>
      <c r="G9" s="448">
        <v>219355.125</v>
      </c>
      <c r="H9" s="448"/>
      <c r="I9" s="448"/>
      <c r="J9" s="448"/>
      <c r="K9" s="448">
        <v>147200</v>
      </c>
      <c r="L9" s="448"/>
      <c r="M9" s="448"/>
      <c r="N9" s="448"/>
      <c r="O9" s="448">
        <v>788073.5</v>
      </c>
    </row>
    <row r="10" spans="1:15">
      <c r="A10" s="446" t="s">
        <v>306</v>
      </c>
      <c r="B10" s="448"/>
      <c r="C10" s="448">
        <v>14805</v>
      </c>
      <c r="D10" s="448">
        <v>10848.85</v>
      </c>
      <c r="E10" s="448">
        <v>15148.29</v>
      </c>
      <c r="F10" s="448"/>
      <c r="G10" s="448"/>
      <c r="H10" s="448"/>
      <c r="I10" s="448"/>
      <c r="J10" s="448"/>
      <c r="K10" s="448"/>
      <c r="L10" s="448"/>
      <c r="M10" s="448"/>
      <c r="N10" s="448"/>
      <c r="O10" s="448">
        <v>40802.14</v>
      </c>
    </row>
    <row r="11" spans="1:15">
      <c r="A11" s="446" t="s">
        <v>320</v>
      </c>
      <c r="B11" s="448"/>
      <c r="C11" s="448"/>
      <c r="D11" s="448">
        <v>20259</v>
      </c>
      <c r="E11" s="448">
        <v>277452.52</v>
      </c>
      <c r="F11" s="448"/>
      <c r="G11" s="448">
        <v>151942.5</v>
      </c>
      <c r="H11" s="448"/>
      <c r="I11" s="448"/>
      <c r="J11" s="448"/>
      <c r="K11" s="448"/>
      <c r="L11" s="448"/>
      <c r="M11" s="448"/>
      <c r="N11" s="448"/>
      <c r="O11" s="448">
        <v>449654.02</v>
      </c>
    </row>
    <row r="12" spans="1:15">
      <c r="A12" s="446" t="s">
        <v>327</v>
      </c>
      <c r="B12" s="448"/>
      <c r="C12" s="448"/>
      <c r="D12" s="448"/>
      <c r="E12" s="448">
        <v>95783</v>
      </c>
      <c r="F12" s="448"/>
      <c r="G12" s="448"/>
      <c r="H12" s="448"/>
      <c r="I12" s="448">
        <v>15620</v>
      </c>
      <c r="J12" s="448">
        <v>22488</v>
      </c>
      <c r="K12" s="448"/>
      <c r="L12" s="448"/>
      <c r="M12" s="448">
        <v>87595.1</v>
      </c>
      <c r="N12" s="448">
        <v>-1728.1</v>
      </c>
      <c r="O12" s="448">
        <v>219758</v>
      </c>
    </row>
    <row r="13" spans="1:15">
      <c r="A13" s="446" t="s">
        <v>349</v>
      </c>
      <c r="B13" s="448"/>
      <c r="C13" s="448"/>
      <c r="D13" s="448">
        <v>95400</v>
      </c>
      <c r="E13" s="448">
        <v>143100</v>
      </c>
      <c r="F13" s="448"/>
      <c r="G13" s="448">
        <v>190800</v>
      </c>
      <c r="H13" s="448"/>
      <c r="I13" s="448"/>
      <c r="J13" s="448">
        <v>429300</v>
      </c>
      <c r="K13" s="448">
        <v>95400</v>
      </c>
      <c r="L13" s="448"/>
      <c r="M13" s="448"/>
      <c r="N13" s="448"/>
      <c r="O13" s="448">
        <v>954000</v>
      </c>
    </row>
    <row r="14" spans="1:15">
      <c r="A14" s="446" t="s">
        <v>357</v>
      </c>
      <c r="B14" s="448"/>
      <c r="C14" s="448"/>
      <c r="D14" s="448">
        <v>6945.5</v>
      </c>
      <c r="E14" s="448">
        <v>10418.25</v>
      </c>
      <c r="F14" s="448">
        <v>68600</v>
      </c>
      <c r="G14" s="448">
        <v>13891</v>
      </c>
      <c r="H14" s="448">
        <v>119560</v>
      </c>
      <c r="I14" s="448">
        <v>60760</v>
      </c>
      <c r="J14" s="448">
        <v>31254.75</v>
      </c>
      <c r="K14" s="448">
        <v>17725.5</v>
      </c>
      <c r="L14" s="448"/>
      <c r="M14" s="448">
        <v>35280</v>
      </c>
      <c r="N14" s="448"/>
      <c r="O14" s="448">
        <v>364435</v>
      </c>
    </row>
    <row r="15" spans="1:15">
      <c r="A15" s="446" t="s">
        <v>374</v>
      </c>
      <c r="B15" s="448"/>
      <c r="C15" s="448">
        <v>12911.75</v>
      </c>
      <c r="D15" s="448"/>
      <c r="E15" s="448"/>
      <c r="F15" s="448">
        <v>105898.38</v>
      </c>
      <c r="G15" s="448"/>
      <c r="H15" s="448"/>
      <c r="I15" s="448"/>
      <c r="J15" s="448"/>
      <c r="K15" s="448"/>
      <c r="L15" s="448"/>
      <c r="M15" s="448"/>
      <c r="N15" s="448">
        <v>8000</v>
      </c>
      <c r="O15" s="448">
        <v>126810.13</v>
      </c>
    </row>
    <row r="16" spans="1:15">
      <c r="A16" s="446" t="s">
        <v>394</v>
      </c>
      <c r="B16" s="448">
        <v>0</v>
      </c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>
        <v>108660.607625</v>
      </c>
      <c r="O16" s="448">
        <v>108660.607625</v>
      </c>
    </row>
    <row r="17" spans="1:15">
      <c r="A17" s="446" t="s">
        <v>402</v>
      </c>
      <c r="B17" s="448"/>
      <c r="C17" s="448">
        <v>2022.74</v>
      </c>
      <c r="D17" s="448">
        <v>1399.4599999999998</v>
      </c>
      <c r="E17" s="448">
        <v>3154.74</v>
      </c>
      <c r="F17" s="448">
        <v>0</v>
      </c>
      <c r="G17" s="448">
        <v>0</v>
      </c>
      <c r="H17" s="448">
        <v>980.56</v>
      </c>
      <c r="I17" s="448">
        <v>3618.49</v>
      </c>
      <c r="J17" s="448">
        <v>1827.75</v>
      </c>
      <c r="K17" s="448">
        <v>495.04</v>
      </c>
      <c r="L17" s="448"/>
      <c r="M17" s="448">
        <v>990.08</v>
      </c>
      <c r="N17" s="448">
        <v>500</v>
      </c>
      <c r="O17" s="448">
        <v>14988.86</v>
      </c>
    </row>
    <row r="18" spans="1:15">
      <c r="A18" s="446" t="s">
        <v>408</v>
      </c>
      <c r="B18" s="448"/>
      <c r="C18" s="448"/>
      <c r="D18" s="448"/>
      <c r="E18" s="448">
        <v>1504000</v>
      </c>
      <c r="F18" s="448"/>
      <c r="G18" s="448">
        <v>0</v>
      </c>
      <c r="H18" s="448">
        <v>19400</v>
      </c>
      <c r="I18" s="448"/>
      <c r="J18" s="448">
        <v>4950</v>
      </c>
      <c r="K18" s="448"/>
      <c r="L18" s="448"/>
      <c r="M18" s="448"/>
      <c r="N18" s="448"/>
      <c r="O18" s="448">
        <v>1528350</v>
      </c>
    </row>
    <row r="19" spans="1:15">
      <c r="A19" s="446" t="s">
        <v>390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</row>
    <row r="20" spans="1:15">
      <c r="A20" s="446" t="s">
        <v>325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</row>
    <row r="21" spans="1:15">
      <c r="A21" s="446" t="s">
        <v>455</v>
      </c>
      <c r="B21" s="448">
        <v>0</v>
      </c>
      <c r="C21" s="448">
        <v>29739.49</v>
      </c>
      <c r="D21" s="448">
        <v>164100.16</v>
      </c>
      <c r="E21" s="448">
        <v>4917971.9950000001</v>
      </c>
      <c r="F21" s="448">
        <v>174498.38</v>
      </c>
      <c r="G21" s="448">
        <v>575988.625</v>
      </c>
      <c r="H21" s="448">
        <v>139940.56</v>
      </c>
      <c r="I21" s="448">
        <v>79998.490000000005</v>
      </c>
      <c r="J21" s="448">
        <v>503295.5</v>
      </c>
      <c r="K21" s="448">
        <v>260820.54</v>
      </c>
      <c r="L21" s="448"/>
      <c r="M21" s="448">
        <v>123865.18000000001</v>
      </c>
      <c r="N21" s="448">
        <v>115432.507625</v>
      </c>
      <c r="O21" s="448">
        <v>7085651.4276250005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74DC-0105-4844-AF4B-8C0F8C63328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J21" sqref="J21"/>
    </sheetView>
  </sheetViews>
  <sheetFormatPr defaultRowHeight="14.5"/>
  <cols>
    <col min="1" max="1" width="6.08984375" customWidth="1"/>
    <col min="2" max="2" width="21.08984375" customWidth="1"/>
    <col min="3" max="3" width="28.7265625" customWidth="1"/>
    <col min="4" max="4" width="15.26953125" customWidth="1"/>
    <col min="5" max="5" width="16.7265625" customWidth="1"/>
    <col min="6" max="6" width="5.7265625" customWidth="1"/>
  </cols>
  <sheetData>
    <row r="1" spans="2:15" ht="15" thickBot="1"/>
    <row r="2" spans="2:15" ht="18.5">
      <c r="B2" s="808" t="s">
        <v>457</v>
      </c>
      <c r="C2" s="808"/>
      <c r="D2" s="808"/>
      <c r="E2" s="808"/>
      <c r="H2" s="809" t="s">
        <v>458</v>
      </c>
      <c r="I2" s="810"/>
      <c r="J2" s="810"/>
      <c r="K2" s="810"/>
      <c r="L2" s="810"/>
      <c r="M2" s="810"/>
      <c r="N2" s="810"/>
      <c r="O2" s="811"/>
    </row>
    <row r="3" spans="2:15">
      <c r="B3" s="689"/>
      <c r="H3" s="812"/>
      <c r="I3" s="813"/>
      <c r="J3" s="813"/>
      <c r="K3" s="813"/>
      <c r="L3" s="813"/>
      <c r="M3" s="813"/>
      <c r="N3" s="813"/>
      <c r="O3" s="814"/>
    </row>
    <row r="4" spans="2:15">
      <c r="B4" s="690" t="s">
        <v>459</v>
      </c>
      <c r="C4" s="691" t="str">
        <f>'Project Plan'!E2</f>
        <v>Gezina Galleries</v>
      </c>
      <c r="H4" s="812"/>
      <c r="I4" s="813"/>
      <c r="J4" s="813"/>
      <c r="K4" s="813"/>
      <c r="L4" s="813"/>
      <c r="M4" s="813"/>
      <c r="N4" s="813"/>
      <c r="O4" s="814"/>
    </row>
    <row r="5" spans="2:15">
      <c r="B5" s="690" t="s">
        <v>460</v>
      </c>
      <c r="C5" s="691" t="s">
        <v>461</v>
      </c>
      <c r="H5" s="812"/>
      <c r="I5" s="813"/>
      <c r="J5" s="813"/>
      <c r="K5" s="813"/>
      <c r="L5" s="813"/>
      <c r="M5" s="813"/>
      <c r="N5" s="813"/>
      <c r="O5" s="814"/>
    </row>
    <row r="6" spans="2:15">
      <c r="B6" s="690" t="s">
        <v>462</v>
      </c>
      <c r="C6" s="691" t="s">
        <v>463</v>
      </c>
      <c r="H6" s="812"/>
      <c r="I6" s="813"/>
      <c r="J6" s="813"/>
      <c r="K6" s="813"/>
      <c r="L6" s="813"/>
      <c r="M6" s="813"/>
      <c r="N6" s="813"/>
      <c r="O6" s="814"/>
    </row>
    <row r="7" spans="2:15">
      <c r="B7" s="690" t="s">
        <v>464</v>
      </c>
      <c r="C7" s="691" t="s">
        <v>465</v>
      </c>
      <c r="H7" s="812"/>
      <c r="I7" s="813"/>
      <c r="J7" s="813"/>
      <c r="K7" s="813"/>
      <c r="L7" s="813"/>
      <c r="M7" s="813"/>
      <c r="N7" s="813"/>
      <c r="O7" s="814"/>
    </row>
    <row r="8" spans="2:15">
      <c r="B8" s="689"/>
      <c r="H8" s="812"/>
      <c r="I8" s="813"/>
      <c r="J8" s="813"/>
      <c r="K8" s="813"/>
      <c r="L8" s="813"/>
      <c r="M8" s="813"/>
      <c r="N8" s="813"/>
      <c r="O8" s="814"/>
    </row>
    <row r="9" spans="2:15">
      <c r="B9" s="818" t="s">
        <v>466</v>
      </c>
      <c r="C9" s="818"/>
      <c r="D9" s="818"/>
      <c r="E9" s="818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2"/>
      <c r="I9" s="813"/>
      <c r="J9" s="813"/>
      <c r="K9" s="813"/>
      <c r="L9" s="813"/>
      <c r="M9" s="813"/>
      <c r="N9" s="813"/>
      <c r="O9" s="814"/>
    </row>
    <row r="10" spans="2:15" ht="15" thickBot="1">
      <c r="B10" s="818" t="s">
        <v>467</v>
      </c>
      <c r="C10" s="818"/>
      <c r="D10" s="818"/>
      <c r="E10" s="818"/>
      <c r="H10" s="815"/>
      <c r="I10" s="816"/>
      <c r="J10" s="816"/>
      <c r="K10" s="816"/>
      <c r="L10" s="816"/>
      <c r="M10" s="816"/>
      <c r="N10" s="816"/>
      <c r="O10" s="817"/>
    </row>
    <row r="11" spans="2:15">
      <c r="B11" s="692" t="s">
        <v>468</v>
      </c>
      <c r="C11" s="807" t="s">
        <v>469</v>
      </c>
      <c r="D11" s="807"/>
      <c r="E11" s="807"/>
    </row>
    <row r="12" spans="2:15">
      <c r="B12" s="692" t="s">
        <v>470</v>
      </c>
      <c r="C12" s="807" t="s">
        <v>469</v>
      </c>
      <c r="D12" s="807"/>
      <c r="E12" s="807"/>
    </row>
    <row r="13" spans="2:15">
      <c r="B13" s="692" t="s">
        <v>471</v>
      </c>
      <c r="C13" s="807" t="s">
        <v>469</v>
      </c>
      <c r="D13" s="807"/>
      <c r="E13" s="807"/>
    </row>
    <row r="14" spans="2:15">
      <c r="B14" s="692" t="s">
        <v>472</v>
      </c>
      <c r="C14" s="807" t="s">
        <v>473</v>
      </c>
      <c r="D14" s="807"/>
      <c r="E14" s="807"/>
    </row>
    <row r="15" spans="2:15">
      <c r="B15" s="692" t="s">
        <v>474</v>
      </c>
      <c r="C15" s="807" t="s">
        <v>475</v>
      </c>
      <c r="D15" s="807"/>
      <c r="E15" s="807"/>
    </row>
    <row r="16" spans="2:15" ht="15" customHeight="1">
      <c r="B16" s="692" t="s">
        <v>476</v>
      </c>
      <c r="C16" s="807" t="s">
        <v>477</v>
      </c>
      <c r="D16" s="807"/>
      <c r="E16" s="807"/>
    </row>
    <row r="17" spans="2:5">
      <c r="B17" s="689"/>
    </row>
    <row r="18" spans="2:5">
      <c r="B18" s="819" t="s">
        <v>478</v>
      </c>
      <c r="C18" s="819"/>
      <c r="D18" s="819"/>
      <c r="E18" s="819"/>
    </row>
    <row r="19" spans="2:5">
      <c r="B19" s="692" t="s">
        <v>479</v>
      </c>
      <c r="C19" s="692" t="s">
        <v>480</v>
      </c>
      <c r="D19" s="692" t="s">
        <v>481</v>
      </c>
      <c r="E19" s="692" t="s">
        <v>62</v>
      </c>
    </row>
    <row r="20" spans="2:5" ht="15" customHeight="1">
      <c r="B20" s="692" t="s">
        <v>482</v>
      </c>
      <c r="C20" s="692" t="s">
        <v>483</v>
      </c>
      <c r="D20" s="693" t="s">
        <v>484</v>
      </c>
      <c r="E20" s="694">
        <v>45953</v>
      </c>
    </row>
    <row r="21" spans="2:5">
      <c r="B21" s="692"/>
      <c r="C21" s="692"/>
      <c r="D21" s="692"/>
      <c r="E21" s="692"/>
    </row>
    <row r="22" spans="2:5">
      <c r="B22" s="692"/>
      <c r="C22" s="692"/>
      <c r="D22" s="692"/>
      <c r="E22" s="692"/>
    </row>
    <row r="23" spans="2:5">
      <c r="B23" s="692"/>
      <c r="C23" s="692"/>
      <c r="D23" s="692"/>
      <c r="E23" s="692"/>
    </row>
    <row r="24" spans="2:5">
      <c r="B24" s="692"/>
      <c r="C24" s="692"/>
      <c r="D24" s="692"/>
      <c r="E24" s="692"/>
    </row>
    <row r="25" spans="2:5">
      <c r="B25" s="692"/>
      <c r="C25" s="692"/>
      <c r="D25" s="692"/>
      <c r="E25" s="692"/>
    </row>
    <row r="26" spans="2:5">
      <c r="B26" s="689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7265625" defaultRowHeight="14.5"/>
  <cols>
    <col min="4" max="4" width="9" customWidth="1"/>
  </cols>
  <sheetData>
    <row r="1" spans="1:4">
      <c r="A1" s="110" t="s">
        <v>485</v>
      </c>
    </row>
    <row r="2" spans="1:4">
      <c r="A2" s="821"/>
      <c r="B2" s="821"/>
      <c r="C2" s="821"/>
      <c r="D2" s="71"/>
    </row>
    <row r="3" spans="1:4">
      <c r="A3" s="820" t="s">
        <v>486</v>
      </c>
      <c r="B3" s="820"/>
      <c r="C3" s="820"/>
      <c r="D3" s="111">
        <v>0.32</v>
      </c>
    </row>
    <row r="4" spans="1:4">
      <c r="A4" s="820" t="s">
        <v>426</v>
      </c>
      <c r="B4" s="820"/>
      <c r="C4" s="820"/>
      <c r="D4" s="111">
        <v>0.5</v>
      </c>
    </row>
    <row r="5" spans="1:4">
      <c r="A5" s="820" t="s">
        <v>437</v>
      </c>
      <c r="B5" s="820"/>
      <c r="C5" s="820"/>
      <c r="D5" s="111">
        <v>0.15</v>
      </c>
    </row>
    <row r="6" spans="1:4">
      <c r="A6" s="820" t="s">
        <v>487</v>
      </c>
      <c r="B6" s="820"/>
      <c r="C6" s="82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953125" defaultRowHeight="12.5"/>
  <cols>
    <col min="1" max="1" width="9.26953125" style="88"/>
    <col min="2" max="2" width="22.26953125" style="88" customWidth="1"/>
    <col min="3" max="3" width="4.26953125" style="88" customWidth="1"/>
    <col min="4" max="4" width="14.26953125" style="88" bestFit="1" customWidth="1"/>
    <col min="5" max="5" width="3.08984375" style="88" customWidth="1"/>
    <col min="6" max="6" width="15.26953125" style="88" customWidth="1"/>
    <col min="7" max="7" width="2.26953125" style="88" customWidth="1"/>
    <col min="8" max="8" width="16.26953125" style="88" bestFit="1" customWidth="1"/>
    <col min="9" max="9" width="6.26953125" style="88" customWidth="1"/>
    <col min="10" max="10" width="13.7265625" style="88" bestFit="1" customWidth="1"/>
    <col min="11" max="11" width="2.26953125" style="88" customWidth="1"/>
    <col min="12" max="12" width="14.26953125" style="88" bestFit="1" customWidth="1"/>
    <col min="13" max="13" width="3" style="88" customWidth="1"/>
    <col min="14" max="14" width="45.26953125" style="88" customWidth="1"/>
    <col min="15" max="16384" width="9.26953125" style="88"/>
  </cols>
  <sheetData>
    <row r="2" spans="2:14" s="94" customFormat="1" ht="18">
      <c r="B2" s="822" t="s">
        <v>488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</row>
    <row r="4" spans="2:14" ht="13">
      <c r="B4" s="92" t="s">
        <v>489</v>
      </c>
      <c r="C4" s="86"/>
      <c r="D4" s="90" t="s">
        <v>490</v>
      </c>
      <c r="E4" s="95"/>
      <c r="F4" s="90" t="s">
        <v>491</v>
      </c>
      <c r="H4" s="90" t="s">
        <v>492</v>
      </c>
      <c r="I4" s="95"/>
      <c r="J4" s="90" t="s">
        <v>493</v>
      </c>
      <c r="L4" s="90" t="s">
        <v>492</v>
      </c>
      <c r="M4" s="90"/>
      <c r="N4" s="90" t="s">
        <v>494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495</v>
      </c>
      <c r="H7" s="99"/>
      <c r="I7" s="95"/>
      <c r="J7" s="107" t="s">
        <v>495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496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497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498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495</v>
      </c>
      <c r="H15" s="99"/>
      <c r="I15" s="95"/>
      <c r="J15" s="107" t="s">
        <v>495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499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499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495</v>
      </c>
      <c r="H21" s="99"/>
      <c r="I21" s="95"/>
      <c r="J21" s="107" t="s">
        <v>495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500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500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498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495</v>
      </c>
      <c r="H27" s="99"/>
      <c r="I27" s="95"/>
      <c r="J27" s="107" t="s">
        <v>495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501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495</v>
      </c>
      <c r="H34" s="99"/>
      <c r="I34" s="95"/>
      <c r="J34" s="107" t="s">
        <v>495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502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508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6953125" defaultRowHeight="12.5"/>
  <cols>
    <col min="1" max="1" width="9.26953125" style="88"/>
    <col min="2" max="2" width="22.26953125" style="88" customWidth="1"/>
    <col min="3" max="3" width="4.26953125" style="88" customWidth="1"/>
    <col min="4" max="4" width="14.26953125" style="88" bestFit="1" customWidth="1"/>
    <col min="5" max="5" width="7" style="88" customWidth="1"/>
    <col min="6" max="6" width="3.08984375" style="88" customWidth="1"/>
    <col min="7" max="7" width="18.7265625" style="88" customWidth="1"/>
    <col min="8" max="8" width="9.26953125" style="88" bestFit="1" customWidth="1"/>
    <col min="9" max="9" width="2" style="88" customWidth="1"/>
    <col min="10" max="10" width="14.26953125" style="88" bestFit="1" customWidth="1"/>
    <col min="11" max="11" width="2.26953125" style="88" customWidth="1"/>
    <col min="12" max="12" width="20.26953125" style="88" customWidth="1"/>
    <col min="13" max="13" width="9.26953125" style="88" bestFit="1" customWidth="1"/>
    <col min="14" max="14" width="0.7265625" style="88" customWidth="1"/>
    <col min="15" max="15" width="14.26953125" style="88" bestFit="1" customWidth="1"/>
    <col min="16" max="16384" width="9.26953125" style="88"/>
  </cols>
  <sheetData>
    <row r="2" spans="2:15" s="94" customFormat="1" ht="18">
      <c r="B2" s="822" t="s">
        <v>510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</row>
    <row r="4" spans="2:15" ht="13">
      <c r="B4" s="92" t="s">
        <v>489</v>
      </c>
      <c r="C4" s="86"/>
      <c r="D4" s="90" t="s">
        <v>490</v>
      </c>
      <c r="E4" s="95"/>
      <c r="F4" s="95"/>
      <c r="G4" s="90" t="s">
        <v>511</v>
      </c>
      <c r="H4" s="96"/>
      <c r="J4" s="90" t="s">
        <v>492</v>
      </c>
      <c r="L4" s="90" t="s">
        <v>512</v>
      </c>
      <c r="M4" s="96"/>
      <c r="O4" s="90" t="s">
        <v>492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250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0.29129235849056601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0.14901284067085954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0.10081132075471698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260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0.24125786163522012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513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508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489</v>
      </c>
      <c r="C18" s="86"/>
      <c r="D18" s="90" t="s">
        <v>490</v>
      </c>
      <c r="E18" s="95"/>
      <c r="F18" s="95"/>
      <c r="G18" s="90" t="s">
        <v>514</v>
      </c>
      <c r="H18" s="96"/>
      <c r="J18" s="90" t="s">
        <v>492</v>
      </c>
      <c r="L18" s="90" t="s">
        <v>515</v>
      </c>
      <c r="M18" s="96"/>
      <c r="O18" s="90" t="s">
        <v>492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516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517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518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519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520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508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521</v>
      </c>
      <c r="C32" s="103"/>
      <c r="D32" s="103"/>
    </row>
    <row r="33" spans="2:4" ht="13" thickTop="1"/>
    <row r="34" spans="2:4">
      <c r="B34" s="88" t="s">
        <v>490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522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6953125" defaultRowHeight="14.5"/>
  <cols>
    <col min="1" max="1" width="0.7265625" customWidth="1"/>
    <col min="2" max="2" width="8.26953125" bestFit="1" customWidth="1"/>
    <col min="3" max="3" width="45.08984375" customWidth="1"/>
    <col min="4" max="4" width="34.26953125" customWidth="1"/>
    <col min="5" max="5" width="15.26953125" customWidth="1"/>
    <col min="6" max="6" width="12" bestFit="1" customWidth="1"/>
    <col min="7" max="7" width="9.26953125" bestFit="1" customWidth="1"/>
    <col min="8" max="8" width="12.08984375" bestFit="1" customWidth="1"/>
    <col min="9" max="9" width="10.08984375" customWidth="1"/>
    <col min="10" max="10" width="19.08984375" bestFit="1" customWidth="1"/>
  </cols>
  <sheetData>
    <row r="1" spans="2:14">
      <c r="B1" s="824" t="str">
        <f>D15</f>
        <v>Gezina Galleries</v>
      </c>
      <c r="C1" s="824"/>
      <c r="D1" s="824"/>
      <c r="E1" s="823" t="s">
        <v>523</v>
      </c>
      <c r="F1" s="823"/>
      <c r="G1" s="823"/>
      <c r="H1" s="823"/>
      <c r="I1" s="823"/>
      <c r="J1" s="823"/>
      <c r="K1" s="77"/>
      <c r="L1" s="77"/>
      <c r="M1" s="77"/>
      <c r="N1" s="77"/>
    </row>
    <row r="2" spans="2:14" ht="6.75" customHeight="1"/>
    <row r="3" spans="2:14">
      <c r="B3" s="72" t="s">
        <v>524</v>
      </c>
      <c r="C3" s="72" t="s">
        <v>525</v>
      </c>
      <c r="D3" s="72" t="s">
        <v>526</v>
      </c>
      <c r="E3" s="78" t="s">
        <v>527</v>
      </c>
      <c r="F3" s="78" t="s">
        <v>528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529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530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Gezina Galleries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28D43D-FF17-4FDC-9A0F-933C9D10ED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2026-03-04T06:07:56Z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