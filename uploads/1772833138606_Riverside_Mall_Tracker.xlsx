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76" documentId="13_ncr:1_{D81B22CD-1ABD-4A37-8DB0-37744E5D41CF}" xr6:coauthVersionLast="47" xr6:coauthVersionMax="47" xr10:uidLastSave="{B944E3CD-9D1B-4D62-B214-0C6F170A71A1}"/>
  <bookViews>
    <workbookView xWindow="28680" yWindow="-120" windowWidth="29040" windowHeight="15720" tabRatio="702" firstSheet="2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81" i="18" l="1"/>
  <c r="W97" i="18"/>
  <c r="I33" i="2"/>
  <c r="Q85" i="18"/>
  <c r="T62" i="18"/>
  <c r="T61" i="18"/>
  <c r="K37" i="2"/>
  <c r="M48" i="2"/>
  <c r="W20" i="2" s="1"/>
  <c r="M44" i="2"/>
  <c r="M39" i="2"/>
  <c r="M35" i="2"/>
  <c r="W17" i="2" s="1"/>
  <c r="M28" i="2"/>
  <c r="W16" i="2" s="1"/>
  <c r="M21" i="2"/>
  <c r="W15" i="2" s="1"/>
  <c r="M11" i="2"/>
  <c r="W13" i="2" s="1"/>
  <c r="W19" i="2"/>
  <c r="W18" i="2"/>
  <c r="W14" i="2"/>
  <c r="Q28" i="18"/>
  <c r="Q6" i="18"/>
  <c r="W124" i="18"/>
  <c r="N19" i="2"/>
  <c r="S33" i="18"/>
  <c r="S60" i="18"/>
  <c r="S111" i="18"/>
  <c r="S32" i="18"/>
  <c r="S59" i="18"/>
  <c r="S110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7" i="18"/>
  <c r="P116" i="18"/>
  <c r="P38" i="18" s="1"/>
  <c r="P115" i="18"/>
  <c r="P114" i="18"/>
  <c r="P113" i="18"/>
  <c r="P112" i="18"/>
  <c r="P111" i="18"/>
  <c r="P110" i="18"/>
  <c r="W28" i="18"/>
  <c r="H5" i="5" l="1"/>
  <c r="O110" i="18" l="1"/>
  <c r="U122" i="18" l="1"/>
  <c r="W125" i="18"/>
  <c r="W81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42" i="18"/>
  <c r="W140" i="18"/>
  <c r="W138" i="18"/>
  <c r="E31" i="2" l="1"/>
  <c r="E23" i="2"/>
  <c r="E4" i="20"/>
  <c r="G31" i="2" l="1"/>
  <c r="G23" i="2"/>
  <c r="G21" i="2" s="1"/>
  <c r="E21" i="2"/>
  <c r="X122" i="18"/>
  <c r="F21" i="2" l="1"/>
  <c r="E37" i="2"/>
  <c r="T14" i="18"/>
  <c r="T1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37" i="18"/>
  <c r="T136" i="18"/>
  <c r="T135" i="18"/>
  <c r="T134" i="18"/>
  <c r="T133" i="18"/>
  <c r="T132" i="18"/>
  <c r="T130" i="18"/>
  <c r="T129" i="18"/>
  <c r="T128" i="18"/>
  <c r="T127" i="18"/>
  <c r="T126" i="18"/>
  <c r="T121" i="18"/>
  <c r="T120" i="18"/>
  <c r="T119" i="18"/>
  <c r="T118" i="18"/>
  <c r="T109" i="18"/>
  <c r="T108" i="18"/>
  <c r="T107" i="18"/>
  <c r="T106" i="18"/>
  <c r="T105" i="18"/>
  <c r="T104" i="18"/>
  <c r="T103" i="18"/>
  <c r="T102" i="18"/>
  <c r="T93" i="18"/>
  <c r="T92" i="18"/>
  <c r="T91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K14" i="2"/>
  <c r="I15" i="2" s="1"/>
  <c r="E33" i="2" l="1"/>
  <c r="G35" i="2"/>
  <c r="F35" i="2" s="1"/>
  <c r="K13" i="2"/>
  <c r="K26" i="2"/>
  <c r="K25" i="2"/>
  <c r="G33" i="2" l="1"/>
  <c r="G28" i="2" s="1"/>
  <c r="E28" i="2"/>
  <c r="K16" i="2"/>
  <c r="I22" i="2" s="1"/>
  <c r="K15" i="2"/>
  <c r="I11" i="2"/>
  <c r="C4" i="24"/>
  <c r="C7" i="23"/>
  <c r="C4" i="23"/>
  <c r="Q128" i="18"/>
  <c r="F28" i="2" l="1"/>
  <c r="E40" i="2"/>
  <c r="K11" i="2"/>
  <c r="J11" i="2" s="1"/>
  <c r="K19" i="2"/>
  <c r="I18" i="2"/>
  <c r="I30" i="2"/>
  <c r="I36" i="2"/>
  <c r="N13" i="2"/>
  <c r="G40" i="2" l="1"/>
  <c r="K36" i="2"/>
  <c r="K32" i="2"/>
  <c r="K30" i="2"/>
  <c r="K18" i="2"/>
  <c r="J18" i="2" s="1"/>
  <c r="U14" i="2" s="1"/>
  <c r="E41" i="2" l="1"/>
  <c r="I31" i="2"/>
  <c r="K22" i="2"/>
  <c r="H53" i="18"/>
  <c r="G41" i="2" l="1"/>
  <c r="I23" i="2"/>
  <c r="K31" i="2"/>
  <c r="H6" i="18"/>
  <c r="E42" i="2" l="1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10" i="18"/>
  <c r="O94" i="18"/>
  <c r="O59" i="18"/>
  <c r="O32" i="18"/>
  <c r="T7" i="18"/>
  <c r="Q13" i="18"/>
  <c r="X13" i="18" s="1"/>
  <c r="E3" i="20"/>
  <c r="G131" i="18"/>
  <c r="T9" i="2"/>
  <c r="S9" i="2"/>
  <c r="S20" i="2"/>
  <c r="S19" i="2"/>
  <c r="S18" i="2"/>
  <c r="S17" i="2"/>
  <c r="S16" i="2"/>
  <c r="S15" i="2"/>
  <c r="S14" i="2"/>
  <c r="S13" i="2"/>
  <c r="X44" i="18"/>
  <c r="AO13" i="5"/>
  <c r="G109" i="18"/>
  <c r="Z18" i="18" s="1"/>
  <c r="J106" i="18"/>
  <c r="J71" i="18"/>
  <c r="V71" i="18" s="1"/>
  <c r="X80" i="18"/>
  <c r="I128" i="18"/>
  <c r="J151" i="18"/>
  <c r="G138" i="18"/>
  <c r="Q142" i="18" s="1"/>
  <c r="G108" i="18"/>
  <c r="G107" i="18"/>
  <c r="Z17" i="18" s="1"/>
  <c r="G106" i="18"/>
  <c r="Z16" i="18" s="1"/>
  <c r="G94" i="18"/>
  <c r="G93" i="18"/>
  <c r="Z14" i="18" s="1"/>
  <c r="G53" i="18"/>
  <c r="Z12" i="18" s="1"/>
  <c r="G44" i="18"/>
  <c r="I44" i="18" s="1"/>
  <c r="G29" i="18"/>
  <c r="Z13" i="18" s="1"/>
  <c r="G21" i="18"/>
  <c r="G13" i="18"/>
  <c r="I13" i="18" s="1"/>
  <c r="G6" i="18"/>
  <c r="Q131" i="18"/>
  <c r="Y30" i="18"/>
  <c r="Y29" i="18"/>
  <c r="Y28" i="18"/>
  <c r="Y27" i="18"/>
  <c r="J138" i="18"/>
  <c r="J131" i="18"/>
  <c r="J122" i="18"/>
  <c r="U124" i="18" s="1"/>
  <c r="J93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1" i="18"/>
  <c r="H23" i="3" s="1"/>
  <c r="I151" i="18"/>
  <c r="F23" i="3" s="1"/>
  <c r="X128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22" i="18"/>
  <c r="Z38" i="18"/>
  <c r="Z39" i="18" s="1"/>
  <c r="X21" i="18"/>
  <c r="I138" i="18" l="1"/>
  <c r="Q141" i="18"/>
  <c r="U80" i="18"/>
  <c r="U91" i="18"/>
  <c r="U82" i="18"/>
  <c r="U90" i="18"/>
  <c r="U83" i="18"/>
  <c r="U87" i="18"/>
  <c r="G42" i="2"/>
  <c r="G39" i="2" s="1"/>
  <c r="E45" i="2"/>
  <c r="E39" i="2"/>
  <c r="J21" i="2"/>
  <c r="I35" i="2"/>
  <c r="Q117" i="18"/>
  <c r="I6" i="18"/>
  <c r="I21" i="18"/>
  <c r="I28" i="18"/>
  <c r="F12" i="3" s="1"/>
  <c r="I131" i="18"/>
  <c r="F21" i="3" s="1"/>
  <c r="F19" i="3"/>
  <c r="J19" i="3" s="1"/>
  <c r="F10" i="3"/>
  <c r="I93" i="18"/>
  <c r="F22" i="3"/>
  <c r="Z15" i="18"/>
  <c r="Z22" i="18" s="1"/>
  <c r="Z23" i="18" s="1"/>
  <c r="Z24" i="18" s="1"/>
  <c r="J2" i="18"/>
  <c r="J4" i="18" s="1"/>
  <c r="F20" i="3"/>
  <c r="Q140" i="18"/>
  <c r="Q116" i="18"/>
  <c r="H10" i="3"/>
  <c r="I53" i="18"/>
  <c r="H20" i="3"/>
  <c r="I106" i="18"/>
  <c r="N14" i="2"/>
  <c r="J23" i="3"/>
  <c r="F18" i="5"/>
  <c r="F15" i="5"/>
  <c r="X6" i="18"/>
  <c r="F14" i="5"/>
  <c r="F17" i="5"/>
  <c r="F16" i="5"/>
  <c r="F19" i="5"/>
  <c r="C3" i="6"/>
  <c r="H15" i="3"/>
  <c r="J15" i="3" s="1"/>
  <c r="Q99" i="18"/>
  <c r="Q95" i="18"/>
  <c r="Q94" i="18"/>
  <c r="Q97" i="18"/>
  <c r="Q96" i="18"/>
  <c r="Q98" i="18"/>
  <c r="Q100" i="18"/>
  <c r="Q39" i="18"/>
  <c r="Q34" i="18"/>
  <c r="Q38" i="18"/>
  <c r="Q32" i="18"/>
  <c r="Q36" i="18"/>
  <c r="Q37" i="18"/>
  <c r="Q35" i="18"/>
  <c r="Q33" i="18"/>
  <c r="Q101" i="18"/>
  <c r="Q62" i="18"/>
  <c r="Q66" i="18"/>
  <c r="Q65" i="18"/>
  <c r="Q64" i="18"/>
  <c r="Q60" i="18"/>
  <c r="Q61" i="18"/>
  <c r="Q59" i="18"/>
  <c r="Q63" i="18"/>
  <c r="U51" i="18"/>
  <c r="Q114" i="18"/>
  <c r="Q111" i="18"/>
  <c r="Q113" i="18"/>
  <c r="Q115" i="18"/>
  <c r="Q112" i="18"/>
  <c r="X131" i="18"/>
  <c r="F13" i="3"/>
  <c r="H11" i="3"/>
  <c r="U126" i="18"/>
  <c r="U125" i="18"/>
  <c r="U47" i="18"/>
  <c r="H13" i="3"/>
  <c r="H16" i="3"/>
  <c r="J16" i="3" s="1"/>
  <c r="U48" i="18"/>
  <c r="U49" i="18"/>
  <c r="U50" i="18"/>
  <c r="V80" i="18" l="1"/>
  <c r="G45" i="2"/>
  <c r="F39" i="2"/>
  <c r="V13" i="18"/>
  <c r="K35" i="2"/>
  <c r="J35" i="2" s="1"/>
  <c r="J20" i="3"/>
  <c r="X138" i="18"/>
  <c r="U142" i="18" s="1"/>
  <c r="F17" i="3"/>
  <c r="F14" i="3"/>
  <c r="J10" i="3"/>
  <c r="F11" i="3"/>
  <c r="J11" i="3" s="1"/>
  <c r="I2" i="18"/>
  <c r="F9" i="3"/>
  <c r="V122" i="18"/>
  <c r="F18" i="3"/>
  <c r="N15" i="2"/>
  <c r="J13" i="3"/>
  <c r="F21" i="5"/>
  <c r="F4" i="5" s="1"/>
  <c r="C9" i="6" s="1"/>
  <c r="H9" i="3"/>
  <c r="X53" i="18"/>
  <c r="U64" i="18" s="1"/>
  <c r="X93" i="18"/>
  <c r="H22" i="3"/>
  <c r="J22" i="3" s="1"/>
  <c r="U135" i="18"/>
  <c r="U131" i="18"/>
  <c r="H21" i="3"/>
  <c r="J21" i="3" s="1"/>
  <c r="U136" i="18"/>
  <c r="U132" i="18"/>
  <c r="U133" i="18"/>
  <c r="U134" i="18"/>
  <c r="X28" i="18"/>
  <c r="X106" i="18"/>
  <c r="V44" i="18"/>
  <c r="V21" i="18"/>
  <c r="U148" i="18" l="1"/>
  <c r="U147" i="18"/>
  <c r="U145" i="18"/>
  <c r="U149" i="18"/>
  <c r="U146" i="18"/>
  <c r="U140" i="18"/>
  <c r="U143" i="18"/>
  <c r="U144" i="18"/>
  <c r="E46" i="2"/>
  <c r="U38" i="18"/>
  <c r="U65" i="18"/>
  <c r="U69" i="18"/>
  <c r="U141" i="18"/>
  <c r="K33" i="2"/>
  <c r="K28" i="2" s="1"/>
  <c r="I28" i="2"/>
  <c r="N25" i="2"/>
  <c r="N24" i="2"/>
  <c r="N26" i="2"/>
  <c r="F5" i="3"/>
  <c r="D5" i="5" s="1"/>
  <c r="D6" i="5" s="1"/>
  <c r="U101" i="18"/>
  <c r="J9" i="3"/>
  <c r="F47" i="5"/>
  <c r="F45" i="5" s="1"/>
  <c r="U34" i="18"/>
  <c r="U62" i="18"/>
  <c r="U98" i="18"/>
  <c r="U97" i="18"/>
  <c r="U100" i="18"/>
  <c r="U66" i="18"/>
  <c r="U96" i="18"/>
  <c r="U99" i="18"/>
  <c r="T13" i="2"/>
  <c r="H18" i="3"/>
  <c r="J18" i="3" s="1"/>
  <c r="U107" i="18"/>
  <c r="U119" i="18"/>
  <c r="U106" i="18"/>
  <c r="U109" i="18"/>
  <c r="U108" i="18"/>
  <c r="U118" i="18"/>
  <c r="U116" i="18"/>
  <c r="U117" i="18"/>
  <c r="U112" i="18"/>
  <c r="U113" i="18"/>
  <c r="V131" i="18"/>
  <c r="U114" i="18"/>
  <c r="U115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102" i="18"/>
  <c r="U103" i="18"/>
  <c r="U104" i="18"/>
  <c r="U93" i="18"/>
  <c r="U63" i="18"/>
  <c r="U37" i="18"/>
  <c r="U35" i="18"/>
  <c r="F25" i="3" l="1"/>
  <c r="V138" i="18"/>
  <c r="D7" i="5"/>
  <c r="G5" i="5"/>
  <c r="E49" i="2"/>
  <c r="G46" i="2"/>
  <c r="G44" i="2" s="1"/>
  <c r="E44" i="2"/>
  <c r="F41" i="5"/>
  <c r="F44" i="5"/>
  <c r="C5" i="6"/>
  <c r="J28" i="2"/>
  <c r="F42" i="5"/>
  <c r="F43" i="5"/>
  <c r="N16" i="2"/>
  <c r="N11" i="2" s="1"/>
  <c r="V53" i="18"/>
  <c r="H5" i="3"/>
  <c r="V106" i="18"/>
  <c r="V28" i="18"/>
  <c r="V93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11" i="18"/>
  <c r="W33" i="18"/>
  <c r="W60" i="18"/>
  <c r="W110" i="18"/>
  <c r="W32" i="18"/>
  <c r="W59" i="18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11" i="18"/>
  <c r="T59" i="18"/>
  <c r="T110" i="18"/>
  <c r="K41" i="2"/>
  <c r="N32" i="2"/>
  <c r="N30" i="2"/>
  <c r="N31" i="2"/>
  <c r="H28" i="18"/>
  <c r="H44" i="18"/>
  <c r="H45" i="18" s="1"/>
  <c r="H15" i="5"/>
  <c r="V14" i="2"/>
  <c r="I42" i="2" l="1"/>
  <c r="H93" i="18"/>
  <c r="N23" i="2"/>
  <c r="N22" i="2"/>
  <c r="M18" i="2"/>
  <c r="N21" i="2" l="1"/>
  <c r="H108" i="18"/>
  <c r="H80" i="18"/>
  <c r="H81" i="18"/>
  <c r="K42" i="2"/>
  <c r="K39" i="2" s="1"/>
  <c r="I45" i="2"/>
  <c r="I39" i="2"/>
  <c r="H106" i="18"/>
  <c r="H107" i="18"/>
  <c r="H109" i="18"/>
  <c r="T15" i="2"/>
  <c r="W131" i="18" l="1"/>
  <c r="W122" i="18"/>
  <c r="K45" i="2"/>
  <c r="J39" i="2"/>
  <c r="J9" i="2"/>
  <c r="H94" i="18"/>
  <c r="H29" i="18"/>
  <c r="T17" i="2"/>
  <c r="U15" i="2"/>
  <c r="V15" i="2"/>
  <c r="W96" i="18"/>
  <c r="W61" i="18" l="1"/>
  <c r="W112" i="18"/>
  <c r="W34" i="18"/>
  <c r="I46" i="2"/>
  <c r="N37" i="2"/>
  <c r="N35" i="2" s="1"/>
  <c r="N33" i="2"/>
  <c r="N28" i="2" s="1"/>
  <c r="T112" i="18" l="1"/>
  <c r="T34" i="18"/>
  <c r="I49" i="2"/>
  <c r="K46" i="2"/>
  <c r="K44" i="2" s="1"/>
  <c r="I44" i="2"/>
  <c r="T16" i="2"/>
  <c r="U17" i="2"/>
  <c r="V17" i="2"/>
  <c r="J44" i="2" l="1"/>
  <c r="K49" i="2"/>
  <c r="I50" i="2" l="1"/>
  <c r="I51" i="2"/>
  <c r="K51" i="2" s="1"/>
  <c r="U16" i="2"/>
  <c r="V16" i="2"/>
  <c r="W62" i="18" l="1"/>
  <c r="W113" i="18"/>
  <c r="W35" i="18"/>
  <c r="K50" i="2"/>
  <c r="K48" i="2" s="1"/>
  <c r="I48" i="2"/>
  <c r="N40" i="2"/>
  <c r="J48" i="2" l="1"/>
  <c r="T35" i="18"/>
  <c r="T113" i="18"/>
  <c r="N41" i="2"/>
  <c r="N39" i="2" s="1"/>
  <c r="N42" i="2"/>
  <c r="H17" i="5"/>
  <c r="N45" i="2" l="1"/>
  <c r="N44" i="2" s="1"/>
  <c r="H138" i="18"/>
  <c r="H131" i="18"/>
  <c r="K2" i="2" l="1"/>
  <c r="K3" i="2" s="1"/>
  <c r="K4" i="2" s="1"/>
  <c r="T18" i="2"/>
  <c r="U18" i="2" l="1"/>
  <c r="V18" i="2"/>
  <c r="P16" i="5"/>
  <c r="W98" i="18"/>
  <c r="W114" i="18" l="1"/>
  <c r="W36" i="18"/>
  <c r="T98" i="18"/>
  <c r="W63" i="18"/>
  <c r="T63" i="18" s="1"/>
  <c r="T114" i="18" l="1"/>
  <c r="T36" i="18"/>
  <c r="N46" i="2"/>
  <c r="T19" i="2"/>
  <c r="N49" i="2" l="1"/>
  <c r="W100" i="18"/>
  <c r="W101" i="18"/>
  <c r="W99" i="18"/>
  <c r="W117" i="18" l="1"/>
  <c r="W39" i="18"/>
  <c r="W66" i="18"/>
  <c r="T101" i="18"/>
  <c r="W37" i="18"/>
  <c r="T99" i="18"/>
  <c r="W115" i="18"/>
  <c r="W64" i="18"/>
  <c r="T64" i="18" s="1"/>
  <c r="W116" i="18"/>
  <c r="W38" i="18"/>
  <c r="W65" i="18"/>
  <c r="T65" i="18" s="1"/>
  <c r="T100" i="18"/>
  <c r="U19" i="2"/>
  <c r="V19" i="2"/>
  <c r="T117" i="18" l="1"/>
  <c r="T116" i="18"/>
  <c r="T38" i="18"/>
  <c r="T37" i="18"/>
  <c r="T115" i="18"/>
  <c r="N51" i="2"/>
  <c r="N50" i="2"/>
  <c r="P17" i="5"/>
  <c r="N48" i="2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2" i="18" l="1"/>
  <c r="H123" i="18" s="1"/>
  <c r="H16" i="5"/>
  <c r="H124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31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41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<sst xmlns="http://schemas.openxmlformats.org/spreadsheetml/2006/main" count="811" uniqueCount="456">
  <si>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</si>
  <si>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</si>
  <si>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</si>
  <si>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</si>
  <si>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</si>
  <si>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</si>
  <si>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</si>
  <si>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</si>
  <si>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</si>
  <si>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</si>
  <si>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</si>
  <si>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</si>
  <si>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</si>
  <si>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</si>
  <si>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</si>
  <si>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</si>
  <si>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</si>
  <si>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</si>
  <si>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</si>
  <si>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</si>
  <si>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</si>
  <si>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</si>
  <si>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</si>
  <si>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</si>
  <si>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</si>
  <si>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</si>
  <si>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</si>
  <si>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</si>
  <si>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</si>
  <si>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</si>
  <si>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</si>
  <si>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</si>
  <si>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</si>
  <si>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</si>
  <si>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</si>
  <si>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</si>
  <si>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</si>
  <si>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</si>
  <si>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</si>
  <si>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</si>
  <si>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</si>
  <si>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</si>
  <si>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</si>
  <si>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</si>
  <si>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</si>
  <si>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</si>
  <si>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</si>
  <si>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</si>
  <si>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</si>
  <si>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</si>
  <si>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</si>
  <si>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</si>
  <si>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</si>
  <si>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</si>
  <si>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</si>
  <si>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</si>
  <si>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</si>
  <si>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</si>
  <si>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</si>
  <si>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</si>
  <si>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</si>
  <si>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</si>
  <si>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</si>
  <si>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</si>
  <si>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</si>
  <si>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</si>
  <si>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</si>
  <si>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</si>
  <si>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</si>
  <si>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</si>
  <si>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</si>
  <si>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</si>
  <si>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</si>
  <si>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</si>
  <si>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</si>
  <si>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</si>
  <si>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</si>
  <si>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</si>
  <si>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</si>
  <si>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</si>
  <si>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</si>
  <si>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</si>
  <si>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</si>
  <si>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</si>
  <si>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</si>
  <si>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</si>
  <si>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</si>
  <si>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</si>
  <si>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</si>
  <si>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</si>
  <si>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</si>
  <si>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</si>
  <si>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</si>
  <si>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</si>
  <si>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</si>
  <si>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</si>
  <si>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</si>
  <si>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</si>
  <si>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</si>
  <si>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</si>
  <si>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</si>
  <si>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</si>
  <si>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</si>
  <si>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</si>
  <si>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</si>
  <si>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</si>
  <si>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</si>
  <si>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</si>
  <si>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</si>
  <si>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</si>
  <si>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</si>
  <si>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</si>
  <si>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</si>
  <si>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</si>
  <si>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</si>
  <si>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</si>
  <si>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</si>
  <si>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</si>
  <si>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</si>
  <si>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</si>
  <si>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</si>
  <si>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</si>
  <si>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</si>
  <si>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</si>
  <si>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</si>
  <si>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</si>
  <si>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</si>
  <si>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</si>
  <si>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</si>
  <si>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</si>
  <si>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</si>
  <si>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</si>
  <si>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</si>
  <si>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</si>
  <si>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</si>
  <si>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</si>
  <si>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</si>
  <si>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</si>
  <si>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</si>
  <si>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</si>
  <si>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</si>
  <si>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</si>
  <si>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</si>
  <si>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</si>
  <si>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</si>
  <si>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</si>
  <si>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</si>
  <si>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</si>
  <si>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</si>
  <si>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</si>
  <si>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</si>
  <si>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</si>
  <si>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</si>
  <si>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</si>
  <si>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</si>
  <si>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</si>
  <si>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</si>
  <si>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</si>
  <si>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</si>
  <si>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</si>
  <si>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</si>
  <si>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</si>
  <si>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</si>
  <si>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</si>
  <si>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</si>
  <si>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</si>
  <si>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</si>
  <si>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</si>
  <si>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</si>
  <si>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</si>
  <si>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</si>
  <si>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</si>
  <si>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</si>
  <si>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</si>
  <si>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</si>
  <si>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</si>
  <si>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</si>
  <si>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</si>
  <si>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</si>
  <si>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</si>
  <si>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</si>
  <si>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</si>
  <si>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</si>
  <si>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</si>
  <si>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</si>
  <si>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</si>
  <si>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</si>
  <si>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</si>
  <si>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</si>
  <si>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</si>
  <si>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</si>
  <si>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</si>
  <si>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</si>
  <si>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</si>
  <si>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</si>
  <si>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</si>
  <si>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</si>
  <si>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</si>
  <si>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</si>
  <si>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</si>
  <si>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</si>
  <si>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</si>
  <si>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</si>
  <si>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</si>
  <si>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</si>
  <si>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</si>
  <si>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</si>
  <si>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</si>
  <si>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</si>
  <si>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</si>
  <si>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</si>
  <si>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</si>
  <si>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</si>
  <si>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</si>
  <si>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</si>
  <si>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</si>
  <si>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</si>
  <si>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</si>
  <si>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</si>
  <si>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</si>
  <si>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</si>
  <si>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</si>
  <si>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</si>
  <si>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</si>
  <si>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</si>
  <si>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</si>
  <si>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</si>
  <si>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</si>
  <si>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</si>
  <si>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</si>
  <si>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</si>
  <si>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</si>
  <si>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</si>
  <si>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</si>
  <si>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</si>
  <si>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</si>
  <si>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</si>
  <si>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</si>
  <si>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</si>
  <si>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</si>
  <si>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</si>
  <si>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</si>
  <si>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</si>
  <si>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</si>
  <si>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</si>
  <si>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</si>
  <si>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</si>
  <si>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</si>
  <si>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</si>
  <si>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</si>
  <si>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</si>
  <si>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</si>
  <si>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</si>
  <si>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</si>
  <si>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</si>
  <si>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</si>
  <si>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</si>
  <si>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</si>
  <si>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</si>
  <si>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</si>
  <si>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</si>
  <si>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</si>
  <si>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</si>
  <si>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</si>
  <si>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</si>
  <si>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</si>
  <si>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</si>
  <si>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</si>
  <si>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</si>
  <si>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</si>
  <si>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</si>
  <si>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</si>
  <si>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</si>
  <si>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</si>
  <si>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</si>
  <si>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</si>
  <si>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</si>
  <si>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</si>
  <si>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</si>
  <si>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</si>
  <si>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</si>
  <si>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</si>
  <si>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</si>
  <si>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</si>
  <si>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</si>
  <si>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</si>
  <si>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</si>
  <si>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</si>
  <si>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</si>
  <si>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</si>
  <si>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</si>
  <si>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</si>
  <si>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</si>
  <si>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</si>
  <si>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</si>
  <si>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</si>
  <si>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</si>
  <si>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</si>
  <si>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</si>
  <si>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</si>
  <si>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</si>
  <si>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</si>
  <si>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</si>
  <si>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</si>
  <si>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</si>
  <si>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</si>
  <si>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</si>
  <si>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</si>
  <si>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</si>
  <si>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</si>
  <si>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</si>
  <si>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</si>
  <si>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</si>
  <si>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</si>
  <si>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</si>
  <si>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</si>
  <si>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</si>
  <si>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</si>
  <si>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</si>
  <si>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</si>
  <si>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</si>
  <si>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</si>
  <si>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Leading Edge - INV-0188</t>
  </si>
  <si>
    <t>Logistics</t>
  </si>
  <si>
    <t>DC Installation Complete</t>
  </si>
  <si>
    <t>Leading Edge - INV-0189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</si>
  <si>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</si>
  <si>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</si>
  <si>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</si>
  <si>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</si>
  <si>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</si>
  <si>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</si>
  <si>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</si>
  <si>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</si>
  <si>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</si>
  <si>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</si>
  <si>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</si>
  <si>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</si>
  <si>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</si>
  <si>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</si>
  <si>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</si>
  <si>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</si>
  <si>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Matriarch - INV-6577</t>
  </si>
  <si>
    <t>AC Equipment Budget</t>
  </si>
  <si>
    <t>6. AC Equipment</t>
  </si>
  <si>
    <t xml:space="preserve">Switchboard Inv: 2-SOI002863 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</si>
  <si>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</si>
  <si>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</si>
  <si>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</si>
  <si>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</si>
  <si>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</si>
  <si>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</si>
  <si>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</si>
  <si>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</si>
  <si>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</si>
  <si>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Ascend Deposit</t>
  </si>
  <si>
    <t>Ascend Inv-4989</t>
  </si>
  <si>
    <t>Anchor Points - Ascend Bal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</si>
  <si>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</si>
  <si>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</si>
  <si>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</si>
  <si>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</si>
  <si>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</si>
  <si>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</si>
  <si>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</si>
  <si>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</si>
  <si>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</si>
  <si>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</si>
  <si>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</si>
  <si>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</si>
  <si>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</si>
  <si>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Inv: E044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</si>
  <si>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</si>
  <si>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</si>
  <si>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</si>
  <si>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</si>
  <si>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</si>
  <si>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Rubicon - INVRED-0139197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</si>
  <si>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</si>
  <si>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</si>
  <si>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</si>
  <si>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</si>
  <si>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</si>
  <si>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</si>
  <si>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</si>
  <si>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</si>
  <si>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</si>
  <si>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</si>
  <si>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</si>
  <si>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</si>
  <si>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</si>
  <si>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</si>
  <si>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</si>
  <si>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</si>
  <si>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</si>
  <si>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</si>
  <si>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</si>
  <si>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</si>
  <si>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</si>
  <si>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</si>
  <si>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</si>
  <si>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</si>
  <si>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</si>
  <si>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</si>
  <si>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</si>
  <si>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</si>
  <si>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</si>
  <si>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</si>
  <si>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</si>
  <si>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</si>
  <si>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</si>
  <si>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</si>
  <si>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</si>
  <si>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</si>
  <si>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</si>
  <si>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</si>
  <si>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</si>
  <si>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</si>
  <si>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</si>
  <si>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</si>
  <si>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</si>
  <si>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</si>
  <si>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</si>
  <si>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</si>
  <si>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</si>
  <si>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</si>
  <si>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</si>
  <si>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</si>
  <si>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</si>
  <si>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</si>
  <si>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</si>
  <si>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</si>
  <si>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</si>
  <si>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</si>
  <si>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</si>
  <si>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</si>
  <si>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</si>
  <si>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</si>
  <si>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</si>
  <si>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</si>
  <si>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</si>
  <si>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</si>
  <si>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</si>
  <si>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</si>
  <si>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</si>
  <si>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</si>
  <si>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</si>
  <si>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</si>
  <si>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</si>
  <si>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</si>
  <si>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</si>
  <si>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</si>
  <si>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</si>
  <si>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DC trays 60%</t>
  </si>
  <si>
    <t>Aircon</t>
  </si>
  <si>
    <t>PO4653-RSM-20260303 - RV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</si>
</sst>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vertical="center"/>
      <protection locked="0"/>
    </xf>
    <xf numFmtId="14" fontId="48" fillId="9" borderId="51" xfId="0" applyNumberFormat="1" applyFont="1" applyFill="1" applyBorder="1" applyAlignment="1" applyProtection="1">
      <alignment horizontal="center"/>
      <protection locked="0"/>
    </xf>
    <xf numFmtId="14" fontId="48" fillId="11" borderId="57" xfId="0" applyNumberFormat="1" applyFont="1" applyFill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72</c:v>
                  </c:pt>
                  <c:pt idx="3">
                    <c:v>29</c:v>
                  </c:pt>
                  <c:pt idx="4">
                    <c:v>17</c:v>
                  </c:pt>
                  <c:pt idx="5">
                    <c:v>10</c:v>
                  </c:pt>
                  <c:pt idx="6">
                    <c:v>3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46094</c:v>
                </c:pt>
                <c:pt idx="6">
                  <c:v>46097</c:v>
                </c:pt>
                <c:pt idx="7">
                  <c:v>46098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46087</c:v>
                </c:pt>
                <c:pt idx="1">
                  <c:v>46087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1583513.5783359611</c:v>
                </c:pt>
                <c:pt idx="19">
                  <c:v>1583513.5783359611</c:v>
                </c:pt>
                <c:pt idx="20">
                  <c:v>1862957.1509834835</c:v>
                </c:pt>
                <c:pt idx="21">
                  <c:v>1862957.1509834835</c:v>
                </c:pt>
                <c:pt idx="22">
                  <c:v>1862957.1509834835</c:v>
                </c:pt>
                <c:pt idx="23">
                  <c:v>1862957.1509834835</c:v>
                </c:pt>
                <c:pt idx="24">
                  <c:v>1862957.1509834835</c:v>
                </c:pt>
                <c:pt idx="25">
                  <c:v>1862957.1509834835</c:v>
                </c:pt>
                <c:pt idx="26">
                  <c:v>1862957.1509834835</c:v>
                </c:pt>
                <c:pt idx="27">
                  <c:v>1862957.1509834835</c:v>
                </c:pt>
                <c:pt idx="28">
                  <c:v>1862957.1509834835</c:v>
                </c:pt>
                <c:pt idx="29">
                  <c:v>1862957.1509834835</c:v>
                </c:pt>
                <c:pt idx="30">
                  <c:v>1862957.1509834835</c:v>
                </c:pt>
                <c:pt idx="31">
                  <c:v>1862957.1509834835</c:v>
                </c:pt>
                <c:pt idx="32">
                  <c:v>1862957.1509834835</c:v>
                </c:pt>
                <c:pt idx="33">
                  <c:v>1862957.1509834835</c:v>
                </c:pt>
                <c:pt idx="34">
                  <c:v>1862957.1509834835</c:v>
                </c:pt>
                <c:pt idx="35">
                  <c:v>1862957.1509834835</c:v>
                </c:pt>
                <c:pt idx="36">
                  <c:v>1862957.1509834835</c:v>
                </c:pt>
                <c:pt idx="37">
                  <c:v>1862957.1509834835</c:v>
                </c:pt>
                <c:pt idx="38">
                  <c:v>1862957.1509834835</c:v>
                </c:pt>
                <c:pt idx="39">
                  <c:v>1862957.1509834835</c:v>
                </c:pt>
                <c:pt idx="40">
                  <c:v>1862957.1509834835</c:v>
                </c:pt>
                <c:pt idx="41">
                  <c:v>1862957.1509834835</c:v>
                </c:pt>
                <c:pt idx="42">
                  <c:v>1862957.1509834835</c:v>
                </c:pt>
                <c:pt idx="43">
                  <c:v>1862957.1509834835</c:v>
                </c:pt>
                <c:pt idx="44">
                  <c:v>1862957.1509834835</c:v>
                </c:pt>
                <c:pt idx="45">
                  <c:v>1862957.1509834835</c:v>
                </c:pt>
                <c:pt idx="46">
                  <c:v>1862957.1509834835</c:v>
                </c:pt>
                <c:pt idx="47">
                  <c:v>1862957.1509834835</c:v>
                </c:pt>
                <c:pt idx="48">
                  <c:v>1862957.1509834835</c:v>
                </c:pt>
                <c:pt idx="49">
                  <c:v>1862957.1509834835</c:v>
                </c:pt>
                <c:pt idx="50">
                  <c:v>1862957.1509834835</c:v>
                </c:pt>
                <c:pt idx="51">
                  <c:v>1862957.1509834835</c:v>
                </c:pt>
                <c:pt idx="52">
                  <c:v>1862957.1509834835</c:v>
                </c:pt>
                <c:pt idx="53">
                  <c:v>1862957.1509834835</c:v>
                </c:pt>
                <c:pt idx="54">
                  <c:v>1862957.1509834835</c:v>
                </c:pt>
                <c:pt idx="55">
                  <c:v>1862957.1509834835</c:v>
                </c:pt>
                <c:pt idx="56">
                  <c:v>1862957.1509834835</c:v>
                </c:pt>
                <c:pt idx="57">
                  <c:v>1862957.1509834835</c:v>
                </c:pt>
                <c:pt idx="58">
                  <c:v>1862957.1509834835</c:v>
                </c:pt>
                <c:pt idx="59">
                  <c:v>1862957.1509834835</c:v>
                </c:pt>
                <c:pt idx="60">
                  <c:v>1862957.1509834835</c:v>
                </c:pt>
                <c:pt idx="61">
                  <c:v>1862957.1509834835</c:v>
                </c:pt>
                <c:pt idx="62">
                  <c:v>1862957.1509834835</c:v>
                </c:pt>
                <c:pt idx="63">
                  <c:v>1862957.1509834835</c:v>
                </c:pt>
                <c:pt idx="64">
                  <c:v>1862957.1509834835</c:v>
                </c:pt>
                <c:pt idx="65">
                  <c:v>1862957.1509834835</c:v>
                </c:pt>
                <c:pt idx="66">
                  <c:v>1862957.1509834835</c:v>
                </c:pt>
                <c:pt idx="67">
                  <c:v>1862957.1509834835</c:v>
                </c:pt>
                <c:pt idx="68">
                  <c:v>1862957.1509834835</c:v>
                </c:pt>
                <c:pt idx="69">
                  <c:v>1862957.1509834835</c:v>
                </c:pt>
                <c:pt idx="70">
                  <c:v>1862957.1509834835</c:v>
                </c:pt>
                <c:pt idx="71">
                  <c:v>1862957.1509834835</c:v>
                </c:pt>
                <c:pt idx="72">
                  <c:v>1862957.1509834835</c:v>
                </c:pt>
                <c:pt idx="73">
                  <c:v>1862957.1509834835</c:v>
                </c:pt>
                <c:pt idx="74">
                  <c:v>1862957.1509834835</c:v>
                </c:pt>
                <c:pt idx="75">
                  <c:v>1862957.1509834835</c:v>
                </c:pt>
                <c:pt idx="76">
                  <c:v>1862957.1509834835</c:v>
                </c:pt>
                <c:pt idx="77">
                  <c:v>1862957.1509834835</c:v>
                </c:pt>
                <c:pt idx="78">
                  <c:v>1862957.1509834835</c:v>
                </c:pt>
                <c:pt idx="79">
                  <c:v>1862957.1509834835</c:v>
                </c:pt>
                <c:pt idx="80">
                  <c:v>1862957.1509834835</c:v>
                </c:pt>
                <c:pt idx="81">
                  <c:v>1862957.1509834835</c:v>
                </c:pt>
                <c:pt idx="82">
                  <c:v>1862957.1509834835</c:v>
                </c:pt>
                <c:pt idx="83">
                  <c:v>1862957.1509834835</c:v>
                </c:pt>
                <c:pt idx="84">
                  <c:v>1862957.1509834835</c:v>
                </c:pt>
                <c:pt idx="85">
                  <c:v>1862957.1509834835</c:v>
                </c:pt>
                <c:pt idx="86">
                  <c:v>1862957.1509834835</c:v>
                </c:pt>
                <c:pt idx="87">
                  <c:v>1862957.1509834835</c:v>
                </c:pt>
                <c:pt idx="88">
                  <c:v>1862957.1509834835</c:v>
                </c:pt>
                <c:pt idx="89">
                  <c:v>1862957.1509834835</c:v>
                </c:pt>
                <c:pt idx="90">
                  <c:v>1862957.1509834835</c:v>
                </c:pt>
                <c:pt idx="91">
                  <c:v>1862957.1509834835</c:v>
                </c:pt>
                <c:pt idx="92">
                  <c:v>1862957.1509834835</c:v>
                </c:pt>
                <c:pt idx="93">
                  <c:v>1862957.1509834835</c:v>
                </c:pt>
                <c:pt idx="94">
                  <c:v>1862957.1509834835</c:v>
                </c:pt>
                <c:pt idx="95">
                  <c:v>1862957.1509834835</c:v>
                </c:pt>
                <c:pt idx="96">
                  <c:v>1862957.1509834835</c:v>
                </c:pt>
                <c:pt idx="97">
                  <c:v>1862957.1509834835</c:v>
                </c:pt>
                <c:pt idx="98">
                  <c:v>1862957.1509834835</c:v>
                </c:pt>
                <c:pt idx="99">
                  <c:v>1862957.1509834835</c:v>
                </c:pt>
                <c:pt idx="100">
                  <c:v>1862957.1509834835</c:v>
                </c:pt>
                <c:pt idx="101">
                  <c:v>1862957.1509834835</c:v>
                </c:pt>
                <c:pt idx="102">
                  <c:v>1862957.1509834835</c:v>
                </c:pt>
                <c:pt idx="103">
                  <c:v>1862957.1509834835</c:v>
                </c:pt>
                <c:pt idx="104">
                  <c:v>1862957.1509834835</c:v>
                </c:pt>
                <c:pt idx="105">
                  <c:v>1862957.1509834835</c:v>
                </c:pt>
                <c:pt idx="106">
                  <c:v>1862957.1509834835</c:v>
                </c:pt>
                <c:pt idx="107">
                  <c:v>1862957.1509834835</c:v>
                </c:pt>
                <c:pt idx="108">
                  <c:v>1862957.1509834835</c:v>
                </c:pt>
                <c:pt idx="109">
                  <c:v>1862957.1509834835</c:v>
                </c:pt>
                <c:pt idx="110">
                  <c:v>1862957.1509834835</c:v>
                </c:pt>
                <c:pt idx="111">
                  <c:v>1862957.1509834835</c:v>
                </c:pt>
                <c:pt idx="112">
                  <c:v>1862957.1509834835</c:v>
                </c:pt>
                <c:pt idx="113">
                  <c:v>1862957.1509834835</c:v>
                </c:pt>
                <c:pt idx="114">
                  <c:v>1862957.1509834835</c:v>
                </c:pt>
                <c:pt idx="115">
                  <c:v>1862957.1509834835</c:v>
                </c:pt>
                <c:pt idx="116">
                  <c:v>1862957.1509834835</c:v>
                </c:pt>
                <c:pt idx="117">
                  <c:v>1862957.1509834835</c:v>
                </c:pt>
                <c:pt idx="118">
                  <c:v>1862957.1509834835</c:v>
                </c:pt>
                <c:pt idx="119">
                  <c:v>1862957.1509834835</c:v>
                </c:pt>
                <c:pt idx="120">
                  <c:v>1862957.1509834835</c:v>
                </c:pt>
                <c:pt idx="121">
                  <c:v>1862957.1509834835</c:v>
                </c:pt>
                <c:pt idx="122">
                  <c:v>1862957.1509834835</c:v>
                </c:pt>
                <c:pt idx="123">
                  <c:v>1862957.1509834835</c:v>
                </c:pt>
                <c:pt idx="124">
                  <c:v>1862957.1509834835</c:v>
                </c:pt>
                <c:pt idx="125">
                  <c:v>1862957.1509834835</c:v>
                </c:pt>
                <c:pt idx="126">
                  <c:v>1862957.1509834835</c:v>
                </c:pt>
                <c:pt idx="127">
                  <c:v>1862957.1509834835</c:v>
                </c:pt>
                <c:pt idx="128">
                  <c:v>1862957.1509834835</c:v>
                </c:pt>
                <c:pt idx="129">
                  <c:v>1862957.1509834835</c:v>
                </c:pt>
                <c:pt idx="130">
                  <c:v>1862957.1509834835</c:v>
                </c:pt>
                <c:pt idx="131">
                  <c:v>1862957.1509834835</c:v>
                </c:pt>
                <c:pt idx="132">
                  <c:v>1862957.1509834835</c:v>
                </c:pt>
                <c:pt idx="133">
                  <c:v>1862957.1509834835</c:v>
                </c:pt>
                <c:pt idx="134">
                  <c:v>1862957.1509834835</c:v>
                </c:pt>
                <c:pt idx="135">
                  <c:v>1862957.1509834835</c:v>
                </c:pt>
                <c:pt idx="136">
                  <c:v>1862957.1509834835</c:v>
                </c:pt>
                <c:pt idx="137">
                  <c:v>1862957.1509834835</c:v>
                </c:pt>
                <c:pt idx="138">
                  <c:v>1862957.1509834835</c:v>
                </c:pt>
                <c:pt idx="139">
                  <c:v>1862957.1509834835</c:v>
                </c:pt>
                <c:pt idx="140">
                  <c:v>1862957.1509834835</c:v>
                </c:pt>
                <c:pt idx="141">
                  <c:v>1862957.1509834835</c:v>
                </c:pt>
                <c:pt idx="142">
                  <c:v>1862957.1509834835</c:v>
                </c:pt>
                <c:pt idx="143">
                  <c:v>1862957.1509834835</c:v>
                </c:pt>
                <c:pt idx="144">
                  <c:v>1862957.1509834835</c:v>
                </c:pt>
                <c:pt idx="145">
                  <c:v>1862957.1509834835</c:v>
                </c:pt>
                <c:pt idx="146">
                  <c:v>1862957.1509834835</c:v>
                </c:pt>
                <c:pt idx="147">
                  <c:v>1862957.1509834835</c:v>
                </c:pt>
                <c:pt idx="148">
                  <c:v>1862957.1509834835</c:v>
                </c:pt>
                <c:pt idx="149">
                  <c:v>1862957.1509834835</c:v>
                </c:pt>
                <c:pt idx="150">
                  <c:v>1862957.1509834835</c:v>
                </c:pt>
                <c:pt idx="151">
                  <c:v>1862957.1509834835</c:v>
                </c:pt>
                <c:pt idx="152">
                  <c:v>1862957.1509834835</c:v>
                </c:pt>
                <c:pt idx="153">
                  <c:v>1862957.1509834835</c:v>
                </c:pt>
                <c:pt idx="154">
                  <c:v>1862957.1509834835</c:v>
                </c:pt>
                <c:pt idx="155">
                  <c:v>1862957.1509834835</c:v>
                </c:pt>
                <c:pt idx="156">
                  <c:v>1862957.1509834835</c:v>
                </c:pt>
                <c:pt idx="157">
                  <c:v>1862957.1509834835</c:v>
                </c:pt>
                <c:pt idx="158">
                  <c:v>1862957.1509834835</c:v>
                </c:pt>
                <c:pt idx="159">
                  <c:v>1862957.1509834835</c:v>
                </c:pt>
                <c:pt idx="160">
                  <c:v>1862957.1509834835</c:v>
                </c:pt>
                <c:pt idx="161">
                  <c:v>1862957.1509834835</c:v>
                </c:pt>
                <c:pt idx="162">
                  <c:v>1862957.1509834835</c:v>
                </c:pt>
                <c:pt idx="163">
                  <c:v>1862957.1509834835</c:v>
                </c:pt>
                <c:pt idx="164">
                  <c:v>1862957.1509834835</c:v>
                </c:pt>
                <c:pt idx="165">
                  <c:v>1862957.1509834835</c:v>
                </c:pt>
                <c:pt idx="166">
                  <c:v>1862957.1509834835</c:v>
                </c:pt>
                <c:pt idx="167">
                  <c:v>1862957.1509834835</c:v>
                </c:pt>
                <c:pt idx="168">
                  <c:v>1862957.1509834835</c:v>
                </c:pt>
                <c:pt idx="169">
                  <c:v>1862957.1509834835</c:v>
                </c:pt>
                <c:pt idx="170">
                  <c:v>1862957.1509834835</c:v>
                </c:pt>
                <c:pt idx="171">
                  <c:v>1862957.1509834835</c:v>
                </c:pt>
                <c:pt idx="172">
                  <c:v>1862957.1509834835</c:v>
                </c:pt>
                <c:pt idx="173">
                  <c:v>1862957.1509834835</c:v>
                </c:pt>
                <c:pt idx="174">
                  <c:v>1862957.1509834835</c:v>
                </c:pt>
                <c:pt idx="175">
                  <c:v>1862957.1509834835</c:v>
                </c:pt>
                <c:pt idx="176">
                  <c:v>1862957.1509834835</c:v>
                </c:pt>
                <c:pt idx="177">
                  <c:v>1862957.1509834835</c:v>
                </c:pt>
                <c:pt idx="178">
                  <c:v>1862957.1509834835</c:v>
                </c:pt>
                <c:pt idx="179">
                  <c:v>1862957.1509834835</c:v>
                </c:pt>
                <c:pt idx="180">
                  <c:v>1862957.1509834835</c:v>
                </c:pt>
                <c:pt idx="181">
                  <c:v>1862957.1509834835</c:v>
                </c:pt>
                <c:pt idx="182">
                  <c:v>1862957.1509834835</c:v>
                </c:pt>
                <c:pt idx="183">
                  <c:v>1862957.1509834835</c:v>
                </c:pt>
                <c:pt idx="184">
                  <c:v>1862957.1509834835</c:v>
                </c:pt>
                <c:pt idx="185">
                  <c:v>1862957.1509834835</c:v>
                </c:pt>
                <c:pt idx="186">
                  <c:v>1862957.1509834835</c:v>
                </c:pt>
                <c:pt idx="187">
                  <c:v>1862957.1509834835</c:v>
                </c:pt>
                <c:pt idx="188">
                  <c:v>1862957.1509834835</c:v>
                </c:pt>
                <c:pt idx="189">
                  <c:v>1862957.1509834835</c:v>
                </c:pt>
                <c:pt idx="190">
                  <c:v>1862957.1509834835</c:v>
                </c:pt>
                <c:pt idx="191">
                  <c:v>1862957.1509834835</c:v>
                </c:pt>
                <c:pt idx="192">
                  <c:v>1862957.1509834835</c:v>
                </c:pt>
                <c:pt idx="193">
                  <c:v>1862957.1509834835</c:v>
                </c:pt>
                <c:pt idx="194">
                  <c:v>1862957.1509834835</c:v>
                </c:pt>
                <c:pt idx="195">
                  <c:v>1862957.1509834835</c:v>
                </c:pt>
                <c:pt idx="196">
                  <c:v>1862957.1509834835</c:v>
                </c:pt>
                <c:pt idx="197">
                  <c:v>1862957.1509834835</c:v>
                </c:pt>
                <c:pt idx="198">
                  <c:v>1862957.1509834835</c:v>
                </c:pt>
                <c:pt idx="199">
                  <c:v>1862957.1509834835</c:v>
                </c:pt>
                <c:pt idx="200">
                  <c:v>1862957.1509834835</c:v>
                </c:pt>
                <c:pt idx="201">
                  <c:v>1862957.1509834835</c:v>
                </c:pt>
                <c:pt idx="202">
                  <c:v>1862957.1509834835</c:v>
                </c:pt>
                <c:pt idx="203">
                  <c:v>1862957.1509834835</c:v>
                </c:pt>
                <c:pt idx="204">
                  <c:v>1862957.1509834835</c:v>
                </c:pt>
                <c:pt idx="205">
                  <c:v>1862957.1509834835</c:v>
                </c:pt>
                <c:pt idx="206">
                  <c:v>1862957.1509834835</c:v>
                </c:pt>
                <c:pt idx="207">
                  <c:v>1862957.1509834835</c:v>
                </c:pt>
                <c:pt idx="208">
                  <c:v>1862957.1509834835</c:v>
                </c:pt>
                <c:pt idx="209">
                  <c:v>1862957.1509834835</c:v>
                </c:pt>
                <c:pt idx="210">
                  <c:v>1862957.1509834835</c:v>
                </c:pt>
                <c:pt idx="211">
                  <c:v>1862957.1509834835</c:v>
                </c:pt>
                <c:pt idx="212">
                  <c:v>1862957.1509834835</c:v>
                </c:pt>
                <c:pt idx="213">
                  <c:v>1862957.1509834835</c:v>
                </c:pt>
                <c:pt idx="214">
                  <c:v>1862957.1509834835</c:v>
                </c:pt>
                <c:pt idx="215">
                  <c:v>1862957.1509834835</c:v>
                </c:pt>
                <c:pt idx="216">
                  <c:v>1862957.1509834835</c:v>
                </c:pt>
                <c:pt idx="217">
                  <c:v>1862957.1509834835</c:v>
                </c:pt>
                <c:pt idx="218">
                  <c:v>1862957.1509834835</c:v>
                </c:pt>
                <c:pt idx="219">
                  <c:v>1862957.1509834835</c:v>
                </c:pt>
                <c:pt idx="220">
                  <c:v>1862957.1509834835</c:v>
                </c:pt>
                <c:pt idx="221">
                  <c:v>1862957.1509834835</c:v>
                </c:pt>
                <c:pt idx="222">
                  <c:v>1862957.1509834835</c:v>
                </c:pt>
                <c:pt idx="223">
                  <c:v>1862957.1509834835</c:v>
                </c:pt>
                <c:pt idx="224">
                  <c:v>1862957.1509834835</c:v>
                </c:pt>
                <c:pt idx="225">
                  <c:v>1862957.1509834835</c:v>
                </c:pt>
                <c:pt idx="226">
                  <c:v>1862957.1509834835</c:v>
                </c:pt>
                <c:pt idx="227">
                  <c:v>1862957.1509834835</c:v>
                </c:pt>
                <c:pt idx="228">
                  <c:v>1862957.1509834835</c:v>
                </c:pt>
                <c:pt idx="229">
                  <c:v>1862957.1509834835</c:v>
                </c:pt>
                <c:pt idx="230">
                  <c:v>1862957.1509834835</c:v>
                </c:pt>
                <c:pt idx="231">
                  <c:v>1862957.1509834835</c:v>
                </c:pt>
                <c:pt idx="232">
                  <c:v>1862957.1509834835</c:v>
                </c:pt>
                <c:pt idx="233">
                  <c:v>1862957.1509834835</c:v>
                </c:pt>
                <c:pt idx="234">
                  <c:v>1862957.1509834835</c:v>
                </c:pt>
                <c:pt idx="235">
                  <c:v>1862957.1509834835</c:v>
                </c:pt>
                <c:pt idx="236">
                  <c:v>1862957.1509834835</c:v>
                </c:pt>
                <c:pt idx="237">
                  <c:v>1862957.1509834835</c:v>
                </c:pt>
                <c:pt idx="238">
                  <c:v>1862957.1509834835</c:v>
                </c:pt>
                <c:pt idx="239">
                  <c:v>1862957.1509834835</c:v>
                </c:pt>
                <c:pt idx="240">
                  <c:v>1862957.1509834835</c:v>
                </c:pt>
                <c:pt idx="241">
                  <c:v>1862957.1509834835</c:v>
                </c:pt>
                <c:pt idx="242">
                  <c:v>1862957.1509834835</c:v>
                </c:pt>
                <c:pt idx="243">
                  <c:v>1862957.1509834835</c:v>
                </c:pt>
                <c:pt idx="244">
                  <c:v>1862957.1509834835</c:v>
                </c:pt>
                <c:pt idx="245">
                  <c:v>1862957.1509834835</c:v>
                </c:pt>
                <c:pt idx="246">
                  <c:v>1862957.1509834835</c:v>
                </c:pt>
                <c:pt idx="247">
                  <c:v>1862957.1509834835</c:v>
                </c:pt>
                <c:pt idx="248">
                  <c:v>1862957.1509834835</c:v>
                </c:pt>
                <c:pt idx="249">
                  <c:v>1862957.1509834835</c:v>
                </c:pt>
                <c:pt idx="250">
                  <c:v>1862957.1509834835</c:v>
                </c:pt>
                <c:pt idx="251">
                  <c:v>1862957.1509834835</c:v>
                </c:pt>
                <c:pt idx="252">
                  <c:v>1862957.1509834835</c:v>
                </c:pt>
                <c:pt idx="253">
                  <c:v>1862957.1509834835</c:v>
                </c:pt>
                <c:pt idx="254">
                  <c:v>1862957.1509834835</c:v>
                </c:pt>
                <c:pt idx="255">
                  <c:v>1862957.1509834835</c:v>
                </c:pt>
                <c:pt idx="256">
                  <c:v>1862957.1509834835</c:v>
                </c:pt>
                <c:pt idx="257">
                  <c:v>1862957.1509834835</c:v>
                </c:pt>
                <c:pt idx="258">
                  <c:v>1862957.1509834835</c:v>
                </c:pt>
                <c:pt idx="259">
                  <c:v>1862957.1509834835</c:v>
                </c:pt>
                <c:pt idx="260">
                  <c:v>1862957.1509834835</c:v>
                </c:pt>
                <c:pt idx="261">
                  <c:v>1862957.1509834835</c:v>
                </c:pt>
                <c:pt idx="262">
                  <c:v>1862957.1509834835</c:v>
                </c:pt>
                <c:pt idx="263">
                  <c:v>1862957.1509834835</c:v>
                </c:pt>
                <c:pt idx="264">
                  <c:v>1862957.1509834835</c:v>
                </c:pt>
                <c:pt idx="265">
                  <c:v>1862957.1509834835</c:v>
                </c:pt>
                <c:pt idx="266">
                  <c:v>1862957.1509834835</c:v>
                </c:pt>
                <c:pt idx="267">
                  <c:v>1862957.1509834835</c:v>
                </c:pt>
                <c:pt idx="268">
                  <c:v>1862957.1509834835</c:v>
                </c:pt>
                <c:pt idx="269">
                  <c:v>1862957.1509834835</c:v>
                </c:pt>
                <c:pt idx="270">
                  <c:v>1862957.1509834835</c:v>
                </c:pt>
                <c:pt idx="271">
                  <c:v>1862957.1509834835</c:v>
                </c:pt>
                <c:pt idx="272">
                  <c:v>1862957.1509834835</c:v>
                </c:pt>
                <c:pt idx="273">
                  <c:v>1862957.1509834835</c:v>
                </c:pt>
                <c:pt idx="274">
                  <c:v>1862957.1509834835</c:v>
                </c:pt>
                <c:pt idx="275">
                  <c:v>1862957.1509834835</c:v>
                </c:pt>
                <c:pt idx="276">
                  <c:v>1862957.1509834835</c:v>
                </c:pt>
                <c:pt idx="277">
                  <c:v>1862957.1509834835</c:v>
                </c:pt>
                <c:pt idx="278">
                  <c:v>1862957.1509834835</c:v>
                </c:pt>
                <c:pt idx="279">
                  <c:v>1862957.1509834835</c:v>
                </c:pt>
                <c:pt idx="280">
                  <c:v>1862957.1509834835</c:v>
                </c:pt>
                <c:pt idx="281">
                  <c:v>1862957.1509834835</c:v>
                </c:pt>
                <c:pt idx="282">
                  <c:v>1862957.1509834835</c:v>
                </c:pt>
                <c:pt idx="283">
                  <c:v>1862957.1509834835</c:v>
                </c:pt>
                <c:pt idx="284">
                  <c:v>1862957.1509834835</c:v>
                </c:pt>
                <c:pt idx="285">
                  <c:v>1862957.1509834835</c:v>
                </c:pt>
                <c:pt idx="286">
                  <c:v>1862957.1509834835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125438.71400000002</c:v>
                </c:pt>
                <c:pt idx="12">
                  <c:v>207061.94800000003</c:v>
                </c:pt>
                <c:pt idx="13">
                  <c:v>240777.39800000004</c:v>
                </c:pt>
                <c:pt idx="14">
                  <c:v>240777.39800000004</c:v>
                </c:pt>
                <c:pt idx="15">
                  <c:v>420448.56800000009</c:v>
                </c:pt>
                <c:pt idx="16">
                  <c:v>472226.66800000006</c:v>
                </c:pt>
                <c:pt idx="17">
                  <c:v>472226.66800000006</c:v>
                </c:pt>
                <c:pt idx="18">
                  <c:v>594268.81900000002</c:v>
                </c:pt>
                <c:pt idx="19">
                  <c:v>1102976.8588872936</c:v>
                </c:pt>
                <c:pt idx="20">
                  <c:v>1272128.3658872936</c:v>
                </c:pt>
                <c:pt idx="21">
                  <c:v>1283285.8658872936</c:v>
                </c:pt>
                <c:pt idx="22">
                  <c:v>1303626.2243872937</c:v>
                </c:pt>
                <c:pt idx="23">
                  <c:v>1303626.2243872937</c:v>
                </c:pt>
                <c:pt idx="24">
                  <c:v>1303626.2243872937</c:v>
                </c:pt>
                <c:pt idx="25">
                  <c:v>1303783.7243872937</c:v>
                </c:pt>
                <c:pt idx="26">
                  <c:v>1303783.7243872937</c:v>
                </c:pt>
                <c:pt idx="27">
                  <c:v>1303783.7243872937</c:v>
                </c:pt>
                <c:pt idx="28">
                  <c:v>1303783.7243872937</c:v>
                </c:pt>
                <c:pt idx="29">
                  <c:v>1303783.7243872937</c:v>
                </c:pt>
                <c:pt idx="30">
                  <c:v>1303783.7243872937</c:v>
                </c:pt>
                <c:pt idx="31">
                  <c:v>1303783.7243872937</c:v>
                </c:pt>
                <c:pt idx="32">
                  <c:v>1303783.7243872937</c:v>
                </c:pt>
                <c:pt idx="33">
                  <c:v>1303783.7243872937</c:v>
                </c:pt>
                <c:pt idx="34">
                  <c:v>1303783.7243872937</c:v>
                </c:pt>
                <c:pt idx="35">
                  <c:v>1303783.7243872937</c:v>
                </c:pt>
                <c:pt idx="36">
                  <c:v>1303783.7243872937</c:v>
                </c:pt>
                <c:pt idx="37">
                  <c:v>1303783.7243872937</c:v>
                </c:pt>
                <c:pt idx="38">
                  <c:v>1303783.7243872937</c:v>
                </c:pt>
                <c:pt idx="39">
                  <c:v>1303783.7243872937</c:v>
                </c:pt>
                <c:pt idx="40">
                  <c:v>1303783.7243872937</c:v>
                </c:pt>
                <c:pt idx="41">
                  <c:v>1303783.7243872937</c:v>
                </c:pt>
                <c:pt idx="42">
                  <c:v>1303783.7243872937</c:v>
                </c:pt>
                <c:pt idx="43">
                  <c:v>1303783.7243872937</c:v>
                </c:pt>
                <c:pt idx="44">
                  <c:v>1303783.7243872937</c:v>
                </c:pt>
                <c:pt idx="45">
                  <c:v>1303783.7243872937</c:v>
                </c:pt>
                <c:pt idx="46">
                  <c:v>1303783.7243872937</c:v>
                </c:pt>
                <c:pt idx="47">
                  <c:v>1303783.7243872937</c:v>
                </c:pt>
                <c:pt idx="48">
                  <c:v>1303783.7243872937</c:v>
                </c:pt>
                <c:pt idx="49">
                  <c:v>1303783.7243872937</c:v>
                </c:pt>
                <c:pt idx="50">
                  <c:v>1303783.7243872937</c:v>
                </c:pt>
                <c:pt idx="51">
                  <c:v>1303783.7243872937</c:v>
                </c:pt>
                <c:pt idx="52">
                  <c:v>1303783.7243872937</c:v>
                </c:pt>
                <c:pt idx="53">
                  <c:v>1303783.7243872937</c:v>
                </c:pt>
                <c:pt idx="54">
                  <c:v>1303783.7243872937</c:v>
                </c:pt>
                <c:pt idx="55">
                  <c:v>1303783.7243872937</c:v>
                </c:pt>
                <c:pt idx="56">
                  <c:v>1303783.7243872937</c:v>
                </c:pt>
                <c:pt idx="57">
                  <c:v>1303783.7243872937</c:v>
                </c:pt>
                <c:pt idx="58">
                  <c:v>1303783.7243872937</c:v>
                </c:pt>
                <c:pt idx="59">
                  <c:v>1303783.7243872937</c:v>
                </c:pt>
                <c:pt idx="60">
                  <c:v>1303783.7243872937</c:v>
                </c:pt>
                <c:pt idx="61">
                  <c:v>1303783.7243872937</c:v>
                </c:pt>
                <c:pt idx="62">
                  <c:v>1303783.7243872937</c:v>
                </c:pt>
                <c:pt idx="63">
                  <c:v>1303783.7243872937</c:v>
                </c:pt>
                <c:pt idx="64">
                  <c:v>1303783.7243872937</c:v>
                </c:pt>
                <c:pt idx="65">
                  <c:v>1303783.7243872937</c:v>
                </c:pt>
                <c:pt idx="66">
                  <c:v>1303783.7243872937</c:v>
                </c:pt>
                <c:pt idx="67">
                  <c:v>1303783.7243872937</c:v>
                </c:pt>
                <c:pt idx="68">
                  <c:v>1303783.7243872937</c:v>
                </c:pt>
                <c:pt idx="69">
                  <c:v>1303783.7243872937</c:v>
                </c:pt>
                <c:pt idx="70">
                  <c:v>1303783.7243872937</c:v>
                </c:pt>
                <c:pt idx="71">
                  <c:v>1303783.7243872937</c:v>
                </c:pt>
                <c:pt idx="72">
                  <c:v>1303783.7243872937</c:v>
                </c:pt>
                <c:pt idx="73">
                  <c:v>1303783.7243872937</c:v>
                </c:pt>
                <c:pt idx="74">
                  <c:v>1303783.7243872937</c:v>
                </c:pt>
                <c:pt idx="75">
                  <c:v>1303783.7243872937</c:v>
                </c:pt>
                <c:pt idx="76">
                  <c:v>1303783.7243872937</c:v>
                </c:pt>
                <c:pt idx="77">
                  <c:v>1303783.7243872937</c:v>
                </c:pt>
                <c:pt idx="78">
                  <c:v>1303783.7243872937</c:v>
                </c:pt>
                <c:pt idx="79">
                  <c:v>1303783.7243872937</c:v>
                </c:pt>
                <c:pt idx="80">
                  <c:v>1303783.7243872937</c:v>
                </c:pt>
                <c:pt idx="81">
                  <c:v>1303783.7243872937</c:v>
                </c:pt>
                <c:pt idx="82">
                  <c:v>1303783.7243872937</c:v>
                </c:pt>
                <c:pt idx="83">
                  <c:v>1303783.7243872937</c:v>
                </c:pt>
                <c:pt idx="84">
                  <c:v>1303783.7243872937</c:v>
                </c:pt>
                <c:pt idx="85">
                  <c:v>1303783.7243872937</c:v>
                </c:pt>
                <c:pt idx="86">
                  <c:v>1303783.7243872937</c:v>
                </c:pt>
                <c:pt idx="87">
                  <c:v>1303783.7243872937</c:v>
                </c:pt>
                <c:pt idx="88">
                  <c:v>1303783.7243872937</c:v>
                </c:pt>
                <c:pt idx="89">
                  <c:v>1303783.7243872937</c:v>
                </c:pt>
                <c:pt idx="90">
                  <c:v>1303783.7243872937</c:v>
                </c:pt>
                <c:pt idx="91">
                  <c:v>1303783.7243872937</c:v>
                </c:pt>
                <c:pt idx="92">
                  <c:v>1303783.7243872937</c:v>
                </c:pt>
                <c:pt idx="93">
                  <c:v>1303783.7243872937</c:v>
                </c:pt>
                <c:pt idx="94">
                  <c:v>1303783.7243872937</c:v>
                </c:pt>
                <c:pt idx="95">
                  <c:v>1303783.7243872937</c:v>
                </c:pt>
                <c:pt idx="96">
                  <c:v>1303783.7243872937</c:v>
                </c:pt>
                <c:pt idx="97">
                  <c:v>1303783.7243872937</c:v>
                </c:pt>
                <c:pt idx="98">
                  <c:v>1303783.7243872937</c:v>
                </c:pt>
                <c:pt idx="99">
                  <c:v>1303783.7243872937</c:v>
                </c:pt>
                <c:pt idx="100">
                  <c:v>1303783.7243872937</c:v>
                </c:pt>
                <c:pt idx="101">
                  <c:v>1303783.7243872937</c:v>
                </c:pt>
                <c:pt idx="102">
                  <c:v>1303783.7243872937</c:v>
                </c:pt>
                <c:pt idx="103">
                  <c:v>1303783.7243872937</c:v>
                </c:pt>
                <c:pt idx="104">
                  <c:v>1303783.7243872937</c:v>
                </c:pt>
                <c:pt idx="105">
                  <c:v>1303783.7243872937</c:v>
                </c:pt>
                <c:pt idx="106">
                  <c:v>1303783.7243872937</c:v>
                </c:pt>
                <c:pt idx="107">
                  <c:v>1303783.7243872937</c:v>
                </c:pt>
                <c:pt idx="108">
                  <c:v>1303783.7243872937</c:v>
                </c:pt>
                <c:pt idx="109">
                  <c:v>1303783.7243872937</c:v>
                </c:pt>
                <c:pt idx="110">
                  <c:v>1303783.7243872937</c:v>
                </c:pt>
                <c:pt idx="111">
                  <c:v>1303783.7243872937</c:v>
                </c:pt>
                <c:pt idx="112">
                  <c:v>1303783.7243872937</c:v>
                </c:pt>
                <c:pt idx="113">
                  <c:v>1303783.7243872937</c:v>
                </c:pt>
                <c:pt idx="114">
                  <c:v>1303783.7243872937</c:v>
                </c:pt>
                <c:pt idx="115">
                  <c:v>1303783.7243872937</c:v>
                </c:pt>
                <c:pt idx="116">
                  <c:v>1303783.7243872937</c:v>
                </c:pt>
                <c:pt idx="117">
                  <c:v>1303783.7243872937</c:v>
                </c:pt>
                <c:pt idx="118">
                  <c:v>1303783.7243872937</c:v>
                </c:pt>
                <c:pt idx="119">
                  <c:v>1303783.7243872937</c:v>
                </c:pt>
                <c:pt idx="120">
                  <c:v>1303783.7243872937</c:v>
                </c:pt>
                <c:pt idx="121">
                  <c:v>1303783.7243872937</c:v>
                </c:pt>
                <c:pt idx="122">
                  <c:v>1303783.7243872937</c:v>
                </c:pt>
                <c:pt idx="123">
                  <c:v>1303783.7243872937</c:v>
                </c:pt>
                <c:pt idx="124">
                  <c:v>1303783.7243872937</c:v>
                </c:pt>
                <c:pt idx="125">
                  <c:v>1303783.7243872937</c:v>
                </c:pt>
                <c:pt idx="126">
                  <c:v>1303783.7243872937</c:v>
                </c:pt>
                <c:pt idx="127">
                  <c:v>1303783.7243872937</c:v>
                </c:pt>
                <c:pt idx="128">
                  <c:v>1303783.7243872937</c:v>
                </c:pt>
                <c:pt idx="129">
                  <c:v>1303783.7243872937</c:v>
                </c:pt>
                <c:pt idx="130">
                  <c:v>1303783.7243872937</c:v>
                </c:pt>
                <c:pt idx="131">
                  <c:v>1303783.7243872937</c:v>
                </c:pt>
                <c:pt idx="132">
                  <c:v>1303783.7243872937</c:v>
                </c:pt>
                <c:pt idx="133">
                  <c:v>1303783.7243872937</c:v>
                </c:pt>
                <c:pt idx="134">
                  <c:v>1303783.7243872937</c:v>
                </c:pt>
                <c:pt idx="135">
                  <c:v>1303783.7243872937</c:v>
                </c:pt>
                <c:pt idx="136">
                  <c:v>1303783.7243872937</c:v>
                </c:pt>
                <c:pt idx="137">
                  <c:v>1303783.7243872937</c:v>
                </c:pt>
                <c:pt idx="138">
                  <c:v>1303783.7243872937</c:v>
                </c:pt>
                <c:pt idx="139">
                  <c:v>1303783.7243872937</c:v>
                </c:pt>
                <c:pt idx="140">
                  <c:v>1303783.7243872937</c:v>
                </c:pt>
                <c:pt idx="141">
                  <c:v>1303783.7243872937</c:v>
                </c:pt>
                <c:pt idx="142">
                  <c:v>1303783.7243872937</c:v>
                </c:pt>
                <c:pt idx="143">
                  <c:v>1303783.7243872937</c:v>
                </c:pt>
                <c:pt idx="144">
                  <c:v>1303783.7243872937</c:v>
                </c:pt>
                <c:pt idx="145">
                  <c:v>1303783.7243872937</c:v>
                </c:pt>
                <c:pt idx="146">
                  <c:v>1303783.7243872937</c:v>
                </c:pt>
                <c:pt idx="147">
                  <c:v>1303783.7243872937</c:v>
                </c:pt>
                <c:pt idx="148">
                  <c:v>1303783.7243872937</c:v>
                </c:pt>
                <c:pt idx="149">
                  <c:v>1303783.7243872937</c:v>
                </c:pt>
                <c:pt idx="150">
                  <c:v>1303783.7243872937</c:v>
                </c:pt>
                <c:pt idx="151">
                  <c:v>1303783.7243872937</c:v>
                </c:pt>
                <c:pt idx="152">
                  <c:v>1303783.7243872937</c:v>
                </c:pt>
                <c:pt idx="153">
                  <c:v>1303783.7243872937</c:v>
                </c:pt>
                <c:pt idx="154">
                  <c:v>1303783.7243872937</c:v>
                </c:pt>
                <c:pt idx="155">
                  <c:v>1303783.7243872937</c:v>
                </c:pt>
                <c:pt idx="156">
                  <c:v>1303783.7243872937</c:v>
                </c:pt>
                <c:pt idx="157">
                  <c:v>1303783.7243872937</c:v>
                </c:pt>
                <c:pt idx="158">
                  <c:v>1303783.7243872937</c:v>
                </c:pt>
                <c:pt idx="159">
                  <c:v>1303783.7243872937</c:v>
                </c:pt>
                <c:pt idx="160">
                  <c:v>1303783.7243872937</c:v>
                </c:pt>
                <c:pt idx="161">
                  <c:v>1303783.7243872937</c:v>
                </c:pt>
                <c:pt idx="162">
                  <c:v>1303783.7243872937</c:v>
                </c:pt>
                <c:pt idx="163">
                  <c:v>1303783.7243872937</c:v>
                </c:pt>
                <c:pt idx="164">
                  <c:v>1303783.7243872937</c:v>
                </c:pt>
                <c:pt idx="165">
                  <c:v>1303783.7243872937</c:v>
                </c:pt>
                <c:pt idx="166">
                  <c:v>1303783.7243872937</c:v>
                </c:pt>
                <c:pt idx="167">
                  <c:v>1303783.7243872937</c:v>
                </c:pt>
                <c:pt idx="168">
                  <c:v>1303783.7243872937</c:v>
                </c:pt>
                <c:pt idx="169">
                  <c:v>1303783.7243872937</c:v>
                </c:pt>
                <c:pt idx="170">
                  <c:v>1303783.7243872937</c:v>
                </c:pt>
                <c:pt idx="171">
                  <c:v>1303783.7243872937</c:v>
                </c:pt>
                <c:pt idx="172">
                  <c:v>1303783.7243872937</c:v>
                </c:pt>
                <c:pt idx="173">
                  <c:v>1303783.7243872937</c:v>
                </c:pt>
                <c:pt idx="174">
                  <c:v>1303783.7243872937</c:v>
                </c:pt>
                <c:pt idx="175">
                  <c:v>1303783.7243872937</c:v>
                </c:pt>
                <c:pt idx="176">
                  <c:v>1303783.7243872937</c:v>
                </c:pt>
                <c:pt idx="177">
                  <c:v>1303783.7243872937</c:v>
                </c:pt>
                <c:pt idx="178">
                  <c:v>1303783.7243872937</c:v>
                </c:pt>
                <c:pt idx="179">
                  <c:v>1303783.7243872937</c:v>
                </c:pt>
                <c:pt idx="180">
                  <c:v>1303783.7243872937</c:v>
                </c:pt>
                <c:pt idx="181">
                  <c:v>1303783.7243872937</c:v>
                </c:pt>
                <c:pt idx="182">
                  <c:v>1303783.7243872937</c:v>
                </c:pt>
                <c:pt idx="183">
                  <c:v>1303783.7243872937</c:v>
                </c:pt>
                <c:pt idx="184">
                  <c:v>1303783.7243872937</c:v>
                </c:pt>
                <c:pt idx="185">
                  <c:v>1303783.7243872937</c:v>
                </c:pt>
                <c:pt idx="186">
                  <c:v>1303783.7243872937</c:v>
                </c:pt>
                <c:pt idx="187">
                  <c:v>1303783.7243872937</c:v>
                </c:pt>
                <c:pt idx="188">
                  <c:v>1303783.7243872937</c:v>
                </c:pt>
                <c:pt idx="189">
                  <c:v>1303783.7243872937</c:v>
                </c:pt>
                <c:pt idx="190">
                  <c:v>1303783.7243872937</c:v>
                </c:pt>
                <c:pt idx="191">
                  <c:v>1303783.7243872937</c:v>
                </c:pt>
                <c:pt idx="192">
                  <c:v>1303783.7243872937</c:v>
                </c:pt>
                <c:pt idx="193">
                  <c:v>1303783.7243872937</c:v>
                </c:pt>
                <c:pt idx="194">
                  <c:v>1303783.7243872937</c:v>
                </c:pt>
                <c:pt idx="195">
                  <c:v>1303783.7243872937</c:v>
                </c:pt>
                <c:pt idx="196">
                  <c:v>1303783.7243872937</c:v>
                </c:pt>
                <c:pt idx="197">
                  <c:v>1303783.7243872937</c:v>
                </c:pt>
                <c:pt idx="198">
                  <c:v>1303783.7243872937</c:v>
                </c:pt>
                <c:pt idx="199">
                  <c:v>1303783.7243872937</c:v>
                </c:pt>
                <c:pt idx="200">
                  <c:v>1303783.7243872937</c:v>
                </c:pt>
                <c:pt idx="201">
                  <c:v>1303783.7243872937</c:v>
                </c:pt>
                <c:pt idx="202">
                  <c:v>1303783.7243872937</c:v>
                </c:pt>
                <c:pt idx="203">
                  <c:v>1303783.7243872937</c:v>
                </c:pt>
                <c:pt idx="204">
                  <c:v>1303783.7243872937</c:v>
                </c:pt>
                <c:pt idx="205">
                  <c:v>1303783.7243872937</c:v>
                </c:pt>
                <c:pt idx="206">
                  <c:v>1303783.7243872937</c:v>
                </c:pt>
                <c:pt idx="207">
                  <c:v>1303783.7243872937</c:v>
                </c:pt>
                <c:pt idx="208">
                  <c:v>1303783.7243872937</c:v>
                </c:pt>
                <c:pt idx="209">
                  <c:v>1303783.7243872937</c:v>
                </c:pt>
                <c:pt idx="210">
                  <c:v>1303783.7243872937</c:v>
                </c:pt>
                <c:pt idx="211">
                  <c:v>1303783.7243872937</c:v>
                </c:pt>
                <c:pt idx="212">
                  <c:v>1303783.7243872937</c:v>
                </c:pt>
                <c:pt idx="213">
                  <c:v>1303783.7243872937</c:v>
                </c:pt>
                <c:pt idx="214">
                  <c:v>1303783.7243872937</c:v>
                </c:pt>
                <c:pt idx="215">
                  <c:v>1303783.7243872937</c:v>
                </c:pt>
                <c:pt idx="216">
                  <c:v>1303783.7243872937</c:v>
                </c:pt>
                <c:pt idx="217">
                  <c:v>1303783.7243872937</c:v>
                </c:pt>
                <c:pt idx="218">
                  <c:v>1303783.7243872937</c:v>
                </c:pt>
                <c:pt idx="219">
                  <c:v>1303783.7243872937</c:v>
                </c:pt>
                <c:pt idx="220">
                  <c:v>1303783.7243872937</c:v>
                </c:pt>
                <c:pt idx="221">
                  <c:v>1303783.7243872937</c:v>
                </c:pt>
                <c:pt idx="222">
                  <c:v>1303783.7243872937</c:v>
                </c:pt>
                <c:pt idx="223">
                  <c:v>1303783.7243872937</c:v>
                </c:pt>
                <c:pt idx="224">
                  <c:v>1303783.7243872937</c:v>
                </c:pt>
                <c:pt idx="225">
                  <c:v>1303783.7243872937</c:v>
                </c:pt>
                <c:pt idx="226">
                  <c:v>1303783.7243872937</c:v>
                </c:pt>
                <c:pt idx="227">
                  <c:v>1303783.7243872937</c:v>
                </c:pt>
                <c:pt idx="228">
                  <c:v>1303783.7243872937</c:v>
                </c:pt>
                <c:pt idx="229">
                  <c:v>1303783.7243872937</c:v>
                </c:pt>
                <c:pt idx="230">
                  <c:v>1303783.7243872937</c:v>
                </c:pt>
                <c:pt idx="231">
                  <c:v>1303783.7243872937</c:v>
                </c:pt>
                <c:pt idx="232">
                  <c:v>1303783.7243872937</c:v>
                </c:pt>
                <c:pt idx="233">
                  <c:v>1303783.7243872937</c:v>
                </c:pt>
                <c:pt idx="234">
                  <c:v>1303783.7243872937</c:v>
                </c:pt>
                <c:pt idx="235">
                  <c:v>1303783.7243872937</c:v>
                </c:pt>
                <c:pt idx="236">
                  <c:v>1303783.7243872937</c:v>
                </c:pt>
                <c:pt idx="237">
                  <c:v>1303783.7243872937</c:v>
                </c:pt>
                <c:pt idx="238">
                  <c:v>1303783.7243872937</c:v>
                </c:pt>
                <c:pt idx="239">
                  <c:v>1303783.7243872937</c:v>
                </c:pt>
                <c:pt idx="240">
                  <c:v>1303783.7243872937</c:v>
                </c:pt>
                <c:pt idx="241">
                  <c:v>1303783.7243872937</c:v>
                </c:pt>
                <c:pt idx="242">
                  <c:v>1303783.7243872937</c:v>
                </c:pt>
                <c:pt idx="243">
                  <c:v>1303783.7243872937</c:v>
                </c:pt>
                <c:pt idx="244">
                  <c:v>1303783.7243872937</c:v>
                </c:pt>
                <c:pt idx="245">
                  <c:v>1303783.7243872937</c:v>
                </c:pt>
                <c:pt idx="246">
                  <c:v>1303783.7243872937</c:v>
                </c:pt>
                <c:pt idx="247">
                  <c:v>1303783.7243872937</c:v>
                </c:pt>
                <c:pt idx="248">
                  <c:v>1303783.7243872937</c:v>
                </c:pt>
                <c:pt idx="249">
                  <c:v>1303783.7243872937</c:v>
                </c:pt>
                <c:pt idx="250">
                  <c:v>1303783.7243872937</c:v>
                </c:pt>
                <c:pt idx="251">
                  <c:v>1303783.7243872937</c:v>
                </c:pt>
                <c:pt idx="252">
                  <c:v>1303783.7243872937</c:v>
                </c:pt>
                <c:pt idx="253">
                  <c:v>1303783.7243872937</c:v>
                </c:pt>
                <c:pt idx="254">
                  <c:v>1303783.7243872937</c:v>
                </c:pt>
                <c:pt idx="255">
                  <c:v>1303783.7243872937</c:v>
                </c:pt>
                <c:pt idx="256">
                  <c:v>1303783.7243872937</c:v>
                </c:pt>
                <c:pt idx="257">
                  <c:v>1303783.7243872937</c:v>
                </c:pt>
                <c:pt idx="258">
                  <c:v>1303783.7243872937</c:v>
                </c:pt>
                <c:pt idx="259">
                  <c:v>1303783.7243872937</c:v>
                </c:pt>
                <c:pt idx="260">
                  <c:v>1303783.7243872937</c:v>
                </c:pt>
                <c:pt idx="261">
                  <c:v>1303783.7243872937</c:v>
                </c:pt>
                <c:pt idx="262">
                  <c:v>1303783.7243872937</c:v>
                </c:pt>
                <c:pt idx="263">
                  <c:v>1303783.7243872937</c:v>
                </c:pt>
                <c:pt idx="264">
                  <c:v>1303783.7243872937</c:v>
                </c:pt>
                <c:pt idx="265">
                  <c:v>1303783.7243872937</c:v>
                </c:pt>
                <c:pt idx="266">
                  <c:v>1303783.7243872937</c:v>
                </c:pt>
                <c:pt idx="267">
                  <c:v>1303783.7243872937</c:v>
                </c:pt>
                <c:pt idx="268">
                  <c:v>1303783.7243872937</c:v>
                </c:pt>
                <c:pt idx="269">
                  <c:v>1303783.7243872937</c:v>
                </c:pt>
                <c:pt idx="270">
                  <c:v>1303783.7243872937</c:v>
                </c:pt>
                <c:pt idx="271">
                  <c:v>1303783.7243872937</c:v>
                </c:pt>
                <c:pt idx="272">
                  <c:v>1303783.7243872937</c:v>
                </c:pt>
                <c:pt idx="273">
                  <c:v>1303783.7243872937</c:v>
                </c:pt>
                <c:pt idx="274">
                  <c:v>1303783.7243872937</c:v>
                </c:pt>
                <c:pt idx="275">
                  <c:v>1303783.7243872937</c:v>
                </c:pt>
                <c:pt idx="276">
                  <c:v>1303783.7243872937</c:v>
                </c:pt>
                <c:pt idx="277">
                  <c:v>1303783.7243872937</c:v>
                </c:pt>
                <c:pt idx="278">
                  <c:v>1303783.7243872937</c:v>
                </c:pt>
                <c:pt idx="279">
                  <c:v>1303783.7243872937</c:v>
                </c:pt>
                <c:pt idx="280">
                  <c:v>1303783.7243872937</c:v>
                </c:pt>
                <c:pt idx="281">
                  <c:v>1303783.7243872937</c:v>
                </c:pt>
                <c:pt idx="282">
                  <c:v>1303783.7243872937</c:v>
                </c:pt>
                <c:pt idx="283">
                  <c:v>1303783.7243872937</c:v>
                </c:pt>
                <c:pt idx="284">
                  <c:v>1303783.7243872937</c:v>
                </c:pt>
                <c:pt idx="285">
                  <c:v>1303783.7243872937</c:v>
                </c:pt>
                <c:pt idx="286">
                  <c:v>1303783.7243872937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340300.5737458709</c:v>
                </c:pt>
                <c:pt idx="12">
                  <c:v>1376451.630335961</c:v>
                </c:pt>
                <c:pt idx="13">
                  <c:v>1342736.180335961</c:v>
                </c:pt>
                <c:pt idx="14">
                  <c:v>1342736.180335961</c:v>
                </c:pt>
                <c:pt idx="15">
                  <c:v>1163065.0103359609</c:v>
                </c:pt>
                <c:pt idx="16">
                  <c:v>1111286.910335961</c:v>
                </c:pt>
                <c:pt idx="17">
                  <c:v>1111286.910335961</c:v>
                </c:pt>
                <c:pt idx="18">
                  <c:v>989244.75933596108</c:v>
                </c:pt>
                <c:pt idx="19">
                  <c:v>480536.71944866749</c:v>
                </c:pt>
                <c:pt idx="20">
                  <c:v>590828.78509618994</c:v>
                </c:pt>
                <c:pt idx="21">
                  <c:v>579671.28509618994</c:v>
                </c:pt>
                <c:pt idx="22">
                  <c:v>559330.92659618985</c:v>
                </c:pt>
                <c:pt idx="23">
                  <c:v>559330.92659618985</c:v>
                </c:pt>
                <c:pt idx="24">
                  <c:v>559330.92659618985</c:v>
                </c:pt>
                <c:pt idx="25">
                  <c:v>559173.42659618985</c:v>
                </c:pt>
                <c:pt idx="26">
                  <c:v>559173.42659618985</c:v>
                </c:pt>
                <c:pt idx="27">
                  <c:v>559173.42659618985</c:v>
                </c:pt>
                <c:pt idx="28">
                  <c:v>559173.42659618985</c:v>
                </c:pt>
                <c:pt idx="29">
                  <c:v>559173.42659618985</c:v>
                </c:pt>
                <c:pt idx="30">
                  <c:v>559173.42659618985</c:v>
                </c:pt>
                <c:pt idx="31">
                  <c:v>559173.42659618985</c:v>
                </c:pt>
                <c:pt idx="32">
                  <c:v>559173.42659618985</c:v>
                </c:pt>
                <c:pt idx="33">
                  <c:v>559173.42659618985</c:v>
                </c:pt>
                <c:pt idx="34">
                  <c:v>559173.42659618985</c:v>
                </c:pt>
                <c:pt idx="35">
                  <c:v>559173.42659618985</c:v>
                </c:pt>
                <c:pt idx="36">
                  <c:v>559173.42659618985</c:v>
                </c:pt>
                <c:pt idx="37">
                  <c:v>559173.42659618985</c:v>
                </c:pt>
                <c:pt idx="38">
                  <c:v>559173.42659618985</c:v>
                </c:pt>
                <c:pt idx="39">
                  <c:v>559173.42659618985</c:v>
                </c:pt>
                <c:pt idx="40">
                  <c:v>559173.42659618985</c:v>
                </c:pt>
                <c:pt idx="41">
                  <c:v>559173.42659618985</c:v>
                </c:pt>
                <c:pt idx="42">
                  <c:v>559173.42659618985</c:v>
                </c:pt>
                <c:pt idx="43">
                  <c:v>559173.42659618985</c:v>
                </c:pt>
                <c:pt idx="44">
                  <c:v>559173.42659618985</c:v>
                </c:pt>
                <c:pt idx="45">
                  <c:v>559173.42659618985</c:v>
                </c:pt>
                <c:pt idx="46">
                  <c:v>559173.42659618985</c:v>
                </c:pt>
                <c:pt idx="47">
                  <c:v>559173.42659618985</c:v>
                </c:pt>
                <c:pt idx="48">
                  <c:v>559173.42659618985</c:v>
                </c:pt>
                <c:pt idx="49">
                  <c:v>559173.42659618985</c:v>
                </c:pt>
                <c:pt idx="50">
                  <c:v>559173.42659618985</c:v>
                </c:pt>
                <c:pt idx="51">
                  <c:v>559173.42659618985</c:v>
                </c:pt>
                <c:pt idx="52">
                  <c:v>559173.42659618985</c:v>
                </c:pt>
                <c:pt idx="53">
                  <c:v>559173.42659618985</c:v>
                </c:pt>
                <c:pt idx="54">
                  <c:v>559173.42659618985</c:v>
                </c:pt>
                <c:pt idx="55">
                  <c:v>559173.42659618985</c:v>
                </c:pt>
                <c:pt idx="56">
                  <c:v>559173.42659618985</c:v>
                </c:pt>
                <c:pt idx="57">
                  <c:v>559173.42659618985</c:v>
                </c:pt>
                <c:pt idx="58">
                  <c:v>559173.42659618985</c:v>
                </c:pt>
                <c:pt idx="59">
                  <c:v>559173.42659618985</c:v>
                </c:pt>
                <c:pt idx="60">
                  <c:v>559173.42659618985</c:v>
                </c:pt>
                <c:pt idx="61">
                  <c:v>559173.42659618985</c:v>
                </c:pt>
                <c:pt idx="62">
                  <c:v>559173.42659618985</c:v>
                </c:pt>
                <c:pt idx="63">
                  <c:v>559173.42659618985</c:v>
                </c:pt>
                <c:pt idx="64">
                  <c:v>559173.42659618985</c:v>
                </c:pt>
                <c:pt idx="65">
                  <c:v>559173.42659618985</c:v>
                </c:pt>
                <c:pt idx="66">
                  <c:v>559173.42659618985</c:v>
                </c:pt>
                <c:pt idx="67">
                  <c:v>559173.42659618985</c:v>
                </c:pt>
                <c:pt idx="68">
                  <c:v>559173.42659618985</c:v>
                </c:pt>
                <c:pt idx="69">
                  <c:v>559173.42659618985</c:v>
                </c:pt>
                <c:pt idx="70">
                  <c:v>559173.42659618985</c:v>
                </c:pt>
                <c:pt idx="71">
                  <c:v>559173.42659618985</c:v>
                </c:pt>
                <c:pt idx="72">
                  <c:v>559173.42659618985</c:v>
                </c:pt>
                <c:pt idx="73">
                  <c:v>559173.42659618985</c:v>
                </c:pt>
                <c:pt idx="74">
                  <c:v>559173.42659618985</c:v>
                </c:pt>
                <c:pt idx="75">
                  <c:v>559173.42659618985</c:v>
                </c:pt>
                <c:pt idx="76">
                  <c:v>559173.42659618985</c:v>
                </c:pt>
                <c:pt idx="77">
                  <c:v>559173.42659618985</c:v>
                </c:pt>
                <c:pt idx="78">
                  <c:v>559173.42659618985</c:v>
                </c:pt>
                <c:pt idx="79">
                  <c:v>559173.42659618985</c:v>
                </c:pt>
                <c:pt idx="80">
                  <c:v>559173.42659618985</c:v>
                </c:pt>
                <c:pt idx="81">
                  <c:v>559173.42659618985</c:v>
                </c:pt>
                <c:pt idx="82">
                  <c:v>559173.42659618985</c:v>
                </c:pt>
                <c:pt idx="83">
                  <c:v>559173.42659618985</c:v>
                </c:pt>
                <c:pt idx="84">
                  <c:v>559173.42659618985</c:v>
                </c:pt>
                <c:pt idx="85">
                  <c:v>559173.42659618985</c:v>
                </c:pt>
                <c:pt idx="86">
                  <c:v>559173.42659618985</c:v>
                </c:pt>
                <c:pt idx="87">
                  <c:v>559173.42659618985</c:v>
                </c:pt>
                <c:pt idx="88">
                  <c:v>559173.42659618985</c:v>
                </c:pt>
                <c:pt idx="89">
                  <c:v>559173.42659618985</c:v>
                </c:pt>
                <c:pt idx="90">
                  <c:v>559173.42659618985</c:v>
                </c:pt>
                <c:pt idx="91">
                  <c:v>559173.42659618985</c:v>
                </c:pt>
                <c:pt idx="92">
                  <c:v>559173.42659618985</c:v>
                </c:pt>
                <c:pt idx="93">
                  <c:v>559173.42659618985</c:v>
                </c:pt>
                <c:pt idx="94">
                  <c:v>559173.42659618985</c:v>
                </c:pt>
                <c:pt idx="95">
                  <c:v>559173.42659618985</c:v>
                </c:pt>
                <c:pt idx="96">
                  <c:v>559173.42659618985</c:v>
                </c:pt>
                <c:pt idx="97">
                  <c:v>559173.42659618985</c:v>
                </c:pt>
                <c:pt idx="98">
                  <c:v>559173.42659618985</c:v>
                </c:pt>
                <c:pt idx="99">
                  <c:v>559173.42659618985</c:v>
                </c:pt>
                <c:pt idx="100">
                  <c:v>559173.42659618985</c:v>
                </c:pt>
                <c:pt idx="101">
                  <c:v>559173.42659618985</c:v>
                </c:pt>
                <c:pt idx="102">
                  <c:v>559173.42659618985</c:v>
                </c:pt>
                <c:pt idx="103">
                  <c:v>559173.42659618985</c:v>
                </c:pt>
                <c:pt idx="104">
                  <c:v>559173.42659618985</c:v>
                </c:pt>
                <c:pt idx="105">
                  <c:v>559173.42659618985</c:v>
                </c:pt>
                <c:pt idx="106">
                  <c:v>559173.42659618985</c:v>
                </c:pt>
                <c:pt idx="107">
                  <c:v>559173.42659618985</c:v>
                </c:pt>
                <c:pt idx="108">
                  <c:v>559173.42659618985</c:v>
                </c:pt>
                <c:pt idx="109">
                  <c:v>559173.42659618985</c:v>
                </c:pt>
                <c:pt idx="110">
                  <c:v>559173.42659618985</c:v>
                </c:pt>
                <c:pt idx="111">
                  <c:v>559173.42659618985</c:v>
                </c:pt>
                <c:pt idx="112">
                  <c:v>559173.42659618985</c:v>
                </c:pt>
                <c:pt idx="113">
                  <c:v>559173.42659618985</c:v>
                </c:pt>
                <c:pt idx="114">
                  <c:v>559173.42659618985</c:v>
                </c:pt>
                <c:pt idx="115">
                  <c:v>559173.42659618985</c:v>
                </c:pt>
                <c:pt idx="116">
                  <c:v>559173.42659618985</c:v>
                </c:pt>
                <c:pt idx="117">
                  <c:v>559173.42659618985</c:v>
                </c:pt>
                <c:pt idx="118">
                  <c:v>559173.42659618985</c:v>
                </c:pt>
                <c:pt idx="119">
                  <c:v>559173.42659618985</c:v>
                </c:pt>
                <c:pt idx="120">
                  <c:v>559173.42659618985</c:v>
                </c:pt>
                <c:pt idx="121">
                  <c:v>559173.42659618985</c:v>
                </c:pt>
                <c:pt idx="122">
                  <c:v>559173.42659618985</c:v>
                </c:pt>
                <c:pt idx="123">
                  <c:v>559173.42659618985</c:v>
                </c:pt>
                <c:pt idx="124">
                  <c:v>559173.42659618985</c:v>
                </c:pt>
                <c:pt idx="125">
                  <c:v>559173.42659618985</c:v>
                </c:pt>
                <c:pt idx="126">
                  <c:v>559173.42659618985</c:v>
                </c:pt>
                <c:pt idx="127">
                  <c:v>559173.42659618985</c:v>
                </c:pt>
                <c:pt idx="128">
                  <c:v>559173.42659618985</c:v>
                </c:pt>
                <c:pt idx="129">
                  <c:v>559173.42659618985</c:v>
                </c:pt>
                <c:pt idx="130">
                  <c:v>559173.42659618985</c:v>
                </c:pt>
                <c:pt idx="131">
                  <c:v>559173.42659618985</c:v>
                </c:pt>
                <c:pt idx="132">
                  <c:v>559173.42659618985</c:v>
                </c:pt>
                <c:pt idx="133">
                  <c:v>559173.42659618985</c:v>
                </c:pt>
                <c:pt idx="134">
                  <c:v>559173.42659618985</c:v>
                </c:pt>
                <c:pt idx="135">
                  <c:v>559173.42659618985</c:v>
                </c:pt>
                <c:pt idx="136">
                  <c:v>559173.42659618985</c:v>
                </c:pt>
                <c:pt idx="137">
                  <c:v>559173.42659618985</c:v>
                </c:pt>
                <c:pt idx="138">
                  <c:v>559173.42659618985</c:v>
                </c:pt>
                <c:pt idx="139">
                  <c:v>559173.42659618985</c:v>
                </c:pt>
                <c:pt idx="140">
                  <c:v>559173.42659618985</c:v>
                </c:pt>
                <c:pt idx="141">
                  <c:v>559173.42659618985</c:v>
                </c:pt>
                <c:pt idx="142">
                  <c:v>559173.42659618985</c:v>
                </c:pt>
                <c:pt idx="143">
                  <c:v>559173.42659618985</c:v>
                </c:pt>
                <c:pt idx="144">
                  <c:v>559173.42659618985</c:v>
                </c:pt>
                <c:pt idx="145">
                  <c:v>559173.42659618985</c:v>
                </c:pt>
                <c:pt idx="146">
                  <c:v>559173.42659618985</c:v>
                </c:pt>
                <c:pt idx="147">
                  <c:v>559173.42659618985</c:v>
                </c:pt>
                <c:pt idx="148">
                  <c:v>559173.42659618985</c:v>
                </c:pt>
                <c:pt idx="149">
                  <c:v>559173.42659618985</c:v>
                </c:pt>
                <c:pt idx="150">
                  <c:v>559173.42659618985</c:v>
                </c:pt>
                <c:pt idx="151">
                  <c:v>559173.42659618985</c:v>
                </c:pt>
                <c:pt idx="152">
                  <c:v>559173.42659618985</c:v>
                </c:pt>
                <c:pt idx="153">
                  <c:v>559173.42659618985</c:v>
                </c:pt>
                <c:pt idx="154">
                  <c:v>559173.42659618985</c:v>
                </c:pt>
                <c:pt idx="155">
                  <c:v>559173.42659618985</c:v>
                </c:pt>
                <c:pt idx="156">
                  <c:v>559173.42659618985</c:v>
                </c:pt>
                <c:pt idx="157">
                  <c:v>559173.42659618985</c:v>
                </c:pt>
                <c:pt idx="158">
                  <c:v>559173.42659618985</c:v>
                </c:pt>
                <c:pt idx="159">
                  <c:v>559173.42659618985</c:v>
                </c:pt>
                <c:pt idx="160">
                  <c:v>559173.42659618985</c:v>
                </c:pt>
                <c:pt idx="161">
                  <c:v>559173.42659618985</c:v>
                </c:pt>
                <c:pt idx="162">
                  <c:v>559173.42659618985</c:v>
                </c:pt>
                <c:pt idx="163">
                  <c:v>559173.42659618985</c:v>
                </c:pt>
                <c:pt idx="164">
                  <c:v>559173.42659618985</c:v>
                </c:pt>
                <c:pt idx="165">
                  <c:v>559173.42659618985</c:v>
                </c:pt>
                <c:pt idx="166">
                  <c:v>559173.42659618985</c:v>
                </c:pt>
                <c:pt idx="167">
                  <c:v>559173.42659618985</c:v>
                </c:pt>
                <c:pt idx="168">
                  <c:v>559173.42659618985</c:v>
                </c:pt>
                <c:pt idx="169">
                  <c:v>559173.42659618985</c:v>
                </c:pt>
                <c:pt idx="170">
                  <c:v>559173.42659618985</c:v>
                </c:pt>
                <c:pt idx="171">
                  <c:v>559173.42659618985</c:v>
                </c:pt>
                <c:pt idx="172">
                  <c:v>559173.42659618985</c:v>
                </c:pt>
                <c:pt idx="173">
                  <c:v>559173.42659618985</c:v>
                </c:pt>
                <c:pt idx="174">
                  <c:v>559173.42659618985</c:v>
                </c:pt>
                <c:pt idx="175">
                  <c:v>559173.42659618985</c:v>
                </c:pt>
                <c:pt idx="176">
                  <c:v>559173.42659618985</c:v>
                </c:pt>
                <c:pt idx="177">
                  <c:v>559173.42659618985</c:v>
                </c:pt>
                <c:pt idx="178">
                  <c:v>559173.42659618985</c:v>
                </c:pt>
                <c:pt idx="179">
                  <c:v>559173.42659618985</c:v>
                </c:pt>
                <c:pt idx="180">
                  <c:v>559173.42659618985</c:v>
                </c:pt>
                <c:pt idx="181">
                  <c:v>559173.42659618985</c:v>
                </c:pt>
                <c:pt idx="182">
                  <c:v>559173.42659618985</c:v>
                </c:pt>
                <c:pt idx="183">
                  <c:v>559173.42659618985</c:v>
                </c:pt>
                <c:pt idx="184">
                  <c:v>559173.42659618985</c:v>
                </c:pt>
                <c:pt idx="185">
                  <c:v>559173.42659618985</c:v>
                </c:pt>
                <c:pt idx="186">
                  <c:v>559173.42659618985</c:v>
                </c:pt>
                <c:pt idx="187">
                  <c:v>559173.42659618985</c:v>
                </c:pt>
                <c:pt idx="188">
                  <c:v>559173.42659618985</c:v>
                </c:pt>
                <c:pt idx="189">
                  <c:v>559173.42659618985</c:v>
                </c:pt>
                <c:pt idx="190">
                  <c:v>559173.42659618985</c:v>
                </c:pt>
                <c:pt idx="191">
                  <c:v>559173.42659618985</c:v>
                </c:pt>
                <c:pt idx="192">
                  <c:v>559173.42659618985</c:v>
                </c:pt>
                <c:pt idx="193">
                  <c:v>559173.42659618985</c:v>
                </c:pt>
                <c:pt idx="194">
                  <c:v>559173.42659618985</c:v>
                </c:pt>
                <c:pt idx="195">
                  <c:v>559173.42659618985</c:v>
                </c:pt>
                <c:pt idx="196">
                  <c:v>559173.42659618985</c:v>
                </c:pt>
                <c:pt idx="197">
                  <c:v>559173.42659618985</c:v>
                </c:pt>
                <c:pt idx="198">
                  <c:v>559173.42659618985</c:v>
                </c:pt>
                <c:pt idx="199">
                  <c:v>559173.42659618985</c:v>
                </c:pt>
                <c:pt idx="200">
                  <c:v>559173.42659618985</c:v>
                </c:pt>
                <c:pt idx="201">
                  <c:v>559173.42659618985</c:v>
                </c:pt>
                <c:pt idx="202">
                  <c:v>559173.42659618985</c:v>
                </c:pt>
                <c:pt idx="203">
                  <c:v>559173.42659618985</c:v>
                </c:pt>
                <c:pt idx="204">
                  <c:v>559173.42659618985</c:v>
                </c:pt>
                <c:pt idx="205">
                  <c:v>559173.42659618985</c:v>
                </c:pt>
                <c:pt idx="206">
                  <c:v>559173.42659618985</c:v>
                </c:pt>
                <c:pt idx="207">
                  <c:v>559173.42659618985</c:v>
                </c:pt>
                <c:pt idx="208">
                  <c:v>559173.42659618985</c:v>
                </c:pt>
                <c:pt idx="209">
                  <c:v>559173.42659618985</c:v>
                </c:pt>
                <c:pt idx="210">
                  <c:v>559173.42659618985</c:v>
                </c:pt>
                <c:pt idx="211">
                  <c:v>559173.42659618985</c:v>
                </c:pt>
                <c:pt idx="212">
                  <c:v>559173.42659618985</c:v>
                </c:pt>
                <c:pt idx="213">
                  <c:v>559173.42659618985</c:v>
                </c:pt>
                <c:pt idx="214">
                  <c:v>559173.42659618985</c:v>
                </c:pt>
                <c:pt idx="215">
                  <c:v>559173.42659618985</c:v>
                </c:pt>
                <c:pt idx="216">
                  <c:v>559173.42659618985</c:v>
                </c:pt>
                <c:pt idx="217">
                  <c:v>559173.42659618985</c:v>
                </c:pt>
                <c:pt idx="218">
                  <c:v>559173.42659618985</c:v>
                </c:pt>
                <c:pt idx="219">
                  <c:v>559173.42659618985</c:v>
                </c:pt>
                <c:pt idx="220">
                  <c:v>559173.42659618985</c:v>
                </c:pt>
                <c:pt idx="221">
                  <c:v>559173.42659618985</c:v>
                </c:pt>
                <c:pt idx="222">
                  <c:v>559173.42659618985</c:v>
                </c:pt>
                <c:pt idx="223">
                  <c:v>559173.42659618985</c:v>
                </c:pt>
                <c:pt idx="224">
                  <c:v>559173.42659618985</c:v>
                </c:pt>
                <c:pt idx="225">
                  <c:v>559173.42659618985</c:v>
                </c:pt>
                <c:pt idx="226">
                  <c:v>559173.42659618985</c:v>
                </c:pt>
                <c:pt idx="227">
                  <c:v>559173.42659618985</c:v>
                </c:pt>
                <c:pt idx="228">
                  <c:v>559173.42659618985</c:v>
                </c:pt>
                <c:pt idx="229">
                  <c:v>559173.42659618985</c:v>
                </c:pt>
                <c:pt idx="230">
                  <c:v>559173.42659618985</c:v>
                </c:pt>
                <c:pt idx="231">
                  <c:v>559173.42659618985</c:v>
                </c:pt>
                <c:pt idx="232">
                  <c:v>559173.42659618985</c:v>
                </c:pt>
                <c:pt idx="233">
                  <c:v>559173.42659618985</c:v>
                </c:pt>
                <c:pt idx="234">
                  <c:v>559173.42659618985</c:v>
                </c:pt>
                <c:pt idx="235">
                  <c:v>559173.42659618985</c:v>
                </c:pt>
                <c:pt idx="236">
                  <c:v>559173.42659618985</c:v>
                </c:pt>
                <c:pt idx="237">
                  <c:v>559173.42659618985</c:v>
                </c:pt>
                <c:pt idx="238">
                  <c:v>559173.42659618985</c:v>
                </c:pt>
                <c:pt idx="239">
                  <c:v>559173.42659618985</c:v>
                </c:pt>
                <c:pt idx="240">
                  <c:v>559173.42659618985</c:v>
                </c:pt>
                <c:pt idx="241">
                  <c:v>559173.42659618985</c:v>
                </c:pt>
                <c:pt idx="242">
                  <c:v>559173.42659618985</c:v>
                </c:pt>
                <c:pt idx="243">
                  <c:v>559173.42659618985</c:v>
                </c:pt>
                <c:pt idx="244">
                  <c:v>559173.42659618985</c:v>
                </c:pt>
                <c:pt idx="245">
                  <c:v>559173.42659618985</c:v>
                </c:pt>
                <c:pt idx="246">
                  <c:v>559173.42659618985</c:v>
                </c:pt>
                <c:pt idx="247">
                  <c:v>559173.42659618985</c:v>
                </c:pt>
                <c:pt idx="248">
                  <c:v>559173.42659618985</c:v>
                </c:pt>
                <c:pt idx="249">
                  <c:v>559173.42659618985</c:v>
                </c:pt>
                <c:pt idx="250">
                  <c:v>559173.42659618985</c:v>
                </c:pt>
                <c:pt idx="251">
                  <c:v>559173.42659618985</c:v>
                </c:pt>
                <c:pt idx="252">
                  <c:v>559173.42659618985</c:v>
                </c:pt>
                <c:pt idx="253">
                  <c:v>559173.42659618985</c:v>
                </c:pt>
                <c:pt idx="254">
                  <c:v>559173.42659618985</c:v>
                </c:pt>
                <c:pt idx="255">
                  <c:v>559173.42659618985</c:v>
                </c:pt>
                <c:pt idx="256">
                  <c:v>559173.42659618985</c:v>
                </c:pt>
                <c:pt idx="257">
                  <c:v>559173.42659618985</c:v>
                </c:pt>
                <c:pt idx="258">
                  <c:v>559173.42659618985</c:v>
                </c:pt>
                <c:pt idx="259">
                  <c:v>559173.42659618985</c:v>
                </c:pt>
                <c:pt idx="260">
                  <c:v>559173.42659618985</c:v>
                </c:pt>
                <c:pt idx="261">
                  <c:v>559173.42659618985</c:v>
                </c:pt>
                <c:pt idx="262">
                  <c:v>559173.42659618985</c:v>
                </c:pt>
                <c:pt idx="263">
                  <c:v>559173.42659618985</c:v>
                </c:pt>
                <c:pt idx="264">
                  <c:v>559173.42659618985</c:v>
                </c:pt>
                <c:pt idx="265">
                  <c:v>559173.42659618985</c:v>
                </c:pt>
                <c:pt idx="266">
                  <c:v>559173.42659618985</c:v>
                </c:pt>
                <c:pt idx="267">
                  <c:v>559173.42659618985</c:v>
                </c:pt>
                <c:pt idx="268">
                  <c:v>559173.42659618985</c:v>
                </c:pt>
                <c:pt idx="269">
                  <c:v>559173.42659618985</c:v>
                </c:pt>
                <c:pt idx="270">
                  <c:v>559173.42659618985</c:v>
                </c:pt>
                <c:pt idx="271">
                  <c:v>559173.42659618985</c:v>
                </c:pt>
                <c:pt idx="272">
                  <c:v>559173.42659618985</c:v>
                </c:pt>
                <c:pt idx="273">
                  <c:v>559173.42659618985</c:v>
                </c:pt>
                <c:pt idx="274">
                  <c:v>559173.42659618985</c:v>
                </c:pt>
                <c:pt idx="275">
                  <c:v>559173.42659618985</c:v>
                </c:pt>
                <c:pt idx="276">
                  <c:v>559173.42659618985</c:v>
                </c:pt>
                <c:pt idx="277">
                  <c:v>559173.42659618985</c:v>
                </c:pt>
                <c:pt idx="278">
                  <c:v>559173.42659618985</c:v>
                </c:pt>
                <c:pt idx="279">
                  <c:v>559173.42659618985</c:v>
                </c:pt>
                <c:pt idx="280">
                  <c:v>559173.42659618985</c:v>
                </c:pt>
                <c:pt idx="281">
                  <c:v>559173.42659618985</c:v>
                </c:pt>
                <c:pt idx="282">
                  <c:v>559173.42659618985</c:v>
                </c:pt>
                <c:pt idx="283">
                  <c:v>559173.42659618985</c:v>
                </c:pt>
                <c:pt idx="284">
                  <c:v>559173.42659618985</c:v>
                </c:pt>
                <c:pt idx="285">
                  <c:v>559173.42659618985</c:v>
                </c:pt>
                <c:pt idx="286">
                  <c:v>559173.42659618985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1570188.0108846696</c:v>
                </c:pt>
                <c:pt idx="16">
                  <c:v>1570188.0108846696</c:v>
                </c:pt>
                <c:pt idx="17">
                  <c:v>1570188.0108846696</c:v>
                </c:pt>
                <c:pt idx="18">
                  <c:v>1570188.0108846696</c:v>
                </c:pt>
                <c:pt idx="19">
                  <c:v>1570188.0108846696</c:v>
                </c:pt>
                <c:pt idx="20">
                  <c:v>1852629.4876559218</c:v>
                </c:pt>
                <c:pt idx="21">
                  <c:v>1852629.4876559218</c:v>
                </c:pt>
                <c:pt idx="22">
                  <c:v>1852629.4876559218</c:v>
                </c:pt>
                <c:pt idx="23">
                  <c:v>1852629.4876559218</c:v>
                </c:pt>
                <c:pt idx="24">
                  <c:v>1862868.0343529526</c:v>
                </c:pt>
                <c:pt idx="25">
                  <c:v>1862868.0343529526</c:v>
                </c:pt>
                <c:pt idx="26">
                  <c:v>1862868.0343529526</c:v>
                </c:pt>
                <c:pt idx="27">
                  <c:v>1862868.0343529526</c:v>
                </c:pt>
                <c:pt idx="28">
                  <c:v>1862868.0343529526</c:v>
                </c:pt>
                <c:pt idx="29">
                  <c:v>1862868.0343529526</c:v>
                </c:pt>
                <c:pt idx="30">
                  <c:v>1862868.0343529526</c:v>
                </c:pt>
                <c:pt idx="31">
                  <c:v>1862868.0343529526</c:v>
                </c:pt>
                <c:pt idx="32">
                  <c:v>1862868.0343529526</c:v>
                </c:pt>
                <c:pt idx="33">
                  <c:v>1862868.0343529526</c:v>
                </c:pt>
                <c:pt idx="34">
                  <c:v>1862868.0343529526</c:v>
                </c:pt>
                <c:pt idx="35">
                  <c:v>1862868.0343529526</c:v>
                </c:pt>
                <c:pt idx="36">
                  <c:v>1862868.0343529526</c:v>
                </c:pt>
                <c:pt idx="37">
                  <c:v>1862868.0343529526</c:v>
                </c:pt>
                <c:pt idx="38">
                  <c:v>1862868.0343529526</c:v>
                </c:pt>
                <c:pt idx="39">
                  <c:v>1862868.0343529526</c:v>
                </c:pt>
                <c:pt idx="40">
                  <c:v>1862868.0343529526</c:v>
                </c:pt>
                <c:pt idx="41">
                  <c:v>1862868.0343529526</c:v>
                </c:pt>
                <c:pt idx="42">
                  <c:v>1862868.0343529526</c:v>
                </c:pt>
                <c:pt idx="43">
                  <c:v>1862868.0343529526</c:v>
                </c:pt>
                <c:pt idx="44">
                  <c:v>1862868.0343529526</c:v>
                </c:pt>
                <c:pt idx="45">
                  <c:v>1862868.0343529526</c:v>
                </c:pt>
                <c:pt idx="46">
                  <c:v>1862868.0343529526</c:v>
                </c:pt>
                <c:pt idx="47">
                  <c:v>1862868.0343529526</c:v>
                </c:pt>
                <c:pt idx="48">
                  <c:v>1862868.0343529526</c:v>
                </c:pt>
                <c:pt idx="49">
                  <c:v>1862868.0343529526</c:v>
                </c:pt>
                <c:pt idx="50">
                  <c:v>1862868.0343529526</c:v>
                </c:pt>
                <c:pt idx="51">
                  <c:v>1862868.0343529526</c:v>
                </c:pt>
                <c:pt idx="52">
                  <c:v>1862868.0343529526</c:v>
                </c:pt>
                <c:pt idx="53">
                  <c:v>1862868.0343529526</c:v>
                </c:pt>
                <c:pt idx="54">
                  <c:v>1862868.0343529526</c:v>
                </c:pt>
                <c:pt idx="55">
                  <c:v>1862868.0343529526</c:v>
                </c:pt>
                <c:pt idx="56">
                  <c:v>1862868.0343529526</c:v>
                </c:pt>
                <c:pt idx="57">
                  <c:v>1862868.0343529526</c:v>
                </c:pt>
                <c:pt idx="58">
                  <c:v>1862868.0343529526</c:v>
                </c:pt>
                <c:pt idx="59">
                  <c:v>1862868.0343529526</c:v>
                </c:pt>
                <c:pt idx="60">
                  <c:v>1862868.0343529526</c:v>
                </c:pt>
                <c:pt idx="61">
                  <c:v>1862868.0343529526</c:v>
                </c:pt>
                <c:pt idx="62">
                  <c:v>1862868.0343529526</c:v>
                </c:pt>
                <c:pt idx="63">
                  <c:v>1862868.0343529526</c:v>
                </c:pt>
                <c:pt idx="64">
                  <c:v>1862868.0343529526</c:v>
                </c:pt>
                <c:pt idx="65">
                  <c:v>1862868.0343529526</c:v>
                </c:pt>
                <c:pt idx="66">
                  <c:v>1862868.0343529526</c:v>
                </c:pt>
                <c:pt idx="67">
                  <c:v>1862868.0343529526</c:v>
                </c:pt>
                <c:pt idx="68">
                  <c:v>1862868.0343529526</c:v>
                </c:pt>
                <c:pt idx="69">
                  <c:v>1862868.0343529526</c:v>
                </c:pt>
                <c:pt idx="70">
                  <c:v>1862868.0343529526</c:v>
                </c:pt>
                <c:pt idx="71">
                  <c:v>1862868.0343529526</c:v>
                </c:pt>
                <c:pt idx="72">
                  <c:v>1862868.0343529526</c:v>
                </c:pt>
                <c:pt idx="73">
                  <c:v>1862868.0343529526</c:v>
                </c:pt>
                <c:pt idx="74">
                  <c:v>1862868.0343529526</c:v>
                </c:pt>
                <c:pt idx="75">
                  <c:v>1862868.0343529526</c:v>
                </c:pt>
                <c:pt idx="76">
                  <c:v>1862868.0343529526</c:v>
                </c:pt>
                <c:pt idx="77">
                  <c:v>1862868.0343529526</c:v>
                </c:pt>
                <c:pt idx="78">
                  <c:v>1862868.0343529526</c:v>
                </c:pt>
                <c:pt idx="79">
                  <c:v>1862868.0343529526</c:v>
                </c:pt>
                <c:pt idx="80">
                  <c:v>1862868.0343529526</c:v>
                </c:pt>
                <c:pt idx="81">
                  <c:v>1862868.0343529526</c:v>
                </c:pt>
                <c:pt idx="82">
                  <c:v>1862868.0343529526</c:v>
                </c:pt>
                <c:pt idx="83">
                  <c:v>1862868.0343529526</c:v>
                </c:pt>
                <c:pt idx="84">
                  <c:v>1862868.0343529526</c:v>
                </c:pt>
                <c:pt idx="85">
                  <c:v>1862868.0343529526</c:v>
                </c:pt>
                <c:pt idx="86">
                  <c:v>1862868.0343529526</c:v>
                </c:pt>
                <c:pt idx="87">
                  <c:v>1862868.0343529526</c:v>
                </c:pt>
                <c:pt idx="88">
                  <c:v>1862868.0343529526</c:v>
                </c:pt>
                <c:pt idx="89">
                  <c:v>1862868.0343529526</c:v>
                </c:pt>
                <c:pt idx="90">
                  <c:v>1862868.0343529526</c:v>
                </c:pt>
                <c:pt idx="91">
                  <c:v>1862868.0343529526</c:v>
                </c:pt>
                <c:pt idx="92">
                  <c:v>1862868.0343529526</c:v>
                </c:pt>
                <c:pt idx="93">
                  <c:v>1862868.0343529526</c:v>
                </c:pt>
                <c:pt idx="94">
                  <c:v>1862868.0343529526</c:v>
                </c:pt>
                <c:pt idx="95">
                  <c:v>1862868.0343529526</c:v>
                </c:pt>
                <c:pt idx="96">
                  <c:v>1862868.0343529526</c:v>
                </c:pt>
                <c:pt idx="97">
                  <c:v>1862868.0343529526</c:v>
                </c:pt>
                <c:pt idx="98">
                  <c:v>1862868.0343529526</c:v>
                </c:pt>
                <c:pt idx="99">
                  <c:v>1862868.0343529526</c:v>
                </c:pt>
                <c:pt idx="100">
                  <c:v>1862868.0343529526</c:v>
                </c:pt>
                <c:pt idx="101">
                  <c:v>1862868.0343529526</c:v>
                </c:pt>
                <c:pt idx="102">
                  <c:v>1862868.0343529526</c:v>
                </c:pt>
                <c:pt idx="103">
                  <c:v>1862868.0343529526</c:v>
                </c:pt>
                <c:pt idx="104">
                  <c:v>1862868.0343529526</c:v>
                </c:pt>
                <c:pt idx="105">
                  <c:v>1862868.0343529526</c:v>
                </c:pt>
                <c:pt idx="106">
                  <c:v>1862868.0343529526</c:v>
                </c:pt>
                <c:pt idx="107">
                  <c:v>1862868.0343529526</c:v>
                </c:pt>
                <c:pt idx="108">
                  <c:v>1862868.0343529526</c:v>
                </c:pt>
                <c:pt idx="109">
                  <c:v>1862868.0343529526</c:v>
                </c:pt>
                <c:pt idx="110">
                  <c:v>1862868.0343529526</c:v>
                </c:pt>
                <c:pt idx="111">
                  <c:v>1862868.0343529526</c:v>
                </c:pt>
                <c:pt idx="112">
                  <c:v>1862868.0343529526</c:v>
                </c:pt>
                <c:pt idx="113">
                  <c:v>1862868.0343529526</c:v>
                </c:pt>
                <c:pt idx="114">
                  <c:v>1862868.0343529526</c:v>
                </c:pt>
                <c:pt idx="115">
                  <c:v>1862868.0343529526</c:v>
                </c:pt>
                <c:pt idx="116">
                  <c:v>1862868.0343529526</c:v>
                </c:pt>
                <c:pt idx="117">
                  <c:v>1862868.0343529526</c:v>
                </c:pt>
                <c:pt idx="118">
                  <c:v>1862868.0343529526</c:v>
                </c:pt>
                <c:pt idx="119">
                  <c:v>1862868.0343529526</c:v>
                </c:pt>
                <c:pt idx="120">
                  <c:v>1862868.0343529526</c:v>
                </c:pt>
                <c:pt idx="121">
                  <c:v>1862868.0343529526</c:v>
                </c:pt>
                <c:pt idx="122">
                  <c:v>1862868.0343529526</c:v>
                </c:pt>
                <c:pt idx="123">
                  <c:v>1862868.0343529526</c:v>
                </c:pt>
                <c:pt idx="124">
                  <c:v>1862868.0343529526</c:v>
                </c:pt>
                <c:pt idx="125">
                  <c:v>1862868.0343529526</c:v>
                </c:pt>
                <c:pt idx="126">
                  <c:v>1862868.0343529526</c:v>
                </c:pt>
                <c:pt idx="127">
                  <c:v>1862868.0343529526</c:v>
                </c:pt>
                <c:pt idx="128">
                  <c:v>1862868.0343529526</c:v>
                </c:pt>
                <c:pt idx="129">
                  <c:v>1862868.0343529526</c:v>
                </c:pt>
                <c:pt idx="130">
                  <c:v>1862868.0343529526</c:v>
                </c:pt>
                <c:pt idx="131">
                  <c:v>1862868.0343529526</c:v>
                </c:pt>
                <c:pt idx="132">
                  <c:v>1862868.0343529526</c:v>
                </c:pt>
                <c:pt idx="133">
                  <c:v>1862868.0343529526</c:v>
                </c:pt>
                <c:pt idx="134">
                  <c:v>1862868.0343529526</c:v>
                </c:pt>
                <c:pt idx="135">
                  <c:v>1862868.0343529526</c:v>
                </c:pt>
                <c:pt idx="136">
                  <c:v>1862868.0343529526</c:v>
                </c:pt>
                <c:pt idx="137">
                  <c:v>1862868.0343529526</c:v>
                </c:pt>
                <c:pt idx="138">
                  <c:v>1862868.0343529526</c:v>
                </c:pt>
                <c:pt idx="139">
                  <c:v>1862868.0343529526</c:v>
                </c:pt>
                <c:pt idx="140">
                  <c:v>1862868.0343529526</c:v>
                </c:pt>
                <c:pt idx="141">
                  <c:v>1862868.0343529526</c:v>
                </c:pt>
                <c:pt idx="142">
                  <c:v>1862868.0343529526</c:v>
                </c:pt>
                <c:pt idx="143">
                  <c:v>1862868.0343529526</c:v>
                </c:pt>
                <c:pt idx="144">
                  <c:v>1862868.0343529526</c:v>
                </c:pt>
                <c:pt idx="145">
                  <c:v>1862868.0343529526</c:v>
                </c:pt>
                <c:pt idx="146">
                  <c:v>1862868.0343529526</c:v>
                </c:pt>
                <c:pt idx="147">
                  <c:v>1862868.0343529526</c:v>
                </c:pt>
                <c:pt idx="148">
                  <c:v>1862868.0343529526</c:v>
                </c:pt>
                <c:pt idx="149">
                  <c:v>1862868.0343529526</c:v>
                </c:pt>
                <c:pt idx="150">
                  <c:v>1862868.0343529526</c:v>
                </c:pt>
                <c:pt idx="151">
                  <c:v>1862868.0343529526</c:v>
                </c:pt>
                <c:pt idx="152">
                  <c:v>1862868.0343529526</c:v>
                </c:pt>
                <c:pt idx="153">
                  <c:v>1862868.0343529526</c:v>
                </c:pt>
                <c:pt idx="154">
                  <c:v>1862868.0343529526</c:v>
                </c:pt>
                <c:pt idx="155">
                  <c:v>1862868.0343529526</c:v>
                </c:pt>
                <c:pt idx="156">
                  <c:v>1862868.0343529526</c:v>
                </c:pt>
                <c:pt idx="157">
                  <c:v>1862868.0343529526</c:v>
                </c:pt>
                <c:pt idx="158">
                  <c:v>1862868.0343529526</c:v>
                </c:pt>
                <c:pt idx="159">
                  <c:v>1862868.0343529526</c:v>
                </c:pt>
                <c:pt idx="160">
                  <c:v>1862868.0343529526</c:v>
                </c:pt>
                <c:pt idx="161">
                  <c:v>1862868.0343529526</c:v>
                </c:pt>
                <c:pt idx="162">
                  <c:v>1862868.0343529526</c:v>
                </c:pt>
                <c:pt idx="163">
                  <c:v>1862868.0343529526</c:v>
                </c:pt>
                <c:pt idx="164">
                  <c:v>1862868.0343529526</c:v>
                </c:pt>
                <c:pt idx="165">
                  <c:v>1862868.0343529526</c:v>
                </c:pt>
                <c:pt idx="166">
                  <c:v>1862868.0343529526</c:v>
                </c:pt>
                <c:pt idx="167">
                  <c:v>1862868.0343529526</c:v>
                </c:pt>
                <c:pt idx="168">
                  <c:v>1862868.0343529526</c:v>
                </c:pt>
                <c:pt idx="169">
                  <c:v>1862868.0343529526</c:v>
                </c:pt>
                <c:pt idx="170">
                  <c:v>1862868.0343529526</c:v>
                </c:pt>
                <c:pt idx="171">
                  <c:v>1862868.0343529526</c:v>
                </c:pt>
                <c:pt idx="172">
                  <c:v>1862868.0343529526</c:v>
                </c:pt>
                <c:pt idx="173">
                  <c:v>1862868.0343529526</c:v>
                </c:pt>
                <c:pt idx="174">
                  <c:v>1862868.0343529526</c:v>
                </c:pt>
                <c:pt idx="175">
                  <c:v>1862868.0343529526</c:v>
                </c:pt>
                <c:pt idx="176">
                  <c:v>1862868.0343529526</c:v>
                </c:pt>
                <c:pt idx="177">
                  <c:v>1862868.0343529526</c:v>
                </c:pt>
                <c:pt idx="178">
                  <c:v>1862868.0343529526</c:v>
                </c:pt>
                <c:pt idx="179">
                  <c:v>1862868.0343529526</c:v>
                </c:pt>
                <c:pt idx="180">
                  <c:v>1862868.0343529526</c:v>
                </c:pt>
                <c:pt idx="181">
                  <c:v>1862868.0343529526</c:v>
                </c:pt>
                <c:pt idx="182">
                  <c:v>1862868.0343529526</c:v>
                </c:pt>
                <c:pt idx="183">
                  <c:v>1862868.0343529526</c:v>
                </c:pt>
                <c:pt idx="184">
                  <c:v>1862868.0343529526</c:v>
                </c:pt>
                <c:pt idx="185">
                  <c:v>1862868.0343529526</c:v>
                </c:pt>
                <c:pt idx="186">
                  <c:v>1862868.0343529526</c:v>
                </c:pt>
                <c:pt idx="187">
                  <c:v>1862868.0343529526</c:v>
                </c:pt>
                <c:pt idx="188">
                  <c:v>1862868.0343529526</c:v>
                </c:pt>
                <c:pt idx="189">
                  <c:v>1862868.0343529526</c:v>
                </c:pt>
                <c:pt idx="190">
                  <c:v>1862868.0343529526</c:v>
                </c:pt>
                <c:pt idx="191">
                  <c:v>1862868.0343529526</c:v>
                </c:pt>
                <c:pt idx="192">
                  <c:v>1862868.0343529526</c:v>
                </c:pt>
                <c:pt idx="193">
                  <c:v>1862868.0343529526</c:v>
                </c:pt>
                <c:pt idx="194">
                  <c:v>1862868.0343529526</c:v>
                </c:pt>
                <c:pt idx="195">
                  <c:v>1862868.0343529526</c:v>
                </c:pt>
                <c:pt idx="196">
                  <c:v>1862868.0343529526</c:v>
                </c:pt>
                <c:pt idx="197">
                  <c:v>1862868.0343529526</c:v>
                </c:pt>
                <c:pt idx="198">
                  <c:v>1862868.0343529526</c:v>
                </c:pt>
                <c:pt idx="199">
                  <c:v>1862868.0343529526</c:v>
                </c:pt>
                <c:pt idx="200">
                  <c:v>1862868.0343529526</c:v>
                </c:pt>
                <c:pt idx="201">
                  <c:v>1862868.0343529526</c:v>
                </c:pt>
                <c:pt idx="202">
                  <c:v>1862868.0343529526</c:v>
                </c:pt>
                <c:pt idx="203">
                  <c:v>1862868.0343529526</c:v>
                </c:pt>
                <c:pt idx="204">
                  <c:v>1862868.0343529526</c:v>
                </c:pt>
                <c:pt idx="205">
                  <c:v>1862868.0343529526</c:v>
                </c:pt>
                <c:pt idx="206">
                  <c:v>1862868.0343529526</c:v>
                </c:pt>
                <c:pt idx="207">
                  <c:v>1862868.0343529526</c:v>
                </c:pt>
                <c:pt idx="208">
                  <c:v>1862868.0343529526</c:v>
                </c:pt>
                <c:pt idx="209">
                  <c:v>1862868.0343529526</c:v>
                </c:pt>
                <c:pt idx="210">
                  <c:v>1862868.0343529526</c:v>
                </c:pt>
                <c:pt idx="211">
                  <c:v>1862868.0343529526</c:v>
                </c:pt>
                <c:pt idx="212">
                  <c:v>1862868.0343529526</c:v>
                </c:pt>
                <c:pt idx="213">
                  <c:v>1862868.0343529526</c:v>
                </c:pt>
                <c:pt idx="214">
                  <c:v>1862868.0343529526</c:v>
                </c:pt>
                <c:pt idx="215">
                  <c:v>1862868.0343529526</c:v>
                </c:pt>
                <c:pt idx="216">
                  <c:v>1862868.0343529526</c:v>
                </c:pt>
                <c:pt idx="217">
                  <c:v>1862868.0343529526</c:v>
                </c:pt>
                <c:pt idx="218">
                  <c:v>1862868.0343529526</c:v>
                </c:pt>
                <c:pt idx="219">
                  <c:v>1862868.0343529526</c:v>
                </c:pt>
                <c:pt idx="220">
                  <c:v>1862868.0343529526</c:v>
                </c:pt>
                <c:pt idx="221">
                  <c:v>1862868.0343529526</c:v>
                </c:pt>
                <c:pt idx="222">
                  <c:v>1862868.0343529526</c:v>
                </c:pt>
                <c:pt idx="223">
                  <c:v>1862868.0343529526</c:v>
                </c:pt>
                <c:pt idx="224">
                  <c:v>1862868.0343529526</c:v>
                </c:pt>
                <c:pt idx="225">
                  <c:v>1862868.0343529526</c:v>
                </c:pt>
                <c:pt idx="226">
                  <c:v>1862868.0343529526</c:v>
                </c:pt>
                <c:pt idx="227">
                  <c:v>1862868.0343529526</c:v>
                </c:pt>
                <c:pt idx="228">
                  <c:v>1862868.0343529526</c:v>
                </c:pt>
                <c:pt idx="229">
                  <c:v>1862868.0343529526</c:v>
                </c:pt>
                <c:pt idx="230">
                  <c:v>1862868.0343529526</c:v>
                </c:pt>
                <c:pt idx="231">
                  <c:v>1862868.0343529526</c:v>
                </c:pt>
                <c:pt idx="232">
                  <c:v>1862868.0343529526</c:v>
                </c:pt>
                <c:pt idx="233">
                  <c:v>1862868.0343529526</c:v>
                </c:pt>
                <c:pt idx="234">
                  <c:v>1862868.0343529526</c:v>
                </c:pt>
                <c:pt idx="235">
                  <c:v>1862868.0343529526</c:v>
                </c:pt>
                <c:pt idx="236">
                  <c:v>1862868.0343529526</c:v>
                </c:pt>
                <c:pt idx="237">
                  <c:v>1862868.0343529526</c:v>
                </c:pt>
                <c:pt idx="238">
                  <c:v>1862868.0343529526</c:v>
                </c:pt>
                <c:pt idx="239">
                  <c:v>1862868.0343529526</c:v>
                </c:pt>
                <c:pt idx="240">
                  <c:v>1862868.0343529526</c:v>
                </c:pt>
                <c:pt idx="241">
                  <c:v>1862868.0343529526</c:v>
                </c:pt>
                <c:pt idx="242">
                  <c:v>1862868.0343529526</c:v>
                </c:pt>
                <c:pt idx="243">
                  <c:v>1862868.0343529526</c:v>
                </c:pt>
                <c:pt idx="244">
                  <c:v>1862868.0343529526</c:v>
                </c:pt>
                <c:pt idx="245">
                  <c:v>1862868.0343529526</c:v>
                </c:pt>
                <c:pt idx="246">
                  <c:v>1862868.0343529526</c:v>
                </c:pt>
                <c:pt idx="247">
                  <c:v>1862868.0343529526</c:v>
                </c:pt>
                <c:pt idx="248">
                  <c:v>1862868.0343529526</c:v>
                </c:pt>
                <c:pt idx="249">
                  <c:v>1862868.0343529526</c:v>
                </c:pt>
                <c:pt idx="250">
                  <c:v>1862868.0343529526</c:v>
                </c:pt>
                <c:pt idx="251">
                  <c:v>1862868.0343529526</c:v>
                </c:pt>
                <c:pt idx="252">
                  <c:v>1862868.0343529526</c:v>
                </c:pt>
                <c:pt idx="253">
                  <c:v>1862868.0343529526</c:v>
                </c:pt>
                <c:pt idx="254">
                  <c:v>1862868.0343529526</c:v>
                </c:pt>
                <c:pt idx="255">
                  <c:v>1862868.0343529526</c:v>
                </c:pt>
                <c:pt idx="256">
                  <c:v>1862868.0343529526</c:v>
                </c:pt>
                <c:pt idx="257">
                  <c:v>1862868.0343529526</c:v>
                </c:pt>
                <c:pt idx="258">
                  <c:v>1862868.0343529526</c:v>
                </c:pt>
                <c:pt idx="259">
                  <c:v>1862868.0343529526</c:v>
                </c:pt>
                <c:pt idx="260">
                  <c:v>1862868.0343529526</c:v>
                </c:pt>
                <c:pt idx="261">
                  <c:v>1862868.0343529526</c:v>
                </c:pt>
                <c:pt idx="262">
                  <c:v>1862868.0343529526</c:v>
                </c:pt>
                <c:pt idx="263">
                  <c:v>1862868.0343529526</c:v>
                </c:pt>
                <c:pt idx="264">
                  <c:v>1862868.0343529526</c:v>
                </c:pt>
                <c:pt idx="265">
                  <c:v>1862868.0343529526</c:v>
                </c:pt>
                <c:pt idx="266">
                  <c:v>1862868.0343529526</c:v>
                </c:pt>
                <c:pt idx="267">
                  <c:v>1862868.0343529526</c:v>
                </c:pt>
                <c:pt idx="268">
                  <c:v>1862868.0343529526</c:v>
                </c:pt>
                <c:pt idx="269">
                  <c:v>1862868.0343529526</c:v>
                </c:pt>
                <c:pt idx="270">
                  <c:v>1862868.0343529526</c:v>
                </c:pt>
                <c:pt idx="271">
                  <c:v>1862868.0343529526</c:v>
                </c:pt>
                <c:pt idx="272">
                  <c:v>1862868.0343529526</c:v>
                </c:pt>
                <c:pt idx="273">
                  <c:v>1862868.0343529526</c:v>
                </c:pt>
                <c:pt idx="274">
                  <c:v>1862868.0343529526</c:v>
                </c:pt>
                <c:pt idx="275">
                  <c:v>1862868.0343529526</c:v>
                </c:pt>
                <c:pt idx="276">
                  <c:v>1862868.0343529526</c:v>
                </c:pt>
                <c:pt idx="277">
                  <c:v>1862868.0343529526</c:v>
                </c:pt>
                <c:pt idx="278">
                  <c:v>1862868.0343529526</c:v>
                </c:pt>
                <c:pt idx="279">
                  <c:v>1862868.0343529526</c:v>
                </c:pt>
                <c:pt idx="280">
                  <c:v>1862868.0343529526</c:v>
                </c:pt>
                <c:pt idx="281">
                  <c:v>1862868.0343529526</c:v>
                </c:pt>
                <c:pt idx="282">
                  <c:v>1862868.0343529526</c:v>
                </c:pt>
                <c:pt idx="283">
                  <c:v>1862868.0343529526</c:v>
                </c:pt>
                <c:pt idx="284">
                  <c:v>1862868.0343529526</c:v>
                </c:pt>
                <c:pt idx="285">
                  <c:v>1862868.0343529526</c:v>
                </c:pt>
                <c:pt idx="286">
                  <c:v>1862868.0343529526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659" t="s">
        <v>0</v>
      </c>
      <c r="C2" s="659"/>
      <c r="D2" s="659"/>
      <c r="E2" s="659"/>
      <c r="H2" s="660" t="s">
        <v>1</v>
      </c>
      <c r="I2" s="661"/>
      <c r="J2" s="661"/>
      <c r="K2" s="661"/>
      <c r="L2" s="661"/>
      <c r="M2" s="661"/>
      <c r="N2" s="661"/>
      <c r="O2" s="662"/>
    </row>
    <row r="3" spans="2:15">
      <c r="B3" s="614"/>
      <c r="H3" s="663"/>
      <c r="I3" s="664"/>
      <c r="J3" s="664"/>
      <c r="K3" s="664"/>
      <c r="L3" s="664"/>
      <c r="M3" s="664"/>
      <c r="N3" s="664"/>
      <c r="O3" s="665"/>
    </row>
    <row r="4" spans="2:15">
      <c r="B4" s="615" t="s">
        <v>2</v>
      </c>
      <c r="C4" s="616" t="str">
        <f>'Project Plan'!E2</f>
        <v>Riverside Mall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5" t="s">
        <v>3</v>
      </c>
      <c r="C5" s="616" t="s">
        <v>4</v>
      </c>
      <c r="H5" s="663"/>
      <c r="I5" s="664"/>
      <c r="J5" s="664"/>
      <c r="K5" s="664"/>
      <c r="L5" s="664"/>
      <c r="M5" s="664"/>
      <c r="N5" s="664"/>
      <c r="O5" s="665"/>
    </row>
    <row r="6" spans="2:15">
      <c r="B6" s="615" t="s">
        <v>5</v>
      </c>
      <c r="C6" s="616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5" t="s">
        <v>7</v>
      </c>
      <c r="C7" s="616" t="s">
        <v>8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4"/>
      <c r="H8" s="663"/>
      <c r="I8" s="664"/>
      <c r="J8" s="664"/>
      <c r="K8" s="664"/>
      <c r="L8" s="664"/>
      <c r="M8" s="664"/>
      <c r="N8" s="664"/>
      <c r="O8" s="665"/>
    </row>
    <row r="9" spans="2:15">
      <c r="B9" s="669" t="s">
        <v>9</v>
      </c>
      <c r="C9" s="669"/>
      <c r="D9" s="669"/>
      <c r="E9" s="669"/>
      <c r="H9" s="663"/>
      <c r="I9" s="664"/>
      <c r="J9" s="664"/>
      <c r="K9" s="664"/>
      <c r="L9" s="664"/>
      <c r="M9" s="664"/>
      <c r="N9" s="664"/>
      <c r="O9" s="665"/>
    </row>
    <row r="10" spans="2:15" ht="15" thickBot="1">
      <c r="B10" s="669" t="s">
        <v>10</v>
      </c>
      <c r="C10" s="669"/>
      <c r="D10" s="669"/>
      <c r="E10" s="669"/>
      <c r="H10" s="666"/>
      <c r="I10" s="667"/>
      <c r="J10" s="667"/>
      <c r="K10" s="667"/>
      <c r="L10" s="667"/>
      <c r="M10" s="667"/>
      <c r="N10" s="667"/>
      <c r="O10" s="668"/>
    </row>
    <row r="11" spans="2:15">
      <c r="B11" s="617" t="s">
        <v>11</v>
      </c>
      <c r="C11" s="657"/>
      <c r="D11" s="657"/>
      <c r="E11" s="657"/>
    </row>
    <row r="12" spans="2:15">
      <c r="B12" s="617" t="s">
        <v>12</v>
      </c>
      <c r="C12" s="657"/>
      <c r="D12" s="657"/>
      <c r="E12" s="657"/>
    </row>
    <row r="13" spans="2:15">
      <c r="B13" s="617" t="s">
        <v>13</v>
      </c>
      <c r="C13" s="657"/>
      <c r="D13" s="657"/>
      <c r="E13" s="657"/>
    </row>
    <row r="14" spans="2:15">
      <c r="B14" s="617" t="s">
        <v>14</v>
      </c>
      <c r="C14" s="657"/>
      <c r="D14" s="657"/>
      <c r="E14" s="657"/>
    </row>
    <row r="15" spans="2:15">
      <c r="B15" s="617" t="s">
        <v>15</v>
      </c>
      <c r="C15" s="657"/>
      <c r="D15" s="657"/>
      <c r="E15" s="657"/>
    </row>
    <row r="16" spans="2:15" ht="15" customHeight="1">
      <c r="B16" s="617" t="s">
        <v>16</v>
      </c>
      <c r="C16" s="657"/>
      <c r="D16" s="657"/>
      <c r="E16" s="657"/>
    </row>
    <row r="17" spans="2:5">
      <c r="B17" s="614"/>
    </row>
    <row r="18" spans="2:5">
      <c r="B18" s="658" t="s">
        <v>17</v>
      </c>
      <c r="C18" s="658"/>
      <c r="D18" s="658"/>
      <c r="E18" s="658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5"/>
  <cols>
    <col min="1" max="1" width="6" customWidth="1"/>
    <col min="2" max="2" width="21.453125" customWidth="1"/>
    <col min="3" max="3" width="28.54296875" customWidth="1"/>
    <col min="4" max="4" width="15.453125" customWidth="1"/>
    <col min="5" max="5" width="16.54296875" customWidth="1"/>
    <col min="6" max="6" width="5.54296875" customWidth="1"/>
  </cols>
  <sheetData>
    <row r="1" spans="2:15" ht="15" thickBot="1"/>
    <row r="2" spans="2:15" ht="18.5">
      <c r="B2" s="659" t="s">
        <v>22</v>
      </c>
      <c r="C2" s="659"/>
      <c r="D2" s="659"/>
      <c r="E2" s="659"/>
      <c r="H2" s="660" t="s">
        <v>23</v>
      </c>
      <c r="I2" s="661"/>
      <c r="J2" s="661"/>
      <c r="K2" s="661"/>
      <c r="L2" s="661"/>
      <c r="M2" s="661"/>
      <c r="N2" s="661"/>
      <c r="O2" s="662"/>
    </row>
    <row r="3" spans="2:15">
      <c r="B3" s="614"/>
      <c r="H3" s="663"/>
      <c r="I3" s="664"/>
      <c r="J3" s="664"/>
      <c r="K3" s="664"/>
      <c r="L3" s="664"/>
      <c r="M3" s="664"/>
      <c r="N3" s="664"/>
      <c r="O3" s="665"/>
    </row>
    <row r="4" spans="2:15">
      <c r="B4" s="615" t="s">
        <v>2</v>
      </c>
      <c r="C4" s="616" t="str">
        <f>'Project Plan'!E2</f>
        <v>Riverside Mall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5" t="s">
        <v>24</v>
      </c>
      <c r="C5" s="616"/>
      <c r="H5" s="663"/>
      <c r="I5" s="664"/>
      <c r="J5" s="664"/>
      <c r="K5" s="664"/>
      <c r="L5" s="664"/>
      <c r="M5" s="664"/>
      <c r="N5" s="664"/>
      <c r="O5" s="665"/>
    </row>
    <row r="6" spans="2:15">
      <c r="B6" s="615" t="s">
        <v>5</v>
      </c>
      <c r="C6" s="616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5" t="s">
        <v>25</v>
      </c>
      <c r="C7" s="616" t="str">
        <f>'Project Plan'!E5</f>
        <v>Justin Franke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5" t="s">
        <v>26</v>
      </c>
      <c r="C8" s="616"/>
      <c r="H8" s="663"/>
      <c r="I8" s="664"/>
      <c r="J8" s="664"/>
      <c r="K8" s="664"/>
      <c r="L8" s="664"/>
      <c r="M8" s="664"/>
      <c r="N8" s="664"/>
      <c r="O8" s="665"/>
    </row>
    <row r="9" spans="2:15">
      <c r="B9" s="614"/>
      <c r="H9" s="663"/>
      <c r="I9" s="664"/>
      <c r="J9" s="664"/>
      <c r="K9" s="664"/>
      <c r="L9" s="664"/>
      <c r="M9" s="664"/>
      <c r="N9" s="664"/>
      <c r="O9" s="665"/>
    </row>
    <row r="10" spans="2:15">
      <c r="B10" s="669" t="s">
        <v>9</v>
      </c>
      <c r="C10" s="669"/>
      <c r="D10" s="669"/>
      <c r="E10" s="669"/>
      <c r="H10" s="663"/>
      <c r="I10" s="664"/>
      <c r="J10" s="664"/>
      <c r="K10" s="664"/>
      <c r="L10" s="664"/>
      <c r="M10" s="664"/>
      <c r="N10" s="664"/>
      <c r="O10" s="665"/>
    </row>
    <row r="11" spans="2:15" ht="15" thickBot="1">
      <c r="B11" s="669" t="s">
        <v>10</v>
      </c>
      <c r="C11" s="669"/>
      <c r="D11" s="669"/>
      <c r="E11" s="669"/>
      <c r="H11" s="666"/>
      <c r="I11" s="667"/>
      <c r="J11" s="667"/>
      <c r="K11" s="667"/>
      <c r="L11" s="667"/>
      <c r="M11" s="667"/>
      <c r="N11" s="667"/>
      <c r="O11" s="668"/>
    </row>
    <row r="12" spans="2:15" ht="25">
      <c r="B12" s="617" t="s">
        <v>27</v>
      </c>
      <c r="C12" s="657"/>
      <c r="D12" s="657"/>
      <c r="E12" s="657"/>
    </row>
    <row r="13" spans="2:15">
      <c r="B13" s="617" t="s">
        <v>28</v>
      </c>
      <c r="C13" s="657"/>
      <c r="D13" s="657"/>
      <c r="E13" s="657"/>
    </row>
    <row r="14" spans="2:15">
      <c r="B14" s="617" t="s">
        <v>29</v>
      </c>
      <c r="C14" s="657"/>
      <c r="D14" s="657"/>
      <c r="E14" s="657"/>
    </row>
    <row r="15" spans="2:15">
      <c r="B15" s="617" t="s">
        <v>30</v>
      </c>
      <c r="C15" s="657"/>
      <c r="D15" s="657"/>
      <c r="E15" s="657"/>
    </row>
    <row r="16" spans="2:15" ht="25">
      <c r="B16" s="617" t="s">
        <v>31</v>
      </c>
      <c r="C16" s="657"/>
      <c r="D16" s="657"/>
      <c r="E16" s="657"/>
    </row>
    <row r="17" spans="2:5">
      <c r="B17" s="617" t="s">
        <v>32</v>
      </c>
      <c r="C17" s="657"/>
      <c r="D17" s="657"/>
      <c r="E17" s="657"/>
    </row>
    <row r="18" spans="2:5">
      <c r="B18" s="617" t="s">
        <v>33</v>
      </c>
      <c r="C18" s="657"/>
      <c r="D18" s="657"/>
      <c r="E18" s="657"/>
    </row>
    <row r="19" spans="2:5">
      <c r="B19" s="617" t="s">
        <v>34</v>
      </c>
      <c r="C19" s="657"/>
      <c r="D19" s="657"/>
      <c r="E19" s="657"/>
    </row>
    <row r="20" spans="2:5">
      <c r="B20" s="617" t="s">
        <v>35</v>
      </c>
      <c r="C20" s="657"/>
      <c r="D20" s="657"/>
      <c r="E20" s="657"/>
    </row>
    <row r="21" spans="2:5">
      <c r="B21" s="617" t="s">
        <v>36</v>
      </c>
      <c r="C21" s="657"/>
      <c r="D21" s="657"/>
      <c r="E21" s="657"/>
    </row>
    <row r="22" spans="2:5" ht="15" customHeight="1">
      <c r="B22" s="617" t="s">
        <v>16</v>
      </c>
      <c r="C22" s="657"/>
      <c r="D22" s="657"/>
      <c r="E22" s="657"/>
    </row>
    <row r="23" spans="2:5">
      <c r="B23" s="614"/>
    </row>
    <row r="24" spans="2:5">
      <c r="B24" s="658" t="s">
        <v>17</v>
      </c>
      <c r="C24" s="658"/>
      <c r="D24" s="658"/>
      <c r="E24" s="658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54296875" customWidth="1"/>
    <col min="2" max="2" width="8.453125" bestFit="1" customWidth="1"/>
    <col min="3" max="3" width="45.453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453125" bestFit="1" customWidth="1"/>
    <col min="10" max="10" width="14.453125" customWidth="1"/>
    <col min="11" max="11" width="77.54296875" customWidth="1"/>
  </cols>
  <sheetData>
    <row r="1" spans="2:15">
      <c r="B1" s="672"/>
      <c r="C1" s="673"/>
      <c r="D1" s="673"/>
      <c r="E1" s="673"/>
      <c r="F1" s="670" t="s">
        <v>37</v>
      </c>
      <c r="G1" s="670"/>
      <c r="H1" s="670"/>
      <c r="I1" s="670"/>
      <c r="J1" s="670"/>
      <c r="K1" s="671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453125" defaultRowHeight="14"/>
  <cols>
    <col min="1" max="1" width="1.453125" style="4" customWidth="1"/>
    <col min="2" max="2" width="30.54296875" style="4" bestFit="1" customWidth="1"/>
    <col min="3" max="3" width="24.54296875" style="4" customWidth="1"/>
    <col min="4" max="4" width="41.453125" style="4" customWidth="1"/>
    <col min="5" max="5" width="9.54296875" style="4" customWidth="1"/>
    <col min="6" max="6" width="6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54296875" customWidth="1"/>
    <col min="3" max="3" width="9.453125" bestFit="1" customWidth="1"/>
    <col min="4" max="4" width="12.453125" bestFit="1" customWidth="1"/>
    <col min="5" max="5" width="10.453125" customWidth="1"/>
    <col min="6" max="6" width="33.54296875" customWidth="1"/>
  </cols>
  <sheetData>
    <row r="1" spans="2:10" ht="15" thickBot="1"/>
    <row r="2" spans="2:10" ht="15.5" thickTop="1" thickBot="1">
      <c r="B2" s="674" t="s">
        <v>117</v>
      </c>
      <c r="C2" s="675"/>
      <c r="D2" s="675"/>
      <c r="E2" s="675"/>
      <c r="F2" s="676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74" t="s">
        <v>127</v>
      </c>
      <c r="C16" s="675"/>
      <c r="D16" s="675"/>
      <c r="E16" s="675"/>
      <c r="F16" s="676"/>
    </row>
    <row r="17" spans="2:6" ht="1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topLeftCell="A6" zoomScale="80" zoomScaleNormal="80" workbookViewId="0">
      <selection activeCell="A41" sqref="A41:XFD4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54296875" style="4" customWidth="1"/>
    <col min="4" max="4" width="3.453125" style="26" customWidth="1"/>
    <col min="5" max="5" width="14.54296875" style="4" customWidth="1"/>
    <col min="6" max="6" width="10.453125" style="80" customWidth="1"/>
    <col min="7" max="7" width="13.54296875" style="5" customWidth="1"/>
    <col min="8" max="8" width="5" style="26" customWidth="1"/>
    <col min="9" max="9" width="13.453125" style="26" customWidth="1"/>
    <col min="10" max="10" width="11.453125" style="27" customWidth="1"/>
    <col min="11" max="11" width="14.54296875" style="26" customWidth="1"/>
    <col min="12" max="12" width="2.453125" style="26" customWidth="1"/>
    <col min="13" max="13" width="12.453125" style="26" customWidth="1"/>
    <col min="14" max="14" width="11.453125" style="26" bestFit="1" customWidth="1"/>
    <col min="15" max="15" width="39.453125" style="26" bestFit="1" customWidth="1"/>
    <col min="16" max="16" width="1.453125" style="26" customWidth="1"/>
    <col min="17" max="17" width="5.453125" style="1" customWidth="1"/>
    <col min="18" max="18" width="8.453125" style="26"/>
    <col min="19" max="19" width="21.54296875" style="26" customWidth="1"/>
    <col min="20" max="22" width="12.453125" style="26" customWidth="1"/>
    <col min="23" max="23" width="9.54296875" style="26" bestFit="1" customWidth="1"/>
    <col min="24" max="25" width="10.5429687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46087</v>
      </c>
      <c r="O1" s="305">
        <f ca="1">TODAY()</f>
        <v>46087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677" t="s">
        <v>132</v>
      </c>
      <c r="J2" s="678"/>
      <c r="K2" s="587">
        <f>NETWORKDAYS(I18,K39,Data!C3:C60)</f>
        <v>35</v>
      </c>
      <c r="N2" s="306">
        <v>0</v>
      </c>
      <c r="O2" s="306">
        <v>1</v>
      </c>
    </row>
    <row r="3" spans="2:28" s="26" customFormat="1" ht="14.5" thickBot="1">
      <c r="B3" s="91"/>
      <c r="C3" s="92" t="s">
        <v>133</v>
      </c>
      <c r="D3" s="90"/>
      <c r="E3" s="312">
        <v>184</v>
      </c>
      <c r="F3" s="93"/>
      <c r="G3" s="94"/>
      <c r="H3" s="94"/>
      <c r="I3" s="677" t="s">
        <v>134</v>
      </c>
      <c r="J3" s="678"/>
      <c r="K3" s="587">
        <f>K2/5</f>
        <v>7</v>
      </c>
      <c r="Q3" s="1"/>
    </row>
    <row r="4" spans="2:28" s="26" customFormat="1" ht="14.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677" t="s">
        <v>137</v>
      </c>
      <c r="J4" s="678"/>
      <c r="K4" s="588">
        <f>E3/K3</f>
        <v>26.285714285714285</v>
      </c>
      <c r="Q4" s="1"/>
    </row>
    <row r="5" spans="2:28" s="26" customFormat="1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681" t="s">
        <v>145</v>
      </c>
      <c r="C8" s="682" t="s">
        <v>146</v>
      </c>
      <c r="D8" s="126"/>
      <c r="E8" s="683" t="s">
        <v>147</v>
      </c>
      <c r="F8" s="148" t="s">
        <v>148</v>
      </c>
      <c r="G8" s="683" t="s">
        <v>149</v>
      </c>
      <c r="H8" s="149"/>
      <c r="I8" s="683" t="s">
        <v>150</v>
      </c>
      <c r="J8" s="148" t="s">
        <v>148</v>
      </c>
      <c r="K8" s="683" t="s">
        <v>151</v>
      </c>
      <c r="M8" s="584" t="s">
        <v>44</v>
      </c>
      <c r="N8" s="585" t="s">
        <v>152</v>
      </c>
      <c r="O8" s="679" t="s">
        <v>153</v>
      </c>
      <c r="Z8" s="26"/>
      <c r="AA8" s="26"/>
      <c r="AB8" s="26"/>
    </row>
    <row r="9" spans="2:28">
      <c r="B9" s="681"/>
      <c r="C9" s="682"/>
      <c r="D9" s="126"/>
      <c r="E9" s="683"/>
      <c r="F9" s="40">
        <f>G39-E19</f>
        <v>35</v>
      </c>
      <c r="G9" s="683"/>
      <c r="H9" s="149"/>
      <c r="I9" s="683"/>
      <c r="J9" s="41">
        <f>K39-I19</f>
        <v>48</v>
      </c>
      <c r="K9" s="683"/>
      <c r="M9" s="265">
        <f>AVERAGE(M11,M18,M21,M28,M35,M39,M48,M44)</f>
        <v>0.58935294117647063</v>
      </c>
      <c r="N9" s="265">
        <f ca="1">AVERAGE(N11,N18,N21,N28,N35,N39,N48,N44)</f>
        <v>0.61590909090909096</v>
      </c>
      <c r="O9" s="680"/>
      <c r="S9" s="586">
        <f ca="1">TODAY()</f>
        <v>46087</v>
      </c>
      <c r="T9" s="586">
        <f ca="1">TODAY()</f>
        <v>46087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  <c r="W12" s="537" t="s">
        <v>160</v>
      </c>
    </row>
    <row r="13" spans="2:28" s="26" customFormat="1">
      <c r="B13" s="157" t="s">
        <v>161</v>
      </c>
      <c r="C13" s="158" t="s">
        <v>162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  <c r="W13" s="652">
        <f>M11</f>
        <v>1</v>
      </c>
    </row>
    <row r="14" spans="2:28" s="26" customFormat="1">
      <c r="B14" s="157" t="s">
        <v>163</v>
      </c>
      <c r="C14" s="158" t="s">
        <v>164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  <c r="W14" s="652">
        <f>M18</f>
        <v>1</v>
      </c>
    </row>
    <row r="15" spans="2:28" s="26" customFormat="1">
      <c r="B15" s="157" t="s">
        <v>165</v>
      </c>
      <c r="C15" s="158" t="s">
        <v>166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72</v>
      </c>
      <c r="V15" s="538">
        <f>K21</f>
        <v>46092</v>
      </c>
      <c r="W15" s="652">
        <f>M21</f>
        <v>0.85599999999999998</v>
      </c>
    </row>
    <row r="16" spans="2:28" s="26" customFormat="1">
      <c r="B16" s="157" t="s">
        <v>167</v>
      </c>
      <c r="C16" s="158" t="s">
        <v>168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29</v>
      </c>
      <c r="V16" s="538">
        <f>K28</f>
        <v>46085</v>
      </c>
      <c r="W16" s="652">
        <f>M28</f>
        <v>0.85882352941176465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17</v>
      </c>
      <c r="V17" s="538">
        <f>K35</f>
        <v>46073</v>
      </c>
      <c r="W17" s="652">
        <f>M35</f>
        <v>1</v>
      </c>
    </row>
    <row r="18" spans="2:28" s="28" customFormat="1">
      <c r="B18" s="155">
        <v>2</v>
      </c>
      <c r="C18" s="156" t="s">
        <v>169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46094</v>
      </c>
      <c r="U18" s="539">
        <f>J39</f>
        <v>10</v>
      </c>
      <c r="V18" s="538">
        <f>K39</f>
        <v>46104</v>
      </c>
      <c r="W18" s="652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170</v>
      </c>
      <c r="C19" s="158" t="s">
        <v>171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46097</v>
      </c>
      <c r="U19" s="539">
        <f>J44</f>
        <v>3</v>
      </c>
      <c r="V19" s="538">
        <f>K44</f>
        <v>46100</v>
      </c>
      <c r="W19" s="652">
        <f>M44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46098</v>
      </c>
      <c r="U20" s="539">
        <f>J48</f>
        <v>16</v>
      </c>
      <c r="V20" s="538">
        <f>K48</f>
        <v>46114</v>
      </c>
      <c r="W20" s="652">
        <f>M48</f>
        <v>0</v>
      </c>
    </row>
    <row r="21" spans="2:28" s="28" customFormat="1">
      <c r="B21" s="155">
        <v>3</v>
      </c>
      <c r="C21" s="156" t="s">
        <v>172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72</v>
      </c>
      <c r="K21" s="571">
        <f>MAX(K22:K27)</f>
        <v>46092</v>
      </c>
      <c r="L21" s="574"/>
      <c r="M21" s="575">
        <f>(J22*M22+J23*M23+J24*M24+J25*M25+J26*M26)/SUM(J22:J26)</f>
        <v>0.85599999999999998</v>
      </c>
      <c r="N21" s="575">
        <f ca="1">(J22*N22+J23*N23+J24*N24+J25*N25+J26*N26)/SUM(J22:J26)</f>
        <v>0.92727272727272725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173</v>
      </c>
      <c r="C22" s="158" t="s">
        <v>174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175</v>
      </c>
      <c r="C23" s="158" t="s">
        <v>176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177</v>
      </c>
      <c r="C24" s="158" t="s">
        <v>178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30</v>
      </c>
      <c r="K24" s="576">
        <f>WORKDAY.INTL(I24,J24,1,Data!$C$3:$C$60)</f>
        <v>46072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179</v>
      </c>
      <c r="C25" s="158" t="s">
        <v>180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v>46070</v>
      </c>
      <c r="J25" s="577">
        <v>16</v>
      </c>
      <c r="K25" s="576">
        <f>WORKDAY.INTL(I25,J25,1,Data!$C$3:$C$60)</f>
        <v>46092</v>
      </c>
      <c r="L25" s="77"/>
      <c r="M25" s="579">
        <v>0.55000000000000004</v>
      </c>
      <c r="N25" s="579">
        <f t="shared" ca="1" si="1"/>
        <v>0.77272727272727271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181</v>
      </c>
      <c r="C26" s="158" t="s">
        <v>182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v>46078</v>
      </c>
      <c r="J26" s="577">
        <v>1</v>
      </c>
      <c r="K26" s="576">
        <f>WORKDAY.INTL(I26,J26,1,Data!$C$3:$C$60)</f>
        <v>46079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183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29</v>
      </c>
      <c r="K28" s="571">
        <f>MAX(K30:K34)</f>
        <v>46085</v>
      </c>
      <c r="L28" s="574"/>
      <c r="M28" s="575">
        <f>(J30*M30+J31*M31+J33*M33+J32*M32)/SUM(J30:J33)</f>
        <v>0.85882352941176465</v>
      </c>
      <c r="N28" s="575">
        <f ca="1">(J30*N30+J31*N31+J33*N33+J32*N32)/SUM(J30:J33)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184</v>
      </c>
      <c r="C30" s="158" t="s">
        <v>185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186</v>
      </c>
      <c r="C31" s="158" t="s">
        <v>187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188</v>
      </c>
      <c r="C32" s="158" t="s">
        <v>189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5">
      <c r="B33" s="157" t="s">
        <v>190</v>
      </c>
      <c r="C33" s="154" t="s">
        <v>191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K37</f>
        <v>46073</v>
      </c>
      <c r="J33" s="577">
        <v>8</v>
      </c>
      <c r="K33" s="582">
        <f>WORKDAY.INTL(I33,J33,1,Data!$C$3:$C$60)</f>
        <v>46085</v>
      </c>
      <c r="L33" s="77"/>
      <c r="M33" s="579">
        <v>0.7</v>
      </c>
      <c r="N33" s="579">
        <f t="shared" ca="1" si="2"/>
        <v>1</v>
      </c>
      <c r="O33" s="36" t="s">
        <v>453</v>
      </c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192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17</v>
      </c>
      <c r="K35" s="571">
        <f>MAX(K36:K38)</f>
        <v>46073</v>
      </c>
      <c r="L35" s="574"/>
      <c r="M35" s="575">
        <f>(J36*M36+J37*M37)/SUM(J36:J37)</f>
        <v>1</v>
      </c>
      <c r="N35" s="575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193</v>
      </c>
      <c r="C36" s="158" t="s">
        <v>194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195</v>
      </c>
      <c r="C37" s="158" t="s">
        <v>196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v>46069</v>
      </c>
      <c r="J37" s="577">
        <v>4</v>
      </c>
      <c r="K37" s="576">
        <f>WORKDAY.INTL(I37,J37,1,Data!$C$3:$C$60)</f>
        <v>46073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197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46094</v>
      </c>
      <c r="J39" s="572">
        <f>K39-I39</f>
        <v>10</v>
      </c>
      <c r="K39" s="571">
        <f>MAX(K40:K43)</f>
        <v>46104</v>
      </c>
      <c r="L39" s="574"/>
      <c r="M39" s="575">
        <f>(J40*M40+J41*M41+J42*M42)/SUM(J40:J42)</f>
        <v>0</v>
      </c>
      <c r="N39" s="575">
        <f ca="1">(J40*N40+J41*N41)/SUM(J40:J41)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198</v>
      </c>
      <c r="C40" s="154" t="s">
        <v>197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v>46094</v>
      </c>
      <c r="J40" s="577">
        <v>1</v>
      </c>
      <c r="K40" s="582">
        <f>WORKDAY.INTL(I40,J40,1,Data!$C$3:$C$60)</f>
        <v>46097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199</v>
      </c>
      <c r="C41" s="154" t="s">
        <v>200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v>46095</v>
      </c>
      <c r="J41" s="577">
        <v>1</v>
      </c>
      <c r="K41" s="582">
        <f>WORKDAY.INTL(I41,J41,1,Data!$C$3:$C$60)</f>
        <v>46097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201</v>
      </c>
      <c r="C42" s="154" t="s">
        <v>202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46097</v>
      </c>
      <c r="J42" s="577">
        <v>5</v>
      </c>
      <c r="K42" s="582">
        <f>WORKDAY.INTL(I42,J42,1,Data!$C$3:$C$60)</f>
        <v>46104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203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46097</v>
      </c>
      <c r="J44" s="572">
        <f>K44-I44</f>
        <v>3</v>
      </c>
      <c r="K44" s="571">
        <f>MAX(K45:K47)</f>
        <v>46100</v>
      </c>
      <c r="L44" s="574"/>
      <c r="M44" s="575">
        <f>(J45*M45+J46*M46)/SUM(J45:J46)</f>
        <v>0</v>
      </c>
      <c r="N44" s="575">
        <f ca="1">(J45*N45)/SUM(J45)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204</v>
      </c>
      <c r="C45" s="154" t="s">
        <v>205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46097</v>
      </c>
      <c r="J45" s="577">
        <v>1</v>
      </c>
      <c r="K45" s="582">
        <f>WORKDAY.INTL(I45,J45,1,Data!$C$3:$C$60)</f>
        <v>46098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206</v>
      </c>
      <c r="C46" s="154" t="s">
        <v>207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46098</v>
      </c>
      <c r="J46" s="577">
        <v>2</v>
      </c>
      <c r="K46" s="582">
        <f>WORKDAY.INTL(I46,J46,1,Data!$C$3:$C$60)</f>
        <v>46100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208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46098</v>
      </c>
      <c r="J48" s="572">
        <f>K48-I48</f>
        <v>16</v>
      </c>
      <c r="K48" s="571">
        <f>MAX(K49:K51)</f>
        <v>46114</v>
      </c>
      <c r="L48" s="574"/>
      <c r="M48" s="575">
        <f>(J49*M49+J50*M50+J51*M51)/SUM(J49:J51)</f>
        <v>0</v>
      </c>
      <c r="N48" s="575">
        <f ca="1">(J49*N49+J50*N50+J51*N51)/SUM(J49:J51)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209</v>
      </c>
      <c r="C49" s="154" t="s">
        <v>210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46098</v>
      </c>
      <c r="J49" s="577">
        <v>7</v>
      </c>
      <c r="K49" s="582">
        <f>WORKDAY.INTL(I49,J49,1,Data!$C$3:$C$60)</f>
        <v>46107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211</v>
      </c>
      <c r="C50" s="154" t="s">
        <v>212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46107</v>
      </c>
      <c r="J50" s="577">
        <v>1</v>
      </c>
      <c r="K50" s="582">
        <f>WORKDAY.INTL(I50,J50,1,Data!$C$3:$C$60)</f>
        <v>46108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213</v>
      </c>
      <c r="C51" s="154" t="s">
        <v>214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46107</v>
      </c>
      <c r="J51" s="577">
        <v>5</v>
      </c>
      <c r="K51" s="582">
        <f>WORKDAY.INTL(I51,J51,1,Data!$C$3:$C$60)</f>
        <v>46114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70" zoomScaleNormal="70" workbookViewId="0">
      <selection activeCell="Q8" sqref="Q8"/>
    </sheetView>
  </sheetViews>
  <sheetFormatPr defaultColWidth="8.453125" defaultRowHeight="14.5"/>
  <cols>
    <col min="1" max="1" width="5.453125" style="24" customWidth="1"/>
    <col min="2" max="2" width="5.453125" style="45" customWidth="1"/>
    <col min="3" max="4" width="23.453125" style="43" customWidth="1"/>
    <col min="5" max="5" width="6.54296875" style="43" customWidth="1"/>
    <col min="6" max="6" width="16.453125" style="43" customWidth="1"/>
    <col min="7" max="7" width="13" style="43" customWidth="1"/>
    <col min="8" max="8" width="17.453125" style="43" customWidth="1"/>
    <col min="9" max="9" width="1.54296875" style="43" customWidth="1"/>
    <col min="10" max="10" width="3.453125" style="24" customWidth="1"/>
    <col min="11" max="11" width="1.54296875" style="87" customWidth="1"/>
    <col min="12" max="12" width="29.453125" style="24" customWidth="1"/>
    <col min="13" max="13" width="1.54296875" style="43" customWidth="1"/>
    <col min="14" max="14" width="29.453125" style="43" customWidth="1"/>
    <col min="15" max="15" width="1.54296875" style="43" customWidth="1"/>
    <col min="16" max="16" width="16.54296875" style="43" customWidth="1"/>
    <col min="17" max="17" width="5.453125" style="43" customWidth="1"/>
    <col min="18" max="18" width="112.453125" style="43" bestFit="1" customWidth="1"/>
    <col min="19" max="19" width="4.453125" style="43" customWidth="1"/>
    <col min="20" max="20" width="14.453125" style="43" customWidth="1"/>
    <col min="21" max="21" width="10.453125" style="24" bestFit="1" customWidth="1"/>
    <col min="22" max="23" width="8.453125" style="24"/>
    <col min="24" max="24" width="18.54296875" style="24" bestFit="1" customWidth="1"/>
    <col min="25" max="25" width="15.54296875" style="24" bestFit="1" customWidth="1"/>
    <col min="26" max="26" width="17.54296875" style="24" bestFit="1" customWidth="1"/>
    <col min="27" max="27" width="14.54296875" style="24" bestFit="1" customWidth="1"/>
    <col min="28" max="28" width="8.453125" style="43"/>
    <col min="29" max="29" width="12.45312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215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">
      <c r="B3" s="31"/>
      <c r="D3" s="39" t="s">
        <v>216</v>
      </c>
      <c r="F3" s="39" t="s">
        <v>217</v>
      </c>
      <c r="J3" s="53"/>
      <c r="L3" s="310" t="s">
        <v>218</v>
      </c>
      <c r="N3" s="310" t="s">
        <v>219</v>
      </c>
      <c r="S3" s="53"/>
    </row>
    <row r="4" spans="1:41" s="24" customFormat="1" ht="13">
      <c r="B4" s="256">
        <v>1</v>
      </c>
      <c r="C4" s="257" t="s">
        <v>220</v>
      </c>
      <c r="D4" s="258">
        <f>'Project Plan'!E6</f>
        <v>1862957.1509834838</v>
      </c>
      <c r="E4" s="259"/>
      <c r="F4" s="258">
        <f>F21</f>
        <v>1862957.150983484</v>
      </c>
      <c r="G4" s="637" t="s">
        <v>221</v>
      </c>
      <c r="H4" s="637" t="s">
        <v>222</v>
      </c>
      <c r="J4" s="53"/>
      <c r="L4" s="276"/>
      <c r="N4" s="276" t="s">
        <v>158</v>
      </c>
      <c r="Q4" s="44"/>
      <c r="S4" s="53"/>
      <c r="X4" s="624" t="s">
        <v>223</v>
      </c>
      <c r="Y4" s="624" t="s">
        <v>224</v>
      </c>
      <c r="Z4" s="624" t="s">
        <v>225</v>
      </c>
      <c r="AA4" s="624" t="s">
        <v>226</v>
      </c>
    </row>
    <row r="5" spans="1:41" s="24" customFormat="1" ht="15" customHeight="1">
      <c r="B5" s="256">
        <v>2</v>
      </c>
      <c r="C5" s="257" t="s">
        <v>227</v>
      </c>
      <c r="D5" s="258">
        <f>+'Expenditure Tracking'!F5</f>
        <v>1520558.8732336955</v>
      </c>
      <c r="E5" s="259"/>
      <c r="F5" s="258">
        <f>+'Expenditure Tracking'!H5</f>
        <v>1303783.7243872934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1862868.0343529524</v>
      </c>
      <c r="Y5" s="625">
        <f>SUMIFS('Expenditure Breakdown'!$Q:$Q,
        'Expenditure Breakdown'!$T:$T, "&gt;"&amp;DATE(2025,8,31),
        'Expenditure Breakdown'!$T:$T, "&lt;="&amp;DATE(2026,8,31))</f>
        <v>1303783.7243872939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1570037.8678913428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1133015.9390000002</v>
      </c>
    </row>
    <row r="6" spans="1:41" s="24" customFormat="1" ht="15" customHeight="1">
      <c r="B6" s="256">
        <v>3</v>
      </c>
      <c r="C6" s="257" t="s">
        <v>228</v>
      </c>
      <c r="D6" s="258">
        <f>+D4-D5</f>
        <v>342398.27774978825</v>
      </c>
      <c r="E6" s="259"/>
      <c r="F6" s="258">
        <f>+F4-F5</f>
        <v>559173.42659619055</v>
      </c>
      <c r="J6" s="53"/>
      <c r="L6" s="276"/>
      <c r="N6" s="276" t="s">
        <v>229</v>
      </c>
      <c r="S6" s="53"/>
    </row>
    <row r="7" spans="1:41" s="24" customFormat="1" ht="15" customHeight="1" thickBot="1">
      <c r="B7" s="256">
        <v>4</v>
      </c>
      <c r="C7" s="257" t="s">
        <v>230</v>
      </c>
      <c r="D7" s="260">
        <f>+D6/D4</f>
        <v>0.18379288947629896</v>
      </c>
      <c r="E7" s="259"/>
      <c r="F7" s="260">
        <f>+F6/F4</f>
        <v>0.30015367036273177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231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145</v>
      </c>
      <c r="C12" s="47" t="s">
        <v>232</v>
      </c>
      <c r="D12" s="48"/>
      <c r="E12" s="46" t="s">
        <v>233</v>
      </c>
      <c r="F12" s="46" t="s">
        <v>234</v>
      </c>
      <c r="H12" s="261" t="s">
        <v>235</v>
      </c>
      <c r="J12" s="53"/>
      <c r="L12" s="78" t="s">
        <v>236</v>
      </c>
      <c r="M12" s="49"/>
      <c r="N12" s="78" t="s">
        <v>237</v>
      </c>
      <c r="O12" s="49"/>
      <c r="P12" s="78" t="s">
        <v>238</v>
      </c>
      <c r="R12" s="279" t="s">
        <v>239</v>
      </c>
      <c r="S12" s="53"/>
    </row>
    <row r="13" spans="1:41" s="24" customFormat="1" ht="13">
      <c r="B13" s="589">
        <v>1</v>
      </c>
      <c r="C13" s="686" t="s">
        <v>240</v>
      </c>
      <c r="D13" s="687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241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686" t="s">
        <v>242</v>
      </c>
      <c r="D14" s="687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243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2.5">
      <c r="B15" s="589">
        <v>3</v>
      </c>
      <c r="C15" s="686" t="s">
        <v>244</v>
      </c>
      <c r="D15" s="687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243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2.5">
      <c r="B16" s="589">
        <v>4</v>
      </c>
      <c r="C16" s="684" t="s">
        <v>200</v>
      </c>
      <c r="D16" s="685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46111</v>
      </c>
      <c r="R16" s="280"/>
      <c r="S16" s="53"/>
    </row>
    <row r="17" spans="2:19" s="24" customFormat="1" ht="12.5">
      <c r="B17" s="589">
        <v>5</v>
      </c>
      <c r="C17" s="684" t="s">
        <v>245</v>
      </c>
      <c r="D17" s="685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46114</v>
      </c>
      <c r="R17" s="280"/>
      <c r="S17" s="53"/>
    </row>
    <row r="18" spans="2:19" s="24" customFormat="1" ht="12.5">
      <c r="B18" s="589">
        <v>6</v>
      </c>
      <c r="C18" s="684" t="s">
        <v>246</v>
      </c>
      <c r="D18" s="68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2.5">
      <c r="B19" s="589">
        <v>7</v>
      </c>
      <c r="C19" s="686" t="s">
        <v>246</v>
      </c>
      <c r="D19" s="68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247</v>
      </c>
      <c r="C23" s="57" t="s">
        <v>248</v>
      </c>
      <c r="D23" s="57"/>
      <c r="F23" s="58"/>
      <c r="H23" s="30"/>
    </row>
    <row r="24" spans="2:19" s="24" customFormat="1" ht="12.5">
      <c r="C24" s="59" t="s">
        <v>249</v>
      </c>
      <c r="D24" s="60"/>
      <c r="F24" s="61"/>
    </row>
    <row r="25" spans="2:19" s="24" customFormat="1" ht="12.5">
      <c r="C25" s="59" t="s">
        <v>250</v>
      </c>
      <c r="D25" s="60"/>
    </row>
    <row r="26" spans="2:19" s="24" customFormat="1" ht="12.5">
      <c r="C26" s="62" t="s">
        <v>251</v>
      </c>
      <c r="D26" s="63"/>
    </row>
    <row r="27" spans="2:19" s="24" customFormat="1" ht="12.5">
      <c r="C27" s="64" t="s">
        <v>252</v>
      </c>
      <c r="D27" s="60"/>
    </row>
    <row r="28" spans="2:19" s="24" customFormat="1" ht="12.5">
      <c r="B28" s="31"/>
      <c r="C28" s="64" t="s">
        <v>253</v>
      </c>
      <c r="D28" s="60"/>
    </row>
    <row r="29" spans="2:19" s="24" customFormat="1" ht="12.5">
      <c r="B29" s="31"/>
      <c r="C29" s="24" t="s">
        <v>254</v>
      </c>
    </row>
    <row r="30" spans="2:19" s="24" customFormat="1" ht="27.75" customHeight="1">
      <c r="B30" s="31"/>
      <c r="C30" s="65" t="s">
        <v>255</v>
      </c>
      <c r="D30" s="65"/>
      <c r="F30" s="61"/>
    </row>
    <row r="31" spans="2:19" s="24" customFormat="1" ht="12.5">
      <c r="B31" s="31"/>
      <c r="F31" s="58"/>
      <c r="N31" s="543"/>
    </row>
    <row r="32" spans="2:19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232</v>
      </c>
      <c r="D40" s="48"/>
      <c r="E40" s="46" t="s">
        <v>233</v>
      </c>
      <c r="F40" s="46" t="s">
        <v>234</v>
      </c>
    </row>
    <row r="41" spans="2:6" s="24" customFormat="1" ht="12.75" hidden="1" customHeight="1">
      <c r="B41" s="66">
        <v>1</v>
      </c>
      <c r="C41" s="67" t="s">
        <v>256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244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257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245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258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13" activePane="bottomLeft" state="frozen"/>
      <selection activeCell="X33" sqref="X33"/>
      <selection pane="bottomLeft" activeCell="A13" sqref="A13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45312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259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88"/>
      <c r="C4" s="688"/>
      <c r="D4" s="688"/>
      <c r="E4" s="313"/>
      <c r="F4" s="131" t="s">
        <v>216</v>
      </c>
      <c r="G4" s="126"/>
      <c r="H4" s="131" t="s">
        <v>217</v>
      </c>
      <c r="I4" s="126"/>
      <c r="J4" s="132" t="s">
        <v>260</v>
      </c>
      <c r="K4" s="26"/>
      <c r="L4" s="26"/>
    </row>
    <row r="5" spans="1:12" ht="14.5" thickBot="1">
      <c r="A5" s="126"/>
      <c r="B5" s="689" t="s">
        <v>261</v>
      </c>
      <c r="C5" s="689"/>
      <c r="D5" s="689"/>
      <c r="E5" s="313"/>
      <c r="F5" s="133">
        <f>SUM(F9:F23)</f>
        <v>1520558.8732336955</v>
      </c>
      <c r="G5" s="128"/>
      <c r="H5" s="133">
        <f>SUM(H9:H23)</f>
        <v>1303783.7243872934</v>
      </c>
      <c r="I5" s="126"/>
      <c r="J5" s="134">
        <f>SUM(J9:J23)</f>
        <v>216775.14884640215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145</v>
      </c>
      <c r="C7" s="137"/>
      <c r="D7" s="136" t="s">
        <v>78</v>
      </c>
      <c r="E7" s="137"/>
      <c r="F7" s="138" t="s">
        <v>262</v>
      </c>
      <c r="G7" s="139"/>
      <c r="H7" s="138" t="s">
        <v>263</v>
      </c>
      <c r="I7" s="139"/>
      <c r="J7" s="138" t="s">
        <v>264</v>
      </c>
      <c r="K7" s="84"/>
      <c r="L7" s="29" t="s">
        <v>265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33951.839999999997</v>
      </c>
      <c r="I13" s="23"/>
      <c r="J13" s="143">
        <f t="shared" si="0"/>
        <v>48.160000000003492</v>
      </c>
      <c r="K13" s="85"/>
      <c r="L13" s="159"/>
    </row>
    <row r="14" spans="1:12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157338.17999999996</v>
      </c>
      <c r="I14" s="23"/>
      <c r="J14" s="143">
        <f t="shared" si="0"/>
        <v>92260.637391304394</v>
      </c>
      <c r="K14" s="85"/>
      <c r="L14" s="159"/>
    </row>
    <row r="15" spans="1:12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86418.9</v>
      </c>
      <c r="I16" s="23"/>
      <c r="J16" s="143">
        <f t="shared" si="0"/>
        <v>101081.1</v>
      </c>
      <c r="K16" s="85"/>
      <c r="L16" s="159"/>
    </row>
    <row r="17" spans="1:12">
      <c r="A17" s="126"/>
      <c r="B17" s="140">
        <f>'Expenditure Breakdown'!L93</f>
        <v>9</v>
      </c>
      <c r="C17" s="129"/>
      <c r="D17" s="141" t="str">
        <f>'Expenditure Breakdown'!M93</f>
        <v>9. AC &amp; DC installation</v>
      </c>
      <c r="E17" s="144"/>
      <c r="F17" s="142">
        <f>'Expenditure Breakdown'!I93</f>
        <v>147225</v>
      </c>
      <c r="G17" s="21"/>
      <c r="H17" s="142">
        <f>'Expenditure Breakdown'!X93</f>
        <v>194250.00999999998</v>
      </c>
      <c r="I17" s="23"/>
      <c r="J17" s="143">
        <f t="shared" si="0"/>
        <v>-47025.00999999998</v>
      </c>
      <c r="K17" s="85"/>
      <c r="L17" s="159"/>
    </row>
    <row r="18" spans="1:12">
      <c r="A18" s="126"/>
      <c r="B18" s="140">
        <f>'Expenditure Breakdown'!L106</f>
        <v>10</v>
      </c>
      <c r="C18" s="129"/>
      <c r="D18" s="141" t="str">
        <f>'Expenditure Breakdown'!M106</f>
        <v>10. Site Logistics</v>
      </c>
      <c r="E18" s="21"/>
      <c r="F18" s="142">
        <f>'Expenditure Breakdown'!I106</f>
        <v>34366.266666666663</v>
      </c>
      <c r="G18" s="21"/>
      <c r="H18" s="142">
        <f>'Expenditure Breakdown'!X106</f>
        <v>44166.2</v>
      </c>
      <c r="I18" s="23"/>
      <c r="J18" s="143">
        <f t="shared" si="0"/>
        <v>-9799.9333333333343</v>
      </c>
      <c r="K18" s="85"/>
      <c r="L18" s="159"/>
    </row>
    <row r="19" spans="1:12">
      <c r="A19" s="126"/>
      <c r="B19" s="140">
        <f>'Expenditure Breakdown'!L122</f>
        <v>11</v>
      </c>
      <c r="C19" s="129"/>
      <c r="D19" s="141" t="str">
        <f>'Expenditure Breakdown'!M122</f>
        <v>11. Due Dilligence</v>
      </c>
      <c r="E19" s="21"/>
      <c r="F19" s="142">
        <f>'Expenditure Breakdown'!I122</f>
        <v>89000</v>
      </c>
      <c r="G19" s="21"/>
      <c r="H19" s="142">
        <f>'Expenditure Breakdown'!X122</f>
        <v>75572.5</v>
      </c>
      <c r="I19" s="23"/>
      <c r="J19" s="143">
        <f t="shared" si="0"/>
        <v>13427.5</v>
      </c>
      <c r="K19" s="85"/>
      <c r="L19" s="159"/>
    </row>
    <row r="20" spans="1:12">
      <c r="A20" s="126"/>
      <c r="B20" s="140">
        <f>'Expenditure Breakdown'!L128</f>
        <v>12</v>
      </c>
      <c r="C20" s="129"/>
      <c r="D20" s="141" t="str">
        <f>'Expenditure Breakdown'!M128</f>
        <v>12. BDP Commission</v>
      </c>
      <c r="E20" s="21"/>
      <c r="F20" s="142">
        <f>'Expenditure Breakdown'!I128</f>
        <v>0</v>
      </c>
      <c r="G20" s="21"/>
      <c r="H20" s="142">
        <f>'Expenditure Breakdown'!X128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Breakdown'!L131</f>
        <v>13</v>
      </c>
      <c r="C21" s="129"/>
      <c r="D21" s="141" t="str">
        <f>'Expenditure Breakdown'!M132</f>
        <v>13. Engineering</v>
      </c>
      <c r="E21" s="21"/>
      <c r="F21" s="142">
        <f>'Expenditure Breakdown'!I131</f>
        <v>16449.739175724637</v>
      </c>
      <c r="G21" s="21"/>
      <c r="H21" s="142">
        <f>'Expenditure Breakdown'!X131</f>
        <v>23286.964387293548</v>
      </c>
      <c r="I21" s="23"/>
      <c r="J21" s="143">
        <f t="shared" si="0"/>
        <v>-6837.2252115689116</v>
      </c>
      <c r="K21" s="85"/>
      <c r="L21" s="159"/>
    </row>
    <row r="22" spans="1:12">
      <c r="A22" s="126"/>
      <c r="B22" s="140">
        <f>'Expenditure Breakdown'!L138</f>
        <v>14</v>
      </c>
      <c r="C22" s="129"/>
      <c r="D22" s="141" t="str">
        <f>'Expenditure Breakdown'!M138</f>
        <v>14. General Expenses</v>
      </c>
      <c r="E22" s="21"/>
      <c r="F22" s="142">
        <f>'Expenditure Breakdown'!I138</f>
        <v>630</v>
      </c>
      <c r="G22" s="21"/>
      <c r="H22" s="142">
        <f>'Expenditure Breakdown'!X138</f>
        <v>734.3</v>
      </c>
      <c r="I22" s="23"/>
      <c r="J22" s="143">
        <f t="shared" si="0"/>
        <v>-104.29999999999995</v>
      </c>
      <c r="K22" s="85"/>
      <c r="L22" s="159"/>
    </row>
    <row r="23" spans="1:12">
      <c r="A23" s="126"/>
      <c r="B23" s="140">
        <f>'Expenditure Breakdown'!L151</f>
        <v>15</v>
      </c>
      <c r="C23" s="129"/>
      <c r="D23" s="141" t="str">
        <f>'Expenditure Breakdown'!M151</f>
        <v>15. Service Add On</v>
      </c>
      <c r="E23" s="21"/>
      <c r="F23" s="142">
        <f>'Expenditure Breakdown'!I151</f>
        <v>0</v>
      </c>
      <c r="G23" s="21"/>
      <c r="H23" s="142">
        <f>'Expenditure Breakdown'!X151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O1" zoomScale="78" zoomScaleNormal="85" workbookViewId="0">
      <pane ySplit="4" topLeftCell="A73" activePane="bottomLeft" state="frozen"/>
      <selection activeCell="X33" sqref="X33"/>
      <selection pane="bottomLeft" activeCell="W98" sqref="W98"/>
    </sheetView>
  </sheetViews>
  <sheetFormatPr defaultColWidth="9.1796875" defaultRowHeight="14"/>
  <cols>
    <col min="1" max="1" width="2.453125" style="26" hidden="1" customWidth="1"/>
    <col min="2" max="2" width="6.453125" style="4" hidden="1" customWidth="1"/>
    <col min="3" max="3" width="20.453125" style="4" hidden="1" customWidth="1"/>
    <col min="4" max="4" width="51.54296875" style="4" hidden="1" customWidth="1"/>
    <col min="5" max="5" width="13" style="6" hidden="1" customWidth="1"/>
    <col min="6" max="6" width="16.54296875" style="372" hidden="1" customWidth="1"/>
    <col min="7" max="8" width="17.453125" style="4" hidden="1" customWidth="1"/>
    <col min="9" max="10" width="22.453125" style="254" customWidth="1"/>
    <col min="11" max="12" width="5.453125" style="26" customWidth="1"/>
    <col min="13" max="13" width="25.54296875" style="26" customWidth="1"/>
    <col min="14" max="14" width="48.453125" style="26" customWidth="1"/>
    <col min="15" max="15" width="15.54296875" style="26" customWidth="1"/>
    <col min="16" max="17" width="17.453125" style="26" customWidth="1"/>
    <col min="18" max="18" width="33.54296875" style="26" customWidth="1"/>
    <col min="19" max="19" width="31.453125" style="26" bestFit="1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453125" style="26" customWidth="1"/>
    <col min="25" max="25" width="29.453125" style="26" bestFit="1" customWidth="1"/>
    <col min="26" max="26" width="24.453125" style="26" customWidth="1"/>
    <col min="27" max="76" width="17.453125" style="26" customWidth="1"/>
    <col min="77" max="16384" width="9.179687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0" t="s">
        <v>267</v>
      </c>
      <c r="C2" s="691"/>
      <c r="D2" s="691"/>
      <c r="E2" s="691"/>
      <c r="F2" s="691"/>
      <c r="G2" s="691"/>
      <c r="H2" s="395"/>
      <c r="I2" s="162">
        <f>SUM(I6:I163)</f>
        <v>1520558.8732336955</v>
      </c>
      <c r="J2" s="162">
        <f>SUM(J6:J163)</f>
        <v>1862957.1509834835</v>
      </c>
      <c r="L2" s="692" t="s">
        <v>268</v>
      </c>
      <c r="M2" s="693"/>
      <c r="N2" s="693"/>
      <c r="O2" s="693"/>
      <c r="P2" s="693"/>
      <c r="Q2" s="693"/>
      <c r="R2" s="700" t="s">
        <v>269</v>
      </c>
      <c r="S2" s="701"/>
      <c r="T2" s="701"/>
      <c r="U2" s="701"/>
      <c r="V2" s="701"/>
      <c r="W2" s="702"/>
      <c r="X2" s="162">
        <f>SUM(X6:X163)</f>
        <v>1303783.7243872934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270</v>
      </c>
      <c r="C4" s="164" t="s">
        <v>271</v>
      </c>
      <c r="D4" s="164" t="s">
        <v>272</v>
      </c>
      <c r="E4" s="164" t="s">
        <v>273</v>
      </c>
      <c r="F4" s="363" t="s">
        <v>274</v>
      </c>
      <c r="G4" s="165" t="s">
        <v>275</v>
      </c>
      <c r="H4" s="273" t="s">
        <v>276</v>
      </c>
      <c r="I4" s="166" t="s">
        <v>277</v>
      </c>
      <c r="J4" s="166" t="str">
        <f>IF(J2-'Revenue Tracking'!D4&gt;=0, "Total Revenue", "ERROR on REV" )</f>
        <v>ERROR on REV</v>
      </c>
      <c r="K4" s="77"/>
      <c r="L4" s="163" t="s">
        <v>270</v>
      </c>
      <c r="M4" s="164" t="s">
        <v>278</v>
      </c>
      <c r="N4" s="164" t="s">
        <v>272</v>
      </c>
      <c r="O4" s="164" t="s">
        <v>273</v>
      </c>
      <c r="P4" s="363" t="s">
        <v>274</v>
      </c>
      <c r="Q4" s="274" t="s">
        <v>279</v>
      </c>
      <c r="R4" s="497" t="s">
        <v>280</v>
      </c>
      <c r="S4" s="498" t="s">
        <v>236</v>
      </c>
      <c r="T4" s="521" t="s">
        <v>237</v>
      </c>
      <c r="U4" s="522" t="s">
        <v>281</v>
      </c>
      <c r="V4" s="274" t="s">
        <v>282</v>
      </c>
      <c r="W4" s="521" t="s">
        <v>283</v>
      </c>
      <c r="X4" s="166" t="s">
        <v>277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284</v>
      </c>
      <c r="D6" s="186" t="s">
        <v>285</v>
      </c>
      <c r="E6" s="187"/>
      <c r="F6" s="336"/>
      <c r="G6" s="292">
        <f>D164</f>
        <v>408885.35</v>
      </c>
      <c r="H6" s="550">
        <f>'Project Plan'!E36+60</f>
        <v>46111</v>
      </c>
      <c r="I6" s="694">
        <f>SUM(G6:G11)</f>
        <v>408885.35</v>
      </c>
      <c r="J6" s="697">
        <f>F164</f>
        <v>511106.6875</v>
      </c>
      <c r="K6" s="289"/>
      <c r="L6" s="185">
        <v>1</v>
      </c>
      <c r="M6" s="316" t="s">
        <v>286</v>
      </c>
      <c r="N6" s="186" t="s">
        <v>287</v>
      </c>
      <c r="O6" s="520">
        <v>302</v>
      </c>
      <c r="P6" s="336">
        <v>1220</v>
      </c>
      <c r="Q6" s="292">
        <f>O6*P6</f>
        <v>368440</v>
      </c>
      <c r="R6" s="469"/>
      <c r="S6" s="500" t="s">
        <v>288</v>
      </c>
      <c r="T6" s="541">
        <v>46053</v>
      </c>
      <c r="U6" s="626">
        <v>511106.6875</v>
      </c>
      <c r="V6" s="709">
        <f>J6-SUM(U6:U11)</f>
        <v>0</v>
      </c>
      <c r="W6" s="453">
        <v>46109</v>
      </c>
      <c r="X6" s="694">
        <f>SUM(Q6:Q11)</f>
        <v>368440</v>
      </c>
    </row>
    <row r="7" spans="1:76" ht="15" customHeight="1">
      <c r="B7" s="215">
        <v>1</v>
      </c>
      <c r="C7" s="317"/>
      <c r="D7" s="290" t="s">
        <v>289</v>
      </c>
      <c r="E7" s="291"/>
      <c r="F7" s="357"/>
      <c r="G7" s="219"/>
      <c r="H7" s="541"/>
      <c r="I7" s="695"/>
      <c r="J7" s="698"/>
      <c r="K7" s="192"/>
      <c r="L7" s="215">
        <v>1</v>
      </c>
      <c r="M7" s="217" t="s">
        <v>286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710"/>
      <c r="W7" s="454"/>
      <c r="X7" s="69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5"/>
      <c r="J8" s="698"/>
      <c r="K8" s="192"/>
      <c r="L8" s="215">
        <v>1</v>
      </c>
      <c r="M8" s="217" t="s">
        <v>286</v>
      </c>
      <c r="N8" s="379"/>
      <c r="O8" s="434"/>
      <c r="P8" s="343"/>
      <c r="Q8" s="219"/>
      <c r="R8" s="470"/>
      <c r="S8" s="501"/>
      <c r="T8" s="411"/>
      <c r="U8" s="626">
        <v>0</v>
      </c>
      <c r="V8" s="710"/>
      <c r="W8" s="454"/>
      <c r="X8" s="69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5"/>
      <c r="J9" s="698"/>
      <c r="K9" s="192"/>
      <c r="L9" s="215">
        <v>1</v>
      </c>
      <c r="M9" s="217" t="s">
        <v>286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710"/>
      <c r="W9" s="455"/>
      <c r="X9" s="69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5"/>
      <c r="J10" s="698"/>
      <c r="K10" s="192"/>
      <c r="L10" s="215">
        <v>1</v>
      </c>
      <c r="M10" s="217" t="s">
        <v>286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710"/>
      <c r="W10" s="455"/>
      <c r="X10" s="69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6"/>
      <c r="J11" s="699"/>
      <c r="K11" s="193"/>
      <c r="L11" s="220">
        <v>1</v>
      </c>
      <c r="M11" s="318" t="s">
        <v>286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711"/>
      <c r="W11" s="456"/>
      <c r="X11" s="696"/>
      <c r="Y11" s="606" t="s">
        <v>290</v>
      </c>
      <c r="Z11" s="487" t="s">
        <v>291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292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293</v>
      </c>
      <c r="E13" s="268"/>
      <c r="F13" s="355"/>
      <c r="G13" s="200">
        <f>D165</f>
        <v>113600</v>
      </c>
      <c r="H13" s="554">
        <f>'Project Plan'!E22+60</f>
        <v>46111</v>
      </c>
      <c r="I13" s="703">
        <f>SUM(G13:G19)</f>
        <v>113600</v>
      </c>
      <c r="J13" s="706">
        <f>F165</f>
        <v>143797.46835443037</v>
      </c>
      <c r="K13" s="201"/>
      <c r="L13" s="197">
        <v>2</v>
      </c>
      <c r="M13" s="319" t="s">
        <v>294</v>
      </c>
      <c r="N13" s="223" t="s">
        <v>295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288</v>
      </c>
      <c r="T13" s="554">
        <f>T6</f>
        <v>46053</v>
      </c>
      <c r="U13" s="643">
        <v>88048.509138168272</v>
      </c>
      <c r="V13" s="712">
        <f>J13-SUM(U13:U19)</f>
        <v>0</v>
      </c>
      <c r="W13" s="656">
        <v>46079</v>
      </c>
      <c r="X13" s="703">
        <f>SUM(Q13:Q19)</f>
        <v>112476.43000000001</v>
      </c>
      <c r="Y13" s="607" t="s">
        <v>296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4"/>
      <c r="J14" s="707"/>
      <c r="K14" s="205"/>
      <c r="L14" s="202">
        <v>2</v>
      </c>
      <c r="M14" s="325" t="s">
        <v>294</v>
      </c>
      <c r="N14" s="309" t="s">
        <v>297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288</v>
      </c>
      <c r="T14" s="545">
        <f>T6</f>
        <v>46053</v>
      </c>
      <c r="U14" s="643">
        <v>55748.959216262105</v>
      </c>
      <c r="V14" s="713"/>
      <c r="W14" s="638">
        <v>46079</v>
      </c>
      <c r="X14" s="704"/>
      <c r="Y14" s="607" t="s">
        <v>298</v>
      </c>
      <c r="Z14" s="488">
        <f>G93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4"/>
      <c r="J15" s="707"/>
      <c r="K15" s="205"/>
      <c r="L15" s="202">
        <v>2</v>
      </c>
      <c r="M15" s="325" t="s">
        <v>294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3">
        <v>0</v>
      </c>
      <c r="V15" s="713"/>
      <c r="W15" s="459"/>
      <c r="X15" s="704"/>
      <c r="Y15" s="607" t="s">
        <v>299</v>
      </c>
      <c r="Z15" s="488">
        <f>G94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4"/>
      <c r="J16" s="707"/>
      <c r="K16" s="205"/>
      <c r="L16" s="202">
        <v>2</v>
      </c>
      <c r="M16" s="325" t="s">
        <v>294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3">
        <v>0</v>
      </c>
      <c r="V16" s="713"/>
      <c r="W16" s="459"/>
      <c r="X16" s="704"/>
      <c r="Y16" s="607" t="s">
        <v>300</v>
      </c>
      <c r="Z16" s="488">
        <f>G106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4"/>
      <c r="J17" s="707"/>
      <c r="K17" s="205"/>
      <c r="L17" s="202">
        <v>2</v>
      </c>
      <c r="M17" s="325" t="s">
        <v>294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3">
        <v>0</v>
      </c>
      <c r="V17" s="713"/>
      <c r="W17" s="459"/>
      <c r="X17" s="704"/>
      <c r="Y17" s="607" t="s">
        <v>301</v>
      </c>
      <c r="Z17" s="488">
        <f>G107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4"/>
      <c r="J18" s="707"/>
      <c r="K18" s="205"/>
      <c r="L18" s="202">
        <v>2</v>
      </c>
      <c r="M18" s="325" t="s">
        <v>294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3">
        <v>0</v>
      </c>
      <c r="V18" s="713"/>
      <c r="W18" s="459"/>
      <c r="X18" s="704"/>
      <c r="Y18" s="607" t="s">
        <v>302</v>
      </c>
      <c r="Z18" s="488">
        <f>G109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5"/>
      <c r="J19" s="708"/>
      <c r="K19" s="210"/>
      <c r="L19" s="296">
        <v>2</v>
      </c>
      <c r="M19" s="320" t="s">
        <v>294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4">
        <v>0</v>
      </c>
      <c r="V19" s="714"/>
      <c r="W19" s="460"/>
      <c r="X19" s="705"/>
      <c r="Y19" s="607" t="s">
        <v>303</v>
      </c>
      <c r="Z19" s="488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304</v>
      </c>
      <c r="D21" s="231" t="s">
        <v>305</v>
      </c>
      <c r="E21" s="187"/>
      <c r="F21" s="336"/>
      <c r="G21" s="188">
        <f>D166</f>
        <v>84258</v>
      </c>
      <c r="H21" s="542">
        <f>'Project Plan'!E30+30</f>
        <v>46081</v>
      </c>
      <c r="I21" s="694">
        <f>SUM(G21:G26)</f>
        <v>84258</v>
      </c>
      <c r="J21" s="697">
        <f>F166</f>
        <v>105322.5</v>
      </c>
      <c r="K21" s="189"/>
      <c r="L21" s="185">
        <v>3</v>
      </c>
      <c r="M21" s="321" t="s">
        <v>306</v>
      </c>
      <c r="N21" s="231" t="s">
        <v>307</v>
      </c>
      <c r="O21" s="432"/>
      <c r="P21" s="336"/>
      <c r="Q21" s="188">
        <v>51620.6</v>
      </c>
      <c r="R21" s="477" t="s">
        <v>308</v>
      </c>
      <c r="S21" s="508" t="s">
        <v>309</v>
      </c>
      <c r="T21" s="542">
        <v>46053</v>
      </c>
      <c r="U21" s="626">
        <v>105322.5</v>
      </c>
      <c r="V21" s="709">
        <f>J21-SUM(U21:U26)</f>
        <v>0</v>
      </c>
      <c r="W21" s="461">
        <f>T21+30</f>
        <v>46083</v>
      </c>
      <c r="X21" s="694">
        <f>SUM(Q21:Q26)</f>
        <v>51620.6</v>
      </c>
      <c r="Y21" s="607" t="s">
        <v>310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95"/>
      <c r="J22" s="698"/>
      <c r="K22" s="192"/>
      <c r="L22" s="215">
        <v>3</v>
      </c>
      <c r="M22" s="322" t="s">
        <v>306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710"/>
      <c r="W22" s="454"/>
      <c r="X22" s="695"/>
      <c r="Y22" s="607" t="s">
        <v>258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95"/>
      <c r="J23" s="698"/>
      <c r="K23" s="192"/>
      <c r="L23" s="215">
        <v>3</v>
      </c>
      <c r="M23" s="322" t="s">
        <v>306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710"/>
      <c r="W23" s="454"/>
      <c r="X23" s="695"/>
      <c r="Y23" s="607" t="s">
        <v>311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95"/>
      <c r="J24" s="698"/>
      <c r="K24" s="192"/>
      <c r="L24" s="215">
        <v>3</v>
      </c>
      <c r="M24" s="322" t="s">
        <v>306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710"/>
      <c r="W24" s="455"/>
      <c r="X24" s="695"/>
      <c r="Y24" s="608" t="s">
        <v>312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95"/>
      <c r="J25" s="698"/>
      <c r="K25" s="192"/>
      <c r="L25" s="215">
        <v>3</v>
      </c>
      <c r="M25" s="322" t="s">
        <v>306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710"/>
      <c r="W25" s="455"/>
      <c r="X25" s="69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96"/>
      <c r="J26" s="699"/>
      <c r="K26" s="193"/>
      <c r="L26" s="220">
        <v>3</v>
      </c>
      <c r="M26" s="323" t="s">
        <v>306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45">
        <v>0</v>
      </c>
      <c r="V26" s="711"/>
      <c r="W26" s="456"/>
      <c r="X26" s="696"/>
      <c r="Y26" s="609" t="s">
        <v>217</v>
      </c>
      <c r="Z26" s="492" t="s">
        <v>313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296</v>
      </c>
      <c r="D28" s="198" t="s">
        <v>314</v>
      </c>
      <c r="E28" s="268">
        <v>3875</v>
      </c>
      <c r="F28" s="355"/>
      <c r="G28" s="200">
        <v>54250</v>
      </c>
      <c r="H28" s="554">
        <f>'Project Plan'!E32+60</f>
        <v>46111</v>
      </c>
      <c r="I28" s="703">
        <f>SUM(G28:G42)</f>
        <v>155045.70000000001</v>
      </c>
      <c r="J28" s="706">
        <f>F167</f>
        <v>193807.125</v>
      </c>
      <c r="K28" s="201"/>
      <c r="L28" s="197">
        <v>4</v>
      </c>
      <c r="M28" s="324" t="s">
        <v>315</v>
      </c>
      <c r="N28" s="198" t="s">
        <v>316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288</v>
      </c>
      <c r="T28" s="554">
        <v>46053</v>
      </c>
      <c r="U28" s="643">
        <v>69733.17127227415</v>
      </c>
      <c r="V28" s="712">
        <f>J28-SUM(U28:U42)</f>
        <v>0</v>
      </c>
      <c r="W28" s="458">
        <f>W6</f>
        <v>46109</v>
      </c>
      <c r="X28" s="703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7">
        <f>D167-G28</f>
        <v>100795.70000000001</v>
      </c>
      <c r="H29" s="545">
        <f>'Project Plan'!G28</f>
        <v>46077</v>
      </c>
      <c r="I29" s="704"/>
      <c r="J29" s="707"/>
      <c r="K29" s="205"/>
      <c r="L29" s="202">
        <v>4</v>
      </c>
      <c r="M29" s="325" t="s">
        <v>315</v>
      </c>
      <c r="N29" s="309"/>
      <c r="O29" s="430"/>
      <c r="P29" s="351"/>
      <c r="Q29" s="204"/>
      <c r="R29" s="475"/>
      <c r="S29" s="506"/>
      <c r="T29" s="416"/>
      <c r="U29" s="401">
        <f t="shared" ref="U29:U42" si="2">(Q29/$X$28*$J$28)</f>
        <v>0</v>
      </c>
      <c r="V29" s="713"/>
      <c r="W29" s="459"/>
      <c r="X29" s="704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704"/>
      <c r="J30" s="707"/>
      <c r="K30" s="205"/>
      <c r="L30" s="202">
        <v>4</v>
      </c>
      <c r="M30" s="325" t="s">
        <v>315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713"/>
      <c r="W30" s="459"/>
      <c r="X30" s="704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704"/>
      <c r="J31" s="707"/>
      <c r="K31" s="205"/>
      <c r="L31" s="202">
        <v>4</v>
      </c>
      <c r="M31" s="325" t="s">
        <v>315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713"/>
      <c r="W31" s="459"/>
      <c r="X31" s="704"/>
      <c r="Y31" s="610" t="s">
        <v>300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704"/>
      <c r="J32" s="707"/>
      <c r="K32" s="205"/>
      <c r="L32" s="202">
        <v>4</v>
      </c>
      <c r="M32" s="325" t="s">
        <v>315</v>
      </c>
      <c r="N32" s="309" t="s">
        <v>318</v>
      </c>
      <c r="O32" s="447">
        <f>Z28</f>
        <v>99567.8</v>
      </c>
      <c r="P32" s="448">
        <f t="shared" ref="P32:P37" si="3">P94</f>
        <v>0.2</v>
      </c>
      <c r="Q32" s="204">
        <f>$O$32*P32</f>
        <v>19913.560000000001</v>
      </c>
      <c r="R32" s="718"/>
      <c r="S32" s="506" t="str">
        <f>S94</f>
        <v>Leading Edge Power INV-0182</v>
      </c>
      <c r="T32" s="545">
        <v>46053</v>
      </c>
      <c r="U32" s="643">
        <v>24814.790745545168</v>
      </c>
      <c r="V32" s="713"/>
      <c r="W32" s="638">
        <f>W94</f>
        <v>46051</v>
      </c>
      <c r="X32" s="704"/>
      <c r="Y32" s="610" t="s">
        <v>319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704"/>
      <c r="J33" s="707"/>
      <c r="K33" s="205"/>
      <c r="L33" s="202">
        <v>4</v>
      </c>
      <c r="M33" s="325" t="s">
        <v>315</v>
      </c>
      <c r="N33" s="309" t="s">
        <v>169</v>
      </c>
      <c r="O33" s="438"/>
      <c r="P33" s="448">
        <f t="shared" si="3"/>
        <v>0.2</v>
      </c>
      <c r="Q33" s="204">
        <f t="shared" ref="Q33:Q39" si="4">$O$32*P33</f>
        <v>19913.560000000001</v>
      </c>
      <c r="R33" s="719"/>
      <c r="S33" s="506" t="str">
        <f>S95</f>
        <v>Leading Edge Power INV-0183</v>
      </c>
      <c r="T33" s="545">
        <v>46053</v>
      </c>
      <c r="U33" s="643">
        <v>24814.790745545168</v>
      </c>
      <c r="V33" s="713"/>
      <c r="W33" s="638">
        <f t="shared" ref="W33:W39" si="5">W95</f>
        <v>46058</v>
      </c>
      <c r="X33" s="704"/>
      <c r="Y33" s="610" t="s">
        <v>320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704"/>
      <c r="J34" s="707"/>
      <c r="K34" s="205"/>
      <c r="L34" s="202">
        <v>4</v>
      </c>
      <c r="M34" s="325" t="s">
        <v>315</v>
      </c>
      <c r="N34" s="309" t="s">
        <v>321</v>
      </c>
      <c r="O34" s="438"/>
      <c r="P34" s="448">
        <f t="shared" si="3"/>
        <v>0.15</v>
      </c>
      <c r="Q34" s="204">
        <f t="shared" si="4"/>
        <v>14935.17</v>
      </c>
      <c r="R34" s="719"/>
      <c r="S34" s="506" t="s">
        <v>322</v>
      </c>
      <c r="T34" s="545">
        <f t="shared" ref="T34:T38" si="6">T96</f>
        <v>46081</v>
      </c>
      <c r="U34" s="401">
        <f t="shared" si="2"/>
        <v>18611.093059158877</v>
      </c>
      <c r="V34" s="713"/>
      <c r="W34" s="459">
        <f t="shared" si="5"/>
        <v>46099</v>
      </c>
      <c r="X34" s="704"/>
      <c r="Y34" s="610" t="s">
        <v>323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704"/>
      <c r="J35" s="707"/>
      <c r="K35" s="205"/>
      <c r="L35" s="202">
        <v>4</v>
      </c>
      <c r="M35" s="325" t="s">
        <v>315</v>
      </c>
      <c r="N35" s="309" t="s">
        <v>324</v>
      </c>
      <c r="O35" s="438"/>
      <c r="P35" s="448">
        <f t="shared" si="3"/>
        <v>0.15</v>
      </c>
      <c r="Q35" s="204">
        <f t="shared" si="4"/>
        <v>14935.17</v>
      </c>
      <c r="R35" s="719"/>
      <c r="S35" s="506" t="s">
        <v>325</v>
      </c>
      <c r="T35" s="545">
        <f t="shared" si="6"/>
        <v>46081</v>
      </c>
      <c r="U35" s="401">
        <f t="shared" si="2"/>
        <v>18611.093059158877</v>
      </c>
      <c r="V35" s="713"/>
      <c r="W35" s="459">
        <f t="shared" si="5"/>
        <v>46099</v>
      </c>
      <c r="X35" s="704"/>
      <c r="Y35" s="610" t="s">
        <v>326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704"/>
      <c r="J36" s="707"/>
      <c r="K36" s="205"/>
      <c r="L36" s="202">
        <v>4</v>
      </c>
      <c r="M36" s="325" t="s">
        <v>315</v>
      </c>
      <c r="N36" s="309" t="s">
        <v>327</v>
      </c>
      <c r="O36" s="438"/>
      <c r="P36" s="448">
        <f t="shared" si="3"/>
        <v>0.1</v>
      </c>
      <c r="Q36" s="204">
        <f t="shared" si="4"/>
        <v>9956.7800000000007</v>
      </c>
      <c r="R36" s="719"/>
      <c r="S36" s="506"/>
      <c r="T36" s="416">
        <f t="shared" si="6"/>
        <v>46112</v>
      </c>
      <c r="U36" s="401">
        <f t="shared" si="2"/>
        <v>12407.395372772584</v>
      </c>
      <c r="V36" s="713"/>
      <c r="W36" s="459">
        <f t="shared" si="5"/>
        <v>46111</v>
      </c>
      <c r="X36" s="704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704"/>
      <c r="J37" s="707"/>
      <c r="K37" s="205"/>
      <c r="L37" s="202">
        <v>4</v>
      </c>
      <c r="M37" s="325" t="s">
        <v>315</v>
      </c>
      <c r="N37" s="309" t="s">
        <v>328</v>
      </c>
      <c r="O37" s="438"/>
      <c r="P37" s="448">
        <f t="shared" si="3"/>
        <v>0.1</v>
      </c>
      <c r="Q37" s="204">
        <f t="shared" si="4"/>
        <v>9956.7800000000007</v>
      </c>
      <c r="R37" s="719"/>
      <c r="S37" s="506"/>
      <c r="T37" s="416">
        <f t="shared" si="6"/>
        <v>46112</v>
      </c>
      <c r="U37" s="401">
        <f t="shared" si="2"/>
        <v>12407.395372772584</v>
      </c>
      <c r="V37" s="713"/>
      <c r="W37" s="459">
        <f t="shared" si="5"/>
        <v>46107</v>
      </c>
      <c r="X37" s="704"/>
      <c r="Y37" s="610" t="s">
        <v>310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704"/>
      <c r="J38" s="707"/>
      <c r="K38" s="205"/>
      <c r="L38" s="202">
        <v>4</v>
      </c>
      <c r="M38" s="325" t="s">
        <v>315</v>
      </c>
      <c r="N38" s="309" t="s">
        <v>329</v>
      </c>
      <c r="O38" s="438"/>
      <c r="P38" s="448">
        <f>P116</f>
        <v>0.05</v>
      </c>
      <c r="Q38" s="204">
        <f t="shared" si="4"/>
        <v>4978.3900000000003</v>
      </c>
      <c r="R38" s="719"/>
      <c r="S38" s="506"/>
      <c r="T38" s="416">
        <f t="shared" si="6"/>
        <v>46112</v>
      </c>
      <c r="U38" s="401">
        <f t="shared" si="2"/>
        <v>6203.6976863862919</v>
      </c>
      <c r="V38" s="713"/>
      <c r="W38" s="459">
        <f t="shared" si="5"/>
        <v>46107</v>
      </c>
      <c r="X38" s="704"/>
      <c r="Y38" s="610" t="s">
        <v>258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704"/>
      <c r="J39" s="707"/>
      <c r="K39" s="205"/>
      <c r="L39" s="202">
        <v>4</v>
      </c>
      <c r="M39" s="325" t="s">
        <v>315</v>
      </c>
      <c r="N39" s="309" t="s">
        <v>330</v>
      </c>
      <c r="O39" s="438"/>
      <c r="P39" s="448">
        <f>P101</f>
        <v>0.05</v>
      </c>
      <c r="Q39" s="204">
        <f t="shared" si="4"/>
        <v>4978.3900000000003</v>
      </c>
      <c r="R39" s="720"/>
      <c r="S39" s="506"/>
      <c r="T39" s="416">
        <v>46112</v>
      </c>
      <c r="U39" s="401">
        <f t="shared" si="2"/>
        <v>6203.6976863862919</v>
      </c>
      <c r="V39" s="713"/>
      <c r="W39" s="459">
        <f t="shared" si="5"/>
        <v>46130</v>
      </c>
      <c r="X39" s="704"/>
      <c r="Y39" s="611" t="s">
        <v>312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704"/>
      <c r="J40" s="707"/>
      <c r="K40" s="205"/>
      <c r="L40" s="202">
        <v>4</v>
      </c>
      <c r="M40" s="325" t="s">
        <v>315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713"/>
      <c r="W40" s="459"/>
      <c r="X40" s="70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704"/>
      <c r="J41" s="707"/>
      <c r="K41" s="205"/>
      <c r="L41" s="202">
        <v>4</v>
      </c>
      <c r="M41" s="325" t="s">
        <v>315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713"/>
      <c r="W41" s="459"/>
      <c r="X41" s="70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705"/>
      <c r="J42" s="708"/>
      <c r="K42" s="210"/>
      <c r="L42" s="206">
        <v>4</v>
      </c>
      <c r="M42" s="326" t="s">
        <v>315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714"/>
      <c r="W42" s="460"/>
      <c r="X42" s="705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331</v>
      </c>
      <c r="D44" s="231" t="s">
        <v>332</v>
      </c>
      <c r="E44" s="187"/>
      <c r="F44" s="336"/>
      <c r="G44" s="188">
        <f>D169-G45</f>
        <v>19000</v>
      </c>
      <c r="H44" s="542">
        <f>H13</f>
        <v>46111</v>
      </c>
      <c r="I44" s="694">
        <f>SUM(G44:G51)</f>
        <v>34000</v>
      </c>
      <c r="J44" s="697">
        <f>F169</f>
        <v>42500</v>
      </c>
      <c r="K44" s="189"/>
      <c r="L44" s="185">
        <v>5</v>
      </c>
      <c r="M44" s="321" t="s">
        <v>333</v>
      </c>
      <c r="N44" s="231" t="s">
        <v>334</v>
      </c>
      <c r="O44" s="432"/>
      <c r="P44" s="336"/>
      <c r="Q44" s="188">
        <v>8598.34</v>
      </c>
      <c r="R44" s="477"/>
      <c r="S44" s="508" t="s">
        <v>335</v>
      </c>
      <c r="T44" s="542">
        <v>46053</v>
      </c>
      <c r="U44" s="646">
        <v>9671.8364739124972</v>
      </c>
      <c r="V44" s="709">
        <f>J44-SUM(U44:U51)</f>
        <v>2891.6853015354573</v>
      </c>
      <c r="W44" s="461">
        <v>46111</v>
      </c>
      <c r="X44" s="694">
        <f>SUM(Q44:Q51)</f>
        <v>33951.839999999997</v>
      </c>
    </row>
    <row r="45" spans="1:26" ht="14.25" customHeight="1">
      <c r="B45" s="190">
        <v>5</v>
      </c>
      <c r="C45" s="214"/>
      <c r="D45" s="217" t="s">
        <v>336</v>
      </c>
      <c r="E45" s="349"/>
      <c r="F45" s="350"/>
      <c r="G45" s="219">
        <v>15000</v>
      </c>
      <c r="H45" s="541">
        <f>H44</f>
        <v>46111</v>
      </c>
      <c r="I45" s="695"/>
      <c r="J45" s="698"/>
      <c r="K45" s="192"/>
      <c r="L45" s="190">
        <v>5</v>
      </c>
      <c r="M45" s="327" t="s">
        <v>333</v>
      </c>
      <c r="N45" s="191" t="s">
        <v>337</v>
      </c>
      <c r="O45" s="440"/>
      <c r="P45" s="350"/>
      <c r="Q45" s="219">
        <v>12417</v>
      </c>
      <c r="R45" s="518" t="s">
        <v>338</v>
      </c>
      <c r="S45" s="501" t="s">
        <v>339</v>
      </c>
      <c r="T45" s="630">
        <v>46053</v>
      </c>
      <c r="U45" s="646">
        <v>13967.253388046003</v>
      </c>
      <c r="V45" s="710"/>
      <c r="W45" s="631">
        <v>46079</v>
      </c>
      <c r="X45" s="695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95"/>
      <c r="J46" s="698"/>
      <c r="K46" s="192"/>
      <c r="L46" s="190">
        <v>5</v>
      </c>
      <c r="M46" s="327" t="s">
        <v>333</v>
      </c>
      <c r="N46" s="191" t="s">
        <v>340</v>
      </c>
      <c r="O46" s="440"/>
      <c r="P46" s="350"/>
      <c r="Q46" s="219">
        <v>1767.5</v>
      </c>
      <c r="R46" s="518"/>
      <c r="S46" s="501" t="s">
        <v>341</v>
      </c>
      <c r="T46" s="630">
        <v>46053</v>
      </c>
      <c r="U46" s="646">
        <v>1988.1710850746003</v>
      </c>
      <c r="V46" s="710"/>
      <c r="W46" s="631">
        <v>46053</v>
      </c>
      <c r="X46" s="695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95"/>
      <c r="J47" s="698"/>
      <c r="K47" s="192"/>
      <c r="L47" s="190">
        <v>5</v>
      </c>
      <c r="M47" s="327" t="s">
        <v>333</v>
      </c>
      <c r="N47" s="217" t="s">
        <v>98</v>
      </c>
      <c r="O47" s="433"/>
      <c r="P47" s="357"/>
      <c r="Q47" s="219">
        <v>11169</v>
      </c>
      <c r="R47" s="470"/>
      <c r="S47" s="501" t="s">
        <v>342</v>
      </c>
      <c r="T47" s="541">
        <v>46081</v>
      </c>
      <c r="U47" s="396">
        <f t="shared" ref="U47:U51" si="7">(Q47/$X$44*$J$44)</f>
        <v>13981.05375143144</v>
      </c>
      <c r="V47" s="710"/>
      <c r="W47" s="454">
        <f>T47+30</f>
        <v>46111</v>
      </c>
      <c r="X47" s="695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95"/>
      <c r="J48" s="698"/>
      <c r="K48" s="192"/>
      <c r="L48" s="215">
        <v>5</v>
      </c>
      <c r="M48" s="327" t="s">
        <v>333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710"/>
      <c r="W48" s="454"/>
      <c r="X48" s="69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95"/>
      <c r="J49" s="698"/>
      <c r="K49" s="192"/>
      <c r="L49" s="215">
        <v>5</v>
      </c>
      <c r="M49" s="327" t="s">
        <v>333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710"/>
      <c r="W49" s="455"/>
      <c r="X49" s="695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95"/>
      <c r="J50" s="698"/>
      <c r="K50" s="192"/>
      <c r="L50" s="215">
        <v>5</v>
      </c>
      <c r="M50" s="327" t="s">
        <v>333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710"/>
      <c r="W50" s="455"/>
      <c r="X50" s="695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96"/>
      <c r="J51" s="699"/>
      <c r="K51" s="193"/>
      <c r="L51" s="220">
        <v>5</v>
      </c>
      <c r="M51" s="323" t="s">
        <v>333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711"/>
      <c r="W51" s="456"/>
      <c r="X51" s="696"/>
    </row>
    <row r="52" spans="1:24" ht="14.5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292</v>
      </c>
      <c r="D53" s="199" t="s">
        <v>343</v>
      </c>
      <c r="E53" s="373"/>
      <c r="F53" s="355"/>
      <c r="G53" s="200">
        <f>D168</f>
        <v>249598.81739130436</v>
      </c>
      <c r="H53" s="554">
        <f>'Project Plan'!G24+30</f>
        <v>46095</v>
      </c>
      <c r="I53" s="703">
        <f>SUM(G53:G69)</f>
        <v>249598.81739130436</v>
      </c>
      <c r="J53" s="706">
        <f>F168</f>
        <v>311998.52173913043</v>
      </c>
      <c r="K53" s="201"/>
      <c r="L53" s="197">
        <v>6</v>
      </c>
      <c r="M53" s="330" t="s">
        <v>344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712">
        <f>J53-SUM(U53:U69)</f>
        <v>-2802.5686156457523</v>
      </c>
      <c r="W53" s="458"/>
      <c r="X53" s="703">
        <f>SUM(Q53:Q69)</f>
        <v>157338.17999999996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704"/>
      <c r="J54" s="707"/>
      <c r="K54" s="205"/>
      <c r="L54" s="202">
        <v>6</v>
      </c>
      <c r="M54" s="328" t="s">
        <v>344</v>
      </c>
      <c r="N54" s="342" t="s">
        <v>110</v>
      </c>
      <c r="O54" s="438"/>
      <c r="P54" s="351"/>
      <c r="Q54" s="225">
        <v>88515.02</v>
      </c>
      <c r="R54" s="475"/>
      <c r="S54" s="506" t="s">
        <v>345</v>
      </c>
      <c r="T54" s="651">
        <v>46081</v>
      </c>
      <c r="U54" s="401">
        <f t="shared" si="8"/>
        <v>175523.5467431336</v>
      </c>
      <c r="V54" s="713"/>
      <c r="W54" s="655">
        <v>46079</v>
      </c>
      <c r="X54" s="70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704"/>
      <c r="J55" s="707"/>
      <c r="K55" s="205"/>
      <c r="L55" s="202">
        <v>6</v>
      </c>
      <c r="M55" s="328" t="s">
        <v>344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713"/>
      <c r="W55" s="459"/>
      <c r="X55" s="70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4"/>
      <c r="J56" s="707"/>
      <c r="K56" s="205"/>
      <c r="L56" s="202">
        <v>6</v>
      </c>
      <c r="M56" s="328" t="s">
        <v>344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713"/>
      <c r="W56" s="459"/>
      <c r="X56" s="70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4"/>
      <c r="J57" s="707"/>
      <c r="K57" s="205"/>
      <c r="L57" s="202">
        <v>6</v>
      </c>
      <c r="M57" s="328" t="s">
        <v>344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713"/>
      <c r="W57" s="459"/>
      <c r="X57" s="704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04"/>
      <c r="J58" s="707"/>
      <c r="K58" s="205"/>
      <c r="L58" s="202">
        <v>6</v>
      </c>
      <c r="M58" s="328" t="s">
        <v>344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713"/>
      <c r="W58" s="459"/>
      <c r="X58" s="704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704"/>
      <c r="J59" s="707"/>
      <c r="K59" s="205"/>
      <c r="L59" s="202">
        <v>6</v>
      </c>
      <c r="M59" s="328" t="s">
        <v>344</v>
      </c>
      <c r="N59" s="309" t="s">
        <v>318</v>
      </c>
      <c r="O59" s="447">
        <f>Z27</f>
        <v>68823.16</v>
      </c>
      <c r="P59" s="448">
        <f t="shared" ref="P59:P64" si="9">P94</f>
        <v>0.2</v>
      </c>
      <c r="Q59" s="204">
        <f>$O$59*P59</f>
        <v>13764.632000000001</v>
      </c>
      <c r="R59" s="718"/>
      <c r="S59" s="506" t="str">
        <f>S94</f>
        <v>Leading Edge Power INV-0182</v>
      </c>
      <c r="T59" s="560">
        <f>T94</f>
        <v>46053</v>
      </c>
      <c r="U59" s="643">
        <v>28696.279307022203</v>
      </c>
      <c r="V59" s="713"/>
      <c r="W59" s="638">
        <f>W94</f>
        <v>46051</v>
      </c>
      <c r="X59" s="70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704"/>
      <c r="J60" s="707"/>
      <c r="K60" s="205"/>
      <c r="L60" s="202">
        <v>6</v>
      </c>
      <c r="M60" s="329" t="s">
        <v>344</v>
      </c>
      <c r="N60" s="309" t="s">
        <v>169</v>
      </c>
      <c r="O60" s="438"/>
      <c r="P60" s="448">
        <f t="shared" si="9"/>
        <v>0.2</v>
      </c>
      <c r="Q60" s="204">
        <f t="shared" ref="Q60:Q66" si="10">$O$59*P60</f>
        <v>13764.632000000001</v>
      </c>
      <c r="R60" s="719"/>
      <c r="S60" s="506" t="str">
        <f>S95</f>
        <v>Leading Edge Power INV-0183</v>
      </c>
      <c r="T60" s="560">
        <v>46053</v>
      </c>
      <c r="U60" s="643">
        <v>28696.279307022203</v>
      </c>
      <c r="V60" s="713"/>
      <c r="W60" s="638">
        <f t="shared" ref="W60:W66" si="11">W95</f>
        <v>46058</v>
      </c>
      <c r="X60" s="70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704"/>
      <c r="J61" s="707"/>
      <c r="K61" s="205"/>
      <c r="L61" s="202">
        <v>6</v>
      </c>
      <c r="M61" s="329" t="s">
        <v>344</v>
      </c>
      <c r="N61" s="309" t="s">
        <v>321</v>
      </c>
      <c r="O61" s="438"/>
      <c r="P61" s="448">
        <f t="shared" si="9"/>
        <v>0.15</v>
      </c>
      <c r="Q61" s="204">
        <f t="shared" si="10"/>
        <v>10323.474</v>
      </c>
      <c r="R61" s="719"/>
      <c r="S61" s="506" t="s">
        <v>322</v>
      </c>
      <c r="T61" s="560">
        <f>T96</f>
        <v>46081</v>
      </c>
      <c r="U61" s="401">
        <f t="shared" si="8"/>
        <v>20471.24624939953</v>
      </c>
      <c r="V61" s="713"/>
      <c r="W61" s="459">
        <f t="shared" si="11"/>
        <v>46099</v>
      </c>
      <c r="X61" s="70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4"/>
      <c r="J62" s="707"/>
      <c r="K62" s="205"/>
      <c r="L62" s="202">
        <v>6</v>
      </c>
      <c r="M62" s="329" t="s">
        <v>344</v>
      </c>
      <c r="N62" s="309" t="s">
        <v>324</v>
      </c>
      <c r="O62" s="438"/>
      <c r="P62" s="448">
        <f t="shared" si="9"/>
        <v>0.15</v>
      </c>
      <c r="Q62" s="204">
        <f t="shared" si="10"/>
        <v>10323.474</v>
      </c>
      <c r="R62" s="719"/>
      <c r="S62" s="506" t="s">
        <v>325</v>
      </c>
      <c r="T62" s="560">
        <f>T97</f>
        <v>46081</v>
      </c>
      <c r="U62" s="401">
        <f t="shared" si="8"/>
        <v>20471.24624939953</v>
      </c>
      <c r="V62" s="713"/>
      <c r="W62" s="459">
        <f t="shared" si="11"/>
        <v>46099</v>
      </c>
      <c r="X62" s="704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04"/>
      <c r="J63" s="707"/>
      <c r="K63" s="205"/>
      <c r="L63" s="202">
        <v>6</v>
      </c>
      <c r="M63" s="329" t="s">
        <v>344</v>
      </c>
      <c r="N63" s="309" t="s">
        <v>327</v>
      </c>
      <c r="O63" s="438"/>
      <c r="P63" s="448">
        <f t="shared" si="9"/>
        <v>0.1</v>
      </c>
      <c r="Q63" s="204">
        <f t="shared" si="10"/>
        <v>6882.3160000000007</v>
      </c>
      <c r="R63" s="719"/>
      <c r="S63" s="506"/>
      <c r="T63" s="419">
        <f t="shared" si="0"/>
        <v>46112</v>
      </c>
      <c r="U63" s="401">
        <f t="shared" si="8"/>
        <v>13647.497499599689</v>
      </c>
      <c r="V63" s="713"/>
      <c r="W63" s="459">
        <f t="shared" si="11"/>
        <v>46111</v>
      </c>
      <c r="X63" s="70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704"/>
      <c r="J64" s="707"/>
      <c r="K64" s="205"/>
      <c r="L64" s="202">
        <v>6</v>
      </c>
      <c r="M64" s="329" t="s">
        <v>344</v>
      </c>
      <c r="N64" s="309" t="s">
        <v>328</v>
      </c>
      <c r="O64" s="438"/>
      <c r="P64" s="448">
        <f t="shared" si="9"/>
        <v>0.1</v>
      </c>
      <c r="Q64" s="204">
        <f t="shared" si="10"/>
        <v>6882.3160000000007</v>
      </c>
      <c r="R64" s="719"/>
      <c r="S64" s="510"/>
      <c r="T64" s="419">
        <f t="shared" si="0"/>
        <v>46112</v>
      </c>
      <c r="U64" s="406">
        <f t="shared" si="8"/>
        <v>13647.497499599689</v>
      </c>
      <c r="V64" s="713"/>
      <c r="W64" s="459">
        <f t="shared" si="11"/>
        <v>46107</v>
      </c>
      <c r="X64" s="70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704"/>
      <c r="J65" s="707"/>
      <c r="K65" s="205"/>
      <c r="L65" s="202">
        <v>6</v>
      </c>
      <c r="M65" s="329" t="s">
        <v>344</v>
      </c>
      <c r="N65" s="309" t="s">
        <v>329</v>
      </c>
      <c r="O65" s="438"/>
      <c r="P65" s="448">
        <f>P101</f>
        <v>0.05</v>
      </c>
      <c r="Q65" s="204">
        <f t="shared" si="10"/>
        <v>3441.1580000000004</v>
      </c>
      <c r="R65" s="719"/>
      <c r="S65" s="510"/>
      <c r="T65" s="419">
        <f t="shared" si="0"/>
        <v>46112</v>
      </c>
      <c r="U65" s="406">
        <f t="shared" si="8"/>
        <v>6823.7487497998445</v>
      </c>
      <c r="V65" s="713"/>
      <c r="W65" s="459">
        <f t="shared" si="11"/>
        <v>46107</v>
      </c>
      <c r="X65" s="70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4"/>
      <c r="J66" s="707"/>
      <c r="K66" s="205"/>
      <c r="L66" s="202">
        <v>6</v>
      </c>
      <c r="M66" s="329" t="s">
        <v>344</v>
      </c>
      <c r="N66" s="309" t="s">
        <v>330</v>
      </c>
      <c r="O66" s="438"/>
      <c r="P66" s="448">
        <f>P101</f>
        <v>0.05</v>
      </c>
      <c r="Q66" s="204">
        <f t="shared" si="10"/>
        <v>3441.1580000000004</v>
      </c>
      <c r="R66" s="720"/>
      <c r="S66" s="510"/>
      <c r="T66" s="419">
        <v>46112</v>
      </c>
      <c r="U66" s="406">
        <f t="shared" si="8"/>
        <v>6823.7487497998445</v>
      </c>
      <c r="V66" s="713"/>
      <c r="W66" s="459">
        <f t="shared" si="11"/>
        <v>46130</v>
      </c>
      <c r="X66" s="70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4"/>
      <c r="J67" s="707"/>
      <c r="K67" s="205"/>
      <c r="L67" s="202">
        <v>6</v>
      </c>
      <c r="M67" s="329" t="s">
        <v>344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713"/>
      <c r="W67" s="462"/>
      <c r="X67" s="704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04"/>
      <c r="J68" s="707"/>
      <c r="K68" s="205"/>
      <c r="L68" s="202">
        <v>6</v>
      </c>
      <c r="M68" s="329" t="s">
        <v>344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713"/>
      <c r="W68" s="462"/>
      <c r="X68" s="704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705"/>
      <c r="J69" s="708"/>
      <c r="K69" s="210"/>
      <c r="L69" s="206">
        <v>6</v>
      </c>
      <c r="M69" s="331" t="s">
        <v>344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714"/>
      <c r="W69" s="460"/>
      <c r="X69" s="705"/>
    </row>
    <row r="70" spans="1:24" ht="14.5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346</v>
      </c>
      <c r="D71" s="282"/>
      <c r="E71" s="360"/>
      <c r="F71" s="366"/>
      <c r="G71" s="283"/>
      <c r="H71" s="558"/>
      <c r="I71" s="694">
        <f>SUM(G71:G78)</f>
        <v>0</v>
      </c>
      <c r="J71" s="697">
        <f>F173</f>
        <v>0</v>
      </c>
      <c r="K71" s="189"/>
      <c r="L71" s="281">
        <v>7</v>
      </c>
      <c r="M71" s="213" t="s">
        <v>347</v>
      </c>
      <c r="N71" s="282"/>
      <c r="O71" s="360"/>
      <c r="P71" s="366"/>
      <c r="Q71" s="283"/>
      <c r="R71" s="481"/>
      <c r="S71" s="512"/>
      <c r="T71" s="421" t="str">
        <f t="shared" ref="T71:T137" si="12">IF(W71&gt;1,EOMONTH(W71,0),"")</f>
        <v/>
      </c>
      <c r="U71" s="524"/>
      <c r="V71" s="715">
        <f>J71-SUM(U71:U78)</f>
        <v>0</v>
      </c>
      <c r="W71" s="464"/>
      <c r="X71" s="694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95"/>
      <c r="J72" s="698"/>
      <c r="K72" s="192"/>
      <c r="L72" s="284">
        <v>7</v>
      </c>
      <c r="M72" s="285" t="s">
        <v>347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716"/>
      <c r="W72" s="455"/>
      <c r="X72" s="695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95"/>
      <c r="J73" s="698"/>
      <c r="K73" s="192"/>
      <c r="L73" s="284">
        <v>7</v>
      </c>
      <c r="M73" s="285" t="s">
        <v>347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716"/>
      <c r="W73" s="455"/>
      <c r="X73" s="695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95"/>
      <c r="J74" s="698"/>
      <c r="K74" s="192"/>
      <c r="L74" s="284">
        <v>7</v>
      </c>
      <c r="M74" s="285" t="s">
        <v>347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716"/>
      <c r="W74" s="455"/>
      <c r="X74" s="69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5"/>
      <c r="J75" s="698"/>
      <c r="K75" s="192"/>
      <c r="L75" s="284">
        <v>7</v>
      </c>
      <c r="M75" s="285" t="s">
        <v>347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716"/>
      <c r="W75" s="455"/>
      <c r="X75" s="69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5"/>
      <c r="J76" s="698"/>
      <c r="K76" s="192"/>
      <c r="L76" s="284">
        <v>7</v>
      </c>
      <c r="M76" s="285" t="s">
        <v>347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716"/>
      <c r="W76" s="455"/>
      <c r="X76" s="695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5"/>
      <c r="J77" s="698"/>
      <c r="K77" s="192"/>
      <c r="L77" s="284">
        <v>7</v>
      </c>
      <c r="M77" s="285" t="s">
        <v>347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716"/>
      <c r="W77" s="455"/>
      <c r="X77" s="695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96"/>
      <c r="J78" s="699"/>
      <c r="K78" s="193"/>
      <c r="L78" s="220">
        <v>7</v>
      </c>
      <c r="M78" s="241" t="s">
        <v>347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717"/>
      <c r="W78" s="456"/>
      <c r="X78" s="696"/>
    </row>
    <row r="79" spans="1:24" ht="14.5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348</v>
      </c>
      <c r="D80" s="237" t="s">
        <v>349</v>
      </c>
      <c r="E80" s="361"/>
      <c r="F80" s="315"/>
      <c r="G80" s="238">
        <v>100000</v>
      </c>
      <c r="H80" s="554">
        <f>H93</f>
        <v>46079</v>
      </c>
      <c r="I80" s="703">
        <f>SUM(G80:G91)</f>
        <v>187500</v>
      </c>
      <c r="J80" s="706">
        <f>F172</f>
        <v>234375</v>
      </c>
      <c r="K80" s="201"/>
      <c r="L80" s="236">
        <v>8</v>
      </c>
      <c r="M80" s="324" t="s">
        <v>350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733">
        <f>J80-SUM(U80:U91)</f>
        <v>1.8026495235972106E-3</v>
      </c>
      <c r="W80" s="458"/>
      <c r="X80" s="703">
        <f>SUM(Q80:Q91)</f>
        <v>86418.9</v>
      </c>
    </row>
    <row r="81" spans="1:24" ht="14.25" customHeight="1">
      <c r="B81" s="226">
        <v>8</v>
      </c>
      <c r="C81" s="227"/>
      <c r="D81" s="239" t="s">
        <v>351</v>
      </c>
      <c r="E81" s="314"/>
      <c r="F81" s="359"/>
      <c r="G81" s="228">
        <v>87500</v>
      </c>
      <c r="H81" s="545">
        <f>H93</f>
        <v>46079</v>
      </c>
      <c r="I81" s="704"/>
      <c r="J81" s="707"/>
      <c r="K81" s="205"/>
      <c r="L81" s="226">
        <v>8</v>
      </c>
      <c r="M81" s="332" t="s">
        <v>350</v>
      </c>
      <c r="N81" s="239" t="s">
        <v>454</v>
      </c>
      <c r="O81" s="314"/>
      <c r="P81" s="359"/>
      <c r="Q81" s="228">
        <v>18988</v>
      </c>
      <c r="R81" s="475" t="s">
        <v>455</v>
      </c>
      <c r="S81" s="506"/>
      <c r="T81" s="416">
        <v>46112</v>
      </c>
      <c r="U81" s="401">
        <f>(Q81/$X$80*$J$80)-15795.42</f>
        <v>35701.561563060866</v>
      </c>
      <c r="V81" s="734"/>
      <c r="W81" s="459">
        <f>T81</f>
        <v>46112</v>
      </c>
      <c r="X81" s="704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704"/>
      <c r="J82" s="707"/>
      <c r="K82" s="205"/>
      <c r="L82" s="226">
        <v>8</v>
      </c>
      <c r="M82" s="332" t="s">
        <v>350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ref="U82:U91" si="13">(Q82/$X$80*$J$80)</f>
        <v>0</v>
      </c>
      <c r="V82" s="734"/>
      <c r="W82" s="459"/>
      <c r="X82" s="704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704"/>
      <c r="J83" s="707"/>
      <c r="K83" s="205"/>
      <c r="L83" s="226">
        <v>8</v>
      </c>
      <c r="M83" s="332" t="s">
        <v>350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734"/>
      <c r="W83" s="459"/>
      <c r="X83" s="70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04"/>
      <c r="J84" s="707"/>
      <c r="K84" s="205"/>
      <c r="L84" s="226">
        <v>8</v>
      </c>
      <c r="M84" s="332" t="s">
        <v>350</v>
      </c>
      <c r="N84" s="239" t="s">
        <v>352</v>
      </c>
      <c r="O84" s="634">
        <v>67474.559999999998</v>
      </c>
      <c r="P84" s="533">
        <v>0.5</v>
      </c>
      <c r="Q84" s="228">
        <v>33737.279999999999</v>
      </c>
      <c r="R84" s="649" t="s">
        <v>353</v>
      </c>
      <c r="S84" s="506" t="s">
        <v>354</v>
      </c>
      <c r="T84" s="545">
        <v>46053</v>
      </c>
      <c r="U84" s="643">
        <v>53617.213707910028</v>
      </c>
      <c r="V84" s="734"/>
      <c r="W84" s="638">
        <v>46051</v>
      </c>
      <c r="X84" s="704"/>
    </row>
    <row r="85" spans="1:24" ht="14.25" customHeight="1">
      <c r="B85" s="226"/>
      <c r="C85" s="227"/>
      <c r="D85" s="239"/>
      <c r="E85" s="314"/>
      <c r="F85" s="359"/>
      <c r="G85" s="228"/>
      <c r="H85" s="545"/>
      <c r="I85" s="704"/>
      <c r="J85" s="707"/>
      <c r="K85" s="205"/>
      <c r="L85" s="226">
        <v>8</v>
      </c>
      <c r="M85" s="332" t="s">
        <v>350</v>
      </c>
      <c r="N85" s="239" t="s">
        <v>352</v>
      </c>
      <c r="O85" s="634"/>
      <c r="P85" s="533"/>
      <c r="Q85" s="228">
        <f>-Q84</f>
        <v>-33737.279999999999</v>
      </c>
      <c r="R85" s="653"/>
      <c r="S85" s="506"/>
      <c r="T85" s="416">
        <v>46081</v>
      </c>
      <c r="U85" s="643">
        <v>0</v>
      </c>
      <c r="V85" s="734"/>
      <c r="W85" s="638">
        <v>46081</v>
      </c>
      <c r="X85" s="70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4"/>
      <c r="J86" s="707"/>
      <c r="K86" s="205"/>
      <c r="L86" s="226">
        <v>8</v>
      </c>
      <c r="M86" s="332" t="s">
        <v>350</v>
      </c>
      <c r="N86" s="239" t="s">
        <v>355</v>
      </c>
      <c r="O86" s="314"/>
      <c r="P86" s="533"/>
      <c r="Q86" s="228">
        <v>33715.449999999997</v>
      </c>
      <c r="R86" s="650"/>
      <c r="S86" s="506" t="s">
        <v>356</v>
      </c>
      <c r="T86" s="545">
        <v>46081</v>
      </c>
      <c r="U86" s="643">
        <v>53617.213707910028</v>
      </c>
      <c r="V86" s="734"/>
      <c r="W86" s="638">
        <v>46066</v>
      </c>
      <c r="X86" s="70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4"/>
      <c r="J87" s="707"/>
      <c r="K87" s="205"/>
      <c r="L87" s="226">
        <v>8</v>
      </c>
      <c r="M87" s="332" t="s">
        <v>350</v>
      </c>
      <c r="N87" s="239" t="s">
        <v>357</v>
      </c>
      <c r="O87" s="441"/>
      <c r="P87" s="359"/>
      <c r="Q87" s="228">
        <v>33715.449999999997</v>
      </c>
      <c r="R87" s="475"/>
      <c r="S87" s="506"/>
      <c r="T87" s="545">
        <v>46112</v>
      </c>
      <c r="U87" s="401">
        <f t="shared" si="13"/>
        <v>91439.009218469568</v>
      </c>
      <c r="V87" s="734"/>
      <c r="W87" s="459">
        <v>46112</v>
      </c>
      <c r="X87" s="704"/>
    </row>
    <row r="88" spans="1:24" ht="14.25" customHeight="1">
      <c r="B88" s="226"/>
      <c r="C88" s="227"/>
      <c r="D88" s="239"/>
      <c r="E88" s="314"/>
      <c r="F88" s="359"/>
      <c r="G88" s="228"/>
      <c r="H88" s="560"/>
      <c r="I88" s="704"/>
      <c r="J88" s="707"/>
      <c r="K88" s="205"/>
      <c r="L88" s="226">
        <v>8</v>
      </c>
      <c r="M88" s="332" t="s">
        <v>350</v>
      </c>
      <c r="N88" s="239"/>
      <c r="O88" s="441"/>
      <c r="P88" s="359"/>
      <c r="Q88" s="228"/>
      <c r="R88" s="479"/>
      <c r="S88" s="510"/>
      <c r="T88" s="560"/>
      <c r="U88" s="406"/>
      <c r="V88" s="734"/>
      <c r="W88" s="462"/>
      <c r="X88" s="704"/>
    </row>
    <row r="89" spans="1:24" ht="14.25" customHeight="1">
      <c r="B89" s="226"/>
      <c r="C89" s="227"/>
      <c r="D89" s="239"/>
      <c r="E89" s="314"/>
      <c r="F89" s="359"/>
      <c r="G89" s="228"/>
      <c r="H89" s="560"/>
      <c r="I89" s="704"/>
      <c r="J89" s="707"/>
      <c r="K89" s="205"/>
      <c r="L89" s="226">
        <v>8</v>
      </c>
      <c r="M89" s="332" t="s">
        <v>350</v>
      </c>
      <c r="N89" s="239"/>
      <c r="O89" s="441"/>
      <c r="P89" s="359"/>
      <c r="Q89" s="228"/>
      <c r="R89" s="479"/>
      <c r="S89" s="510"/>
      <c r="T89" s="560"/>
      <c r="U89" s="406"/>
      <c r="V89" s="734"/>
      <c r="W89" s="462"/>
      <c r="X89" s="704"/>
    </row>
    <row r="90" spans="1:24" ht="14.25" customHeight="1">
      <c r="B90" s="226">
        <v>8</v>
      </c>
      <c r="C90" s="227"/>
      <c r="D90" s="239"/>
      <c r="E90" s="314"/>
      <c r="F90" s="359"/>
      <c r="G90" s="228"/>
      <c r="H90" s="560"/>
      <c r="I90" s="704"/>
      <c r="J90" s="707"/>
      <c r="K90" s="205"/>
      <c r="L90" s="226">
        <v>8</v>
      </c>
      <c r="M90" s="332" t="s">
        <v>350</v>
      </c>
      <c r="N90" s="239"/>
      <c r="O90" s="441"/>
      <c r="P90" s="359"/>
      <c r="Q90" s="228"/>
      <c r="R90" s="479"/>
      <c r="S90" s="510"/>
      <c r="T90" s="560"/>
      <c r="U90" s="406">
        <f t="shared" si="13"/>
        <v>0</v>
      </c>
      <c r="V90" s="734"/>
      <c r="W90" s="462"/>
      <c r="X90" s="704"/>
    </row>
    <row r="91" spans="1:24" ht="15" customHeight="1" thickBot="1">
      <c r="B91" s="226">
        <v>8</v>
      </c>
      <c r="C91" s="207"/>
      <c r="D91" s="208"/>
      <c r="E91" s="356"/>
      <c r="F91" s="353"/>
      <c r="G91" s="209"/>
      <c r="H91" s="555"/>
      <c r="I91" s="705"/>
      <c r="J91" s="708"/>
      <c r="K91" s="210"/>
      <c r="L91" s="206">
        <v>8</v>
      </c>
      <c r="M91" s="331" t="s">
        <v>350</v>
      </c>
      <c r="N91" s="208"/>
      <c r="O91" s="442"/>
      <c r="P91" s="353"/>
      <c r="Q91" s="209"/>
      <c r="R91" s="476"/>
      <c r="S91" s="507"/>
      <c r="T91" s="417" t="str">
        <f t="shared" si="12"/>
        <v/>
      </c>
      <c r="U91" s="402">
        <f t="shared" si="13"/>
        <v>0</v>
      </c>
      <c r="V91" s="735"/>
      <c r="W91" s="460"/>
      <c r="X91" s="705"/>
    </row>
    <row r="92" spans="1:24" ht="22.5" customHeight="1" thickBot="1">
      <c r="A92" s="4"/>
      <c r="B92" s="240"/>
      <c r="C92" s="76"/>
      <c r="D92" s="76"/>
      <c r="E92" s="76"/>
      <c r="F92" s="367"/>
      <c r="G92" s="76"/>
      <c r="H92" s="422"/>
      <c r="I92" s="338"/>
      <c r="J92" s="339"/>
      <c r="K92" s="76" t="s">
        <v>358</v>
      </c>
      <c r="L92" s="240"/>
      <c r="M92" s="76"/>
      <c r="N92" s="76"/>
      <c r="O92" s="443"/>
      <c r="P92" s="367"/>
      <c r="Q92" s="76"/>
      <c r="R92" s="482"/>
      <c r="S92" s="240"/>
      <c r="T92" s="422" t="str">
        <f t="shared" si="12"/>
        <v/>
      </c>
      <c r="U92" s="387"/>
      <c r="V92" s="387"/>
      <c r="W92" s="427"/>
      <c r="X92" s="613"/>
    </row>
    <row r="93" spans="1:24" ht="15" customHeight="1">
      <c r="B93" s="215">
        <v>9</v>
      </c>
      <c r="C93" s="341" t="s">
        <v>359</v>
      </c>
      <c r="D93" s="231" t="s">
        <v>360</v>
      </c>
      <c r="E93" s="218"/>
      <c r="F93" s="336"/>
      <c r="G93" s="496">
        <f>D177</f>
        <v>46810</v>
      </c>
      <c r="H93" s="542">
        <f>'Project Plan'!G21+7</f>
        <v>46079</v>
      </c>
      <c r="I93" s="727">
        <f>SUM(G93:G104)</f>
        <v>147225</v>
      </c>
      <c r="J93" s="697">
        <f>F177+F178</f>
        <v>163583.33333333334</v>
      </c>
      <c r="K93" s="192"/>
      <c r="L93" s="215">
        <v>9</v>
      </c>
      <c r="M93" s="322" t="s">
        <v>361</v>
      </c>
      <c r="N93" s="231"/>
      <c r="O93" s="433"/>
      <c r="P93" s="336"/>
      <c r="Q93" s="219"/>
      <c r="R93" s="477"/>
      <c r="S93" s="508"/>
      <c r="T93" s="418" t="str">
        <f t="shared" si="12"/>
        <v/>
      </c>
      <c r="U93" s="404">
        <f t="shared" ref="U93:U104" si="14">(Q93/$X$93*$J$93)</f>
        <v>0</v>
      </c>
      <c r="V93" s="709">
        <f>J93-SUM(U93:U104)</f>
        <v>0</v>
      </c>
      <c r="W93" s="461"/>
      <c r="X93" s="694">
        <f>SUM(Q93:Q104)</f>
        <v>194250.00999999998</v>
      </c>
    </row>
    <row r="94" spans="1:24" ht="15" customHeight="1">
      <c r="B94" s="215">
        <v>9</v>
      </c>
      <c r="C94" s="341"/>
      <c r="D94" s="232" t="s">
        <v>362</v>
      </c>
      <c r="E94" s="218"/>
      <c r="F94" s="357"/>
      <c r="G94" s="496">
        <f>D178</f>
        <v>100415.00000000001</v>
      </c>
      <c r="H94" s="541">
        <f>'Project Plan'!G28+7</f>
        <v>46084</v>
      </c>
      <c r="I94" s="728"/>
      <c r="J94" s="698"/>
      <c r="K94" s="192"/>
      <c r="L94" s="215">
        <v>9</v>
      </c>
      <c r="M94" s="322" t="s">
        <v>361</v>
      </c>
      <c r="N94" s="232" t="s">
        <v>318</v>
      </c>
      <c r="O94" s="450">
        <f>Z30+Z29</f>
        <v>194250.01</v>
      </c>
      <c r="P94" s="451">
        <v>0.2</v>
      </c>
      <c r="Q94" s="219">
        <f>$O$94*P94</f>
        <v>38850.002</v>
      </c>
      <c r="R94" s="739"/>
      <c r="S94" s="501" t="s">
        <v>363</v>
      </c>
      <c r="T94" s="551">
        <v>46053</v>
      </c>
      <c r="U94" s="626">
        <v>32716.666666666672</v>
      </c>
      <c r="V94" s="710"/>
      <c r="W94" s="640">
        <v>46051</v>
      </c>
      <c r="X94" s="69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8"/>
      <c r="J95" s="698"/>
      <c r="K95" s="192"/>
      <c r="L95" s="284">
        <v>9</v>
      </c>
      <c r="M95" s="394" t="s">
        <v>361</v>
      </c>
      <c r="N95" s="286" t="s">
        <v>169</v>
      </c>
      <c r="O95" s="434"/>
      <c r="P95" s="449">
        <v>0.2</v>
      </c>
      <c r="Q95" s="219">
        <f t="shared" ref="Q95:Q101" si="15">$O$94*P95</f>
        <v>38850.002</v>
      </c>
      <c r="R95" s="740"/>
      <c r="S95" s="501" t="s">
        <v>364</v>
      </c>
      <c r="T95" s="551">
        <v>46053</v>
      </c>
      <c r="U95" s="626">
        <v>32716.666666666672</v>
      </c>
      <c r="V95" s="710"/>
      <c r="W95" s="641">
        <v>46058</v>
      </c>
      <c r="X95" s="69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8"/>
      <c r="J96" s="698"/>
      <c r="K96" s="192"/>
      <c r="L96" s="284">
        <v>9</v>
      </c>
      <c r="M96" s="394" t="s">
        <v>361</v>
      </c>
      <c r="N96" s="286" t="s">
        <v>321</v>
      </c>
      <c r="O96" s="434"/>
      <c r="P96" s="449">
        <v>0.15</v>
      </c>
      <c r="Q96" s="219">
        <f t="shared" si="15"/>
        <v>29137.501500000002</v>
      </c>
      <c r="R96" s="740"/>
      <c r="S96" s="502" t="s">
        <v>322</v>
      </c>
      <c r="T96" s="551">
        <v>46081</v>
      </c>
      <c r="U96" s="397">
        <f t="shared" si="14"/>
        <v>24537.500000000004</v>
      </c>
      <c r="V96" s="710"/>
      <c r="W96" s="455">
        <f>'Project Plan'!K21+7</f>
        <v>46099</v>
      </c>
      <c r="X96" s="69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8"/>
      <c r="J97" s="698"/>
      <c r="K97" s="192"/>
      <c r="L97" s="284">
        <v>9</v>
      </c>
      <c r="M97" s="394" t="s">
        <v>361</v>
      </c>
      <c r="N97" s="286" t="s">
        <v>324</v>
      </c>
      <c r="O97" s="434"/>
      <c r="P97" s="449">
        <v>0.15</v>
      </c>
      <c r="Q97" s="219">
        <f t="shared" si="15"/>
        <v>29137.501500000002</v>
      </c>
      <c r="R97" s="740"/>
      <c r="S97" s="502" t="s">
        <v>325</v>
      </c>
      <c r="T97" s="551">
        <v>46081</v>
      </c>
      <c r="U97" s="397">
        <f t="shared" si="14"/>
        <v>24537.500000000004</v>
      </c>
      <c r="V97" s="710"/>
      <c r="W97" s="455">
        <f>'Project Plan'!K28+14</f>
        <v>46099</v>
      </c>
      <c r="X97" s="69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8"/>
      <c r="J98" s="698"/>
      <c r="K98" s="192"/>
      <c r="L98" s="284">
        <v>9</v>
      </c>
      <c r="M98" s="394" t="s">
        <v>361</v>
      </c>
      <c r="N98" s="286" t="s">
        <v>327</v>
      </c>
      <c r="O98" s="434"/>
      <c r="P98" s="449">
        <v>0.1</v>
      </c>
      <c r="Q98" s="219">
        <f t="shared" si="15"/>
        <v>19425.001</v>
      </c>
      <c r="R98" s="740"/>
      <c r="S98" s="502"/>
      <c r="T98" s="412">
        <f t="shared" si="12"/>
        <v>46112</v>
      </c>
      <c r="U98" s="397">
        <f t="shared" si="14"/>
        <v>16358.333333333336</v>
      </c>
      <c r="V98" s="710"/>
      <c r="W98" s="455">
        <f>'Project Plan'!K39+7</f>
        <v>46111</v>
      </c>
      <c r="X98" s="69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8"/>
      <c r="J99" s="698"/>
      <c r="K99" s="192"/>
      <c r="L99" s="284">
        <v>9</v>
      </c>
      <c r="M99" s="394" t="s">
        <v>361</v>
      </c>
      <c r="N99" s="286" t="s">
        <v>328</v>
      </c>
      <c r="O99" s="434"/>
      <c r="P99" s="449">
        <v>0.1</v>
      </c>
      <c r="Q99" s="219">
        <f t="shared" si="15"/>
        <v>19425.001</v>
      </c>
      <c r="R99" s="740"/>
      <c r="S99" s="502"/>
      <c r="T99" s="412">
        <f t="shared" si="12"/>
        <v>46112</v>
      </c>
      <c r="U99" s="397">
        <f t="shared" si="14"/>
        <v>16358.333333333336</v>
      </c>
      <c r="V99" s="710"/>
      <c r="W99" s="455">
        <f>'Project Plan'!K46+7</f>
        <v>46107</v>
      </c>
      <c r="X99" s="695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8"/>
      <c r="J100" s="698"/>
      <c r="K100" s="192"/>
      <c r="L100" s="284">
        <v>9</v>
      </c>
      <c r="M100" s="394" t="s">
        <v>361</v>
      </c>
      <c r="N100" s="286" t="s">
        <v>329</v>
      </c>
      <c r="O100" s="434"/>
      <c r="P100" s="449">
        <v>0.05</v>
      </c>
      <c r="Q100" s="219">
        <f t="shared" si="15"/>
        <v>9712.5005000000001</v>
      </c>
      <c r="R100" s="740"/>
      <c r="S100" s="502"/>
      <c r="T100" s="412">
        <f t="shared" si="12"/>
        <v>46112</v>
      </c>
      <c r="U100" s="397">
        <f t="shared" si="14"/>
        <v>8179.1666666666679</v>
      </c>
      <c r="V100" s="710"/>
      <c r="W100" s="455">
        <f>'Project Plan'!K46+7</f>
        <v>46107</v>
      </c>
      <c r="X100" s="69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8"/>
      <c r="J101" s="698"/>
      <c r="K101" s="192"/>
      <c r="L101" s="284">
        <v>9</v>
      </c>
      <c r="M101" s="394" t="s">
        <v>361</v>
      </c>
      <c r="N101" s="286" t="s">
        <v>330</v>
      </c>
      <c r="O101" s="434"/>
      <c r="P101" s="449">
        <v>0.05</v>
      </c>
      <c r="Q101" s="219">
        <f t="shared" si="15"/>
        <v>9712.5005000000001</v>
      </c>
      <c r="R101" s="741"/>
      <c r="S101" s="502"/>
      <c r="T101" s="412">
        <f t="shared" si="12"/>
        <v>46142</v>
      </c>
      <c r="U101" s="397">
        <f t="shared" si="14"/>
        <v>8179.1666666666679</v>
      </c>
      <c r="V101" s="710"/>
      <c r="W101" s="455">
        <f>'Project Plan'!K46+30</f>
        <v>46130</v>
      </c>
      <c r="X101" s="69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8"/>
      <c r="J102" s="698"/>
      <c r="K102" s="192"/>
      <c r="L102" s="284">
        <v>9</v>
      </c>
      <c r="M102" s="394" t="s">
        <v>361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4"/>
        <v>0</v>
      </c>
      <c r="V102" s="710"/>
      <c r="W102" s="455"/>
      <c r="X102" s="695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28"/>
      <c r="J103" s="698"/>
      <c r="K103" s="192"/>
      <c r="L103" s="284">
        <v>9</v>
      </c>
      <c r="M103" s="394" t="s">
        <v>361</v>
      </c>
      <c r="N103" s="286"/>
      <c r="O103" s="434"/>
      <c r="P103" s="343"/>
      <c r="Q103" s="287"/>
      <c r="R103" s="471"/>
      <c r="S103" s="502"/>
      <c r="T103" s="412" t="str">
        <f t="shared" si="12"/>
        <v/>
      </c>
      <c r="U103" s="397">
        <f t="shared" si="14"/>
        <v>0</v>
      </c>
      <c r="V103" s="710"/>
      <c r="W103" s="455"/>
      <c r="X103" s="695"/>
    </row>
    <row r="104" spans="1:24" ht="15" customHeight="1" thickBot="1">
      <c r="B104" s="220">
        <v>9</v>
      </c>
      <c r="C104" s="337"/>
      <c r="D104" s="233"/>
      <c r="E104" s="222"/>
      <c r="F104" s="358"/>
      <c r="G104" s="234"/>
      <c r="H104" s="552"/>
      <c r="I104" s="729"/>
      <c r="J104" s="699"/>
      <c r="K104" s="267"/>
      <c r="L104" s="220">
        <v>9</v>
      </c>
      <c r="M104" s="340" t="s">
        <v>361</v>
      </c>
      <c r="N104" s="233"/>
      <c r="O104" s="435"/>
      <c r="P104" s="358"/>
      <c r="Q104" s="234"/>
      <c r="R104" s="472"/>
      <c r="S104" s="503"/>
      <c r="T104" s="413" t="str">
        <f t="shared" si="12"/>
        <v/>
      </c>
      <c r="U104" s="398">
        <f t="shared" si="14"/>
        <v>0</v>
      </c>
      <c r="V104" s="711"/>
      <c r="W104" s="456"/>
      <c r="X104" s="696"/>
    </row>
    <row r="105" spans="1:24" ht="14.5" thickBot="1">
      <c r="A105" s="4"/>
      <c r="B105" s="194"/>
      <c r="C105" s="211"/>
      <c r="D105" s="212"/>
      <c r="E105" s="195"/>
      <c r="F105" s="354"/>
      <c r="G105" s="196"/>
      <c r="H105" s="553"/>
      <c r="I105" s="547"/>
      <c r="J105" s="303"/>
      <c r="K105" s="4"/>
      <c r="L105" s="194"/>
      <c r="M105" s="211"/>
      <c r="N105" s="212"/>
      <c r="O105" s="436"/>
      <c r="P105" s="354"/>
      <c r="Q105" s="196"/>
      <c r="R105" s="473"/>
      <c r="S105" s="504"/>
      <c r="T105" s="414" t="str">
        <f t="shared" si="12"/>
        <v/>
      </c>
      <c r="U105" s="403"/>
      <c r="V105" s="385"/>
      <c r="W105" s="457"/>
      <c r="X105" s="547"/>
    </row>
    <row r="106" spans="1:24" ht="14.25" customHeight="1">
      <c r="B106" s="173">
        <v>10</v>
      </c>
      <c r="C106" s="174" t="s">
        <v>365</v>
      </c>
      <c r="D106" s="174" t="s">
        <v>300</v>
      </c>
      <c r="E106" s="175"/>
      <c r="F106" s="368"/>
      <c r="G106" s="242">
        <f>D181</f>
        <v>8500</v>
      </c>
      <c r="H106" s="561">
        <f>H93</f>
        <v>46079</v>
      </c>
      <c r="I106" s="721">
        <f>SUM(G106:G120)</f>
        <v>34366.266666666663</v>
      </c>
      <c r="J106" s="724">
        <f>F181+F184+F185+F183+F182</f>
        <v>38184.740740740745</v>
      </c>
      <c r="K106" s="243"/>
      <c r="L106" s="173">
        <v>10</v>
      </c>
      <c r="M106" s="333" t="s">
        <v>366</v>
      </c>
      <c r="N106" s="174"/>
      <c r="O106" s="444"/>
      <c r="P106" s="368"/>
      <c r="Q106" s="242"/>
      <c r="R106" s="483"/>
      <c r="S106" s="513"/>
      <c r="T106" s="423" t="str">
        <f t="shared" si="12"/>
        <v/>
      </c>
      <c r="U106" s="408">
        <f t="shared" ref="U106:U119" si="16">(Q106/$X$106*$J$106)</f>
        <v>0</v>
      </c>
      <c r="V106" s="730">
        <f>J106-SUM(U106:U120)</f>
        <v>0</v>
      </c>
      <c r="W106" s="465"/>
      <c r="X106" s="721">
        <f>SUM(Q106:Q120)</f>
        <v>44166.2</v>
      </c>
    </row>
    <row r="107" spans="1:24" ht="14.25" customHeight="1">
      <c r="B107" s="244">
        <v>10</v>
      </c>
      <c r="C107" s="245"/>
      <c r="D107" s="245" t="s">
        <v>301</v>
      </c>
      <c r="E107" s="246"/>
      <c r="F107" s="369"/>
      <c r="G107" s="247">
        <f>D185</f>
        <v>11466.266666666666</v>
      </c>
      <c r="H107" s="562">
        <f>H93</f>
        <v>46079</v>
      </c>
      <c r="I107" s="722"/>
      <c r="J107" s="725"/>
      <c r="K107" s="176"/>
      <c r="L107" s="244">
        <v>10</v>
      </c>
      <c r="M107" s="334" t="s">
        <v>366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523">
        <f t="shared" si="16"/>
        <v>0</v>
      </c>
      <c r="V107" s="731"/>
      <c r="W107" s="466"/>
      <c r="X107" s="722"/>
    </row>
    <row r="108" spans="1:24" ht="14.25" customHeight="1">
      <c r="B108" s="244">
        <v>10</v>
      </c>
      <c r="C108" s="245"/>
      <c r="D108" s="245" t="s">
        <v>367</v>
      </c>
      <c r="E108" s="246"/>
      <c r="F108" s="369"/>
      <c r="G108" s="247">
        <f>D184</f>
        <v>14400</v>
      </c>
      <c r="H108" s="562">
        <f>H93</f>
        <v>46079</v>
      </c>
      <c r="I108" s="722"/>
      <c r="J108" s="725"/>
      <c r="K108" s="176"/>
      <c r="L108" s="244">
        <v>10</v>
      </c>
      <c r="M108" s="334" t="s">
        <v>366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6"/>
        <v>0</v>
      </c>
      <c r="V108" s="731"/>
      <c r="W108" s="466"/>
      <c r="X108" s="722"/>
    </row>
    <row r="109" spans="1:24" ht="14.25" customHeight="1">
      <c r="B109" s="244">
        <v>10</v>
      </c>
      <c r="C109" s="245"/>
      <c r="D109" s="245" t="s">
        <v>302</v>
      </c>
      <c r="E109" s="246"/>
      <c r="F109" s="369"/>
      <c r="G109" s="247">
        <f>D183</f>
        <v>0</v>
      </c>
      <c r="H109" s="562">
        <f>H93</f>
        <v>46079</v>
      </c>
      <c r="I109" s="722"/>
      <c r="J109" s="725"/>
      <c r="K109" s="176"/>
      <c r="L109" s="244">
        <v>10</v>
      </c>
      <c r="M109" s="334" t="s">
        <v>366</v>
      </c>
      <c r="N109" s="245"/>
      <c r="O109" s="445"/>
      <c r="P109" s="369"/>
      <c r="Q109" s="247"/>
      <c r="R109" s="484"/>
      <c r="S109" s="514"/>
      <c r="T109" s="424" t="str">
        <f t="shared" si="12"/>
        <v/>
      </c>
      <c r="U109" s="409">
        <f t="shared" si="16"/>
        <v>0</v>
      </c>
      <c r="V109" s="731"/>
      <c r="W109" s="466"/>
      <c r="X109" s="72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22"/>
      <c r="J110" s="725"/>
      <c r="K110" s="176"/>
      <c r="L110" s="244">
        <v>10</v>
      </c>
      <c r="M110" s="334" t="s">
        <v>366</v>
      </c>
      <c r="N110" s="245" t="s">
        <v>318</v>
      </c>
      <c r="O110" s="495">
        <f>SUM(Z31:Z36)</f>
        <v>44166.2</v>
      </c>
      <c r="P110" s="452">
        <f t="shared" ref="P110:P117" si="17">P94</f>
        <v>0.2</v>
      </c>
      <c r="Q110" s="247">
        <f>$O$110*P110</f>
        <v>8833.24</v>
      </c>
      <c r="R110" s="736"/>
      <c r="S110" s="515" t="str">
        <f>S94</f>
        <v>Leading Edge Power INV-0182</v>
      </c>
      <c r="T110" s="563">
        <f>T94</f>
        <v>46053</v>
      </c>
      <c r="U110" s="647">
        <v>7636.9481481481489</v>
      </c>
      <c r="V110" s="731"/>
      <c r="W110" s="639">
        <f>W94</f>
        <v>46051</v>
      </c>
      <c r="X110" s="72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22"/>
      <c r="J111" s="725"/>
      <c r="K111" s="176"/>
      <c r="L111" s="244">
        <v>10</v>
      </c>
      <c r="M111" s="334" t="s">
        <v>366</v>
      </c>
      <c r="N111" s="245" t="s">
        <v>169</v>
      </c>
      <c r="O111" s="445"/>
      <c r="P111" s="452">
        <f t="shared" si="17"/>
        <v>0.2</v>
      </c>
      <c r="Q111" s="247">
        <f t="shared" ref="Q111:Q117" si="18">$O$110*P111</f>
        <v>8833.24</v>
      </c>
      <c r="R111" s="737"/>
      <c r="S111" s="515" t="str">
        <f>S95</f>
        <v>Leading Edge Power INV-0183</v>
      </c>
      <c r="T111" s="563">
        <f t="shared" ref="T111:T117" si="19">T95</f>
        <v>46053</v>
      </c>
      <c r="U111" s="647">
        <v>7636.9481481481489</v>
      </c>
      <c r="V111" s="731"/>
      <c r="W111" s="639">
        <f t="shared" ref="W111:W117" si="20">W95</f>
        <v>46058</v>
      </c>
      <c r="X111" s="72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2"/>
      <c r="J112" s="725"/>
      <c r="K112" s="176"/>
      <c r="L112" s="244">
        <v>10</v>
      </c>
      <c r="M112" s="334" t="s">
        <v>366</v>
      </c>
      <c r="N112" s="245" t="s">
        <v>321</v>
      </c>
      <c r="O112" s="445"/>
      <c r="P112" s="452">
        <f t="shared" si="17"/>
        <v>0.15</v>
      </c>
      <c r="Q112" s="247">
        <f t="shared" si="18"/>
        <v>6624.9299999999994</v>
      </c>
      <c r="R112" s="737"/>
      <c r="S112" s="515" t="s">
        <v>322</v>
      </c>
      <c r="T112" s="563">
        <f t="shared" si="19"/>
        <v>46081</v>
      </c>
      <c r="U112" s="409">
        <f t="shared" si="16"/>
        <v>5727.7111111111117</v>
      </c>
      <c r="V112" s="731"/>
      <c r="W112" s="467">
        <f t="shared" si="20"/>
        <v>46099</v>
      </c>
      <c r="X112" s="72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2"/>
      <c r="J113" s="725"/>
      <c r="K113" s="176"/>
      <c r="L113" s="244">
        <v>10</v>
      </c>
      <c r="M113" s="334" t="s">
        <v>366</v>
      </c>
      <c r="N113" s="245" t="s">
        <v>324</v>
      </c>
      <c r="O113" s="445"/>
      <c r="P113" s="452">
        <f t="shared" si="17"/>
        <v>0.15</v>
      </c>
      <c r="Q113" s="247">
        <f t="shared" si="18"/>
        <v>6624.9299999999994</v>
      </c>
      <c r="R113" s="737"/>
      <c r="S113" s="515" t="s">
        <v>325</v>
      </c>
      <c r="T113" s="563">
        <f t="shared" si="19"/>
        <v>46081</v>
      </c>
      <c r="U113" s="409">
        <f t="shared" si="16"/>
        <v>5727.7111111111117</v>
      </c>
      <c r="V113" s="731"/>
      <c r="W113" s="467">
        <f t="shared" si="20"/>
        <v>46099</v>
      </c>
      <c r="X113" s="72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2"/>
      <c r="J114" s="725"/>
      <c r="K114" s="176"/>
      <c r="L114" s="244">
        <v>10</v>
      </c>
      <c r="M114" s="334" t="s">
        <v>366</v>
      </c>
      <c r="N114" s="245" t="s">
        <v>327</v>
      </c>
      <c r="O114" s="445"/>
      <c r="P114" s="452">
        <f t="shared" si="17"/>
        <v>0.1</v>
      </c>
      <c r="Q114" s="247">
        <f t="shared" si="18"/>
        <v>4416.62</v>
      </c>
      <c r="R114" s="737"/>
      <c r="S114" s="515"/>
      <c r="T114" s="425">
        <f t="shared" si="19"/>
        <v>46112</v>
      </c>
      <c r="U114" s="409">
        <f t="shared" si="16"/>
        <v>3818.4740740740745</v>
      </c>
      <c r="V114" s="731"/>
      <c r="W114" s="467">
        <f t="shared" si="20"/>
        <v>46111</v>
      </c>
      <c r="X114" s="72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2"/>
      <c r="J115" s="725"/>
      <c r="K115" s="176"/>
      <c r="L115" s="244">
        <v>10</v>
      </c>
      <c r="M115" s="334" t="s">
        <v>366</v>
      </c>
      <c r="N115" s="245" t="s">
        <v>328</v>
      </c>
      <c r="O115" s="445"/>
      <c r="P115" s="452">
        <f t="shared" si="17"/>
        <v>0.1</v>
      </c>
      <c r="Q115" s="247">
        <f t="shared" si="18"/>
        <v>4416.62</v>
      </c>
      <c r="R115" s="737"/>
      <c r="S115" s="515"/>
      <c r="T115" s="425">
        <f t="shared" si="19"/>
        <v>46112</v>
      </c>
      <c r="U115" s="409">
        <f t="shared" si="16"/>
        <v>3818.4740740740745</v>
      </c>
      <c r="V115" s="731"/>
      <c r="W115" s="467">
        <f t="shared" si="20"/>
        <v>46107</v>
      </c>
      <c r="X115" s="72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22"/>
      <c r="J116" s="725"/>
      <c r="K116" s="176"/>
      <c r="L116" s="244">
        <v>10</v>
      </c>
      <c r="M116" s="334" t="s">
        <v>366</v>
      </c>
      <c r="N116" s="245" t="s">
        <v>329</v>
      </c>
      <c r="O116" s="445"/>
      <c r="P116" s="452">
        <f t="shared" si="17"/>
        <v>0.05</v>
      </c>
      <c r="Q116" s="247">
        <f t="shared" si="18"/>
        <v>2208.31</v>
      </c>
      <c r="R116" s="737"/>
      <c r="S116" s="515"/>
      <c r="T116" s="425">
        <f t="shared" si="19"/>
        <v>46112</v>
      </c>
      <c r="U116" s="409">
        <f t="shared" si="16"/>
        <v>1909.2370370370372</v>
      </c>
      <c r="V116" s="731"/>
      <c r="W116" s="467">
        <f t="shared" si="20"/>
        <v>46107</v>
      </c>
      <c r="X116" s="72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2"/>
      <c r="J117" s="725"/>
      <c r="K117" s="176"/>
      <c r="L117" s="244">
        <v>10</v>
      </c>
      <c r="M117" s="334" t="s">
        <v>366</v>
      </c>
      <c r="N117" s="245" t="s">
        <v>330</v>
      </c>
      <c r="O117" s="445"/>
      <c r="P117" s="452">
        <f t="shared" si="17"/>
        <v>0.05</v>
      </c>
      <c r="Q117" s="247">
        <f t="shared" si="18"/>
        <v>2208.31</v>
      </c>
      <c r="R117" s="738"/>
      <c r="S117" s="515"/>
      <c r="T117" s="425">
        <f t="shared" si="19"/>
        <v>46142</v>
      </c>
      <c r="U117" s="409">
        <f t="shared" si="16"/>
        <v>1909.2370370370372</v>
      </c>
      <c r="V117" s="731"/>
      <c r="W117" s="467">
        <f t="shared" si="20"/>
        <v>46130</v>
      </c>
      <c r="X117" s="72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2"/>
      <c r="J118" s="725"/>
      <c r="K118" s="176"/>
      <c r="L118" s="244">
        <v>10</v>
      </c>
      <c r="M118" s="334" t="s">
        <v>366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6"/>
        <v>0</v>
      </c>
      <c r="V118" s="731"/>
      <c r="W118" s="467"/>
      <c r="X118" s="72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22"/>
      <c r="J119" s="725"/>
      <c r="K119" s="176"/>
      <c r="L119" s="244">
        <v>10</v>
      </c>
      <c r="M119" s="334" t="s">
        <v>366</v>
      </c>
      <c r="N119" s="245"/>
      <c r="O119" s="445"/>
      <c r="P119" s="369"/>
      <c r="Q119" s="247"/>
      <c r="R119" s="485"/>
      <c r="S119" s="515"/>
      <c r="T119" s="425" t="str">
        <f t="shared" si="12"/>
        <v/>
      </c>
      <c r="U119" s="409">
        <f t="shared" si="16"/>
        <v>0</v>
      </c>
      <c r="V119" s="731"/>
      <c r="W119" s="467"/>
      <c r="X119" s="722"/>
    </row>
    <row r="120" spans="1:24" ht="15" customHeight="1" thickBot="1">
      <c r="B120" s="177">
        <v>10</v>
      </c>
      <c r="C120" s="248"/>
      <c r="D120" s="248"/>
      <c r="E120" s="249"/>
      <c r="F120" s="370"/>
      <c r="G120" s="178"/>
      <c r="H120" s="564"/>
      <c r="I120" s="723"/>
      <c r="J120" s="726"/>
      <c r="K120" s="179"/>
      <c r="L120" s="177">
        <v>10</v>
      </c>
      <c r="M120" s="335" t="s">
        <v>366</v>
      </c>
      <c r="N120" s="248"/>
      <c r="O120" s="446"/>
      <c r="P120" s="370"/>
      <c r="Q120" s="178"/>
      <c r="R120" s="486"/>
      <c r="S120" s="516"/>
      <c r="T120" s="426" t="str">
        <f t="shared" si="12"/>
        <v/>
      </c>
      <c r="U120" s="410"/>
      <c r="V120" s="732"/>
      <c r="W120" s="468"/>
      <c r="X120" s="723"/>
    </row>
    <row r="121" spans="1:24" ht="14.5" thickBot="1">
      <c r="A121" s="4"/>
      <c r="B121" s="180"/>
      <c r="C121" s="181"/>
      <c r="D121" s="181"/>
      <c r="E121" s="195"/>
      <c r="F121" s="354"/>
      <c r="G121" s="183"/>
      <c r="H121" s="556"/>
      <c r="I121" s="547"/>
      <c r="J121" s="303"/>
      <c r="K121" s="4"/>
      <c r="L121" s="180"/>
      <c r="M121" s="181"/>
      <c r="N121" s="181"/>
      <c r="O121" s="436"/>
      <c r="P121" s="354"/>
      <c r="Q121" s="534"/>
      <c r="R121" s="478"/>
      <c r="S121" s="509"/>
      <c r="T121" s="414" t="str">
        <f t="shared" si="12"/>
        <v/>
      </c>
      <c r="U121" s="399"/>
      <c r="V121" s="386"/>
      <c r="W121" s="457"/>
      <c r="X121" s="547"/>
    </row>
    <row r="122" spans="1:24" ht="14.25" customHeight="1">
      <c r="B122" s="185">
        <v>11</v>
      </c>
      <c r="C122" s="186" t="s">
        <v>368</v>
      </c>
      <c r="D122" s="255" t="s">
        <v>369</v>
      </c>
      <c r="E122" s="187"/>
      <c r="F122" s="336"/>
      <c r="G122" s="188">
        <v>11000</v>
      </c>
      <c r="H122" s="542">
        <f>'Project Plan'!G39</f>
        <v>46086</v>
      </c>
      <c r="I122" s="694">
        <f>SUM(G122:G126)</f>
        <v>89000</v>
      </c>
      <c r="J122" s="697">
        <f>F180</f>
        <v>98888.888888888891</v>
      </c>
      <c r="K122" s="189"/>
      <c r="L122" s="185">
        <v>11</v>
      </c>
      <c r="M122" s="255" t="s">
        <v>370</v>
      </c>
      <c r="N122" s="255" t="s">
        <v>369</v>
      </c>
      <c r="O122" s="187"/>
      <c r="P122" s="336"/>
      <c r="Q122" s="188">
        <v>11000</v>
      </c>
      <c r="R122" s="535"/>
      <c r="S122" s="508" t="s">
        <v>371</v>
      </c>
      <c r="T122" s="654">
        <v>46081</v>
      </c>
      <c r="U122" s="397">
        <f>10023.6483490496+2570.98</f>
        <v>12594.628349049599</v>
      </c>
      <c r="V122" s="709">
        <f>J122-SUM(U122:U126)</f>
        <v>-1.8580082105472684E-3</v>
      </c>
      <c r="W122" s="461">
        <f>'Project Plan'!K39+14</f>
        <v>46118</v>
      </c>
      <c r="X122" s="694">
        <f>SUM(Q122:Q126)</f>
        <v>75572.5</v>
      </c>
    </row>
    <row r="123" spans="1:24" ht="15" customHeight="1">
      <c r="B123" s="215">
        <v>11</v>
      </c>
      <c r="C123" s="217"/>
      <c r="D123" s="217" t="s">
        <v>372</v>
      </c>
      <c r="E123" s="218"/>
      <c r="F123" s="357"/>
      <c r="G123" s="219">
        <v>18000</v>
      </c>
      <c r="H123" s="542">
        <f>H122</f>
        <v>46086</v>
      </c>
      <c r="I123" s="695"/>
      <c r="J123" s="698"/>
      <c r="K123" s="192"/>
      <c r="L123" s="215">
        <v>11</v>
      </c>
      <c r="M123" s="290" t="s">
        <v>370</v>
      </c>
      <c r="N123" s="217" t="s">
        <v>373</v>
      </c>
      <c r="O123" s="218"/>
      <c r="P123" s="357"/>
      <c r="Q123" s="219">
        <v>8572.5</v>
      </c>
      <c r="R123" s="518"/>
      <c r="S123" s="501" t="s">
        <v>374</v>
      </c>
      <c r="T123" s="630">
        <v>45991</v>
      </c>
      <c r="U123" s="626">
        <v>10023.648349049632</v>
      </c>
      <c r="V123" s="710"/>
      <c r="W123" s="631">
        <v>45974</v>
      </c>
      <c r="X123" s="695"/>
    </row>
    <row r="124" spans="1:24" ht="15" customHeight="1">
      <c r="B124" s="215">
        <v>11</v>
      </c>
      <c r="C124" s="217"/>
      <c r="D124" s="217" t="s">
        <v>375</v>
      </c>
      <c r="E124" s="218"/>
      <c r="F124" s="357"/>
      <c r="G124" s="219">
        <v>60000</v>
      </c>
      <c r="H124" s="542">
        <f>H122</f>
        <v>46086</v>
      </c>
      <c r="I124" s="695"/>
      <c r="J124" s="698"/>
      <c r="K124" s="192"/>
      <c r="L124" s="215">
        <v>11</v>
      </c>
      <c r="M124" s="290" t="s">
        <v>370</v>
      </c>
      <c r="N124" s="217" t="s">
        <v>375</v>
      </c>
      <c r="O124" s="218"/>
      <c r="P124" s="357"/>
      <c r="Q124" s="219">
        <v>50000</v>
      </c>
      <c r="R124" s="470" t="s">
        <v>376</v>
      </c>
      <c r="S124" s="501" t="s">
        <v>377</v>
      </c>
      <c r="T124" s="541">
        <v>46081</v>
      </c>
      <c r="U124" s="397">
        <f>(Q124/$X$122*$J$122)+2992.93</f>
        <v>68419.433614998095</v>
      </c>
      <c r="V124" s="710"/>
      <c r="W124" s="454">
        <f>T124+30</f>
        <v>46111</v>
      </c>
      <c r="X124" s="695"/>
    </row>
    <row r="125" spans="1:24" ht="15" customHeight="1">
      <c r="B125" s="215">
        <v>11</v>
      </c>
      <c r="C125" s="288"/>
      <c r="D125" s="288"/>
      <c r="E125" s="307"/>
      <c r="F125" s="343"/>
      <c r="G125" s="287"/>
      <c r="H125" s="551"/>
      <c r="I125" s="695"/>
      <c r="J125" s="698"/>
      <c r="K125" s="192"/>
      <c r="L125" s="215">
        <v>11</v>
      </c>
      <c r="M125" s="290" t="s">
        <v>370</v>
      </c>
      <c r="N125" s="288" t="s">
        <v>378</v>
      </c>
      <c r="O125" s="434"/>
      <c r="P125" s="343"/>
      <c r="Q125" s="287">
        <v>6000</v>
      </c>
      <c r="R125" s="471"/>
      <c r="S125" s="502"/>
      <c r="T125" s="411">
        <v>46112</v>
      </c>
      <c r="U125" s="397">
        <f>(Q125/$X$122*$J$122)</f>
        <v>7851.1804337997728</v>
      </c>
      <c r="V125" s="710"/>
      <c r="W125" s="454">
        <f>T125</f>
        <v>46112</v>
      </c>
      <c r="X125" s="695"/>
    </row>
    <row r="126" spans="1:24" ht="15" customHeight="1" thickBot="1">
      <c r="B126" s="220">
        <v>11</v>
      </c>
      <c r="C126" s="221"/>
      <c r="D126" s="221"/>
      <c r="E126" s="222"/>
      <c r="F126" s="358"/>
      <c r="G126" s="234"/>
      <c r="H126" s="552"/>
      <c r="I126" s="696"/>
      <c r="J126" s="699"/>
      <c r="K126" s="193"/>
      <c r="L126" s="220">
        <v>11</v>
      </c>
      <c r="M126" s="318" t="s">
        <v>370</v>
      </c>
      <c r="N126" s="221"/>
      <c r="O126" s="222"/>
      <c r="P126" s="358"/>
      <c r="Q126" s="234"/>
      <c r="R126" s="472"/>
      <c r="S126" s="503"/>
      <c r="T126" s="413" t="str">
        <f t="shared" si="12"/>
        <v/>
      </c>
      <c r="U126" s="398">
        <f>(Q126/$X$122*$J$122)</f>
        <v>0</v>
      </c>
      <c r="V126" s="711"/>
      <c r="W126" s="456"/>
      <c r="X126" s="696"/>
    </row>
    <row r="127" spans="1:24" ht="15" customHeight="1" thickBot="1">
      <c r="A127" s="4"/>
      <c r="B127" s="194"/>
      <c r="C127" s="181"/>
      <c r="D127" s="181"/>
      <c r="E127" s="195"/>
      <c r="F127" s="354"/>
      <c r="G127" s="196"/>
      <c r="H127" s="553"/>
      <c r="I127" s="547"/>
      <c r="J127" s="184"/>
      <c r="K127" s="4"/>
      <c r="L127" s="194"/>
      <c r="M127" s="181"/>
      <c r="N127" s="181"/>
      <c r="O127" s="436"/>
      <c r="P127" s="354"/>
      <c r="Q127" s="196"/>
      <c r="R127" s="473"/>
      <c r="S127" s="504"/>
      <c r="T127" s="414" t="str">
        <f t="shared" si="12"/>
        <v/>
      </c>
      <c r="U127" s="403"/>
      <c r="V127" s="385"/>
      <c r="W127" s="457"/>
      <c r="X127" s="547"/>
    </row>
    <row r="128" spans="1:24">
      <c r="B128" s="173">
        <v>12</v>
      </c>
      <c r="C128" s="174" t="s">
        <v>379</v>
      </c>
      <c r="D128" s="174" t="s">
        <v>380</v>
      </c>
      <c r="E128" s="175"/>
      <c r="F128" s="368"/>
      <c r="G128" s="242">
        <v>0</v>
      </c>
      <c r="H128" s="561"/>
      <c r="I128" s="721">
        <f>SUM(G128:G129)</f>
        <v>0</v>
      </c>
      <c r="J128" s="724">
        <v>0</v>
      </c>
      <c r="K128" s="742"/>
      <c r="L128" s="173">
        <v>12</v>
      </c>
      <c r="M128" s="174" t="s">
        <v>381</v>
      </c>
      <c r="N128" s="174" t="s">
        <v>380</v>
      </c>
      <c r="O128" s="444"/>
      <c r="P128" s="368"/>
      <c r="Q128" s="242">
        <f>G128</f>
        <v>0</v>
      </c>
      <c r="R128" s="483"/>
      <c r="S128" s="513"/>
      <c r="T128" s="423" t="str">
        <f t="shared" si="12"/>
        <v/>
      </c>
      <c r="U128" s="408"/>
      <c r="V128" s="384"/>
      <c r="W128" s="465"/>
      <c r="X128" s="721">
        <f>SUM(Q128:Q129)</f>
        <v>0</v>
      </c>
    </row>
    <row r="129" spans="1:24" ht="15" customHeight="1" thickBot="1">
      <c r="B129" s="177">
        <v>12</v>
      </c>
      <c r="C129" s="248" t="s">
        <v>379</v>
      </c>
      <c r="D129" s="248"/>
      <c r="E129" s="249"/>
      <c r="F129" s="370"/>
      <c r="G129" s="178"/>
      <c r="H129" s="564"/>
      <c r="I129" s="723"/>
      <c r="J129" s="726"/>
      <c r="K129" s="743"/>
      <c r="L129" s="177">
        <v>12</v>
      </c>
      <c r="M129" s="248" t="s">
        <v>381</v>
      </c>
      <c r="N129" s="248"/>
      <c r="O129" s="446"/>
      <c r="P129" s="370"/>
      <c r="Q129" s="178"/>
      <c r="R129" s="486"/>
      <c r="S129" s="516"/>
      <c r="T129" s="426" t="str">
        <f t="shared" si="12"/>
        <v/>
      </c>
      <c r="U129" s="410"/>
      <c r="V129" s="383"/>
      <c r="W129" s="468"/>
      <c r="X129" s="723"/>
    </row>
    <row r="130" spans="1:24" ht="14.5" thickBot="1">
      <c r="A130" s="4"/>
      <c r="B130" s="194"/>
      <c r="C130" s="181"/>
      <c r="D130" s="181"/>
      <c r="E130" s="195"/>
      <c r="F130" s="354"/>
      <c r="G130" s="196"/>
      <c r="H130" s="553"/>
      <c r="I130" s="548"/>
      <c r="J130" s="230"/>
      <c r="K130" s="4"/>
      <c r="L130" s="194"/>
      <c r="M130" s="181"/>
      <c r="N130" s="181"/>
      <c r="O130" s="436"/>
      <c r="P130" s="354"/>
      <c r="Q130" s="196"/>
      <c r="R130" s="473"/>
      <c r="S130" s="504"/>
      <c r="T130" s="414" t="str">
        <f t="shared" si="12"/>
        <v/>
      </c>
      <c r="U130" s="403"/>
      <c r="V130" s="385"/>
      <c r="W130" s="457"/>
      <c r="X130" s="548"/>
    </row>
    <row r="131" spans="1:24" ht="15.75" customHeight="1">
      <c r="B131" s="185">
        <v>13</v>
      </c>
      <c r="C131" s="186" t="s">
        <v>382</v>
      </c>
      <c r="D131" s="255" t="s">
        <v>383</v>
      </c>
      <c r="E131" s="187"/>
      <c r="F131" s="336"/>
      <c r="G131" s="188">
        <f>D179</f>
        <v>16449.739175724637</v>
      </c>
      <c r="H131" s="542">
        <f>'Project Plan'!G48</f>
        <v>46100</v>
      </c>
      <c r="I131" s="694">
        <f>SUM(G131:G135)</f>
        <v>16449.739175724637</v>
      </c>
      <c r="J131" s="697">
        <f>F179</f>
        <v>18692.885426959816</v>
      </c>
      <c r="K131" s="189"/>
      <c r="L131" s="185">
        <v>13</v>
      </c>
      <c r="M131" s="255" t="s">
        <v>384</v>
      </c>
      <c r="N131" s="255" t="s">
        <v>385</v>
      </c>
      <c r="O131" s="432"/>
      <c r="P131" s="336"/>
      <c r="Q131" s="188">
        <f>'Project Plan'!$E$6*1.25%</f>
        <v>23286.964387293548</v>
      </c>
      <c r="R131" s="477"/>
      <c r="S131" s="508"/>
      <c r="T131" s="418">
        <f t="shared" si="12"/>
        <v>46112</v>
      </c>
      <c r="U131" s="404">
        <f t="shared" ref="U131:U136" si="21">(Q131/$X$131*$J$131)</f>
        <v>18692.885426959816</v>
      </c>
      <c r="V131" s="709">
        <f>J131-SUM(U131:U136)</f>
        <v>0</v>
      </c>
      <c r="W131" s="461">
        <f>'Project Plan'!K39</f>
        <v>46104</v>
      </c>
      <c r="X131" s="694">
        <f>SUM(Q131:Q136)</f>
        <v>23286.964387293548</v>
      </c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95"/>
      <c r="J132" s="698"/>
      <c r="K132" s="192"/>
      <c r="L132" s="215">
        <v>13</v>
      </c>
      <c r="M132" s="290" t="s">
        <v>384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710"/>
      <c r="W132" s="454"/>
      <c r="X132" s="695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95"/>
      <c r="J133" s="698"/>
      <c r="K133" s="192"/>
      <c r="L133" s="215">
        <v>13</v>
      </c>
      <c r="M133" s="290" t="s">
        <v>384</v>
      </c>
      <c r="N133" s="217"/>
      <c r="O133" s="433"/>
      <c r="P133" s="357"/>
      <c r="Q133" s="219"/>
      <c r="R133" s="470"/>
      <c r="S133" s="501"/>
      <c r="T133" s="411" t="str">
        <f t="shared" si="12"/>
        <v/>
      </c>
      <c r="U133" s="396">
        <f t="shared" si="21"/>
        <v>0</v>
      </c>
      <c r="V133" s="710"/>
      <c r="W133" s="454"/>
      <c r="X133" s="695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95"/>
      <c r="J134" s="698"/>
      <c r="K134" s="192"/>
      <c r="L134" s="215">
        <v>13</v>
      </c>
      <c r="M134" s="290" t="s">
        <v>384</v>
      </c>
      <c r="N134" s="217"/>
      <c r="O134" s="433"/>
      <c r="P134" s="357"/>
      <c r="Q134" s="219"/>
      <c r="R134" s="470"/>
      <c r="S134" s="501"/>
      <c r="T134" s="411" t="str">
        <f t="shared" si="12"/>
        <v/>
      </c>
      <c r="U134" s="396">
        <f t="shared" si="21"/>
        <v>0</v>
      </c>
      <c r="V134" s="710"/>
      <c r="W134" s="454"/>
      <c r="X134" s="695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95"/>
      <c r="J135" s="698"/>
      <c r="K135" s="192"/>
      <c r="L135" s="215">
        <v>13</v>
      </c>
      <c r="M135" s="290" t="s">
        <v>384</v>
      </c>
      <c r="N135" s="217"/>
      <c r="O135" s="433"/>
      <c r="P135" s="357"/>
      <c r="Q135" s="219"/>
      <c r="R135" s="470"/>
      <c r="S135" s="501"/>
      <c r="T135" s="411" t="str">
        <f t="shared" si="12"/>
        <v/>
      </c>
      <c r="U135" s="396">
        <f t="shared" si="21"/>
        <v>0</v>
      </c>
      <c r="V135" s="710"/>
      <c r="W135" s="454"/>
      <c r="X135" s="695"/>
    </row>
    <row r="136" spans="1:24" ht="15.75" customHeight="1" thickBot="1">
      <c r="B136" s="220">
        <v>13</v>
      </c>
      <c r="C136" s="221"/>
      <c r="D136" s="221"/>
      <c r="E136" s="222"/>
      <c r="F136" s="358"/>
      <c r="G136" s="234"/>
      <c r="H136" s="552"/>
      <c r="I136" s="696"/>
      <c r="J136" s="699"/>
      <c r="K136" s="267"/>
      <c r="L136" s="220">
        <v>13</v>
      </c>
      <c r="M136" s="318" t="s">
        <v>384</v>
      </c>
      <c r="N136" s="221"/>
      <c r="O136" s="435"/>
      <c r="P136" s="358"/>
      <c r="Q136" s="234"/>
      <c r="R136" s="472"/>
      <c r="S136" s="503"/>
      <c r="T136" s="413" t="str">
        <f t="shared" si="12"/>
        <v/>
      </c>
      <c r="U136" s="398">
        <f t="shared" si="21"/>
        <v>0</v>
      </c>
      <c r="V136" s="711"/>
      <c r="W136" s="456"/>
      <c r="X136" s="696"/>
    </row>
    <row r="137" spans="1:24" ht="14.5" thickBot="1">
      <c r="A137" s="4"/>
      <c r="B137" s="194"/>
      <c r="C137" s="181"/>
      <c r="D137" s="181"/>
      <c r="E137" s="195"/>
      <c r="F137" s="354"/>
      <c r="G137" s="196"/>
      <c r="H137" s="553"/>
      <c r="I137" s="547"/>
      <c r="J137" s="184"/>
      <c r="K137" s="4"/>
      <c r="L137" s="194"/>
      <c r="M137" s="181"/>
      <c r="N137" s="181"/>
      <c r="O137" s="436"/>
      <c r="P137" s="354"/>
      <c r="Q137" s="196"/>
      <c r="R137" s="473"/>
      <c r="S137" s="504"/>
      <c r="T137" s="414" t="str">
        <f t="shared" si="12"/>
        <v/>
      </c>
      <c r="U137" s="403"/>
      <c r="V137" s="385"/>
      <c r="W137" s="457"/>
      <c r="X137" s="548"/>
    </row>
    <row r="138" spans="1:24" ht="14.25" customHeight="1">
      <c r="B138" s="173">
        <v>14</v>
      </c>
      <c r="C138" s="174" t="s">
        <v>386</v>
      </c>
      <c r="D138" s="174" t="s">
        <v>387</v>
      </c>
      <c r="E138" s="175"/>
      <c r="F138" s="368"/>
      <c r="G138" s="242">
        <f>D190</f>
        <v>630</v>
      </c>
      <c r="H138" s="561">
        <f>'Project Plan'!G48</f>
        <v>46100</v>
      </c>
      <c r="I138" s="721">
        <f>SUM(G138:G149)</f>
        <v>630</v>
      </c>
      <c r="J138" s="724">
        <f>F190</f>
        <v>700</v>
      </c>
      <c r="K138" s="243"/>
      <c r="L138" s="173">
        <v>14</v>
      </c>
      <c r="M138" s="333" t="s">
        <v>388</v>
      </c>
      <c r="N138" s="174" t="s">
        <v>389</v>
      </c>
      <c r="O138" s="444"/>
      <c r="P138" s="527"/>
      <c r="Q138" s="532">
        <v>0</v>
      </c>
      <c r="R138" s="529"/>
      <c r="S138" s="519" t="s">
        <v>390</v>
      </c>
      <c r="T138" s="632">
        <v>46022</v>
      </c>
      <c r="U138" s="648">
        <v>0</v>
      </c>
      <c r="V138" s="730">
        <f>J138-SUM(U138:U149)</f>
        <v>0</v>
      </c>
      <c r="W138" s="633">
        <f>T138+7</f>
        <v>46029</v>
      </c>
      <c r="X138" s="721">
        <f>SUM(Q138:Q149)</f>
        <v>734.3</v>
      </c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722"/>
      <c r="J139" s="725"/>
      <c r="K139" s="176"/>
      <c r="L139" s="244">
        <v>14</v>
      </c>
      <c r="M139" s="334" t="s">
        <v>388</v>
      </c>
      <c r="N139" s="245" t="s">
        <v>389</v>
      </c>
      <c r="O139" s="445"/>
      <c r="P139" s="528"/>
      <c r="Q139" s="531">
        <v>261.8</v>
      </c>
      <c r="R139" s="530"/>
      <c r="S139" s="519" t="s">
        <v>390</v>
      </c>
      <c r="T139" s="642">
        <v>46053</v>
      </c>
      <c r="U139" s="647">
        <v>249.57102001906583</v>
      </c>
      <c r="V139" s="731"/>
      <c r="W139" s="633">
        <v>46058</v>
      </c>
      <c r="X139" s="72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22"/>
      <c r="J140" s="725"/>
      <c r="K140" s="176"/>
      <c r="L140" s="244">
        <v>14</v>
      </c>
      <c r="M140" s="334" t="s">
        <v>388</v>
      </c>
      <c r="N140" s="245" t="s">
        <v>389</v>
      </c>
      <c r="O140" s="445"/>
      <c r="P140" s="369"/>
      <c r="Q140" s="247">
        <f>$G$138/4</f>
        <v>157.5</v>
      </c>
      <c r="R140" s="485"/>
      <c r="S140" s="519"/>
      <c r="T140" s="425">
        <v>46081</v>
      </c>
      <c r="U140" s="409">
        <f t="shared" ref="U140:U149" si="22">(Q140/$X$138*$J$138)</f>
        <v>150.14299332697809</v>
      </c>
      <c r="V140" s="731"/>
      <c r="W140" s="467">
        <f t="shared" ref="W140:W142" si="23">T140+7</f>
        <v>46088</v>
      </c>
      <c r="X140" s="72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22"/>
      <c r="J141" s="725"/>
      <c r="K141" s="176"/>
      <c r="L141" s="244">
        <v>14</v>
      </c>
      <c r="M141" s="334" t="s">
        <v>388</v>
      </c>
      <c r="N141" s="245" t="s">
        <v>389</v>
      </c>
      <c r="O141" s="445"/>
      <c r="P141" s="369"/>
      <c r="Q141" s="247">
        <f>$G$138/4</f>
        <v>157.5</v>
      </c>
      <c r="R141" s="485"/>
      <c r="S141" s="513"/>
      <c r="T141" s="425">
        <v>46112</v>
      </c>
      <c r="U141" s="409">
        <f t="shared" si="22"/>
        <v>150.14299332697809</v>
      </c>
      <c r="V141" s="731"/>
      <c r="W141" s="467">
        <f t="shared" si="23"/>
        <v>46119</v>
      </c>
      <c r="X141" s="72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2"/>
      <c r="J142" s="725"/>
      <c r="K142" s="176"/>
      <c r="L142" s="244">
        <v>14</v>
      </c>
      <c r="M142" s="334" t="s">
        <v>388</v>
      </c>
      <c r="N142" s="245" t="s">
        <v>389</v>
      </c>
      <c r="O142" s="445"/>
      <c r="P142" s="369"/>
      <c r="Q142" s="247">
        <f>$G$138/4</f>
        <v>157.5</v>
      </c>
      <c r="R142" s="485"/>
      <c r="S142" s="513"/>
      <c r="T142" s="425">
        <v>46142</v>
      </c>
      <c r="U142" s="409">
        <f t="shared" si="22"/>
        <v>150.14299332697809</v>
      </c>
      <c r="V142" s="731"/>
      <c r="W142" s="467">
        <f t="shared" si="23"/>
        <v>46149</v>
      </c>
      <c r="X142" s="72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2"/>
      <c r="J143" s="725"/>
      <c r="K143" s="176"/>
      <c r="L143" s="244">
        <v>14</v>
      </c>
      <c r="M143" s="334" t="s">
        <v>388</v>
      </c>
      <c r="N143" s="245" t="s">
        <v>389</v>
      </c>
      <c r="O143" s="445"/>
      <c r="P143" s="369"/>
      <c r="Q143" s="247"/>
      <c r="R143" s="485"/>
      <c r="S143" s="513"/>
      <c r="T143" s="425" t="str">
        <f t="shared" ref="T143:T162" si="24">IF(W143&gt;1,EOMONTH(W143,0),"")</f>
        <v/>
      </c>
      <c r="U143" s="409">
        <f t="shared" si="22"/>
        <v>0</v>
      </c>
      <c r="V143" s="731"/>
      <c r="W143" s="467"/>
      <c r="X143" s="72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2"/>
      <c r="J144" s="725"/>
      <c r="K144" s="176"/>
      <c r="L144" s="244">
        <v>14</v>
      </c>
      <c r="M144" s="334" t="s">
        <v>388</v>
      </c>
      <c r="N144" s="245" t="s">
        <v>389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731"/>
      <c r="W144" s="467"/>
      <c r="X144" s="72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2"/>
      <c r="J145" s="725"/>
      <c r="K145" s="176"/>
      <c r="L145" s="244">
        <v>14</v>
      </c>
      <c r="M145" s="334" t="s">
        <v>388</v>
      </c>
      <c r="N145" s="245" t="s">
        <v>389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731"/>
      <c r="W145" s="467"/>
      <c r="X145" s="72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2"/>
      <c r="J146" s="725"/>
      <c r="K146" s="176"/>
      <c r="L146" s="244">
        <v>14</v>
      </c>
      <c r="M146" s="334" t="s">
        <v>388</v>
      </c>
      <c r="N146" s="245" t="s">
        <v>389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731"/>
      <c r="W146" s="467"/>
      <c r="X146" s="72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2"/>
      <c r="J147" s="725"/>
      <c r="K147" s="176"/>
      <c r="L147" s="244">
        <v>14</v>
      </c>
      <c r="M147" s="334" t="s">
        <v>388</v>
      </c>
      <c r="N147" s="245" t="s">
        <v>389</v>
      </c>
      <c r="O147" s="445"/>
      <c r="P147" s="369"/>
      <c r="Q147" s="247"/>
      <c r="R147" s="485"/>
      <c r="S147" s="513"/>
      <c r="T147" s="425" t="str">
        <f t="shared" si="24"/>
        <v/>
      </c>
      <c r="U147" s="409">
        <f t="shared" si="22"/>
        <v>0</v>
      </c>
      <c r="V147" s="731"/>
      <c r="W147" s="467"/>
      <c r="X147" s="72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22"/>
      <c r="J148" s="725"/>
      <c r="K148" s="176"/>
      <c r="L148" s="244">
        <v>14</v>
      </c>
      <c r="M148" s="334" t="s">
        <v>388</v>
      </c>
      <c r="N148" s="245"/>
      <c r="O148" s="445"/>
      <c r="P148" s="369"/>
      <c r="Q148" s="247"/>
      <c r="R148" s="485"/>
      <c r="S148" s="515"/>
      <c r="T148" s="425" t="str">
        <f t="shared" si="24"/>
        <v/>
      </c>
      <c r="U148" s="409">
        <f t="shared" si="22"/>
        <v>0</v>
      </c>
      <c r="V148" s="731"/>
      <c r="W148" s="467"/>
      <c r="X148" s="722"/>
    </row>
    <row r="149" spans="1:24" ht="15" customHeight="1" thickBot="1">
      <c r="B149" s="177">
        <v>14</v>
      </c>
      <c r="C149" s="248"/>
      <c r="D149" s="248"/>
      <c r="E149" s="249"/>
      <c r="F149" s="370"/>
      <c r="G149" s="178"/>
      <c r="H149" s="564"/>
      <c r="I149" s="723"/>
      <c r="J149" s="726"/>
      <c r="K149" s="179"/>
      <c r="L149" s="177">
        <v>14</v>
      </c>
      <c r="M149" s="335" t="s">
        <v>388</v>
      </c>
      <c r="N149" s="248"/>
      <c r="O149" s="446"/>
      <c r="P149" s="370"/>
      <c r="Q149" s="178"/>
      <c r="R149" s="486"/>
      <c r="S149" s="516"/>
      <c r="T149" s="426" t="str">
        <f t="shared" si="24"/>
        <v/>
      </c>
      <c r="U149" s="410">
        <f t="shared" si="22"/>
        <v>0</v>
      </c>
      <c r="V149" s="732"/>
      <c r="W149" s="468"/>
      <c r="X149" s="723"/>
    </row>
    <row r="150" spans="1:24" ht="14.5" thickBot="1">
      <c r="A150" s="4"/>
      <c r="B150" s="194"/>
      <c r="C150" s="181"/>
      <c r="D150" s="181"/>
      <c r="E150" s="195"/>
      <c r="F150" s="354"/>
      <c r="G150" s="196"/>
      <c r="H150" s="553"/>
      <c r="I150" s="549"/>
      <c r="J150" s="250"/>
      <c r="K150" s="4"/>
      <c r="L150" s="194"/>
      <c r="M150" s="181"/>
      <c r="N150" s="181"/>
      <c r="O150" s="436"/>
      <c r="P150" s="354"/>
      <c r="Q150" s="196"/>
      <c r="R150" s="473"/>
      <c r="S150" s="504"/>
      <c r="T150" s="414" t="str">
        <f t="shared" si="24"/>
        <v/>
      </c>
      <c r="U150" s="403"/>
      <c r="V150" s="385"/>
      <c r="W150" s="457"/>
      <c r="X150" s="549"/>
    </row>
    <row r="151" spans="1:24">
      <c r="B151" s="185">
        <v>15</v>
      </c>
      <c r="C151" s="186" t="s">
        <v>391</v>
      </c>
      <c r="D151" s="186"/>
      <c r="E151" s="187"/>
      <c r="F151" s="336"/>
      <c r="G151" s="188"/>
      <c r="H151" s="542"/>
      <c r="I151" s="694">
        <f>SUM(G151:G162)</f>
        <v>0</v>
      </c>
      <c r="J151" s="697">
        <f>F187</f>
        <v>0</v>
      </c>
      <c r="K151" s="189"/>
      <c r="L151" s="185">
        <v>15</v>
      </c>
      <c r="M151" s="255" t="s">
        <v>392</v>
      </c>
      <c r="N151" s="186"/>
      <c r="O151" s="187"/>
      <c r="P151" s="336"/>
      <c r="Q151" s="188"/>
      <c r="R151" s="477"/>
      <c r="S151" s="508"/>
      <c r="T151" s="418" t="str">
        <f t="shared" si="24"/>
        <v/>
      </c>
      <c r="U151" s="404"/>
      <c r="V151" s="709">
        <v>0</v>
      </c>
      <c r="W151" s="461"/>
      <c r="X151" s="694">
        <f>SUM(Q151:Q162)</f>
        <v>0</v>
      </c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95"/>
      <c r="J152" s="698"/>
      <c r="K152" s="192"/>
      <c r="L152" s="215">
        <v>15</v>
      </c>
      <c r="M152" s="290" t="s">
        <v>392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710"/>
      <c r="W152" s="454"/>
      <c r="X152" s="695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5"/>
      <c r="J153" s="698"/>
      <c r="K153" s="192"/>
      <c r="L153" s="215">
        <v>15</v>
      </c>
      <c r="M153" s="290" t="s">
        <v>392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710"/>
      <c r="W153" s="454"/>
      <c r="X153" s="695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5"/>
      <c r="J154" s="698"/>
      <c r="K154" s="192"/>
      <c r="L154" s="215">
        <v>15</v>
      </c>
      <c r="M154" s="290" t="s">
        <v>392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710"/>
      <c r="W154" s="454"/>
      <c r="X154" s="69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5"/>
      <c r="J155" s="698"/>
      <c r="K155" s="192"/>
      <c r="L155" s="215">
        <v>15</v>
      </c>
      <c r="M155" s="290" t="s">
        <v>392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710"/>
      <c r="W155" s="454"/>
      <c r="X155" s="69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5"/>
      <c r="J156" s="698"/>
      <c r="K156" s="192"/>
      <c r="L156" s="215">
        <v>15</v>
      </c>
      <c r="M156" s="290" t="s">
        <v>392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710"/>
      <c r="W156" s="454"/>
      <c r="X156" s="69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5"/>
      <c r="J157" s="698"/>
      <c r="K157" s="192"/>
      <c r="L157" s="215">
        <v>15</v>
      </c>
      <c r="M157" s="290" t="s">
        <v>392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710"/>
      <c r="W157" s="454"/>
      <c r="X157" s="695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5"/>
      <c r="J158" s="698"/>
      <c r="K158" s="192"/>
      <c r="L158" s="215">
        <v>15</v>
      </c>
      <c r="M158" s="290" t="s">
        <v>392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710"/>
      <c r="W158" s="454"/>
      <c r="X158" s="695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5"/>
      <c r="J159" s="698"/>
      <c r="K159" s="192"/>
      <c r="L159" s="215">
        <v>15</v>
      </c>
      <c r="M159" s="290" t="s">
        <v>392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710"/>
      <c r="W159" s="454"/>
      <c r="X159" s="695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5"/>
      <c r="J160" s="698"/>
      <c r="K160" s="192"/>
      <c r="L160" s="215">
        <v>15</v>
      </c>
      <c r="M160" s="290" t="s">
        <v>392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710"/>
      <c r="W160" s="454"/>
      <c r="X160" s="695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95"/>
      <c r="J161" s="698"/>
      <c r="K161" s="192"/>
      <c r="L161" s="215">
        <v>15</v>
      </c>
      <c r="M161" s="290" t="s">
        <v>392</v>
      </c>
      <c r="N161" s="217"/>
      <c r="O161" s="433"/>
      <c r="P161" s="357"/>
      <c r="Q161" s="219"/>
      <c r="R161" s="470"/>
      <c r="S161" s="501"/>
      <c r="T161" s="411" t="str">
        <f t="shared" si="24"/>
        <v/>
      </c>
      <c r="U161" s="396"/>
      <c r="V161" s="710"/>
      <c r="W161" s="454"/>
      <c r="X161" s="695"/>
    </row>
    <row r="162" spans="2:24" ht="15" customHeight="1" thickBot="1">
      <c r="B162" s="220">
        <v>15</v>
      </c>
      <c r="C162" s="221"/>
      <c r="D162" s="221"/>
      <c r="E162" s="222"/>
      <c r="F162" s="358"/>
      <c r="G162" s="234"/>
      <c r="H162" s="552"/>
      <c r="I162" s="696"/>
      <c r="J162" s="699"/>
      <c r="K162" s="193"/>
      <c r="L162" s="220">
        <v>15</v>
      </c>
      <c r="M162" s="318" t="s">
        <v>392</v>
      </c>
      <c r="N162" s="221"/>
      <c r="O162" s="435"/>
      <c r="P162" s="358"/>
      <c r="Q162" s="234"/>
      <c r="R162" s="472"/>
      <c r="S162" s="503"/>
      <c r="T162" s="413" t="str">
        <f t="shared" si="24"/>
        <v/>
      </c>
      <c r="U162" s="398"/>
      <c r="V162" s="711"/>
      <c r="W162" s="456"/>
      <c r="X162" s="696"/>
    </row>
    <row r="163" spans="2:24" s="1" customFormat="1">
      <c r="B163" s="25"/>
      <c r="E163" s="2"/>
      <c r="F163" s="371"/>
      <c r="G163" s="3"/>
      <c r="H163" s="3"/>
      <c r="I163" s="251"/>
      <c r="J163" s="251"/>
      <c r="L163" s="25"/>
      <c r="O163" s="2"/>
      <c r="P163" s="371"/>
      <c r="Q163" s="252"/>
      <c r="R163" s="252"/>
      <c r="S163" s="252"/>
      <c r="T163" s="252"/>
      <c r="U163" s="252"/>
      <c r="V163" s="252"/>
      <c r="W163" s="252"/>
      <c r="X163" s="252"/>
    </row>
    <row r="164" spans="2:24">
      <c r="B164" s="26"/>
      <c r="C164" s="431" t="s">
        <v>393</v>
      </c>
      <c r="D164" s="4">
        <v>408885.35</v>
      </c>
      <c r="E164" s="77"/>
      <c r="F164" s="431">
        <v>511106.6875</v>
      </c>
      <c r="G164" s="26"/>
      <c r="H164" s="26"/>
      <c r="I164" s="160"/>
      <c r="J164" s="160"/>
    </row>
    <row r="165" spans="2:24">
      <c r="B165" s="26"/>
      <c r="C165" s="431" t="s">
        <v>394</v>
      </c>
      <c r="D165" s="4">
        <v>113600</v>
      </c>
      <c r="E165" s="77"/>
      <c r="F165" s="431">
        <v>143797.46835443037</v>
      </c>
      <c r="G165" s="26"/>
      <c r="H165" s="26"/>
      <c r="I165" s="160"/>
      <c r="J165" s="160"/>
    </row>
    <row r="166" spans="2:24">
      <c r="B166" s="26"/>
      <c r="C166" s="431" t="s">
        <v>395</v>
      </c>
      <c r="D166" s="4">
        <v>84258</v>
      </c>
      <c r="E166" s="77"/>
      <c r="F166" s="431">
        <v>105322.5</v>
      </c>
      <c r="G166" s="26"/>
      <c r="H166" s="26"/>
      <c r="I166" s="253"/>
      <c r="J166" s="253"/>
    </row>
    <row r="167" spans="2:24">
      <c r="B167" s="26"/>
      <c r="C167" s="431" t="s">
        <v>317</v>
      </c>
      <c r="D167" s="4">
        <v>155045.70000000001</v>
      </c>
      <c r="E167" s="77"/>
      <c r="F167" s="431">
        <v>193807.125</v>
      </c>
      <c r="G167" s="26"/>
      <c r="H167" s="26"/>
      <c r="I167" s="160"/>
      <c r="J167" s="160"/>
    </row>
    <row r="168" spans="2:24">
      <c r="B168" s="26"/>
      <c r="C168" s="431" t="s">
        <v>343</v>
      </c>
      <c r="D168" s="4">
        <v>249598.81739130436</v>
      </c>
      <c r="E168" s="77"/>
      <c r="F168" s="431">
        <v>311998.52173913043</v>
      </c>
      <c r="G168" s="26"/>
      <c r="H168" s="26"/>
      <c r="I168" s="253"/>
      <c r="J168" s="253"/>
    </row>
    <row r="169" spans="2:24">
      <c r="B169" s="26"/>
      <c r="C169" s="431" t="s">
        <v>332</v>
      </c>
      <c r="D169" s="4">
        <v>34000</v>
      </c>
      <c r="E169" s="77"/>
      <c r="F169" s="431">
        <v>42500</v>
      </c>
      <c r="G169" s="26"/>
      <c r="H169" s="26"/>
      <c r="I169" s="160"/>
      <c r="J169" s="160"/>
    </row>
    <row r="170" spans="2:24">
      <c r="B170" s="26"/>
      <c r="C170" s="431" t="s">
        <v>396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397</v>
      </c>
      <c r="D171" s="4">
        <v>0</v>
      </c>
      <c r="E171" s="77"/>
      <c r="F171" s="431">
        <v>0</v>
      </c>
      <c r="G171" s="26"/>
      <c r="H171" s="26"/>
      <c r="I171" s="160"/>
      <c r="J171" s="160"/>
    </row>
    <row r="172" spans="2:24">
      <c r="B172" s="26"/>
      <c r="C172" s="431" t="s">
        <v>398</v>
      </c>
      <c r="D172" s="4">
        <v>187500</v>
      </c>
      <c r="E172" s="77"/>
      <c r="F172" s="431">
        <v>234375</v>
      </c>
      <c r="G172" s="26"/>
      <c r="H172" s="26"/>
      <c r="I172" s="160"/>
      <c r="J172" s="160"/>
    </row>
    <row r="173" spans="2:24">
      <c r="B173" s="26"/>
      <c r="C173" s="431" t="s">
        <v>399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400</v>
      </c>
      <c r="D174" s="4">
        <v>0</v>
      </c>
      <c r="E174" s="77"/>
      <c r="F174" s="431">
        <v>0</v>
      </c>
      <c r="G174" s="26"/>
      <c r="H174" s="26"/>
      <c r="I174" s="160"/>
      <c r="J174" s="160"/>
    </row>
    <row r="175" spans="2:24">
      <c r="B175" s="26"/>
      <c r="C175" s="431" t="s">
        <v>401</v>
      </c>
      <c r="E175" s="77"/>
      <c r="F175" s="431"/>
      <c r="G175" s="26"/>
      <c r="H175" s="26"/>
      <c r="I175" s="160"/>
      <c r="J175" s="160"/>
    </row>
    <row r="176" spans="2:24">
      <c r="B176" s="26"/>
      <c r="C176" s="431"/>
      <c r="E176" s="77"/>
      <c r="F176" s="431"/>
      <c r="G176" s="26"/>
      <c r="H176" s="26"/>
      <c r="I176" s="160"/>
      <c r="J176" s="160"/>
    </row>
    <row r="177" spans="3:23" s="26" customFormat="1">
      <c r="C177" s="431" t="s">
        <v>402</v>
      </c>
      <c r="D177" s="26">
        <v>46810</v>
      </c>
      <c r="E177" s="77"/>
      <c r="F177" s="431">
        <v>52011.111111111109</v>
      </c>
      <c r="I177" s="160"/>
      <c r="J177" s="160"/>
      <c r="T177" s="431"/>
      <c r="U177" s="431"/>
      <c r="W177" s="431"/>
    </row>
    <row r="178" spans="3:23" s="26" customFormat="1">
      <c r="C178" s="431" t="s">
        <v>403</v>
      </c>
      <c r="D178" s="26">
        <v>100415.00000000001</v>
      </c>
      <c r="E178" s="77"/>
      <c r="F178" s="431">
        <v>111572.22222222223</v>
      </c>
      <c r="I178" s="160"/>
      <c r="J178" s="160"/>
      <c r="T178" s="431"/>
      <c r="U178" s="431"/>
      <c r="W178" s="431"/>
    </row>
    <row r="179" spans="3:23" s="26" customFormat="1">
      <c r="C179" s="431" t="s">
        <v>404</v>
      </c>
      <c r="D179" s="26">
        <v>16449.739175724637</v>
      </c>
      <c r="E179" s="77"/>
      <c r="F179" s="431">
        <v>18692.885426959816</v>
      </c>
      <c r="I179" s="160"/>
      <c r="J179" s="160"/>
      <c r="T179" s="431"/>
      <c r="U179" s="431"/>
      <c r="W179" s="431"/>
    </row>
    <row r="180" spans="3:23" s="26" customFormat="1">
      <c r="C180" s="431" t="s">
        <v>405</v>
      </c>
      <c r="D180" s="26">
        <v>89000</v>
      </c>
      <c r="E180" s="77"/>
      <c r="F180" s="431">
        <v>98888.888888888891</v>
      </c>
      <c r="I180" s="160"/>
      <c r="J180" s="160"/>
      <c r="T180" s="431"/>
      <c r="U180" s="431"/>
      <c r="W180" s="431"/>
    </row>
    <row r="181" spans="3:23" s="26" customFormat="1">
      <c r="C181" s="431" t="s">
        <v>406</v>
      </c>
      <c r="D181" s="26">
        <v>8500</v>
      </c>
      <c r="E181" s="77"/>
      <c r="F181" s="431">
        <v>9444.4444444444453</v>
      </c>
      <c r="I181" s="160"/>
      <c r="J181" s="160"/>
      <c r="T181" s="431"/>
      <c r="U181" s="431"/>
      <c r="W181" s="431"/>
    </row>
    <row r="182" spans="3:23" s="26" customFormat="1">
      <c r="C182" s="431" t="s">
        <v>407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408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 t="s">
        <v>409</v>
      </c>
      <c r="D184" s="26">
        <v>14400</v>
      </c>
      <c r="E184" s="77"/>
      <c r="F184" s="431">
        <v>16000</v>
      </c>
      <c r="I184" s="160"/>
      <c r="J184" s="160"/>
      <c r="T184" s="431"/>
      <c r="U184" s="431"/>
      <c r="W184" s="431"/>
    </row>
    <row r="185" spans="3:23" s="26" customFormat="1">
      <c r="C185" s="431" t="s">
        <v>410</v>
      </c>
      <c r="D185" s="26">
        <v>11466.266666666666</v>
      </c>
      <c r="E185" s="77"/>
      <c r="F185" s="431">
        <v>12740.296296296296</v>
      </c>
      <c r="I185" s="160"/>
      <c r="J185" s="160"/>
      <c r="T185" s="431"/>
      <c r="U185" s="431"/>
      <c r="W185" s="431"/>
    </row>
    <row r="186" spans="3:23" s="26" customFormat="1">
      <c r="C186" s="431" t="s">
        <v>411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 t="s">
        <v>398</v>
      </c>
      <c r="D187" s="26">
        <v>0</v>
      </c>
      <c r="E187" s="77"/>
      <c r="F187" s="431">
        <v>0</v>
      </c>
      <c r="I187" s="160"/>
      <c r="J187" s="160"/>
      <c r="T187" s="431"/>
      <c r="U187" s="431"/>
      <c r="W187" s="431"/>
    </row>
    <row r="188" spans="3:23" s="26" customFormat="1">
      <c r="C188" s="431"/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412</v>
      </c>
      <c r="E189" s="77"/>
      <c r="F189" s="431"/>
      <c r="I189" s="160"/>
      <c r="J189" s="160"/>
      <c r="T189" s="431"/>
      <c r="U189" s="431"/>
      <c r="W189" s="431"/>
    </row>
    <row r="190" spans="3:23" s="26" customFormat="1">
      <c r="C190" s="431" t="s">
        <v>413</v>
      </c>
      <c r="D190" s="26">
        <v>630</v>
      </c>
      <c r="E190" s="77"/>
      <c r="F190" s="431">
        <v>700</v>
      </c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1:I162"/>
    <mergeCell ref="J151:J162"/>
    <mergeCell ref="X151:X162"/>
    <mergeCell ref="I131:I136"/>
    <mergeCell ref="J131:J136"/>
    <mergeCell ref="X131:X136"/>
    <mergeCell ref="I138:I149"/>
    <mergeCell ref="J138:J149"/>
    <mergeCell ref="X138:X149"/>
    <mergeCell ref="V131:V136"/>
    <mergeCell ref="V138:V149"/>
    <mergeCell ref="V151:V162"/>
    <mergeCell ref="R110:R117"/>
    <mergeCell ref="R94:R101"/>
    <mergeCell ref="X122:X126"/>
    <mergeCell ref="I128:I129"/>
    <mergeCell ref="J128:J129"/>
    <mergeCell ref="K128:K129"/>
    <mergeCell ref="X128:X129"/>
    <mergeCell ref="V122:V126"/>
    <mergeCell ref="I122:I126"/>
    <mergeCell ref="J122:J126"/>
    <mergeCell ref="R32:R39"/>
    <mergeCell ref="X71:X78"/>
    <mergeCell ref="I21:I26"/>
    <mergeCell ref="J21:J26"/>
    <mergeCell ref="I106:I120"/>
    <mergeCell ref="J106:J120"/>
    <mergeCell ref="X106:X120"/>
    <mergeCell ref="I80:I91"/>
    <mergeCell ref="J80:J91"/>
    <mergeCell ref="X80:X91"/>
    <mergeCell ref="I93:I104"/>
    <mergeCell ref="J93:J104"/>
    <mergeCell ref="X93:X104"/>
    <mergeCell ref="V106:V120"/>
    <mergeCell ref="V80:V91"/>
    <mergeCell ref="V93:V104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phoneticPr fontId="11" type="noConversion"/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414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4" t="s">
        <v>415</v>
      </c>
      <c r="B2" s="103"/>
      <c r="C2" s="104" t="s">
        <v>282</v>
      </c>
      <c r="D2" s="104" t="s">
        <v>282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5"/>
      <c r="B3" s="106" t="s">
        <v>220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5"/>
      <c r="B4" s="106" t="s">
        <v>416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45"/>
      <c r="B5" s="110" t="s">
        <v>227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Breakdown'!$G$6:$G$170, 'Expenditure Breakdown'!$H$6:$H$170, "&gt;="&amp;F1,'Expenditure Breakdown'!$H$6:$H$170, "&lt;"&amp;G1)</f>
        <v>0</v>
      </c>
      <c r="G5" s="112">
        <f>SUMIFS('Expenditure Breakdown'!$G$6:$G$170, 'Expenditure Breakdown'!$H$6:$H$170, "&gt;="&amp;G1,'Expenditure Breakdown'!$H$6:$H$170, "&lt;"&amp;H1)</f>
        <v>0</v>
      </c>
      <c r="H5" s="112">
        <f>SUMIFS('Expenditure Breakdown'!$G$6:$G$170, 'Expenditure Breakdown'!$H$6:$H$170, "&gt;="&amp;H1,'Expenditure Breakdown'!$H$6:$H$170, "&lt;"&amp;I1)</f>
        <v>0</v>
      </c>
      <c r="I5" s="112">
        <f>SUMIFS('Expenditure Breakdown'!$G$6:$G$170, 'Expenditure Breakdown'!$H$6:$H$170, "&gt;="&amp;I1,'Expenditure Breakdown'!$H$6:$H$170, "&lt;"&amp;J1)</f>
        <v>0</v>
      </c>
      <c r="J5" s="112">
        <f>SUMIFS('Expenditure Breakdown'!$G$6:$G$170, 'Expenditure Breakdown'!$H$6:$H$170, "&gt;="&amp;J1,'Expenditure Breakdown'!$H$6:$H$170, "&lt;"&amp;K1)</f>
        <v>0</v>
      </c>
      <c r="K5" s="112">
        <f>SUMIFS('Expenditure Breakdown'!$G$6:$G$170, 'Expenditure Breakdown'!$H$6:$H$170, "&gt;="&amp;K1,'Expenditure Breakdown'!$H$6:$H$170, "&lt;"&amp;L1)</f>
        <v>0</v>
      </c>
      <c r="L5" s="112">
        <f>SUMIFS('Expenditure Breakdown'!$G$6:$G$170, 'Expenditure Breakdown'!$H$6:$H$170, "&gt;="&amp;L1,'Expenditure Breakdown'!$H$6:$H$170, "&lt;"&amp;M1)</f>
        <v>0</v>
      </c>
      <c r="M5" s="112">
        <f>SUMIFS('Expenditure Breakdown'!$G$6:$G$170, 'Expenditure Breakdown'!$H$6:$H$170, "&gt;="&amp;M1,'Expenditure Breakdown'!$H$6:$H$170, "&lt;"&amp;N1)</f>
        <v>0</v>
      </c>
      <c r="N5" s="112">
        <f>SUMIFS('Expenditure Breakdown'!$G$6:$G$170, 'Expenditure Breakdown'!$H$6:$H$170, "&gt;="&amp;N1,'Expenditure Breakdown'!$H$6:$H$170, "&lt;"&amp;O1)</f>
        <v>0</v>
      </c>
      <c r="O5" s="112">
        <f>SUMIFS('Expenditure Breakdown'!$G$6:$G$170, 'Expenditure Breakdown'!$H$6:$H$170, "&gt;="&amp;O1,'Expenditure Breakdown'!$H$6:$H$170, "&lt;"&amp;P1)</f>
        <v>0</v>
      </c>
      <c r="P5" s="112">
        <f>SUMIFS('Expenditure Breakdown'!$G$6:$G$170, 'Expenditure Breakdown'!$H$6:$H$170, "&gt;="&amp;P1,'Expenditure Breakdown'!$H$6:$H$170, "&lt;"&amp;Q1)</f>
        <v>0</v>
      </c>
      <c r="Q5" s="112">
        <f>SUMIFS('Expenditure Breakdown'!$G$6:$G$170, 'Expenditure Breakdown'!$H$6:$H$170, "&gt;="&amp;Q1,'Expenditure Breakdown'!$H$6:$H$170, "&lt;"&amp;R1)</f>
        <v>0</v>
      </c>
      <c r="R5" s="112">
        <f>SUMIFS('Expenditure Breakdown'!$G$6:$G$170, 'Expenditure Breakdown'!$H$6:$H$170, "&gt;="&amp;R1,'Expenditure Breakdown'!$H$6:$H$170, "&lt;"&amp;S1)</f>
        <v>0</v>
      </c>
      <c r="S5" s="112">
        <f>SUMIFS('Expenditure Breakdown'!$G$6:$G$170, 'Expenditure Breakdown'!$H$6:$H$170, "&gt;="&amp;S1,'Expenditure Breakdown'!$H$6:$H$170, "&lt;"&amp;T1)</f>
        <v>0</v>
      </c>
      <c r="T5" s="112">
        <f>SUMIFS('Expenditure Breakdown'!$G$6:$G$170, 'Expenditure Breakdown'!$H$6:$H$170, "&gt;="&amp;T1,'Expenditure Breakdown'!$H$6:$H$170, "&lt;"&amp;U1)</f>
        <v>0</v>
      </c>
      <c r="U5" s="112">
        <f>SUMIFS('Expenditure Breakdown'!$G$6:$G$170, 'Expenditure Breakdown'!$H$6:$H$170, "&gt;="&amp;U1,'Expenditure Breakdown'!$H$6:$H$170, "&lt;"&amp;V1)</f>
        <v>453729.96666666667</v>
      </c>
      <c r="V5" s="112">
        <f>SUMIFS('Expenditure Breakdown'!$G$6:$G$170, 'Expenditure Breakdown'!$H$6:$H$170, "&gt;="&amp;V1,'Expenditure Breakdown'!$H$6:$H$170, "&lt;"&amp;W1)</f>
        <v>189415</v>
      </c>
      <c r="W5" s="112">
        <f>SUMIFS('Expenditure Breakdown'!$G$6:$G$170, 'Expenditure Breakdown'!$H$6:$H$170, "&gt;="&amp;W1,'Expenditure Breakdown'!$H$6:$H$170, "&lt;"&amp;X1)</f>
        <v>249598.81739130436</v>
      </c>
      <c r="X5" s="112">
        <f>SUMIFS('Expenditure Breakdown'!$G$6:$G$170, 'Expenditure Breakdown'!$H$6:$H$170, "&gt;="&amp;X1,'Expenditure Breakdown'!$H$6:$H$170, "&lt;"&amp;Y1)</f>
        <v>17079.739175724637</v>
      </c>
      <c r="Y5" s="112">
        <f>SUMIFS('Expenditure Breakdown'!$G$6:$G$170, 'Expenditure Breakdown'!$H$6:$H$170, "&gt;="&amp;Y1,'Expenditure Breakdown'!$H$6:$H$170, "&lt;"&amp;Z1)</f>
        <v>0</v>
      </c>
      <c r="Z5" s="112">
        <f>SUMIFS('Expenditure Breakdown'!$G$6:$G$170, 'Expenditure Breakdown'!$H$6:$H$170, "&gt;="&amp;Z1,'Expenditure Breakdown'!$H$6:$H$170, "&lt;"&amp;AA1)</f>
        <v>610735.35</v>
      </c>
      <c r="AA5" s="112">
        <f>SUMIFS('Expenditure Breakdown'!$G$6:$G$170, 'Expenditure Breakdown'!$H$6:$H$170, "&gt;="&amp;AA1,'Expenditure Breakdown'!$H$6:$H$170, "&lt;"&amp;AB1)</f>
        <v>0</v>
      </c>
      <c r="AB5" s="112">
        <f>SUMIFS('Expenditure Breakdown'!$G$6:$G$170, 'Expenditure Breakdown'!$H$6:$H$170, "&gt;="&amp;AB1,'Expenditure Breakdown'!$H$6:$H$170, "&lt;"&amp;AC1)</f>
        <v>0</v>
      </c>
      <c r="AC5" s="112">
        <f>SUMIFS('Expenditure Breakdown'!$G$6:$G$170, 'Expenditure Breakdown'!$H$6:$H$170, "&gt;="&amp;AC1,'Expenditure Breakdown'!$H$6:$H$170, "&lt;"&amp;AD1)</f>
        <v>0</v>
      </c>
      <c r="AD5" s="112">
        <f>SUMIFS('Expenditure Breakdown'!$G$6:$G$170, 'Expenditure Breakdown'!$H$6:$H$170, "&gt;="&amp;AD1,'Expenditure Breakdown'!$H$6:$H$170, "&lt;"&amp;AE1)</f>
        <v>0</v>
      </c>
      <c r="AE5" s="112">
        <f>SUMIFS('Expenditure Breakdown'!$G$6:$G$170, 'Expenditure Breakdown'!$H$6:$H$170, "&gt;="&amp;AE1,'Expenditure Breakdown'!$H$6:$H$170, "&lt;"&amp;AF1)</f>
        <v>0</v>
      </c>
      <c r="AF5" s="112">
        <f>SUMIFS('Expenditure Breakdown'!$G$6:$G$170, 'Expenditure Breakdown'!$H$6:$H$170, "&gt;="&amp;AF1,'Expenditure Breakdown'!$H$6:$H$170, "&lt;"&amp;AG1)</f>
        <v>0</v>
      </c>
      <c r="AG5" s="112">
        <f>SUMIFS('Expenditure Breakdown'!$G$6:$G$170, 'Expenditure Breakdown'!$H$6:$H$170, "&gt;="&amp;AG1,'Expenditure Breakdown'!$H$6:$H$170, "&lt;"&amp;AH1)</f>
        <v>0</v>
      </c>
      <c r="AH5" s="112">
        <f>SUMIFS('Expenditure Breakdown'!$G$6:$G$170, 'Expenditure Breakdown'!$H$6:$H$170, "&gt;="&amp;AH1,'Expenditure Breakdown'!$H$6:$H$170, "&lt;"&amp;AI1)</f>
        <v>0</v>
      </c>
      <c r="AI5" s="112">
        <f>SUMIFS('Expenditure Breakdown'!$G$6:$G$170, 'Expenditure Breakdown'!$H$6:$H$170, "&gt;="&amp;AI1,'Expenditure Breakdown'!$H$6:$H$170, "&lt;"&amp;AJ1)</f>
        <v>0</v>
      </c>
      <c r="AJ5" s="112">
        <f>SUMIFS('Expenditure Breakdown'!$G$6:$G$170, 'Expenditure Breakdown'!$H$6:$H$170, "&gt;="&amp;AJ1,'Expenditure Breakdown'!$H$6:$H$170, "&lt;"&amp;AK1)</f>
        <v>0</v>
      </c>
      <c r="AK5" s="112">
        <f>SUMIFS('Expenditure Breakdown'!$G$6:$G$170, 'Expenditure Breakdown'!$H$6:$H$170, "&gt;="&amp;AK1,'Expenditure Breakdown'!$H$6:$H$170, "&lt;"&amp;AL1)</f>
        <v>0</v>
      </c>
      <c r="AL5" s="112">
        <f>SUMIFS('Expenditure Breakdown'!$G$6:$G$170, 'Expenditure Breakdown'!$H$6:$H$170, "&gt;="&amp;AL1,'Expenditure Breakdown'!$H$6:$H$170, "&lt;"&amp;AM1)</f>
        <v>0</v>
      </c>
      <c r="AM5" s="112">
        <f>SUMIFS('Expenditure Breakdown'!$G$6:$G$170, 'Expenditure Breakdown'!$H$6:$H$170, "&gt;="&amp;AM1,'Expenditure Breakdown'!$H$6:$H$170, "&lt;"&amp;AN1)</f>
        <v>0</v>
      </c>
      <c r="AN5" s="112">
        <f>SUMIFS('Expenditure Breakdown'!$G$6:$G$170, 'Expenditure Breakdown'!$H$6:$H$170, "&gt;="&amp;AN1,'Expenditure Breakdown'!$H$6:$H$170, "&lt;"&amp;AO1)</f>
        <v>0</v>
      </c>
      <c r="AO5" s="112">
        <f>SUMIFS('Expenditure Breakdown'!$G$6:$G$170, 'Expenditure Breakdown'!$H$6:$H$170, "&gt;="&amp;AO1,'Expenditure Breakdown'!$H$6:$H$170, "&lt;"&amp;AP1)</f>
        <v>0</v>
      </c>
      <c r="AP5" s="112">
        <f>SUMIFS('Expenditure Breakdown'!$G$6:$G$170, 'Expenditure Breakdown'!$H$6:$H$170, "&gt;="&amp;AP1,'Expenditure Breakdown'!$H$6:$H$170, "&lt;"&amp;AQ1)</f>
        <v>0</v>
      </c>
      <c r="AQ5" s="112">
        <f>SUMIFS('Expenditure Breakdown'!$G$6:$G$170, 'Expenditure Breakdown'!$H$6:$H$170, "&gt;="&amp;AQ1,'Expenditure Breakdown'!$H$6:$H$170, "&lt;"&amp;AR1)</f>
        <v>0</v>
      </c>
      <c r="AR5" s="112">
        <f>SUMIFS('Expenditure Breakdown'!$G$6:$G$170, 'Expenditure Breakdown'!$H$6:$H$170, "&gt;="&amp;AR1,'Expenditure Breakdown'!$H$6:$H$170, "&lt;"&amp;AS1)</f>
        <v>0</v>
      </c>
      <c r="AS5" s="112">
        <f>SUMIFS('Expenditure Breakdown'!$G$6:$G$170, 'Expenditure Breakdown'!$H$6:$H$170, "&gt;="&amp;AS1,'Expenditure Breakdown'!$H$6:$H$170, "&lt;"&amp;AT1)</f>
        <v>0</v>
      </c>
      <c r="AT5" s="112">
        <f>SUMIFS('Expenditure Breakdown'!$G$6:$G$170, 'Expenditure Breakdown'!$H$6:$H$170, "&gt;="&amp;AT1,'Expenditure Breakdown'!$H$6:$H$170, "&lt;"&amp;AU1)</f>
        <v>0</v>
      </c>
      <c r="AU5" s="112">
        <f>SUMIFS('Expenditure Breakdown'!$G$6:$G$170, 'Expenditure Breakdown'!$H$6:$H$170, "&gt;="&amp;AU1,'Expenditure Breakdown'!$H$6:$H$170, "&lt;"&amp;AV1)</f>
        <v>0</v>
      </c>
      <c r="AV5" s="112">
        <f>SUMIFS('Expenditure Breakdown'!$G$6:$G$170, 'Expenditure Breakdown'!$H$6:$H$170, "&gt;="&amp;AV1,'Expenditure Breakdown'!$H$6:$H$170, "&lt;"&amp;AW1)</f>
        <v>0</v>
      </c>
      <c r="AW5" s="112">
        <f>SUMIFS('Expenditure Breakdown'!$G$6:$G$170, 'Expenditure Breakdown'!$H$6:$H$170, "&gt;="&amp;AW1,'Expenditure Breakdown'!$H$6:$H$170, "&lt;"&amp;AX1)</f>
        <v>0</v>
      </c>
      <c r="AX5" s="112">
        <f>SUMIFS('Expenditure Breakdown'!$G$6:$G$170, 'Expenditure Breakdown'!$H$6:$H$170, "&gt;="&amp;AX1,'Expenditure Breakdown'!$H$6:$H$170, "&lt;"&amp;AY1)</f>
        <v>0</v>
      </c>
      <c r="AY5" s="112">
        <f>SUMIFS('Expenditure Breakdown'!$G$6:$G$170, 'Expenditure Breakdown'!$H$6:$H$170, "&gt;="&amp;AY1,'Expenditure Breakdown'!$H$6:$H$170, "&lt;"&amp;AZ1)</f>
        <v>0</v>
      </c>
      <c r="AZ5" s="112">
        <f>SUMIFS('Expenditure Breakdown'!$G$6:$G$170, 'Expenditure Breakdown'!$H$6:$H$170, "&gt;="&amp;AZ1,'Expenditure Breakdown'!$H$6:$H$170, "&lt;"&amp;BA1)</f>
        <v>0</v>
      </c>
      <c r="BA5" s="112">
        <f>SUMIFS('Expenditure Breakdown'!$G$6:$G$170, 'Expenditure Breakdown'!$H$6:$H$170, "&gt;="&amp;BA1,'Expenditure Breakdown'!$H$6:$H$170, "&lt;"&amp;BB1)</f>
        <v>0</v>
      </c>
      <c r="BB5" s="112">
        <f>SUMIFS('Expenditure Breakdown'!$G$6:$G$170, 'Expenditure Breakdown'!$H$6:$H$170, "&gt;="&amp;BB1,'Expenditure Breakdown'!$H$6:$H$170, "&lt;"&amp;BC1)</f>
        <v>0</v>
      </c>
      <c r="BC5" s="112">
        <f>SUMIFS('Expenditure Breakdown'!$G$6:$G$170, 'Expenditure Breakdown'!$H$6:$H$170, "&gt;="&amp;BC1,'Expenditure Breakdown'!$H$6:$H$170, "&lt;"&amp;BD1)</f>
        <v>0</v>
      </c>
      <c r="BD5" s="112">
        <f>SUMIFS('Expenditure Breakdown'!$G$6:$G$170, 'Expenditure Breakdown'!$H$6:$H$170, "&gt;="&amp;BD1,'Expenditure Breakdown'!$H$6:$H$170, "&lt;"&amp;BE1)</f>
        <v>0</v>
      </c>
      <c r="BE5" s="112">
        <f>SUMIFS('Expenditure Breakdown'!$G$6:$G$170, 'Expenditure Breakdown'!$H$6:$H$170, "&gt;="&amp;BE1,'Expenditure Breakdown'!$H$6:$H$170, "&lt;"&amp;BF1)</f>
        <v>0</v>
      </c>
      <c r="BF5" s="112">
        <f>SUMIFS('Expenditure Breakdown'!$G$6:$G$170, 'Expenditure Breakdown'!$H$6:$H$170, "&gt;="&amp;BF1,'Expenditure Breakdown'!$H$6:$H$170, "&lt;"&amp;BG1)</f>
        <v>0</v>
      </c>
      <c r="BG5" s="112">
        <f>SUMIFS('Expenditure Breakdown'!$G$6:$G$170, 'Expenditure Breakdown'!$H$6:$H$170, "&gt;="&amp;BG1,'Expenditure Breakdown'!$H$6:$H$170, "&lt;"&amp;BH1)</f>
        <v>0</v>
      </c>
      <c r="BH5" s="112">
        <f>SUMIFS('Expenditure Breakdown'!$G$6:$G$170, 'Expenditure Breakdown'!$H$6:$H$170, "&gt;="&amp;BH1,'Expenditure Breakdown'!$H$6:$H$170, "&lt;"&amp;BI1)</f>
        <v>0</v>
      </c>
      <c r="BI5" s="112">
        <f>SUMIFS('Expenditure Breakdown'!$G$6:$G$170, 'Expenditure Breakdown'!$H$6:$H$170, "&gt;="&amp;BI1,'Expenditure Breakdown'!$H$6:$H$170, "&lt;"&amp;BJ1)</f>
        <v>0</v>
      </c>
      <c r="BJ5" s="112">
        <f>SUMIFS('Expenditure Breakdown'!$G$6:$G$170, 'Expenditure Breakdown'!$H$6:$H$170, "&gt;="&amp;BJ1,'Expenditure Breakdown'!$H$6:$H$170, "&lt;"&amp;BK1)</f>
        <v>0</v>
      </c>
      <c r="BK5" s="112">
        <f>SUMIFS('Expenditure Breakdown'!$G$6:$G$170, 'Expenditure Breakdown'!$H$6:$H$170, "&gt;="&amp;BK1,'Expenditure Breakdown'!$H$6:$H$170, "&lt;"&amp;BL1)</f>
        <v>0</v>
      </c>
      <c r="BL5" s="112">
        <f>SUMIFS('Expenditure Breakdown'!$G$6:$G$170, 'Expenditure Breakdown'!$H$6:$H$170, "&gt;="&amp;BL1,'Expenditure Breakdown'!$H$6:$H$170, "&lt;"&amp;BM1)</f>
        <v>0</v>
      </c>
      <c r="BM5" s="112">
        <f>SUMIFS('Expenditure Breakdown'!$G$6:$G$170, 'Expenditure Breakdown'!$H$6:$H$170, "&gt;="&amp;BM1,'Expenditure Breakdown'!$H$6:$H$170, "&lt;"&amp;BN1)</f>
        <v>0</v>
      </c>
      <c r="BN5" s="112">
        <f>SUMIFS('Expenditure Breakdown'!$G$6:$G$170, 'Expenditure Breakdown'!$H$6:$H$170, "&gt;="&amp;BN1,'Expenditure Breakdown'!$H$6:$H$170, "&lt;"&amp;BO1)</f>
        <v>0</v>
      </c>
      <c r="BO5" s="112">
        <f>SUMIFS('Expenditure Breakdown'!$G$6:$G$170, 'Expenditure Breakdown'!$H$6:$H$170, "&gt;="&amp;BO1,'Expenditure Breakdown'!$H$6:$H$170, "&lt;"&amp;BP1)</f>
        <v>0</v>
      </c>
      <c r="BP5" s="112">
        <f>SUMIFS('Expenditure Breakdown'!$G$6:$G$170, 'Expenditure Breakdown'!$H$6:$H$170, "&gt;="&amp;BP1,'Expenditure Breakdown'!$H$6:$H$170, "&lt;"&amp;BQ1)</f>
        <v>0</v>
      </c>
      <c r="BQ5" s="112">
        <f>SUMIFS('Expenditure Breakdown'!$G$6:$G$170, 'Expenditure Breakdown'!$H$6:$H$170, "&gt;="&amp;BQ1,'Expenditure Breakdown'!$H$6:$H$170, "&lt;"&amp;BR1)</f>
        <v>0</v>
      </c>
      <c r="BR5" s="112">
        <f>SUMIFS('Expenditure Breakdown'!$G$6:$G$170, 'Expenditure Breakdown'!$H$6:$H$170, "&gt;="&amp;BR1,'Expenditure Breakdown'!$H$6:$H$170, "&lt;"&amp;BS1)</f>
        <v>0</v>
      </c>
      <c r="BS5" s="112">
        <f>SUMIFS('Expenditure Breakdown'!$G$6:$G$170, 'Expenditure Breakdown'!$H$6:$H$170, "&gt;="&amp;BS1,'Expenditure Breakdown'!$H$6:$H$170, "&lt;"&amp;BT1)</f>
        <v>0</v>
      </c>
      <c r="BT5" s="112">
        <f>SUMIFS('Expenditure Breakdown'!$G$6:$G$170, 'Expenditure Breakdown'!$H$6:$H$170, "&gt;="&amp;BT1,'Expenditure Breakdown'!$H$6:$H$170, "&lt;"&amp;BU1)</f>
        <v>0</v>
      </c>
      <c r="BU5" s="112">
        <f>SUMIFS('Expenditure Breakdown'!$G$6:$G$170, 'Expenditure Breakdown'!$H$6:$H$170, "&gt;="&amp;BU1,'Expenditure Breakdown'!$H$6:$H$170, "&lt;"&amp;BV1)</f>
        <v>0</v>
      </c>
      <c r="BV5" s="112">
        <f>SUMIFS('Expenditure Breakdown'!$G$6:$G$170, 'Expenditure Breakdown'!$H$6:$H$170, "&gt;="&amp;BV1,'Expenditure Breakdown'!$H$6:$H$170, "&lt;"&amp;BW1)</f>
        <v>0</v>
      </c>
      <c r="BW5" s="112">
        <f>SUMIFS('Expenditure Breakdown'!$G$6:$G$170, 'Expenditure Breakdown'!$H$6:$H$170, "&gt;="&amp;BW1,'Expenditure Breakdown'!$H$6:$H$170, "&lt;"&amp;BX1)</f>
        <v>0</v>
      </c>
      <c r="BX5" s="112">
        <f>SUMIFS('Expenditure Breakdown'!$G$6:$G$170, 'Expenditure Breakdown'!$H$6:$H$170, "&gt;="&amp;BX1,'Expenditure Breakdown'!$H$6:$H$170, "&lt;"&amp;BY1)</f>
        <v>0</v>
      </c>
      <c r="BY5" s="112">
        <f>SUMIFS('Expenditure Breakdown'!$G$6:$G$170, 'Expenditure Breakdown'!$H$6:$H$170, "&gt;="&amp;BY1,'Expenditure Breakdown'!$H$6:$H$170, "&lt;"&amp;BZ1)</f>
        <v>0</v>
      </c>
      <c r="BZ5" s="112">
        <f>SUMIFS('Expenditure Breakdown'!$G$6:$G$170, 'Expenditure Breakdown'!$H$6:$H$170, "&gt;="&amp;BZ1,'Expenditure Breakdown'!$H$6:$H$170, "&lt;"&amp;CA1)</f>
        <v>0</v>
      </c>
      <c r="CA5" s="112">
        <f>SUMIFS('Expenditure Breakdown'!$G$6:$G$170, 'Expenditure Breakdown'!$H$6:$H$170, "&gt;="&amp;CA1,'Expenditure Breakdown'!$H$6:$H$170, "&lt;"&amp;CB1)</f>
        <v>0</v>
      </c>
      <c r="CB5" s="112">
        <f>SUMIFS('Expenditure Breakdown'!$G$6:$G$170, 'Expenditure Breakdown'!$H$6:$H$170, "&gt;="&amp;CB1,'Expenditure Breakdown'!$H$6:$H$170, "&lt;"&amp;CC1)</f>
        <v>0</v>
      </c>
      <c r="CC5" s="112">
        <f>SUMIFS('Expenditure Breakdown'!$G$6:$G$170, 'Expenditure Breakdown'!$H$6:$H$170, "&gt;="&amp;CC1,'Expenditure Breakdown'!$H$6:$H$170, "&lt;"&amp;CD1)</f>
        <v>0</v>
      </c>
      <c r="CD5" s="112">
        <f>SUMIFS('Expenditure Breakdown'!$G$6:$G$170, 'Expenditure Breakdown'!$H$6:$H$170, "&gt;="&amp;CD1,'Expenditure Breakdown'!$H$6:$H$170, "&lt;"&amp;CE1)</f>
        <v>0</v>
      </c>
      <c r="CE5" s="112">
        <f>SUMIFS('Expenditure Breakdown'!$G$6:$G$170, 'Expenditure Breakdown'!$H$6:$H$170, "&gt;="&amp;CE1,'Expenditure Breakdown'!$H$6:$H$170, "&lt;"&amp;CF1)</f>
        <v>0</v>
      </c>
      <c r="CF5" s="112">
        <f>SUMIFS('Expenditure Breakdown'!$G$6:$G$170, 'Expenditure Breakdown'!$H$6:$H$170, "&gt;="&amp;CF1,'Expenditure Breakdown'!$H$6:$H$170, "&lt;"&amp;CG1)</f>
        <v>0</v>
      </c>
      <c r="CG5" s="112">
        <f>SUMIFS('Expenditure Breakdown'!$G$6:$G$170, 'Expenditure Breakdown'!$H$6:$H$170, "&gt;="&amp;CG1,'Expenditure Breakdown'!$H$6:$H$170, "&lt;"&amp;CH1)</f>
        <v>0</v>
      </c>
      <c r="CH5" s="112">
        <f>SUMIFS('Expenditure Breakdown'!$G$6:$G$170, 'Expenditure Breakdown'!$H$6:$H$170, "&gt;="&amp;CH1,'Expenditure Breakdown'!$H$6:$H$170, "&lt;"&amp;CI1)</f>
        <v>0</v>
      </c>
      <c r="CI5" s="112">
        <f>SUMIFS('Expenditure Breakdown'!$G$6:$G$170, 'Expenditure Breakdown'!$H$6:$H$170, "&gt;="&amp;CI1,'Expenditure Breakdown'!$H$6:$H$170, "&lt;"&amp;CJ1)</f>
        <v>0</v>
      </c>
      <c r="CJ5" s="112">
        <f>SUMIFS('Expenditure Breakdown'!$G$6:$G$170, 'Expenditure Breakdown'!$H$6:$H$170, "&gt;="&amp;CJ1,'Expenditure Breakdown'!$H$6:$H$170, "&lt;"&amp;CK1)</f>
        <v>0</v>
      </c>
      <c r="CK5" s="112">
        <f>SUMIFS('Expenditure Breakdown'!$G$6:$G$170, 'Expenditure Breakdown'!$H$6:$H$170, "&gt;="&amp;CK1,'Expenditure Breakdown'!$H$6:$H$170, "&lt;"&amp;CL1)</f>
        <v>0</v>
      </c>
      <c r="CL5" s="112">
        <f>SUMIFS('Expenditure Breakdown'!$G$6:$G$170, 'Expenditure Breakdown'!$H$6:$H$170, "&gt;="&amp;CL1,'Expenditure Breakdown'!$H$6:$H$170, "&lt;"&amp;CM1)</f>
        <v>0</v>
      </c>
      <c r="CM5" s="112">
        <f>SUMIFS('Expenditure Breakdown'!$G$6:$G$170, 'Expenditure Breakdown'!$H$6:$H$170, "&gt;="&amp;CM1,'Expenditure Breakdown'!$H$6:$H$170, "&lt;"&amp;CN1)</f>
        <v>0</v>
      </c>
      <c r="CN5" s="112">
        <f>SUMIFS('Expenditure Breakdown'!$G$6:$G$170, 'Expenditure Breakdown'!$H$6:$H$170, "&gt;="&amp;CN1,'Expenditure Breakdown'!$H$6:$H$170, "&lt;"&amp;CO1)</f>
        <v>0</v>
      </c>
      <c r="CO5" s="112">
        <f>SUMIFS('Expenditure Breakdown'!$G$6:$G$170, 'Expenditure Breakdown'!$H$6:$H$170, "&gt;="&amp;CO1,'Expenditure Breakdown'!$H$6:$H$170, "&lt;"&amp;CP1)</f>
        <v>0</v>
      </c>
      <c r="CP5" s="112">
        <f>SUMIFS('Expenditure Breakdown'!$G$6:$G$170, 'Expenditure Breakdown'!$H$6:$H$170, "&gt;="&amp;CP1,'Expenditure Breakdown'!$H$6:$H$170, "&lt;"&amp;CQ1)</f>
        <v>0</v>
      </c>
      <c r="CQ5" s="112">
        <f>SUMIFS('Expenditure Breakdown'!$G$6:$G$170, 'Expenditure Breakdown'!$H$6:$H$170, "&gt;="&amp;CQ1,'Expenditure Breakdown'!$H$6:$H$170, "&lt;"&amp;CR1)</f>
        <v>0</v>
      </c>
      <c r="CR5" s="112">
        <f>SUMIFS('Expenditure Breakdown'!$G$6:$G$170, 'Expenditure Breakdown'!$H$6:$H$170, "&gt;="&amp;CR1,'Expenditure Breakdown'!$H$6:$H$170, "&lt;"&amp;CS1)</f>
        <v>0</v>
      </c>
      <c r="CS5" s="112">
        <f>SUMIFS('Expenditure Breakdown'!$G$6:$G$170, 'Expenditure Breakdown'!$H$6:$H$170, "&gt;="&amp;CS1,'Expenditure Breakdown'!$H$6:$H$170, "&lt;"&amp;CT1)</f>
        <v>0</v>
      </c>
      <c r="CT5" s="112">
        <f>SUMIFS('Expenditure Breakdown'!$G$6:$G$170, 'Expenditure Breakdown'!$H$6:$H$170, "&gt;="&amp;CT1,'Expenditure Breakdown'!$H$6:$H$170, "&lt;"&amp;CU1)</f>
        <v>0</v>
      </c>
      <c r="CU5" s="112">
        <f>SUMIFS('Expenditure Breakdown'!$G$6:$G$170, 'Expenditure Breakdown'!$H$6:$H$170, "&gt;="&amp;CU1,'Expenditure Breakdown'!$H$6:$H$170, "&lt;"&amp;CV1)</f>
        <v>0</v>
      </c>
      <c r="CV5" s="112">
        <f>SUMIFS('Expenditure Breakdown'!$G$6:$G$170, 'Expenditure Breakdown'!$H$6:$H$170, "&gt;="&amp;CV1,'Expenditure Breakdown'!$H$6:$H$170, "&lt;"&amp;CW1)</f>
        <v>0</v>
      </c>
      <c r="CW5" s="112">
        <f>SUMIFS('Expenditure Breakdown'!$G$6:$G$170, 'Expenditure Breakdown'!$H$6:$H$170, "&gt;="&amp;CW1,'Expenditure Breakdown'!$H$6:$H$170, "&lt;"&amp;CX1)</f>
        <v>0</v>
      </c>
      <c r="CX5" s="112">
        <f>SUMIFS('Expenditure Breakdown'!$G$6:$G$170, 'Expenditure Breakdown'!$H$6:$H$170, "&gt;="&amp;CX1,'Expenditure Breakdown'!$H$6:$H$170, "&lt;"&amp;CY1)</f>
        <v>0</v>
      </c>
      <c r="CY5" s="112">
        <f>SUMIFS('Expenditure Breakdown'!$G$6:$G$170, 'Expenditure Breakdown'!$H$6:$H$170, "&gt;="&amp;CY1,'Expenditure Breakdown'!$H$6:$H$170, "&lt;"&amp;CZ1)</f>
        <v>0</v>
      </c>
      <c r="CZ5" s="112">
        <f>SUMIFS('Expenditure Breakdown'!$G$6:$G$170, 'Expenditure Breakdown'!$H$6:$H$170, "&gt;="&amp;CZ1,'Expenditure Breakdown'!$H$6:$H$170, "&lt;"&amp;DA1)</f>
        <v>0</v>
      </c>
      <c r="DA5" s="112">
        <f>SUMIFS('Expenditure Breakdown'!$G$6:$G$170, 'Expenditure Breakdown'!$H$6:$H$170, "&gt;="&amp;DA1,'Expenditure Breakdown'!$H$6:$H$170, "&lt;"&amp;DB1)</f>
        <v>0</v>
      </c>
      <c r="DB5" s="112">
        <f>SUMIFS('Expenditure Breakdown'!$G$6:$G$170, 'Expenditure Breakdown'!$H$6:$H$170, "&gt;="&amp;DB1,'Expenditure Breakdown'!$H$6:$H$170, "&lt;"&amp;DC1)</f>
        <v>0</v>
      </c>
      <c r="DC5" s="112">
        <f>SUMIFS('Expenditure Breakdown'!$G$6:$G$170, 'Expenditure Breakdown'!$H$6:$H$170, "&gt;="&amp;DC1,'Expenditure Breakdown'!$H$6:$H$170, "&lt;"&amp;DD1)</f>
        <v>0</v>
      </c>
      <c r="DD5" s="112">
        <f>SUMIFS('Expenditure Breakdown'!$G$6:$G$170, 'Expenditure Breakdown'!$H$6:$H$170, "&gt;="&amp;DD1,'Expenditure Breakdown'!$H$6:$H$170, "&lt;"&amp;DE1)</f>
        <v>0</v>
      </c>
      <c r="DE5" s="112">
        <f>SUMIFS('Expenditure Breakdown'!$G$6:$G$170, 'Expenditure Breakdown'!$H$6:$H$170, "&gt;="&amp;DE1,'Expenditure Breakdown'!$H$6:$H$170, "&lt;"&amp;DF1)</f>
        <v>0</v>
      </c>
      <c r="DF5" s="112">
        <f>SUMIFS('Expenditure Breakdown'!$G$6:$G$170, 'Expenditure Breakdown'!$H$6:$H$170, "&gt;="&amp;DF1,'Expenditure Breakdown'!$H$6:$H$170, "&lt;"&amp;DG1)</f>
        <v>0</v>
      </c>
      <c r="DG5" s="112">
        <f>SUMIFS('Expenditure Breakdown'!$G$6:$G$170, 'Expenditure Breakdown'!$H$6:$H$170, "&gt;="&amp;DG1,'Expenditure Breakdown'!$H$6:$H$170, "&lt;"&amp;DH1)</f>
        <v>0</v>
      </c>
      <c r="DH5" s="112">
        <f>SUMIFS('Expenditure Breakdown'!$G$6:$G$170, 'Expenditure Breakdown'!$H$6:$H$170, "&gt;="&amp;DH1,'Expenditure Breakdown'!$H$6:$H$170, "&lt;"&amp;DI1)</f>
        <v>0</v>
      </c>
      <c r="DI5" s="112">
        <f>SUMIFS('Expenditure Breakdown'!$G$6:$G$170, 'Expenditure Breakdown'!$H$6:$H$170, "&gt;="&amp;DI1,'Expenditure Breakdown'!$H$6:$H$170, "&lt;"&amp;DJ1)</f>
        <v>0</v>
      </c>
      <c r="DJ5" s="112">
        <f>SUMIFS('Expenditure Breakdown'!$G$6:$G$170, 'Expenditure Breakdown'!$H$6:$H$170, "&gt;="&amp;DJ1,'Expenditure Breakdown'!$H$6:$H$170, "&lt;"&amp;DK1)</f>
        <v>0</v>
      </c>
      <c r="DK5" s="112">
        <f>SUMIFS('Expenditure Breakdown'!$G$6:$G$170, 'Expenditure Breakdown'!$H$6:$H$170, "&gt;="&amp;DK1,'Expenditure Breakdown'!$H$6:$H$170, "&lt;"&amp;DL1)</f>
        <v>0</v>
      </c>
      <c r="DL5" s="112">
        <f>SUMIFS('Expenditure Breakdown'!$G$6:$G$170, 'Expenditure Breakdown'!$H$6:$H$170, "&gt;="&amp;DL1,'Expenditure Breakdown'!$H$6:$H$170, "&lt;"&amp;DM1)</f>
        <v>0</v>
      </c>
      <c r="DM5" s="112">
        <f>SUMIFS('Expenditure Breakdown'!$G$6:$G$170, 'Expenditure Breakdown'!$H$6:$H$170, "&gt;="&amp;DM1,'Expenditure Breakdown'!$H$6:$H$170, "&lt;"&amp;DN1)</f>
        <v>0</v>
      </c>
      <c r="DN5" s="112">
        <f>SUMIFS('Expenditure Breakdown'!$G$6:$G$170, 'Expenditure Breakdown'!$H$6:$H$170, "&gt;="&amp;DN1,'Expenditure Breakdown'!$H$6:$H$170, "&lt;"&amp;DO1)</f>
        <v>0</v>
      </c>
      <c r="DO5" s="112">
        <f>SUMIFS('Expenditure Breakdown'!$G$6:$G$170, 'Expenditure Breakdown'!$H$6:$H$170, "&gt;="&amp;DO1,'Expenditure Breakdown'!$H$6:$H$170, "&lt;"&amp;DP1)</f>
        <v>0</v>
      </c>
      <c r="DP5" s="112">
        <f>SUMIFS('Expenditure Breakdown'!$G$6:$G$170, 'Expenditure Breakdown'!$H$6:$H$170, "&gt;="&amp;DP1,'Expenditure Breakdown'!$H$6:$H$170, "&lt;"&amp;DQ1)</f>
        <v>0</v>
      </c>
      <c r="DQ5" s="112">
        <f>SUMIFS('Expenditure Breakdown'!$G$6:$G$170, 'Expenditure Breakdown'!$H$6:$H$170, "&gt;="&amp;DQ1,'Expenditure Breakdown'!$H$6:$H$170, "&lt;"&amp;DR1)</f>
        <v>0</v>
      </c>
      <c r="DR5" s="112">
        <f>SUMIFS('Expenditure Breakdown'!$G$6:$G$170, 'Expenditure Breakdown'!$H$6:$H$170, "&gt;="&amp;DR1,'Expenditure Breakdown'!$H$6:$H$170, "&lt;"&amp;DS1)</f>
        <v>0</v>
      </c>
      <c r="DS5" s="112">
        <f>SUMIFS('Expenditure Breakdown'!$G$6:$G$170, 'Expenditure Breakdown'!$H$6:$H$170, "&gt;="&amp;DS1,'Expenditure Breakdown'!$H$6:$H$170, "&lt;"&amp;DT1)</f>
        <v>0</v>
      </c>
      <c r="DT5" s="112">
        <f>SUMIFS('Expenditure Breakdown'!$G$6:$G$170, 'Expenditure Breakdown'!$H$6:$H$170, "&gt;="&amp;DT1,'Expenditure Breakdown'!$H$6:$H$170, "&lt;"&amp;DU1)</f>
        <v>0</v>
      </c>
      <c r="DU5" s="112">
        <f>SUMIFS('Expenditure Breakdown'!$G$6:$G$170, 'Expenditure Breakdown'!$H$6:$H$170, "&gt;="&amp;DU1,'Expenditure Breakdown'!$H$6:$H$170, "&lt;"&amp;DV1)</f>
        <v>0</v>
      </c>
      <c r="DV5" s="112">
        <f>SUMIFS('Expenditure Breakdown'!$G$6:$G$170, 'Expenditure Breakdown'!$H$6:$H$170, "&gt;="&amp;DV1,'Expenditure Breakdown'!$H$6:$H$170, "&lt;"&amp;DW1)</f>
        <v>0</v>
      </c>
      <c r="DW5" s="112">
        <f>SUMIFS('Expenditure Breakdown'!$G$6:$G$170, 'Expenditure Breakdown'!$H$6:$H$170, "&gt;="&amp;DW1,'Expenditure Breakdown'!$H$6:$H$170, "&lt;"&amp;DX1)</f>
        <v>0</v>
      </c>
      <c r="DX5" s="112">
        <f>SUMIFS('Expenditure Breakdown'!$G$6:$G$170, 'Expenditure Breakdown'!$H$6:$H$170, "&gt;="&amp;DX1,'Expenditure Breakdown'!$H$6:$H$170, "&lt;"&amp;DY1)</f>
        <v>0</v>
      </c>
      <c r="DY5" s="112">
        <f>SUMIFS('Expenditure Breakdown'!$G$6:$G$170, 'Expenditure Breakdown'!$H$6:$H$170, "&gt;="&amp;DY1,'Expenditure Breakdown'!$H$6:$H$170, "&lt;"&amp;DZ1)</f>
        <v>0</v>
      </c>
      <c r="DZ5" s="112">
        <f>SUMIFS('Expenditure Breakdown'!$G$6:$G$170, 'Expenditure Breakdown'!$H$6:$H$170, "&gt;="&amp;DZ1,'Expenditure Breakdown'!$H$6:$H$170, "&lt;"&amp;EA1)</f>
        <v>0</v>
      </c>
      <c r="EA5" s="112">
        <f>SUMIFS('Expenditure Breakdown'!$G$6:$G$170, 'Expenditure Breakdown'!$H$6:$H$170, "&gt;="&amp;EA1,'Expenditure Breakdown'!$H$6:$H$170, "&lt;"&amp;EB1)</f>
        <v>0</v>
      </c>
      <c r="EB5" s="112">
        <f>SUMIFS('Expenditure Breakdown'!$G$6:$G$170, 'Expenditure Breakdown'!$H$6:$H$170, "&gt;="&amp;EB1,'Expenditure Breakdown'!$H$6:$H$170, "&lt;"&amp;EC1)</f>
        <v>0</v>
      </c>
      <c r="EC5" s="112">
        <f>SUMIFS('Expenditure Breakdown'!$G$6:$G$170, 'Expenditure Breakdown'!$H$6:$H$170, "&gt;="&amp;EC1,'Expenditure Breakdown'!$H$6:$H$170, "&lt;"&amp;ED1)</f>
        <v>0</v>
      </c>
      <c r="ED5" s="112">
        <f>SUMIFS('Expenditure Breakdown'!$G$6:$G$170, 'Expenditure Breakdown'!$H$6:$H$170, "&gt;="&amp;ED1,'Expenditure Breakdown'!$H$6:$H$170, "&lt;"&amp;EE1)</f>
        <v>0</v>
      </c>
      <c r="EE5" s="112">
        <f>SUMIFS('Expenditure Breakdown'!$G$6:$G$170, 'Expenditure Breakdown'!$H$6:$H$170, "&gt;="&amp;EE1,'Expenditure Breakdown'!$H$6:$H$170, "&lt;"&amp;EF1)</f>
        <v>0</v>
      </c>
      <c r="EF5" s="112">
        <f>SUMIFS('Expenditure Breakdown'!$G$6:$G$170, 'Expenditure Breakdown'!$H$6:$H$170, "&gt;="&amp;EF1,'Expenditure Breakdown'!$H$6:$H$170, "&lt;"&amp;EG1)</f>
        <v>0</v>
      </c>
      <c r="EG5" s="112">
        <f>SUMIFS('Expenditure Breakdown'!$G$6:$G$170, 'Expenditure Breakdown'!$H$6:$H$170, "&gt;="&amp;EG1,'Expenditure Breakdown'!$H$6:$H$170, "&lt;"&amp;EH1)</f>
        <v>0</v>
      </c>
      <c r="EH5" s="112">
        <f>SUMIFS('Expenditure Breakdown'!$G$6:$G$170, 'Expenditure Breakdown'!$H$6:$H$170, "&gt;="&amp;EH1,'Expenditure Breakdown'!$H$6:$H$170, "&lt;"&amp;EI1)</f>
        <v>0</v>
      </c>
      <c r="EI5" s="112">
        <f>SUMIFS('Expenditure Breakdown'!$G$6:$G$170, 'Expenditure Breakdown'!$H$6:$H$170, "&gt;="&amp;EI1,'Expenditure Breakdown'!$H$6:$H$170, "&lt;"&amp;EJ1)</f>
        <v>0</v>
      </c>
      <c r="EJ5" s="112">
        <f>SUMIFS('Expenditure Breakdown'!$G$6:$G$170, 'Expenditure Breakdown'!$H$6:$H$170, "&gt;="&amp;EJ1,'Expenditure Breakdown'!$H$6:$H$170, "&lt;"&amp;EK1)</f>
        <v>0</v>
      </c>
      <c r="EK5" s="112">
        <f>SUMIFS('Expenditure Breakdown'!$G$6:$G$170, 'Expenditure Breakdown'!$H$6:$H$170, "&gt;="&amp;EK1,'Expenditure Breakdown'!$H$6:$H$170, "&lt;"&amp;EL1)</f>
        <v>0</v>
      </c>
      <c r="EL5" s="112">
        <f>SUMIFS('Expenditure Breakdown'!$G$6:$G$170, 'Expenditure Breakdown'!$H$6:$H$170, "&gt;="&amp;EL1,'Expenditure Breakdown'!$H$6:$H$170, "&lt;"&amp;EM1)</f>
        <v>0</v>
      </c>
      <c r="EM5" s="112">
        <f>SUMIFS('Expenditure Breakdown'!$G$6:$G$170, 'Expenditure Breakdown'!$H$6:$H$170, "&gt;="&amp;EM1,'Expenditure Breakdown'!$H$6:$H$170, "&lt;"&amp;EN1)</f>
        <v>0</v>
      </c>
      <c r="EN5" s="112">
        <f>SUMIFS('Expenditure Breakdown'!$G$6:$G$170, 'Expenditure Breakdown'!$H$6:$H$170, "&gt;="&amp;EN1,'Expenditure Breakdown'!$H$6:$H$170, "&lt;"&amp;EO1)</f>
        <v>0</v>
      </c>
      <c r="EO5" s="112">
        <f>SUMIFS('Expenditure Breakdown'!$G$6:$G$170, 'Expenditure Breakdown'!$H$6:$H$170, "&gt;="&amp;EO1,'Expenditure Breakdown'!$H$6:$H$170, "&lt;"&amp;EP1)</f>
        <v>0</v>
      </c>
      <c r="EP5" s="112">
        <f>SUMIFS('Expenditure Breakdown'!$G$6:$G$170, 'Expenditure Breakdown'!$H$6:$H$170, "&gt;="&amp;EP1,'Expenditure Breakdown'!$H$6:$H$170, "&lt;"&amp;EQ1)</f>
        <v>0</v>
      </c>
      <c r="EQ5" s="112">
        <f>SUMIFS('Expenditure Breakdown'!$G$6:$G$170, 'Expenditure Breakdown'!$H$6:$H$170, "&gt;="&amp;EQ1,'Expenditure Breakdown'!$H$6:$H$170, "&lt;"&amp;ER1)</f>
        <v>0</v>
      </c>
      <c r="ER5" s="112">
        <f>SUMIFS('Expenditure Breakdown'!$G$6:$G$170, 'Expenditure Breakdown'!$H$6:$H$170, "&gt;="&amp;ER1,'Expenditure Breakdown'!$H$6:$H$170, "&lt;"&amp;ES1)</f>
        <v>0</v>
      </c>
      <c r="ES5" s="112">
        <f>SUMIFS('Expenditure Breakdown'!$G$6:$G$170, 'Expenditure Breakdown'!$H$6:$H$170, "&gt;="&amp;ES1,'Expenditure Breakdown'!$H$6:$H$170, "&lt;"&amp;ET1)</f>
        <v>0</v>
      </c>
      <c r="ET5" s="112">
        <f>SUMIFS('Expenditure Breakdown'!$G$6:$G$170, 'Expenditure Breakdown'!$H$6:$H$170, "&gt;="&amp;ET1,'Expenditure Breakdown'!$H$6:$H$170, "&lt;"&amp;EU1)</f>
        <v>0</v>
      </c>
      <c r="EU5" s="112">
        <f>SUMIFS('Expenditure Breakdown'!$G$6:$G$170, 'Expenditure Breakdown'!$H$6:$H$170, "&gt;="&amp;EU1,'Expenditure Breakdown'!$H$6:$H$170, "&lt;"&amp;EV1)</f>
        <v>0</v>
      </c>
      <c r="EV5" s="112">
        <f>SUMIFS('Expenditure Breakdown'!$G$6:$G$170, 'Expenditure Breakdown'!$H$6:$H$170, "&gt;="&amp;EV1,'Expenditure Breakdown'!$H$6:$H$170, "&lt;"&amp;EW1)</f>
        <v>0</v>
      </c>
      <c r="EW5" s="112">
        <f>SUMIFS('Expenditure Breakdown'!$G$6:$G$170, 'Expenditure Breakdown'!$H$6:$H$170, "&gt;="&amp;EW1,'Expenditure Breakdown'!$H$6:$H$170, "&lt;"&amp;EX1)</f>
        <v>0</v>
      </c>
      <c r="EX5" s="112">
        <f>SUMIFS('Expenditure Breakdown'!$G$6:$G$170, 'Expenditure Breakdown'!$H$6:$H$170, "&gt;="&amp;EX1,'Expenditure Breakdown'!$H$6:$H$170, "&lt;"&amp;EY1)</f>
        <v>0</v>
      </c>
      <c r="EY5" s="112">
        <f>SUMIFS('Expenditure Breakdown'!$G$6:$G$170, 'Expenditure Breakdown'!$H$6:$H$170, "&gt;="&amp;EY1,'Expenditure Breakdown'!$H$6:$H$170, "&lt;"&amp;EZ1)</f>
        <v>0</v>
      </c>
      <c r="EZ5" s="112">
        <f>SUMIFS('Expenditure Breakdown'!$G$6:$G$170, 'Expenditure Breakdown'!$H$6:$H$170, "&gt;="&amp;EZ1,'Expenditure Breakdown'!$H$6:$H$170, "&lt;"&amp;FA1)</f>
        <v>0</v>
      </c>
      <c r="FA5" s="112">
        <f>SUMIFS('Expenditure Breakdown'!$G$6:$G$170, 'Expenditure Breakdown'!$H$6:$H$170, "&gt;="&amp;FA1,'Expenditure Breakdown'!$H$6:$H$170, "&lt;"&amp;FB1)</f>
        <v>0</v>
      </c>
      <c r="FB5" s="112">
        <f>SUMIFS('Expenditure Breakdown'!$G$6:$G$170, 'Expenditure Breakdown'!$H$6:$H$170, "&gt;="&amp;FB1,'Expenditure Breakdown'!$H$6:$H$170, "&lt;"&amp;FC1)</f>
        <v>0</v>
      </c>
      <c r="FC5" s="112">
        <f>SUMIFS('Expenditure Breakdown'!$G$6:$G$170, 'Expenditure Breakdown'!$H$6:$H$170, "&gt;="&amp;FC1,'Expenditure Breakdown'!$H$6:$H$170, "&lt;"&amp;FD1)</f>
        <v>0</v>
      </c>
      <c r="FD5" s="112">
        <f>SUMIFS('Expenditure Breakdown'!$G$6:$G$170, 'Expenditure Breakdown'!$H$6:$H$170, "&gt;="&amp;FD1,'Expenditure Breakdown'!$H$6:$H$170, "&lt;"&amp;FE1)</f>
        <v>0</v>
      </c>
      <c r="FE5" s="112">
        <f>SUMIFS('Expenditure Breakdown'!$G$6:$G$170, 'Expenditure Breakdown'!$H$6:$H$170, "&gt;="&amp;FE1,'Expenditure Breakdown'!$H$6:$H$170, "&lt;"&amp;FF1)</f>
        <v>0</v>
      </c>
      <c r="FF5" s="112">
        <f>SUMIFS('Expenditure Breakdown'!$G$6:$G$170, 'Expenditure Breakdown'!$H$6:$H$170, "&gt;="&amp;FF1,'Expenditure Breakdown'!$H$6:$H$170, "&lt;"&amp;FG1)</f>
        <v>0</v>
      </c>
      <c r="FG5" s="112">
        <f>SUMIFS('Expenditure Breakdown'!$G$6:$G$170, 'Expenditure Breakdown'!$H$6:$H$170, "&gt;="&amp;FG1,'Expenditure Breakdown'!$H$6:$H$170, "&lt;"&amp;FH1)</f>
        <v>0</v>
      </c>
      <c r="FH5" s="112">
        <f>SUMIFS('Expenditure Breakdown'!$G$6:$G$170, 'Expenditure Breakdown'!$H$6:$H$170, "&gt;="&amp;FH1,'Expenditure Breakdown'!$H$6:$H$170, "&lt;"&amp;FI1)</f>
        <v>0</v>
      </c>
      <c r="FI5" s="112">
        <f>SUMIFS('Expenditure Breakdown'!$G$6:$G$170, 'Expenditure Breakdown'!$H$6:$H$170, "&gt;="&amp;FI1,'Expenditure Breakdown'!$H$6:$H$170, "&lt;"&amp;FJ1)</f>
        <v>0</v>
      </c>
      <c r="FJ5" s="112">
        <f>SUMIFS('Expenditure Breakdown'!$G$6:$G$170, 'Expenditure Breakdown'!$H$6:$H$170, "&gt;="&amp;FJ1,'Expenditure Breakdown'!$H$6:$H$170, "&lt;"&amp;FK1)</f>
        <v>0</v>
      </c>
      <c r="FK5" s="112">
        <f>SUMIFS('Expenditure Breakdown'!$G$6:$G$170, 'Expenditure Breakdown'!$H$6:$H$170, "&gt;="&amp;FK1,'Expenditure Breakdown'!$H$6:$H$170, "&lt;"&amp;FL1)</f>
        <v>0</v>
      </c>
      <c r="FL5" s="112">
        <f>SUMIFS('Expenditure Breakdown'!$G$6:$G$170, 'Expenditure Breakdown'!$H$6:$H$170, "&gt;="&amp;FL1,'Expenditure Breakdown'!$H$6:$H$170, "&lt;"&amp;FM1)</f>
        <v>0</v>
      </c>
      <c r="FM5" s="112">
        <f>SUMIFS('Expenditure Breakdown'!$G$6:$G$170, 'Expenditure Breakdown'!$H$6:$H$170, "&gt;="&amp;FM1,'Expenditure Breakdown'!$H$6:$H$170, "&lt;"&amp;FN1)</f>
        <v>0</v>
      </c>
      <c r="FN5" s="112">
        <f>SUMIFS('Expenditure Breakdown'!$G$6:$G$170, 'Expenditure Breakdown'!$H$6:$H$170, "&gt;="&amp;FN1,'Expenditure Breakdown'!$H$6:$H$170, "&lt;"&amp;FO1)</f>
        <v>0</v>
      </c>
      <c r="FO5" s="112">
        <f>SUMIFS('Expenditure Breakdown'!$G$6:$G$170, 'Expenditure Breakdown'!$H$6:$H$170, "&gt;="&amp;FO1,'Expenditure Breakdown'!$H$6:$H$170, "&lt;"&amp;FP1)</f>
        <v>0</v>
      </c>
      <c r="FP5" s="112">
        <f>SUMIFS('Expenditure Breakdown'!$G$6:$G$170, 'Expenditure Breakdown'!$H$6:$H$170, "&gt;="&amp;FP1,'Expenditure Breakdown'!$H$6:$H$170, "&lt;"&amp;FQ1)</f>
        <v>0</v>
      </c>
      <c r="FQ5" s="112">
        <f>SUMIFS('Expenditure Breakdown'!$G$6:$G$170, 'Expenditure Breakdown'!$H$6:$H$170, "&gt;="&amp;FQ1,'Expenditure Breakdown'!$H$6:$H$170, "&lt;"&amp;FR1)</f>
        <v>0</v>
      </c>
      <c r="FR5" s="112">
        <f>SUMIFS('Expenditure Breakdown'!$G$6:$G$170, 'Expenditure Breakdown'!$H$6:$H$170, "&gt;="&amp;FR1,'Expenditure Breakdown'!$H$6:$H$170, "&lt;"&amp;FS1)</f>
        <v>0</v>
      </c>
      <c r="FS5" s="112">
        <f>SUMIFS('Expenditure Breakdown'!$G$6:$G$170, 'Expenditure Breakdown'!$H$6:$H$170, "&gt;="&amp;FS1,'Expenditure Breakdown'!$H$6:$H$170, "&lt;"&amp;FT1)</f>
        <v>0</v>
      </c>
      <c r="FT5" s="112">
        <f>SUMIFS('Expenditure Breakdown'!$G$6:$G$170, 'Expenditure Breakdown'!$H$6:$H$170, "&gt;="&amp;FT1,'Expenditure Breakdown'!$H$6:$H$170, "&lt;"&amp;FU1)</f>
        <v>0</v>
      </c>
      <c r="FU5" s="112">
        <f>SUMIFS('Expenditure Breakdown'!$G$6:$G$170, 'Expenditure Breakdown'!$H$6:$H$170, "&gt;="&amp;FU1,'Expenditure Breakdown'!$H$6:$H$170, "&lt;"&amp;FV1)</f>
        <v>0</v>
      </c>
      <c r="FV5" s="112">
        <f>SUMIFS('Expenditure Breakdown'!$G$6:$G$170, 'Expenditure Breakdown'!$H$6:$H$170, "&gt;="&amp;FV1,'Expenditure Breakdown'!$H$6:$H$170, "&lt;"&amp;FW1)</f>
        <v>0</v>
      </c>
      <c r="FW5" s="112">
        <f>SUMIFS('Expenditure Breakdown'!$G$6:$G$170, 'Expenditure Breakdown'!$H$6:$H$170, "&gt;="&amp;FW1,'Expenditure Breakdown'!$H$6:$H$170, "&lt;"&amp;FX1)</f>
        <v>0</v>
      </c>
      <c r="FX5" s="112">
        <f>SUMIFS('Expenditure Breakdown'!$G$6:$G$170, 'Expenditure Breakdown'!$H$6:$H$170, "&gt;="&amp;FX1,'Expenditure Breakdown'!$H$6:$H$170, "&lt;"&amp;FY1)</f>
        <v>0</v>
      </c>
      <c r="FY5" s="112">
        <f>SUMIFS('Expenditure Breakdown'!$G$6:$G$170, 'Expenditure Breakdown'!$H$6:$H$170, "&gt;="&amp;FY1,'Expenditure Breakdown'!$H$6:$H$170, "&lt;"&amp;FZ1)</f>
        <v>0</v>
      </c>
      <c r="FZ5" s="112">
        <f>SUMIFS('Expenditure Breakdown'!$G$6:$G$170, 'Expenditure Breakdown'!$H$6:$H$170, "&gt;="&amp;FZ1,'Expenditure Breakdown'!$H$6:$H$170, "&lt;"&amp;GA1)</f>
        <v>0</v>
      </c>
      <c r="GA5" s="112">
        <f>SUMIFS('Expenditure Breakdown'!$G$6:$G$170, 'Expenditure Breakdown'!$H$6:$H$170, "&gt;="&amp;GA1,'Expenditure Breakdown'!$H$6:$H$170, "&lt;"&amp;GB1)</f>
        <v>0</v>
      </c>
      <c r="GB5" s="112">
        <f>SUMIFS('Expenditure Breakdown'!$G$6:$G$170, 'Expenditure Breakdown'!$H$6:$H$170, "&gt;="&amp;GB1,'Expenditure Breakdown'!$H$6:$H$170, "&lt;"&amp;GC1)</f>
        <v>0</v>
      </c>
      <c r="GC5" s="112">
        <f>SUMIFS('Expenditure Breakdown'!$G$6:$G$170, 'Expenditure Breakdown'!$H$6:$H$170, "&gt;="&amp;GC1,'Expenditure Breakdown'!$H$6:$H$170, "&lt;"&amp;GD1)</f>
        <v>0</v>
      </c>
      <c r="GD5" s="112">
        <f>SUMIFS('Expenditure Breakdown'!$G$6:$G$170, 'Expenditure Breakdown'!$H$6:$H$170, "&gt;="&amp;GD1,'Expenditure Breakdown'!$H$6:$H$170, "&lt;"&amp;GE1)</f>
        <v>0</v>
      </c>
      <c r="GE5" s="112">
        <f>SUMIFS('Expenditure Breakdown'!$G$6:$G$170, 'Expenditure Breakdown'!$H$6:$H$170, "&gt;="&amp;GE1,'Expenditure Breakdown'!$H$6:$H$170, "&lt;"&amp;GF1)</f>
        <v>0</v>
      </c>
      <c r="GF5" s="112">
        <f>SUMIFS('Expenditure Breakdown'!$G$6:$G$170, 'Expenditure Breakdown'!$H$6:$H$170, "&gt;="&amp;GF1,'Expenditure Breakdown'!$H$6:$H$170, "&lt;"&amp;GG1)</f>
        <v>0</v>
      </c>
      <c r="GG5" s="112">
        <f>SUMIFS('Expenditure Breakdown'!$G$6:$G$170, 'Expenditure Breakdown'!$H$6:$H$170, "&gt;="&amp;GG1,'Expenditure Breakdown'!$H$6:$H$170, "&lt;"&amp;GH1)</f>
        <v>0</v>
      </c>
      <c r="GH5" s="112">
        <f>SUMIFS('Expenditure Breakdown'!$G$6:$G$170, 'Expenditure Breakdown'!$H$6:$H$170, "&gt;="&amp;GH1,'Expenditure Breakdown'!$H$6:$H$170, "&lt;"&amp;GI1)</f>
        <v>0</v>
      </c>
      <c r="GI5" s="112">
        <f>SUMIFS('Expenditure Breakdown'!$G$6:$G$170, 'Expenditure Breakdown'!$H$6:$H$170, "&gt;="&amp;GI1,'Expenditure Breakdown'!$H$6:$H$170, "&lt;"&amp;GJ1)</f>
        <v>0</v>
      </c>
      <c r="GJ5" s="112">
        <f>SUMIFS('Expenditure Breakdown'!$G$6:$G$170, 'Expenditure Breakdown'!$H$6:$H$170, "&gt;="&amp;GJ1,'Expenditure Breakdown'!$H$6:$H$170, "&lt;"&amp;GK1)</f>
        <v>0</v>
      </c>
      <c r="GK5" s="112">
        <f>SUMIFS('Expenditure Breakdown'!$G$6:$G$170, 'Expenditure Breakdown'!$H$6:$H$170, "&gt;="&amp;GK1,'Expenditure Breakdown'!$H$6:$H$170, "&lt;"&amp;GL1)</f>
        <v>0</v>
      </c>
      <c r="GL5" s="112">
        <f>SUMIFS('Expenditure Breakdown'!$G$6:$G$170, 'Expenditure Breakdown'!$H$6:$H$170, "&gt;="&amp;GL1,'Expenditure Breakdown'!$H$6:$H$170, "&lt;"&amp;GM1)</f>
        <v>0</v>
      </c>
      <c r="GM5" s="112">
        <f>SUMIFS('Expenditure Breakdown'!$G$6:$G$170, 'Expenditure Breakdown'!$H$6:$H$170, "&gt;="&amp;GM1,'Expenditure Breakdown'!$H$6:$H$170, "&lt;"&amp;GN1)</f>
        <v>0</v>
      </c>
      <c r="GN5" s="112">
        <f>SUMIFS('Expenditure Breakdown'!$G$6:$G$170, 'Expenditure Breakdown'!$H$6:$H$170, "&gt;="&amp;GN1,'Expenditure Breakdown'!$H$6:$H$170, "&lt;"&amp;GO1)</f>
        <v>0</v>
      </c>
      <c r="GO5" s="112">
        <f>SUMIFS('Expenditure Breakdown'!$G$6:$G$170, 'Expenditure Breakdown'!$H$6:$H$170, "&gt;="&amp;GO1,'Expenditure Breakdown'!$H$6:$H$170, "&lt;"&amp;GP1)</f>
        <v>0</v>
      </c>
      <c r="GP5" s="112">
        <f>SUMIFS('Expenditure Breakdown'!$G$6:$G$170, 'Expenditure Breakdown'!$H$6:$H$170, "&gt;="&amp;GP1,'Expenditure Breakdown'!$H$6:$H$170, "&lt;"&amp;GQ1)</f>
        <v>0</v>
      </c>
      <c r="GQ5" s="112">
        <f>SUMIFS('Expenditure Breakdown'!$G$6:$G$170, 'Expenditure Breakdown'!$H$6:$H$170, "&gt;="&amp;GQ1,'Expenditure Breakdown'!$H$6:$H$170, "&lt;"&amp;GR1)</f>
        <v>0</v>
      </c>
      <c r="GR5" s="112">
        <f>SUMIFS('Expenditure Breakdown'!$G$6:$G$170, 'Expenditure Breakdown'!$H$6:$H$170, "&gt;="&amp;GR1,'Expenditure Breakdown'!$H$6:$H$170, "&lt;"&amp;GS1)</f>
        <v>0</v>
      </c>
      <c r="GS5" s="112">
        <f>SUMIFS('Expenditure Breakdown'!$G$6:$G$170, 'Expenditure Breakdown'!$H$6:$H$170, "&gt;="&amp;GS1,'Expenditure Breakdown'!$H$6:$H$170, "&lt;"&amp;GT1)</f>
        <v>0</v>
      </c>
      <c r="GT5" s="112">
        <f>SUMIFS('Expenditure Breakdown'!$G$6:$G$170, 'Expenditure Breakdown'!$H$6:$H$170, "&gt;="&amp;GT1,'Expenditure Breakdown'!$H$6:$H$170, "&lt;"&amp;GU1)</f>
        <v>0</v>
      </c>
      <c r="GU5" s="112">
        <f>SUMIFS('Expenditure Breakdown'!$G$6:$G$170, 'Expenditure Breakdown'!$H$6:$H$170, "&gt;="&amp;GU1,'Expenditure Breakdown'!$H$6:$H$170, "&lt;"&amp;GV1)</f>
        <v>0</v>
      </c>
      <c r="GV5" s="112">
        <f>SUMIFS('Expenditure Breakdown'!$G$6:$G$170, 'Expenditure Breakdown'!$H$6:$H$170, "&gt;="&amp;GV1,'Expenditure Breakdown'!$H$6:$H$170, "&lt;"&amp;GW1)</f>
        <v>0</v>
      </c>
      <c r="GW5" s="112">
        <f>SUMIFS('Expenditure Breakdown'!$G$6:$G$170, 'Expenditure Breakdown'!$H$6:$H$170, "&gt;="&amp;GW1,'Expenditure Breakdown'!$H$6:$H$170, "&lt;"&amp;GX1)</f>
        <v>0</v>
      </c>
      <c r="GX5" s="112">
        <f>SUMIFS('Expenditure Breakdown'!$G$6:$G$170, 'Expenditure Breakdown'!$H$6:$H$170, "&gt;="&amp;GX1,'Expenditure Breakdown'!$H$6:$H$170, "&lt;"&amp;GY1)</f>
        <v>0</v>
      </c>
      <c r="GY5" s="112">
        <f>SUMIFS('Expenditure Breakdown'!$G$6:$G$170, 'Expenditure Breakdown'!$H$6:$H$170, "&gt;="&amp;GY1,'Expenditure Breakdown'!$H$6:$H$170, "&lt;"&amp;GZ1)</f>
        <v>0</v>
      </c>
      <c r="GZ5" s="112">
        <f>SUMIFS('Expenditure Breakdown'!$G$6:$G$170, 'Expenditure Breakdown'!$H$6:$H$170, "&gt;="&amp;GZ1,'Expenditure Breakdown'!$H$6:$H$170, "&lt;"&amp;HA1)</f>
        <v>0</v>
      </c>
      <c r="HA5" s="112">
        <f>SUMIFS('Expenditure Breakdown'!$G$6:$G$170, 'Expenditure Breakdown'!$H$6:$H$170, "&gt;="&amp;HA1,'Expenditure Breakdown'!$H$6:$H$170, "&lt;"&amp;HB1)</f>
        <v>0</v>
      </c>
      <c r="HB5" s="112">
        <f>SUMIFS('Expenditure Breakdown'!$G$6:$G$170, 'Expenditure Breakdown'!$H$6:$H$170, "&gt;="&amp;HB1,'Expenditure Breakdown'!$H$6:$H$170, "&lt;"&amp;HC1)</f>
        <v>0</v>
      </c>
      <c r="HC5" s="112">
        <f>SUMIFS('Expenditure Breakdown'!$G$6:$G$170, 'Expenditure Breakdown'!$H$6:$H$170, "&gt;="&amp;HC1,'Expenditure Breakdown'!$H$6:$H$170, "&lt;"&amp;HD1)</f>
        <v>0</v>
      </c>
      <c r="HD5" s="112">
        <f>SUMIFS('Expenditure Breakdown'!$G$6:$G$170, 'Expenditure Breakdown'!$H$6:$H$170, "&gt;="&amp;HD1,'Expenditure Breakdown'!$H$6:$H$170, "&lt;"&amp;HE1)</f>
        <v>0</v>
      </c>
      <c r="HE5" s="112">
        <f>SUMIFS('Expenditure Breakdown'!$G$6:$G$170, 'Expenditure Breakdown'!$H$6:$H$170, "&gt;="&amp;HE1,'Expenditure Breakdown'!$H$6:$H$170, "&lt;"&amp;HF1)</f>
        <v>0</v>
      </c>
      <c r="HF5" s="112">
        <f>SUMIFS('Expenditure Breakdown'!$G$6:$G$170, 'Expenditure Breakdown'!$H$6:$H$170, "&gt;="&amp;HF1,'Expenditure Breakdown'!$H$6:$H$170, "&lt;"&amp;HG1)</f>
        <v>0</v>
      </c>
      <c r="HG5" s="112">
        <f>SUMIFS('Expenditure Breakdown'!$G$6:$G$170, 'Expenditure Breakdown'!$H$6:$H$170, "&gt;="&amp;HG1,'Expenditure Breakdown'!$H$6:$H$170, "&lt;"&amp;HH1)</f>
        <v>0</v>
      </c>
      <c r="HH5" s="112">
        <f>SUMIFS('Expenditure Breakdown'!$G$6:$G$170, 'Expenditure Breakdown'!$H$6:$H$170, "&gt;="&amp;HH1,'Expenditure Breakdown'!$H$6:$H$170, "&lt;"&amp;HI1)</f>
        <v>0</v>
      </c>
      <c r="HI5" s="112">
        <f>SUMIFS('Expenditure Breakdown'!$G$6:$G$170, 'Expenditure Breakdown'!$H$6:$H$170, "&gt;="&amp;HI1,'Expenditure Breakdown'!$H$6:$H$170, "&lt;"&amp;HJ1)</f>
        <v>0</v>
      </c>
      <c r="HJ5" s="112">
        <f>SUMIFS('Expenditure Breakdown'!$G$6:$G$170, 'Expenditure Breakdown'!$H$6:$H$170, "&gt;="&amp;HJ1,'Expenditure Breakdown'!$H$6:$H$170, "&lt;"&amp;HK1)</f>
        <v>0</v>
      </c>
      <c r="HK5" s="112">
        <f>SUMIFS('Expenditure Breakdown'!$G$6:$G$170, 'Expenditure Breakdown'!$H$6:$H$170, "&gt;="&amp;HK1,'Expenditure Breakdown'!$H$6:$H$170, "&lt;"&amp;HL1)</f>
        <v>0</v>
      </c>
      <c r="HL5" s="112">
        <f>SUMIFS('Expenditure Breakdown'!$G$6:$G$170, 'Expenditure Breakdown'!$H$6:$H$170, "&gt;="&amp;HL1,'Expenditure Breakdown'!$H$6:$H$170, "&lt;"&amp;HM1)</f>
        <v>0</v>
      </c>
      <c r="HM5" s="112">
        <f>SUMIFS('Expenditure Breakdown'!$G$6:$G$170, 'Expenditure Breakdown'!$H$6:$H$170, "&gt;="&amp;HM1,'Expenditure Breakdown'!$H$6:$H$170, "&lt;"&amp;HN1)</f>
        <v>0</v>
      </c>
      <c r="HN5" s="112">
        <f>SUMIFS('Expenditure Breakdown'!$G$6:$G$170, 'Expenditure Breakdown'!$H$6:$H$170, "&gt;="&amp;HN1,'Expenditure Breakdown'!$H$6:$H$170, "&lt;"&amp;HO1)</f>
        <v>0</v>
      </c>
      <c r="HO5" s="112">
        <f>SUMIFS('Expenditure Breakdown'!$G$6:$G$170, 'Expenditure Breakdown'!$H$6:$H$170, "&gt;="&amp;HO1,'Expenditure Breakdown'!$H$6:$H$170, "&lt;"&amp;HP1)</f>
        <v>0</v>
      </c>
      <c r="HP5" s="112">
        <f>SUMIFS('Expenditure Breakdown'!$G$6:$G$170, 'Expenditure Breakdown'!$H$6:$H$170, "&gt;="&amp;HP1,'Expenditure Breakdown'!$H$6:$H$170, "&lt;"&amp;HQ1)</f>
        <v>0</v>
      </c>
      <c r="HQ5" s="112">
        <f>SUMIFS('Expenditure Breakdown'!$G$6:$G$170, 'Expenditure Breakdown'!$H$6:$H$170, "&gt;="&amp;HQ1,'Expenditure Breakdown'!$H$6:$H$170, "&lt;"&amp;HR1)</f>
        <v>0</v>
      </c>
      <c r="HR5" s="112">
        <f>SUMIFS('Expenditure Breakdown'!$G$6:$G$170, 'Expenditure Breakdown'!$H$6:$H$170, "&gt;="&amp;HR1,'Expenditure Breakdown'!$H$6:$H$170, "&lt;"&amp;HS1)</f>
        <v>0</v>
      </c>
      <c r="HS5" s="112">
        <f>SUMIFS('Expenditure Breakdown'!$G$6:$G$170, 'Expenditure Breakdown'!$H$6:$H$170, "&gt;="&amp;HS1,'Expenditure Breakdown'!$H$6:$H$170, "&lt;"&amp;HT1)</f>
        <v>0</v>
      </c>
      <c r="HT5" s="112">
        <f>SUMIFS('Expenditure Breakdown'!$G$6:$G$170, 'Expenditure Breakdown'!$H$6:$H$170, "&gt;="&amp;HT1,'Expenditure Breakdown'!$H$6:$H$170, "&lt;"&amp;HU1)</f>
        <v>0</v>
      </c>
      <c r="HU5" s="112">
        <f>SUMIFS('Expenditure Breakdown'!$G$6:$G$170, 'Expenditure Breakdown'!$H$6:$H$170, "&gt;="&amp;HU1,'Expenditure Breakdown'!$H$6:$H$170, "&lt;"&amp;HV1)</f>
        <v>0</v>
      </c>
      <c r="HV5" s="112">
        <f>SUMIFS('Expenditure Breakdown'!$G$6:$G$170, 'Expenditure Breakdown'!$H$6:$H$170, "&gt;="&amp;HV1,'Expenditure Breakdown'!$H$6:$H$170, "&lt;"&amp;HW1)</f>
        <v>0</v>
      </c>
      <c r="HW5" s="112">
        <f>SUMIFS('Expenditure Breakdown'!$G$6:$G$170, 'Expenditure Breakdown'!$H$6:$H$170, "&gt;="&amp;HW1,'Expenditure Breakdown'!$H$6:$H$170, "&lt;"&amp;HX1)</f>
        <v>0</v>
      </c>
      <c r="HX5" s="112">
        <f>SUMIFS('Expenditure Breakdown'!$G$6:$G$170, 'Expenditure Breakdown'!$H$6:$H$170, "&gt;="&amp;HX1,'Expenditure Breakdown'!$H$6:$H$170, "&lt;"&amp;HY1)</f>
        <v>0</v>
      </c>
      <c r="HY5" s="112">
        <f>SUMIFS('Expenditure Breakdown'!$G$6:$G$170, 'Expenditure Breakdown'!$H$6:$H$170, "&gt;="&amp;HY1,'Expenditure Breakdown'!$H$6:$H$170, "&lt;"&amp;HZ1)</f>
        <v>0</v>
      </c>
      <c r="HZ5" s="112">
        <f>SUMIFS('Expenditure Breakdown'!$G$6:$G$170, 'Expenditure Breakdown'!$H$6:$H$170, "&gt;="&amp;HZ1,'Expenditure Breakdown'!$H$6:$H$170, "&lt;"&amp;IA1)</f>
        <v>0</v>
      </c>
      <c r="IA5" s="112">
        <f>SUMIFS('Expenditure Breakdown'!$G$6:$G$170, 'Expenditure Breakdown'!$H$6:$H$170, "&gt;="&amp;IA1,'Expenditure Breakdown'!$H$6:$H$170, "&lt;"&amp;IB1)</f>
        <v>0</v>
      </c>
      <c r="IB5" s="112">
        <f>SUMIFS('Expenditure Breakdown'!$G$6:$G$170, 'Expenditure Breakdown'!$H$6:$H$170, "&gt;="&amp;IB1,'Expenditure Breakdown'!$H$6:$H$170, "&lt;"&amp;IC1)</f>
        <v>0</v>
      </c>
      <c r="IC5" s="112">
        <f>SUMIFS('Expenditure Breakdown'!$G$6:$G$170, 'Expenditure Breakdown'!$H$6:$H$170, "&gt;="&amp;IC1,'Expenditure Breakdown'!$H$6:$H$170, "&lt;"&amp;ID1)</f>
        <v>0</v>
      </c>
      <c r="ID5" s="112">
        <f>SUMIFS('Expenditure Breakdown'!$G$6:$G$170, 'Expenditure Breakdown'!$H$6:$H$170, "&gt;="&amp;ID1,'Expenditure Breakdown'!$H$6:$H$170, "&lt;"&amp;IE1)</f>
        <v>0</v>
      </c>
      <c r="IE5" s="112">
        <f>SUMIFS('Expenditure Breakdown'!$G$6:$G$170, 'Expenditure Breakdown'!$H$6:$H$170, "&gt;="&amp;IE1,'Expenditure Breakdown'!$H$6:$H$170, "&lt;"&amp;IF1)</f>
        <v>0</v>
      </c>
      <c r="IF5" s="112">
        <f>SUMIFS('Expenditure Breakdown'!$G$6:$G$170, 'Expenditure Breakdown'!$H$6:$H$170, "&gt;="&amp;IF1,'Expenditure Breakdown'!$H$6:$H$170, "&lt;"&amp;IG1)</f>
        <v>0</v>
      </c>
      <c r="IG5" s="112">
        <f>SUMIFS('Expenditure Breakdown'!$G$6:$G$170, 'Expenditure Breakdown'!$H$6:$H$170, "&gt;="&amp;IG1,'Expenditure Breakdown'!$H$6:$H$170, "&lt;"&amp;IH1)</f>
        <v>0</v>
      </c>
      <c r="IH5" s="112">
        <f>SUMIFS('Expenditure Breakdown'!$G$6:$G$170, 'Expenditure Breakdown'!$H$6:$H$170, "&gt;="&amp;IH1,'Expenditure Breakdown'!$H$6:$H$170, "&lt;"&amp;II1)</f>
        <v>0</v>
      </c>
      <c r="II5" s="112">
        <f>SUMIFS('Expenditure Breakdown'!$G$6:$G$170, 'Expenditure Breakdown'!$H$6:$H$170, "&gt;="&amp;II1,'Expenditure Breakdown'!$H$6:$H$170, "&lt;"&amp;IJ1)</f>
        <v>0</v>
      </c>
      <c r="IJ5" s="112">
        <f>SUMIFS('Expenditure Breakdown'!$G$6:$G$170, 'Expenditure Breakdown'!$H$6:$H$170, "&gt;="&amp;IJ1,'Expenditure Breakdown'!$H$6:$H$170, "&lt;"&amp;IK1)</f>
        <v>0</v>
      </c>
      <c r="IK5" s="112">
        <f>SUMIFS('Expenditure Breakdown'!$G$6:$G$170, 'Expenditure Breakdown'!$H$6:$H$170, "&gt;="&amp;IK1,'Expenditure Breakdown'!$H$6:$H$170, "&lt;"&amp;IL1)</f>
        <v>0</v>
      </c>
      <c r="IL5" s="112">
        <f>SUMIFS('Expenditure Breakdown'!$G$6:$G$170, 'Expenditure Breakdown'!$H$6:$H$170, "&gt;="&amp;IL1,'Expenditure Breakdown'!$H$6:$H$170, "&lt;"&amp;IM1)</f>
        <v>0</v>
      </c>
      <c r="IM5" s="112">
        <f>SUMIFS('Expenditure Breakdown'!$G$6:$G$170, 'Expenditure Breakdown'!$H$6:$H$170, "&gt;="&amp;IM1,'Expenditure Breakdown'!$H$6:$H$170, "&lt;"&amp;IN1)</f>
        <v>0</v>
      </c>
      <c r="IN5" s="112">
        <f>SUMIFS('Expenditure Breakdown'!$G$6:$G$170, 'Expenditure Breakdown'!$H$6:$H$170, "&gt;="&amp;IN1,'Expenditure Breakdown'!$H$6:$H$170, "&lt;"&amp;IO1)</f>
        <v>0</v>
      </c>
      <c r="IO5" s="112">
        <f>SUMIFS('Expenditure Breakdown'!$G$6:$G$170, 'Expenditure Breakdown'!$H$6:$H$170, "&gt;="&amp;IO1,'Expenditure Breakdown'!$H$6:$H$170, "&lt;"&amp;IP1)</f>
        <v>0</v>
      </c>
      <c r="IP5" s="112">
        <f>SUMIFS('Expenditure Breakdown'!$G$6:$G$170, 'Expenditure Breakdown'!$H$6:$H$170, "&gt;="&amp;IP1,'Expenditure Breakdown'!$H$6:$H$170, "&lt;"&amp;IQ1)</f>
        <v>0</v>
      </c>
      <c r="IQ5" s="112">
        <f>SUMIFS('Expenditure Breakdown'!$G$6:$G$170, 'Expenditure Breakdown'!$H$6:$H$170, "&gt;="&amp;IQ1,'Expenditure Breakdown'!$H$6:$H$170, "&lt;"&amp;IR1)</f>
        <v>0</v>
      </c>
      <c r="IR5" s="112">
        <f>SUMIFS('Expenditure Breakdown'!$G$6:$G$170, 'Expenditure Breakdown'!$H$6:$H$170, "&gt;="&amp;IR1,'Expenditure Breakdown'!$H$6:$H$170, "&lt;"&amp;IS1)</f>
        <v>0</v>
      </c>
      <c r="IS5" s="112">
        <f>SUMIFS('Expenditure Breakdown'!$G$6:$G$170, 'Expenditure Breakdown'!$H$6:$H$170, "&gt;="&amp;IS1,'Expenditure Breakdown'!$H$6:$H$170, "&lt;"&amp;IT1)</f>
        <v>0</v>
      </c>
      <c r="IT5" s="112">
        <f>SUMIFS('Expenditure Breakdown'!$G$6:$G$170, 'Expenditure Breakdown'!$H$6:$H$170, "&gt;="&amp;IT1,'Expenditure Breakdown'!$H$6:$H$170, "&lt;"&amp;IU1)</f>
        <v>0</v>
      </c>
      <c r="IU5" s="112">
        <f>SUMIFS('Expenditure Breakdown'!$G$6:$G$170, 'Expenditure Breakdown'!$H$6:$H$170, "&gt;="&amp;IU1,'Expenditure Breakdown'!$H$6:$H$170, "&lt;"&amp;IV1)</f>
        <v>0</v>
      </c>
      <c r="IV5" s="112">
        <f>SUMIFS('Expenditure Breakdown'!$G$6:$G$170, 'Expenditure Breakdown'!$H$6:$H$170, "&gt;="&amp;IV1,'Expenditure Breakdown'!$H$6:$H$170, "&lt;"&amp;IW1)</f>
        <v>0</v>
      </c>
      <c r="IW5" s="112">
        <f>SUMIFS('Expenditure Breakdown'!$G$6:$G$170, 'Expenditure Breakdown'!$H$6:$H$170, "&gt;="&amp;IW1,'Expenditure Breakdown'!$H$6:$H$170, "&lt;"&amp;IX1)</f>
        <v>0</v>
      </c>
      <c r="IX5" s="112">
        <f>SUMIFS('Expenditure Breakdown'!$G$6:$G$170, 'Expenditure Breakdown'!$H$6:$H$170, "&gt;="&amp;IX1,'Expenditure Breakdown'!$H$6:$H$170, "&lt;"&amp;IY1)</f>
        <v>0</v>
      </c>
      <c r="IY5" s="112">
        <f>SUMIFS('Expenditure Breakdown'!$G$6:$G$170, 'Expenditure Breakdown'!$H$6:$H$170, "&gt;="&amp;IY1,'Expenditure Breakdown'!$H$6:$H$170, "&lt;"&amp;IZ1)</f>
        <v>0</v>
      </c>
      <c r="IZ5" s="112">
        <f>SUMIFS('Expenditure Breakdown'!$G$6:$G$170, 'Expenditure Breakdown'!$H$6:$H$170, "&gt;="&amp;IZ1,'Expenditure Breakdown'!$H$6:$H$170, "&lt;"&amp;JA1)</f>
        <v>0</v>
      </c>
      <c r="JA5" s="112">
        <f>SUMIFS('Expenditure Breakdown'!$G$6:$G$170, 'Expenditure Breakdown'!$H$6:$H$170, "&gt;="&amp;JA1,'Expenditure Breakdown'!$H$6:$H$170, "&lt;"&amp;JB1)</f>
        <v>0</v>
      </c>
      <c r="JB5" s="112">
        <f>SUMIFS('Expenditure Breakdown'!$G$6:$G$170, 'Expenditure Breakdown'!$H$6:$H$170, "&gt;="&amp;JB1,'Expenditure Breakdown'!$H$6:$H$170, "&lt;"&amp;JC1)</f>
        <v>0</v>
      </c>
      <c r="JC5" s="112">
        <f>SUMIFS('Expenditure Breakdown'!$G$6:$G$170, 'Expenditure Breakdown'!$H$6:$H$170, "&gt;="&amp;JC1,'Expenditure Breakdown'!$H$6:$H$170, "&lt;"&amp;JD1)</f>
        <v>0</v>
      </c>
      <c r="JD5" s="112">
        <f>SUMIFS('Expenditure Breakdown'!$G$6:$G$170, 'Expenditure Breakdown'!$H$6:$H$170, "&gt;="&amp;JD1,'Expenditure Breakdown'!$H$6:$H$170, "&lt;"&amp;JE1)</f>
        <v>0</v>
      </c>
      <c r="JE5" s="112">
        <f>SUMIFS('Expenditure Breakdown'!$G$6:$G$170, 'Expenditure Breakdown'!$H$6:$H$170, "&gt;="&amp;JE1,'Expenditure Breakdown'!$H$6:$H$170, "&lt;"&amp;JF1)</f>
        <v>0</v>
      </c>
      <c r="JF5" s="112">
        <f>SUMIFS('Expenditure Breakdown'!$G$6:$G$170, 'Expenditure Breakdown'!$H$6:$H$170, "&gt;="&amp;JF1,'Expenditure Breakdown'!$H$6:$H$170, "&lt;"&amp;JG1)</f>
        <v>0</v>
      </c>
      <c r="JG5" s="112">
        <f>SUMIFS('Expenditure Breakdown'!$G$6:$G$170, 'Expenditure Breakdown'!$H$6:$H$170, "&gt;="&amp;JG1,'Expenditure Breakdown'!$H$6:$H$170, "&lt;"&amp;JH1)</f>
        <v>0</v>
      </c>
      <c r="JH5" s="112">
        <f>SUMIFS('Expenditure Breakdown'!$G$6:$G$170, 'Expenditure Breakdown'!$H$6:$H$170, "&gt;="&amp;JH1,'Expenditure Breakdown'!$H$6:$H$170, "&lt;"&amp;JI1)</f>
        <v>0</v>
      </c>
      <c r="JI5" s="112">
        <f>SUMIFS('Expenditure Breakdown'!$G$6:$G$170, 'Expenditure Breakdown'!$H$6:$H$170, "&gt;="&amp;JI1,'Expenditure Breakdown'!$H$6:$H$170, "&lt;"&amp;JJ1)</f>
        <v>0</v>
      </c>
      <c r="JJ5" s="112">
        <f>SUMIFS('Expenditure Breakdown'!$G$6:$G$170, 'Expenditure Breakdown'!$H$6:$H$170, "&gt;="&amp;JJ1,'Expenditure Breakdown'!$H$6:$H$170, "&lt;"&amp;JK1)</f>
        <v>0</v>
      </c>
      <c r="JK5" s="112">
        <f>SUMIFS('Expenditure Breakdown'!$G$6:$G$170, 'Expenditure Breakdown'!$H$6:$H$170, "&gt;="&amp;JK1,'Expenditure Breakdown'!$H$6:$H$170, "&lt;"&amp;JL1)</f>
        <v>0</v>
      </c>
      <c r="JL5" s="112">
        <f>SUMIFS('Expenditure Breakdown'!$G$6:$G$170, 'Expenditure Breakdown'!$H$6:$H$170, "&gt;="&amp;JL1,'Expenditure Breakdown'!$H$6:$H$170, "&lt;"&amp;JM1)</f>
        <v>0</v>
      </c>
      <c r="JM5" s="112">
        <f>SUMIFS('Expenditure Breakdown'!$G$6:$G$170, 'Expenditure Breakdown'!$H$6:$H$170, "&gt;="&amp;JM1,'Expenditure Breakdown'!$H$6:$H$170, "&lt;"&amp;JN1)</f>
        <v>0</v>
      </c>
      <c r="JN5" s="112">
        <f>SUMIFS('Expenditure Breakdown'!$G$6:$G$170, 'Expenditure Breakdown'!$H$6:$H$170, "&gt;="&amp;JN1,'Expenditure Breakdown'!$H$6:$H$170, "&lt;"&amp;JO1)</f>
        <v>0</v>
      </c>
      <c r="JO5" s="112">
        <f>SUMIFS('Expenditure Breakdown'!$G$6:$G$170, 'Expenditure Breakdown'!$H$6:$H$170, "&gt;="&amp;JO1,'Expenditure Breakdown'!$H$6:$H$170, "&lt;"&amp;JP1)</f>
        <v>0</v>
      </c>
      <c r="JP5" s="112">
        <f>SUMIFS('Expenditure Breakdown'!$G$6:$G$170, 'Expenditure Breakdown'!$H$6:$H$170, "&gt;="&amp;JP1,'Expenditure Breakdown'!$H$6:$H$170, "&lt;"&amp;JQ1)</f>
        <v>0</v>
      </c>
      <c r="JQ5" s="112">
        <f>SUMIFS('Expenditure Breakdown'!$G$6:$G$170, 'Expenditure Breakdown'!$H$6:$H$170, "&gt;="&amp;JQ1,'Expenditure Breakdown'!$H$6:$H$170, "&lt;"&amp;JR1)</f>
        <v>0</v>
      </c>
      <c r="JR5" s="112">
        <f>SUMIFS('Expenditure Breakdown'!$G$6:$G$170, 'Expenditure Breakdown'!$H$6:$H$170, "&gt;="&amp;JR1,'Expenditure Breakdown'!$H$6:$H$170, "&lt;"&amp;JS1)</f>
        <v>0</v>
      </c>
      <c r="JS5" s="112">
        <f>SUMIFS('Expenditure Breakdown'!$G$6:$G$170, 'Expenditure Breakdown'!$H$6:$H$170, "&gt;="&amp;JS1,'Expenditure Breakdown'!$H$6:$H$170, "&lt;"&amp;JT1)</f>
        <v>0</v>
      </c>
      <c r="JT5" s="112">
        <f>SUMIFS('Expenditure Breakdown'!$G$6:$G$170, 'Expenditure Breakdown'!$H$6:$H$170, "&gt;="&amp;JT1,'Expenditure Breakdown'!$H$6:$H$170, "&lt;"&amp;JU1)</f>
        <v>0</v>
      </c>
      <c r="JU5" s="112">
        <f>SUMIFS('Expenditure Breakdown'!$G$6:$G$170, 'Expenditure Breakdown'!$H$6:$H$170, "&gt;="&amp;JU1,'Expenditure Breakdown'!$H$6:$H$170, "&lt;"&amp;JV1)</f>
        <v>0</v>
      </c>
      <c r="JV5" s="112">
        <f>SUMIFS('Expenditure Breakdown'!$G$6:$G$170, 'Expenditure Breakdown'!$H$6:$H$170, "&gt;="&amp;JV1,'Expenditure Breakdown'!$H$6:$H$170, "&lt;"&amp;JW1)</f>
        <v>0</v>
      </c>
      <c r="JW5" s="112">
        <f>SUMIFS('Expenditure Breakdown'!$G$6:$G$170, 'Expenditure Breakdown'!$H$6:$H$170, "&gt;="&amp;JW1,'Expenditure Breakdown'!$H$6:$H$170, "&lt;"&amp;JX1)</f>
        <v>0</v>
      </c>
      <c r="JX5" s="112">
        <f>SUMIFS('Expenditure Breakdown'!$G$6:$G$170, 'Expenditure Breakdown'!$H$6:$H$170, "&gt;="&amp;JX1,'Expenditure Breakdown'!$H$6:$H$170, "&lt;"&amp;JY1)</f>
        <v>0</v>
      </c>
      <c r="JY5" s="112">
        <f>SUMIFS('Expenditure Breakdown'!$G$6:$G$170, 'Expenditure Breakdown'!$H$6:$H$170, "&gt;="&amp;JY1,'Expenditure Breakdown'!$H$6:$H$170, "&lt;"&amp;JZ1)</f>
        <v>0</v>
      </c>
      <c r="JZ5" s="112">
        <f>SUMIFS('Expenditure Breakdown'!$G$6:$G$170, 'Expenditure Breakdown'!$H$6:$H$170, "&gt;="&amp;JZ1,'Expenditure Breakdown'!$H$6:$H$170, "&lt;"&amp;KA1)</f>
        <v>0</v>
      </c>
      <c r="KA5" s="112">
        <f>SUMIFS('Expenditure Breakdown'!$G$6:$G$170, 'Expenditure Breakdown'!$H$6:$H$170, "&gt;="&amp;KA1,'Expenditure Breakdown'!$H$6:$H$170, "&lt;"&amp;KB1)</f>
        <v>0</v>
      </c>
      <c r="KB5" s="112">
        <f>SUMIFS('Expenditure Breakdown'!$G$6:$G$170, 'Expenditure Breakdown'!$H$6:$H$170, "&gt;="&amp;KB1,'Expenditure Breakdown'!$H$6:$H$170, "&lt;"&amp;KC1)</f>
        <v>0</v>
      </c>
      <c r="KC5" s="112">
        <f>SUMIFS('Expenditure Breakdown'!$G$6:$G$170, 'Expenditure Breakdown'!$H$6:$H$170, "&gt;="&amp;KC1,'Expenditure Breakdown'!$H$6:$H$170, "&lt;"&amp;KD1)</f>
        <v>0</v>
      </c>
      <c r="KD5" s="112">
        <f>SUMIFS('Expenditure Breakdown'!$G$6:$G$170, 'Expenditure Breakdown'!$H$6:$H$170, "&gt;="&amp;KD1,'Expenditure Breakdown'!$H$6:$H$170, "&lt;"&amp;KE1)</f>
        <v>0</v>
      </c>
      <c r="KE5" s="112">
        <f>SUMIFS('Expenditure Breakdown'!$G$6:$G$170, 'Expenditure Breakdown'!$H$6:$H$170, "&gt;="&amp;KE1,'Expenditure Breakdown'!$H$6:$H$170, "&lt;"&amp;KF1)</f>
        <v>0</v>
      </c>
      <c r="KF5" s="112">
        <f>SUMIFS('Expenditure Breakdown'!$G$6:$G$170, 'Expenditure Breakdown'!$H$6:$H$170, "&gt;="&amp;KF1,'Expenditure Breakdown'!$H$6:$H$170, "&lt;"&amp;#REF!)</f>
        <v>0</v>
      </c>
      <c r="KG5" s="102"/>
      <c r="KH5" s="113"/>
      <c r="KI5" s="113"/>
    </row>
    <row r="6" spans="1:770" s="114" customFormat="1">
      <c r="A6" s="745"/>
      <c r="B6" s="110" t="s">
        <v>417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45"/>
      <c r="B7" s="115" t="s">
        <v>418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44" t="s">
        <v>217</v>
      </c>
      <c r="B8" s="103"/>
      <c r="C8" s="104" t="s">
        <v>282</v>
      </c>
      <c r="D8" s="104" t="s">
        <v>282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5"/>
      <c r="B9" s="120" t="s">
        <v>419</v>
      </c>
      <c r="C9" s="121">
        <f>'Revenue Tracking'!F4</f>
        <v>1862957.150983484</v>
      </c>
      <c r="D9" s="121">
        <f>SUM(F9:KF9)</f>
        <v>1862957.1509834835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279443.57264752255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5"/>
      <c r="B10" s="120" t="s">
        <v>420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1583513.5783359611</v>
      </c>
      <c r="Y10" s="122">
        <f t="shared" si="21"/>
        <v>1583513.5783359611</v>
      </c>
      <c r="Z10" s="122">
        <f t="shared" si="21"/>
        <v>1862957.1509834835</v>
      </c>
      <c r="AA10" s="122">
        <f t="shared" si="21"/>
        <v>1862957.1509834835</v>
      </c>
      <c r="AB10" s="122">
        <f t="shared" si="21"/>
        <v>1862957.1509834835</v>
      </c>
      <c r="AC10" s="122">
        <f t="shared" si="21"/>
        <v>1862957.1509834835</v>
      </c>
      <c r="AD10" s="122">
        <f>AC10+AD9</f>
        <v>1862957.1509834835</v>
      </c>
      <c r="AE10" s="122">
        <f t="shared" si="21"/>
        <v>1862957.1509834835</v>
      </c>
      <c r="AF10" s="122">
        <f t="shared" si="21"/>
        <v>1862957.1509834835</v>
      </c>
      <c r="AG10" s="122">
        <f t="shared" si="21"/>
        <v>1862957.1509834835</v>
      </c>
      <c r="AH10" s="122">
        <f t="shared" si="21"/>
        <v>1862957.1509834835</v>
      </c>
      <c r="AI10" s="122">
        <f t="shared" si="21"/>
        <v>1862957.1509834835</v>
      </c>
      <c r="AJ10" s="122">
        <f t="shared" si="21"/>
        <v>1862957.1509834835</v>
      </c>
      <c r="AK10" s="122">
        <f t="shared" si="21"/>
        <v>1862957.1509834835</v>
      </c>
      <c r="AL10" s="122">
        <f t="shared" si="21"/>
        <v>1862957.1509834835</v>
      </c>
      <c r="AM10" s="122">
        <f t="shared" si="21"/>
        <v>1862957.1509834835</v>
      </c>
      <c r="AN10" s="122">
        <f t="shared" si="21"/>
        <v>1862957.1509834835</v>
      </c>
      <c r="AO10" s="122">
        <f t="shared" si="21"/>
        <v>1862957.1509834835</v>
      </c>
      <c r="AP10" s="122">
        <f t="shared" si="21"/>
        <v>1862957.1509834835</v>
      </c>
      <c r="AQ10" s="122">
        <f t="shared" si="21"/>
        <v>1862957.1509834835</v>
      </c>
      <c r="AR10" s="122">
        <f t="shared" si="21"/>
        <v>1862957.1509834835</v>
      </c>
      <c r="AS10" s="122">
        <f t="shared" si="21"/>
        <v>1862957.1509834835</v>
      </c>
      <c r="AT10" s="122">
        <f t="shared" si="21"/>
        <v>1862957.1509834835</v>
      </c>
      <c r="AU10" s="122">
        <f t="shared" si="21"/>
        <v>1862957.1509834835</v>
      </c>
      <c r="AV10" s="122">
        <f t="shared" si="21"/>
        <v>1862957.1509834835</v>
      </c>
      <c r="AW10" s="122">
        <f t="shared" si="21"/>
        <v>1862957.1509834835</v>
      </c>
      <c r="AX10" s="122">
        <f t="shared" si="21"/>
        <v>1862957.1509834835</v>
      </c>
      <c r="AY10" s="122">
        <f t="shared" si="21"/>
        <v>1862957.1509834835</v>
      </c>
      <c r="AZ10" s="122">
        <f t="shared" si="21"/>
        <v>1862957.1509834835</v>
      </c>
      <c r="BA10" s="122">
        <f t="shared" si="21"/>
        <v>1862957.1509834835</v>
      </c>
      <c r="BB10" s="122">
        <f t="shared" si="21"/>
        <v>1862957.1509834835</v>
      </c>
      <c r="BC10" s="122">
        <f t="shared" si="21"/>
        <v>1862957.1509834835</v>
      </c>
      <c r="BD10" s="122">
        <f t="shared" si="21"/>
        <v>1862957.1509834835</v>
      </c>
      <c r="BE10" s="122">
        <f t="shared" si="21"/>
        <v>1862957.1509834835</v>
      </c>
      <c r="BF10" s="122">
        <f t="shared" si="21"/>
        <v>1862957.1509834835</v>
      </c>
      <c r="BG10" s="122">
        <f t="shared" si="21"/>
        <v>1862957.1509834835</v>
      </c>
      <c r="BH10" s="122">
        <f t="shared" si="21"/>
        <v>1862957.1509834835</v>
      </c>
      <c r="BI10" s="122">
        <f t="shared" si="21"/>
        <v>1862957.1509834835</v>
      </c>
      <c r="BJ10" s="122">
        <f t="shared" si="21"/>
        <v>1862957.1509834835</v>
      </c>
      <c r="BK10" s="122">
        <f t="shared" si="21"/>
        <v>1862957.1509834835</v>
      </c>
      <c r="BL10" s="122">
        <f t="shared" si="21"/>
        <v>1862957.1509834835</v>
      </c>
      <c r="BM10" s="122">
        <f t="shared" si="21"/>
        <v>1862957.1509834835</v>
      </c>
      <c r="BN10" s="122">
        <f t="shared" si="21"/>
        <v>1862957.1509834835</v>
      </c>
      <c r="BO10" s="122">
        <f t="shared" si="21"/>
        <v>1862957.1509834835</v>
      </c>
      <c r="BP10" s="122">
        <f t="shared" si="21"/>
        <v>1862957.1509834835</v>
      </c>
      <c r="BQ10" s="122">
        <f t="shared" si="21"/>
        <v>1862957.1509834835</v>
      </c>
      <c r="BR10" s="122">
        <f t="shared" si="21"/>
        <v>1862957.1509834835</v>
      </c>
      <c r="BS10" s="122">
        <f t="shared" si="21"/>
        <v>1862957.1509834835</v>
      </c>
      <c r="BT10" s="122">
        <f t="shared" si="21"/>
        <v>1862957.1509834835</v>
      </c>
      <c r="BU10" s="122">
        <f t="shared" ref="BU10:EF10" si="22">BT10+BU9</f>
        <v>1862957.1509834835</v>
      </c>
      <c r="BV10" s="122">
        <f t="shared" si="22"/>
        <v>1862957.1509834835</v>
      </c>
      <c r="BW10" s="122">
        <f t="shared" si="22"/>
        <v>1862957.1509834835</v>
      </c>
      <c r="BX10" s="122">
        <f t="shared" si="22"/>
        <v>1862957.1509834835</v>
      </c>
      <c r="BY10" s="122">
        <f t="shared" si="22"/>
        <v>1862957.1509834835</v>
      </c>
      <c r="BZ10" s="122">
        <f t="shared" si="22"/>
        <v>1862957.1509834835</v>
      </c>
      <c r="CA10" s="122">
        <f t="shared" si="22"/>
        <v>1862957.1509834835</v>
      </c>
      <c r="CB10" s="122">
        <f t="shared" si="22"/>
        <v>1862957.1509834835</v>
      </c>
      <c r="CC10" s="122">
        <f t="shared" si="22"/>
        <v>1862957.1509834835</v>
      </c>
      <c r="CD10" s="122">
        <f t="shared" si="22"/>
        <v>1862957.1509834835</v>
      </c>
      <c r="CE10" s="122">
        <f t="shared" si="22"/>
        <v>1862957.1509834835</v>
      </c>
      <c r="CF10" s="122">
        <f t="shared" si="22"/>
        <v>1862957.1509834835</v>
      </c>
      <c r="CG10" s="122">
        <f t="shared" si="22"/>
        <v>1862957.1509834835</v>
      </c>
      <c r="CH10" s="122">
        <f t="shared" si="22"/>
        <v>1862957.1509834835</v>
      </c>
      <c r="CI10" s="122">
        <f t="shared" si="22"/>
        <v>1862957.1509834835</v>
      </c>
      <c r="CJ10" s="122">
        <f t="shared" si="22"/>
        <v>1862957.1509834835</v>
      </c>
      <c r="CK10" s="122">
        <f t="shared" si="22"/>
        <v>1862957.1509834835</v>
      </c>
      <c r="CL10" s="122">
        <f t="shared" si="22"/>
        <v>1862957.1509834835</v>
      </c>
      <c r="CM10" s="122">
        <f t="shared" si="22"/>
        <v>1862957.1509834835</v>
      </c>
      <c r="CN10" s="122">
        <f t="shared" si="22"/>
        <v>1862957.1509834835</v>
      </c>
      <c r="CO10" s="122">
        <f t="shared" si="22"/>
        <v>1862957.1509834835</v>
      </c>
      <c r="CP10" s="122">
        <f t="shared" si="22"/>
        <v>1862957.1509834835</v>
      </c>
      <c r="CQ10" s="122">
        <f t="shared" si="22"/>
        <v>1862957.1509834835</v>
      </c>
      <c r="CR10" s="122">
        <f t="shared" si="22"/>
        <v>1862957.1509834835</v>
      </c>
      <c r="CS10" s="122">
        <f t="shared" si="22"/>
        <v>1862957.1509834835</v>
      </c>
      <c r="CT10" s="122">
        <f t="shared" si="22"/>
        <v>1862957.1509834835</v>
      </c>
      <c r="CU10" s="122">
        <f t="shared" si="22"/>
        <v>1862957.1509834835</v>
      </c>
      <c r="CV10" s="122">
        <f t="shared" si="22"/>
        <v>1862957.1509834835</v>
      </c>
      <c r="CW10" s="122">
        <f t="shared" si="22"/>
        <v>1862957.1509834835</v>
      </c>
      <c r="CX10" s="122">
        <f t="shared" si="22"/>
        <v>1862957.1509834835</v>
      </c>
      <c r="CY10" s="122">
        <f t="shared" si="22"/>
        <v>1862957.1509834835</v>
      </c>
      <c r="CZ10" s="122">
        <f t="shared" si="22"/>
        <v>1862957.1509834835</v>
      </c>
      <c r="DA10" s="122">
        <f t="shared" si="22"/>
        <v>1862957.1509834835</v>
      </c>
      <c r="DB10" s="122">
        <f t="shared" si="22"/>
        <v>1862957.1509834835</v>
      </c>
      <c r="DC10" s="122">
        <f t="shared" si="22"/>
        <v>1862957.1509834835</v>
      </c>
      <c r="DD10" s="122">
        <f t="shared" si="22"/>
        <v>1862957.1509834835</v>
      </c>
      <c r="DE10" s="122">
        <f t="shared" si="22"/>
        <v>1862957.1509834835</v>
      </c>
      <c r="DF10" s="122">
        <f t="shared" si="22"/>
        <v>1862957.1509834835</v>
      </c>
      <c r="DG10" s="122">
        <f t="shared" si="22"/>
        <v>1862957.1509834835</v>
      </c>
      <c r="DH10" s="122">
        <f t="shared" si="22"/>
        <v>1862957.1509834835</v>
      </c>
      <c r="DI10" s="122">
        <f t="shared" si="22"/>
        <v>1862957.1509834835</v>
      </c>
      <c r="DJ10" s="122">
        <f t="shared" si="22"/>
        <v>1862957.1509834835</v>
      </c>
      <c r="DK10" s="122">
        <f t="shared" si="22"/>
        <v>1862957.1509834835</v>
      </c>
      <c r="DL10" s="122">
        <f t="shared" si="22"/>
        <v>1862957.1509834835</v>
      </c>
      <c r="DM10" s="122">
        <f t="shared" si="22"/>
        <v>1862957.1509834835</v>
      </c>
      <c r="DN10" s="122">
        <f t="shared" si="22"/>
        <v>1862957.1509834835</v>
      </c>
      <c r="DO10" s="122">
        <f t="shared" si="22"/>
        <v>1862957.1509834835</v>
      </c>
      <c r="DP10" s="122">
        <f t="shared" si="22"/>
        <v>1862957.1509834835</v>
      </c>
      <c r="DQ10" s="122">
        <f t="shared" si="22"/>
        <v>1862957.1509834835</v>
      </c>
      <c r="DR10" s="122">
        <f t="shared" si="22"/>
        <v>1862957.1509834835</v>
      </c>
      <c r="DS10" s="122">
        <f t="shared" si="22"/>
        <v>1862957.1509834835</v>
      </c>
      <c r="DT10" s="122">
        <f t="shared" si="22"/>
        <v>1862957.1509834835</v>
      </c>
      <c r="DU10" s="122">
        <f t="shared" si="22"/>
        <v>1862957.1509834835</v>
      </c>
      <c r="DV10" s="122">
        <f t="shared" si="22"/>
        <v>1862957.1509834835</v>
      </c>
      <c r="DW10" s="122">
        <f t="shared" si="22"/>
        <v>1862957.1509834835</v>
      </c>
      <c r="DX10" s="122">
        <f t="shared" si="22"/>
        <v>1862957.1509834835</v>
      </c>
      <c r="DY10" s="122">
        <f t="shared" si="22"/>
        <v>1862957.1509834835</v>
      </c>
      <c r="DZ10" s="122">
        <f t="shared" si="22"/>
        <v>1862957.1509834835</v>
      </c>
      <c r="EA10" s="122">
        <f t="shared" si="22"/>
        <v>1862957.1509834835</v>
      </c>
      <c r="EB10" s="122">
        <f t="shared" si="22"/>
        <v>1862957.1509834835</v>
      </c>
      <c r="EC10" s="122">
        <f t="shared" si="22"/>
        <v>1862957.1509834835</v>
      </c>
      <c r="ED10" s="122">
        <f t="shared" si="22"/>
        <v>1862957.1509834835</v>
      </c>
      <c r="EE10" s="122">
        <f t="shared" si="22"/>
        <v>1862957.1509834835</v>
      </c>
      <c r="EF10" s="122">
        <f t="shared" si="22"/>
        <v>1862957.1509834835</v>
      </c>
      <c r="EG10" s="122">
        <f t="shared" ref="EG10:GR10" si="23">EF10+EG9</f>
        <v>1862957.1509834835</v>
      </c>
      <c r="EH10" s="122">
        <f t="shared" si="23"/>
        <v>1862957.1509834835</v>
      </c>
      <c r="EI10" s="122">
        <f t="shared" si="23"/>
        <v>1862957.1509834835</v>
      </c>
      <c r="EJ10" s="122">
        <f t="shared" si="23"/>
        <v>1862957.1509834835</v>
      </c>
      <c r="EK10" s="122">
        <f t="shared" si="23"/>
        <v>1862957.1509834835</v>
      </c>
      <c r="EL10" s="122">
        <f t="shared" si="23"/>
        <v>1862957.1509834835</v>
      </c>
      <c r="EM10" s="122">
        <f t="shared" si="23"/>
        <v>1862957.1509834835</v>
      </c>
      <c r="EN10" s="122">
        <f t="shared" si="23"/>
        <v>1862957.1509834835</v>
      </c>
      <c r="EO10" s="122">
        <f t="shared" si="23"/>
        <v>1862957.1509834835</v>
      </c>
      <c r="EP10" s="122">
        <f t="shared" si="23"/>
        <v>1862957.1509834835</v>
      </c>
      <c r="EQ10" s="122">
        <f t="shared" si="23"/>
        <v>1862957.1509834835</v>
      </c>
      <c r="ER10" s="122">
        <f t="shared" si="23"/>
        <v>1862957.1509834835</v>
      </c>
      <c r="ES10" s="122">
        <f t="shared" si="23"/>
        <v>1862957.1509834835</v>
      </c>
      <c r="ET10" s="122">
        <f t="shared" si="23"/>
        <v>1862957.1509834835</v>
      </c>
      <c r="EU10" s="122">
        <f t="shared" si="23"/>
        <v>1862957.1509834835</v>
      </c>
      <c r="EV10" s="122">
        <f t="shared" si="23"/>
        <v>1862957.1509834835</v>
      </c>
      <c r="EW10" s="122">
        <f t="shared" si="23"/>
        <v>1862957.1509834835</v>
      </c>
      <c r="EX10" s="122">
        <f t="shared" si="23"/>
        <v>1862957.1509834835</v>
      </c>
      <c r="EY10" s="122">
        <f t="shared" si="23"/>
        <v>1862957.1509834835</v>
      </c>
      <c r="EZ10" s="122">
        <f t="shared" si="23"/>
        <v>1862957.1509834835</v>
      </c>
      <c r="FA10" s="122">
        <f t="shared" si="23"/>
        <v>1862957.1509834835</v>
      </c>
      <c r="FB10" s="122">
        <f t="shared" si="23"/>
        <v>1862957.1509834835</v>
      </c>
      <c r="FC10" s="122">
        <f t="shared" si="23"/>
        <v>1862957.1509834835</v>
      </c>
      <c r="FD10" s="122">
        <f t="shared" si="23"/>
        <v>1862957.1509834835</v>
      </c>
      <c r="FE10" s="122">
        <f t="shared" si="23"/>
        <v>1862957.1509834835</v>
      </c>
      <c r="FF10" s="122">
        <f t="shared" si="23"/>
        <v>1862957.1509834835</v>
      </c>
      <c r="FG10" s="122">
        <f t="shared" si="23"/>
        <v>1862957.1509834835</v>
      </c>
      <c r="FH10" s="122">
        <f t="shared" si="23"/>
        <v>1862957.1509834835</v>
      </c>
      <c r="FI10" s="122">
        <f t="shared" si="23"/>
        <v>1862957.1509834835</v>
      </c>
      <c r="FJ10" s="122">
        <f t="shared" si="23"/>
        <v>1862957.1509834835</v>
      </c>
      <c r="FK10" s="122">
        <f t="shared" si="23"/>
        <v>1862957.1509834835</v>
      </c>
      <c r="FL10" s="122">
        <f t="shared" si="23"/>
        <v>1862957.1509834835</v>
      </c>
      <c r="FM10" s="122">
        <f t="shared" si="23"/>
        <v>1862957.1509834835</v>
      </c>
      <c r="FN10" s="122">
        <f t="shared" si="23"/>
        <v>1862957.1509834835</v>
      </c>
      <c r="FO10" s="122">
        <f t="shared" si="23"/>
        <v>1862957.1509834835</v>
      </c>
      <c r="FP10" s="122">
        <f t="shared" si="23"/>
        <v>1862957.1509834835</v>
      </c>
      <c r="FQ10" s="122">
        <f t="shared" si="23"/>
        <v>1862957.1509834835</v>
      </c>
      <c r="FR10" s="122">
        <f t="shared" si="23"/>
        <v>1862957.1509834835</v>
      </c>
      <c r="FS10" s="122">
        <f t="shared" si="23"/>
        <v>1862957.1509834835</v>
      </c>
      <c r="FT10" s="122">
        <f t="shared" si="23"/>
        <v>1862957.1509834835</v>
      </c>
      <c r="FU10" s="122">
        <f t="shared" si="23"/>
        <v>1862957.1509834835</v>
      </c>
      <c r="FV10" s="122">
        <f t="shared" si="23"/>
        <v>1862957.1509834835</v>
      </c>
      <c r="FW10" s="122">
        <f t="shared" si="23"/>
        <v>1862957.1509834835</v>
      </c>
      <c r="FX10" s="122">
        <f t="shared" si="23"/>
        <v>1862957.1509834835</v>
      </c>
      <c r="FY10" s="122">
        <f t="shared" si="23"/>
        <v>1862957.1509834835</v>
      </c>
      <c r="FZ10" s="122">
        <f t="shared" si="23"/>
        <v>1862957.1509834835</v>
      </c>
      <c r="GA10" s="122">
        <f t="shared" si="23"/>
        <v>1862957.1509834835</v>
      </c>
      <c r="GB10" s="122">
        <f t="shared" si="23"/>
        <v>1862957.1509834835</v>
      </c>
      <c r="GC10" s="122">
        <f t="shared" si="23"/>
        <v>1862957.1509834835</v>
      </c>
      <c r="GD10" s="122">
        <f t="shared" si="23"/>
        <v>1862957.1509834835</v>
      </c>
      <c r="GE10" s="122">
        <f t="shared" si="23"/>
        <v>1862957.1509834835</v>
      </c>
      <c r="GF10" s="122">
        <f t="shared" si="23"/>
        <v>1862957.1509834835</v>
      </c>
      <c r="GG10" s="122">
        <f t="shared" si="23"/>
        <v>1862957.1509834835</v>
      </c>
      <c r="GH10" s="122">
        <f t="shared" si="23"/>
        <v>1862957.1509834835</v>
      </c>
      <c r="GI10" s="122">
        <f t="shared" si="23"/>
        <v>1862957.1509834835</v>
      </c>
      <c r="GJ10" s="122">
        <f t="shared" si="23"/>
        <v>1862957.1509834835</v>
      </c>
      <c r="GK10" s="122">
        <f t="shared" si="23"/>
        <v>1862957.1509834835</v>
      </c>
      <c r="GL10" s="122">
        <f t="shared" si="23"/>
        <v>1862957.1509834835</v>
      </c>
      <c r="GM10" s="122">
        <f t="shared" si="23"/>
        <v>1862957.1509834835</v>
      </c>
      <c r="GN10" s="122">
        <f t="shared" si="23"/>
        <v>1862957.1509834835</v>
      </c>
      <c r="GO10" s="122">
        <f t="shared" si="23"/>
        <v>1862957.1509834835</v>
      </c>
      <c r="GP10" s="122">
        <f t="shared" si="23"/>
        <v>1862957.1509834835</v>
      </c>
      <c r="GQ10" s="122">
        <f t="shared" si="23"/>
        <v>1862957.1509834835</v>
      </c>
      <c r="GR10" s="122">
        <f t="shared" si="23"/>
        <v>1862957.1509834835</v>
      </c>
      <c r="GS10" s="122">
        <f t="shared" ref="GS10:JD10" si="24">GR10+GS9</f>
        <v>1862957.1509834835</v>
      </c>
      <c r="GT10" s="122">
        <f t="shared" si="24"/>
        <v>1862957.1509834835</v>
      </c>
      <c r="GU10" s="122">
        <f t="shared" si="24"/>
        <v>1862957.1509834835</v>
      </c>
      <c r="GV10" s="122">
        <f t="shared" si="24"/>
        <v>1862957.1509834835</v>
      </c>
      <c r="GW10" s="122">
        <f t="shared" si="24"/>
        <v>1862957.1509834835</v>
      </c>
      <c r="GX10" s="122">
        <f t="shared" si="24"/>
        <v>1862957.1509834835</v>
      </c>
      <c r="GY10" s="122">
        <f t="shared" si="24"/>
        <v>1862957.1509834835</v>
      </c>
      <c r="GZ10" s="122">
        <f t="shared" si="24"/>
        <v>1862957.1509834835</v>
      </c>
      <c r="HA10" s="122">
        <f t="shared" si="24"/>
        <v>1862957.1509834835</v>
      </c>
      <c r="HB10" s="122">
        <f t="shared" si="24"/>
        <v>1862957.1509834835</v>
      </c>
      <c r="HC10" s="122">
        <f t="shared" si="24"/>
        <v>1862957.1509834835</v>
      </c>
      <c r="HD10" s="122">
        <f t="shared" si="24"/>
        <v>1862957.1509834835</v>
      </c>
      <c r="HE10" s="122">
        <f t="shared" si="24"/>
        <v>1862957.1509834835</v>
      </c>
      <c r="HF10" s="122">
        <f t="shared" si="24"/>
        <v>1862957.1509834835</v>
      </c>
      <c r="HG10" s="122">
        <f t="shared" si="24"/>
        <v>1862957.1509834835</v>
      </c>
      <c r="HH10" s="122">
        <f t="shared" si="24"/>
        <v>1862957.1509834835</v>
      </c>
      <c r="HI10" s="122">
        <f t="shared" si="24"/>
        <v>1862957.1509834835</v>
      </c>
      <c r="HJ10" s="122">
        <f t="shared" si="24"/>
        <v>1862957.1509834835</v>
      </c>
      <c r="HK10" s="122">
        <f t="shared" si="24"/>
        <v>1862957.1509834835</v>
      </c>
      <c r="HL10" s="122">
        <f t="shared" si="24"/>
        <v>1862957.1509834835</v>
      </c>
      <c r="HM10" s="122">
        <f t="shared" si="24"/>
        <v>1862957.1509834835</v>
      </c>
      <c r="HN10" s="122">
        <f t="shared" si="24"/>
        <v>1862957.1509834835</v>
      </c>
      <c r="HO10" s="122">
        <f t="shared" si="24"/>
        <v>1862957.1509834835</v>
      </c>
      <c r="HP10" s="122">
        <f t="shared" si="24"/>
        <v>1862957.1509834835</v>
      </c>
      <c r="HQ10" s="122">
        <f t="shared" si="24"/>
        <v>1862957.1509834835</v>
      </c>
      <c r="HR10" s="122">
        <f t="shared" si="24"/>
        <v>1862957.1509834835</v>
      </c>
      <c r="HS10" s="122">
        <f t="shared" si="24"/>
        <v>1862957.1509834835</v>
      </c>
      <c r="HT10" s="122">
        <f t="shared" si="24"/>
        <v>1862957.1509834835</v>
      </c>
      <c r="HU10" s="122">
        <f t="shared" si="24"/>
        <v>1862957.1509834835</v>
      </c>
      <c r="HV10" s="122">
        <f t="shared" si="24"/>
        <v>1862957.1509834835</v>
      </c>
      <c r="HW10" s="122">
        <f t="shared" si="24"/>
        <v>1862957.1509834835</v>
      </c>
      <c r="HX10" s="122">
        <f t="shared" si="24"/>
        <v>1862957.1509834835</v>
      </c>
      <c r="HY10" s="122">
        <f t="shared" si="24"/>
        <v>1862957.1509834835</v>
      </c>
      <c r="HZ10" s="122">
        <f t="shared" si="24"/>
        <v>1862957.1509834835</v>
      </c>
      <c r="IA10" s="122">
        <f t="shared" si="24"/>
        <v>1862957.1509834835</v>
      </c>
      <c r="IB10" s="122">
        <f t="shared" si="24"/>
        <v>1862957.1509834835</v>
      </c>
      <c r="IC10" s="122">
        <f t="shared" si="24"/>
        <v>1862957.1509834835</v>
      </c>
      <c r="ID10" s="122">
        <f t="shared" si="24"/>
        <v>1862957.1509834835</v>
      </c>
      <c r="IE10" s="122">
        <f t="shared" si="24"/>
        <v>1862957.1509834835</v>
      </c>
      <c r="IF10" s="122">
        <f t="shared" si="24"/>
        <v>1862957.1509834835</v>
      </c>
      <c r="IG10" s="122">
        <f t="shared" si="24"/>
        <v>1862957.1509834835</v>
      </c>
      <c r="IH10" s="122">
        <f t="shared" si="24"/>
        <v>1862957.1509834835</v>
      </c>
      <c r="II10" s="122">
        <f t="shared" si="24"/>
        <v>1862957.1509834835</v>
      </c>
      <c r="IJ10" s="122">
        <f t="shared" si="24"/>
        <v>1862957.1509834835</v>
      </c>
      <c r="IK10" s="122">
        <f t="shared" si="24"/>
        <v>1862957.1509834835</v>
      </c>
      <c r="IL10" s="122">
        <f t="shared" si="24"/>
        <v>1862957.1509834835</v>
      </c>
      <c r="IM10" s="122">
        <f t="shared" si="24"/>
        <v>1862957.1509834835</v>
      </c>
      <c r="IN10" s="122">
        <f t="shared" si="24"/>
        <v>1862957.1509834835</v>
      </c>
      <c r="IO10" s="122">
        <f t="shared" si="24"/>
        <v>1862957.1509834835</v>
      </c>
      <c r="IP10" s="122">
        <f t="shared" si="24"/>
        <v>1862957.1509834835</v>
      </c>
      <c r="IQ10" s="122">
        <f t="shared" si="24"/>
        <v>1862957.1509834835</v>
      </c>
      <c r="IR10" s="122">
        <f t="shared" si="24"/>
        <v>1862957.1509834835</v>
      </c>
      <c r="IS10" s="122">
        <f t="shared" si="24"/>
        <v>1862957.1509834835</v>
      </c>
      <c r="IT10" s="122">
        <f t="shared" si="24"/>
        <v>1862957.1509834835</v>
      </c>
      <c r="IU10" s="122">
        <f t="shared" si="24"/>
        <v>1862957.1509834835</v>
      </c>
      <c r="IV10" s="122">
        <f t="shared" si="24"/>
        <v>1862957.1509834835</v>
      </c>
      <c r="IW10" s="122">
        <f t="shared" si="24"/>
        <v>1862957.1509834835</v>
      </c>
      <c r="IX10" s="122">
        <f t="shared" si="24"/>
        <v>1862957.1509834835</v>
      </c>
      <c r="IY10" s="122">
        <f t="shared" si="24"/>
        <v>1862957.1509834835</v>
      </c>
      <c r="IZ10" s="122">
        <f t="shared" si="24"/>
        <v>1862957.1509834835</v>
      </c>
      <c r="JA10" s="122">
        <f t="shared" si="24"/>
        <v>1862957.1509834835</v>
      </c>
      <c r="JB10" s="122">
        <f t="shared" si="24"/>
        <v>1862957.1509834835</v>
      </c>
      <c r="JC10" s="122">
        <f t="shared" si="24"/>
        <v>1862957.1509834835</v>
      </c>
      <c r="JD10" s="122">
        <f t="shared" si="24"/>
        <v>1862957.1509834835</v>
      </c>
      <c r="JE10" s="122">
        <f t="shared" ref="JE10:KF10" si="25">JD10+JE9</f>
        <v>1862957.1509834835</v>
      </c>
      <c r="JF10" s="122">
        <f t="shared" si="25"/>
        <v>1862957.1509834835</v>
      </c>
      <c r="JG10" s="122">
        <f t="shared" si="25"/>
        <v>1862957.1509834835</v>
      </c>
      <c r="JH10" s="122">
        <f t="shared" si="25"/>
        <v>1862957.1509834835</v>
      </c>
      <c r="JI10" s="122">
        <f t="shared" si="25"/>
        <v>1862957.1509834835</v>
      </c>
      <c r="JJ10" s="122">
        <f t="shared" si="25"/>
        <v>1862957.1509834835</v>
      </c>
      <c r="JK10" s="122">
        <f t="shared" si="25"/>
        <v>1862957.1509834835</v>
      </c>
      <c r="JL10" s="122">
        <f t="shared" si="25"/>
        <v>1862957.1509834835</v>
      </c>
      <c r="JM10" s="122">
        <f t="shared" si="25"/>
        <v>1862957.1509834835</v>
      </c>
      <c r="JN10" s="122">
        <f t="shared" si="25"/>
        <v>1862957.1509834835</v>
      </c>
      <c r="JO10" s="122">
        <f t="shared" si="25"/>
        <v>1862957.1509834835</v>
      </c>
      <c r="JP10" s="122">
        <f t="shared" si="25"/>
        <v>1862957.1509834835</v>
      </c>
      <c r="JQ10" s="122">
        <f t="shared" si="25"/>
        <v>1862957.1509834835</v>
      </c>
      <c r="JR10" s="122">
        <f t="shared" si="25"/>
        <v>1862957.1509834835</v>
      </c>
      <c r="JS10" s="122">
        <f t="shared" si="25"/>
        <v>1862957.1509834835</v>
      </c>
      <c r="JT10" s="122">
        <f t="shared" si="25"/>
        <v>1862957.1509834835</v>
      </c>
      <c r="JU10" s="122">
        <f t="shared" si="25"/>
        <v>1862957.1509834835</v>
      </c>
      <c r="JV10" s="122">
        <f t="shared" si="25"/>
        <v>1862957.1509834835</v>
      </c>
      <c r="JW10" s="122">
        <f t="shared" si="25"/>
        <v>1862957.1509834835</v>
      </c>
      <c r="JX10" s="122">
        <f t="shared" si="25"/>
        <v>1862957.1509834835</v>
      </c>
      <c r="JY10" s="122">
        <f t="shared" si="25"/>
        <v>1862957.1509834835</v>
      </c>
      <c r="JZ10" s="122">
        <f t="shared" si="25"/>
        <v>1862957.1509834835</v>
      </c>
      <c r="KA10" s="122">
        <f t="shared" si="25"/>
        <v>1862957.1509834835</v>
      </c>
      <c r="KB10" s="122">
        <f t="shared" si="25"/>
        <v>1862957.1509834835</v>
      </c>
      <c r="KC10" s="122">
        <f t="shared" si="25"/>
        <v>1862957.1509834835</v>
      </c>
      <c r="KD10" s="122">
        <f t="shared" si="25"/>
        <v>1862957.1509834835</v>
      </c>
      <c r="KE10" s="122">
        <f t="shared" si="25"/>
        <v>1862957.1509834835</v>
      </c>
      <c r="KF10" s="122">
        <f t="shared" si="25"/>
        <v>1862957.1509834835</v>
      </c>
    </row>
    <row r="11" spans="1:770" s="114" customFormat="1">
      <c r="A11" s="745"/>
      <c r="B11" s="123" t="s">
        <v>421</v>
      </c>
      <c r="C11" s="124">
        <f>'Revenue Tracking'!F5</f>
        <v>1303783.7243872934</v>
      </c>
      <c r="D11" s="124">
        <f>SUM(F11:KF11)</f>
        <v>1303783.7243872937</v>
      </c>
      <c r="E11" s="108"/>
      <c r="F11" s="125">
        <f>SUMIFS('Expenditure Breakdown'!$Q$6:$Q$170, 'Expenditure Breakdown'!$W$6:$W$170, "&gt;="&amp;F1,'Expenditure Breakdown'!$W$6:$W$170, "&lt;"&amp;G1)</f>
        <v>8572.5</v>
      </c>
      <c r="G11" s="125">
        <f>SUMIFS('Expenditure Breakdown'!$Q$6:$Q$170, 'Expenditure Breakdown'!$W$6:$W$170, "&gt;="&amp;G1,'Expenditure Breakdown'!$W$6:$W$170, "&lt;"&amp;H1)</f>
        <v>0</v>
      </c>
      <c r="H11" s="125">
        <f>SUMIFS('Expenditure Breakdown'!$Q$6:$Q$170, 'Expenditure Breakdown'!$W$6:$W$170, "&gt;="&amp;H1,'Expenditure Breakdown'!$W$6:$W$170, "&lt;"&amp;I1)</f>
        <v>0</v>
      </c>
      <c r="I11" s="125">
        <f>SUMIFS('Expenditure Breakdown'!$Q$6:$Q$170, 'Expenditure Breakdown'!$W$6:$W$170, "&gt;="&amp;I1,'Expenditure Breakdown'!$W$6:$W$170, "&lt;"&amp;J1)</f>
        <v>0</v>
      </c>
      <c r="J11" s="125">
        <f>SUMIFS('Expenditure Breakdown'!$Q$6:$Q$170, 'Expenditure Breakdown'!$W$6:$W$170, "&gt;="&amp;J1,'Expenditure Breakdown'!$W$6:$W$170, "&lt;"&amp;K1)</f>
        <v>0</v>
      </c>
      <c r="K11" s="125">
        <f>SUMIFS('Expenditure Breakdown'!$Q$6:$Q$170, 'Expenditure Breakdown'!$W$6:$W$170, "&gt;="&amp;K1,'Expenditure Breakdown'!$W$6:$W$170, "&lt;"&amp;L1)</f>
        <v>0</v>
      </c>
      <c r="L11" s="125">
        <f>SUMIFS('Expenditure Breakdown'!$Q$6:$Q$170, 'Expenditure Breakdown'!$W$6:$W$170, "&gt;="&amp;L1,'Expenditure Breakdown'!$W$6:$W$170, "&lt;"&amp;M1)</f>
        <v>0</v>
      </c>
      <c r="M11" s="125">
        <f>SUMIFS('Expenditure Breakdown'!$Q$6:$Q$170, 'Expenditure Breakdown'!$W$6:$W$170, "&gt;="&amp;M1,'Expenditure Breakdown'!$W$6:$W$170, "&lt;"&amp;N1)</f>
        <v>0</v>
      </c>
      <c r="N11" s="125">
        <f>SUMIFS('Expenditure Breakdown'!$Q$6:$Q$170, 'Expenditure Breakdown'!$W$6:$W$170, "&gt;="&amp;N1,'Expenditure Breakdown'!$W$6:$W$170, "&lt;"&amp;O1)</f>
        <v>0</v>
      </c>
      <c r="O11" s="125">
        <f>SUMIFS('Expenditure Breakdown'!$Q$6:$Q$170, 'Expenditure Breakdown'!$W$6:$W$170, "&gt;="&amp;O1,'Expenditure Breakdown'!$W$6:$W$170, "&lt;"&amp;P1)</f>
        <v>0</v>
      </c>
      <c r="P11" s="125">
        <f>SUMIFS('Expenditure Breakdown'!$Q$6:$Q$170, 'Expenditure Breakdown'!$W$6:$W$170, "&gt;="&amp;P1,'Expenditure Breakdown'!$W$6:$W$170, "&lt;"&amp;Q1)</f>
        <v>0</v>
      </c>
      <c r="Q11" s="125">
        <f>SUMIFS('Expenditure Breakdown'!$Q$6:$Q$170, 'Expenditure Breakdown'!$W$6:$W$170, "&gt;="&amp;Q1,'Expenditure Breakdown'!$W$6:$W$170, "&lt;"&amp;R1)</f>
        <v>116866.21400000002</v>
      </c>
      <c r="R11" s="125">
        <f>SUMIFS('Expenditure Breakdown'!$Q$6:$Q$170, 'Expenditure Breakdown'!$W$6:$W$170, "&gt;="&amp;R1,'Expenditure Breakdown'!$W$6:$W$170, "&lt;"&amp;S1)</f>
        <v>81623.234000000011</v>
      </c>
      <c r="S11" s="125">
        <f>SUMIFS('Expenditure Breakdown'!$Q$6:$Q$170, 'Expenditure Breakdown'!$W$6:$W$170, "&gt;="&amp;S1,'Expenditure Breakdown'!$W$6:$W$170, "&lt;"&amp;T1)</f>
        <v>33715.449999999997</v>
      </c>
      <c r="T11" s="125">
        <f>SUMIFS('Expenditure Breakdown'!$Q$6:$Q$170, 'Expenditure Breakdown'!$W$6:$W$170, "&gt;="&amp;T1,'Expenditure Breakdown'!$W$6:$W$170, "&lt;"&amp;U1)</f>
        <v>0</v>
      </c>
      <c r="U11" s="125">
        <f>SUMIFS('Expenditure Breakdown'!$Q$6:$Q$170, 'Expenditure Breakdown'!$W$6:$W$170, "&gt;="&amp;U1,'Expenditure Breakdown'!$W$6:$W$170, "&lt;"&amp;V1)</f>
        <v>179671.17</v>
      </c>
      <c r="V11" s="125">
        <f>SUMIFS('Expenditure Breakdown'!$Q$6:$Q$170, 'Expenditure Breakdown'!$W$6:$W$170, "&gt;="&amp;V1,'Expenditure Breakdown'!$W$6:$W$170, "&lt;"&amp;W1)</f>
        <v>51778.1</v>
      </c>
      <c r="W11" s="125">
        <f>SUMIFS('Expenditure Breakdown'!$Q$6:$Q$170, 'Expenditure Breakdown'!$W$6:$W$170, "&gt;="&amp;W1,'Expenditure Breakdown'!$W$6:$W$170, "&lt;"&amp;X1)</f>
        <v>0</v>
      </c>
      <c r="X11" s="125">
        <f>SUMIFS('Expenditure Breakdown'!$Q$6:$Q$170, 'Expenditure Breakdown'!$W$6:$W$170, "&gt;="&amp;X1,'Expenditure Breakdown'!$W$6:$W$170, "&lt;"&amp;Y1)</f>
        <v>122042.15099999998</v>
      </c>
      <c r="Y11" s="125">
        <f>SUMIFS('Expenditure Breakdown'!$Q$6:$Q$170, 'Expenditure Breakdown'!$W$6:$W$170, "&gt;="&amp;Y1,'Expenditure Breakdown'!$W$6:$W$170, "&lt;"&amp;Z1)</f>
        <v>508708.03988729359</v>
      </c>
      <c r="Z11" s="125">
        <f>SUMIFS('Expenditure Breakdown'!$Q$6:$Q$170, 'Expenditure Breakdown'!$W$6:$W$170, "&gt;="&amp;Z1,'Expenditure Breakdown'!$W$6:$W$170, "&lt;"&amp;AA1)</f>
        <v>169151.50699999998</v>
      </c>
      <c r="AA11" s="125">
        <f>SUMIFS('Expenditure Breakdown'!$Q$6:$Q$170, 'Expenditure Breakdown'!$W$6:$W$170, "&gt;="&amp;AA1,'Expenditure Breakdown'!$W$6:$W$170, "&lt;"&amp;AB1)</f>
        <v>11157.5</v>
      </c>
      <c r="AB11" s="125">
        <f>SUMIFS('Expenditure Breakdown'!$Q$6:$Q$170, 'Expenditure Breakdown'!$W$6:$W$170, "&gt;="&amp;AB1,'Expenditure Breakdown'!$W$6:$W$170, "&lt;"&amp;AC1)</f>
        <v>20340.358500000002</v>
      </c>
      <c r="AC11" s="125">
        <f>SUMIFS('Expenditure Breakdown'!$Q$6:$Q$170, 'Expenditure Breakdown'!$W$6:$W$170, "&gt;="&amp;AC1,'Expenditure Breakdown'!$W$6:$W$170, "&lt;"&amp;AD1)</f>
        <v>0</v>
      </c>
      <c r="AD11" s="125">
        <f>SUMIFS('Expenditure Breakdown'!$Q$6:$Q$170, 'Expenditure Breakdown'!$W$6:$W$170, "&gt;="&amp;AD1,'Expenditure Breakdown'!$W$6:$W$170, "&lt;"&amp;AE1)</f>
        <v>0</v>
      </c>
      <c r="AE11" s="125">
        <f>SUMIFS('Expenditure Breakdown'!$Q$6:$Q$170, 'Expenditure Breakdown'!$W$6:$W$170, "&gt;="&amp;AE1,'Expenditure Breakdown'!$W$6:$W$170, "&lt;"&amp;AF1)</f>
        <v>157.5</v>
      </c>
      <c r="AF11" s="125">
        <f>SUMIFS('Expenditure Breakdown'!$Q$6:$Q$170, 'Expenditure Breakdown'!$W$6:$W$170, "&gt;="&amp;AF1,'Expenditure Breakdown'!$W$6:$W$170, "&lt;"&amp;AG1)</f>
        <v>0</v>
      </c>
      <c r="AG11" s="125">
        <f>SUMIFS('Expenditure Breakdown'!$Q$6:$Q$170, 'Expenditure Breakdown'!$W$6:$W$170, "&gt;="&amp;AG1,'Expenditure Breakdown'!$W$6:$W$170, "&lt;"&amp;AH1)</f>
        <v>0</v>
      </c>
      <c r="AH11" s="125">
        <f>SUMIFS('Expenditure Breakdown'!$Q$6:$Q$170, 'Expenditure Breakdown'!$W$6:$W$170, "&gt;="&amp;AH1,'Expenditure Breakdown'!$W$6:$W$170, "&lt;"&amp;AI1)</f>
        <v>0</v>
      </c>
      <c r="AI11" s="125">
        <f>SUMIFS('Expenditure Breakdown'!$Q$6:$Q$170, 'Expenditure Breakdown'!$W$6:$W$170, "&gt;="&amp;AI1,'Expenditure Breakdown'!$W$6:$W$170, "&lt;"&amp;AJ1)</f>
        <v>0</v>
      </c>
      <c r="AJ11" s="125">
        <f>SUMIFS('Expenditure Breakdown'!$Q$6:$Q$170, 'Expenditure Breakdown'!$W$6:$W$170, "&gt;="&amp;AJ1,'Expenditure Breakdown'!$W$6:$W$170, "&lt;"&amp;AK1)</f>
        <v>0</v>
      </c>
      <c r="AK11" s="125">
        <f>SUMIFS('Expenditure Breakdown'!$Q$6:$Q$170, 'Expenditure Breakdown'!$W$6:$W$170, "&gt;="&amp;AK1,'Expenditure Breakdown'!$W$6:$W$170, "&lt;"&amp;AL1)</f>
        <v>0</v>
      </c>
      <c r="AL11" s="125">
        <f>SUMIFS('Expenditure Breakdown'!$Q$6:$Q$170, 'Expenditure Breakdown'!$W$6:$W$170, "&gt;="&amp;AL1,'Expenditure Breakdown'!$W$6:$W$170, "&lt;"&amp;AM1)</f>
        <v>0</v>
      </c>
      <c r="AM11" s="125">
        <f>SUMIFS('Expenditure Breakdown'!$Q$6:$Q$170, 'Expenditure Breakdown'!$W$6:$W$170, "&gt;="&amp;AM1,'Expenditure Breakdown'!$W$6:$W$170, "&lt;"&amp;AN1)</f>
        <v>0</v>
      </c>
      <c r="AN11" s="125">
        <f>SUMIFS('Expenditure Breakdown'!$Q$6:$Q$170, 'Expenditure Breakdown'!$W$6:$W$170, "&gt;="&amp;AN1,'Expenditure Breakdown'!$W$6:$W$170, "&lt;"&amp;AO1)</f>
        <v>0</v>
      </c>
      <c r="AO11" s="125">
        <f>SUMIFS('Expenditure Breakdown'!$Q$6:$Q$170, 'Expenditure Breakdown'!$W$6:$W$170, "&gt;="&amp;AO1,'Expenditure Breakdown'!$W$6:$W$170, "&lt;"&amp;AP1)</f>
        <v>0</v>
      </c>
      <c r="AP11" s="125">
        <f>SUMIFS('Expenditure Breakdown'!$Q$6:$Q$170, 'Expenditure Breakdown'!$W$6:$W$170, "&gt;="&amp;AP1,'Expenditure Breakdown'!$W$6:$W$170, "&lt;"&amp;AQ1)</f>
        <v>0</v>
      </c>
      <c r="AQ11" s="125">
        <f>SUMIFS('Expenditure Breakdown'!$Q$6:$Q$170, 'Expenditure Breakdown'!$W$6:$W$170, "&gt;="&amp;AQ1,'Expenditure Breakdown'!$W$6:$W$170, "&lt;"&amp;AR1)</f>
        <v>0</v>
      </c>
      <c r="AR11" s="125">
        <f>SUMIFS('Expenditure Breakdown'!$Q$6:$Q$170, 'Expenditure Breakdown'!$W$6:$W$170, "&gt;="&amp;AR1,'Expenditure Breakdown'!$W$6:$W$170, "&lt;"&amp;AS1)</f>
        <v>0</v>
      </c>
      <c r="AS11" s="125">
        <f>SUMIFS('Expenditure Breakdown'!$Q$6:$Q$170, 'Expenditure Breakdown'!$W$6:$W$170, "&gt;="&amp;AS1,'Expenditure Breakdown'!$W$6:$W$170, "&lt;"&amp;AT1)</f>
        <v>0</v>
      </c>
      <c r="AT11" s="125">
        <f>SUMIFS('Expenditure Breakdown'!$Q$6:$Q$170, 'Expenditure Breakdown'!$W$6:$W$170, "&gt;="&amp;AT1,'Expenditure Breakdown'!$W$6:$W$170, "&lt;"&amp;AU1)</f>
        <v>0</v>
      </c>
      <c r="AU11" s="125">
        <f>SUMIFS('Expenditure Breakdown'!$Q$6:$Q$170, 'Expenditure Breakdown'!$W$6:$W$170, "&gt;="&amp;AU1,'Expenditure Breakdown'!$W$6:$W$170, "&lt;"&amp;AV1)</f>
        <v>0</v>
      </c>
      <c r="AV11" s="125">
        <f>SUMIFS('Expenditure Breakdown'!$Q$6:$Q$170, 'Expenditure Breakdown'!$W$6:$W$170, "&gt;="&amp;AV1,'Expenditure Breakdown'!$W$6:$W$170, "&lt;"&amp;AW1)</f>
        <v>0</v>
      </c>
      <c r="AW11" s="125">
        <f>SUMIFS('Expenditure Breakdown'!$Q$6:$Q$170, 'Expenditure Breakdown'!$W$6:$W$170, "&gt;="&amp;AW1,'Expenditure Breakdown'!$W$6:$W$170, "&lt;"&amp;AX1)</f>
        <v>0</v>
      </c>
      <c r="AX11" s="125">
        <f>SUMIFS('Expenditure Breakdown'!$Q$6:$Q$170, 'Expenditure Breakdown'!$W$6:$W$170, "&gt;="&amp;AX1,'Expenditure Breakdown'!$W$6:$W$170, "&lt;"&amp;AY1)</f>
        <v>0</v>
      </c>
      <c r="AY11" s="125">
        <f>SUMIFS('Expenditure Breakdown'!$Q$6:$Q$170, 'Expenditure Breakdown'!$W$6:$W$170, "&gt;="&amp;AY1,'Expenditure Breakdown'!$W$6:$W$170, "&lt;"&amp;AZ1)</f>
        <v>0</v>
      </c>
      <c r="AZ11" s="125">
        <f>SUMIFS('Expenditure Breakdown'!$Q$6:$Q$170, 'Expenditure Breakdown'!$W$6:$W$170, "&gt;="&amp;AZ1,'Expenditure Breakdown'!$W$6:$W$170, "&lt;"&amp;BA1)</f>
        <v>0</v>
      </c>
      <c r="BA11" s="125">
        <f>SUMIFS('Expenditure Breakdown'!$Q$6:$Q$170, 'Expenditure Breakdown'!$W$6:$W$170, "&gt;="&amp;BA1,'Expenditure Breakdown'!$W$6:$W$170, "&lt;"&amp;BB1)</f>
        <v>0</v>
      </c>
      <c r="BB11" s="125">
        <f>SUMIFS('Expenditure Breakdown'!$Q$6:$Q$170, 'Expenditure Breakdown'!$W$6:$W$170, "&gt;="&amp;BB1,'Expenditure Breakdown'!$W$6:$W$170, "&lt;"&amp;BC1)</f>
        <v>0</v>
      </c>
      <c r="BC11" s="125">
        <f>SUMIFS('Expenditure Breakdown'!$Q$6:$Q$170, 'Expenditure Breakdown'!$W$6:$W$170, "&gt;="&amp;BC1,'Expenditure Breakdown'!$W$6:$W$170, "&lt;"&amp;BD1)</f>
        <v>0</v>
      </c>
      <c r="BD11" s="125">
        <f>SUMIFS('Expenditure Breakdown'!$Q$6:$Q$170, 'Expenditure Breakdown'!$W$6:$W$170, "&gt;="&amp;BD1,'Expenditure Breakdown'!$W$6:$W$170, "&lt;"&amp;BE1)</f>
        <v>0</v>
      </c>
      <c r="BE11" s="125">
        <f>SUMIFS('Expenditure Breakdown'!$Q$6:$Q$170, 'Expenditure Breakdown'!$W$6:$W$170, "&gt;="&amp;BE1,'Expenditure Breakdown'!$W$6:$W$170, "&lt;"&amp;BF1)</f>
        <v>0</v>
      </c>
      <c r="BF11" s="125">
        <f>SUMIFS('Expenditure Breakdown'!$Q$6:$Q$170, 'Expenditure Breakdown'!$W$6:$W$170, "&gt;="&amp;BF1,'Expenditure Breakdown'!$W$6:$W$170, "&lt;"&amp;BG1)</f>
        <v>0</v>
      </c>
      <c r="BG11" s="125">
        <f>SUMIFS('Expenditure Breakdown'!$Q$6:$Q$170, 'Expenditure Breakdown'!$W$6:$W$170, "&gt;="&amp;BG1,'Expenditure Breakdown'!$W$6:$W$170, "&lt;"&amp;BH1)</f>
        <v>0</v>
      </c>
      <c r="BH11" s="125">
        <f>SUMIFS('Expenditure Breakdown'!$Q$6:$Q$170, 'Expenditure Breakdown'!$W$6:$W$170, "&gt;="&amp;BH1,'Expenditure Breakdown'!$W$6:$W$170, "&lt;"&amp;BI1)</f>
        <v>0</v>
      </c>
      <c r="BI11" s="125">
        <f>SUMIFS('Expenditure Breakdown'!$Q$6:$Q$170, 'Expenditure Breakdown'!$W$6:$W$170, "&gt;="&amp;BI1,'Expenditure Breakdown'!$W$6:$W$170, "&lt;"&amp;BJ1)</f>
        <v>0</v>
      </c>
      <c r="BJ11" s="125">
        <f>SUMIFS('Expenditure Breakdown'!$Q$6:$Q$170, 'Expenditure Breakdown'!$W$6:$W$170, "&gt;="&amp;BJ1,'Expenditure Breakdown'!$W$6:$W$170, "&lt;"&amp;BK1)</f>
        <v>0</v>
      </c>
      <c r="BK11" s="125">
        <f>SUMIFS('Expenditure Breakdown'!$Q$6:$Q$170, 'Expenditure Breakdown'!$W$6:$W$170, "&gt;="&amp;BK1,'Expenditure Breakdown'!$W$6:$W$170, "&lt;"&amp;BL1)</f>
        <v>0</v>
      </c>
      <c r="BL11" s="125">
        <f>SUMIFS('Expenditure Breakdown'!$Q$6:$Q$170, 'Expenditure Breakdown'!$W$6:$W$170, "&gt;="&amp;BL1,'Expenditure Breakdown'!$W$6:$W$170, "&lt;"&amp;BM1)</f>
        <v>0</v>
      </c>
      <c r="BM11" s="125">
        <f>SUMIFS('Expenditure Breakdown'!$Q$6:$Q$170, 'Expenditure Breakdown'!$W$6:$W$170, "&gt;="&amp;BM1,'Expenditure Breakdown'!$W$6:$W$170, "&lt;"&amp;BN1)</f>
        <v>0</v>
      </c>
      <c r="BN11" s="125">
        <f>SUMIFS('Expenditure Breakdown'!$Q$6:$Q$170, 'Expenditure Breakdown'!$W$6:$W$170, "&gt;="&amp;BN1,'Expenditure Breakdown'!$W$6:$W$170, "&lt;"&amp;BO1)</f>
        <v>0</v>
      </c>
      <c r="BO11" s="125">
        <f>SUMIFS('Expenditure Breakdown'!$Q$6:$Q$170, 'Expenditure Breakdown'!$W$6:$W$170, "&gt;="&amp;BO1,'Expenditure Breakdown'!$W$6:$W$170, "&lt;"&amp;BP1)</f>
        <v>0</v>
      </c>
      <c r="BP11" s="125">
        <f>SUMIFS('Expenditure Breakdown'!$Q$6:$Q$170, 'Expenditure Breakdown'!$W$6:$W$170, "&gt;="&amp;BP1,'Expenditure Breakdown'!$W$6:$W$170, "&lt;"&amp;BQ1)</f>
        <v>0</v>
      </c>
      <c r="BQ11" s="125">
        <f>SUMIFS('Expenditure Breakdown'!$Q$6:$Q$170, 'Expenditure Breakdown'!$W$6:$W$170, "&gt;="&amp;BQ1,'Expenditure Breakdown'!$W$6:$W$170, "&lt;"&amp;BR1)</f>
        <v>0</v>
      </c>
      <c r="BR11" s="125">
        <f>SUMIFS('Expenditure Breakdown'!$Q$6:$Q$170, 'Expenditure Breakdown'!$W$6:$W$170, "&gt;="&amp;BR1,'Expenditure Breakdown'!$W$6:$W$170, "&lt;"&amp;BS1)</f>
        <v>0</v>
      </c>
      <c r="BS11" s="125">
        <f>SUMIFS('Expenditure Breakdown'!$Q$6:$Q$170, 'Expenditure Breakdown'!$W$6:$W$170, "&gt;="&amp;BS1,'Expenditure Breakdown'!$W$6:$W$170, "&lt;"&amp;BT1)</f>
        <v>0</v>
      </c>
      <c r="BT11" s="125">
        <f>SUMIFS('Expenditure Breakdown'!$Q$6:$Q$170, 'Expenditure Breakdown'!$W$6:$W$170, "&gt;="&amp;BT1,'Expenditure Breakdown'!$W$6:$W$170, "&lt;"&amp;BU1)</f>
        <v>0</v>
      </c>
      <c r="BU11" s="125">
        <f>SUMIFS('Expenditure Breakdown'!$Q$6:$Q$170, 'Expenditure Breakdown'!$W$6:$W$170, "&gt;="&amp;BU1,'Expenditure Breakdown'!$W$6:$W$170, "&lt;"&amp;BV1)</f>
        <v>0</v>
      </c>
      <c r="BV11" s="125">
        <f>SUMIFS('Expenditure Breakdown'!$Q$6:$Q$170, 'Expenditure Breakdown'!$W$6:$W$170, "&gt;="&amp;BV1,'Expenditure Breakdown'!$W$6:$W$170, "&lt;"&amp;BW1)</f>
        <v>0</v>
      </c>
      <c r="BW11" s="125">
        <f>SUMIFS('Expenditure Breakdown'!$Q$6:$Q$170, 'Expenditure Breakdown'!$W$6:$W$170, "&gt;="&amp;BW1,'Expenditure Breakdown'!$W$6:$W$170, "&lt;"&amp;BX1)</f>
        <v>0</v>
      </c>
      <c r="BX11" s="125">
        <f>SUMIFS('Expenditure Breakdown'!$Q$6:$Q$170, 'Expenditure Breakdown'!$W$6:$W$170, "&gt;="&amp;BX1,'Expenditure Breakdown'!$W$6:$W$170, "&lt;"&amp;BY1)</f>
        <v>0</v>
      </c>
      <c r="BY11" s="125">
        <f>SUMIFS('Expenditure Breakdown'!$Q$6:$Q$170, 'Expenditure Breakdown'!$W$6:$W$170, "&gt;="&amp;BY1,'Expenditure Breakdown'!$W$6:$W$170, "&lt;"&amp;BZ1)</f>
        <v>0</v>
      </c>
      <c r="BZ11" s="125">
        <f>SUMIFS('Expenditure Breakdown'!$Q$6:$Q$170, 'Expenditure Breakdown'!$W$6:$W$170, "&gt;="&amp;BZ1,'Expenditure Breakdown'!$W$6:$W$170, "&lt;"&amp;CA1)</f>
        <v>0</v>
      </c>
      <c r="CA11" s="125">
        <f>SUMIFS('Expenditure Breakdown'!$Q$6:$Q$170, 'Expenditure Breakdown'!$W$6:$W$170, "&gt;="&amp;CA1,'Expenditure Breakdown'!$W$6:$W$170, "&lt;"&amp;CB1)</f>
        <v>0</v>
      </c>
      <c r="CB11" s="125">
        <f>SUMIFS('Expenditure Breakdown'!$Q$6:$Q$170, 'Expenditure Breakdown'!$W$6:$W$170, "&gt;="&amp;CB1,'Expenditure Breakdown'!$W$6:$W$170, "&lt;"&amp;CC1)</f>
        <v>0</v>
      </c>
      <c r="CC11" s="125">
        <f>SUMIFS('Expenditure Breakdown'!$Q$6:$Q$170, 'Expenditure Breakdown'!$W$6:$W$170, "&gt;="&amp;CC1,'Expenditure Breakdown'!$W$6:$W$170, "&lt;"&amp;CD1)</f>
        <v>0</v>
      </c>
      <c r="CD11" s="125">
        <f>SUMIFS('Expenditure Breakdown'!$Q$6:$Q$170, 'Expenditure Breakdown'!$W$6:$W$170, "&gt;="&amp;CD1,'Expenditure Breakdown'!$W$6:$W$170, "&lt;"&amp;CE1)</f>
        <v>0</v>
      </c>
      <c r="CE11" s="125">
        <f>SUMIFS('Expenditure Breakdown'!$Q$6:$Q$170, 'Expenditure Breakdown'!$W$6:$W$170, "&gt;="&amp;CE1,'Expenditure Breakdown'!$W$6:$W$170, "&lt;"&amp;CF1)</f>
        <v>0</v>
      </c>
      <c r="CF11" s="125">
        <f>SUMIFS('Expenditure Breakdown'!$Q$6:$Q$170, 'Expenditure Breakdown'!$W$6:$W$170, "&gt;="&amp;CF1,'Expenditure Breakdown'!$W$6:$W$170, "&lt;"&amp;CG1)</f>
        <v>0</v>
      </c>
      <c r="CG11" s="125">
        <f>SUMIFS('Expenditure Breakdown'!$Q$6:$Q$170, 'Expenditure Breakdown'!$W$6:$W$170, "&gt;="&amp;CG1,'Expenditure Breakdown'!$W$6:$W$170, "&lt;"&amp;CH1)</f>
        <v>0</v>
      </c>
      <c r="CH11" s="125">
        <f>SUMIFS('Expenditure Breakdown'!$Q$6:$Q$170, 'Expenditure Breakdown'!$W$6:$W$170, "&gt;="&amp;CH1,'Expenditure Breakdown'!$W$6:$W$170, "&lt;"&amp;CI1)</f>
        <v>0</v>
      </c>
      <c r="CI11" s="125">
        <f>SUMIFS('Expenditure Breakdown'!$Q$6:$Q$170, 'Expenditure Breakdown'!$W$6:$W$170, "&gt;="&amp;CI1,'Expenditure Breakdown'!$W$6:$W$170, "&lt;"&amp;CJ1)</f>
        <v>0</v>
      </c>
      <c r="CJ11" s="125">
        <f>SUMIFS('Expenditure Breakdown'!$Q$6:$Q$170, 'Expenditure Breakdown'!$W$6:$W$170, "&gt;="&amp;CJ1,'Expenditure Breakdown'!$W$6:$W$170, "&lt;"&amp;CK1)</f>
        <v>0</v>
      </c>
      <c r="CK11" s="125">
        <f>SUMIFS('Expenditure Breakdown'!$Q$6:$Q$170, 'Expenditure Breakdown'!$W$6:$W$170, "&gt;="&amp;CK1,'Expenditure Breakdown'!$W$6:$W$170, "&lt;"&amp;CL1)</f>
        <v>0</v>
      </c>
      <c r="CL11" s="125">
        <f>SUMIFS('Expenditure Breakdown'!$Q$6:$Q$170, 'Expenditure Breakdown'!$W$6:$W$170, "&gt;="&amp;CL1,'Expenditure Breakdown'!$W$6:$W$170, "&lt;"&amp;CM1)</f>
        <v>0</v>
      </c>
      <c r="CM11" s="125">
        <f>SUMIFS('Expenditure Breakdown'!$Q$6:$Q$170, 'Expenditure Breakdown'!$W$6:$W$170, "&gt;="&amp;CM1,'Expenditure Breakdown'!$W$6:$W$170, "&lt;"&amp;CN1)</f>
        <v>0</v>
      </c>
      <c r="CN11" s="125">
        <f>SUMIFS('Expenditure Breakdown'!$Q$6:$Q$170, 'Expenditure Breakdown'!$W$6:$W$170, "&gt;="&amp;CN1,'Expenditure Breakdown'!$W$6:$W$170, "&lt;"&amp;CO1)</f>
        <v>0</v>
      </c>
      <c r="CO11" s="125">
        <f>SUMIFS('Expenditure Breakdown'!$Q$6:$Q$170, 'Expenditure Breakdown'!$W$6:$W$170, "&gt;="&amp;CO1,'Expenditure Breakdown'!$W$6:$W$170, "&lt;"&amp;CP1)</f>
        <v>0</v>
      </c>
      <c r="CP11" s="125">
        <f>SUMIFS('Expenditure Breakdown'!$Q$6:$Q$170, 'Expenditure Breakdown'!$W$6:$W$170, "&gt;="&amp;CP1,'Expenditure Breakdown'!$W$6:$W$170, "&lt;"&amp;CQ1)</f>
        <v>0</v>
      </c>
      <c r="CQ11" s="125">
        <f>SUMIFS('Expenditure Breakdown'!$Q$6:$Q$170, 'Expenditure Breakdown'!$W$6:$W$170, "&gt;="&amp;CQ1,'Expenditure Breakdown'!$W$6:$W$170, "&lt;"&amp;CR1)</f>
        <v>0</v>
      </c>
      <c r="CR11" s="125">
        <f>SUMIFS('Expenditure Breakdown'!$Q$6:$Q$170, 'Expenditure Breakdown'!$W$6:$W$170, "&gt;="&amp;CR1,'Expenditure Breakdown'!$W$6:$W$170, "&lt;"&amp;CS1)</f>
        <v>0</v>
      </c>
      <c r="CS11" s="125">
        <f>SUMIFS('Expenditure Breakdown'!$Q$6:$Q$170, 'Expenditure Breakdown'!$W$6:$W$170, "&gt;="&amp;CS1,'Expenditure Breakdown'!$W$6:$W$170, "&lt;"&amp;CT1)</f>
        <v>0</v>
      </c>
      <c r="CT11" s="125">
        <f>SUMIFS('Expenditure Breakdown'!$Q$6:$Q$170, 'Expenditure Breakdown'!$W$6:$W$170, "&gt;="&amp;CT1,'Expenditure Breakdown'!$W$6:$W$170, "&lt;"&amp;CU1)</f>
        <v>0</v>
      </c>
      <c r="CU11" s="125">
        <f>SUMIFS('Expenditure Breakdown'!$Q$6:$Q$170, 'Expenditure Breakdown'!$W$6:$W$170, "&gt;="&amp;CU1,'Expenditure Breakdown'!$W$6:$W$170, "&lt;"&amp;CV1)</f>
        <v>0</v>
      </c>
      <c r="CV11" s="125">
        <f>SUMIFS('Expenditure Breakdown'!$Q$6:$Q$170, 'Expenditure Breakdown'!$W$6:$W$170, "&gt;="&amp;CV1,'Expenditure Breakdown'!$W$6:$W$170, "&lt;"&amp;CW1)</f>
        <v>0</v>
      </c>
      <c r="CW11" s="125">
        <f>SUMIFS('Expenditure Breakdown'!$Q$6:$Q$170, 'Expenditure Breakdown'!$W$6:$W$170, "&gt;="&amp;CW1,'Expenditure Breakdown'!$W$6:$W$170, "&lt;"&amp;CX1)</f>
        <v>0</v>
      </c>
      <c r="CX11" s="125">
        <f>SUMIFS('Expenditure Breakdown'!$Q$6:$Q$170, 'Expenditure Breakdown'!$W$6:$W$170, "&gt;="&amp;CX1,'Expenditure Breakdown'!$W$6:$W$170, "&lt;"&amp;CY1)</f>
        <v>0</v>
      </c>
      <c r="CY11" s="125">
        <f>SUMIFS('Expenditure Breakdown'!$Q$6:$Q$170, 'Expenditure Breakdown'!$W$6:$W$170, "&gt;="&amp;CY1,'Expenditure Breakdown'!$W$6:$W$170, "&lt;"&amp;CZ1)</f>
        <v>0</v>
      </c>
      <c r="CZ11" s="125">
        <f>SUMIFS('Expenditure Breakdown'!$Q$6:$Q$170, 'Expenditure Breakdown'!$W$6:$W$170, "&gt;="&amp;CZ1,'Expenditure Breakdown'!$W$6:$W$170, "&lt;"&amp;DA1)</f>
        <v>0</v>
      </c>
      <c r="DA11" s="125">
        <f>SUMIFS('Expenditure Breakdown'!$Q$6:$Q$170, 'Expenditure Breakdown'!$W$6:$W$170, "&gt;="&amp;DA1,'Expenditure Breakdown'!$W$6:$W$170, "&lt;"&amp;DB1)</f>
        <v>0</v>
      </c>
      <c r="DB11" s="125">
        <f>SUMIFS('Expenditure Breakdown'!$Q$6:$Q$170, 'Expenditure Breakdown'!$W$6:$W$170, "&gt;="&amp;DB1,'Expenditure Breakdown'!$W$6:$W$170, "&lt;"&amp;DC1)</f>
        <v>0</v>
      </c>
      <c r="DC11" s="125">
        <f>SUMIFS('Expenditure Breakdown'!$Q$6:$Q$170, 'Expenditure Breakdown'!$W$6:$W$170, "&gt;="&amp;DC1,'Expenditure Breakdown'!$W$6:$W$170, "&lt;"&amp;DD1)</f>
        <v>0</v>
      </c>
      <c r="DD11" s="125">
        <f>SUMIFS('Expenditure Breakdown'!$Q$6:$Q$170, 'Expenditure Breakdown'!$W$6:$W$170, "&gt;="&amp;DD1,'Expenditure Breakdown'!$W$6:$W$170, "&lt;"&amp;DE1)</f>
        <v>0</v>
      </c>
      <c r="DE11" s="125">
        <f>SUMIFS('Expenditure Breakdown'!$Q$6:$Q$170, 'Expenditure Breakdown'!$W$6:$W$170, "&gt;="&amp;DE1,'Expenditure Breakdown'!$W$6:$W$170, "&lt;"&amp;DF1)</f>
        <v>0</v>
      </c>
      <c r="DF11" s="125">
        <f>SUMIFS('Expenditure Breakdown'!$Q$6:$Q$170, 'Expenditure Breakdown'!$W$6:$W$170, "&gt;="&amp;DF1,'Expenditure Breakdown'!$W$6:$W$170, "&lt;"&amp;DG1)</f>
        <v>0</v>
      </c>
      <c r="DG11" s="125">
        <f>SUMIFS('Expenditure Breakdown'!$Q$6:$Q$170, 'Expenditure Breakdown'!$W$6:$W$170, "&gt;="&amp;DG1,'Expenditure Breakdown'!$W$6:$W$170, "&lt;"&amp;DH1)</f>
        <v>0</v>
      </c>
      <c r="DH11" s="125">
        <f>SUMIFS('Expenditure Breakdown'!$Q$6:$Q$170, 'Expenditure Breakdown'!$W$6:$W$170, "&gt;="&amp;DH1,'Expenditure Breakdown'!$W$6:$W$170, "&lt;"&amp;DI1)</f>
        <v>0</v>
      </c>
      <c r="DI11" s="125">
        <f>SUMIFS('Expenditure Breakdown'!$Q$6:$Q$170, 'Expenditure Breakdown'!$W$6:$W$170, "&gt;="&amp;DI1,'Expenditure Breakdown'!$W$6:$W$170, "&lt;"&amp;DJ1)</f>
        <v>0</v>
      </c>
      <c r="DJ11" s="125">
        <f>SUMIFS('Expenditure Breakdown'!$Q$6:$Q$170, 'Expenditure Breakdown'!$W$6:$W$170, "&gt;="&amp;DJ1,'Expenditure Breakdown'!$W$6:$W$170, "&lt;"&amp;DK1)</f>
        <v>0</v>
      </c>
      <c r="DK11" s="125">
        <f>SUMIFS('Expenditure Breakdown'!$Q$6:$Q$170, 'Expenditure Breakdown'!$W$6:$W$170, "&gt;="&amp;DK1,'Expenditure Breakdown'!$W$6:$W$170, "&lt;"&amp;DL1)</f>
        <v>0</v>
      </c>
      <c r="DL11" s="125">
        <f>SUMIFS('Expenditure Breakdown'!$Q$6:$Q$170, 'Expenditure Breakdown'!$W$6:$W$170, "&gt;="&amp;DL1,'Expenditure Breakdown'!$W$6:$W$170, "&lt;"&amp;DM1)</f>
        <v>0</v>
      </c>
      <c r="DM11" s="125">
        <f>SUMIFS('Expenditure Breakdown'!$Q$6:$Q$170, 'Expenditure Breakdown'!$W$6:$W$170, "&gt;="&amp;DM1,'Expenditure Breakdown'!$W$6:$W$170, "&lt;"&amp;DN1)</f>
        <v>0</v>
      </c>
      <c r="DN11" s="125">
        <f>SUMIFS('Expenditure Breakdown'!$Q$6:$Q$170, 'Expenditure Breakdown'!$W$6:$W$170, "&gt;="&amp;DN1,'Expenditure Breakdown'!$W$6:$W$170, "&lt;"&amp;DO1)</f>
        <v>0</v>
      </c>
      <c r="DO11" s="125">
        <f>SUMIFS('Expenditure Breakdown'!$Q$6:$Q$170, 'Expenditure Breakdown'!$W$6:$W$170, "&gt;="&amp;DO1,'Expenditure Breakdown'!$W$6:$W$170, "&lt;"&amp;DP1)</f>
        <v>0</v>
      </c>
      <c r="DP11" s="125">
        <f>SUMIFS('Expenditure Breakdown'!$Q$6:$Q$170, 'Expenditure Breakdown'!$W$6:$W$170, "&gt;="&amp;DP1,'Expenditure Breakdown'!$W$6:$W$170, "&lt;"&amp;DQ1)</f>
        <v>0</v>
      </c>
      <c r="DQ11" s="125">
        <f>SUMIFS('Expenditure Breakdown'!$Q$6:$Q$170, 'Expenditure Breakdown'!$W$6:$W$170, "&gt;="&amp;DQ1,'Expenditure Breakdown'!$W$6:$W$170, "&lt;"&amp;DR1)</f>
        <v>0</v>
      </c>
      <c r="DR11" s="125">
        <f>SUMIFS('Expenditure Breakdown'!$Q$6:$Q$170, 'Expenditure Breakdown'!$W$6:$W$170, "&gt;="&amp;DR1,'Expenditure Breakdown'!$W$6:$W$170, "&lt;"&amp;DS1)</f>
        <v>0</v>
      </c>
      <c r="DS11" s="125">
        <f>SUMIFS('Expenditure Breakdown'!$Q$6:$Q$170, 'Expenditure Breakdown'!$W$6:$W$170, "&gt;="&amp;DS1,'Expenditure Breakdown'!$W$6:$W$170, "&lt;"&amp;DT1)</f>
        <v>0</v>
      </c>
      <c r="DT11" s="125">
        <f>SUMIFS('Expenditure Breakdown'!$Q$6:$Q$170, 'Expenditure Breakdown'!$W$6:$W$170, "&gt;="&amp;DT1,'Expenditure Breakdown'!$W$6:$W$170, "&lt;"&amp;DU1)</f>
        <v>0</v>
      </c>
      <c r="DU11" s="125">
        <f>SUMIFS('Expenditure Breakdown'!$Q$6:$Q$170, 'Expenditure Breakdown'!$W$6:$W$170, "&gt;="&amp;DU1,'Expenditure Breakdown'!$W$6:$W$170, "&lt;"&amp;DV1)</f>
        <v>0</v>
      </c>
      <c r="DV11" s="125">
        <f>SUMIFS('Expenditure Breakdown'!$Q$6:$Q$170, 'Expenditure Breakdown'!$W$6:$W$170, "&gt;="&amp;DV1,'Expenditure Breakdown'!$W$6:$W$170, "&lt;"&amp;DW1)</f>
        <v>0</v>
      </c>
      <c r="DW11" s="125">
        <f>SUMIFS('Expenditure Breakdown'!$Q$6:$Q$170, 'Expenditure Breakdown'!$W$6:$W$170, "&gt;="&amp;DW1,'Expenditure Breakdown'!$W$6:$W$170, "&lt;"&amp;DX1)</f>
        <v>0</v>
      </c>
      <c r="DX11" s="125">
        <f>SUMIFS('Expenditure Breakdown'!$Q$6:$Q$170, 'Expenditure Breakdown'!$W$6:$W$170, "&gt;="&amp;DX1,'Expenditure Breakdown'!$W$6:$W$170, "&lt;"&amp;DY1)</f>
        <v>0</v>
      </c>
      <c r="DY11" s="125">
        <f>SUMIFS('Expenditure Breakdown'!$Q$6:$Q$170, 'Expenditure Breakdown'!$W$6:$W$170, "&gt;="&amp;DY1,'Expenditure Breakdown'!$W$6:$W$170, "&lt;"&amp;DZ1)</f>
        <v>0</v>
      </c>
      <c r="DZ11" s="125">
        <f>SUMIFS('Expenditure Breakdown'!$Q$6:$Q$170, 'Expenditure Breakdown'!$W$6:$W$170, "&gt;="&amp;DZ1,'Expenditure Breakdown'!$W$6:$W$170, "&lt;"&amp;EA1)</f>
        <v>0</v>
      </c>
      <c r="EA11" s="125">
        <f>SUMIFS('Expenditure Breakdown'!$Q$6:$Q$170, 'Expenditure Breakdown'!$W$6:$W$170, "&gt;="&amp;EA1,'Expenditure Breakdown'!$W$6:$W$170, "&lt;"&amp;EB1)</f>
        <v>0</v>
      </c>
      <c r="EB11" s="125">
        <f>SUMIFS('Expenditure Breakdown'!$Q$6:$Q$170, 'Expenditure Breakdown'!$W$6:$W$170, "&gt;="&amp;EB1,'Expenditure Breakdown'!$W$6:$W$170, "&lt;"&amp;EC1)</f>
        <v>0</v>
      </c>
      <c r="EC11" s="125">
        <f>SUMIFS('Expenditure Breakdown'!$Q$6:$Q$170, 'Expenditure Breakdown'!$W$6:$W$170, "&gt;="&amp;EC1,'Expenditure Breakdown'!$W$6:$W$170, "&lt;"&amp;ED1)</f>
        <v>0</v>
      </c>
      <c r="ED11" s="125">
        <f>SUMIFS('Expenditure Breakdown'!$Q$6:$Q$170, 'Expenditure Breakdown'!$W$6:$W$170, "&gt;="&amp;ED1,'Expenditure Breakdown'!$W$6:$W$170, "&lt;"&amp;EE1)</f>
        <v>0</v>
      </c>
      <c r="EE11" s="125">
        <f>SUMIFS('Expenditure Breakdown'!$Q$6:$Q$170, 'Expenditure Breakdown'!$W$6:$W$170, "&gt;="&amp;EE1,'Expenditure Breakdown'!$W$6:$W$170, "&lt;"&amp;EF1)</f>
        <v>0</v>
      </c>
      <c r="EF11" s="125">
        <f>SUMIFS('Expenditure Breakdown'!$Q$6:$Q$170, 'Expenditure Breakdown'!$W$6:$W$170, "&gt;="&amp;EF1,'Expenditure Breakdown'!$W$6:$W$170, "&lt;"&amp;EG1)</f>
        <v>0</v>
      </c>
      <c r="EG11" s="125">
        <f>SUMIFS('Expenditure Breakdown'!$Q$6:$Q$170, 'Expenditure Breakdown'!$W$6:$W$170, "&gt;="&amp;EG1,'Expenditure Breakdown'!$W$6:$W$170, "&lt;"&amp;EH1)</f>
        <v>0</v>
      </c>
      <c r="EH11" s="125">
        <f>SUMIFS('Expenditure Breakdown'!$Q$6:$Q$170, 'Expenditure Breakdown'!$W$6:$W$170, "&gt;="&amp;EH1,'Expenditure Breakdown'!$W$6:$W$170, "&lt;"&amp;EI1)</f>
        <v>0</v>
      </c>
      <c r="EI11" s="125">
        <f>SUMIFS('Expenditure Breakdown'!$Q$6:$Q$170, 'Expenditure Breakdown'!$W$6:$W$170, "&gt;="&amp;EI1,'Expenditure Breakdown'!$W$6:$W$170, "&lt;"&amp;EJ1)</f>
        <v>0</v>
      </c>
      <c r="EJ11" s="125">
        <f>SUMIFS('Expenditure Breakdown'!$Q$6:$Q$170, 'Expenditure Breakdown'!$W$6:$W$170, "&gt;="&amp;EJ1,'Expenditure Breakdown'!$W$6:$W$170, "&lt;"&amp;EK1)</f>
        <v>0</v>
      </c>
      <c r="EK11" s="125">
        <f>SUMIFS('Expenditure Breakdown'!$Q$6:$Q$170, 'Expenditure Breakdown'!$W$6:$W$170, "&gt;="&amp;EK1,'Expenditure Breakdown'!$W$6:$W$170, "&lt;"&amp;EL1)</f>
        <v>0</v>
      </c>
      <c r="EL11" s="125">
        <f>SUMIFS('Expenditure Breakdown'!$Q$6:$Q$170, 'Expenditure Breakdown'!$W$6:$W$170, "&gt;="&amp;EL1,'Expenditure Breakdown'!$W$6:$W$170, "&lt;"&amp;EM1)</f>
        <v>0</v>
      </c>
      <c r="EM11" s="125">
        <f>SUMIFS('Expenditure Breakdown'!$Q$6:$Q$170, 'Expenditure Breakdown'!$W$6:$W$170, "&gt;="&amp;EM1,'Expenditure Breakdown'!$W$6:$W$170, "&lt;"&amp;EN1)</f>
        <v>0</v>
      </c>
      <c r="EN11" s="125">
        <f>SUMIFS('Expenditure Breakdown'!$Q$6:$Q$170, 'Expenditure Breakdown'!$W$6:$W$170, "&gt;="&amp;EN1,'Expenditure Breakdown'!$W$6:$W$170, "&lt;"&amp;EO1)</f>
        <v>0</v>
      </c>
      <c r="EO11" s="125">
        <f>SUMIFS('Expenditure Breakdown'!$Q$6:$Q$170, 'Expenditure Breakdown'!$W$6:$W$170, "&gt;="&amp;EO1,'Expenditure Breakdown'!$W$6:$W$170, "&lt;"&amp;EP1)</f>
        <v>0</v>
      </c>
      <c r="EP11" s="125">
        <f>SUMIFS('Expenditure Breakdown'!$Q$6:$Q$170, 'Expenditure Breakdown'!$W$6:$W$170, "&gt;="&amp;EP1,'Expenditure Breakdown'!$W$6:$W$170, "&lt;"&amp;EQ1)</f>
        <v>0</v>
      </c>
      <c r="EQ11" s="125">
        <f>SUMIFS('Expenditure Breakdown'!$Q$6:$Q$170, 'Expenditure Breakdown'!$W$6:$W$170, "&gt;="&amp;EQ1,'Expenditure Breakdown'!$W$6:$W$170, "&lt;"&amp;ER1)</f>
        <v>0</v>
      </c>
      <c r="ER11" s="125">
        <f>SUMIFS('Expenditure Breakdown'!$Q$6:$Q$170, 'Expenditure Breakdown'!$W$6:$W$170, "&gt;="&amp;ER1,'Expenditure Breakdown'!$W$6:$W$170, "&lt;"&amp;ES1)</f>
        <v>0</v>
      </c>
      <c r="ES11" s="125">
        <f>SUMIFS('Expenditure Breakdown'!$Q$6:$Q$170, 'Expenditure Breakdown'!$W$6:$W$170, "&gt;="&amp;ES1,'Expenditure Breakdown'!$W$6:$W$170, "&lt;"&amp;ET1)</f>
        <v>0</v>
      </c>
      <c r="ET11" s="125">
        <f>SUMIFS('Expenditure Breakdown'!$Q$6:$Q$170, 'Expenditure Breakdown'!$W$6:$W$170, "&gt;="&amp;ET1,'Expenditure Breakdown'!$W$6:$W$170, "&lt;"&amp;EU1)</f>
        <v>0</v>
      </c>
      <c r="EU11" s="125">
        <f>SUMIFS('Expenditure Breakdown'!$Q$6:$Q$170, 'Expenditure Breakdown'!$W$6:$W$170, "&gt;="&amp;EU1,'Expenditure Breakdown'!$W$6:$W$170, "&lt;"&amp;EV1)</f>
        <v>0</v>
      </c>
      <c r="EV11" s="125">
        <f>SUMIFS('Expenditure Breakdown'!$Q$6:$Q$170, 'Expenditure Breakdown'!$W$6:$W$170, "&gt;="&amp;EV1,'Expenditure Breakdown'!$W$6:$W$170, "&lt;"&amp;EW1)</f>
        <v>0</v>
      </c>
      <c r="EW11" s="125">
        <f>SUMIFS('Expenditure Breakdown'!$Q$6:$Q$170, 'Expenditure Breakdown'!$W$6:$W$170, "&gt;="&amp;EW1,'Expenditure Breakdown'!$W$6:$W$170, "&lt;"&amp;EX1)</f>
        <v>0</v>
      </c>
      <c r="EX11" s="125">
        <f>SUMIFS('Expenditure Breakdown'!$Q$6:$Q$170, 'Expenditure Breakdown'!$W$6:$W$170, "&gt;="&amp;EX1,'Expenditure Breakdown'!$W$6:$W$170, "&lt;"&amp;EY1)</f>
        <v>0</v>
      </c>
      <c r="EY11" s="125">
        <f>SUMIFS('Expenditure Breakdown'!$Q$6:$Q$170, 'Expenditure Breakdown'!$W$6:$W$170, "&gt;="&amp;EY1,'Expenditure Breakdown'!$W$6:$W$170, "&lt;"&amp;EZ1)</f>
        <v>0</v>
      </c>
      <c r="EZ11" s="125">
        <f>SUMIFS('Expenditure Breakdown'!$Q$6:$Q$170, 'Expenditure Breakdown'!$W$6:$W$170, "&gt;="&amp;EZ1,'Expenditure Breakdown'!$W$6:$W$170, "&lt;"&amp;FA1)</f>
        <v>0</v>
      </c>
      <c r="FA11" s="125">
        <f>SUMIFS('Expenditure Breakdown'!$Q$6:$Q$170, 'Expenditure Breakdown'!$W$6:$W$170, "&gt;="&amp;FA1,'Expenditure Breakdown'!$W$6:$W$170, "&lt;"&amp;FB1)</f>
        <v>0</v>
      </c>
      <c r="FB11" s="125">
        <f>SUMIFS('Expenditure Breakdown'!$Q$6:$Q$170, 'Expenditure Breakdown'!$W$6:$W$170, "&gt;="&amp;FB1,'Expenditure Breakdown'!$W$6:$W$170, "&lt;"&amp;FC1)</f>
        <v>0</v>
      </c>
      <c r="FC11" s="125">
        <f>SUMIFS('Expenditure Breakdown'!$Q$6:$Q$170, 'Expenditure Breakdown'!$W$6:$W$170, "&gt;="&amp;FC1,'Expenditure Breakdown'!$W$6:$W$170, "&lt;"&amp;FD1)</f>
        <v>0</v>
      </c>
      <c r="FD11" s="125">
        <f>SUMIFS('Expenditure Breakdown'!$Q$6:$Q$170, 'Expenditure Breakdown'!$W$6:$W$170, "&gt;="&amp;FD1,'Expenditure Breakdown'!$W$6:$W$170, "&lt;"&amp;FE1)</f>
        <v>0</v>
      </c>
      <c r="FE11" s="125">
        <f>SUMIFS('Expenditure Breakdown'!$Q$6:$Q$170, 'Expenditure Breakdown'!$W$6:$W$170, "&gt;="&amp;FE1,'Expenditure Breakdown'!$W$6:$W$170, "&lt;"&amp;FF1)</f>
        <v>0</v>
      </c>
      <c r="FF11" s="125">
        <f>SUMIFS('Expenditure Breakdown'!$Q$6:$Q$170, 'Expenditure Breakdown'!$W$6:$W$170, "&gt;="&amp;FF1,'Expenditure Breakdown'!$W$6:$W$170, "&lt;"&amp;FG1)</f>
        <v>0</v>
      </c>
      <c r="FG11" s="125">
        <f>SUMIFS('Expenditure Breakdown'!$Q$6:$Q$170, 'Expenditure Breakdown'!$W$6:$W$170, "&gt;="&amp;FG1,'Expenditure Breakdown'!$W$6:$W$170, "&lt;"&amp;FH1)</f>
        <v>0</v>
      </c>
      <c r="FH11" s="125">
        <f>SUMIFS('Expenditure Breakdown'!$Q$6:$Q$170, 'Expenditure Breakdown'!$W$6:$W$170, "&gt;="&amp;FH1,'Expenditure Breakdown'!$W$6:$W$170, "&lt;"&amp;FI1)</f>
        <v>0</v>
      </c>
      <c r="FI11" s="125">
        <f>SUMIFS('Expenditure Breakdown'!$Q$6:$Q$170, 'Expenditure Breakdown'!$W$6:$W$170, "&gt;="&amp;FI1,'Expenditure Breakdown'!$W$6:$W$170, "&lt;"&amp;FJ1)</f>
        <v>0</v>
      </c>
      <c r="FJ11" s="125">
        <f>SUMIFS('Expenditure Breakdown'!$Q$6:$Q$170, 'Expenditure Breakdown'!$W$6:$W$170, "&gt;="&amp;FJ1,'Expenditure Breakdown'!$W$6:$W$170, "&lt;"&amp;FK1)</f>
        <v>0</v>
      </c>
      <c r="FK11" s="125">
        <f>SUMIFS('Expenditure Breakdown'!$Q$6:$Q$170, 'Expenditure Breakdown'!$W$6:$W$170, "&gt;="&amp;FK1,'Expenditure Breakdown'!$W$6:$W$170, "&lt;"&amp;FL1)</f>
        <v>0</v>
      </c>
      <c r="FL11" s="125">
        <f>SUMIFS('Expenditure Breakdown'!$Q$6:$Q$170, 'Expenditure Breakdown'!$W$6:$W$170, "&gt;="&amp;FL1,'Expenditure Breakdown'!$W$6:$W$170, "&lt;"&amp;FM1)</f>
        <v>0</v>
      </c>
      <c r="FM11" s="125">
        <f>SUMIFS('Expenditure Breakdown'!$Q$6:$Q$170, 'Expenditure Breakdown'!$W$6:$W$170, "&gt;="&amp;FM1,'Expenditure Breakdown'!$W$6:$W$170, "&lt;"&amp;FN1)</f>
        <v>0</v>
      </c>
      <c r="FN11" s="125">
        <f>SUMIFS('Expenditure Breakdown'!$Q$6:$Q$170, 'Expenditure Breakdown'!$W$6:$W$170, "&gt;="&amp;FN1,'Expenditure Breakdown'!$W$6:$W$170, "&lt;"&amp;FO1)</f>
        <v>0</v>
      </c>
      <c r="FO11" s="125">
        <f>SUMIFS('Expenditure Breakdown'!$Q$6:$Q$170, 'Expenditure Breakdown'!$W$6:$W$170, "&gt;="&amp;FO1,'Expenditure Breakdown'!$W$6:$W$170, "&lt;"&amp;FP1)</f>
        <v>0</v>
      </c>
      <c r="FP11" s="125">
        <f>SUMIFS('Expenditure Breakdown'!$Q$6:$Q$170, 'Expenditure Breakdown'!$W$6:$W$170, "&gt;="&amp;FP1,'Expenditure Breakdown'!$W$6:$W$170, "&lt;"&amp;FQ1)</f>
        <v>0</v>
      </c>
      <c r="FQ11" s="125">
        <f>SUMIFS('Expenditure Breakdown'!$Q$6:$Q$170, 'Expenditure Breakdown'!$W$6:$W$170, "&gt;="&amp;FQ1,'Expenditure Breakdown'!$W$6:$W$170, "&lt;"&amp;FR1)</f>
        <v>0</v>
      </c>
      <c r="FR11" s="125">
        <f>SUMIFS('Expenditure Breakdown'!$Q$6:$Q$170, 'Expenditure Breakdown'!$W$6:$W$170, "&gt;="&amp;FR1,'Expenditure Breakdown'!$W$6:$W$170, "&lt;"&amp;FS1)</f>
        <v>0</v>
      </c>
      <c r="FS11" s="125">
        <f>SUMIFS('Expenditure Breakdown'!$Q$6:$Q$170, 'Expenditure Breakdown'!$W$6:$W$170, "&gt;="&amp;FS1,'Expenditure Breakdown'!$W$6:$W$170, "&lt;"&amp;FT1)</f>
        <v>0</v>
      </c>
      <c r="FT11" s="125">
        <f>SUMIFS('Expenditure Breakdown'!$Q$6:$Q$170, 'Expenditure Breakdown'!$W$6:$W$170, "&gt;="&amp;FT1,'Expenditure Breakdown'!$W$6:$W$170, "&lt;"&amp;FU1)</f>
        <v>0</v>
      </c>
      <c r="FU11" s="125">
        <f>SUMIFS('Expenditure Breakdown'!$Q$6:$Q$170, 'Expenditure Breakdown'!$W$6:$W$170, "&gt;="&amp;FU1,'Expenditure Breakdown'!$W$6:$W$170, "&lt;"&amp;FV1)</f>
        <v>0</v>
      </c>
      <c r="FV11" s="125">
        <f>SUMIFS('Expenditure Breakdown'!$Q$6:$Q$170, 'Expenditure Breakdown'!$W$6:$W$170, "&gt;="&amp;FV1,'Expenditure Breakdown'!$W$6:$W$170, "&lt;"&amp;FW1)</f>
        <v>0</v>
      </c>
      <c r="FW11" s="125">
        <f>SUMIFS('Expenditure Breakdown'!$Q$6:$Q$170, 'Expenditure Breakdown'!$W$6:$W$170, "&gt;="&amp;FW1,'Expenditure Breakdown'!$W$6:$W$170, "&lt;"&amp;FX1)</f>
        <v>0</v>
      </c>
      <c r="FX11" s="125">
        <f>SUMIFS('Expenditure Breakdown'!$Q$6:$Q$170, 'Expenditure Breakdown'!$W$6:$W$170, "&gt;="&amp;FX1,'Expenditure Breakdown'!$W$6:$W$170, "&lt;"&amp;FY1)</f>
        <v>0</v>
      </c>
      <c r="FY11" s="125">
        <f>SUMIFS('Expenditure Breakdown'!$Q$6:$Q$170, 'Expenditure Breakdown'!$W$6:$W$170, "&gt;="&amp;FY1,'Expenditure Breakdown'!$W$6:$W$170, "&lt;"&amp;FZ1)</f>
        <v>0</v>
      </c>
      <c r="FZ11" s="125">
        <f>SUMIFS('Expenditure Breakdown'!$Q$6:$Q$170, 'Expenditure Breakdown'!$W$6:$W$170, "&gt;="&amp;FZ1,'Expenditure Breakdown'!$W$6:$W$170, "&lt;"&amp;GA1)</f>
        <v>0</v>
      </c>
      <c r="GA11" s="125">
        <f>SUMIFS('Expenditure Breakdown'!$Q$6:$Q$170, 'Expenditure Breakdown'!$W$6:$W$170, "&gt;="&amp;GA1,'Expenditure Breakdown'!$W$6:$W$170, "&lt;"&amp;GB1)</f>
        <v>0</v>
      </c>
      <c r="GB11" s="125">
        <f>SUMIFS('Expenditure Breakdown'!$Q$6:$Q$170, 'Expenditure Breakdown'!$W$6:$W$170, "&gt;="&amp;GB1,'Expenditure Breakdown'!$W$6:$W$170, "&lt;"&amp;GC1)</f>
        <v>0</v>
      </c>
      <c r="GC11" s="125">
        <f>SUMIFS('Expenditure Breakdown'!$Q$6:$Q$170, 'Expenditure Breakdown'!$W$6:$W$170, "&gt;="&amp;GC1,'Expenditure Breakdown'!$W$6:$W$170, "&lt;"&amp;GD1)</f>
        <v>0</v>
      </c>
      <c r="GD11" s="125">
        <f>SUMIFS('Expenditure Breakdown'!$Q$6:$Q$170, 'Expenditure Breakdown'!$W$6:$W$170, "&gt;="&amp;GD1,'Expenditure Breakdown'!$W$6:$W$170, "&lt;"&amp;GE1)</f>
        <v>0</v>
      </c>
      <c r="GE11" s="125">
        <f>SUMIFS('Expenditure Breakdown'!$Q$6:$Q$170, 'Expenditure Breakdown'!$W$6:$W$170, "&gt;="&amp;GE1,'Expenditure Breakdown'!$W$6:$W$170, "&lt;"&amp;GF1)</f>
        <v>0</v>
      </c>
      <c r="GF11" s="125">
        <f>SUMIFS('Expenditure Breakdown'!$Q$6:$Q$170, 'Expenditure Breakdown'!$W$6:$W$170, "&gt;="&amp;GF1,'Expenditure Breakdown'!$W$6:$W$170, "&lt;"&amp;GG1)</f>
        <v>0</v>
      </c>
      <c r="GG11" s="125">
        <f>SUMIFS('Expenditure Breakdown'!$Q$6:$Q$170, 'Expenditure Breakdown'!$W$6:$W$170, "&gt;="&amp;GG1,'Expenditure Breakdown'!$W$6:$W$170, "&lt;"&amp;GH1)</f>
        <v>0</v>
      </c>
      <c r="GH11" s="125">
        <f>SUMIFS('Expenditure Breakdown'!$Q$6:$Q$170, 'Expenditure Breakdown'!$W$6:$W$170, "&gt;="&amp;GH1,'Expenditure Breakdown'!$W$6:$W$170, "&lt;"&amp;GI1)</f>
        <v>0</v>
      </c>
      <c r="GI11" s="125">
        <f>SUMIFS('Expenditure Breakdown'!$Q$6:$Q$170, 'Expenditure Breakdown'!$W$6:$W$170, "&gt;="&amp;GI1,'Expenditure Breakdown'!$W$6:$W$170, "&lt;"&amp;GJ1)</f>
        <v>0</v>
      </c>
      <c r="GJ11" s="125">
        <f>SUMIFS('Expenditure Breakdown'!$Q$6:$Q$170, 'Expenditure Breakdown'!$W$6:$W$170, "&gt;="&amp;GJ1,'Expenditure Breakdown'!$W$6:$W$170, "&lt;"&amp;GK1)</f>
        <v>0</v>
      </c>
      <c r="GK11" s="125">
        <f>SUMIFS('Expenditure Breakdown'!$Q$6:$Q$170, 'Expenditure Breakdown'!$W$6:$W$170, "&gt;="&amp;GK1,'Expenditure Breakdown'!$W$6:$W$170, "&lt;"&amp;GL1)</f>
        <v>0</v>
      </c>
      <c r="GL11" s="125">
        <f>SUMIFS('Expenditure Breakdown'!$Q$6:$Q$170, 'Expenditure Breakdown'!$W$6:$W$170, "&gt;="&amp;GL1,'Expenditure Breakdown'!$W$6:$W$170, "&lt;"&amp;GM1)</f>
        <v>0</v>
      </c>
      <c r="GM11" s="125">
        <f>SUMIFS('Expenditure Breakdown'!$Q$6:$Q$170, 'Expenditure Breakdown'!$W$6:$W$170, "&gt;="&amp;GM1,'Expenditure Breakdown'!$W$6:$W$170, "&lt;"&amp;GN1)</f>
        <v>0</v>
      </c>
      <c r="GN11" s="125">
        <f>SUMIFS('Expenditure Breakdown'!$Q$6:$Q$170, 'Expenditure Breakdown'!$W$6:$W$170, "&gt;="&amp;GN1,'Expenditure Breakdown'!$W$6:$W$170, "&lt;"&amp;GO1)</f>
        <v>0</v>
      </c>
      <c r="GO11" s="125">
        <f>SUMIFS('Expenditure Breakdown'!$Q$6:$Q$170, 'Expenditure Breakdown'!$W$6:$W$170, "&gt;="&amp;GO1,'Expenditure Breakdown'!$W$6:$W$170, "&lt;"&amp;GP1)</f>
        <v>0</v>
      </c>
      <c r="GP11" s="125">
        <f>SUMIFS('Expenditure Breakdown'!$Q$6:$Q$170, 'Expenditure Breakdown'!$W$6:$W$170, "&gt;="&amp;GP1,'Expenditure Breakdown'!$W$6:$W$170, "&lt;"&amp;GQ1)</f>
        <v>0</v>
      </c>
      <c r="GQ11" s="125">
        <f>SUMIFS('Expenditure Breakdown'!$Q$6:$Q$170, 'Expenditure Breakdown'!$W$6:$W$170, "&gt;="&amp;GQ1,'Expenditure Breakdown'!$W$6:$W$170, "&lt;"&amp;GR1)</f>
        <v>0</v>
      </c>
      <c r="GR11" s="125">
        <f>SUMIFS('Expenditure Breakdown'!$Q$6:$Q$170, 'Expenditure Breakdown'!$W$6:$W$170, "&gt;="&amp;GR1,'Expenditure Breakdown'!$W$6:$W$170, "&lt;"&amp;GS1)</f>
        <v>0</v>
      </c>
      <c r="GS11" s="125">
        <f>SUMIFS('Expenditure Breakdown'!$Q$6:$Q$170, 'Expenditure Breakdown'!$W$6:$W$170, "&gt;="&amp;GS1,'Expenditure Breakdown'!$W$6:$W$170, "&lt;"&amp;GT1)</f>
        <v>0</v>
      </c>
      <c r="GT11" s="125">
        <f>SUMIFS('Expenditure Breakdown'!$Q$6:$Q$170, 'Expenditure Breakdown'!$W$6:$W$170, "&gt;="&amp;GT1,'Expenditure Breakdown'!$W$6:$W$170, "&lt;"&amp;GU1)</f>
        <v>0</v>
      </c>
      <c r="GU11" s="125">
        <f>SUMIFS('Expenditure Breakdown'!$Q$6:$Q$170, 'Expenditure Breakdown'!$W$6:$W$170, "&gt;="&amp;GU1,'Expenditure Breakdown'!$W$6:$W$170, "&lt;"&amp;GV1)</f>
        <v>0</v>
      </c>
      <c r="GV11" s="125">
        <f>SUMIFS('Expenditure Breakdown'!$Q$6:$Q$170, 'Expenditure Breakdown'!$W$6:$W$170, "&gt;="&amp;GV1,'Expenditure Breakdown'!$W$6:$W$170, "&lt;"&amp;GW1)</f>
        <v>0</v>
      </c>
      <c r="GW11" s="125">
        <f>SUMIFS('Expenditure Breakdown'!$Q$6:$Q$170, 'Expenditure Breakdown'!$W$6:$W$170, "&gt;="&amp;GW1,'Expenditure Breakdown'!$W$6:$W$170, "&lt;"&amp;GX1)</f>
        <v>0</v>
      </c>
      <c r="GX11" s="125">
        <f>SUMIFS('Expenditure Breakdown'!$Q$6:$Q$170, 'Expenditure Breakdown'!$W$6:$W$170, "&gt;="&amp;GX1,'Expenditure Breakdown'!$W$6:$W$170, "&lt;"&amp;GY1)</f>
        <v>0</v>
      </c>
      <c r="GY11" s="125">
        <f>SUMIFS('Expenditure Breakdown'!$Q$6:$Q$170, 'Expenditure Breakdown'!$W$6:$W$170, "&gt;="&amp;GY1,'Expenditure Breakdown'!$W$6:$W$170, "&lt;"&amp;GZ1)</f>
        <v>0</v>
      </c>
      <c r="GZ11" s="125">
        <f>SUMIFS('Expenditure Breakdown'!$Q$6:$Q$170, 'Expenditure Breakdown'!$W$6:$W$170, "&gt;="&amp;GZ1,'Expenditure Breakdown'!$W$6:$W$170, "&lt;"&amp;HA1)</f>
        <v>0</v>
      </c>
      <c r="HA11" s="125">
        <f>SUMIFS('Expenditure Breakdown'!$Q$6:$Q$170, 'Expenditure Breakdown'!$W$6:$W$170, "&gt;="&amp;HA1,'Expenditure Breakdown'!$W$6:$W$170, "&lt;"&amp;HB1)</f>
        <v>0</v>
      </c>
      <c r="HB11" s="125">
        <f>SUMIFS('Expenditure Breakdown'!$Q$6:$Q$170, 'Expenditure Breakdown'!$W$6:$W$170, "&gt;="&amp;HB1,'Expenditure Breakdown'!$W$6:$W$170, "&lt;"&amp;HC1)</f>
        <v>0</v>
      </c>
      <c r="HC11" s="125">
        <f>SUMIFS('Expenditure Breakdown'!$Q$6:$Q$170, 'Expenditure Breakdown'!$W$6:$W$170, "&gt;="&amp;HC1,'Expenditure Breakdown'!$W$6:$W$170, "&lt;"&amp;HD1)</f>
        <v>0</v>
      </c>
      <c r="HD11" s="125">
        <f>SUMIFS('Expenditure Breakdown'!$Q$6:$Q$170, 'Expenditure Breakdown'!$W$6:$W$170, "&gt;="&amp;HD1,'Expenditure Breakdown'!$W$6:$W$170, "&lt;"&amp;HE1)</f>
        <v>0</v>
      </c>
      <c r="HE11" s="125">
        <f>SUMIFS('Expenditure Breakdown'!$Q$6:$Q$170, 'Expenditure Breakdown'!$W$6:$W$170, "&gt;="&amp;HE1,'Expenditure Breakdown'!$W$6:$W$170, "&lt;"&amp;HF1)</f>
        <v>0</v>
      </c>
      <c r="HF11" s="125">
        <f>SUMIFS('Expenditure Breakdown'!$Q$6:$Q$170, 'Expenditure Breakdown'!$W$6:$W$170, "&gt;="&amp;HF1,'Expenditure Breakdown'!$W$6:$W$170, "&lt;"&amp;HG1)</f>
        <v>0</v>
      </c>
      <c r="HG11" s="125">
        <f>SUMIFS('Expenditure Breakdown'!$Q$6:$Q$170, 'Expenditure Breakdown'!$W$6:$W$170, "&gt;="&amp;HG1,'Expenditure Breakdown'!$W$6:$W$170, "&lt;"&amp;HH1)</f>
        <v>0</v>
      </c>
      <c r="HH11" s="125">
        <f>SUMIFS('Expenditure Breakdown'!$Q$6:$Q$170, 'Expenditure Breakdown'!$W$6:$W$170, "&gt;="&amp;HH1,'Expenditure Breakdown'!$W$6:$W$170, "&lt;"&amp;HI1)</f>
        <v>0</v>
      </c>
      <c r="HI11" s="125">
        <f>SUMIFS('Expenditure Breakdown'!$Q$6:$Q$170, 'Expenditure Breakdown'!$W$6:$W$170, "&gt;="&amp;HI1,'Expenditure Breakdown'!$W$6:$W$170, "&lt;"&amp;HJ1)</f>
        <v>0</v>
      </c>
      <c r="HJ11" s="125">
        <f>SUMIFS('Expenditure Breakdown'!$Q$6:$Q$170, 'Expenditure Breakdown'!$W$6:$W$170, "&gt;="&amp;HJ1,'Expenditure Breakdown'!$W$6:$W$170, "&lt;"&amp;HK1)</f>
        <v>0</v>
      </c>
      <c r="HK11" s="125">
        <f>SUMIFS('Expenditure Breakdown'!$Q$6:$Q$170, 'Expenditure Breakdown'!$W$6:$W$170, "&gt;="&amp;HK1,'Expenditure Breakdown'!$W$6:$W$170, "&lt;"&amp;HL1)</f>
        <v>0</v>
      </c>
      <c r="HL11" s="125">
        <f>SUMIFS('Expenditure Breakdown'!$Q$6:$Q$170, 'Expenditure Breakdown'!$W$6:$W$170, "&gt;="&amp;HL1,'Expenditure Breakdown'!$W$6:$W$170, "&lt;"&amp;HM1)</f>
        <v>0</v>
      </c>
      <c r="HM11" s="125">
        <f>SUMIFS('Expenditure Breakdown'!$Q$6:$Q$170, 'Expenditure Breakdown'!$W$6:$W$170, "&gt;="&amp;HM1,'Expenditure Breakdown'!$W$6:$W$170, "&lt;"&amp;HN1)</f>
        <v>0</v>
      </c>
      <c r="HN11" s="125">
        <f>SUMIFS('Expenditure Breakdown'!$Q$6:$Q$170, 'Expenditure Breakdown'!$W$6:$W$170, "&gt;="&amp;HN1,'Expenditure Breakdown'!$W$6:$W$170, "&lt;"&amp;HO1)</f>
        <v>0</v>
      </c>
      <c r="HO11" s="125">
        <f>SUMIFS('Expenditure Breakdown'!$Q$6:$Q$170, 'Expenditure Breakdown'!$W$6:$W$170, "&gt;="&amp;HO1,'Expenditure Breakdown'!$W$6:$W$170, "&lt;"&amp;HP1)</f>
        <v>0</v>
      </c>
      <c r="HP11" s="125">
        <f>SUMIFS('Expenditure Breakdown'!$Q$6:$Q$170, 'Expenditure Breakdown'!$W$6:$W$170, "&gt;="&amp;HP1,'Expenditure Breakdown'!$W$6:$W$170, "&lt;"&amp;HQ1)</f>
        <v>0</v>
      </c>
      <c r="HQ11" s="125">
        <f>SUMIFS('Expenditure Breakdown'!$Q$6:$Q$170, 'Expenditure Breakdown'!$W$6:$W$170, "&gt;="&amp;HQ1,'Expenditure Breakdown'!$W$6:$W$170, "&lt;"&amp;HR1)</f>
        <v>0</v>
      </c>
      <c r="HR11" s="125">
        <f>SUMIFS('Expenditure Breakdown'!$Q$6:$Q$170, 'Expenditure Breakdown'!$W$6:$W$170, "&gt;="&amp;HR1,'Expenditure Breakdown'!$W$6:$W$170, "&lt;"&amp;HS1)</f>
        <v>0</v>
      </c>
      <c r="HS11" s="125">
        <f>SUMIFS('Expenditure Breakdown'!$Q$6:$Q$170, 'Expenditure Breakdown'!$W$6:$W$170, "&gt;="&amp;HS1,'Expenditure Breakdown'!$W$6:$W$170, "&lt;"&amp;HT1)</f>
        <v>0</v>
      </c>
      <c r="HT11" s="125">
        <f>SUMIFS('Expenditure Breakdown'!$Q$6:$Q$170, 'Expenditure Breakdown'!$W$6:$W$170, "&gt;="&amp;HT1,'Expenditure Breakdown'!$W$6:$W$170, "&lt;"&amp;HU1)</f>
        <v>0</v>
      </c>
      <c r="HU11" s="125">
        <f>SUMIFS('Expenditure Breakdown'!$Q$6:$Q$170, 'Expenditure Breakdown'!$W$6:$W$170, "&gt;="&amp;HU1,'Expenditure Breakdown'!$W$6:$W$170, "&lt;"&amp;HV1)</f>
        <v>0</v>
      </c>
      <c r="HV11" s="125">
        <f>SUMIFS('Expenditure Breakdown'!$Q$6:$Q$170, 'Expenditure Breakdown'!$W$6:$W$170, "&gt;="&amp;HV1,'Expenditure Breakdown'!$W$6:$W$170, "&lt;"&amp;HW1)</f>
        <v>0</v>
      </c>
      <c r="HW11" s="125">
        <f>SUMIFS('Expenditure Breakdown'!$Q$6:$Q$170, 'Expenditure Breakdown'!$W$6:$W$170, "&gt;="&amp;HW1,'Expenditure Breakdown'!$W$6:$W$170, "&lt;"&amp;HX1)</f>
        <v>0</v>
      </c>
      <c r="HX11" s="125">
        <f>SUMIFS('Expenditure Breakdown'!$Q$6:$Q$170, 'Expenditure Breakdown'!$W$6:$W$170, "&gt;="&amp;HX1,'Expenditure Breakdown'!$W$6:$W$170, "&lt;"&amp;HY1)</f>
        <v>0</v>
      </c>
      <c r="HY11" s="125">
        <f>SUMIFS('Expenditure Breakdown'!$Q$6:$Q$170, 'Expenditure Breakdown'!$W$6:$W$170, "&gt;="&amp;HY1,'Expenditure Breakdown'!$W$6:$W$170, "&lt;"&amp;HZ1)</f>
        <v>0</v>
      </c>
      <c r="HZ11" s="125">
        <f>SUMIFS('Expenditure Breakdown'!$Q$6:$Q$170, 'Expenditure Breakdown'!$W$6:$W$170, "&gt;="&amp;HZ1,'Expenditure Breakdown'!$W$6:$W$170, "&lt;"&amp;IA1)</f>
        <v>0</v>
      </c>
      <c r="IA11" s="125">
        <f>SUMIFS('Expenditure Breakdown'!$Q$6:$Q$170, 'Expenditure Breakdown'!$W$6:$W$170, "&gt;="&amp;IA1,'Expenditure Breakdown'!$W$6:$W$170, "&lt;"&amp;IB1)</f>
        <v>0</v>
      </c>
      <c r="IB11" s="125">
        <f>SUMIFS('Expenditure Breakdown'!$Q$6:$Q$170, 'Expenditure Breakdown'!$W$6:$W$170, "&gt;="&amp;IB1,'Expenditure Breakdown'!$W$6:$W$170, "&lt;"&amp;IC1)</f>
        <v>0</v>
      </c>
      <c r="IC11" s="125">
        <f>SUMIFS('Expenditure Breakdown'!$Q$6:$Q$170, 'Expenditure Breakdown'!$W$6:$W$170, "&gt;="&amp;IC1,'Expenditure Breakdown'!$W$6:$W$170, "&lt;"&amp;ID1)</f>
        <v>0</v>
      </c>
      <c r="ID11" s="125">
        <f>SUMIFS('Expenditure Breakdown'!$Q$6:$Q$170, 'Expenditure Breakdown'!$W$6:$W$170, "&gt;="&amp;ID1,'Expenditure Breakdown'!$W$6:$W$170, "&lt;"&amp;IE1)</f>
        <v>0</v>
      </c>
      <c r="IE11" s="125">
        <f>SUMIFS('Expenditure Breakdown'!$Q$6:$Q$170, 'Expenditure Breakdown'!$W$6:$W$170, "&gt;="&amp;IE1,'Expenditure Breakdown'!$W$6:$W$170, "&lt;"&amp;IF1)</f>
        <v>0</v>
      </c>
      <c r="IF11" s="125">
        <f>SUMIFS('Expenditure Breakdown'!$Q$6:$Q$170, 'Expenditure Breakdown'!$W$6:$W$170, "&gt;="&amp;IF1,'Expenditure Breakdown'!$W$6:$W$170, "&lt;"&amp;IG1)</f>
        <v>0</v>
      </c>
      <c r="IG11" s="125">
        <f>SUMIFS('Expenditure Breakdown'!$Q$6:$Q$170, 'Expenditure Breakdown'!$W$6:$W$170, "&gt;="&amp;IG1,'Expenditure Breakdown'!$W$6:$W$170, "&lt;"&amp;IH1)</f>
        <v>0</v>
      </c>
      <c r="IH11" s="125">
        <f>SUMIFS('Expenditure Breakdown'!$Q$6:$Q$170, 'Expenditure Breakdown'!$W$6:$W$170, "&gt;="&amp;IH1,'Expenditure Breakdown'!$W$6:$W$170, "&lt;"&amp;II1)</f>
        <v>0</v>
      </c>
      <c r="II11" s="125">
        <f>SUMIFS('Expenditure Breakdown'!$Q$6:$Q$170, 'Expenditure Breakdown'!$W$6:$W$170, "&gt;="&amp;II1,'Expenditure Breakdown'!$W$6:$W$170, "&lt;"&amp;IJ1)</f>
        <v>0</v>
      </c>
      <c r="IJ11" s="125">
        <f>SUMIFS('Expenditure Breakdown'!$Q$6:$Q$170, 'Expenditure Breakdown'!$W$6:$W$170, "&gt;="&amp;IJ1,'Expenditure Breakdown'!$W$6:$W$170, "&lt;"&amp;IK1)</f>
        <v>0</v>
      </c>
      <c r="IK11" s="125">
        <f>SUMIFS('Expenditure Breakdown'!$Q$6:$Q$170, 'Expenditure Breakdown'!$W$6:$W$170, "&gt;="&amp;IK1,'Expenditure Breakdown'!$W$6:$W$170, "&lt;"&amp;IL1)</f>
        <v>0</v>
      </c>
      <c r="IL11" s="125">
        <f>SUMIFS('Expenditure Breakdown'!$Q$6:$Q$170, 'Expenditure Breakdown'!$W$6:$W$170, "&gt;="&amp;IL1,'Expenditure Breakdown'!$W$6:$W$170, "&lt;"&amp;IM1)</f>
        <v>0</v>
      </c>
      <c r="IM11" s="125">
        <f>SUMIFS('Expenditure Breakdown'!$Q$6:$Q$170, 'Expenditure Breakdown'!$W$6:$W$170, "&gt;="&amp;IM1,'Expenditure Breakdown'!$W$6:$W$170, "&lt;"&amp;IN1)</f>
        <v>0</v>
      </c>
      <c r="IN11" s="125">
        <f>SUMIFS('Expenditure Breakdown'!$Q$6:$Q$170, 'Expenditure Breakdown'!$W$6:$W$170, "&gt;="&amp;IN1,'Expenditure Breakdown'!$W$6:$W$170, "&lt;"&amp;IO1)</f>
        <v>0</v>
      </c>
      <c r="IO11" s="125">
        <f>SUMIFS('Expenditure Breakdown'!$Q$6:$Q$170, 'Expenditure Breakdown'!$W$6:$W$170, "&gt;="&amp;IO1,'Expenditure Breakdown'!$W$6:$W$170, "&lt;"&amp;IP1)</f>
        <v>0</v>
      </c>
      <c r="IP11" s="125">
        <f>SUMIFS('Expenditure Breakdown'!$Q$6:$Q$170, 'Expenditure Breakdown'!$W$6:$W$170, "&gt;="&amp;IP1,'Expenditure Breakdown'!$W$6:$W$170, "&lt;"&amp;IQ1)</f>
        <v>0</v>
      </c>
      <c r="IQ11" s="125">
        <f>SUMIFS('Expenditure Breakdown'!$Q$6:$Q$170, 'Expenditure Breakdown'!$W$6:$W$170, "&gt;="&amp;IQ1,'Expenditure Breakdown'!$W$6:$W$170, "&lt;"&amp;IR1)</f>
        <v>0</v>
      </c>
      <c r="IR11" s="125">
        <f>SUMIFS('Expenditure Breakdown'!$Q$6:$Q$170, 'Expenditure Breakdown'!$W$6:$W$170, "&gt;="&amp;IR1,'Expenditure Breakdown'!$W$6:$W$170, "&lt;"&amp;IS1)</f>
        <v>0</v>
      </c>
      <c r="IS11" s="125">
        <f>SUMIFS('Expenditure Breakdown'!$Q$6:$Q$170, 'Expenditure Breakdown'!$W$6:$W$170, "&gt;="&amp;IS1,'Expenditure Breakdown'!$W$6:$W$170, "&lt;"&amp;IT1)</f>
        <v>0</v>
      </c>
      <c r="IT11" s="125">
        <f>SUMIFS('Expenditure Breakdown'!$Q$6:$Q$170, 'Expenditure Breakdown'!$W$6:$W$170, "&gt;="&amp;IT1,'Expenditure Breakdown'!$W$6:$W$170, "&lt;"&amp;IU1)</f>
        <v>0</v>
      </c>
      <c r="IU11" s="125">
        <f>SUMIFS('Expenditure Breakdown'!$Q$6:$Q$170, 'Expenditure Breakdown'!$W$6:$W$170, "&gt;="&amp;IU1,'Expenditure Breakdown'!$W$6:$W$170, "&lt;"&amp;IV1)</f>
        <v>0</v>
      </c>
      <c r="IV11" s="125">
        <f>SUMIFS('Expenditure Breakdown'!$Q$6:$Q$170, 'Expenditure Breakdown'!$W$6:$W$170, "&gt;="&amp;IV1,'Expenditure Breakdown'!$W$6:$W$170, "&lt;"&amp;IW1)</f>
        <v>0</v>
      </c>
      <c r="IW11" s="125">
        <f>SUMIFS('Expenditure Breakdown'!$Q$6:$Q$170, 'Expenditure Breakdown'!$W$6:$W$170, "&gt;="&amp;IW1,'Expenditure Breakdown'!$W$6:$W$170, "&lt;"&amp;IX1)</f>
        <v>0</v>
      </c>
      <c r="IX11" s="125">
        <f>SUMIFS('Expenditure Breakdown'!$Q$6:$Q$170, 'Expenditure Breakdown'!$W$6:$W$170, "&gt;="&amp;IX1,'Expenditure Breakdown'!$W$6:$W$170, "&lt;"&amp;IY1)</f>
        <v>0</v>
      </c>
      <c r="IY11" s="125">
        <f>SUMIFS('Expenditure Breakdown'!$Q$6:$Q$170, 'Expenditure Breakdown'!$W$6:$W$170, "&gt;="&amp;IY1,'Expenditure Breakdown'!$W$6:$W$170, "&lt;"&amp;IZ1)</f>
        <v>0</v>
      </c>
      <c r="IZ11" s="125">
        <f>SUMIFS('Expenditure Breakdown'!$Q$6:$Q$170, 'Expenditure Breakdown'!$W$6:$W$170, "&gt;="&amp;IZ1,'Expenditure Breakdown'!$W$6:$W$170, "&lt;"&amp;JA1)</f>
        <v>0</v>
      </c>
      <c r="JA11" s="125">
        <f>SUMIFS('Expenditure Breakdown'!$Q$6:$Q$170, 'Expenditure Breakdown'!$W$6:$W$170, "&gt;="&amp;JA1,'Expenditure Breakdown'!$W$6:$W$170, "&lt;"&amp;JB1)</f>
        <v>0</v>
      </c>
      <c r="JB11" s="125">
        <f>SUMIFS('Expenditure Breakdown'!$Q$6:$Q$170, 'Expenditure Breakdown'!$W$6:$W$170, "&gt;="&amp;JB1,'Expenditure Breakdown'!$W$6:$W$170, "&lt;"&amp;JC1)</f>
        <v>0</v>
      </c>
      <c r="JC11" s="125">
        <f>SUMIFS('Expenditure Breakdown'!$Q$6:$Q$170, 'Expenditure Breakdown'!$W$6:$W$170, "&gt;="&amp;JC1,'Expenditure Breakdown'!$W$6:$W$170, "&lt;"&amp;JD1)</f>
        <v>0</v>
      </c>
      <c r="JD11" s="125">
        <f>SUMIFS('Expenditure Breakdown'!$Q$6:$Q$170, 'Expenditure Breakdown'!$W$6:$W$170, "&gt;="&amp;JD1,'Expenditure Breakdown'!$W$6:$W$170, "&lt;"&amp;JE1)</f>
        <v>0</v>
      </c>
      <c r="JE11" s="125">
        <f>SUMIFS('Expenditure Breakdown'!$Q$6:$Q$170, 'Expenditure Breakdown'!$W$6:$W$170, "&gt;="&amp;JE1,'Expenditure Breakdown'!$W$6:$W$170, "&lt;"&amp;JF1)</f>
        <v>0</v>
      </c>
      <c r="JF11" s="125">
        <f>SUMIFS('Expenditure Breakdown'!$Q$6:$Q$170, 'Expenditure Breakdown'!$W$6:$W$170, "&gt;="&amp;JF1,'Expenditure Breakdown'!$W$6:$W$170, "&lt;"&amp;JG1)</f>
        <v>0</v>
      </c>
      <c r="JG11" s="125">
        <f>SUMIFS('Expenditure Breakdown'!$Q$6:$Q$170, 'Expenditure Breakdown'!$W$6:$W$170, "&gt;="&amp;JG1,'Expenditure Breakdown'!$W$6:$W$170, "&lt;"&amp;JH1)</f>
        <v>0</v>
      </c>
      <c r="JH11" s="125">
        <f>SUMIFS('Expenditure Breakdown'!$Q$6:$Q$170, 'Expenditure Breakdown'!$W$6:$W$170, "&gt;="&amp;JH1,'Expenditure Breakdown'!$W$6:$W$170, "&lt;"&amp;JI1)</f>
        <v>0</v>
      </c>
      <c r="JI11" s="125">
        <f>SUMIFS('Expenditure Breakdown'!$Q$6:$Q$170, 'Expenditure Breakdown'!$W$6:$W$170, "&gt;="&amp;JI1,'Expenditure Breakdown'!$W$6:$W$170, "&lt;"&amp;JJ1)</f>
        <v>0</v>
      </c>
      <c r="JJ11" s="125">
        <f>SUMIFS('Expenditure Breakdown'!$Q$6:$Q$170, 'Expenditure Breakdown'!$W$6:$W$170, "&gt;="&amp;JJ1,'Expenditure Breakdown'!$W$6:$W$170, "&lt;"&amp;JK1)</f>
        <v>0</v>
      </c>
      <c r="JK11" s="125">
        <f>SUMIFS('Expenditure Breakdown'!$Q$6:$Q$170, 'Expenditure Breakdown'!$W$6:$W$170, "&gt;="&amp;JK1,'Expenditure Breakdown'!$W$6:$W$170, "&lt;"&amp;JL1)</f>
        <v>0</v>
      </c>
      <c r="JL11" s="125">
        <f>SUMIFS('Expenditure Breakdown'!$Q$6:$Q$170, 'Expenditure Breakdown'!$W$6:$W$170, "&gt;="&amp;JL1,'Expenditure Breakdown'!$W$6:$W$170, "&lt;"&amp;JM1)</f>
        <v>0</v>
      </c>
      <c r="JM11" s="125">
        <f>SUMIFS('Expenditure Breakdown'!$Q$6:$Q$170, 'Expenditure Breakdown'!$W$6:$W$170, "&gt;="&amp;JM1,'Expenditure Breakdown'!$W$6:$W$170, "&lt;"&amp;JN1)</f>
        <v>0</v>
      </c>
      <c r="JN11" s="125">
        <f>SUMIFS('Expenditure Breakdown'!$Q$6:$Q$170, 'Expenditure Breakdown'!$W$6:$W$170, "&gt;="&amp;JN1,'Expenditure Breakdown'!$W$6:$W$170, "&lt;"&amp;JO1)</f>
        <v>0</v>
      </c>
      <c r="JO11" s="125">
        <f>SUMIFS('Expenditure Breakdown'!$Q$6:$Q$170, 'Expenditure Breakdown'!$W$6:$W$170, "&gt;="&amp;JO1,'Expenditure Breakdown'!$W$6:$W$170, "&lt;"&amp;JP1)</f>
        <v>0</v>
      </c>
      <c r="JP11" s="125">
        <f>SUMIFS('Expenditure Breakdown'!$Q$6:$Q$170, 'Expenditure Breakdown'!$W$6:$W$170, "&gt;="&amp;JP1,'Expenditure Breakdown'!$W$6:$W$170, "&lt;"&amp;JQ1)</f>
        <v>0</v>
      </c>
      <c r="JQ11" s="125">
        <f>SUMIFS('Expenditure Breakdown'!$Q$6:$Q$170, 'Expenditure Breakdown'!$W$6:$W$170, "&gt;="&amp;JQ1,'Expenditure Breakdown'!$W$6:$W$170, "&lt;"&amp;JR1)</f>
        <v>0</v>
      </c>
      <c r="JR11" s="125">
        <f>SUMIFS('Expenditure Breakdown'!$Q$6:$Q$170, 'Expenditure Breakdown'!$W$6:$W$170, "&gt;="&amp;JR1,'Expenditure Breakdown'!$W$6:$W$170, "&lt;"&amp;JS1)</f>
        <v>0</v>
      </c>
      <c r="JS11" s="125">
        <f>SUMIFS('Expenditure Breakdown'!$Q$6:$Q$170, 'Expenditure Breakdown'!$W$6:$W$170, "&gt;="&amp;JS1,'Expenditure Breakdown'!$W$6:$W$170, "&lt;"&amp;JT1)</f>
        <v>0</v>
      </c>
      <c r="JT11" s="125">
        <f>SUMIFS('Expenditure Breakdown'!$Q$6:$Q$170, 'Expenditure Breakdown'!$W$6:$W$170, "&gt;="&amp;JT1,'Expenditure Breakdown'!$W$6:$W$170, "&lt;"&amp;JU1)</f>
        <v>0</v>
      </c>
      <c r="JU11" s="125">
        <f>SUMIFS('Expenditure Breakdown'!$Q$6:$Q$170, 'Expenditure Breakdown'!$W$6:$W$170, "&gt;="&amp;JU1,'Expenditure Breakdown'!$W$6:$W$170, "&lt;"&amp;JV1)</f>
        <v>0</v>
      </c>
      <c r="JV11" s="125">
        <f>SUMIFS('Expenditure Breakdown'!$Q$6:$Q$170, 'Expenditure Breakdown'!$W$6:$W$170, "&gt;="&amp;JV1,'Expenditure Breakdown'!$W$6:$W$170, "&lt;"&amp;JW1)</f>
        <v>0</v>
      </c>
      <c r="JW11" s="125">
        <f>SUMIFS('Expenditure Breakdown'!$Q$6:$Q$170, 'Expenditure Breakdown'!$W$6:$W$170, "&gt;="&amp;JW1,'Expenditure Breakdown'!$W$6:$W$170, "&lt;"&amp;JX1)</f>
        <v>0</v>
      </c>
      <c r="JX11" s="125">
        <f>SUMIFS('Expenditure Breakdown'!$Q$6:$Q$170, 'Expenditure Breakdown'!$W$6:$W$170, "&gt;="&amp;JX1,'Expenditure Breakdown'!$W$6:$W$170, "&lt;"&amp;JY1)</f>
        <v>0</v>
      </c>
      <c r="JY11" s="125">
        <f>SUMIFS('Expenditure Breakdown'!$Q$6:$Q$170, 'Expenditure Breakdown'!$W$6:$W$170, "&gt;="&amp;JY1,'Expenditure Breakdown'!$W$6:$W$170, "&lt;"&amp;JZ1)</f>
        <v>0</v>
      </c>
      <c r="JZ11" s="125">
        <f>SUMIFS('Expenditure Breakdown'!$Q$6:$Q$170, 'Expenditure Breakdown'!$W$6:$W$170, "&gt;="&amp;JZ1,'Expenditure Breakdown'!$W$6:$W$170, "&lt;"&amp;KA1)</f>
        <v>0</v>
      </c>
      <c r="KA11" s="125">
        <f>SUMIFS('Expenditure Breakdown'!$Q$6:$Q$170, 'Expenditure Breakdown'!$W$6:$W$170, "&gt;="&amp;KA1,'Expenditure Breakdown'!$W$6:$W$170, "&lt;"&amp;KB1)</f>
        <v>0</v>
      </c>
      <c r="KB11" s="125">
        <f>SUMIFS('Expenditure Breakdown'!$Q$6:$Q$170, 'Expenditure Breakdown'!$W$6:$W$170, "&gt;="&amp;KB1,'Expenditure Breakdown'!$W$6:$W$170, "&lt;"&amp;KC1)</f>
        <v>0</v>
      </c>
      <c r="KC11" s="125">
        <f>SUMIFS('Expenditure Breakdown'!$Q$6:$Q$170, 'Expenditure Breakdown'!$W$6:$W$170, "&gt;="&amp;KC1,'Expenditure Breakdown'!$W$6:$W$170, "&lt;"&amp;KD1)</f>
        <v>0</v>
      </c>
      <c r="KD11" s="125">
        <f>SUMIFS('Expenditure Breakdown'!$Q$6:$Q$170, 'Expenditure Breakdown'!$W$6:$W$170, "&gt;="&amp;KD1,'Expenditure Breakdown'!$W$6:$W$170, "&lt;"&amp;KE1)</f>
        <v>0</v>
      </c>
      <c r="KE11" s="125">
        <f>SUMIFS('Expenditure Breakdown'!$Q$6:$Q$170, 'Expenditure Breakdown'!$W$6:$W$170, "&gt;="&amp;KE1,'Expenditure Breakdown'!$W$6:$W$170, "&lt;"&amp;KF1)</f>
        <v>0</v>
      </c>
      <c r="KF11" s="125">
        <f>SUMIFS('Expenditure Breakdown'!$Q$6:$Q$170, 'Expenditure Breakdown'!$W$6:$W$170, "&gt;="&amp;KF1,'Expenditure Breakdown'!$W$6:$W$170, "&lt;"&amp;#REF!)</f>
        <v>0</v>
      </c>
      <c r="KG11" s="102"/>
      <c r="KH11" s="113"/>
      <c r="KI11" s="113"/>
    </row>
    <row r="12" spans="1:770" s="114" customFormat="1">
      <c r="A12" s="745"/>
      <c r="B12" s="123" t="s">
        <v>422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125438.71400000002</v>
      </c>
      <c r="R12" s="125">
        <f t="shared" si="26"/>
        <v>207061.94800000003</v>
      </c>
      <c r="S12" s="125">
        <f t="shared" si="26"/>
        <v>240777.39800000004</v>
      </c>
      <c r="T12" s="125">
        <f t="shared" si="26"/>
        <v>240777.39800000004</v>
      </c>
      <c r="U12" s="125">
        <f t="shared" si="26"/>
        <v>420448.56800000009</v>
      </c>
      <c r="V12" s="125">
        <f t="shared" si="26"/>
        <v>472226.66800000006</v>
      </c>
      <c r="W12" s="125">
        <f t="shared" si="26"/>
        <v>472226.66800000006</v>
      </c>
      <c r="X12" s="125">
        <f t="shared" si="26"/>
        <v>594268.81900000002</v>
      </c>
      <c r="Y12" s="125">
        <f t="shared" si="26"/>
        <v>1102976.8588872936</v>
      </c>
      <c r="Z12" s="125">
        <f t="shared" si="26"/>
        <v>1272128.3658872936</v>
      </c>
      <c r="AA12" s="125">
        <f t="shared" si="26"/>
        <v>1283285.8658872936</v>
      </c>
      <c r="AB12" s="125">
        <f t="shared" si="26"/>
        <v>1303626.2243872937</v>
      </c>
      <c r="AC12" s="125">
        <f t="shared" si="26"/>
        <v>1303626.2243872937</v>
      </c>
      <c r="AD12" s="125">
        <f>AC12+AD11</f>
        <v>1303626.2243872937</v>
      </c>
      <c r="AE12" s="125">
        <f t="shared" si="26"/>
        <v>1303783.7243872937</v>
      </c>
      <c r="AF12" s="125">
        <f t="shared" si="26"/>
        <v>1303783.7243872937</v>
      </c>
      <c r="AG12" s="125">
        <f t="shared" si="26"/>
        <v>1303783.7243872937</v>
      </c>
      <c r="AH12" s="125">
        <f t="shared" si="26"/>
        <v>1303783.7243872937</v>
      </c>
      <c r="AI12" s="125">
        <f t="shared" si="26"/>
        <v>1303783.7243872937</v>
      </c>
      <c r="AJ12" s="125">
        <f t="shared" si="26"/>
        <v>1303783.7243872937</v>
      </c>
      <c r="AK12" s="125">
        <f t="shared" si="26"/>
        <v>1303783.7243872937</v>
      </c>
      <c r="AL12" s="125">
        <f t="shared" si="26"/>
        <v>1303783.7243872937</v>
      </c>
      <c r="AM12" s="125">
        <f t="shared" si="26"/>
        <v>1303783.7243872937</v>
      </c>
      <c r="AN12" s="125">
        <f t="shared" si="26"/>
        <v>1303783.7243872937</v>
      </c>
      <c r="AO12" s="125">
        <f t="shared" si="26"/>
        <v>1303783.7243872937</v>
      </c>
      <c r="AP12" s="125">
        <f t="shared" si="26"/>
        <v>1303783.7243872937</v>
      </c>
      <c r="AQ12" s="125">
        <f t="shared" si="26"/>
        <v>1303783.7243872937</v>
      </c>
      <c r="AR12" s="125">
        <f t="shared" si="26"/>
        <v>1303783.7243872937</v>
      </c>
      <c r="AS12" s="125">
        <f t="shared" si="26"/>
        <v>1303783.7243872937</v>
      </c>
      <c r="AT12" s="125">
        <f t="shared" si="26"/>
        <v>1303783.7243872937</v>
      </c>
      <c r="AU12" s="125">
        <f t="shared" si="26"/>
        <v>1303783.7243872937</v>
      </c>
      <c r="AV12" s="125">
        <f t="shared" si="26"/>
        <v>1303783.7243872937</v>
      </c>
      <c r="AW12" s="125">
        <f t="shared" si="26"/>
        <v>1303783.7243872937</v>
      </c>
      <c r="AX12" s="125">
        <f t="shared" si="26"/>
        <v>1303783.7243872937</v>
      </c>
      <c r="AY12" s="125">
        <f t="shared" si="26"/>
        <v>1303783.7243872937</v>
      </c>
      <c r="AZ12" s="125">
        <f t="shared" si="26"/>
        <v>1303783.7243872937</v>
      </c>
      <c r="BA12" s="125">
        <f t="shared" si="26"/>
        <v>1303783.7243872937</v>
      </c>
      <c r="BB12" s="125">
        <f t="shared" si="26"/>
        <v>1303783.7243872937</v>
      </c>
      <c r="BC12" s="125">
        <f t="shared" si="26"/>
        <v>1303783.7243872937</v>
      </c>
      <c r="BD12" s="125">
        <f t="shared" si="26"/>
        <v>1303783.7243872937</v>
      </c>
      <c r="BE12" s="125">
        <f t="shared" si="26"/>
        <v>1303783.7243872937</v>
      </c>
      <c r="BF12" s="125">
        <f t="shared" si="26"/>
        <v>1303783.7243872937</v>
      </c>
      <c r="BG12" s="125">
        <f t="shared" si="26"/>
        <v>1303783.7243872937</v>
      </c>
      <c r="BH12" s="125">
        <f t="shared" si="26"/>
        <v>1303783.7243872937</v>
      </c>
      <c r="BI12" s="125">
        <f t="shared" si="26"/>
        <v>1303783.7243872937</v>
      </c>
      <c r="BJ12" s="125">
        <f t="shared" si="26"/>
        <v>1303783.7243872937</v>
      </c>
      <c r="BK12" s="125">
        <f t="shared" si="26"/>
        <v>1303783.7243872937</v>
      </c>
      <c r="BL12" s="125">
        <f t="shared" si="26"/>
        <v>1303783.7243872937</v>
      </c>
      <c r="BM12" s="125">
        <f t="shared" si="26"/>
        <v>1303783.7243872937</v>
      </c>
      <c r="BN12" s="125">
        <f t="shared" si="26"/>
        <v>1303783.7243872937</v>
      </c>
      <c r="BO12" s="125">
        <f t="shared" si="26"/>
        <v>1303783.7243872937</v>
      </c>
      <c r="BP12" s="125">
        <f t="shared" si="26"/>
        <v>1303783.7243872937</v>
      </c>
      <c r="BQ12" s="125">
        <f t="shared" si="26"/>
        <v>1303783.7243872937</v>
      </c>
      <c r="BR12" s="125">
        <f t="shared" si="26"/>
        <v>1303783.7243872937</v>
      </c>
      <c r="BS12" s="125">
        <f t="shared" si="26"/>
        <v>1303783.7243872937</v>
      </c>
      <c r="BT12" s="125">
        <f t="shared" si="26"/>
        <v>1303783.7243872937</v>
      </c>
      <c r="BU12" s="125">
        <f t="shared" ref="BU12:EF12" si="27">BT12+BU11</f>
        <v>1303783.7243872937</v>
      </c>
      <c r="BV12" s="125">
        <f t="shared" si="27"/>
        <v>1303783.7243872937</v>
      </c>
      <c r="BW12" s="125">
        <f t="shared" si="27"/>
        <v>1303783.7243872937</v>
      </c>
      <c r="BX12" s="125">
        <f t="shared" si="27"/>
        <v>1303783.7243872937</v>
      </c>
      <c r="BY12" s="125">
        <f t="shared" si="27"/>
        <v>1303783.7243872937</v>
      </c>
      <c r="BZ12" s="125">
        <f t="shared" si="27"/>
        <v>1303783.7243872937</v>
      </c>
      <c r="CA12" s="125">
        <f t="shared" si="27"/>
        <v>1303783.7243872937</v>
      </c>
      <c r="CB12" s="125">
        <f t="shared" si="27"/>
        <v>1303783.7243872937</v>
      </c>
      <c r="CC12" s="125">
        <f t="shared" si="27"/>
        <v>1303783.7243872937</v>
      </c>
      <c r="CD12" s="125">
        <f t="shared" si="27"/>
        <v>1303783.7243872937</v>
      </c>
      <c r="CE12" s="125">
        <f t="shared" si="27"/>
        <v>1303783.7243872937</v>
      </c>
      <c r="CF12" s="125">
        <f t="shared" si="27"/>
        <v>1303783.7243872937</v>
      </c>
      <c r="CG12" s="125">
        <f t="shared" si="27"/>
        <v>1303783.7243872937</v>
      </c>
      <c r="CH12" s="125">
        <f t="shared" si="27"/>
        <v>1303783.7243872937</v>
      </c>
      <c r="CI12" s="125">
        <f t="shared" si="27"/>
        <v>1303783.7243872937</v>
      </c>
      <c r="CJ12" s="125">
        <f t="shared" si="27"/>
        <v>1303783.7243872937</v>
      </c>
      <c r="CK12" s="125">
        <f t="shared" si="27"/>
        <v>1303783.7243872937</v>
      </c>
      <c r="CL12" s="125">
        <f t="shared" si="27"/>
        <v>1303783.7243872937</v>
      </c>
      <c r="CM12" s="125">
        <f t="shared" si="27"/>
        <v>1303783.7243872937</v>
      </c>
      <c r="CN12" s="125">
        <f t="shared" si="27"/>
        <v>1303783.7243872937</v>
      </c>
      <c r="CO12" s="125">
        <f t="shared" si="27"/>
        <v>1303783.7243872937</v>
      </c>
      <c r="CP12" s="125">
        <f t="shared" si="27"/>
        <v>1303783.7243872937</v>
      </c>
      <c r="CQ12" s="125">
        <f t="shared" si="27"/>
        <v>1303783.7243872937</v>
      </c>
      <c r="CR12" s="125">
        <f t="shared" si="27"/>
        <v>1303783.7243872937</v>
      </c>
      <c r="CS12" s="125">
        <f t="shared" si="27"/>
        <v>1303783.7243872937</v>
      </c>
      <c r="CT12" s="125">
        <f t="shared" si="27"/>
        <v>1303783.7243872937</v>
      </c>
      <c r="CU12" s="125">
        <f t="shared" si="27"/>
        <v>1303783.7243872937</v>
      </c>
      <c r="CV12" s="125">
        <f t="shared" si="27"/>
        <v>1303783.7243872937</v>
      </c>
      <c r="CW12" s="125">
        <f t="shared" si="27"/>
        <v>1303783.7243872937</v>
      </c>
      <c r="CX12" s="125">
        <f t="shared" si="27"/>
        <v>1303783.7243872937</v>
      </c>
      <c r="CY12" s="125">
        <f t="shared" si="27"/>
        <v>1303783.7243872937</v>
      </c>
      <c r="CZ12" s="125">
        <f t="shared" si="27"/>
        <v>1303783.7243872937</v>
      </c>
      <c r="DA12" s="125">
        <f t="shared" si="27"/>
        <v>1303783.7243872937</v>
      </c>
      <c r="DB12" s="125">
        <f t="shared" si="27"/>
        <v>1303783.7243872937</v>
      </c>
      <c r="DC12" s="125">
        <f t="shared" si="27"/>
        <v>1303783.7243872937</v>
      </c>
      <c r="DD12" s="125">
        <f t="shared" si="27"/>
        <v>1303783.7243872937</v>
      </c>
      <c r="DE12" s="125">
        <f t="shared" si="27"/>
        <v>1303783.7243872937</v>
      </c>
      <c r="DF12" s="125">
        <f t="shared" si="27"/>
        <v>1303783.7243872937</v>
      </c>
      <c r="DG12" s="125">
        <f t="shared" si="27"/>
        <v>1303783.7243872937</v>
      </c>
      <c r="DH12" s="125">
        <f t="shared" si="27"/>
        <v>1303783.7243872937</v>
      </c>
      <c r="DI12" s="125">
        <f t="shared" si="27"/>
        <v>1303783.7243872937</v>
      </c>
      <c r="DJ12" s="125">
        <f t="shared" si="27"/>
        <v>1303783.7243872937</v>
      </c>
      <c r="DK12" s="125">
        <f t="shared" si="27"/>
        <v>1303783.7243872937</v>
      </c>
      <c r="DL12" s="125">
        <f t="shared" si="27"/>
        <v>1303783.7243872937</v>
      </c>
      <c r="DM12" s="125">
        <f t="shared" si="27"/>
        <v>1303783.7243872937</v>
      </c>
      <c r="DN12" s="125">
        <f t="shared" si="27"/>
        <v>1303783.7243872937</v>
      </c>
      <c r="DO12" s="125">
        <f t="shared" si="27"/>
        <v>1303783.7243872937</v>
      </c>
      <c r="DP12" s="125">
        <f t="shared" si="27"/>
        <v>1303783.7243872937</v>
      </c>
      <c r="DQ12" s="125">
        <f t="shared" si="27"/>
        <v>1303783.7243872937</v>
      </c>
      <c r="DR12" s="125">
        <f t="shared" si="27"/>
        <v>1303783.7243872937</v>
      </c>
      <c r="DS12" s="125">
        <f t="shared" si="27"/>
        <v>1303783.7243872937</v>
      </c>
      <c r="DT12" s="125">
        <f t="shared" si="27"/>
        <v>1303783.7243872937</v>
      </c>
      <c r="DU12" s="125">
        <f t="shared" si="27"/>
        <v>1303783.7243872937</v>
      </c>
      <c r="DV12" s="125">
        <f t="shared" si="27"/>
        <v>1303783.7243872937</v>
      </c>
      <c r="DW12" s="125">
        <f t="shared" si="27"/>
        <v>1303783.7243872937</v>
      </c>
      <c r="DX12" s="125">
        <f t="shared" si="27"/>
        <v>1303783.7243872937</v>
      </c>
      <c r="DY12" s="125">
        <f t="shared" si="27"/>
        <v>1303783.7243872937</v>
      </c>
      <c r="DZ12" s="125">
        <f t="shared" si="27"/>
        <v>1303783.7243872937</v>
      </c>
      <c r="EA12" s="125">
        <f t="shared" si="27"/>
        <v>1303783.7243872937</v>
      </c>
      <c r="EB12" s="125">
        <f t="shared" si="27"/>
        <v>1303783.7243872937</v>
      </c>
      <c r="EC12" s="125">
        <f t="shared" si="27"/>
        <v>1303783.7243872937</v>
      </c>
      <c r="ED12" s="125">
        <f t="shared" si="27"/>
        <v>1303783.7243872937</v>
      </c>
      <c r="EE12" s="125">
        <f t="shared" si="27"/>
        <v>1303783.7243872937</v>
      </c>
      <c r="EF12" s="125">
        <f t="shared" si="27"/>
        <v>1303783.7243872937</v>
      </c>
      <c r="EG12" s="125">
        <f t="shared" ref="EG12:GR12" si="28">EF12+EG11</f>
        <v>1303783.7243872937</v>
      </c>
      <c r="EH12" s="125">
        <f t="shared" si="28"/>
        <v>1303783.7243872937</v>
      </c>
      <c r="EI12" s="125">
        <f t="shared" si="28"/>
        <v>1303783.7243872937</v>
      </c>
      <c r="EJ12" s="125">
        <f t="shared" si="28"/>
        <v>1303783.7243872937</v>
      </c>
      <c r="EK12" s="125">
        <f t="shared" si="28"/>
        <v>1303783.7243872937</v>
      </c>
      <c r="EL12" s="125">
        <f t="shared" si="28"/>
        <v>1303783.7243872937</v>
      </c>
      <c r="EM12" s="125">
        <f t="shared" si="28"/>
        <v>1303783.7243872937</v>
      </c>
      <c r="EN12" s="125">
        <f t="shared" si="28"/>
        <v>1303783.7243872937</v>
      </c>
      <c r="EO12" s="125">
        <f t="shared" si="28"/>
        <v>1303783.7243872937</v>
      </c>
      <c r="EP12" s="125">
        <f t="shared" si="28"/>
        <v>1303783.7243872937</v>
      </c>
      <c r="EQ12" s="125">
        <f t="shared" si="28"/>
        <v>1303783.7243872937</v>
      </c>
      <c r="ER12" s="125">
        <f t="shared" si="28"/>
        <v>1303783.7243872937</v>
      </c>
      <c r="ES12" s="125">
        <f t="shared" si="28"/>
        <v>1303783.7243872937</v>
      </c>
      <c r="ET12" s="125">
        <f t="shared" si="28"/>
        <v>1303783.7243872937</v>
      </c>
      <c r="EU12" s="125">
        <f t="shared" si="28"/>
        <v>1303783.7243872937</v>
      </c>
      <c r="EV12" s="125">
        <f t="shared" si="28"/>
        <v>1303783.7243872937</v>
      </c>
      <c r="EW12" s="125">
        <f t="shared" si="28"/>
        <v>1303783.7243872937</v>
      </c>
      <c r="EX12" s="125">
        <f t="shared" si="28"/>
        <v>1303783.7243872937</v>
      </c>
      <c r="EY12" s="125">
        <f t="shared" si="28"/>
        <v>1303783.7243872937</v>
      </c>
      <c r="EZ12" s="125">
        <f t="shared" si="28"/>
        <v>1303783.7243872937</v>
      </c>
      <c r="FA12" s="125">
        <f t="shared" si="28"/>
        <v>1303783.7243872937</v>
      </c>
      <c r="FB12" s="125">
        <f t="shared" si="28"/>
        <v>1303783.7243872937</v>
      </c>
      <c r="FC12" s="125">
        <f t="shared" si="28"/>
        <v>1303783.7243872937</v>
      </c>
      <c r="FD12" s="125">
        <f t="shared" si="28"/>
        <v>1303783.7243872937</v>
      </c>
      <c r="FE12" s="125">
        <f t="shared" si="28"/>
        <v>1303783.7243872937</v>
      </c>
      <c r="FF12" s="125">
        <f t="shared" si="28"/>
        <v>1303783.7243872937</v>
      </c>
      <c r="FG12" s="125">
        <f t="shared" si="28"/>
        <v>1303783.7243872937</v>
      </c>
      <c r="FH12" s="125">
        <f t="shared" si="28"/>
        <v>1303783.7243872937</v>
      </c>
      <c r="FI12" s="125">
        <f t="shared" si="28"/>
        <v>1303783.7243872937</v>
      </c>
      <c r="FJ12" s="125">
        <f t="shared" si="28"/>
        <v>1303783.7243872937</v>
      </c>
      <c r="FK12" s="125">
        <f t="shared" si="28"/>
        <v>1303783.7243872937</v>
      </c>
      <c r="FL12" s="125">
        <f t="shared" si="28"/>
        <v>1303783.7243872937</v>
      </c>
      <c r="FM12" s="125">
        <f t="shared" si="28"/>
        <v>1303783.7243872937</v>
      </c>
      <c r="FN12" s="125">
        <f t="shared" si="28"/>
        <v>1303783.7243872937</v>
      </c>
      <c r="FO12" s="125">
        <f t="shared" si="28"/>
        <v>1303783.7243872937</v>
      </c>
      <c r="FP12" s="125">
        <f t="shared" si="28"/>
        <v>1303783.7243872937</v>
      </c>
      <c r="FQ12" s="125">
        <f t="shared" si="28"/>
        <v>1303783.7243872937</v>
      </c>
      <c r="FR12" s="125">
        <f t="shared" si="28"/>
        <v>1303783.7243872937</v>
      </c>
      <c r="FS12" s="125">
        <f t="shared" si="28"/>
        <v>1303783.7243872937</v>
      </c>
      <c r="FT12" s="125">
        <f t="shared" si="28"/>
        <v>1303783.7243872937</v>
      </c>
      <c r="FU12" s="125">
        <f t="shared" si="28"/>
        <v>1303783.7243872937</v>
      </c>
      <c r="FV12" s="125">
        <f t="shared" si="28"/>
        <v>1303783.7243872937</v>
      </c>
      <c r="FW12" s="125">
        <f t="shared" si="28"/>
        <v>1303783.7243872937</v>
      </c>
      <c r="FX12" s="125">
        <f t="shared" si="28"/>
        <v>1303783.7243872937</v>
      </c>
      <c r="FY12" s="125">
        <f t="shared" si="28"/>
        <v>1303783.7243872937</v>
      </c>
      <c r="FZ12" s="125">
        <f t="shared" si="28"/>
        <v>1303783.7243872937</v>
      </c>
      <c r="GA12" s="125">
        <f t="shared" si="28"/>
        <v>1303783.7243872937</v>
      </c>
      <c r="GB12" s="125">
        <f t="shared" si="28"/>
        <v>1303783.7243872937</v>
      </c>
      <c r="GC12" s="125">
        <f t="shared" si="28"/>
        <v>1303783.7243872937</v>
      </c>
      <c r="GD12" s="125">
        <f t="shared" si="28"/>
        <v>1303783.7243872937</v>
      </c>
      <c r="GE12" s="125">
        <f t="shared" si="28"/>
        <v>1303783.7243872937</v>
      </c>
      <c r="GF12" s="125">
        <f t="shared" si="28"/>
        <v>1303783.7243872937</v>
      </c>
      <c r="GG12" s="125">
        <f t="shared" si="28"/>
        <v>1303783.7243872937</v>
      </c>
      <c r="GH12" s="125">
        <f t="shared" si="28"/>
        <v>1303783.7243872937</v>
      </c>
      <c r="GI12" s="125">
        <f t="shared" si="28"/>
        <v>1303783.7243872937</v>
      </c>
      <c r="GJ12" s="125">
        <f t="shared" si="28"/>
        <v>1303783.7243872937</v>
      </c>
      <c r="GK12" s="125">
        <f t="shared" si="28"/>
        <v>1303783.7243872937</v>
      </c>
      <c r="GL12" s="125">
        <f t="shared" si="28"/>
        <v>1303783.7243872937</v>
      </c>
      <c r="GM12" s="125">
        <f t="shared" si="28"/>
        <v>1303783.7243872937</v>
      </c>
      <c r="GN12" s="125">
        <f t="shared" si="28"/>
        <v>1303783.7243872937</v>
      </c>
      <c r="GO12" s="125">
        <f t="shared" si="28"/>
        <v>1303783.7243872937</v>
      </c>
      <c r="GP12" s="125">
        <f t="shared" si="28"/>
        <v>1303783.7243872937</v>
      </c>
      <c r="GQ12" s="125">
        <f t="shared" si="28"/>
        <v>1303783.7243872937</v>
      </c>
      <c r="GR12" s="125">
        <f t="shared" si="28"/>
        <v>1303783.7243872937</v>
      </c>
      <c r="GS12" s="125">
        <f t="shared" ref="GS12:JD12" si="29">GR12+GS11</f>
        <v>1303783.7243872937</v>
      </c>
      <c r="GT12" s="125">
        <f t="shared" si="29"/>
        <v>1303783.7243872937</v>
      </c>
      <c r="GU12" s="125">
        <f t="shared" si="29"/>
        <v>1303783.7243872937</v>
      </c>
      <c r="GV12" s="125">
        <f t="shared" si="29"/>
        <v>1303783.7243872937</v>
      </c>
      <c r="GW12" s="125">
        <f t="shared" si="29"/>
        <v>1303783.7243872937</v>
      </c>
      <c r="GX12" s="125">
        <f t="shared" si="29"/>
        <v>1303783.7243872937</v>
      </c>
      <c r="GY12" s="125">
        <f t="shared" si="29"/>
        <v>1303783.7243872937</v>
      </c>
      <c r="GZ12" s="125">
        <f t="shared" si="29"/>
        <v>1303783.7243872937</v>
      </c>
      <c r="HA12" s="125">
        <f t="shared" si="29"/>
        <v>1303783.7243872937</v>
      </c>
      <c r="HB12" s="125">
        <f t="shared" si="29"/>
        <v>1303783.7243872937</v>
      </c>
      <c r="HC12" s="125">
        <f t="shared" si="29"/>
        <v>1303783.7243872937</v>
      </c>
      <c r="HD12" s="125">
        <f t="shared" si="29"/>
        <v>1303783.7243872937</v>
      </c>
      <c r="HE12" s="125">
        <f t="shared" si="29"/>
        <v>1303783.7243872937</v>
      </c>
      <c r="HF12" s="125">
        <f t="shared" si="29"/>
        <v>1303783.7243872937</v>
      </c>
      <c r="HG12" s="125">
        <f t="shared" si="29"/>
        <v>1303783.7243872937</v>
      </c>
      <c r="HH12" s="125">
        <f t="shared" si="29"/>
        <v>1303783.7243872937</v>
      </c>
      <c r="HI12" s="125">
        <f t="shared" si="29"/>
        <v>1303783.7243872937</v>
      </c>
      <c r="HJ12" s="125">
        <f t="shared" si="29"/>
        <v>1303783.7243872937</v>
      </c>
      <c r="HK12" s="125">
        <f t="shared" si="29"/>
        <v>1303783.7243872937</v>
      </c>
      <c r="HL12" s="125">
        <f t="shared" si="29"/>
        <v>1303783.7243872937</v>
      </c>
      <c r="HM12" s="125">
        <f t="shared" si="29"/>
        <v>1303783.7243872937</v>
      </c>
      <c r="HN12" s="125">
        <f t="shared" si="29"/>
        <v>1303783.7243872937</v>
      </c>
      <c r="HO12" s="125">
        <f t="shared" si="29"/>
        <v>1303783.7243872937</v>
      </c>
      <c r="HP12" s="125">
        <f t="shared" si="29"/>
        <v>1303783.7243872937</v>
      </c>
      <c r="HQ12" s="125">
        <f t="shared" si="29"/>
        <v>1303783.7243872937</v>
      </c>
      <c r="HR12" s="125">
        <f t="shared" si="29"/>
        <v>1303783.7243872937</v>
      </c>
      <c r="HS12" s="125">
        <f t="shared" si="29"/>
        <v>1303783.7243872937</v>
      </c>
      <c r="HT12" s="125">
        <f t="shared" si="29"/>
        <v>1303783.7243872937</v>
      </c>
      <c r="HU12" s="125">
        <f t="shared" si="29"/>
        <v>1303783.7243872937</v>
      </c>
      <c r="HV12" s="125">
        <f t="shared" si="29"/>
        <v>1303783.7243872937</v>
      </c>
      <c r="HW12" s="125">
        <f t="shared" si="29"/>
        <v>1303783.7243872937</v>
      </c>
      <c r="HX12" s="125">
        <f t="shared" si="29"/>
        <v>1303783.7243872937</v>
      </c>
      <c r="HY12" s="125">
        <f t="shared" si="29"/>
        <v>1303783.7243872937</v>
      </c>
      <c r="HZ12" s="125">
        <f t="shared" si="29"/>
        <v>1303783.7243872937</v>
      </c>
      <c r="IA12" s="125">
        <f t="shared" si="29"/>
        <v>1303783.7243872937</v>
      </c>
      <c r="IB12" s="125">
        <f t="shared" si="29"/>
        <v>1303783.7243872937</v>
      </c>
      <c r="IC12" s="125">
        <f t="shared" si="29"/>
        <v>1303783.7243872937</v>
      </c>
      <c r="ID12" s="125">
        <f t="shared" si="29"/>
        <v>1303783.7243872937</v>
      </c>
      <c r="IE12" s="125">
        <f t="shared" si="29"/>
        <v>1303783.7243872937</v>
      </c>
      <c r="IF12" s="125">
        <f t="shared" si="29"/>
        <v>1303783.7243872937</v>
      </c>
      <c r="IG12" s="125">
        <f t="shared" si="29"/>
        <v>1303783.7243872937</v>
      </c>
      <c r="IH12" s="125">
        <f t="shared" si="29"/>
        <v>1303783.7243872937</v>
      </c>
      <c r="II12" s="125">
        <f t="shared" si="29"/>
        <v>1303783.7243872937</v>
      </c>
      <c r="IJ12" s="125">
        <f t="shared" si="29"/>
        <v>1303783.7243872937</v>
      </c>
      <c r="IK12" s="125">
        <f t="shared" si="29"/>
        <v>1303783.7243872937</v>
      </c>
      <c r="IL12" s="125">
        <f t="shared" si="29"/>
        <v>1303783.7243872937</v>
      </c>
      <c r="IM12" s="125">
        <f t="shared" si="29"/>
        <v>1303783.7243872937</v>
      </c>
      <c r="IN12" s="125">
        <f t="shared" si="29"/>
        <v>1303783.7243872937</v>
      </c>
      <c r="IO12" s="125">
        <f t="shared" si="29"/>
        <v>1303783.7243872937</v>
      </c>
      <c r="IP12" s="125">
        <f t="shared" si="29"/>
        <v>1303783.7243872937</v>
      </c>
      <c r="IQ12" s="125">
        <f t="shared" si="29"/>
        <v>1303783.7243872937</v>
      </c>
      <c r="IR12" s="125">
        <f t="shared" si="29"/>
        <v>1303783.7243872937</v>
      </c>
      <c r="IS12" s="125">
        <f t="shared" si="29"/>
        <v>1303783.7243872937</v>
      </c>
      <c r="IT12" s="125">
        <f t="shared" si="29"/>
        <v>1303783.7243872937</v>
      </c>
      <c r="IU12" s="125">
        <f t="shared" si="29"/>
        <v>1303783.7243872937</v>
      </c>
      <c r="IV12" s="125">
        <f t="shared" si="29"/>
        <v>1303783.7243872937</v>
      </c>
      <c r="IW12" s="125">
        <f t="shared" si="29"/>
        <v>1303783.7243872937</v>
      </c>
      <c r="IX12" s="125">
        <f t="shared" si="29"/>
        <v>1303783.7243872937</v>
      </c>
      <c r="IY12" s="125">
        <f t="shared" si="29"/>
        <v>1303783.7243872937</v>
      </c>
      <c r="IZ12" s="125">
        <f t="shared" si="29"/>
        <v>1303783.7243872937</v>
      </c>
      <c r="JA12" s="125">
        <f t="shared" si="29"/>
        <v>1303783.7243872937</v>
      </c>
      <c r="JB12" s="125">
        <f t="shared" si="29"/>
        <v>1303783.7243872937</v>
      </c>
      <c r="JC12" s="125">
        <f t="shared" si="29"/>
        <v>1303783.7243872937</v>
      </c>
      <c r="JD12" s="125">
        <f t="shared" si="29"/>
        <v>1303783.7243872937</v>
      </c>
      <c r="JE12" s="125">
        <f t="shared" ref="JE12:KF12" si="30">JD12+JE11</f>
        <v>1303783.7243872937</v>
      </c>
      <c r="JF12" s="125">
        <f t="shared" si="30"/>
        <v>1303783.7243872937</v>
      </c>
      <c r="JG12" s="125">
        <f t="shared" si="30"/>
        <v>1303783.7243872937</v>
      </c>
      <c r="JH12" s="125">
        <f t="shared" si="30"/>
        <v>1303783.7243872937</v>
      </c>
      <c r="JI12" s="125">
        <f t="shared" si="30"/>
        <v>1303783.7243872937</v>
      </c>
      <c r="JJ12" s="125">
        <f t="shared" si="30"/>
        <v>1303783.7243872937</v>
      </c>
      <c r="JK12" s="125">
        <f t="shared" si="30"/>
        <v>1303783.7243872937</v>
      </c>
      <c r="JL12" s="125">
        <f t="shared" si="30"/>
        <v>1303783.7243872937</v>
      </c>
      <c r="JM12" s="125">
        <f t="shared" si="30"/>
        <v>1303783.7243872937</v>
      </c>
      <c r="JN12" s="125">
        <f t="shared" si="30"/>
        <v>1303783.7243872937</v>
      </c>
      <c r="JO12" s="125">
        <f t="shared" si="30"/>
        <v>1303783.7243872937</v>
      </c>
      <c r="JP12" s="125">
        <f t="shared" si="30"/>
        <v>1303783.7243872937</v>
      </c>
      <c r="JQ12" s="125">
        <f t="shared" si="30"/>
        <v>1303783.7243872937</v>
      </c>
      <c r="JR12" s="125">
        <f t="shared" si="30"/>
        <v>1303783.7243872937</v>
      </c>
      <c r="JS12" s="125">
        <f t="shared" si="30"/>
        <v>1303783.7243872937</v>
      </c>
      <c r="JT12" s="125">
        <f t="shared" si="30"/>
        <v>1303783.7243872937</v>
      </c>
      <c r="JU12" s="125">
        <f t="shared" si="30"/>
        <v>1303783.7243872937</v>
      </c>
      <c r="JV12" s="125">
        <f t="shared" si="30"/>
        <v>1303783.7243872937</v>
      </c>
      <c r="JW12" s="125">
        <f t="shared" si="30"/>
        <v>1303783.7243872937</v>
      </c>
      <c r="JX12" s="125">
        <f t="shared" si="30"/>
        <v>1303783.7243872937</v>
      </c>
      <c r="JY12" s="125">
        <f t="shared" si="30"/>
        <v>1303783.7243872937</v>
      </c>
      <c r="JZ12" s="125">
        <f t="shared" si="30"/>
        <v>1303783.7243872937</v>
      </c>
      <c r="KA12" s="125">
        <f t="shared" si="30"/>
        <v>1303783.7243872937</v>
      </c>
      <c r="KB12" s="125">
        <f t="shared" si="30"/>
        <v>1303783.7243872937</v>
      </c>
      <c r="KC12" s="125">
        <f t="shared" si="30"/>
        <v>1303783.7243872937</v>
      </c>
      <c r="KD12" s="125">
        <f t="shared" si="30"/>
        <v>1303783.7243872937</v>
      </c>
      <c r="KE12" s="125">
        <f t="shared" si="30"/>
        <v>1303783.7243872937</v>
      </c>
      <c r="KF12" s="125">
        <f t="shared" si="30"/>
        <v>1303783.7243872937</v>
      </c>
      <c r="KG12" s="102"/>
      <c r="KH12" s="113"/>
    </row>
    <row r="13" spans="1:770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5"/>
      <c r="B14" s="115" t="s">
        <v>423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340300.5737458709</v>
      </c>
      <c r="R14" s="118">
        <f t="shared" si="32"/>
        <v>1376451.630335961</v>
      </c>
      <c r="S14" s="118">
        <f t="shared" si="32"/>
        <v>1342736.180335961</v>
      </c>
      <c r="T14" s="118">
        <f t="shared" si="32"/>
        <v>1342736.180335961</v>
      </c>
      <c r="U14" s="118">
        <f t="shared" si="32"/>
        <v>1163065.0103359609</v>
      </c>
      <c r="V14" s="118">
        <f t="shared" si="32"/>
        <v>1111286.910335961</v>
      </c>
      <c r="W14" s="118">
        <f t="shared" si="32"/>
        <v>1111286.910335961</v>
      </c>
      <c r="X14" s="118">
        <f t="shared" si="32"/>
        <v>989244.75933596108</v>
      </c>
      <c r="Y14" s="118">
        <f t="shared" si="32"/>
        <v>480536.71944866749</v>
      </c>
      <c r="Z14" s="118">
        <f t="shared" si="32"/>
        <v>590828.78509618994</v>
      </c>
      <c r="AA14" s="118">
        <f t="shared" si="32"/>
        <v>579671.28509618994</v>
      </c>
      <c r="AB14" s="118">
        <f t="shared" si="32"/>
        <v>559330.92659618985</v>
      </c>
      <c r="AC14" s="118">
        <f t="shared" si="32"/>
        <v>559330.92659618985</v>
      </c>
      <c r="AD14" s="118">
        <f t="shared" si="32"/>
        <v>559330.92659618985</v>
      </c>
      <c r="AE14" s="118">
        <f t="shared" si="32"/>
        <v>559173.42659618985</v>
      </c>
      <c r="AF14" s="118">
        <f t="shared" si="32"/>
        <v>559173.42659618985</v>
      </c>
      <c r="AG14" s="118">
        <f t="shared" si="32"/>
        <v>559173.42659618985</v>
      </c>
      <c r="AH14" s="118">
        <f t="shared" si="32"/>
        <v>559173.42659618985</v>
      </c>
      <c r="AI14" s="118">
        <f t="shared" si="32"/>
        <v>559173.42659618985</v>
      </c>
      <c r="AJ14" s="118">
        <f t="shared" si="32"/>
        <v>559173.42659618985</v>
      </c>
      <c r="AK14" s="118">
        <f t="shared" si="32"/>
        <v>559173.42659618985</v>
      </c>
      <c r="AL14" s="118">
        <f t="shared" si="32"/>
        <v>559173.42659618985</v>
      </c>
      <c r="AM14" s="118">
        <f t="shared" si="32"/>
        <v>559173.42659618985</v>
      </c>
      <c r="AN14" s="118">
        <f t="shared" si="32"/>
        <v>559173.42659618985</v>
      </c>
      <c r="AO14" s="118">
        <f t="shared" si="32"/>
        <v>559173.42659618985</v>
      </c>
      <c r="AP14" s="118">
        <f t="shared" si="32"/>
        <v>559173.42659618985</v>
      </c>
      <c r="AQ14" s="118">
        <f t="shared" si="32"/>
        <v>559173.42659618985</v>
      </c>
      <c r="AR14" s="118">
        <f t="shared" si="32"/>
        <v>559173.42659618985</v>
      </c>
      <c r="AS14" s="118">
        <f t="shared" si="32"/>
        <v>559173.42659618985</v>
      </c>
      <c r="AT14" s="118">
        <f t="shared" si="32"/>
        <v>559173.42659618985</v>
      </c>
      <c r="AU14" s="118">
        <f t="shared" si="32"/>
        <v>559173.42659618985</v>
      </c>
      <c r="AV14" s="118">
        <f t="shared" si="32"/>
        <v>559173.42659618985</v>
      </c>
      <c r="AW14" s="118">
        <f t="shared" si="32"/>
        <v>559173.42659618985</v>
      </c>
      <c r="AX14" s="118">
        <f t="shared" si="32"/>
        <v>559173.42659618985</v>
      </c>
      <c r="AY14" s="118">
        <f t="shared" si="32"/>
        <v>559173.42659618985</v>
      </c>
      <c r="AZ14" s="118">
        <f t="shared" si="32"/>
        <v>559173.42659618985</v>
      </c>
      <c r="BA14" s="118">
        <f t="shared" si="32"/>
        <v>559173.42659618985</v>
      </c>
      <c r="BB14" s="118">
        <f t="shared" si="32"/>
        <v>559173.42659618985</v>
      </c>
      <c r="BC14" s="118">
        <f t="shared" si="32"/>
        <v>559173.42659618985</v>
      </c>
      <c r="BD14" s="118">
        <f t="shared" si="32"/>
        <v>559173.42659618985</v>
      </c>
      <c r="BE14" s="118">
        <f t="shared" si="32"/>
        <v>559173.42659618985</v>
      </c>
      <c r="BF14" s="118">
        <f t="shared" si="32"/>
        <v>559173.42659618985</v>
      </c>
      <c r="BG14" s="118">
        <f t="shared" si="32"/>
        <v>559173.42659618985</v>
      </c>
      <c r="BH14" s="118">
        <f t="shared" si="32"/>
        <v>559173.42659618985</v>
      </c>
      <c r="BI14" s="118">
        <f t="shared" si="32"/>
        <v>559173.42659618985</v>
      </c>
      <c r="BJ14" s="118">
        <f t="shared" si="32"/>
        <v>559173.42659618985</v>
      </c>
      <c r="BK14" s="118">
        <f t="shared" si="32"/>
        <v>559173.42659618985</v>
      </c>
      <c r="BL14" s="118">
        <f t="shared" si="32"/>
        <v>559173.42659618985</v>
      </c>
      <c r="BM14" s="118">
        <f t="shared" si="32"/>
        <v>559173.42659618985</v>
      </c>
      <c r="BN14" s="118">
        <f t="shared" si="32"/>
        <v>559173.42659618985</v>
      </c>
      <c r="BO14" s="118">
        <f t="shared" si="32"/>
        <v>559173.42659618985</v>
      </c>
      <c r="BP14" s="118">
        <f t="shared" si="32"/>
        <v>559173.42659618985</v>
      </c>
      <c r="BQ14" s="118">
        <f t="shared" si="32"/>
        <v>559173.42659618985</v>
      </c>
      <c r="BR14" s="118">
        <f t="shared" si="32"/>
        <v>559173.42659618985</v>
      </c>
      <c r="BS14" s="118">
        <f t="shared" si="32"/>
        <v>559173.42659618985</v>
      </c>
      <c r="BT14" s="118">
        <f t="shared" si="32"/>
        <v>559173.42659618985</v>
      </c>
      <c r="BU14" s="118">
        <f t="shared" ref="BU14:EF14" si="33">BU10-BU12</f>
        <v>559173.42659618985</v>
      </c>
      <c r="BV14" s="118">
        <f t="shared" si="33"/>
        <v>559173.42659618985</v>
      </c>
      <c r="BW14" s="118">
        <f t="shared" si="33"/>
        <v>559173.42659618985</v>
      </c>
      <c r="BX14" s="118">
        <f t="shared" si="33"/>
        <v>559173.42659618985</v>
      </c>
      <c r="BY14" s="118">
        <f t="shared" si="33"/>
        <v>559173.42659618985</v>
      </c>
      <c r="BZ14" s="118">
        <f t="shared" si="33"/>
        <v>559173.42659618985</v>
      </c>
      <c r="CA14" s="118">
        <f t="shared" si="33"/>
        <v>559173.42659618985</v>
      </c>
      <c r="CB14" s="118">
        <f t="shared" si="33"/>
        <v>559173.42659618985</v>
      </c>
      <c r="CC14" s="118">
        <f t="shared" si="33"/>
        <v>559173.42659618985</v>
      </c>
      <c r="CD14" s="118">
        <f t="shared" si="33"/>
        <v>559173.42659618985</v>
      </c>
      <c r="CE14" s="118">
        <f t="shared" si="33"/>
        <v>559173.42659618985</v>
      </c>
      <c r="CF14" s="118">
        <f t="shared" si="33"/>
        <v>559173.42659618985</v>
      </c>
      <c r="CG14" s="118">
        <f t="shared" si="33"/>
        <v>559173.42659618985</v>
      </c>
      <c r="CH14" s="118">
        <f t="shared" si="33"/>
        <v>559173.42659618985</v>
      </c>
      <c r="CI14" s="118">
        <f t="shared" si="33"/>
        <v>559173.42659618985</v>
      </c>
      <c r="CJ14" s="118">
        <f t="shared" si="33"/>
        <v>559173.42659618985</v>
      </c>
      <c r="CK14" s="118">
        <f t="shared" si="33"/>
        <v>559173.42659618985</v>
      </c>
      <c r="CL14" s="118">
        <f t="shared" si="33"/>
        <v>559173.42659618985</v>
      </c>
      <c r="CM14" s="118">
        <f t="shared" si="33"/>
        <v>559173.42659618985</v>
      </c>
      <c r="CN14" s="118">
        <f t="shared" si="33"/>
        <v>559173.42659618985</v>
      </c>
      <c r="CO14" s="118">
        <f t="shared" si="33"/>
        <v>559173.42659618985</v>
      </c>
      <c r="CP14" s="118">
        <f t="shared" si="33"/>
        <v>559173.42659618985</v>
      </c>
      <c r="CQ14" s="118">
        <f t="shared" si="33"/>
        <v>559173.42659618985</v>
      </c>
      <c r="CR14" s="118">
        <f t="shared" si="33"/>
        <v>559173.42659618985</v>
      </c>
      <c r="CS14" s="118">
        <f t="shared" si="33"/>
        <v>559173.42659618985</v>
      </c>
      <c r="CT14" s="118">
        <f t="shared" si="33"/>
        <v>559173.42659618985</v>
      </c>
      <c r="CU14" s="118">
        <f t="shared" si="33"/>
        <v>559173.42659618985</v>
      </c>
      <c r="CV14" s="118">
        <f t="shared" si="33"/>
        <v>559173.42659618985</v>
      </c>
      <c r="CW14" s="118">
        <f t="shared" si="33"/>
        <v>559173.42659618985</v>
      </c>
      <c r="CX14" s="118">
        <f t="shared" si="33"/>
        <v>559173.42659618985</v>
      </c>
      <c r="CY14" s="118">
        <f t="shared" si="33"/>
        <v>559173.42659618985</v>
      </c>
      <c r="CZ14" s="118">
        <f t="shared" si="33"/>
        <v>559173.42659618985</v>
      </c>
      <c r="DA14" s="118">
        <f t="shared" si="33"/>
        <v>559173.42659618985</v>
      </c>
      <c r="DB14" s="118">
        <f t="shared" si="33"/>
        <v>559173.42659618985</v>
      </c>
      <c r="DC14" s="118">
        <f t="shared" si="33"/>
        <v>559173.42659618985</v>
      </c>
      <c r="DD14" s="118">
        <f t="shared" si="33"/>
        <v>559173.42659618985</v>
      </c>
      <c r="DE14" s="118">
        <f t="shared" si="33"/>
        <v>559173.42659618985</v>
      </c>
      <c r="DF14" s="118">
        <f t="shared" si="33"/>
        <v>559173.42659618985</v>
      </c>
      <c r="DG14" s="118">
        <f t="shared" si="33"/>
        <v>559173.42659618985</v>
      </c>
      <c r="DH14" s="118">
        <f t="shared" si="33"/>
        <v>559173.42659618985</v>
      </c>
      <c r="DI14" s="118">
        <f t="shared" si="33"/>
        <v>559173.42659618985</v>
      </c>
      <c r="DJ14" s="118">
        <f t="shared" si="33"/>
        <v>559173.42659618985</v>
      </c>
      <c r="DK14" s="118">
        <f t="shared" si="33"/>
        <v>559173.42659618985</v>
      </c>
      <c r="DL14" s="118">
        <f t="shared" si="33"/>
        <v>559173.42659618985</v>
      </c>
      <c r="DM14" s="118">
        <f t="shared" si="33"/>
        <v>559173.42659618985</v>
      </c>
      <c r="DN14" s="118">
        <f t="shared" si="33"/>
        <v>559173.42659618985</v>
      </c>
      <c r="DO14" s="118">
        <f t="shared" si="33"/>
        <v>559173.42659618985</v>
      </c>
      <c r="DP14" s="118">
        <f t="shared" si="33"/>
        <v>559173.42659618985</v>
      </c>
      <c r="DQ14" s="118">
        <f t="shared" si="33"/>
        <v>559173.42659618985</v>
      </c>
      <c r="DR14" s="118">
        <f t="shared" si="33"/>
        <v>559173.42659618985</v>
      </c>
      <c r="DS14" s="118">
        <f t="shared" si="33"/>
        <v>559173.42659618985</v>
      </c>
      <c r="DT14" s="118">
        <f t="shared" si="33"/>
        <v>559173.42659618985</v>
      </c>
      <c r="DU14" s="118">
        <f t="shared" si="33"/>
        <v>559173.42659618985</v>
      </c>
      <c r="DV14" s="118">
        <f t="shared" si="33"/>
        <v>559173.42659618985</v>
      </c>
      <c r="DW14" s="118">
        <f t="shared" si="33"/>
        <v>559173.42659618985</v>
      </c>
      <c r="DX14" s="118">
        <f t="shared" si="33"/>
        <v>559173.42659618985</v>
      </c>
      <c r="DY14" s="118">
        <f t="shared" si="33"/>
        <v>559173.42659618985</v>
      </c>
      <c r="DZ14" s="118">
        <f t="shared" si="33"/>
        <v>559173.42659618985</v>
      </c>
      <c r="EA14" s="118">
        <f t="shared" si="33"/>
        <v>559173.42659618985</v>
      </c>
      <c r="EB14" s="118">
        <f t="shared" si="33"/>
        <v>559173.42659618985</v>
      </c>
      <c r="EC14" s="118">
        <f t="shared" si="33"/>
        <v>559173.42659618985</v>
      </c>
      <c r="ED14" s="118">
        <f t="shared" si="33"/>
        <v>559173.42659618985</v>
      </c>
      <c r="EE14" s="118">
        <f t="shared" si="33"/>
        <v>559173.42659618985</v>
      </c>
      <c r="EF14" s="118">
        <f t="shared" si="33"/>
        <v>559173.42659618985</v>
      </c>
      <c r="EG14" s="118">
        <f t="shared" ref="EG14:GR14" si="34">EG10-EG12</f>
        <v>559173.42659618985</v>
      </c>
      <c r="EH14" s="118">
        <f t="shared" si="34"/>
        <v>559173.42659618985</v>
      </c>
      <c r="EI14" s="118">
        <f t="shared" si="34"/>
        <v>559173.42659618985</v>
      </c>
      <c r="EJ14" s="118">
        <f t="shared" si="34"/>
        <v>559173.42659618985</v>
      </c>
      <c r="EK14" s="118">
        <f t="shared" si="34"/>
        <v>559173.42659618985</v>
      </c>
      <c r="EL14" s="118">
        <f t="shared" si="34"/>
        <v>559173.42659618985</v>
      </c>
      <c r="EM14" s="118">
        <f t="shared" si="34"/>
        <v>559173.42659618985</v>
      </c>
      <c r="EN14" s="118">
        <f t="shared" si="34"/>
        <v>559173.42659618985</v>
      </c>
      <c r="EO14" s="118">
        <f t="shared" si="34"/>
        <v>559173.42659618985</v>
      </c>
      <c r="EP14" s="118">
        <f t="shared" si="34"/>
        <v>559173.42659618985</v>
      </c>
      <c r="EQ14" s="118">
        <f t="shared" si="34"/>
        <v>559173.42659618985</v>
      </c>
      <c r="ER14" s="118">
        <f t="shared" si="34"/>
        <v>559173.42659618985</v>
      </c>
      <c r="ES14" s="118">
        <f t="shared" si="34"/>
        <v>559173.42659618985</v>
      </c>
      <c r="ET14" s="118">
        <f t="shared" si="34"/>
        <v>559173.42659618985</v>
      </c>
      <c r="EU14" s="118">
        <f t="shared" si="34"/>
        <v>559173.42659618985</v>
      </c>
      <c r="EV14" s="118">
        <f t="shared" si="34"/>
        <v>559173.42659618985</v>
      </c>
      <c r="EW14" s="118">
        <f t="shared" si="34"/>
        <v>559173.42659618985</v>
      </c>
      <c r="EX14" s="118">
        <f t="shared" si="34"/>
        <v>559173.42659618985</v>
      </c>
      <c r="EY14" s="118">
        <f t="shared" si="34"/>
        <v>559173.42659618985</v>
      </c>
      <c r="EZ14" s="118">
        <f t="shared" si="34"/>
        <v>559173.42659618985</v>
      </c>
      <c r="FA14" s="118">
        <f t="shared" si="34"/>
        <v>559173.42659618985</v>
      </c>
      <c r="FB14" s="118">
        <f t="shared" si="34"/>
        <v>559173.42659618985</v>
      </c>
      <c r="FC14" s="118">
        <f t="shared" si="34"/>
        <v>559173.42659618985</v>
      </c>
      <c r="FD14" s="118">
        <f t="shared" si="34"/>
        <v>559173.42659618985</v>
      </c>
      <c r="FE14" s="118">
        <f t="shared" si="34"/>
        <v>559173.42659618985</v>
      </c>
      <c r="FF14" s="118">
        <f t="shared" si="34"/>
        <v>559173.42659618985</v>
      </c>
      <c r="FG14" s="118">
        <f t="shared" si="34"/>
        <v>559173.42659618985</v>
      </c>
      <c r="FH14" s="118">
        <f t="shared" si="34"/>
        <v>559173.42659618985</v>
      </c>
      <c r="FI14" s="118">
        <f t="shared" si="34"/>
        <v>559173.42659618985</v>
      </c>
      <c r="FJ14" s="118">
        <f t="shared" si="34"/>
        <v>559173.42659618985</v>
      </c>
      <c r="FK14" s="118">
        <f t="shared" si="34"/>
        <v>559173.42659618985</v>
      </c>
      <c r="FL14" s="118">
        <f t="shared" si="34"/>
        <v>559173.42659618985</v>
      </c>
      <c r="FM14" s="118">
        <f t="shared" si="34"/>
        <v>559173.42659618985</v>
      </c>
      <c r="FN14" s="118">
        <f t="shared" si="34"/>
        <v>559173.42659618985</v>
      </c>
      <c r="FO14" s="118">
        <f t="shared" si="34"/>
        <v>559173.42659618985</v>
      </c>
      <c r="FP14" s="118">
        <f t="shared" si="34"/>
        <v>559173.42659618985</v>
      </c>
      <c r="FQ14" s="118">
        <f t="shared" si="34"/>
        <v>559173.42659618985</v>
      </c>
      <c r="FR14" s="118">
        <f t="shared" si="34"/>
        <v>559173.42659618985</v>
      </c>
      <c r="FS14" s="118">
        <f t="shared" si="34"/>
        <v>559173.42659618985</v>
      </c>
      <c r="FT14" s="118">
        <f t="shared" si="34"/>
        <v>559173.42659618985</v>
      </c>
      <c r="FU14" s="118">
        <f t="shared" si="34"/>
        <v>559173.42659618985</v>
      </c>
      <c r="FV14" s="118">
        <f t="shared" si="34"/>
        <v>559173.42659618985</v>
      </c>
      <c r="FW14" s="118">
        <f t="shared" si="34"/>
        <v>559173.42659618985</v>
      </c>
      <c r="FX14" s="118">
        <f t="shared" si="34"/>
        <v>559173.42659618985</v>
      </c>
      <c r="FY14" s="118">
        <f t="shared" si="34"/>
        <v>559173.42659618985</v>
      </c>
      <c r="FZ14" s="118">
        <f t="shared" si="34"/>
        <v>559173.42659618985</v>
      </c>
      <c r="GA14" s="118">
        <f t="shared" si="34"/>
        <v>559173.42659618985</v>
      </c>
      <c r="GB14" s="118">
        <f t="shared" si="34"/>
        <v>559173.42659618985</v>
      </c>
      <c r="GC14" s="118">
        <f t="shared" si="34"/>
        <v>559173.42659618985</v>
      </c>
      <c r="GD14" s="118">
        <f t="shared" si="34"/>
        <v>559173.42659618985</v>
      </c>
      <c r="GE14" s="118">
        <f t="shared" si="34"/>
        <v>559173.42659618985</v>
      </c>
      <c r="GF14" s="118">
        <f t="shared" si="34"/>
        <v>559173.42659618985</v>
      </c>
      <c r="GG14" s="118">
        <f t="shared" si="34"/>
        <v>559173.42659618985</v>
      </c>
      <c r="GH14" s="118">
        <f t="shared" si="34"/>
        <v>559173.42659618985</v>
      </c>
      <c r="GI14" s="118">
        <f t="shared" si="34"/>
        <v>559173.42659618985</v>
      </c>
      <c r="GJ14" s="118">
        <f t="shared" si="34"/>
        <v>559173.42659618985</v>
      </c>
      <c r="GK14" s="118">
        <f t="shared" si="34"/>
        <v>559173.42659618985</v>
      </c>
      <c r="GL14" s="118">
        <f t="shared" si="34"/>
        <v>559173.42659618985</v>
      </c>
      <c r="GM14" s="118">
        <f t="shared" si="34"/>
        <v>559173.42659618985</v>
      </c>
      <c r="GN14" s="118">
        <f t="shared" si="34"/>
        <v>559173.42659618985</v>
      </c>
      <c r="GO14" s="118">
        <f t="shared" si="34"/>
        <v>559173.42659618985</v>
      </c>
      <c r="GP14" s="118">
        <f t="shared" si="34"/>
        <v>559173.42659618985</v>
      </c>
      <c r="GQ14" s="118">
        <f t="shared" si="34"/>
        <v>559173.42659618985</v>
      </c>
      <c r="GR14" s="118">
        <f t="shared" si="34"/>
        <v>559173.42659618985</v>
      </c>
      <c r="GS14" s="118">
        <f t="shared" ref="GS14:JD14" si="35">GS10-GS12</f>
        <v>559173.42659618985</v>
      </c>
      <c r="GT14" s="118">
        <f t="shared" si="35"/>
        <v>559173.42659618985</v>
      </c>
      <c r="GU14" s="118">
        <f t="shared" si="35"/>
        <v>559173.42659618985</v>
      </c>
      <c r="GV14" s="118">
        <f t="shared" si="35"/>
        <v>559173.42659618985</v>
      </c>
      <c r="GW14" s="118">
        <f t="shared" si="35"/>
        <v>559173.42659618985</v>
      </c>
      <c r="GX14" s="118">
        <f t="shared" si="35"/>
        <v>559173.42659618985</v>
      </c>
      <c r="GY14" s="118">
        <f t="shared" si="35"/>
        <v>559173.42659618985</v>
      </c>
      <c r="GZ14" s="118">
        <f t="shared" si="35"/>
        <v>559173.42659618985</v>
      </c>
      <c r="HA14" s="118">
        <f t="shared" si="35"/>
        <v>559173.42659618985</v>
      </c>
      <c r="HB14" s="118">
        <f t="shared" si="35"/>
        <v>559173.42659618985</v>
      </c>
      <c r="HC14" s="118">
        <f t="shared" si="35"/>
        <v>559173.42659618985</v>
      </c>
      <c r="HD14" s="118">
        <f t="shared" si="35"/>
        <v>559173.42659618985</v>
      </c>
      <c r="HE14" s="118">
        <f t="shared" si="35"/>
        <v>559173.42659618985</v>
      </c>
      <c r="HF14" s="118">
        <f t="shared" si="35"/>
        <v>559173.42659618985</v>
      </c>
      <c r="HG14" s="118">
        <f t="shared" si="35"/>
        <v>559173.42659618985</v>
      </c>
      <c r="HH14" s="118">
        <f t="shared" si="35"/>
        <v>559173.42659618985</v>
      </c>
      <c r="HI14" s="118">
        <f t="shared" si="35"/>
        <v>559173.42659618985</v>
      </c>
      <c r="HJ14" s="118">
        <f t="shared" si="35"/>
        <v>559173.42659618985</v>
      </c>
      <c r="HK14" s="118">
        <f t="shared" si="35"/>
        <v>559173.42659618985</v>
      </c>
      <c r="HL14" s="118">
        <f t="shared" si="35"/>
        <v>559173.42659618985</v>
      </c>
      <c r="HM14" s="118">
        <f t="shared" si="35"/>
        <v>559173.42659618985</v>
      </c>
      <c r="HN14" s="118">
        <f t="shared" si="35"/>
        <v>559173.42659618985</v>
      </c>
      <c r="HO14" s="118">
        <f t="shared" si="35"/>
        <v>559173.42659618985</v>
      </c>
      <c r="HP14" s="118">
        <f t="shared" si="35"/>
        <v>559173.42659618985</v>
      </c>
      <c r="HQ14" s="118">
        <f t="shared" si="35"/>
        <v>559173.42659618985</v>
      </c>
      <c r="HR14" s="118">
        <f t="shared" si="35"/>
        <v>559173.42659618985</v>
      </c>
      <c r="HS14" s="118">
        <f t="shared" si="35"/>
        <v>559173.42659618985</v>
      </c>
      <c r="HT14" s="118">
        <f t="shared" si="35"/>
        <v>559173.42659618985</v>
      </c>
      <c r="HU14" s="118">
        <f t="shared" si="35"/>
        <v>559173.42659618985</v>
      </c>
      <c r="HV14" s="118">
        <f t="shared" si="35"/>
        <v>559173.42659618985</v>
      </c>
      <c r="HW14" s="118">
        <f t="shared" si="35"/>
        <v>559173.42659618985</v>
      </c>
      <c r="HX14" s="118">
        <f t="shared" si="35"/>
        <v>559173.42659618985</v>
      </c>
      <c r="HY14" s="118">
        <f t="shared" si="35"/>
        <v>559173.42659618985</v>
      </c>
      <c r="HZ14" s="118">
        <f t="shared" si="35"/>
        <v>559173.42659618985</v>
      </c>
      <c r="IA14" s="118">
        <f t="shared" si="35"/>
        <v>559173.42659618985</v>
      </c>
      <c r="IB14" s="118">
        <f t="shared" si="35"/>
        <v>559173.42659618985</v>
      </c>
      <c r="IC14" s="118">
        <f t="shared" si="35"/>
        <v>559173.42659618985</v>
      </c>
      <c r="ID14" s="118">
        <f t="shared" si="35"/>
        <v>559173.42659618985</v>
      </c>
      <c r="IE14" s="118">
        <f t="shared" si="35"/>
        <v>559173.42659618985</v>
      </c>
      <c r="IF14" s="118">
        <f t="shared" si="35"/>
        <v>559173.42659618985</v>
      </c>
      <c r="IG14" s="118">
        <f t="shared" si="35"/>
        <v>559173.42659618985</v>
      </c>
      <c r="IH14" s="118">
        <f t="shared" si="35"/>
        <v>559173.42659618985</v>
      </c>
      <c r="II14" s="118">
        <f t="shared" si="35"/>
        <v>559173.42659618985</v>
      </c>
      <c r="IJ14" s="118">
        <f t="shared" si="35"/>
        <v>559173.42659618985</v>
      </c>
      <c r="IK14" s="118">
        <f t="shared" si="35"/>
        <v>559173.42659618985</v>
      </c>
      <c r="IL14" s="118">
        <f t="shared" si="35"/>
        <v>559173.42659618985</v>
      </c>
      <c r="IM14" s="118">
        <f t="shared" si="35"/>
        <v>559173.42659618985</v>
      </c>
      <c r="IN14" s="118">
        <f t="shared" si="35"/>
        <v>559173.42659618985</v>
      </c>
      <c r="IO14" s="118">
        <f t="shared" si="35"/>
        <v>559173.42659618985</v>
      </c>
      <c r="IP14" s="118">
        <f t="shared" si="35"/>
        <v>559173.42659618985</v>
      </c>
      <c r="IQ14" s="118">
        <f t="shared" si="35"/>
        <v>559173.42659618985</v>
      </c>
      <c r="IR14" s="118">
        <f t="shared" si="35"/>
        <v>559173.42659618985</v>
      </c>
      <c r="IS14" s="118">
        <f t="shared" si="35"/>
        <v>559173.42659618985</v>
      </c>
      <c r="IT14" s="118">
        <f t="shared" si="35"/>
        <v>559173.42659618985</v>
      </c>
      <c r="IU14" s="118">
        <f t="shared" si="35"/>
        <v>559173.42659618985</v>
      </c>
      <c r="IV14" s="118">
        <f t="shared" si="35"/>
        <v>559173.42659618985</v>
      </c>
      <c r="IW14" s="118">
        <f t="shared" si="35"/>
        <v>559173.42659618985</v>
      </c>
      <c r="IX14" s="118">
        <f t="shared" si="35"/>
        <v>559173.42659618985</v>
      </c>
      <c r="IY14" s="118">
        <f t="shared" si="35"/>
        <v>559173.42659618985</v>
      </c>
      <c r="IZ14" s="118">
        <f t="shared" si="35"/>
        <v>559173.42659618985</v>
      </c>
      <c r="JA14" s="118">
        <f t="shared" si="35"/>
        <v>559173.42659618985</v>
      </c>
      <c r="JB14" s="118">
        <f t="shared" si="35"/>
        <v>559173.42659618985</v>
      </c>
      <c r="JC14" s="118">
        <f t="shared" si="35"/>
        <v>559173.42659618985</v>
      </c>
      <c r="JD14" s="118">
        <f t="shared" si="35"/>
        <v>559173.42659618985</v>
      </c>
      <c r="JE14" s="118">
        <f t="shared" ref="JE14:KF14" si="36">JE10-JE12</f>
        <v>559173.42659618985</v>
      </c>
      <c r="JF14" s="118">
        <f t="shared" si="36"/>
        <v>559173.42659618985</v>
      </c>
      <c r="JG14" s="118">
        <f t="shared" si="36"/>
        <v>559173.42659618985</v>
      </c>
      <c r="JH14" s="118">
        <f t="shared" si="36"/>
        <v>559173.42659618985</v>
      </c>
      <c r="JI14" s="118">
        <f t="shared" si="36"/>
        <v>559173.42659618985</v>
      </c>
      <c r="JJ14" s="118">
        <f t="shared" si="36"/>
        <v>559173.42659618985</v>
      </c>
      <c r="JK14" s="118">
        <f t="shared" si="36"/>
        <v>559173.42659618985</v>
      </c>
      <c r="JL14" s="118">
        <f t="shared" si="36"/>
        <v>559173.42659618985</v>
      </c>
      <c r="JM14" s="118">
        <f t="shared" si="36"/>
        <v>559173.42659618985</v>
      </c>
      <c r="JN14" s="118">
        <f t="shared" si="36"/>
        <v>559173.42659618985</v>
      </c>
      <c r="JO14" s="118">
        <f t="shared" si="36"/>
        <v>559173.42659618985</v>
      </c>
      <c r="JP14" s="118">
        <f t="shared" si="36"/>
        <v>559173.42659618985</v>
      </c>
      <c r="JQ14" s="118">
        <f t="shared" si="36"/>
        <v>559173.42659618985</v>
      </c>
      <c r="JR14" s="118">
        <f t="shared" si="36"/>
        <v>559173.42659618985</v>
      </c>
      <c r="JS14" s="118">
        <f t="shared" si="36"/>
        <v>559173.42659618985</v>
      </c>
      <c r="JT14" s="118">
        <f t="shared" si="36"/>
        <v>559173.42659618985</v>
      </c>
      <c r="JU14" s="118">
        <f t="shared" si="36"/>
        <v>559173.42659618985</v>
      </c>
      <c r="JV14" s="118">
        <f t="shared" si="36"/>
        <v>559173.42659618985</v>
      </c>
      <c r="JW14" s="118">
        <f t="shared" si="36"/>
        <v>559173.42659618985</v>
      </c>
      <c r="JX14" s="118">
        <f t="shared" si="36"/>
        <v>559173.42659618985</v>
      </c>
      <c r="JY14" s="118">
        <f t="shared" si="36"/>
        <v>559173.42659618985</v>
      </c>
      <c r="JZ14" s="118">
        <f t="shared" si="36"/>
        <v>559173.42659618985</v>
      </c>
      <c r="KA14" s="118">
        <f t="shared" si="36"/>
        <v>559173.42659618985</v>
      </c>
      <c r="KB14" s="118">
        <f t="shared" si="36"/>
        <v>559173.42659618985</v>
      </c>
      <c r="KC14" s="118">
        <f t="shared" si="36"/>
        <v>559173.42659618985</v>
      </c>
      <c r="KD14" s="118">
        <f t="shared" si="36"/>
        <v>559173.42659618985</v>
      </c>
      <c r="KE14" s="118">
        <f t="shared" si="36"/>
        <v>559173.42659618985</v>
      </c>
      <c r="KF14" s="118">
        <f t="shared" si="36"/>
        <v>559173.42659618985</v>
      </c>
    </row>
    <row r="15" spans="1:770" s="102" customFormat="1"/>
    <row r="16" spans="1:770" s="102" customFormat="1">
      <c r="C16" s="104" t="s">
        <v>282</v>
      </c>
      <c r="D16" s="104" t="s">
        <v>282</v>
      </c>
    </row>
    <row r="17" spans="1:292">
      <c r="A17" s="746"/>
      <c r="B17" s="106" t="s">
        <v>424</v>
      </c>
      <c r="C17" s="275">
        <f>C3-D17</f>
        <v>89.116630531148985</v>
      </c>
      <c r="D17" s="107">
        <f>SUM(F17:KF17)</f>
        <v>1862868.0343529526</v>
      </c>
      <c r="E17" s="117"/>
      <c r="F17" s="125">
        <f>SUMIFS('Expenditure Breakdown'!$U$6:$U$170, 'Expenditure Breakdown'!$T$6:$T$170, "&gt;="&amp;F1,'Expenditure Breakdown'!$T$6:$T$170, "&lt;"&amp;G1)</f>
        <v>0</v>
      </c>
      <c r="G17" s="125">
        <f>SUMIFS('Expenditure Breakdown'!$U$6:$U$170, 'Expenditure Breakdown'!$T$6:$T$170, "&gt;="&amp;G1,'Expenditure Breakdown'!$T$6:$T$170, "&lt;"&amp;H1)</f>
        <v>0</v>
      </c>
      <c r="H17" s="125">
        <f>SUMIFS('Expenditure Breakdown'!$U$6:$U$170, 'Expenditure Breakdown'!$T$6:$T$170, "&gt;="&amp;H1,'Expenditure Breakdown'!$T$6:$T$170, "&lt;"&amp;I1)</f>
        <v>10023.648349049632</v>
      </c>
      <c r="I17" s="125">
        <f>SUMIFS('Expenditure Breakdown'!$U$6:$U$170, 'Expenditure Breakdown'!$T$6:$T$170, "&gt;="&amp;I1,'Expenditure Breakdown'!$T$6:$T$170, "&lt;"&amp;J1)</f>
        <v>0</v>
      </c>
      <c r="J17" s="125">
        <f>SUMIFS('Expenditure Breakdown'!$U$6:$U$170, 'Expenditure Breakdown'!$T$6:$T$170, "&gt;="&amp;J1,'Expenditure Breakdown'!$T$6:$T$170, "&lt;"&amp;K1)</f>
        <v>0</v>
      </c>
      <c r="K17" s="125">
        <f>SUMIFS('Expenditure Breakdown'!$U$6:$U$170, 'Expenditure Breakdown'!$T$6:$T$170, "&gt;="&amp;K1,'Expenditure Breakdown'!$T$6:$T$170, "&lt;"&amp;L1)</f>
        <v>0</v>
      </c>
      <c r="L17" s="125">
        <f>SUMIFS('Expenditure Breakdown'!$U$6:$U$170, 'Expenditure Breakdown'!$T$6:$T$170, "&gt;="&amp;L1,'Expenditure Breakdown'!$T$6:$T$170, "&lt;"&amp;M1)</f>
        <v>0</v>
      </c>
      <c r="M17" s="125">
        <f>SUMIFS('Expenditure Breakdown'!$U$6:$U$170, 'Expenditure Breakdown'!$T$6:$T$170, "&gt;="&amp;M1,'Expenditure Breakdown'!$T$6:$T$170, "&lt;"&amp;N1)</f>
        <v>0</v>
      </c>
      <c r="N17" s="125">
        <f>SUMIFS('Expenditure Breakdown'!$U$6:$U$170, 'Expenditure Breakdown'!$T$6:$T$170, "&gt;="&amp;N1,'Expenditure Breakdown'!$T$6:$T$170, "&lt;"&amp;O1)</f>
        <v>0</v>
      </c>
      <c r="O17" s="125">
        <f>SUMIFS('Expenditure Breakdown'!$U$6:$U$170, 'Expenditure Breakdown'!$T$6:$T$170, "&gt;="&amp;O1,'Expenditure Breakdown'!$T$6:$T$170, "&lt;"&amp;P1)</f>
        <v>0</v>
      </c>
      <c r="P17" s="125">
        <f>SUMIFS('Expenditure Breakdown'!$U$6:$U$170, 'Expenditure Breakdown'!$T$6:$T$170, "&gt;="&amp;P1,'Expenditure Breakdown'!$T$6:$T$170, "&lt;"&amp;Q1)</f>
        <v>0</v>
      </c>
      <c r="Q17" s="125">
        <f>SUMIFS('Expenditure Breakdown'!$U$6:$U$170, 'Expenditure Breakdown'!$T$6:$T$170, "&gt;="&amp;Q1,'Expenditure Breakdown'!$T$6:$T$170, "&lt;"&amp;R1)</f>
        <v>1097183.2425364312</v>
      </c>
      <c r="R17" s="125">
        <f>SUMIFS('Expenditure Breakdown'!$U$6:$U$170, 'Expenditure Breakdown'!$T$6:$T$170, "&gt;="&amp;R1,'Expenditure Breakdown'!$T$6:$T$170, "&lt;"&amp;S1)</f>
        <v>0</v>
      </c>
      <c r="S17" s="125">
        <f>SUMIFS('Expenditure Breakdown'!$U$6:$U$170, 'Expenditure Breakdown'!$T$6:$T$170, "&gt;="&amp;S1,'Expenditure Breakdown'!$T$6:$T$170, "&lt;"&amp;T1)</f>
        <v>0</v>
      </c>
      <c r="T17" s="125">
        <f>SUMIFS('Expenditure Breakdown'!$U$6:$U$170, 'Expenditure Breakdown'!$T$6:$T$170, "&gt;="&amp;T1,'Expenditure Breakdown'!$T$6:$T$170, "&lt;"&amp;U1)</f>
        <v>0</v>
      </c>
      <c r="U17" s="125">
        <f>SUMIFS('Expenditure Breakdown'!$U$6:$U$170, 'Expenditure Breakdown'!$T$6:$T$170, "&gt;="&amp;U1,'Expenditure Breakdown'!$T$6:$T$170, "&lt;"&amp;V1)</f>
        <v>462981.11999918881</v>
      </c>
      <c r="V17" s="125">
        <f>SUMIFS('Expenditure Breakdown'!$U$6:$U$170, 'Expenditure Breakdown'!$T$6:$T$170, "&gt;="&amp;V1,'Expenditure Breakdown'!$T$6:$T$170, "&lt;"&amp;W1)</f>
        <v>0</v>
      </c>
      <c r="W17" s="125">
        <f>SUMIFS('Expenditure Breakdown'!$U$6:$U$170, 'Expenditure Breakdown'!$T$6:$T$170, "&gt;="&amp;W1,'Expenditure Breakdown'!$T$6:$T$170, "&lt;"&amp;X1)</f>
        <v>0</v>
      </c>
      <c r="X17" s="125">
        <f>SUMIFS('Expenditure Breakdown'!$U$6:$U$170, 'Expenditure Breakdown'!$T$6:$T$170, "&gt;="&amp;X1,'Expenditure Breakdown'!$T$6:$T$170, "&lt;"&amp;Y1)</f>
        <v>0</v>
      </c>
      <c r="Y17" s="125">
        <f>SUMIFS('Expenditure Breakdown'!$U$6:$U$170, 'Expenditure Breakdown'!$T$6:$T$170, "&gt;="&amp;Y1,'Expenditure Breakdown'!$T$6:$T$170, "&lt;"&amp;Z1)</f>
        <v>0</v>
      </c>
      <c r="Z17" s="125">
        <f>SUMIFS('Expenditure Breakdown'!$U$6:$U$170, 'Expenditure Breakdown'!$T$6:$T$170, "&gt;="&amp;Z1,'Expenditure Breakdown'!$T$6:$T$170, "&lt;"&amp;AA1)</f>
        <v>282441.47677125235</v>
      </c>
      <c r="AA17" s="125">
        <f>SUMIFS('Expenditure Breakdown'!$U$6:$U$170, 'Expenditure Breakdown'!$T$6:$T$170, "&gt;="&amp;AA1,'Expenditure Breakdown'!$T$6:$T$170, "&lt;"&amp;AB1)</f>
        <v>0</v>
      </c>
      <c r="AB17" s="125">
        <f>SUMIFS('Expenditure Breakdown'!$U$6:$U$170, 'Expenditure Breakdown'!$T$6:$T$170, "&gt;="&amp;AB1,'Expenditure Breakdown'!$T$6:$T$170, "&lt;"&amp;AC1)</f>
        <v>0</v>
      </c>
      <c r="AC17" s="125">
        <f>SUMIFS('Expenditure Breakdown'!$U$6:$U$170, 'Expenditure Breakdown'!$T$6:$T$170, "&gt;="&amp;AC1,'Expenditure Breakdown'!$T$6:$T$170, "&lt;"&amp;AD1)</f>
        <v>0</v>
      </c>
      <c r="AD17" s="125">
        <f>SUMIFS('Expenditure Breakdown'!$U$6:$U$170, 'Expenditure Breakdown'!$T$6:$T$170, "&gt;="&amp;AD1,'Expenditure Breakdown'!$T$6:$T$170, "&lt;"&amp;AE1)</f>
        <v>10238.546697030682</v>
      </c>
      <c r="AE17" s="125">
        <f>SUMIFS('Expenditure Breakdown'!$U$6:$U$170, 'Expenditure Breakdown'!$T$6:$T$170, "&gt;="&amp;AE1,'Expenditure Breakdown'!$T$6:$T$170, "&lt;"&amp;AF1)</f>
        <v>0</v>
      </c>
      <c r="AF17" s="125">
        <f>SUMIFS('Expenditure Breakdown'!$U$6:$U$170, 'Expenditure Breakdown'!$T$6:$T$170, "&gt;="&amp;AF1,'Expenditure Breakdown'!$T$6:$T$170, "&lt;"&amp;AG1)</f>
        <v>0</v>
      </c>
      <c r="AG17" s="125">
        <f>SUMIFS('Expenditure Breakdown'!$U$6:$U$170, 'Expenditure Breakdown'!$T$6:$T$170, "&gt;="&amp;AG1,'Expenditure Breakdown'!$T$6:$T$170, "&lt;"&amp;AH1)</f>
        <v>0</v>
      </c>
      <c r="AH17" s="125">
        <f>SUMIFS('Expenditure Breakdown'!$U$6:$U$170, 'Expenditure Breakdown'!$T$6:$T$170, "&gt;="&amp;AH1,'Expenditure Breakdown'!$T$6:$T$170, "&lt;"&amp;AI1)</f>
        <v>0</v>
      </c>
      <c r="AI17" s="125">
        <f>SUMIFS('Expenditure Breakdown'!$U$6:$U$170, 'Expenditure Breakdown'!$T$6:$T$170, "&gt;="&amp;AI1,'Expenditure Breakdown'!$T$6:$T$170, "&lt;"&amp;AJ1)</f>
        <v>0</v>
      </c>
      <c r="AJ17" s="125">
        <f>SUMIFS('Expenditure Breakdown'!$U$6:$U$170, 'Expenditure Breakdown'!$T$6:$T$170, "&gt;="&amp;AJ1,'Expenditure Breakdown'!$T$6:$T$170, "&lt;"&amp;AK1)</f>
        <v>0</v>
      </c>
      <c r="AK17" s="125">
        <f>SUMIFS('Expenditure Breakdown'!$U$6:$U$170, 'Expenditure Breakdown'!$T$6:$T$170, "&gt;="&amp;AK1,'Expenditure Breakdown'!$T$6:$T$170, "&lt;"&amp;AL1)</f>
        <v>0</v>
      </c>
      <c r="AL17" s="125">
        <f>SUMIFS('Expenditure Breakdown'!$U$6:$U$170, 'Expenditure Breakdown'!$T$6:$T$170, "&gt;="&amp;AL1,'Expenditure Breakdown'!$T$6:$T$170, "&lt;"&amp;AM1)</f>
        <v>0</v>
      </c>
      <c r="AM17" s="125">
        <f>SUMIFS('Expenditure Breakdown'!$U$6:$U$170, 'Expenditure Breakdown'!$T$6:$T$170, "&gt;="&amp;AM1,'Expenditure Breakdown'!$T$6:$T$170, "&lt;"&amp;AN1)</f>
        <v>0</v>
      </c>
      <c r="AN17" s="125">
        <f>SUMIFS('Expenditure Breakdown'!$U$6:$U$170, 'Expenditure Breakdown'!$T$6:$T$170, "&gt;="&amp;AN1,'Expenditure Breakdown'!$T$6:$T$170, "&lt;"&amp;AO1)</f>
        <v>0</v>
      </c>
      <c r="AO17" s="125">
        <f>SUMIFS('Expenditure Breakdown'!$U$6:$U$170, 'Expenditure Breakdown'!$T$6:$T$170, "&gt;="&amp;AO1,'Expenditure Breakdown'!$T$6:$T$170, "&lt;"&amp;AP1)</f>
        <v>0</v>
      </c>
      <c r="AP17" s="125">
        <f>SUMIFS('Expenditure Breakdown'!$U$6:$U$170, 'Expenditure Breakdown'!$T$6:$T$170, "&gt;="&amp;AP1,'Expenditure Breakdown'!$T$6:$T$170, "&lt;"&amp;AQ1)</f>
        <v>0</v>
      </c>
      <c r="AQ17" s="125">
        <f>SUMIFS('Expenditure Breakdown'!$U$6:$U$170, 'Expenditure Breakdown'!$T$6:$T$170, "&gt;="&amp;AQ1,'Expenditure Breakdown'!$T$6:$T$170, "&lt;"&amp;AR1)</f>
        <v>0</v>
      </c>
      <c r="AR17" s="125">
        <f>SUMIFS('Expenditure Breakdown'!$U$6:$U$170, 'Expenditure Breakdown'!$T$6:$T$170, "&gt;="&amp;AR1,'Expenditure Breakdown'!$T$6:$T$170, "&lt;"&amp;AS1)</f>
        <v>0</v>
      </c>
      <c r="AS17" s="125">
        <f>SUMIFS('Expenditure Breakdown'!$U$6:$U$170, 'Expenditure Breakdown'!$T$6:$T$170, "&gt;="&amp;AS1,'Expenditure Breakdown'!$T$6:$T$170, "&lt;"&amp;AT1)</f>
        <v>0</v>
      </c>
      <c r="AT17" s="125">
        <f>SUMIFS('Expenditure Breakdown'!$U$6:$U$170, 'Expenditure Breakdown'!$T$6:$T$170, "&gt;="&amp;AT1,'Expenditure Breakdown'!$T$6:$T$170, "&lt;"&amp;AU1)</f>
        <v>0</v>
      </c>
      <c r="AU17" s="125">
        <f>SUMIFS('Expenditure Breakdown'!$U$6:$U$170, 'Expenditure Breakdown'!$T$6:$T$170, "&gt;="&amp;AU1,'Expenditure Breakdown'!$T$6:$T$170, "&lt;"&amp;AV1)</f>
        <v>0</v>
      </c>
      <c r="AV17" s="125">
        <f>SUMIFS('Expenditure Breakdown'!$U$6:$U$170, 'Expenditure Breakdown'!$T$6:$T$170, "&gt;="&amp;AV1,'Expenditure Breakdown'!$T$6:$T$170, "&lt;"&amp;AW1)</f>
        <v>0</v>
      </c>
      <c r="AW17" s="125">
        <f>SUMIFS('Expenditure Breakdown'!$U$6:$U$170, 'Expenditure Breakdown'!$T$6:$T$170, "&gt;="&amp;AW1,'Expenditure Breakdown'!$T$6:$T$170, "&lt;"&amp;AX1)</f>
        <v>0</v>
      </c>
      <c r="AX17" s="125">
        <f>SUMIFS('Expenditure Breakdown'!$U$6:$U$170, 'Expenditure Breakdown'!$T$6:$T$170, "&gt;="&amp;AX1,'Expenditure Breakdown'!$T$6:$T$170, "&lt;"&amp;AY1)</f>
        <v>0</v>
      </c>
      <c r="AY17" s="125">
        <f>SUMIFS('Expenditure Breakdown'!$U$6:$U$170, 'Expenditure Breakdown'!$T$6:$T$170, "&gt;="&amp;AY1,'Expenditure Breakdown'!$T$6:$T$170, "&lt;"&amp;AZ1)</f>
        <v>0</v>
      </c>
      <c r="AZ17" s="125">
        <f>SUMIFS('Expenditure Breakdown'!$U$6:$U$170, 'Expenditure Breakdown'!$T$6:$T$170, "&gt;="&amp;AZ1,'Expenditure Breakdown'!$T$6:$T$170, "&lt;"&amp;BA1)</f>
        <v>0</v>
      </c>
      <c r="BA17" s="125">
        <f>SUMIFS('Expenditure Breakdown'!$U$6:$U$170, 'Expenditure Breakdown'!$T$6:$T$170, "&gt;="&amp;BA1,'Expenditure Breakdown'!$T$6:$T$170, "&lt;"&amp;BB1)</f>
        <v>0</v>
      </c>
      <c r="BB17" s="125">
        <f>SUMIFS('Expenditure Breakdown'!$U$6:$U$170, 'Expenditure Breakdown'!$T$6:$T$170, "&gt;="&amp;BB1,'Expenditure Breakdown'!$T$6:$T$170, "&lt;"&amp;BC1)</f>
        <v>0</v>
      </c>
      <c r="BC17" s="125">
        <f>SUMIFS('Expenditure Breakdown'!$U$6:$U$170, 'Expenditure Breakdown'!$T$6:$T$170, "&gt;="&amp;BC1,'Expenditure Breakdown'!$T$6:$T$170, "&lt;"&amp;BD1)</f>
        <v>0</v>
      </c>
      <c r="BD17" s="125">
        <f>SUMIFS('Expenditure Breakdown'!$U$6:$U$170, 'Expenditure Breakdown'!$T$6:$T$170, "&gt;="&amp;BD1,'Expenditure Breakdown'!$T$6:$T$170, "&lt;"&amp;BE1)</f>
        <v>0</v>
      </c>
      <c r="BE17" s="125">
        <f>SUMIFS('Expenditure Breakdown'!$U$6:$U$170, 'Expenditure Breakdown'!$T$6:$T$170, "&gt;="&amp;BE1,'Expenditure Breakdown'!$T$6:$T$170, "&lt;"&amp;BF1)</f>
        <v>0</v>
      </c>
      <c r="BF17" s="125">
        <f>SUMIFS('Expenditure Breakdown'!$U$6:$U$170, 'Expenditure Breakdown'!$T$6:$T$170, "&gt;="&amp;BF1,'Expenditure Breakdown'!$T$6:$T$170, "&lt;"&amp;BG1)</f>
        <v>0</v>
      </c>
      <c r="BG17" s="125">
        <f>SUMIFS('Expenditure Breakdown'!$U$6:$U$170, 'Expenditure Breakdown'!$T$6:$T$170, "&gt;="&amp;BG1,'Expenditure Breakdown'!$T$6:$T$170, "&lt;"&amp;BH1)</f>
        <v>0</v>
      </c>
      <c r="BH17" s="125">
        <f>SUMIFS('Expenditure Breakdown'!$U$6:$U$170, 'Expenditure Breakdown'!$T$6:$T$170, "&gt;="&amp;BH1,'Expenditure Breakdown'!$T$6:$T$170, "&lt;"&amp;BI1)</f>
        <v>0</v>
      </c>
      <c r="BI17" s="125">
        <f>SUMIFS('Expenditure Breakdown'!$U$6:$U$170, 'Expenditure Breakdown'!$T$6:$T$170, "&gt;="&amp;BI1,'Expenditure Breakdown'!$T$6:$T$170, "&lt;"&amp;BJ1)</f>
        <v>0</v>
      </c>
      <c r="BJ17" s="125">
        <f>SUMIFS('Expenditure Breakdown'!$U$6:$U$170, 'Expenditure Breakdown'!$T$6:$T$170, "&gt;="&amp;BJ1,'Expenditure Breakdown'!$T$6:$T$170, "&lt;"&amp;BK1)</f>
        <v>0</v>
      </c>
      <c r="BK17" s="125">
        <f>SUMIFS('Expenditure Breakdown'!$U$6:$U$170, 'Expenditure Breakdown'!$T$6:$T$170, "&gt;="&amp;BK1,'Expenditure Breakdown'!$T$6:$T$170, "&lt;"&amp;BL1)</f>
        <v>0</v>
      </c>
      <c r="BL17" s="125">
        <f>SUMIFS('Expenditure Breakdown'!$U$6:$U$170, 'Expenditure Breakdown'!$T$6:$T$170, "&gt;="&amp;BL1,'Expenditure Breakdown'!$T$6:$T$170, "&lt;"&amp;BM1)</f>
        <v>0</v>
      </c>
      <c r="BM17" s="125">
        <f>SUMIFS('Expenditure Breakdown'!$U$6:$U$170, 'Expenditure Breakdown'!$T$6:$T$170, "&gt;="&amp;BM1,'Expenditure Breakdown'!$T$6:$T$170, "&lt;"&amp;BN1)</f>
        <v>0</v>
      </c>
      <c r="BN17" s="125">
        <f>SUMIFS('Expenditure Breakdown'!$U$6:$U$170, 'Expenditure Breakdown'!$T$6:$T$170, "&gt;="&amp;BN1,'Expenditure Breakdown'!$T$6:$T$170, "&lt;"&amp;BO1)</f>
        <v>0</v>
      </c>
      <c r="BO17" s="125">
        <f>SUMIFS('Expenditure Breakdown'!$U$6:$U$170, 'Expenditure Breakdown'!$T$6:$T$170, "&gt;="&amp;BO1,'Expenditure Breakdown'!$T$6:$T$170, "&lt;"&amp;BP1)</f>
        <v>0</v>
      </c>
      <c r="BP17" s="125">
        <f>SUMIFS('Expenditure Breakdown'!$U$6:$U$170, 'Expenditure Breakdown'!$T$6:$T$170, "&gt;="&amp;BP1,'Expenditure Breakdown'!$T$6:$T$170, "&lt;"&amp;BQ1)</f>
        <v>0</v>
      </c>
      <c r="BQ17" s="125">
        <f>SUMIFS('Expenditure Breakdown'!$U$6:$U$170, 'Expenditure Breakdown'!$T$6:$T$170, "&gt;="&amp;BQ1,'Expenditure Breakdown'!$T$6:$T$170, "&lt;"&amp;BR1)</f>
        <v>0</v>
      </c>
      <c r="BR17" s="125">
        <f>SUMIFS('Expenditure Breakdown'!$U$6:$U$170, 'Expenditure Breakdown'!$T$6:$T$170, "&gt;="&amp;BR1,'Expenditure Breakdown'!$T$6:$T$170, "&lt;"&amp;BS1)</f>
        <v>0</v>
      </c>
      <c r="BS17" s="125">
        <f>SUMIFS('Expenditure Breakdown'!$U$6:$U$170, 'Expenditure Breakdown'!$T$6:$T$170, "&gt;="&amp;BS1,'Expenditure Breakdown'!$T$6:$T$170, "&lt;"&amp;BT1)</f>
        <v>0</v>
      </c>
      <c r="BT17" s="125">
        <f>SUMIFS('Expenditure Breakdown'!$U$6:$U$170, 'Expenditure Breakdown'!$T$6:$T$170, "&gt;="&amp;BT1,'Expenditure Breakdown'!$T$6:$T$170, "&lt;"&amp;BU1)</f>
        <v>0</v>
      </c>
      <c r="BU17" s="125">
        <f>SUMIFS('Expenditure Breakdown'!$U$6:$U$170, 'Expenditure Breakdown'!$T$6:$T$170, "&gt;="&amp;BU1,'Expenditure Breakdown'!$T$6:$T$170, "&lt;"&amp;BV1)</f>
        <v>0</v>
      </c>
      <c r="BV17" s="125">
        <f>SUMIFS('Expenditure Breakdown'!$U$6:$U$170, 'Expenditure Breakdown'!$T$6:$T$170, "&gt;="&amp;BV1,'Expenditure Breakdown'!$T$6:$T$170, "&lt;"&amp;BW1)</f>
        <v>0</v>
      </c>
      <c r="BW17" s="125">
        <f>SUMIFS('Expenditure Breakdown'!$U$6:$U$170, 'Expenditure Breakdown'!$T$6:$T$170, "&gt;="&amp;BW1,'Expenditure Breakdown'!$T$6:$T$170, "&lt;"&amp;BX1)</f>
        <v>0</v>
      </c>
      <c r="BX17" s="125">
        <f>SUMIFS('Expenditure Breakdown'!$U$6:$U$170, 'Expenditure Breakdown'!$T$6:$T$170, "&gt;="&amp;BX1,'Expenditure Breakdown'!$T$6:$T$170, "&lt;"&amp;BY1)</f>
        <v>0</v>
      </c>
      <c r="BY17" s="125">
        <f>SUMIFS('Expenditure Breakdown'!$U$6:$U$170, 'Expenditure Breakdown'!$T$6:$T$170, "&gt;="&amp;BY1,'Expenditure Breakdown'!$T$6:$T$170, "&lt;"&amp;BZ1)</f>
        <v>0</v>
      </c>
      <c r="BZ17" s="125">
        <f>SUMIFS('Expenditure Breakdown'!$U$6:$U$170, 'Expenditure Breakdown'!$T$6:$T$170, "&gt;="&amp;BZ1,'Expenditure Breakdown'!$T$6:$T$170, "&lt;"&amp;CA1)</f>
        <v>0</v>
      </c>
      <c r="CA17" s="125">
        <f>SUMIFS('Expenditure Breakdown'!$U$6:$U$170, 'Expenditure Breakdown'!$T$6:$T$170, "&gt;="&amp;CA1,'Expenditure Breakdown'!$T$6:$T$170, "&lt;"&amp;CB1)</f>
        <v>0</v>
      </c>
      <c r="CB17" s="125">
        <f>SUMIFS('Expenditure Breakdown'!$U$6:$U$170, 'Expenditure Breakdown'!$T$6:$T$170, "&gt;="&amp;CB1,'Expenditure Breakdown'!$T$6:$T$170, "&lt;"&amp;CC1)</f>
        <v>0</v>
      </c>
      <c r="CC17" s="125">
        <f>SUMIFS('Expenditure Breakdown'!$U$6:$U$170, 'Expenditure Breakdown'!$T$6:$T$170, "&gt;="&amp;CC1,'Expenditure Breakdown'!$T$6:$T$170, "&lt;"&amp;CD1)</f>
        <v>0</v>
      </c>
      <c r="CD17" s="125">
        <f>SUMIFS('Expenditure Breakdown'!$U$6:$U$170, 'Expenditure Breakdown'!$T$6:$T$170, "&gt;="&amp;CD1,'Expenditure Breakdown'!$T$6:$T$170, "&lt;"&amp;CE1)</f>
        <v>0</v>
      </c>
      <c r="CE17" s="125">
        <f>SUMIFS('Expenditure Breakdown'!$U$6:$U$170, 'Expenditure Breakdown'!$T$6:$T$170, "&gt;="&amp;CE1,'Expenditure Breakdown'!$T$6:$T$170, "&lt;"&amp;CF1)</f>
        <v>0</v>
      </c>
      <c r="CF17" s="125">
        <f>SUMIFS('Expenditure Breakdown'!$U$6:$U$170, 'Expenditure Breakdown'!$T$6:$T$170, "&gt;="&amp;CF1,'Expenditure Breakdown'!$T$6:$T$170, "&lt;"&amp;CG1)</f>
        <v>0</v>
      </c>
      <c r="CG17" s="125">
        <f>SUMIFS('Expenditure Breakdown'!$U$6:$U$170, 'Expenditure Breakdown'!$T$6:$T$170, "&gt;="&amp;CG1,'Expenditure Breakdown'!$T$6:$T$170, "&lt;"&amp;CH1)</f>
        <v>0</v>
      </c>
      <c r="CH17" s="125">
        <f>SUMIFS('Expenditure Breakdown'!$U$6:$U$170, 'Expenditure Breakdown'!$T$6:$T$170, "&gt;="&amp;CH1,'Expenditure Breakdown'!$T$6:$T$170, "&lt;"&amp;CI1)</f>
        <v>0</v>
      </c>
      <c r="CI17" s="125">
        <f>SUMIFS('Expenditure Breakdown'!$U$6:$U$170, 'Expenditure Breakdown'!$T$6:$T$170, "&gt;="&amp;CI1,'Expenditure Breakdown'!$T$6:$T$170, "&lt;"&amp;CJ1)</f>
        <v>0</v>
      </c>
      <c r="CJ17" s="125">
        <f>SUMIFS('Expenditure Breakdown'!$U$6:$U$170, 'Expenditure Breakdown'!$T$6:$T$170, "&gt;="&amp;CJ1,'Expenditure Breakdown'!$T$6:$T$170, "&lt;"&amp;CK1)</f>
        <v>0</v>
      </c>
      <c r="CK17" s="125">
        <f>SUMIFS('Expenditure Breakdown'!$U$6:$U$170, 'Expenditure Breakdown'!$T$6:$T$170, "&gt;="&amp;CK1,'Expenditure Breakdown'!$T$6:$T$170, "&lt;"&amp;CL1)</f>
        <v>0</v>
      </c>
      <c r="CL17" s="125">
        <f>SUMIFS('Expenditure Breakdown'!$U$6:$U$170, 'Expenditure Breakdown'!$T$6:$T$170, "&gt;="&amp;CL1,'Expenditure Breakdown'!$T$6:$T$170, "&lt;"&amp;CM1)</f>
        <v>0</v>
      </c>
      <c r="CM17" s="125">
        <f>SUMIFS('Expenditure Breakdown'!$U$6:$U$170, 'Expenditure Breakdown'!$T$6:$T$170, "&gt;="&amp;CM1,'Expenditure Breakdown'!$T$6:$T$170, "&lt;"&amp;CN1)</f>
        <v>0</v>
      </c>
      <c r="CN17" s="125">
        <f>SUMIFS('Expenditure Breakdown'!$U$6:$U$170, 'Expenditure Breakdown'!$T$6:$T$170, "&gt;="&amp;CN1,'Expenditure Breakdown'!$T$6:$T$170, "&lt;"&amp;CO1)</f>
        <v>0</v>
      </c>
      <c r="CO17" s="125">
        <f>SUMIFS('Expenditure Breakdown'!$U$6:$U$170, 'Expenditure Breakdown'!$T$6:$T$170, "&gt;="&amp;CO1,'Expenditure Breakdown'!$T$6:$T$170, "&lt;"&amp;CP1)</f>
        <v>0</v>
      </c>
      <c r="CP17" s="125">
        <f>SUMIFS('Expenditure Breakdown'!$U$6:$U$170, 'Expenditure Breakdown'!$T$6:$T$170, "&gt;="&amp;CP1,'Expenditure Breakdown'!$T$6:$T$170, "&lt;"&amp;CQ1)</f>
        <v>0</v>
      </c>
      <c r="CQ17" s="125">
        <f>SUMIFS('Expenditure Breakdown'!$U$6:$U$170, 'Expenditure Breakdown'!$T$6:$T$170, "&gt;="&amp;CQ1,'Expenditure Breakdown'!$T$6:$T$170, "&lt;"&amp;CR1)</f>
        <v>0</v>
      </c>
      <c r="CR17" s="125">
        <f>SUMIFS('Expenditure Breakdown'!$U$6:$U$170, 'Expenditure Breakdown'!$T$6:$T$170, "&gt;="&amp;CR1,'Expenditure Breakdown'!$T$6:$T$170, "&lt;"&amp;CS1)</f>
        <v>0</v>
      </c>
      <c r="CS17" s="125">
        <f>SUMIFS('Expenditure Breakdown'!$U$6:$U$170, 'Expenditure Breakdown'!$T$6:$T$170, "&gt;="&amp;CS1,'Expenditure Breakdown'!$T$6:$T$170, "&lt;"&amp;CT1)</f>
        <v>0</v>
      </c>
      <c r="CT17" s="125">
        <f>SUMIFS('Expenditure Breakdown'!$U$6:$U$170, 'Expenditure Breakdown'!$T$6:$T$170, "&gt;="&amp;CT1,'Expenditure Breakdown'!$T$6:$T$170, "&lt;"&amp;CU1)</f>
        <v>0</v>
      </c>
      <c r="CU17" s="125">
        <f>SUMIFS('Expenditure Breakdown'!$U$6:$U$170, 'Expenditure Breakdown'!$T$6:$T$170, "&gt;="&amp;CU1,'Expenditure Breakdown'!$T$6:$T$170, "&lt;"&amp;CV1)</f>
        <v>0</v>
      </c>
      <c r="CV17" s="125">
        <f>SUMIFS('Expenditure Breakdown'!$U$6:$U$170, 'Expenditure Breakdown'!$T$6:$T$170, "&gt;="&amp;CV1,'Expenditure Breakdown'!$T$6:$T$170, "&lt;"&amp;CW1)</f>
        <v>0</v>
      </c>
      <c r="CW17" s="125">
        <f>SUMIFS('Expenditure Breakdown'!$U$6:$U$170, 'Expenditure Breakdown'!$T$6:$T$170, "&gt;="&amp;CW1,'Expenditure Breakdown'!$T$6:$T$170, "&lt;"&amp;CX1)</f>
        <v>0</v>
      </c>
      <c r="CX17" s="125">
        <f>SUMIFS('Expenditure Breakdown'!$U$6:$U$170, 'Expenditure Breakdown'!$T$6:$T$170, "&gt;="&amp;CX1,'Expenditure Breakdown'!$T$6:$T$170, "&lt;"&amp;CY1)</f>
        <v>0</v>
      </c>
      <c r="CY17" s="125">
        <f>SUMIFS('Expenditure Breakdown'!$U$6:$U$170, 'Expenditure Breakdown'!$T$6:$T$170, "&gt;="&amp;CY1,'Expenditure Breakdown'!$T$6:$T$170, "&lt;"&amp;CZ1)</f>
        <v>0</v>
      </c>
      <c r="CZ17" s="125">
        <f>SUMIFS('Expenditure Breakdown'!$U$6:$U$170, 'Expenditure Breakdown'!$T$6:$T$170, "&gt;="&amp;CZ1,'Expenditure Breakdown'!$T$6:$T$170, "&lt;"&amp;DA1)</f>
        <v>0</v>
      </c>
      <c r="DA17" s="125">
        <f>SUMIFS('Expenditure Breakdown'!$U$6:$U$170, 'Expenditure Breakdown'!$T$6:$T$170, "&gt;="&amp;DA1,'Expenditure Breakdown'!$T$6:$T$170, "&lt;"&amp;DB1)</f>
        <v>0</v>
      </c>
      <c r="DB17" s="125">
        <f>SUMIFS('Expenditure Breakdown'!$U$6:$U$170, 'Expenditure Breakdown'!$T$6:$T$170, "&gt;="&amp;DB1,'Expenditure Breakdown'!$T$6:$T$170, "&lt;"&amp;DC1)</f>
        <v>0</v>
      </c>
      <c r="DC17" s="125">
        <f>SUMIFS('Expenditure Breakdown'!$U$6:$U$170, 'Expenditure Breakdown'!$T$6:$T$170, "&gt;="&amp;DC1,'Expenditure Breakdown'!$T$6:$T$170, "&lt;"&amp;DD1)</f>
        <v>0</v>
      </c>
      <c r="DD17" s="125">
        <f>SUMIFS('Expenditure Breakdown'!$U$6:$U$170, 'Expenditure Breakdown'!$T$6:$T$170, "&gt;="&amp;DD1,'Expenditure Breakdown'!$T$6:$T$170, "&lt;"&amp;DE1)</f>
        <v>0</v>
      </c>
      <c r="DE17" s="125">
        <f>SUMIFS('Expenditure Breakdown'!$U$6:$U$170, 'Expenditure Breakdown'!$T$6:$T$170, "&gt;="&amp;DE1,'Expenditure Breakdown'!$T$6:$T$170, "&lt;"&amp;DF1)</f>
        <v>0</v>
      </c>
      <c r="DF17" s="125">
        <f>SUMIFS('Expenditure Breakdown'!$U$6:$U$170, 'Expenditure Breakdown'!$T$6:$T$170, "&gt;="&amp;DF1,'Expenditure Breakdown'!$T$6:$T$170, "&lt;"&amp;DG1)</f>
        <v>0</v>
      </c>
      <c r="DG17" s="125">
        <f>SUMIFS('Expenditure Breakdown'!$U$6:$U$170, 'Expenditure Breakdown'!$T$6:$T$170, "&gt;="&amp;DG1,'Expenditure Breakdown'!$T$6:$T$170, "&lt;"&amp;DH1)</f>
        <v>0</v>
      </c>
      <c r="DH17" s="125">
        <f>SUMIFS('Expenditure Breakdown'!$U$6:$U$170, 'Expenditure Breakdown'!$T$6:$T$170, "&gt;="&amp;DH1,'Expenditure Breakdown'!$T$6:$T$170, "&lt;"&amp;DI1)</f>
        <v>0</v>
      </c>
      <c r="DI17" s="125">
        <f>SUMIFS('Expenditure Breakdown'!$U$6:$U$170, 'Expenditure Breakdown'!$T$6:$T$170, "&gt;="&amp;DI1,'Expenditure Breakdown'!$T$6:$T$170, "&lt;"&amp;DJ1)</f>
        <v>0</v>
      </c>
      <c r="DJ17" s="125">
        <f>SUMIFS('Expenditure Breakdown'!$U$6:$U$170, 'Expenditure Breakdown'!$T$6:$T$170, "&gt;="&amp;DJ1,'Expenditure Breakdown'!$T$6:$T$170, "&lt;"&amp;DK1)</f>
        <v>0</v>
      </c>
      <c r="DK17" s="125">
        <f>SUMIFS('Expenditure Breakdown'!$U$6:$U$170, 'Expenditure Breakdown'!$T$6:$T$170, "&gt;="&amp;DK1,'Expenditure Breakdown'!$T$6:$T$170, "&lt;"&amp;DL1)</f>
        <v>0</v>
      </c>
      <c r="DL17" s="125">
        <f>SUMIFS('Expenditure Breakdown'!$U$6:$U$170, 'Expenditure Breakdown'!$T$6:$T$170, "&gt;="&amp;DL1,'Expenditure Breakdown'!$T$6:$T$170, "&lt;"&amp;DM1)</f>
        <v>0</v>
      </c>
      <c r="DM17" s="125">
        <f>SUMIFS('Expenditure Breakdown'!$U$6:$U$170, 'Expenditure Breakdown'!$T$6:$T$170, "&gt;="&amp;DM1,'Expenditure Breakdown'!$T$6:$T$170, "&lt;"&amp;DN1)</f>
        <v>0</v>
      </c>
      <c r="DN17" s="125">
        <f>SUMIFS('Expenditure Breakdown'!$U$6:$U$170, 'Expenditure Breakdown'!$T$6:$T$170, "&gt;="&amp;DN1,'Expenditure Breakdown'!$T$6:$T$170, "&lt;"&amp;DO1)</f>
        <v>0</v>
      </c>
      <c r="DO17" s="125">
        <f>SUMIFS('Expenditure Breakdown'!$U$6:$U$170, 'Expenditure Breakdown'!$T$6:$T$170, "&gt;="&amp;DO1,'Expenditure Breakdown'!$T$6:$T$170, "&lt;"&amp;DP1)</f>
        <v>0</v>
      </c>
      <c r="DP17" s="125">
        <f>SUMIFS('Expenditure Breakdown'!$U$6:$U$170, 'Expenditure Breakdown'!$T$6:$T$170, "&gt;="&amp;DP1,'Expenditure Breakdown'!$T$6:$T$170, "&lt;"&amp;DQ1)</f>
        <v>0</v>
      </c>
      <c r="DQ17" s="125">
        <f>SUMIFS('Expenditure Breakdown'!$U$6:$U$170, 'Expenditure Breakdown'!$T$6:$T$170, "&gt;="&amp;DQ1,'Expenditure Breakdown'!$T$6:$T$170, "&lt;"&amp;DR1)</f>
        <v>0</v>
      </c>
      <c r="DR17" s="125">
        <f>SUMIFS('Expenditure Breakdown'!$U$6:$U$170, 'Expenditure Breakdown'!$T$6:$T$170, "&gt;="&amp;DR1,'Expenditure Breakdown'!$T$6:$T$170, "&lt;"&amp;DS1)</f>
        <v>0</v>
      </c>
      <c r="DS17" s="125">
        <f>SUMIFS('Expenditure Breakdown'!$U$6:$U$170, 'Expenditure Breakdown'!$T$6:$T$170, "&gt;="&amp;DS1,'Expenditure Breakdown'!$T$6:$T$170, "&lt;"&amp;DT1)</f>
        <v>0</v>
      </c>
      <c r="DT17" s="125">
        <f>SUMIFS('Expenditure Breakdown'!$U$6:$U$170, 'Expenditure Breakdown'!$T$6:$T$170, "&gt;="&amp;DT1,'Expenditure Breakdown'!$T$6:$T$170, "&lt;"&amp;DU1)</f>
        <v>0</v>
      </c>
      <c r="DU17" s="125">
        <f>SUMIFS('Expenditure Breakdown'!$U$6:$U$170, 'Expenditure Breakdown'!$T$6:$T$170, "&gt;="&amp;DU1,'Expenditure Breakdown'!$T$6:$T$170, "&lt;"&amp;DV1)</f>
        <v>0</v>
      </c>
      <c r="DV17" s="125">
        <f>SUMIFS('Expenditure Breakdown'!$U$6:$U$170, 'Expenditure Breakdown'!$T$6:$T$170, "&gt;="&amp;DV1,'Expenditure Breakdown'!$T$6:$T$170, "&lt;"&amp;DW1)</f>
        <v>0</v>
      </c>
      <c r="DW17" s="125">
        <f>SUMIFS('Expenditure Breakdown'!$U$6:$U$170, 'Expenditure Breakdown'!$T$6:$T$170, "&gt;="&amp;DW1,'Expenditure Breakdown'!$T$6:$T$170, "&lt;"&amp;DX1)</f>
        <v>0</v>
      </c>
      <c r="DX17" s="125">
        <f>SUMIFS('Expenditure Breakdown'!$U$6:$U$170, 'Expenditure Breakdown'!$T$6:$T$170, "&gt;="&amp;DX1,'Expenditure Breakdown'!$T$6:$T$170, "&lt;"&amp;DY1)</f>
        <v>0</v>
      </c>
      <c r="DY17" s="125">
        <f>SUMIFS('Expenditure Breakdown'!$U$6:$U$170, 'Expenditure Breakdown'!$T$6:$T$170, "&gt;="&amp;DY1,'Expenditure Breakdown'!$T$6:$T$170, "&lt;"&amp;DZ1)</f>
        <v>0</v>
      </c>
      <c r="DZ17" s="125">
        <f>SUMIFS('Expenditure Breakdown'!$U$6:$U$170, 'Expenditure Breakdown'!$T$6:$T$170, "&gt;="&amp;DZ1,'Expenditure Breakdown'!$T$6:$T$170, "&lt;"&amp;EA1)</f>
        <v>0</v>
      </c>
      <c r="EA17" s="125">
        <f>SUMIFS('Expenditure Breakdown'!$U$6:$U$170, 'Expenditure Breakdown'!$T$6:$T$170, "&gt;="&amp;EA1,'Expenditure Breakdown'!$T$6:$T$170, "&lt;"&amp;EB1)</f>
        <v>0</v>
      </c>
      <c r="EB17" s="125">
        <f>SUMIFS('Expenditure Breakdown'!$U$6:$U$170, 'Expenditure Breakdown'!$T$6:$T$170, "&gt;="&amp;EB1,'Expenditure Breakdown'!$T$6:$T$170, "&lt;"&amp;EC1)</f>
        <v>0</v>
      </c>
      <c r="EC17" s="125">
        <f>SUMIFS('Expenditure Breakdown'!$U$6:$U$170, 'Expenditure Breakdown'!$T$6:$T$170, "&gt;="&amp;EC1,'Expenditure Breakdown'!$T$6:$T$170, "&lt;"&amp;ED1)</f>
        <v>0</v>
      </c>
      <c r="ED17" s="125">
        <f>SUMIFS('Expenditure Breakdown'!$U$6:$U$170, 'Expenditure Breakdown'!$T$6:$T$170, "&gt;="&amp;ED1,'Expenditure Breakdown'!$T$6:$T$170, "&lt;"&amp;EE1)</f>
        <v>0</v>
      </c>
      <c r="EE17" s="125">
        <f>SUMIFS('Expenditure Breakdown'!$U$6:$U$170, 'Expenditure Breakdown'!$T$6:$T$170, "&gt;="&amp;EE1,'Expenditure Breakdown'!$T$6:$T$170, "&lt;"&amp;EF1)</f>
        <v>0</v>
      </c>
      <c r="EF17" s="125">
        <f>SUMIFS('Expenditure Breakdown'!$U$6:$U$170, 'Expenditure Breakdown'!$T$6:$T$170, "&gt;="&amp;EF1,'Expenditure Breakdown'!$T$6:$T$170, "&lt;"&amp;EG1)</f>
        <v>0</v>
      </c>
      <c r="EG17" s="125">
        <f>SUMIFS('Expenditure Breakdown'!$U$6:$U$170, 'Expenditure Breakdown'!$T$6:$T$170, "&gt;="&amp;EG1,'Expenditure Breakdown'!$T$6:$T$170, "&lt;"&amp;EH1)</f>
        <v>0</v>
      </c>
      <c r="EH17" s="125">
        <f>SUMIFS('Expenditure Breakdown'!$U$6:$U$170, 'Expenditure Breakdown'!$T$6:$T$170, "&gt;="&amp;EH1,'Expenditure Breakdown'!$T$6:$T$170, "&lt;"&amp;EI1)</f>
        <v>0</v>
      </c>
      <c r="EI17" s="125">
        <f>SUMIFS('Expenditure Breakdown'!$U$6:$U$170, 'Expenditure Breakdown'!$T$6:$T$170, "&gt;="&amp;EI1,'Expenditure Breakdown'!$T$6:$T$170, "&lt;"&amp;EJ1)</f>
        <v>0</v>
      </c>
      <c r="EJ17" s="125">
        <f>SUMIFS('Expenditure Breakdown'!$U$6:$U$170, 'Expenditure Breakdown'!$T$6:$T$170, "&gt;="&amp;EJ1,'Expenditure Breakdown'!$T$6:$T$170, "&lt;"&amp;EK1)</f>
        <v>0</v>
      </c>
      <c r="EK17" s="125">
        <f>SUMIFS('Expenditure Breakdown'!$U$6:$U$170, 'Expenditure Breakdown'!$T$6:$T$170, "&gt;="&amp;EK1,'Expenditure Breakdown'!$T$6:$T$170, "&lt;"&amp;EL1)</f>
        <v>0</v>
      </c>
      <c r="EL17" s="125">
        <f>SUMIFS('Expenditure Breakdown'!$U$6:$U$170, 'Expenditure Breakdown'!$T$6:$T$170, "&gt;="&amp;EL1,'Expenditure Breakdown'!$T$6:$T$170, "&lt;"&amp;EM1)</f>
        <v>0</v>
      </c>
      <c r="EM17" s="125">
        <f>SUMIFS('Expenditure Breakdown'!$U$6:$U$170, 'Expenditure Breakdown'!$T$6:$T$170, "&gt;="&amp;EM1,'Expenditure Breakdown'!$T$6:$T$170, "&lt;"&amp;EN1)</f>
        <v>0</v>
      </c>
      <c r="EN17" s="125">
        <f>SUMIFS('Expenditure Breakdown'!$U$6:$U$170, 'Expenditure Breakdown'!$T$6:$T$170, "&gt;="&amp;EN1,'Expenditure Breakdown'!$T$6:$T$170, "&lt;"&amp;EO1)</f>
        <v>0</v>
      </c>
      <c r="EO17" s="125">
        <f>SUMIFS('Expenditure Breakdown'!$U$6:$U$170, 'Expenditure Breakdown'!$T$6:$T$170, "&gt;="&amp;EO1,'Expenditure Breakdown'!$T$6:$T$170, "&lt;"&amp;EP1)</f>
        <v>0</v>
      </c>
      <c r="EP17" s="125">
        <f>SUMIFS('Expenditure Breakdown'!$U$6:$U$170, 'Expenditure Breakdown'!$T$6:$T$170, "&gt;="&amp;EP1,'Expenditure Breakdown'!$T$6:$T$170, "&lt;"&amp;EQ1)</f>
        <v>0</v>
      </c>
      <c r="EQ17" s="125">
        <f>SUMIFS('Expenditure Breakdown'!$U$6:$U$170, 'Expenditure Breakdown'!$T$6:$T$170, "&gt;="&amp;EQ1,'Expenditure Breakdown'!$T$6:$T$170, "&lt;"&amp;ER1)</f>
        <v>0</v>
      </c>
      <c r="ER17" s="125">
        <f>SUMIFS('Expenditure Breakdown'!$U$6:$U$170, 'Expenditure Breakdown'!$T$6:$T$170, "&gt;="&amp;ER1,'Expenditure Breakdown'!$T$6:$T$170, "&lt;"&amp;ES1)</f>
        <v>0</v>
      </c>
      <c r="ES17" s="125">
        <f>SUMIFS('Expenditure Breakdown'!$U$6:$U$170, 'Expenditure Breakdown'!$T$6:$T$170, "&gt;="&amp;ES1,'Expenditure Breakdown'!$T$6:$T$170, "&lt;"&amp;ET1)</f>
        <v>0</v>
      </c>
      <c r="ET17" s="125">
        <f>SUMIFS('Expenditure Breakdown'!$U$6:$U$170, 'Expenditure Breakdown'!$T$6:$T$170, "&gt;="&amp;ET1,'Expenditure Breakdown'!$T$6:$T$170, "&lt;"&amp;EU1)</f>
        <v>0</v>
      </c>
      <c r="EU17" s="125">
        <f>SUMIFS('Expenditure Breakdown'!$U$6:$U$170, 'Expenditure Breakdown'!$T$6:$T$170, "&gt;="&amp;EU1,'Expenditure Breakdown'!$T$6:$T$170, "&lt;"&amp;EV1)</f>
        <v>0</v>
      </c>
      <c r="EV17" s="125">
        <f>SUMIFS('Expenditure Breakdown'!$U$6:$U$170, 'Expenditure Breakdown'!$T$6:$T$170, "&gt;="&amp;EV1,'Expenditure Breakdown'!$T$6:$T$170, "&lt;"&amp;EW1)</f>
        <v>0</v>
      </c>
      <c r="EW17" s="125">
        <f>SUMIFS('Expenditure Breakdown'!$U$6:$U$170, 'Expenditure Breakdown'!$T$6:$T$170, "&gt;="&amp;EW1,'Expenditure Breakdown'!$T$6:$T$170, "&lt;"&amp;EX1)</f>
        <v>0</v>
      </c>
      <c r="EX17" s="125">
        <f>SUMIFS('Expenditure Breakdown'!$U$6:$U$170, 'Expenditure Breakdown'!$T$6:$T$170, "&gt;="&amp;EX1,'Expenditure Breakdown'!$T$6:$T$170, "&lt;"&amp;EY1)</f>
        <v>0</v>
      </c>
      <c r="EY17" s="125">
        <f>SUMIFS('Expenditure Breakdown'!$U$6:$U$170, 'Expenditure Breakdown'!$T$6:$T$170, "&gt;="&amp;EY1,'Expenditure Breakdown'!$T$6:$T$170, "&lt;"&amp;EZ1)</f>
        <v>0</v>
      </c>
      <c r="EZ17" s="125">
        <f>SUMIFS('Expenditure Breakdown'!$U$6:$U$170, 'Expenditure Breakdown'!$T$6:$T$170, "&gt;="&amp;EZ1,'Expenditure Breakdown'!$T$6:$T$170, "&lt;"&amp;FA1)</f>
        <v>0</v>
      </c>
      <c r="FA17" s="125">
        <f>SUMIFS('Expenditure Breakdown'!$U$6:$U$170, 'Expenditure Breakdown'!$T$6:$T$170, "&gt;="&amp;FA1,'Expenditure Breakdown'!$T$6:$T$170, "&lt;"&amp;FB1)</f>
        <v>0</v>
      </c>
      <c r="FB17" s="125">
        <f>SUMIFS('Expenditure Breakdown'!$U$6:$U$170, 'Expenditure Breakdown'!$T$6:$T$170, "&gt;="&amp;FB1,'Expenditure Breakdown'!$T$6:$T$170, "&lt;"&amp;FC1)</f>
        <v>0</v>
      </c>
      <c r="FC17" s="125">
        <f>SUMIFS('Expenditure Breakdown'!$U$6:$U$170, 'Expenditure Breakdown'!$T$6:$T$170, "&gt;="&amp;FC1,'Expenditure Breakdown'!$T$6:$T$170, "&lt;"&amp;FD1)</f>
        <v>0</v>
      </c>
      <c r="FD17" s="125">
        <f>SUMIFS('Expenditure Breakdown'!$U$6:$U$170, 'Expenditure Breakdown'!$T$6:$T$170, "&gt;="&amp;FD1,'Expenditure Breakdown'!$T$6:$T$170, "&lt;"&amp;FE1)</f>
        <v>0</v>
      </c>
      <c r="FE17" s="125">
        <f>SUMIFS('Expenditure Breakdown'!$U$6:$U$170, 'Expenditure Breakdown'!$T$6:$T$170, "&gt;="&amp;FE1,'Expenditure Breakdown'!$T$6:$T$170, "&lt;"&amp;FF1)</f>
        <v>0</v>
      </c>
      <c r="FF17" s="125">
        <f>SUMIFS('Expenditure Breakdown'!$U$6:$U$170, 'Expenditure Breakdown'!$T$6:$T$170, "&gt;="&amp;FF1,'Expenditure Breakdown'!$T$6:$T$170, "&lt;"&amp;FG1)</f>
        <v>0</v>
      </c>
      <c r="FG17" s="125">
        <f>SUMIFS('Expenditure Breakdown'!$U$6:$U$170, 'Expenditure Breakdown'!$T$6:$T$170, "&gt;="&amp;FG1,'Expenditure Breakdown'!$T$6:$T$170, "&lt;"&amp;FH1)</f>
        <v>0</v>
      </c>
      <c r="FH17" s="125">
        <f>SUMIFS('Expenditure Breakdown'!$U$6:$U$170, 'Expenditure Breakdown'!$T$6:$T$170, "&gt;="&amp;FH1,'Expenditure Breakdown'!$T$6:$T$170, "&lt;"&amp;FI1)</f>
        <v>0</v>
      </c>
      <c r="FI17" s="125">
        <f>SUMIFS('Expenditure Breakdown'!$U$6:$U$170, 'Expenditure Breakdown'!$T$6:$T$170, "&gt;="&amp;FI1,'Expenditure Breakdown'!$T$6:$T$170, "&lt;"&amp;FJ1)</f>
        <v>0</v>
      </c>
      <c r="FJ17" s="125">
        <f>SUMIFS('Expenditure Breakdown'!$U$6:$U$170, 'Expenditure Breakdown'!$T$6:$T$170, "&gt;="&amp;FJ1,'Expenditure Breakdown'!$T$6:$T$170, "&lt;"&amp;FK1)</f>
        <v>0</v>
      </c>
      <c r="FK17" s="125">
        <f>SUMIFS('Expenditure Breakdown'!$U$6:$U$170, 'Expenditure Breakdown'!$T$6:$T$170, "&gt;="&amp;FK1,'Expenditure Breakdown'!$T$6:$T$170, "&lt;"&amp;FL1)</f>
        <v>0</v>
      </c>
      <c r="FL17" s="125">
        <f>SUMIFS('Expenditure Breakdown'!$U$6:$U$170, 'Expenditure Breakdown'!$T$6:$T$170, "&gt;="&amp;FL1,'Expenditure Breakdown'!$T$6:$T$170, "&lt;"&amp;FM1)</f>
        <v>0</v>
      </c>
      <c r="FM17" s="125">
        <f>SUMIFS('Expenditure Breakdown'!$U$6:$U$170, 'Expenditure Breakdown'!$T$6:$T$170, "&gt;="&amp;FM1,'Expenditure Breakdown'!$T$6:$T$170, "&lt;"&amp;FN1)</f>
        <v>0</v>
      </c>
      <c r="FN17" s="125">
        <f>SUMIFS('Expenditure Breakdown'!$U$6:$U$170, 'Expenditure Breakdown'!$T$6:$T$170, "&gt;="&amp;FN1,'Expenditure Breakdown'!$T$6:$T$170, "&lt;"&amp;FO1)</f>
        <v>0</v>
      </c>
      <c r="FO17" s="125">
        <f>SUMIFS('Expenditure Breakdown'!$U$6:$U$170, 'Expenditure Breakdown'!$T$6:$T$170, "&gt;="&amp;FO1,'Expenditure Breakdown'!$T$6:$T$170, "&lt;"&amp;FP1)</f>
        <v>0</v>
      </c>
      <c r="FP17" s="125">
        <f>SUMIFS('Expenditure Breakdown'!$U$6:$U$170, 'Expenditure Breakdown'!$T$6:$T$170, "&gt;="&amp;FP1,'Expenditure Breakdown'!$T$6:$T$170, "&lt;"&amp;FQ1)</f>
        <v>0</v>
      </c>
      <c r="FQ17" s="125">
        <f>SUMIFS('Expenditure Breakdown'!$U$6:$U$170, 'Expenditure Breakdown'!$T$6:$T$170, "&gt;="&amp;FQ1,'Expenditure Breakdown'!$T$6:$T$170, "&lt;"&amp;FR1)</f>
        <v>0</v>
      </c>
      <c r="FR17" s="125">
        <f>SUMIFS('Expenditure Breakdown'!$U$6:$U$170, 'Expenditure Breakdown'!$T$6:$T$170, "&gt;="&amp;FR1,'Expenditure Breakdown'!$T$6:$T$170, "&lt;"&amp;FS1)</f>
        <v>0</v>
      </c>
      <c r="FS17" s="125">
        <f>SUMIFS('Expenditure Breakdown'!$U$6:$U$170, 'Expenditure Breakdown'!$T$6:$T$170, "&gt;="&amp;FS1,'Expenditure Breakdown'!$T$6:$T$170, "&lt;"&amp;FT1)</f>
        <v>0</v>
      </c>
      <c r="FT17" s="125">
        <f>SUMIFS('Expenditure Breakdown'!$U$6:$U$170, 'Expenditure Breakdown'!$T$6:$T$170, "&gt;="&amp;FT1,'Expenditure Breakdown'!$T$6:$T$170, "&lt;"&amp;FU1)</f>
        <v>0</v>
      </c>
      <c r="FU17" s="125">
        <f>SUMIFS('Expenditure Breakdown'!$U$6:$U$170, 'Expenditure Breakdown'!$T$6:$T$170, "&gt;="&amp;FU1,'Expenditure Breakdown'!$T$6:$T$170, "&lt;"&amp;FV1)</f>
        <v>0</v>
      </c>
      <c r="FV17" s="125">
        <f>SUMIFS('Expenditure Breakdown'!$U$6:$U$170, 'Expenditure Breakdown'!$T$6:$T$170, "&gt;="&amp;FV1,'Expenditure Breakdown'!$T$6:$T$170, "&lt;"&amp;FW1)</f>
        <v>0</v>
      </c>
      <c r="FW17" s="125">
        <f>SUMIFS('Expenditure Breakdown'!$U$6:$U$170, 'Expenditure Breakdown'!$T$6:$T$170, "&gt;="&amp;FW1,'Expenditure Breakdown'!$T$6:$T$170, "&lt;"&amp;FX1)</f>
        <v>0</v>
      </c>
      <c r="FX17" s="125">
        <f>SUMIFS('Expenditure Breakdown'!$U$6:$U$170, 'Expenditure Breakdown'!$T$6:$T$170, "&gt;="&amp;FX1,'Expenditure Breakdown'!$T$6:$T$170, "&lt;"&amp;FY1)</f>
        <v>0</v>
      </c>
      <c r="FY17" s="125">
        <f>SUMIFS('Expenditure Breakdown'!$U$6:$U$170, 'Expenditure Breakdown'!$T$6:$T$170, "&gt;="&amp;FY1,'Expenditure Breakdown'!$T$6:$T$170, "&lt;"&amp;FZ1)</f>
        <v>0</v>
      </c>
      <c r="FZ17" s="125">
        <f>SUMIFS('Expenditure Breakdown'!$U$6:$U$170, 'Expenditure Breakdown'!$T$6:$T$170, "&gt;="&amp;FZ1,'Expenditure Breakdown'!$T$6:$T$170, "&lt;"&amp;GA1)</f>
        <v>0</v>
      </c>
      <c r="GA17" s="125">
        <f>SUMIFS('Expenditure Breakdown'!$U$6:$U$170, 'Expenditure Breakdown'!$T$6:$T$170, "&gt;="&amp;GA1,'Expenditure Breakdown'!$T$6:$T$170, "&lt;"&amp;GB1)</f>
        <v>0</v>
      </c>
      <c r="GB17" s="125">
        <f>SUMIFS('Expenditure Breakdown'!$U$6:$U$170, 'Expenditure Breakdown'!$T$6:$T$170, "&gt;="&amp;GB1,'Expenditure Breakdown'!$T$6:$T$170, "&lt;"&amp;GC1)</f>
        <v>0</v>
      </c>
      <c r="GC17" s="125">
        <f>SUMIFS('Expenditure Breakdown'!$U$6:$U$170, 'Expenditure Breakdown'!$T$6:$T$170, "&gt;="&amp;GC1,'Expenditure Breakdown'!$T$6:$T$170, "&lt;"&amp;GD1)</f>
        <v>0</v>
      </c>
      <c r="GD17" s="125">
        <f>SUMIFS('Expenditure Breakdown'!$U$6:$U$170, 'Expenditure Breakdown'!$T$6:$T$170, "&gt;="&amp;GD1,'Expenditure Breakdown'!$T$6:$T$170, "&lt;"&amp;GE1)</f>
        <v>0</v>
      </c>
      <c r="GE17" s="125">
        <f>SUMIFS('Expenditure Breakdown'!$U$6:$U$170, 'Expenditure Breakdown'!$T$6:$T$170, "&gt;="&amp;GE1,'Expenditure Breakdown'!$T$6:$T$170, "&lt;"&amp;GF1)</f>
        <v>0</v>
      </c>
      <c r="GF17" s="125">
        <f>SUMIFS('Expenditure Breakdown'!$U$6:$U$170, 'Expenditure Breakdown'!$T$6:$T$170, "&gt;="&amp;GF1,'Expenditure Breakdown'!$T$6:$T$170, "&lt;"&amp;GG1)</f>
        <v>0</v>
      </c>
      <c r="GG17" s="125">
        <f>SUMIFS('Expenditure Breakdown'!$U$6:$U$170, 'Expenditure Breakdown'!$T$6:$T$170, "&gt;="&amp;GG1,'Expenditure Breakdown'!$T$6:$T$170, "&lt;"&amp;GH1)</f>
        <v>0</v>
      </c>
      <c r="GH17" s="125">
        <f>SUMIFS('Expenditure Breakdown'!$U$6:$U$170, 'Expenditure Breakdown'!$T$6:$T$170, "&gt;="&amp;GH1,'Expenditure Breakdown'!$T$6:$T$170, "&lt;"&amp;GI1)</f>
        <v>0</v>
      </c>
      <c r="GI17" s="125">
        <f>SUMIFS('Expenditure Breakdown'!$U$6:$U$170, 'Expenditure Breakdown'!$T$6:$T$170, "&gt;="&amp;GI1,'Expenditure Breakdown'!$T$6:$T$170, "&lt;"&amp;GJ1)</f>
        <v>0</v>
      </c>
      <c r="GJ17" s="125">
        <f>SUMIFS('Expenditure Breakdown'!$U$6:$U$170, 'Expenditure Breakdown'!$T$6:$T$170, "&gt;="&amp;GJ1,'Expenditure Breakdown'!$T$6:$T$170, "&lt;"&amp;GK1)</f>
        <v>0</v>
      </c>
      <c r="GK17" s="125">
        <f>SUMIFS('Expenditure Breakdown'!$U$6:$U$170, 'Expenditure Breakdown'!$T$6:$T$170, "&gt;="&amp;GK1,'Expenditure Breakdown'!$T$6:$T$170, "&lt;"&amp;GL1)</f>
        <v>0</v>
      </c>
      <c r="GL17" s="125">
        <f>SUMIFS('Expenditure Breakdown'!$U$6:$U$170, 'Expenditure Breakdown'!$T$6:$T$170, "&gt;="&amp;GL1,'Expenditure Breakdown'!$T$6:$T$170, "&lt;"&amp;GM1)</f>
        <v>0</v>
      </c>
      <c r="GM17" s="125">
        <f>SUMIFS('Expenditure Breakdown'!$U$6:$U$170, 'Expenditure Breakdown'!$T$6:$T$170, "&gt;="&amp;GM1,'Expenditure Breakdown'!$T$6:$T$170, "&lt;"&amp;GN1)</f>
        <v>0</v>
      </c>
      <c r="GN17" s="125">
        <f>SUMIFS('Expenditure Breakdown'!$U$6:$U$170, 'Expenditure Breakdown'!$T$6:$T$170, "&gt;="&amp;GN1,'Expenditure Breakdown'!$T$6:$T$170, "&lt;"&amp;GO1)</f>
        <v>0</v>
      </c>
      <c r="GO17" s="125">
        <f>SUMIFS('Expenditure Breakdown'!$U$6:$U$170, 'Expenditure Breakdown'!$T$6:$T$170, "&gt;="&amp;GO1,'Expenditure Breakdown'!$T$6:$T$170, "&lt;"&amp;GP1)</f>
        <v>0</v>
      </c>
      <c r="GP17" s="125">
        <f>SUMIFS('Expenditure Breakdown'!$U$6:$U$170, 'Expenditure Breakdown'!$T$6:$T$170, "&gt;="&amp;GP1,'Expenditure Breakdown'!$T$6:$T$170, "&lt;"&amp;GQ1)</f>
        <v>0</v>
      </c>
      <c r="GQ17" s="125">
        <f>SUMIFS('Expenditure Breakdown'!$U$6:$U$170, 'Expenditure Breakdown'!$T$6:$T$170, "&gt;="&amp;GQ1,'Expenditure Breakdown'!$T$6:$T$170, "&lt;"&amp;GR1)</f>
        <v>0</v>
      </c>
      <c r="GR17" s="125">
        <f>SUMIFS('Expenditure Breakdown'!$U$6:$U$170, 'Expenditure Breakdown'!$T$6:$T$170, "&gt;="&amp;GR1,'Expenditure Breakdown'!$T$6:$T$170, "&lt;"&amp;GS1)</f>
        <v>0</v>
      </c>
      <c r="GS17" s="125">
        <f>SUMIFS('Expenditure Breakdown'!$U$6:$U$170, 'Expenditure Breakdown'!$T$6:$T$170, "&gt;="&amp;GS1,'Expenditure Breakdown'!$T$6:$T$170, "&lt;"&amp;GT1)</f>
        <v>0</v>
      </c>
      <c r="GT17" s="125">
        <f>SUMIFS('Expenditure Breakdown'!$U$6:$U$170, 'Expenditure Breakdown'!$T$6:$T$170, "&gt;="&amp;GT1,'Expenditure Breakdown'!$T$6:$T$170, "&lt;"&amp;GU1)</f>
        <v>0</v>
      </c>
      <c r="GU17" s="125">
        <f>SUMIFS('Expenditure Breakdown'!$U$6:$U$170, 'Expenditure Breakdown'!$T$6:$T$170, "&gt;="&amp;GU1,'Expenditure Breakdown'!$T$6:$T$170, "&lt;"&amp;GV1)</f>
        <v>0</v>
      </c>
      <c r="GV17" s="125">
        <f>SUMIFS('Expenditure Breakdown'!$U$6:$U$170, 'Expenditure Breakdown'!$T$6:$T$170, "&gt;="&amp;GV1,'Expenditure Breakdown'!$T$6:$T$170, "&lt;"&amp;GW1)</f>
        <v>0</v>
      </c>
      <c r="GW17" s="125">
        <f>SUMIFS('Expenditure Breakdown'!$U$6:$U$170, 'Expenditure Breakdown'!$T$6:$T$170, "&gt;="&amp;GW1,'Expenditure Breakdown'!$T$6:$T$170, "&lt;"&amp;GX1)</f>
        <v>0</v>
      </c>
      <c r="GX17" s="125">
        <f>SUMIFS('Expenditure Breakdown'!$U$6:$U$170, 'Expenditure Breakdown'!$T$6:$T$170, "&gt;="&amp;GX1,'Expenditure Breakdown'!$T$6:$T$170, "&lt;"&amp;GY1)</f>
        <v>0</v>
      </c>
      <c r="GY17" s="125">
        <f>SUMIFS('Expenditure Breakdown'!$U$6:$U$170, 'Expenditure Breakdown'!$T$6:$T$170, "&gt;="&amp;GY1,'Expenditure Breakdown'!$T$6:$T$170, "&lt;"&amp;GZ1)</f>
        <v>0</v>
      </c>
      <c r="GZ17" s="125">
        <f>SUMIFS('Expenditure Breakdown'!$U$6:$U$170, 'Expenditure Breakdown'!$T$6:$T$170, "&gt;="&amp;GZ1,'Expenditure Breakdown'!$T$6:$T$170, "&lt;"&amp;HA1)</f>
        <v>0</v>
      </c>
      <c r="HA17" s="125">
        <f>SUMIFS('Expenditure Breakdown'!$U$6:$U$170, 'Expenditure Breakdown'!$T$6:$T$170, "&gt;="&amp;HA1,'Expenditure Breakdown'!$T$6:$T$170, "&lt;"&amp;HB1)</f>
        <v>0</v>
      </c>
      <c r="HB17" s="125">
        <f>SUMIFS('Expenditure Breakdown'!$U$6:$U$170, 'Expenditure Breakdown'!$T$6:$T$170, "&gt;="&amp;HB1,'Expenditure Breakdown'!$T$6:$T$170, "&lt;"&amp;HC1)</f>
        <v>0</v>
      </c>
      <c r="HC17" s="125">
        <f>SUMIFS('Expenditure Breakdown'!$U$6:$U$170, 'Expenditure Breakdown'!$T$6:$T$170, "&gt;="&amp;HC1,'Expenditure Breakdown'!$T$6:$T$170, "&lt;"&amp;HD1)</f>
        <v>0</v>
      </c>
      <c r="HD17" s="125">
        <f>SUMIFS('Expenditure Breakdown'!$U$6:$U$170, 'Expenditure Breakdown'!$T$6:$T$170, "&gt;="&amp;HD1,'Expenditure Breakdown'!$T$6:$T$170, "&lt;"&amp;HE1)</f>
        <v>0</v>
      </c>
      <c r="HE17" s="125">
        <f>SUMIFS('Expenditure Breakdown'!$U$6:$U$170, 'Expenditure Breakdown'!$T$6:$T$170, "&gt;="&amp;HE1,'Expenditure Breakdown'!$T$6:$T$170, "&lt;"&amp;HF1)</f>
        <v>0</v>
      </c>
      <c r="HF17" s="125">
        <f>SUMIFS('Expenditure Breakdown'!$U$6:$U$170, 'Expenditure Breakdown'!$T$6:$T$170, "&gt;="&amp;HF1,'Expenditure Breakdown'!$T$6:$T$170, "&lt;"&amp;HG1)</f>
        <v>0</v>
      </c>
      <c r="HG17" s="125">
        <f>SUMIFS('Expenditure Breakdown'!$U$6:$U$170, 'Expenditure Breakdown'!$T$6:$T$170, "&gt;="&amp;HG1,'Expenditure Breakdown'!$T$6:$T$170, "&lt;"&amp;HH1)</f>
        <v>0</v>
      </c>
      <c r="HH17" s="125">
        <f>SUMIFS('Expenditure Breakdown'!$U$6:$U$170, 'Expenditure Breakdown'!$T$6:$T$170, "&gt;="&amp;HH1,'Expenditure Breakdown'!$T$6:$T$170, "&lt;"&amp;HI1)</f>
        <v>0</v>
      </c>
      <c r="HI17" s="125">
        <f>SUMIFS('Expenditure Breakdown'!$U$6:$U$170, 'Expenditure Breakdown'!$T$6:$T$170, "&gt;="&amp;HI1,'Expenditure Breakdown'!$T$6:$T$170, "&lt;"&amp;HJ1)</f>
        <v>0</v>
      </c>
      <c r="HJ17" s="125">
        <f>SUMIFS('Expenditure Breakdown'!$U$6:$U$170, 'Expenditure Breakdown'!$T$6:$T$170, "&gt;="&amp;HJ1,'Expenditure Breakdown'!$T$6:$T$170, "&lt;"&amp;HK1)</f>
        <v>0</v>
      </c>
      <c r="HK17" s="125">
        <f>SUMIFS('Expenditure Breakdown'!$U$6:$U$170, 'Expenditure Breakdown'!$T$6:$T$170, "&gt;="&amp;HK1,'Expenditure Breakdown'!$T$6:$T$170, "&lt;"&amp;HL1)</f>
        <v>0</v>
      </c>
      <c r="HL17" s="125">
        <f>SUMIFS('Expenditure Breakdown'!$U$6:$U$170, 'Expenditure Breakdown'!$T$6:$T$170, "&gt;="&amp;HL1,'Expenditure Breakdown'!$T$6:$T$170, "&lt;"&amp;HM1)</f>
        <v>0</v>
      </c>
      <c r="HM17" s="125">
        <f>SUMIFS('Expenditure Breakdown'!$U$6:$U$170, 'Expenditure Breakdown'!$T$6:$T$170, "&gt;="&amp;HM1,'Expenditure Breakdown'!$T$6:$T$170, "&lt;"&amp;HN1)</f>
        <v>0</v>
      </c>
      <c r="HN17" s="125">
        <f>SUMIFS('Expenditure Breakdown'!$U$6:$U$170, 'Expenditure Breakdown'!$T$6:$T$170, "&gt;="&amp;HN1,'Expenditure Breakdown'!$T$6:$T$170, "&lt;"&amp;HO1)</f>
        <v>0</v>
      </c>
      <c r="HO17" s="125">
        <f>SUMIFS('Expenditure Breakdown'!$U$6:$U$170, 'Expenditure Breakdown'!$T$6:$T$170, "&gt;="&amp;HO1,'Expenditure Breakdown'!$T$6:$T$170, "&lt;"&amp;HP1)</f>
        <v>0</v>
      </c>
      <c r="HP17" s="125">
        <f>SUMIFS('Expenditure Breakdown'!$U$6:$U$170, 'Expenditure Breakdown'!$T$6:$T$170, "&gt;="&amp;HP1,'Expenditure Breakdown'!$T$6:$T$170, "&lt;"&amp;HQ1)</f>
        <v>0</v>
      </c>
      <c r="HQ17" s="125">
        <f>SUMIFS('Expenditure Breakdown'!$U$6:$U$170, 'Expenditure Breakdown'!$T$6:$T$170, "&gt;="&amp;HQ1,'Expenditure Breakdown'!$T$6:$T$170, "&lt;"&amp;HR1)</f>
        <v>0</v>
      </c>
      <c r="HR17" s="125">
        <f>SUMIFS('Expenditure Breakdown'!$U$6:$U$170, 'Expenditure Breakdown'!$T$6:$T$170, "&gt;="&amp;HR1,'Expenditure Breakdown'!$T$6:$T$170, "&lt;"&amp;HS1)</f>
        <v>0</v>
      </c>
      <c r="HS17" s="125">
        <f>SUMIFS('Expenditure Breakdown'!$U$6:$U$170, 'Expenditure Breakdown'!$T$6:$T$170, "&gt;="&amp;HS1,'Expenditure Breakdown'!$T$6:$T$170, "&lt;"&amp;HT1)</f>
        <v>0</v>
      </c>
      <c r="HT17" s="125">
        <f>SUMIFS('Expenditure Breakdown'!$U$6:$U$170, 'Expenditure Breakdown'!$T$6:$T$170, "&gt;="&amp;HT1,'Expenditure Breakdown'!$T$6:$T$170, "&lt;"&amp;HU1)</f>
        <v>0</v>
      </c>
      <c r="HU17" s="125">
        <f>SUMIFS('Expenditure Breakdown'!$U$6:$U$170, 'Expenditure Breakdown'!$T$6:$T$170, "&gt;="&amp;HU1,'Expenditure Breakdown'!$T$6:$T$170, "&lt;"&amp;HV1)</f>
        <v>0</v>
      </c>
      <c r="HV17" s="125">
        <f>SUMIFS('Expenditure Breakdown'!$U$6:$U$170, 'Expenditure Breakdown'!$T$6:$T$170, "&gt;="&amp;HV1,'Expenditure Breakdown'!$T$6:$T$170, "&lt;"&amp;HW1)</f>
        <v>0</v>
      </c>
      <c r="HW17" s="125">
        <f>SUMIFS('Expenditure Breakdown'!$U$6:$U$170, 'Expenditure Breakdown'!$T$6:$T$170, "&gt;="&amp;HW1,'Expenditure Breakdown'!$T$6:$T$170, "&lt;"&amp;HX1)</f>
        <v>0</v>
      </c>
      <c r="HX17" s="125">
        <f>SUMIFS('Expenditure Breakdown'!$U$6:$U$170, 'Expenditure Breakdown'!$T$6:$T$170, "&gt;="&amp;HX1,'Expenditure Breakdown'!$T$6:$T$170, "&lt;"&amp;HY1)</f>
        <v>0</v>
      </c>
      <c r="HY17" s="125">
        <f>SUMIFS('Expenditure Breakdown'!$U$6:$U$170, 'Expenditure Breakdown'!$T$6:$T$170, "&gt;="&amp;HY1,'Expenditure Breakdown'!$T$6:$T$170, "&lt;"&amp;HZ1)</f>
        <v>0</v>
      </c>
      <c r="HZ17" s="125">
        <f>SUMIFS('Expenditure Breakdown'!$U$6:$U$170, 'Expenditure Breakdown'!$T$6:$T$170, "&gt;="&amp;HZ1,'Expenditure Breakdown'!$T$6:$T$170, "&lt;"&amp;IA1)</f>
        <v>0</v>
      </c>
      <c r="IA17" s="125">
        <f>SUMIFS('Expenditure Breakdown'!$U$6:$U$170, 'Expenditure Breakdown'!$T$6:$T$170, "&gt;="&amp;IA1,'Expenditure Breakdown'!$T$6:$T$170, "&lt;"&amp;IB1)</f>
        <v>0</v>
      </c>
      <c r="IB17" s="125">
        <f>SUMIFS('Expenditure Breakdown'!$U$6:$U$170, 'Expenditure Breakdown'!$T$6:$T$170, "&gt;="&amp;IB1,'Expenditure Breakdown'!$T$6:$T$170, "&lt;"&amp;IC1)</f>
        <v>0</v>
      </c>
      <c r="IC17" s="125">
        <f>SUMIFS('Expenditure Breakdown'!$U$6:$U$170, 'Expenditure Breakdown'!$T$6:$T$170, "&gt;="&amp;IC1,'Expenditure Breakdown'!$T$6:$T$170, "&lt;"&amp;ID1)</f>
        <v>0</v>
      </c>
      <c r="ID17" s="125">
        <f>SUMIFS('Expenditure Breakdown'!$U$6:$U$170, 'Expenditure Breakdown'!$T$6:$T$170, "&gt;="&amp;ID1,'Expenditure Breakdown'!$T$6:$T$170, "&lt;"&amp;IE1)</f>
        <v>0</v>
      </c>
      <c r="IE17" s="125">
        <f>SUMIFS('Expenditure Breakdown'!$U$6:$U$170, 'Expenditure Breakdown'!$T$6:$T$170, "&gt;="&amp;IE1,'Expenditure Breakdown'!$T$6:$T$170, "&lt;"&amp;IF1)</f>
        <v>0</v>
      </c>
      <c r="IF17" s="125">
        <f>SUMIFS('Expenditure Breakdown'!$U$6:$U$170, 'Expenditure Breakdown'!$T$6:$T$170, "&gt;="&amp;IF1,'Expenditure Breakdown'!$T$6:$T$170, "&lt;"&amp;IG1)</f>
        <v>0</v>
      </c>
      <c r="IG17" s="125">
        <f>SUMIFS('Expenditure Breakdown'!$U$6:$U$170, 'Expenditure Breakdown'!$T$6:$T$170, "&gt;="&amp;IG1,'Expenditure Breakdown'!$T$6:$T$170, "&lt;"&amp;IH1)</f>
        <v>0</v>
      </c>
      <c r="IH17" s="125">
        <f>SUMIFS('Expenditure Breakdown'!$U$6:$U$170, 'Expenditure Breakdown'!$T$6:$T$170, "&gt;="&amp;IH1,'Expenditure Breakdown'!$T$6:$T$170, "&lt;"&amp;II1)</f>
        <v>0</v>
      </c>
      <c r="II17" s="125">
        <f>SUMIFS('Expenditure Breakdown'!$U$6:$U$170, 'Expenditure Breakdown'!$T$6:$T$170, "&gt;="&amp;II1,'Expenditure Breakdown'!$T$6:$T$170, "&lt;"&amp;IJ1)</f>
        <v>0</v>
      </c>
      <c r="IJ17" s="125">
        <f>SUMIFS('Expenditure Breakdown'!$U$6:$U$170, 'Expenditure Breakdown'!$T$6:$T$170, "&gt;="&amp;IJ1,'Expenditure Breakdown'!$T$6:$T$170, "&lt;"&amp;IK1)</f>
        <v>0</v>
      </c>
      <c r="IK17" s="125">
        <f>SUMIFS('Expenditure Breakdown'!$U$6:$U$170, 'Expenditure Breakdown'!$T$6:$T$170, "&gt;="&amp;IK1,'Expenditure Breakdown'!$T$6:$T$170, "&lt;"&amp;IL1)</f>
        <v>0</v>
      </c>
      <c r="IL17" s="125">
        <f>SUMIFS('Expenditure Breakdown'!$U$6:$U$170, 'Expenditure Breakdown'!$T$6:$T$170, "&gt;="&amp;IL1,'Expenditure Breakdown'!$T$6:$T$170, "&lt;"&amp;IM1)</f>
        <v>0</v>
      </c>
      <c r="IM17" s="125">
        <f>SUMIFS('Expenditure Breakdown'!$U$6:$U$170, 'Expenditure Breakdown'!$T$6:$T$170, "&gt;="&amp;IM1,'Expenditure Breakdown'!$T$6:$T$170, "&lt;"&amp;IN1)</f>
        <v>0</v>
      </c>
      <c r="IN17" s="125">
        <f>SUMIFS('Expenditure Breakdown'!$U$6:$U$170, 'Expenditure Breakdown'!$T$6:$T$170, "&gt;="&amp;IN1,'Expenditure Breakdown'!$T$6:$T$170, "&lt;"&amp;IO1)</f>
        <v>0</v>
      </c>
      <c r="IO17" s="125">
        <f>SUMIFS('Expenditure Breakdown'!$U$6:$U$170, 'Expenditure Breakdown'!$T$6:$T$170, "&gt;="&amp;IO1,'Expenditure Breakdown'!$T$6:$T$170, "&lt;"&amp;IP1)</f>
        <v>0</v>
      </c>
      <c r="IP17" s="125">
        <f>SUMIFS('Expenditure Breakdown'!$U$6:$U$170, 'Expenditure Breakdown'!$T$6:$T$170, "&gt;="&amp;IP1,'Expenditure Breakdown'!$T$6:$T$170, "&lt;"&amp;IQ1)</f>
        <v>0</v>
      </c>
      <c r="IQ17" s="125">
        <f>SUMIFS('Expenditure Breakdown'!$U$6:$U$170, 'Expenditure Breakdown'!$T$6:$T$170, "&gt;="&amp;IQ1,'Expenditure Breakdown'!$T$6:$T$170, "&lt;"&amp;IR1)</f>
        <v>0</v>
      </c>
      <c r="IR17" s="125">
        <f>SUMIFS('Expenditure Breakdown'!$U$6:$U$170, 'Expenditure Breakdown'!$T$6:$T$170, "&gt;="&amp;IR1,'Expenditure Breakdown'!$T$6:$T$170, "&lt;"&amp;IS1)</f>
        <v>0</v>
      </c>
      <c r="IS17" s="125">
        <f>SUMIFS('Expenditure Breakdown'!$U$6:$U$170, 'Expenditure Breakdown'!$T$6:$T$170, "&gt;="&amp;IS1,'Expenditure Breakdown'!$T$6:$T$170, "&lt;"&amp;IT1)</f>
        <v>0</v>
      </c>
      <c r="IT17" s="125">
        <f>SUMIFS('Expenditure Breakdown'!$U$6:$U$170, 'Expenditure Breakdown'!$T$6:$T$170, "&gt;="&amp;IT1,'Expenditure Breakdown'!$T$6:$T$170, "&lt;"&amp;IU1)</f>
        <v>0</v>
      </c>
      <c r="IU17" s="125">
        <f>SUMIFS('Expenditure Breakdown'!$U$6:$U$170, 'Expenditure Breakdown'!$T$6:$T$170, "&gt;="&amp;IU1,'Expenditure Breakdown'!$T$6:$T$170, "&lt;"&amp;IV1)</f>
        <v>0</v>
      </c>
      <c r="IV17" s="125">
        <f>SUMIFS('Expenditure Breakdown'!$U$6:$U$170, 'Expenditure Breakdown'!$T$6:$T$170, "&gt;="&amp;IV1,'Expenditure Breakdown'!$T$6:$T$170, "&lt;"&amp;IW1)</f>
        <v>0</v>
      </c>
      <c r="IW17" s="125">
        <f>SUMIFS('Expenditure Breakdown'!$U$6:$U$170, 'Expenditure Breakdown'!$T$6:$T$170, "&gt;="&amp;IW1,'Expenditure Breakdown'!$T$6:$T$170, "&lt;"&amp;IX1)</f>
        <v>0</v>
      </c>
      <c r="IX17" s="125">
        <f>SUMIFS('Expenditure Breakdown'!$U$6:$U$170, 'Expenditure Breakdown'!$T$6:$T$170, "&gt;="&amp;IX1,'Expenditure Breakdown'!$T$6:$T$170, "&lt;"&amp;IY1)</f>
        <v>0</v>
      </c>
      <c r="IY17" s="125">
        <f>SUMIFS('Expenditure Breakdown'!$U$6:$U$170, 'Expenditure Breakdown'!$T$6:$T$170, "&gt;="&amp;IY1,'Expenditure Breakdown'!$T$6:$T$170, "&lt;"&amp;IZ1)</f>
        <v>0</v>
      </c>
      <c r="IZ17" s="125">
        <f>SUMIFS('Expenditure Breakdown'!$U$6:$U$170, 'Expenditure Breakdown'!$T$6:$T$170, "&gt;="&amp;IZ1,'Expenditure Breakdown'!$T$6:$T$170, "&lt;"&amp;JA1)</f>
        <v>0</v>
      </c>
      <c r="JA17" s="125">
        <f>SUMIFS('Expenditure Breakdown'!$U$6:$U$170, 'Expenditure Breakdown'!$T$6:$T$170, "&gt;="&amp;JA1,'Expenditure Breakdown'!$T$6:$T$170, "&lt;"&amp;JB1)</f>
        <v>0</v>
      </c>
      <c r="JB17" s="125">
        <f>SUMIFS('Expenditure Breakdown'!$U$6:$U$170, 'Expenditure Breakdown'!$T$6:$T$170, "&gt;="&amp;JB1,'Expenditure Breakdown'!$T$6:$T$170, "&lt;"&amp;JC1)</f>
        <v>0</v>
      </c>
      <c r="JC17" s="125">
        <f>SUMIFS('Expenditure Breakdown'!$U$6:$U$170, 'Expenditure Breakdown'!$T$6:$T$170, "&gt;="&amp;JC1,'Expenditure Breakdown'!$T$6:$T$170, "&lt;"&amp;JD1)</f>
        <v>0</v>
      </c>
      <c r="JD17" s="125">
        <f>SUMIFS('Expenditure Breakdown'!$U$6:$U$170, 'Expenditure Breakdown'!$T$6:$T$170, "&gt;="&amp;JD1,'Expenditure Breakdown'!$T$6:$T$170, "&lt;"&amp;JE1)</f>
        <v>0</v>
      </c>
      <c r="JE17" s="125">
        <f>SUMIFS('Expenditure Breakdown'!$U$6:$U$170, 'Expenditure Breakdown'!$T$6:$T$170, "&gt;="&amp;JE1,'Expenditure Breakdown'!$T$6:$T$170, "&lt;"&amp;JF1)</f>
        <v>0</v>
      </c>
      <c r="JF17" s="125">
        <f>SUMIFS('Expenditure Breakdown'!$U$6:$U$170, 'Expenditure Breakdown'!$T$6:$T$170, "&gt;="&amp;JF1,'Expenditure Breakdown'!$T$6:$T$170, "&lt;"&amp;JG1)</f>
        <v>0</v>
      </c>
      <c r="JG17" s="125">
        <f>SUMIFS('Expenditure Breakdown'!$U$6:$U$170, 'Expenditure Breakdown'!$T$6:$T$170, "&gt;="&amp;JG1,'Expenditure Breakdown'!$T$6:$T$170, "&lt;"&amp;JH1)</f>
        <v>0</v>
      </c>
      <c r="JH17" s="125">
        <f>SUMIFS('Expenditure Breakdown'!$U$6:$U$170, 'Expenditure Breakdown'!$T$6:$T$170, "&gt;="&amp;JH1,'Expenditure Breakdown'!$T$6:$T$170, "&lt;"&amp;JI1)</f>
        <v>0</v>
      </c>
      <c r="JI17" s="125">
        <f>SUMIFS('Expenditure Breakdown'!$U$6:$U$170, 'Expenditure Breakdown'!$T$6:$T$170, "&gt;="&amp;JI1,'Expenditure Breakdown'!$T$6:$T$170, "&lt;"&amp;JJ1)</f>
        <v>0</v>
      </c>
      <c r="JJ17" s="125">
        <f>SUMIFS('Expenditure Breakdown'!$U$6:$U$170, 'Expenditure Breakdown'!$T$6:$T$170, "&gt;="&amp;JJ1,'Expenditure Breakdown'!$T$6:$T$170, "&lt;"&amp;JK1)</f>
        <v>0</v>
      </c>
      <c r="JK17" s="125">
        <f>SUMIFS('Expenditure Breakdown'!$U$6:$U$170, 'Expenditure Breakdown'!$T$6:$T$170, "&gt;="&amp;JK1,'Expenditure Breakdown'!$T$6:$T$170, "&lt;"&amp;JL1)</f>
        <v>0</v>
      </c>
      <c r="JL17" s="125">
        <f>SUMIFS('Expenditure Breakdown'!$U$6:$U$170, 'Expenditure Breakdown'!$T$6:$T$170, "&gt;="&amp;JL1,'Expenditure Breakdown'!$T$6:$T$170, "&lt;"&amp;JM1)</f>
        <v>0</v>
      </c>
      <c r="JM17" s="125">
        <f>SUMIFS('Expenditure Breakdown'!$U$6:$U$170, 'Expenditure Breakdown'!$T$6:$T$170, "&gt;="&amp;JM1,'Expenditure Breakdown'!$T$6:$T$170, "&lt;"&amp;JN1)</f>
        <v>0</v>
      </c>
      <c r="JN17" s="125">
        <f>SUMIFS('Expenditure Breakdown'!$U$6:$U$170, 'Expenditure Breakdown'!$T$6:$T$170, "&gt;="&amp;JN1,'Expenditure Breakdown'!$T$6:$T$170, "&lt;"&amp;JO1)</f>
        <v>0</v>
      </c>
      <c r="JO17" s="125">
        <f>SUMIFS('Expenditure Breakdown'!$U$6:$U$170, 'Expenditure Breakdown'!$T$6:$T$170, "&gt;="&amp;JO1,'Expenditure Breakdown'!$T$6:$T$170, "&lt;"&amp;JP1)</f>
        <v>0</v>
      </c>
      <c r="JP17" s="125">
        <f>SUMIFS('Expenditure Breakdown'!$U$6:$U$170, 'Expenditure Breakdown'!$T$6:$T$170, "&gt;="&amp;JP1,'Expenditure Breakdown'!$T$6:$T$170, "&lt;"&amp;JQ1)</f>
        <v>0</v>
      </c>
      <c r="JQ17" s="125">
        <f>SUMIFS('Expenditure Breakdown'!$U$6:$U$170, 'Expenditure Breakdown'!$T$6:$T$170, "&gt;="&amp;JQ1,'Expenditure Breakdown'!$T$6:$T$170, "&lt;"&amp;JR1)</f>
        <v>0</v>
      </c>
      <c r="JR17" s="125">
        <f>SUMIFS('Expenditure Breakdown'!$U$6:$U$170, 'Expenditure Breakdown'!$T$6:$T$170, "&gt;="&amp;JR1,'Expenditure Breakdown'!$T$6:$T$170, "&lt;"&amp;JS1)</f>
        <v>0</v>
      </c>
      <c r="JS17" s="125">
        <f>SUMIFS('Expenditure Breakdown'!$U$6:$U$170, 'Expenditure Breakdown'!$T$6:$T$170, "&gt;="&amp;JS1,'Expenditure Breakdown'!$T$6:$T$170, "&lt;"&amp;JT1)</f>
        <v>0</v>
      </c>
      <c r="JT17" s="125">
        <f>SUMIFS('Expenditure Breakdown'!$U$6:$U$170, 'Expenditure Breakdown'!$T$6:$T$170, "&gt;="&amp;JT1,'Expenditure Breakdown'!$T$6:$T$170, "&lt;"&amp;JU1)</f>
        <v>0</v>
      </c>
      <c r="JU17" s="125">
        <f>SUMIFS('Expenditure Breakdown'!$U$6:$U$170, 'Expenditure Breakdown'!$T$6:$T$170, "&gt;="&amp;JU1,'Expenditure Breakdown'!$T$6:$T$170, "&lt;"&amp;JV1)</f>
        <v>0</v>
      </c>
      <c r="JV17" s="125">
        <f>SUMIFS('Expenditure Breakdown'!$U$6:$U$170, 'Expenditure Breakdown'!$T$6:$T$170, "&gt;="&amp;JV1,'Expenditure Breakdown'!$T$6:$T$170, "&lt;"&amp;JW1)</f>
        <v>0</v>
      </c>
      <c r="JW17" s="125">
        <f>SUMIFS('Expenditure Breakdown'!$U$6:$U$170, 'Expenditure Breakdown'!$T$6:$T$170, "&gt;="&amp;JW1,'Expenditure Breakdown'!$T$6:$T$170, "&lt;"&amp;JX1)</f>
        <v>0</v>
      </c>
      <c r="JX17" s="125">
        <f>SUMIFS('Expenditure Breakdown'!$U$6:$U$170, 'Expenditure Breakdown'!$T$6:$T$170, "&gt;="&amp;JX1,'Expenditure Breakdown'!$T$6:$T$170, "&lt;"&amp;JY1)</f>
        <v>0</v>
      </c>
      <c r="JY17" s="125">
        <f>SUMIFS('Expenditure Breakdown'!$U$6:$U$170, 'Expenditure Breakdown'!$T$6:$T$170, "&gt;="&amp;JY1,'Expenditure Breakdown'!$T$6:$T$170, "&lt;"&amp;JZ1)</f>
        <v>0</v>
      </c>
      <c r="JZ17" s="125">
        <f>SUMIFS('Expenditure Breakdown'!$U$6:$U$170, 'Expenditure Breakdown'!$T$6:$T$170, "&gt;="&amp;JZ1,'Expenditure Breakdown'!$T$6:$T$170, "&lt;"&amp;KA1)</f>
        <v>0</v>
      </c>
      <c r="KA17" s="125">
        <f>SUMIFS('Expenditure Breakdown'!$U$6:$U$170, 'Expenditure Breakdown'!$T$6:$T$170, "&gt;="&amp;KA1,'Expenditure Breakdown'!$T$6:$T$170, "&lt;"&amp;KB1)</f>
        <v>0</v>
      </c>
      <c r="KB17" s="125">
        <f>SUMIFS('Expenditure Breakdown'!$U$6:$U$170, 'Expenditure Breakdown'!$T$6:$T$170, "&gt;="&amp;KB1,'Expenditure Breakdown'!$T$6:$T$170, "&lt;"&amp;KC1)</f>
        <v>0</v>
      </c>
      <c r="KC17" s="125">
        <f>SUMIFS('Expenditure Breakdown'!$U$6:$U$170, 'Expenditure Breakdown'!$T$6:$T$170, "&gt;="&amp;KC1,'Expenditure Breakdown'!$T$6:$T$170, "&lt;"&amp;KD1)</f>
        <v>0</v>
      </c>
      <c r="KD17" s="125">
        <f>SUMIFS('Expenditure Breakdown'!$U$6:$U$170, 'Expenditure Breakdown'!$T$6:$T$170, "&gt;="&amp;KD1,'Expenditure Breakdown'!$T$6:$T$170, "&lt;"&amp;KE1)</f>
        <v>0</v>
      </c>
      <c r="KE17" s="125">
        <f>SUMIFS('Expenditure Breakdown'!$U$6:$U$170, 'Expenditure Breakdown'!$T$6:$T$170, "&gt;="&amp;KE1,'Expenditure Breakdown'!$T$6:$T$170, "&lt;"&amp;KF1)</f>
        <v>0</v>
      </c>
      <c r="KF17" s="125">
        <f>SUMIFS('Expenditure Breakdown'!$U$6:$U$170, 'Expenditure Breakdown'!$T$6:$T$170, "&gt;="&amp;KF1,'Expenditure Breakdown'!$T$6:$T$170, "&lt;"&amp;#REF!)</f>
        <v>0</v>
      </c>
    </row>
    <row r="18" spans="1:292">
      <c r="A18" s="746"/>
      <c r="B18" s="106" t="s">
        <v>425</v>
      </c>
      <c r="C18" s="275">
        <f>D17-D18</f>
        <v>0</v>
      </c>
      <c r="D18" s="107">
        <f>MAX(F18:KF18)</f>
        <v>1862868.0343529526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1570188.0108846696</v>
      </c>
      <c r="V18" s="125">
        <f t="shared" si="37"/>
        <v>1570188.0108846696</v>
      </c>
      <c r="W18" s="125">
        <f t="shared" si="37"/>
        <v>1570188.0108846696</v>
      </c>
      <c r="X18" s="125">
        <f t="shared" si="37"/>
        <v>1570188.0108846696</v>
      </c>
      <c r="Y18" s="125">
        <f t="shared" si="37"/>
        <v>1570188.0108846696</v>
      </c>
      <c r="Z18" s="125">
        <f t="shared" si="37"/>
        <v>1852629.4876559218</v>
      </c>
      <c r="AA18" s="125">
        <f t="shared" si="37"/>
        <v>1852629.4876559218</v>
      </c>
      <c r="AB18" s="125">
        <f t="shared" si="37"/>
        <v>1852629.4876559218</v>
      </c>
      <c r="AC18" s="125">
        <f t="shared" si="37"/>
        <v>1852629.4876559218</v>
      </c>
      <c r="AD18" s="125">
        <f>AC18+AD17</f>
        <v>1862868.0343529526</v>
      </c>
      <c r="AE18" s="125">
        <f t="shared" si="37"/>
        <v>1862868.0343529526</v>
      </c>
      <c r="AF18" s="125">
        <f t="shared" si="37"/>
        <v>1862868.0343529526</v>
      </c>
      <c r="AG18" s="125">
        <f t="shared" si="37"/>
        <v>1862868.0343529526</v>
      </c>
      <c r="AH18" s="125">
        <f t="shared" si="37"/>
        <v>1862868.0343529526</v>
      </c>
      <c r="AI18" s="125">
        <f t="shared" si="37"/>
        <v>1862868.0343529526</v>
      </c>
      <c r="AJ18" s="125">
        <f t="shared" si="37"/>
        <v>1862868.0343529526</v>
      </c>
      <c r="AK18" s="125">
        <f t="shared" si="37"/>
        <v>1862868.0343529526</v>
      </c>
      <c r="AL18" s="125">
        <f t="shared" si="37"/>
        <v>1862868.0343529526</v>
      </c>
      <c r="AM18" s="125">
        <f t="shared" si="37"/>
        <v>1862868.0343529526</v>
      </c>
      <c r="AN18" s="125">
        <f t="shared" si="37"/>
        <v>1862868.0343529526</v>
      </c>
      <c r="AO18" s="125">
        <f t="shared" si="37"/>
        <v>1862868.0343529526</v>
      </c>
      <c r="AP18" s="125">
        <f t="shared" si="37"/>
        <v>1862868.0343529526</v>
      </c>
      <c r="AQ18" s="125">
        <f t="shared" si="37"/>
        <v>1862868.0343529526</v>
      </c>
      <c r="AR18" s="125">
        <f t="shared" si="37"/>
        <v>1862868.0343529526</v>
      </c>
      <c r="AS18" s="125">
        <f t="shared" si="37"/>
        <v>1862868.0343529526</v>
      </c>
      <c r="AT18" s="125">
        <f t="shared" si="37"/>
        <v>1862868.0343529526</v>
      </c>
      <c r="AU18" s="125">
        <f t="shared" si="37"/>
        <v>1862868.0343529526</v>
      </c>
      <c r="AV18" s="125">
        <f t="shared" si="37"/>
        <v>1862868.0343529526</v>
      </c>
      <c r="AW18" s="125">
        <f t="shared" si="37"/>
        <v>1862868.0343529526</v>
      </c>
      <c r="AX18" s="125">
        <f t="shared" si="37"/>
        <v>1862868.0343529526</v>
      </c>
      <c r="AY18" s="125">
        <f t="shared" si="37"/>
        <v>1862868.0343529526</v>
      </c>
      <c r="AZ18" s="125">
        <f t="shared" si="37"/>
        <v>1862868.0343529526</v>
      </c>
      <c r="BA18" s="125">
        <f t="shared" si="37"/>
        <v>1862868.0343529526</v>
      </c>
      <c r="BB18" s="125">
        <f t="shared" si="37"/>
        <v>1862868.0343529526</v>
      </c>
      <c r="BC18" s="125">
        <f t="shared" si="37"/>
        <v>1862868.0343529526</v>
      </c>
      <c r="BD18" s="125">
        <f t="shared" si="37"/>
        <v>1862868.0343529526</v>
      </c>
      <c r="BE18" s="125">
        <f t="shared" si="37"/>
        <v>1862868.0343529526</v>
      </c>
      <c r="BF18" s="125">
        <f t="shared" si="37"/>
        <v>1862868.0343529526</v>
      </c>
      <c r="BG18" s="125">
        <f t="shared" si="37"/>
        <v>1862868.0343529526</v>
      </c>
      <c r="BH18" s="125">
        <f t="shared" si="37"/>
        <v>1862868.0343529526</v>
      </c>
      <c r="BI18" s="125">
        <f t="shared" si="37"/>
        <v>1862868.0343529526</v>
      </c>
      <c r="BJ18" s="125">
        <f t="shared" si="37"/>
        <v>1862868.0343529526</v>
      </c>
      <c r="BK18" s="125">
        <f t="shared" si="37"/>
        <v>1862868.0343529526</v>
      </c>
      <c r="BL18" s="125">
        <f t="shared" si="37"/>
        <v>1862868.0343529526</v>
      </c>
      <c r="BM18" s="125">
        <f t="shared" si="37"/>
        <v>1862868.0343529526</v>
      </c>
      <c r="BN18" s="125">
        <f t="shared" si="37"/>
        <v>1862868.0343529526</v>
      </c>
      <c r="BO18" s="125">
        <f t="shared" si="37"/>
        <v>1862868.0343529526</v>
      </c>
      <c r="BP18" s="125">
        <f t="shared" si="37"/>
        <v>1862868.0343529526</v>
      </c>
      <c r="BQ18" s="125">
        <f t="shared" si="37"/>
        <v>1862868.0343529526</v>
      </c>
      <c r="BR18" s="125">
        <f t="shared" si="37"/>
        <v>1862868.0343529526</v>
      </c>
      <c r="BS18" s="125">
        <f t="shared" si="37"/>
        <v>1862868.0343529526</v>
      </c>
      <c r="BT18" s="125">
        <f t="shared" si="37"/>
        <v>1862868.0343529526</v>
      </c>
      <c r="BU18" s="125">
        <f t="shared" ref="BU18:EF18" si="38">BT18+BU17</f>
        <v>1862868.0343529526</v>
      </c>
      <c r="BV18" s="125">
        <f t="shared" si="38"/>
        <v>1862868.0343529526</v>
      </c>
      <c r="BW18" s="125">
        <f t="shared" si="38"/>
        <v>1862868.0343529526</v>
      </c>
      <c r="BX18" s="125">
        <f t="shared" si="38"/>
        <v>1862868.0343529526</v>
      </c>
      <c r="BY18" s="125">
        <f t="shared" si="38"/>
        <v>1862868.0343529526</v>
      </c>
      <c r="BZ18" s="125">
        <f t="shared" si="38"/>
        <v>1862868.0343529526</v>
      </c>
      <c r="CA18" s="125">
        <f t="shared" si="38"/>
        <v>1862868.0343529526</v>
      </c>
      <c r="CB18" s="125">
        <f t="shared" si="38"/>
        <v>1862868.0343529526</v>
      </c>
      <c r="CC18" s="125">
        <f t="shared" si="38"/>
        <v>1862868.0343529526</v>
      </c>
      <c r="CD18" s="125">
        <f t="shared" si="38"/>
        <v>1862868.0343529526</v>
      </c>
      <c r="CE18" s="125">
        <f t="shared" si="38"/>
        <v>1862868.0343529526</v>
      </c>
      <c r="CF18" s="125">
        <f t="shared" si="38"/>
        <v>1862868.0343529526</v>
      </c>
      <c r="CG18" s="125">
        <f t="shared" si="38"/>
        <v>1862868.0343529526</v>
      </c>
      <c r="CH18" s="125">
        <f t="shared" si="38"/>
        <v>1862868.0343529526</v>
      </c>
      <c r="CI18" s="125">
        <f t="shared" si="38"/>
        <v>1862868.0343529526</v>
      </c>
      <c r="CJ18" s="125">
        <f t="shared" si="38"/>
        <v>1862868.0343529526</v>
      </c>
      <c r="CK18" s="125">
        <f t="shared" si="38"/>
        <v>1862868.0343529526</v>
      </c>
      <c r="CL18" s="125">
        <f t="shared" si="38"/>
        <v>1862868.0343529526</v>
      </c>
      <c r="CM18" s="125">
        <f t="shared" si="38"/>
        <v>1862868.0343529526</v>
      </c>
      <c r="CN18" s="125">
        <f t="shared" si="38"/>
        <v>1862868.0343529526</v>
      </c>
      <c r="CO18" s="125">
        <f t="shared" si="38"/>
        <v>1862868.0343529526</v>
      </c>
      <c r="CP18" s="125">
        <f t="shared" si="38"/>
        <v>1862868.0343529526</v>
      </c>
      <c r="CQ18" s="125">
        <f t="shared" si="38"/>
        <v>1862868.0343529526</v>
      </c>
      <c r="CR18" s="125">
        <f t="shared" si="38"/>
        <v>1862868.0343529526</v>
      </c>
      <c r="CS18" s="125">
        <f t="shared" si="38"/>
        <v>1862868.0343529526</v>
      </c>
      <c r="CT18" s="125">
        <f t="shared" si="38"/>
        <v>1862868.0343529526</v>
      </c>
      <c r="CU18" s="125">
        <f t="shared" si="38"/>
        <v>1862868.0343529526</v>
      </c>
      <c r="CV18" s="125">
        <f t="shared" si="38"/>
        <v>1862868.0343529526</v>
      </c>
      <c r="CW18" s="125">
        <f t="shared" si="38"/>
        <v>1862868.0343529526</v>
      </c>
      <c r="CX18" s="125">
        <f t="shared" si="38"/>
        <v>1862868.0343529526</v>
      </c>
      <c r="CY18" s="125">
        <f t="shared" si="38"/>
        <v>1862868.0343529526</v>
      </c>
      <c r="CZ18" s="125">
        <f t="shared" si="38"/>
        <v>1862868.0343529526</v>
      </c>
      <c r="DA18" s="125">
        <f t="shared" si="38"/>
        <v>1862868.0343529526</v>
      </c>
      <c r="DB18" s="125">
        <f t="shared" si="38"/>
        <v>1862868.0343529526</v>
      </c>
      <c r="DC18" s="125">
        <f t="shared" si="38"/>
        <v>1862868.0343529526</v>
      </c>
      <c r="DD18" s="125">
        <f t="shared" si="38"/>
        <v>1862868.0343529526</v>
      </c>
      <c r="DE18" s="125">
        <f t="shared" si="38"/>
        <v>1862868.0343529526</v>
      </c>
      <c r="DF18" s="125">
        <f t="shared" si="38"/>
        <v>1862868.0343529526</v>
      </c>
      <c r="DG18" s="125">
        <f t="shared" si="38"/>
        <v>1862868.0343529526</v>
      </c>
      <c r="DH18" s="125">
        <f t="shared" si="38"/>
        <v>1862868.0343529526</v>
      </c>
      <c r="DI18" s="125">
        <f t="shared" si="38"/>
        <v>1862868.0343529526</v>
      </c>
      <c r="DJ18" s="125">
        <f t="shared" si="38"/>
        <v>1862868.0343529526</v>
      </c>
      <c r="DK18" s="125">
        <f t="shared" si="38"/>
        <v>1862868.0343529526</v>
      </c>
      <c r="DL18" s="125">
        <f t="shared" si="38"/>
        <v>1862868.0343529526</v>
      </c>
      <c r="DM18" s="125">
        <f t="shared" si="38"/>
        <v>1862868.0343529526</v>
      </c>
      <c r="DN18" s="125">
        <f t="shared" si="38"/>
        <v>1862868.0343529526</v>
      </c>
      <c r="DO18" s="125">
        <f t="shared" si="38"/>
        <v>1862868.0343529526</v>
      </c>
      <c r="DP18" s="125">
        <f t="shared" si="38"/>
        <v>1862868.0343529526</v>
      </c>
      <c r="DQ18" s="125">
        <f t="shared" si="38"/>
        <v>1862868.0343529526</v>
      </c>
      <c r="DR18" s="125">
        <f t="shared" si="38"/>
        <v>1862868.0343529526</v>
      </c>
      <c r="DS18" s="125">
        <f t="shared" si="38"/>
        <v>1862868.0343529526</v>
      </c>
      <c r="DT18" s="125">
        <f t="shared" si="38"/>
        <v>1862868.0343529526</v>
      </c>
      <c r="DU18" s="125">
        <f t="shared" si="38"/>
        <v>1862868.0343529526</v>
      </c>
      <c r="DV18" s="125">
        <f t="shared" si="38"/>
        <v>1862868.0343529526</v>
      </c>
      <c r="DW18" s="125">
        <f t="shared" si="38"/>
        <v>1862868.0343529526</v>
      </c>
      <c r="DX18" s="125">
        <f t="shared" si="38"/>
        <v>1862868.0343529526</v>
      </c>
      <c r="DY18" s="125">
        <f t="shared" si="38"/>
        <v>1862868.0343529526</v>
      </c>
      <c r="DZ18" s="125">
        <f t="shared" si="38"/>
        <v>1862868.0343529526</v>
      </c>
      <c r="EA18" s="125">
        <f t="shared" si="38"/>
        <v>1862868.0343529526</v>
      </c>
      <c r="EB18" s="125">
        <f t="shared" si="38"/>
        <v>1862868.0343529526</v>
      </c>
      <c r="EC18" s="125">
        <f t="shared" si="38"/>
        <v>1862868.0343529526</v>
      </c>
      <c r="ED18" s="125">
        <f t="shared" si="38"/>
        <v>1862868.0343529526</v>
      </c>
      <c r="EE18" s="125">
        <f t="shared" si="38"/>
        <v>1862868.0343529526</v>
      </c>
      <c r="EF18" s="125">
        <f t="shared" si="38"/>
        <v>1862868.0343529526</v>
      </c>
      <c r="EG18" s="125">
        <f t="shared" ref="EG18:GR18" si="39">EF18+EG17</f>
        <v>1862868.0343529526</v>
      </c>
      <c r="EH18" s="125">
        <f t="shared" si="39"/>
        <v>1862868.0343529526</v>
      </c>
      <c r="EI18" s="125">
        <f t="shared" si="39"/>
        <v>1862868.0343529526</v>
      </c>
      <c r="EJ18" s="125">
        <f t="shared" si="39"/>
        <v>1862868.0343529526</v>
      </c>
      <c r="EK18" s="125">
        <f t="shared" si="39"/>
        <v>1862868.0343529526</v>
      </c>
      <c r="EL18" s="125">
        <f t="shared" si="39"/>
        <v>1862868.0343529526</v>
      </c>
      <c r="EM18" s="125">
        <f t="shared" si="39"/>
        <v>1862868.0343529526</v>
      </c>
      <c r="EN18" s="125">
        <f t="shared" si="39"/>
        <v>1862868.0343529526</v>
      </c>
      <c r="EO18" s="125">
        <f t="shared" si="39"/>
        <v>1862868.0343529526</v>
      </c>
      <c r="EP18" s="125">
        <f t="shared" si="39"/>
        <v>1862868.0343529526</v>
      </c>
      <c r="EQ18" s="125">
        <f t="shared" si="39"/>
        <v>1862868.0343529526</v>
      </c>
      <c r="ER18" s="125">
        <f t="shared" si="39"/>
        <v>1862868.0343529526</v>
      </c>
      <c r="ES18" s="125">
        <f t="shared" si="39"/>
        <v>1862868.0343529526</v>
      </c>
      <c r="ET18" s="125">
        <f t="shared" si="39"/>
        <v>1862868.0343529526</v>
      </c>
      <c r="EU18" s="125">
        <f t="shared" si="39"/>
        <v>1862868.0343529526</v>
      </c>
      <c r="EV18" s="125">
        <f t="shared" si="39"/>
        <v>1862868.0343529526</v>
      </c>
      <c r="EW18" s="125">
        <f t="shared" si="39"/>
        <v>1862868.0343529526</v>
      </c>
      <c r="EX18" s="125">
        <f t="shared" si="39"/>
        <v>1862868.0343529526</v>
      </c>
      <c r="EY18" s="125">
        <f t="shared" si="39"/>
        <v>1862868.0343529526</v>
      </c>
      <c r="EZ18" s="125">
        <f t="shared" si="39"/>
        <v>1862868.0343529526</v>
      </c>
      <c r="FA18" s="125">
        <f t="shared" si="39"/>
        <v>1862868.0343529526</v>
      </c>
      <c r="FB18" s="125">
        <f t="shared" si="39"/>
        <v>1862868.0343529526</v>
      </c>
      <c r="FC18" s="125">
        <f t="shared" si="39"/>
        <v>1862868.0343529526</v>
      </c>
      <c r="FD18" s="125">
        <f t="shared" si="39"/>
        <v>1862868.0343529526</v>
      </c>
      <c r="FE18" s="125">
        <f t="shared" si="39"/>
        <v>1862868.0343529526</v>
      </c>
      <c r="FF18" s="125">
        <f t="shared" si="39"/>
        <v>1862868.0343529526</v>
      </c>
      <c r="FG18" s="125">
        <f t="shared" si="39"/>
        <v>1862868.0343529526</v>
      </c>
      <c r="FH18" s="125">
        <f t="shared" si="39"/>
        <v>1862868.0343529526</v>
      </c>
      <c r="FI18" s="125">
        <f t="shared" si="39"/>
        <v>1862868.0343529526</v>
      </c>
      <c r="FJ18" s="125">
        <f t="shared" si="39"/>
        <v>1862868.0343529526</v>
      </c>
      <c r="FK18" s="125">
        <f t="shared" si="39"/>
        <v>1862868.0343529526</v>
      </c>
      <c r="FL18" s="125">
        <f t="shared" si="39"/>
        <v>1862868.0343529526</v>
      </c>
      <c r="FM18" s="125">
        <f t="shared" si="39"/>
        <v>1862868.0343529526</v>
      </c>
      <c r="FN18" s="125">
        <f t="shared" si="39"/>
        <v>1862868.0343529526</v>
      </c>
      <c r="FO18" s="125">
        <f t="shared" si="39"/>
        <v>1862868.0343529526</v>
      </c>
      <c r="FP18" s="125">
        <f t="shared" si="39"/>
        <v>1862868.0343529526</v>
      </c>
      <c r="FQ18" s="125">
        <f t="shared" si="39"/>
        <v>1862868.0343529526</v>
      </c>
      <c r="FR18" s="125">
        <f t="shared" si="39"/>
        <v>1862868.0343529526</v>
      </c>
      <c r="FS18" s="125">
        <f t="shared" si="39"/>
        <v>1862868.0343529526</v>
      </c>
      <c r="FT18" s="125">
        <f t="shared" si="39"/>
        <v>1862868.0343529526</v>
      </c>
      <c r="FU18" s="125">
        <f t="shared" si="39"/>
        <v>1862868.0343529526</v>
      </c>
      <c r="FV18" s="125">
        <f t="shared" si="39"/>
        <v>1862868.0343529526</v>
      </c>
      <c r="FW18" s="125">
        <f t="shared" si="39"/>
        <v>1862868.0343529526</v>
      </c>
      <c r="FX18" s="125">
        <f t="shared" si="39"/>
        <v>1862868.0343529526</v>
      </c>
      <c r="FY18" s="125">
        <f t="shared" si="39"/>
        <v>1862868.0343529526</v>
      </c>
      <c r="FZ18" s="125">
        <f t="shared" si="39"/>
        <v>1862868.0343529526</v>
      </c>
      <c r="GA18" s="125">
        <f t="shared" si="39"/>
        <v>1862868.0343529526</v>
      </c>
      <c r="GB18" s="125">
        <f t="shared" si="39"/>
        <v>1862868.0343529526</v>
      </c>
      <c r="GC18" s="125">
        <f t="shared" si="39"/>
        <v>1862868.0343529526</v>
      </c>
      <c r="GD18" s="125">
        <f t="shared" si="39"/>
        <v>1862868.0343529526</v>
      </c>
      <c r="GE18" s="125">
        <f t="shared" si="39"/>
        <v>1862868.0343529526</v>
      </c>
      <c r="GF18" s="125">
        <f t="shared" si="39"/>
        <v>1862868.0343529526</v>
      </c>
      <c r="GG18" s="125">
        <f t="shared" si="39"/>
        <v>1862868.0343529526</v>
      </c>
      <c r="GH18" s="125">
        <f t="shared" si="39"/>
        <v>1862868.0343529526</v>
      </c>
      <c r="GI18" s="125">
        <f t="shared" si="39"/>
        <v>1862868.0343529526</v>
      </c>
      <c r="GJ18" s="125">
        <f t="shared" si="39"/>
        <v>1862868.0343529526</v>
      </c>
      <c r="GK18" s="125">
        <f t="shared" si="39"/>
        <v>1862868.0343529526</v>
      </c>
      <c r="GL18" s="125">
        <f t="shared" si="39"/>
        <v>1862868.0343529526</v>
      </c>
      <c r="GM18" s="125">
        <f t="shared" si="39"/>
        <v>1862868.0343529526</v>
      </c>
      <c r="GN18" s="125">
        <f t="shared" si="39"/>
        <v>1862868.0343529526</v>
      </c>
      <c r="GO18" s="125">
        <f t="shared" si="39"/>
        <v>1862868.0343529526</v>
      </c>
      <c r="GP18" s="125">
        <f t="shared" si="39"/>
        <v>1862868.0343529526</v>
      </c>
      <c r="GQ18" s="125">
        <f t="shared" si="39"/>
        <v>1862868.0343529526</v>
      </c>
      <c r="GR18" s="125">
        <f t="shared" si="39"/>
        <v>1862868.0343529526</v>
      </c>
      <c r="GS18" s="125">
        <f t="shared" ref="GS18:JD18" si="40">GR18+GS17</f>
        <v>1862868.0343529526</v>
      </c>
      <c r="GT18" s="125">
        <f t="shared" si="40"/>
        <v>1862868.0343529526</v>
      </c>
      <c r="GU18" s="125">
        <f t="shared" si="40"/>
        <v>1862868.0343529526</v>
      </c>
      <c r="GV18" s="125">
        <f t="shared" si="40"/>
        <v>1862868.0343529526</v>
      </c>
      <c r="GW18" s="125">
        <f t="shared" si="40"/>
        <v>1862868.0343529526</v>
      </c>
      <c r="GX18" s="125">
        <f t="shared" si="40"/>
        <v>1862868.0343529526</v>
      </c>
      <c r="GY18" s="125">
        <f t="shared" si="40"/>
        <v>1862868.0343529526</v>
      </c>
      <c r="GZ18" s="125">
        <f t="shared" si="40"/>
        <v>1862868.0343529526</v>
      </c>
      <c r="HA18" s="125">
        <f t="shared" si="40"/>
        <v>1862868.0343529526</v>
      </c>
      <c r="HB18" s="125">
        <f t="shared" si="40"/>
        <v>1862868.0343529526</v>
      </c>
      <c r="HC18" s="125">
        <f t="shared" si="40"/>
        <v>1862868.0343529526</v>
      </c>
      <c r="HD18" s="125">
        <f t="shared" si="40"/>
        <v>1862868.0343529526</v>
      </c>
      <c r="HE18" s="125">
        <f t="shared" si="40"/>
        <v>1862868.0343529526</v>
      </c>
      <c r="HF18" s="125">
        <f t="shared" si="40"/>
        <v>1862868.0343529526</v>
      </c>
      <c r="HG18" s="125">
        <f t="shared" si="40"/>
        <v>1862868.0343529526</v>
      </c>
      <c r="HH18" s="125">
        <f t="shared" si="40"/>
        <v>1862868.0343529526</v>
      </c>
      <c r="HI18" s="125">
        <f t="shared" si="40"/>
        <v>1862868.0343529526</v>
      </c>
      <c r="HJ18" s="125">
        <f t="shared" si="40"/>
        <v>1862868.0343529526</v>
      </c>
      <c r="HK18" s="125">
        <f t="shared" si="40"/>
        <v>1862868.0343529526</v>
      </c>
      <c r="HL18" s="125">
        <f t="shared" si="40"/>
        <v>1862868.0343529526</v>
      </c>
      <c r="HM18" s="125">
        <f t="shared" si="40"/>
        <v>1862868.0343529526</v>
      </c>
      <c r="HN18" s="125">
        <f t="shared" si="40"/>
        <v>1862868.0343529526</v>
      </c>
      <c r="HO18" s="125">
        <f t="shared" si="40"/>
        <v>1862868.0343529526</v>
      </c>
      <c r="HP18" s="125">
        <f t="shared" si="40"/>
        <v>1862868.0343529526</v>
      </c>
      <c r="HQ18" s="125">
        <f t="shared" si="40"/>
        <v>1862868.0343529526</v>
      </c>
      <c r="HR18" s="125">
        <f t="shared" si="40"/>
        <v>1862868.0343529526</v>
      </c>
      <c r="HS18" s="125">
        <f t="shared" si="40"/>
        <v>1862868.0343529526</v>
      </c>
      <c r="HT18" s="125">
        <f t="shared" si="40"/>
        <v>1862868.0343529526</v>
      </c>
      <c r="HU18" s="125">
        <f t="shared" si="40"/>
        <v>1862868.0343529526</v>
      </c>
      <c r="HV18" s="125">
        <f t="shared" si="40"/>
        <v>1862868.0343529526</v>
      </c>
      <c r="HW18" s="125">
        <f t="shared" si="40"/>
        <v>1862868.0343529526</v>
      </c>
      <c r="HX18" s="125">
        <f t="shared" si="40"/>
        <v>1862868.0343529526</v>
      </c>
      <c r="HY18" s="125">
        <f t="shared" si="40"/>
        <v>1862868.0343529526</v>
      </c>
      <c r="HZ18" s="125">
        <f t="shared" si="40"/>
        <v>1862868.0343529526</v>
      </c>
      <c r="IA18" s="125">
        <f t="shared" si="40"/>
        <v>1862868.0343529526</v>
      </c>
      <c r="IB18" s="125">
        <f t="shared" si="40"/>
        <v>1862868.0343529526</v>
      </c>
      <c r="IC18" s="125">
        <f t="shared" si="40"/>
        <v>1862868.0343529526</v>
      </c>
      <c r="ID18" s="125">
        <f t="shared" si="40"/>
        <v>1862868.0343529526</v>
      </c>
      <c r="IE18" s="125">
        <f t="shared" si="40"/>
        <v>1862868.0343529526</v>
      </c>
      <c r="IF18" s="125">
        <f t="shared" si="40"/>
        <v>1862868.0343529526</v>
      </c>
      <c r="IG18" s="125">
        <f t="shared" si="40"/>
        <v>1862868.0343529526</v>
      </c>
      <c r="IH18" s="125">
        <f t="shared" si="40"/>
        <v>1862868.0343529526</v>
      </c>
      <c r="II18" s="125">
        <f t="shared" si="40"/>
        <v>1862868.0343529526</v>
      </c>
      <c r="IJ18" s="125">
        <f t="shared" si="40"/>
        <v>1862868.0343529526</v>
      </c>
      <c r="IK18" s="125">
        <f t="shared" si="40"/>
        <v>1862868.0343529526</v>
      </c>
      <c r="IL18" s="125">
        <f t="shared" si="40"/>
        <v>1862868.0343529526</v>
      </c>
      <c r="IM18" s="125">
        <f t="shared" si="40"/>
        <v>1862868.0343529526</v>
      </c>
      <c r="IN18" s="125">
        <f t="shared" si="40"/>
        <v>1862868.0343529526</v>
      </c>
      <c r="IO18" s="125">
        <f t="shared" si="40"/>
        <v>1862868.0343529526</v>
      </c>
      <c r="IP18" s="125">
        <f t="shared" si="40"/>
        <v>1862868.0343529526</v>
      </c>
      <c r="IQ18" s="125">
        <f t="shared" si="40"/>
        <v>1862868.0343529526</v>
      </c>
      <c r="IR18" s="125">
        <f t="shared" si="40"/>
        <v>1862868.0343529526</v>
      </c>
      <c r="IS18" s="125">
        <f t="shared" si="40"/>
        <v>1862868.0343529526</v>
      </c>
      <c r="IT18" s="125">
        <f t="shared" si="40"/>
        <v>1862868.0343529526</v>
      </c>
      <c r="IU18" s="125">
        <f t="shared" si="40"/>
        <v>1862868.0343529526</v>
      </c>
      <c r="IV18" s="125">
        <f t="shared" si="40"/>
        <v>1862868.0343529526</v>
      </c>
      <c r="IW18" s="125">
        <f t="shared" si="40"/>
        <v>1862868.0343529526</v>
      </c>
      <c r="IX18" s="125">
        <f t="shared" si="40"/>
        <v>1862868.0343529526</v>
      </c>
      <c r="IY18" s="125">
        <f t="shared" si="40"/>
        <v>1862868.0343529526</v>
      </c>
      <c r="IZ18" s="125">
        <f t="shared" si="40"/>
        <v>1862868.0343529526</v>
      </c>
      <c r="JA18" s="125">
        <f t="shared" si="40"/>
        <v>1862868.0343529526</v>
      </c>
      <c r="JB18" s="125">
        <f t="shared" si="40"/>
        <v>1862868.0343529526</v>
      </c>
      <c r="JC18" s="125">
        <f t="shared" si="40"/>
        <v>1862868.0343529526</v>
      </c>
      <c r="JD18" s="125">
        <f t="shared" si="40"/>
        <v>1862868.0343529526</v>
      </c>
      <c r="JE18" s="125">
        <f t="shared" ref="JE18:KF18" si="41">JD18+JE17</f>
        <v>1862868.0343529526</v>
      </c>
      <c r="JF18" s="125">
        <f t="shared" si="41"/>
        <v>1862868.0343529526</v>
      </c>
      <c r="JG18" s="125">
        <f t="shared" si="41"/>
        <v>1862868.0343529526</v>
      </c>
      <c r="JH18" s="125">
        <f t="shared" si="41"/>
        <v>1862868.0343529526</v>
      </c>
      <c r="JI18" s="125">
        <f t="shared" si="41"/>
        <v>1862868.0343529526</v>
      </c>
      <c r="JJ18" s="125">
        <f t="shared" si="41"/>
        <v>1862868.0343529526</v>
      </c>
      <c r="JK18" s="125">
        <f t="shared" si="41"/>
        <v>1862868.0343529526</v>
      </c>
      <c r="JL18" s="125">
        <f t="shared" si="41"/>
        <v>1862868.0343529526</v>
      </c>
      <c r="JM18" s="125">
        <f t="shared" si="41"/>
        <v>1862868.0343529526</v>
      </c>
      <c r="JN18" s="125">
        <f t="shared" si="41"/>
        <v>1862868.0343529526</v>
      </c>
      <c r="JO18" s="125">
        <f t="shared" si="41"/>
        <v>1862868.0343529526</v>
      </c>
      <c r="JP18" s="125">
        <f t="shared" si="41"/>
        <v>1862868.0343529526</v>
      </c>
      <c r="JQ18" s="125">
        <f t="shared" si="41"/>
        <v>1862868.0343529526</v>
      </c>
      <c r="JR18" s="125">
        <f t="shared" si="41"/>
        <v>1862868.0343529526</v>
      </c>
      <c r="JS18" s="125">
        <f t="shared" si="41"/>
        <v>1862868.0343529526</v>
      </c>
      <c r="JT18" s="125">
        <f t="shared" si="41"/>
        <v>1862868.0343529526</v>
      </c>
      <c r="JU18" s="125">
        <f t="shared" si="41"/>
        <v>1862868.0343529526</v>
      </c>
      <c r="JV18" s="125">
        <f t="shared" si="41"/>
        <v>1862868.0343529526</v>
      </c>
      <c r="JW18" s="125">
        <f t="shared" si="41"/>
        <v>1862868.0343529526</v>
      </c>
      <c r="JX18" s="125">
        <f t="shared" si="41"/>
        <v>1862868.0343529526</v>
      </c>
      <c r="JY18" s="125">
        <f t="shared" si="41"/>
        <v>1862868.0343529526</v>
      </c>
      <c r="JZ18" s="125">
        <f t="shared" si="41"/>
        <v>1862868.0343529526</v>
      </c>
      <c r="KA18" s="125">
        <f t="shared" si="41"/>
        <v>1862868.0343529526</v>
      </c>
      <c r="KB18" s="125">
        <f t="shared" si="41"/>
        <v>1862868.0343529526</v>
      </c>
      <c r="KC18" s="125">
        <f t="shared" si="41"/>
        <v>1862868.0343529526</v>
      </c>
      <c r="KD18" s="125">
        <f t="shared" si="41"/>
        <v>1862868.0343529526</v>
      </c>
      <c r="KE18" s="125">
        <f t="shared" si="41"/>
        <v>1862868.0343529526</v>
      </c>
      <c r="KF18" s="125">
        <f t="shared" si="41"/>
        <v>1862868.0343529526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453125" defaultRowHeight="14.5"/>
  <cols>
    <col min="1" max="1" width="37.453125" style="269" bestFit="1" customWidth="1"/>
    <col min="2" max="2" width="15.54296875" style="270" bestFit="1" customWidth="1"/>
    <col min="3" max="3" width="11.54296875" style="269" bestFit="1" customWidth="1"/>
    <col min="4" max="4" width="10.81640625" style="269" bestFit="1" customWidth="1"/>
    <col min="5" max="5" width="6.1796875" style="269" bestFit="1" customWidth="1"/>
    <col min="6" max="6" width="14.453125" style="269" bestFit="1" customWidth="1"/>
    <col min="7" max="8" width="12.54296875" style="269" bestFit="1" customWidth="1"/>
    <col min="9" max="9" width="11.54296875" style="269" bestFit="1" customWidth="1"/>
    <col min="10" max="10" width="12.54296875" style="269" bestFit="1" customWidth="1"/>
    <col min="11" max="11" width="14.453125" style="269" bestFit="1" customWidth="1"/>
    <col min="12" max="12" width="6.453125" style="269" bestFit="1" customWidth="1"/>
    <col min="13" max="13" width="14.453125" style="269" bestFit="1" customWidth="1"/>
    <col min="14" max="14" width="13.54296875" style="269" bestFit="1" customWidth="1"/>
    <col min="15" max="18" width="11.453125" style="269" bestFit="1" customWidth="1"/>
    <col min="19" max="19" width="13.54296875" style="269" bestFit="1" customWidth="1"/>
    <col min="20" max="16384" width="12.453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426</v>
      </c>
      <c r="B3" s="540" t="s">
        <v>427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428</v>
      </c>
      <c r="B4" t="s">
        <v>429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430</v>
      </c>
      <c r="L4"/>
      <c r="M4"/>
      <c r="N4"/>
      <c r="O4"/>
      <c r="P4"/>
      <c r="Q4"/>
      <c r="R4"/>
      <c r="S4"/>
      <c r="T4"/>
    </row>
    <row r="5" spans="1:20">
      <c r="A5" s="345" t="s">
        <v>429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286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294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306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333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344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350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361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366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370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384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388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392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381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347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430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453125" defaultRowHeight="14.5"/>
  <cols>
    <col min="1" max="1" width="20.54296875" bestFit="1" customWidth="1"/>
    <col min="2" max="2" width="16.453125" style="308" bestFit="1" customWidth="1"/>
    <col min="3" max="4" width="11.1796875" style="308" bestFit="1" customWidth="1"/>
    <col min="5" max="5" width="6.1796875" style="308" bestFit="1" customWidth="1"/>
    <col min="6" max="8" width="12.54296875" style="308" bestFit="1" customWidth="1"/>
    <col min="9" max="9" width="11.54296875" style="308" bestFit="1" customWidth="1"/>
    <col min="10" max="10" width="11.54296875" bestFit="1" customWidth="1"/>
    <col min="11" max="11" width="14.453125" bestFit="1" customWidth="1"/>
    <col min="12" max="12" width="10.453125" bestFit="1" customWidth="1"/>
    <col min="13" max="13" width="14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11">
      <c r="A3" s="540" t="s">
        <v>431</v>
      </c>
      <c r="B3" s="540" t="s">
        <v>427</v>
      </c>
      <c r="C3"/>
      <c r="D3"/>
      <c r="E3"/>
      <c r="F3"/>
      <c r="G3"/>
      <c r="H3"/>
      <c r="I3"/>
    </row>
    <row r="4" spans="1:11">
      <c r="A4" s="540" t="s">
        <v>428</v>
      </c>
      <c r="B4" t="s">
        <v>429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430</v>
      </c>
    </row>
    <row r="5" spans="1:11">
      <c r="A5" s="345" t="s">
        <v>429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286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294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306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315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333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344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350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361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366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370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384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388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392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381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347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430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453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432</v>
      </c>
      <c r="F2" s="19" t="s">
        <v>433</v>
      </c>
    </row>
    <row r="3" spans="3:8">
      <c r="C3" s="15">
        <v>45658</v>
      </c>
      <c r="D3" s="9" t="s">
        <v>434</v>
      </c>
      <c r="F3" s="17" t="s">
        <v>435</v>
      </c>
    </row>
    <row r="4" spans="3:8">
      <c r="C4" s="15">
        <v>45737</v>
      </c>
      <c r="D4" s="9" t="s">
        <v>436</v>
      </c>
      <c r="F4" s="17" t="s">
        <v>120</v>
      </c>
    </row>
    <row r="5" spans="3:8">
      <c r="C5" s="15">
        <v>45765</v>
      </c>
      <c r="D5" s="9" t="s">
        <v>437</v>
      </c>
      <c r="F5" s="17" t="s">
        <v>438</v>
      </c>
    </row>
    <row r="6" spans="3:8" ht="13" thickBot="1">
      <c r="C6" s="15">
        <v>45768</v>
      </c>
      <c r="D6" s="9" t="s">
        <v>439</v>
      </c>
      <c r="F6" s="18" t="s">
        <v>440</v>
      </c>
    </row>
    <row r="7" spans="3:8">
      <c r="C7" s="15">
        <v>45774</v>
      </c>
      <c r="D7" s="9" t="s">
        <v>441</v>
      </c>
    </row>
    <row r="8" spans="3:8">
      <c r="C8" s="15">
        <v>45765</v>
      </c>
      <c r="D8" s="9" t="s">
        <v>442</v>
      </c>
    </row>
    <row r="9" spans="3:8">
      <c r="C9" s="15">
        <v>45778</v>
      </c>
      <c r="D9" s="9" t="s">
        <v>443</v>
      </c>
    </row>
    <row r="10" spans="3:8">
      <c r="C10" s="15">
        <v>45824</v>
      </c>
      <c r="D10" s="9" t="s">
        <v>444</v>
      </c>
    </row>
    <row r="11" spans="3:8">
      <c r="C11" s="15">
        <v>45878</v>
      </c>
      <c r="D11" s="9" t="s">
        <v>445</v>
      </c>
    </row>
    <row r="12" spans="3:8">
      <c r="C12" s="15">
        <v>45924</v>
      </c>
      <c r="D12" s="9" t="s">
        <v>446</v>
      </c>
    </row>
    <row r="13" spans="3:8">
      <c r="C13" s="15">
        <v>46007</v>
      </c>
      <c r="D13" s="9" t="s">
        <v>447</v>
      </c>
      <c r="F13" s="20"/>
      <c r="H13" s="9" t="s">
        <v>448</v>
      </c>
    </row>
    <row r="14" spans="3:8">
      <c r="C14" s="15">
        <v>46016</v>
      </c>
      <c r="D14" s="9" t="s">
        <v>449</v>
      </c>
    </row>
    <row r="15" spans="3:8">
      <c r="C15" s="15">
        <v>46017</v>
      </c>
      <c r="D15" s="9" t="s">
        <v>450</v>
      </c>
    </row>
    <row r="16" spans="3:8">
      <c r="C16" s="15">
        <v>46006</v>
      </c>
      <c r="D16" s="9" t="s">
        <v>451</v>
      </c>
    </row>
    <row r="17" spans="3:4">
      <c r="C17" s="15">
        <v>46007</v>
      </c>
      <c r="D17" s="9" t="s">
        <v>451</v>
      </c>
    </row>
    <row r="18" spans="3:4">
      <c r="C18" s="15">
        <v>46008</v>
      </c>
      <c r="D18" s="9" t="s">
        <v>451</v>
      </c>
    </row>
    <row r="19" spans="3:4">
      <c r="C19" s="15">
        <v>46009</v>
      </c>
      <c r="D19" s="9" t="s">
        <v>451</v>
      </c>
    </row>
    <row r="20" spans="3:4">
      <c r="C20" s="15">
        <v>46010</v>
      </c>
      <c r="D20" s="9" t="s">
        <v>451</v>
      </c>
    </row>
    <row r="21" spans="3:4">
      <c r="C21" s="15">
        <v>46011</v>
      </c>
      <c r="D21" s="9" t="s">
        <v>451</v>
      </c>
    </row>
    <row r="22" spans="3:4">
      <c r="C22" s="15">
        <v>46012</v>
      </c>
      <c r="D22" s="9" t="s">
        <v>451</v>
      </c>
    </row>
    <row r="23" spans="3:4">
      <c r="C23" s="15">
        <v>46013</v>
      </c>
      <c r="D23" s="9" t="s">
        <v>451</v>
      </c>
    </row>
    <row r="24" spans="3:4">
      <c r="C24" s="15">
        <v>46014</v>
      </c>
      <c r="D24" s="9" t="s">
        <v>451</v>
      </c>
    </row>
    <row r="25" spans="3:4">
      <c r="C25" s="15">
        <v>46015</v>
      </c>
      <c r="D25" s="9" t="s">
        <v>451</v>
      </c>
    </row>
    <row r="26" spans="3:4">
      <c r="C26" s="15">
        <v>46016</v>
      </c>
      <c r="D26" s="9" t="s">
        <v>451</v>
      </c>
    </row>
    <row r="27" spans="3:4">
      <c r="C27" s="15">
        <v>46017</v>
      </c>
      <c r="D27" s="9" t="s">
        <v>451</v>
      </c>
    </row>
    <row r="28" spans="3:4">
      <c r="C28" s="15">
        <v>46018</v>
      </c>
      <c r="D28" s="9" t="s">
        <v>451</v>
      </c>
    </row>
    <row r="29" spans="3:4">
      <c r="C29" s="15">
        <v>46019</v>
      </c>
      <c r="D29" s="9" t="s">
        <v>451</v>
      </c>
    </row>
    <row r="30" spans="3:4">
      <c r="C30" s="15">
        <v>46020</v>
      </c>
      <c r="D30" s="9" t="s">
        <v>451</v>
      </c>
    </row>
    <row r="31" spans="3:4">
      <c r="C31" s="15">
        <v>46021</v>
      </c>
      <c r="D31" s="9" t="s">
        <v>451</v>
      </c>
    </row>
    <row r="32" spans="3:4">
      <c r="C32" s="15">
        <v>46022</v>
      </c>
      <c r="D32" s="9" t="s">
        <v>451</v>
      </c>
    </row>
    <row r="33" spans="3:4">
      <c r="C33" s="15">
        <v>46023</v>
      </c>
      <c r="D33" s="9" t="s">
        <v>451</v>
      </c>
    </row>
    <row r="34" spans="3:4">
      <c r="C34" s="15">
        <v>46024</v>
      </c>
      <c r="D34" s="9" t="s">
        <v>451</v>
      </c>
    </row>
    <row r="35" spans="3:4">
      <c r="C35" s="15">
        <v>46025</v>
      </c>
      <c r="D35" s="9" t="s">
        <v>451</v>
      </c>
    </row>
    <row r="36" spans="3:4">
      <c r="C36" s="15">
        <v>46026</v>
      </c>
      <c r="D36" s="9" t="s">
        <v>451</v>
      </c>
    </row>
    <row r="37" spans="3:4">
      <c r="C37" s="15">
        <v>46027</v>
      </c>
      <c r="D37" s="9" t="s">
        <v>451</v>
      </c>
    </row>
    <row r="38" spans="3:4">
      <c r="C38" s="15">
        <v>46028</v>
      </c>
      <c r="D38" s="9" t="s">
        <v>451</v>
      </c>
    </row>
    <row r="39" spans="3:4">
      <c r="C39" s="15">
        <v>46029</v>
      </c>
      <c r="D39" s="9" t="s">
        <v>451</v>
      </c>
    </row>
    <row r="40" spans="3:4">
      <c r="C40" s="15">
        <v>46030</v>
      </c>
      <c r="D40" s="9" t="s">
        <v>451</v>
      </c>
    </row>
    <row r="41" spans="3:4">
      <c r="C41" s="15"/>
      <c r="D41" s="9" t="s">
        <v>451</v>
      </c>
    </row>
    <row r="42" spans="3:4">
      <c r="C42" s="15"/>
      <c r="D42" s="9" t="s">
        <v>451</v>
      </c>
    </row>
    <row r="43" spans="3:4">
      <c r="C43" s="15"/>
      <c r="D43" s="9" t="s">
        <v>451</v>
      </c>
    </row>
    <row r="44" spans="3:4">
      <c r="C44" s="15"/>
      <c r="D44" s="9" t="s">
        <v>451</v>
      </c>
    </row>
    <row r="45" spans="3:4">
      <c r="C45" s="15"/>
      <c r="D45" s="9" t="s">
        <v>451</v>
      </c>
    </row>
    <row r="46" spans="3:4">
      <c r="C46" s="15"/>
      <c r="D46" s="9" t="s">
        <v>451</v>
      </c>
    </row>
    <row r="47" spans="3:4">
      <c r="C47" s="15"/>
      <c r="D47" s="9" t="s">
        <v>451</v>
      </c>
    </row>
    <row r="48" spans="3:4">
      <c r="C48" s="15"/>
      <c r="D48" s="9" t="s">
        <v>451</v>
      </c>
    </row>
    <row r="49" spans="3:4">
      <c r="C49" s="15">
        <v>46102</v>
      </c>
      <c r="D49" s="9" t="s">
        <v>436</v>
      </c>
    </row>
    <row r="50" spans="3:4">
      <c r="C50" s="15">
        <v>46115</v>
      </c>
      <c r="D50" s="9" t="s">
        <v>437</v>
      </c>
    </row>
    <row r="51" spans="3:4">
      <c r="C51" s="15">
        <v>46118</v>
      </c>
      <c r="D51" s="9" t="s">
        <v>439</v>
      </c>
    </row>
    <row r="52" spans="3:4">
      <c r="C52" s="15">
        <v>46139</v>
      </c>
      <c r="D52" s="9" t="s">
        <v>441</v>
      </c>
    </row>
    <row r="53" spans="3:4">
      <c r="C53" s="15">
        <v>46143</v>
      </c>
      <c r="D53" s="9" t="s">
        <v>443</v>
      </c>
    </row>
    <row r="54" spans="3:4">
      <c r="C54" s="15">
        <v>46189</v>
      </c>
      <c r="D54" s="9" t="s">
        <v>444</v>
      </c>
    </row>
    <row r="55" spans="3:4">
      <c r="C55" s="15">
        <v>46243</v>
      </c>
      <c r="D55" s="9" t="s">
        <v>445</v>
      </c>
    </row>
    <row r="56" spans="3:4">
      <c r="C56" s="15">
        <v>46244</v>
      </c>
      <c r="D56" s="9" t="s">
        <v>452</v>
      </c>
    </row>
    <row r="57" spans="3:4">
      <c r="C57" s="15">
        <v>46289</v>
      </c>
      <c r="D57" s="9" t="s">
        <v>446</v>
      </c>
    </row>
    <row r="58" spans="3:4">
      <c r="C58" s="15">
        <v>46372</v>
      </c>
      <c r="D58" s="9" t="s">
        <v>447</v>
      </c>
    </row>
    <row r="59" spans="3:4">
      <c r="C59" s="15">
        <v>46381</v>
      </c>
      <c r="D59" s="9" t="s">
        <v>449</v>
      </c>
    </row>
    <row r="60" spans="3:4" ht="13" thickBot="1">
      <c r="C60" s="16">
        <v>46382</v>
      </c>
      <c r="D60" s="9" t="s">
        <v>450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2026-03-06T11:42:28Z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