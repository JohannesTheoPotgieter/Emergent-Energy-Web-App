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6" documentId="13_ncr:1_{E7D990DC-B8E2-4FF0-90FD-F16D977317D3}" xr6:coauthVersionLast="47" xr6:coauthVersionMax="47" xr10:uidLastSave="{7AD59700-4A0E-4E97-8A7E-A4E491B1230F}"/>
  <bookViews>
    <workbookView minimized="1" xWindow="-22995" yWindow="4260" windowWidth="16125" windowHeight="8715" tabRatio="805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4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<sst xmlns="http://schemas.openxmlformats.org/spreadsheetml/2006/main" count="753" uniqueCount="422">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</sst>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2464808.4559016135</c:v>
                </c:pt>
                <c:pt idx="21">
                  <c:v>2464808.4559016135</c:v>
                </c:pt>
                <c:pt idx="22">
                  <c:v>2464808.4559016135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2378887.3559016134</c:v>
                </c:pt>
                <c:pt idx="21">
                  <c:v>243468.8805392948</c:v>
                </c:pt>
                <c:pt idx="22">
                  <c:v>214468.8805392948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7" t="s">
        <v>0</v>
      </c>
      <c r="C2" s="687"/>
      <c r="D2" s="687"/>
      <c r="E2" s="687"/>
      <c r="H2" s="688" t="s">
        <v>1</v>
      </c>
      <c r="I2" s="689"/>
      <c r="J2" s="689"/>
      <c r="K2" s="689"/>
      <c r="L2" s="689"/>
      <c r="M2" s="689"/>
      <c r="N2" s="689"/>
      <c r="O2" s="690"/>
    </row>
    <row r="3" spans="2:15">
      <c r="B3" s="614"/>
      <c r="H3" s="691"/>
      <c r="I3" s="692"/>
      <c r="J3" s="692"/>
      <c r="K3" s="692"/>
      <c r="L3" s="692"/>
      <c r="M3" s="692"/>
      <c r="N3" s="692"/>
      <c r="O3" s="693"/>
    </row>
    <row r="4" spans="2:15">
      <c r="B4" s="615" t="s">
        <v>2</v>
      </c>
      <c r="C4" s="616" t="str">
        <f>'Project Plan'!E2</f>
        <v>25 Superior Road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5" t="s">
        <v>3</v>
      </c>
      <c r="C5" s="616" t="s">
        <v>4</v>
      </c>
      <c r="H5" s="691"/>
      <c r="I5" s="692"/>
      <c r="J5" s="692"/>
      <c r="K5" s="692"/>
      <c r="L5" s="692"/>
      <c r="M5" s="692"/>
      <c r="N5" s="692"/>
      <c r="O5" s="693"/>
    </row>
    <row r="6" spans="2:15">
      <c r="B6" s="615" t="s">
        <v>5</v>
      </c>
      <c r="C6" s="616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5" t="s">
        <v>7</v>
      </c>
      <c r="C7" s="616" t="s">
        <v>8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4"/>
      <c r="H8" s="691"/>
      <c r="I8" s="692"/>
      <c r="J8" s="692"/>
      <c r="K8" s="692"/>
      <c r="L8" s="692"/>
      <c r="M8" s="692"/>
      <c r="N8" s="692"/>
      <c r="O8" s="693"/>
    </row>
    <row r="9" spans="2:15">
      <c r="B9" s="697" t="s">
        <v>9</v>
      </c>
      <c r="C9" s="697"/>
      <c r="D9" s="697"/>
      <c r="E9" s="697"/>
      <c r="H9" s="691"/>
      <c r="I9" s="692"/>
      <c r="J9" s="692"/>
      <c r="K9" s="692"/>
      <c r="L9" s="692"/>
      <c r="M9" s="692"/>
      <c r="N9" s="692"/>
      <c r="O9" s="693"/>
    </row>
    <row r="10" spans="2:15" ht="15" thickBot="1">
      <c r="B10" s="697" t="s">
        <v>10</v>
      </c>
      <c r="C10" s="697"/>
      <c r="D10" s="697"/>
      <c r="E10" s="697"/>
      <c r="H10" s="694"/>
      <c r="I10" s="695"/>
      <c r="J10" s="695"/>
      <c r="K10" s="695"/>
      <c r="L10" s="695"/>
      <c r="M10" s="695"/>
      <c r="N10" s="695"/>
      <c r="O10" s="696"/>
    </row>
    <row r="11" spans="2:15">
      <c r="B11" s="617" t="s">
        <v>11</v>
      </c>
      <c r="C11" s="685"/>
      <c r="D11" s="685"/>
      <c r="E11" s="685"/>
    </row>
    <row r="12" spans="2:15">
      <c r="B12" s="617" t="s">
        <v>12</v>
      </c>
      <c r="C12" s="685"/>
      <c r="D12" s="685"/>
      <c r="E12" s="685"/>
    </row>
    <row r="13" spans="2:15">
      <c r="B13" s="617" t="s">
        <v>13</v>
      </c>
      <c r="C13" s="685"/>
      <c r="D13" s="685"/>
      <c r="E13" s="685"/>
    </row>
    <row r="14" spans="2:15">
      <c r="B14" s="617" t="s">
        <v>14</v>
      </c>
      <c r="C14" s="685"/>
      <c r="D14" s="685"/>
      <c r="E14" s="685"/>
    </row>
    <row r="15" spans="2:15">
      <c r="B15" s="617" t="s">
        <v>15</v>
      </c>
      <c r="C15" s="685"/>
      <c r="D15" s="685"/>
      <c r="E15" s="685"/>
    </row>
    <row r="16" spans="2:15" ht="15" customHeight="1">
      <c r="B16" s="617" t="s">
        <v>16</v>
      </c>
      <c r="C16" s="685"/>
      <c r="D16" s="685"/>
      <c r="E16" s="685"/>
    </row>
    <row r="17" spans="2:5">
      <c r="B17" s="614"/>
    </row>
    <row r="18" spans="2:5">
      <c r="B18" s="686" t="s">
        <v>17</v>
      </c>
      <c r="C18" s="686"/>
      <c r="D18" s="686"/>
      <c r="E18" s="686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7" t="s">
        <v>22</v>
      </c>
      <c r="C2" s="687"/>
      <c r="D2" s="687"/>
      <c r="E2" s="687"/>
      <c r="H2" s="688" t="s">
        <v>23</v>
      </c>
      <c r="I2" s="689"/>
      <c r="J2" s="689"/>
      <c r="K2" s="689"/>
      <c r="L2" s="689"/>
      <c r="M2" s="689"/>
      <c r="N2" s="689"/>
      <c r="O2" s="690"/>
    </row>
    <row r="3" spans="2:15">
      <c r="B3" s="614"/>
      <c r="H3" s="691"/>
      <c r="I3" s="692"/>
      <c r="J3" s="692"/>
      <c r="K3" s="692"/>
      <c r="L3" s="692"/>
      <c r="M3" s="692"/>
      <c r="N3" s="692"/>
      <c r="O3" s="693"/>
    </row>
    <row r="4" spans="2:15">
      <c r="B4" s="615" t="s">
        <v>2</v>
      </c>
      <c r="C4" s="616" t="str">
        <f>'Project Plan'!E2</f>
        <v>25 Superior Road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5" t="s">
        <v>24</v>
      </c>
      <c r="C5" s="616"/>
      <c r="H5" s="691"/>
      <c r="I5" s="692"/>
      <c r="J5" s="692"/>
      <c r="K5" s="692"/>
      <c r="L5" s="692"/>
      <c r="M5" s="692"/>
      <c r="N5" s="692"/>
      <c r="O5" s="693"/>
    </row>
    <row r="6" spans="2:15">
      <c r="B6" s="615" t="s">
        <v>5</v>
      </c>
      <c r="C6" s="616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5" t="s">
        <v>25</v>
      </c>
      <c r="C7" s="616" t="str">
        <f>'Project Plan'!E5</f>
        <v>JT Moorosi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5" t="s">
        <v>26</v>
      </c>
      <c r="C8" s="616"/>
      <c r="H8" s="691"/>
      <c r="I8" s="692"/>
      <c r="J8" s="692"/>
      <c r="K8" s="692"/>
      <c r="L8" s="692"/>
      <c r="M8" s="692"/>
      <c r="N8" s="692"/>
      <c r="O8" s="693"/>
    </row>
    <row r="9" spans="2:15">
      <c r="B9" s="614"/>
      <c r="H9" s="691"/>
      <c r="I9" s="692"/>
      <c r="J9" s="692"/>
      <c r="K9" s="692"/>
      <c r="L9" s="692"/>
      <c r="M9" s="692"/>
      <c r="N9" s="692"/>
      <c r="O9" s="693"/>
    </row>
    <row r="10" spans="2:15">
      <c r="B10" s="697" t="s">
        <v>9</v>
      </c>
      <c r="C10" s="697"/>
      <c r="D10" s="697"/>
      <c r="E10" s="697"/>
      <c r="H10" s="691"/>
      <c r="I10" s="692"/>
      <c r="J10" s="692"/>
      <c r="K10" s="692"/>
      <c r="L10" s="692"/>
      <c r="M10" s="692"/>
      <c r="N10" s="692"/>
      <c r="O10" s="693"/>
    </row>
    <row r="11" spans="2:15" ht="15" thickBot="1">
      <c r="B11" s="697" t="s">
        <v>10</v>
      </c>
      <c r="C11" s="697"/>
      <c r="D11" s="697"/>
      <c r="E11" s="697"/>
      <c r="H11" s="694"/>
      <c r="I11" s="695"/>
      <c r="J11" s="695"/>
      <c r="K11" s="695"/>
      <c r="L11" s="695"/>
      <c r="M11" s="695"/>
      <c r="N11" s="695"/>
      <c r="O11" s="696"/>
    </row>
    <row r="12" spans="2:15" ht="25">
      <c r="B12" s="617" t="s">
        <v>27</v>
      </c>
      <c r="C12" s="685"/>
      <c r="D12" s="685"/>
      <c r="E12" s="685"/>
    </row>
    <row r="13" spans="2:15">
      <c r="B13" s="617" t="s">
        <v>28</v>
      </c>
      <c r="C13" s="685"/>
      <c r="D13" s="685"/>
      <c r="E13" s="685"/>
    </row>
    <row r="14" spans="2:15">
      <c r="B14" s="617" t="s">
        <v>29</v>
      </c>
      <c r="C14" s="685"/>
      <c r="D14" s="685"/>
      <c r="E14" s="685"/>
    </row>
    <row r="15" spans="2:15">
      <c r="B15" s="617" t="s">
        <v>30</v>
      </c>
      <c r="C15" s="685"/>
      <c r="D15" s="685"/>
      <c r="E15" s="685"/>
    </row>
    <row r="16" spans="2:15" ht="25">
      <c r="B16" s="617" t="s">
        <v>31</v>
      </c>
      <c r="C16" s="685"/>
      <c r="D16" s="685"/>
      <c r="E16" s="685"/>
    </row>
    <row r="17" spans="2:5">
      <c r="B17" s="617" t="s">
        <v>32</v>
      </c>
      <c r="C17" s="685"/>
      <c r="D17" s="685"/>
      <c r="E17" s="685"/>
    </row>
    <row r="18" spans="2:5">
      <c r="B18" s="617" t="s">
        <v>33</v>
      </c>
      <c r="C18" s="685"/>
      <c r="D18" s="685"/>
      <c r="E18" s="685"/>
    </row>
    <row r="19" spans="2:5">
      <c r="B19" s="617" t="s">
        <v>34</v>
      </c>
      <c r="C19" s="685"/>
      <c r="D19" s="685"/>
      <c r="E19" s="685"/>
    </row>
    <row r="20" spans="2:5">
      <c r="B20" s="617" t="s">
        <v>35</v>
      </c>
      <c r="C20" s="685"/>
      <c r="D20" s="685"/>
      <c r="E20" s="685"/>
    </row>
    <row r="21" spans="2:5">
      <c r="B21" s="617" t="s">
        <v>36</v>
      </c>
      <c r="C21" s="685"/>
      <c r="D21" s="685"/>
      <c r="E21" s="685"/>
    </row>
    <row r="22" spans="2:5" ht="15" customHeight="1">
      <c r="B22" s="617" t="s">
        <v>16</v>
      </c>
      <c r="C22" s="685"/>
      <c r="D22" s="685"/>
      <c r="E22" s="685"/>
    </row>
    <row r="23" spans="2:5">
      <c r="B23" s="614"/>
    </row>
    <row r="24" spans="2:5">
      <c r="B24" s="686" t="s">
        <v>17</v>
      </c>
      <c r="C24" s="686"/>
      <c r="D24" s="686"/>
      <c r="E24" s="686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7265625" customWidth="1"/>
  </cols>
  <sheetData>
    <row r="1" spans="2:15">
      <c r="B1" s="700"/>
      <c r="C1" s="701"/>
      <c r="D1" s="701"/>
      <c r="E1" s="701"/>
      <c r="F1" s="698" t="s">
        <v>37</v>
      </c>
      <c r="G1" s="698"/>
      <c r="H1" s="698"/>
      <c r="I1" s="698"/>
      <c r="J1" s="698"/>
      <c r="K1" s="699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2" t="s">
        <v>102</v>
      </c>
      <c r="C2" s="703"/>
      <c r="D2" s="703"/>
      <c r="E2" s="703"/>
      <c r="F2" s="704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2" t="s">
        <v>111</v>
      </c>
      <c r="C16" s="703"/>
      <c r="D16" s="703"/>
      <c r="E16" s="703"/>
      <c r="F16" s="704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70" zoomScaleNormal="70" workbookViewId="0">
      <selection activeCell="M11" sqref="M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5" t="s">
        <v>116</v>
      </c>
      <c r="J2" s="706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705" t="s">
        <v>118</v>
      </c>
      <c r="J3" s="706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5" t="s">
        <v>121</v>
      </c>
      <c r="J4" s="706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709" t="s">
        <v>127</v>
      </c>
      <c r="C8" s="710" t="s">
        <v>128</v>
      </c>
      <c r="D8" s="126"/>
      <c r="E8" s="711" t="s">
        <v>129</v>
      </c>
      <c r="F8" s="148" t="s">
        <v>130</v>
      </c>
      <c r="G8" s="711" t="s">
        <v>131</v>
      </c>
      <c r="H8" s="149"/>
      <c r="I8" s="711" t="s">
        <v>132</v>
      </c>
      <c r="J8" s="148" t="s">
        <v>130</v>
      </c>
      <c r="K8" s="711" t="s">
        <v>133</v>
      </c>
      <c r="M8" s="584" t="s">
        <v>44</v>
      </c>
      <c r="N8" s="585" t="s">
        <v>134</v>
      </c>
      <c r="O8" s="707" t="s">
        <v>135</v>
      </c>
      <c r="Z8" s="26"/>
      <c r="AA8" s="26"/>
      <c r="AB8" s="26"/>
    </row>
    <row r="9" spans="2:28">
      <c r="B9" s="709"/>
      <c r="C9" s="710"/>
      <c r="D9" s="126"/>
      <c r="E9" s="711"/>
      <c r="F9" s="40">
        <f>G40-E20</f>
        <v>35</v>
      </c>
      <c r="G9" s="711"/>
      <c r="H9" s="149"/>
      <c r="I9" s="711"/>
      <c r="J9" s="41">
        <f>K40-I20</f>
        <v>35</v>
      </c>
      <c r="K9" s="711"/>
      <c r="M9" s="265">
        <f>AVERAGE(M11,M19,M22,M29,M36,M40,M49,M45)</f>
        <v>1.953125E-3</v>
      </c>
      <c r="N9" s="265">
        <f ca="1">AVERAGE(N11,N19,N22,N29,N36,N40,N49,N45)</f>
        <v>1.953125E-3</v>
      </c>
      <c r="O9" s="708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B1" zoomScale="85" zoomScaleNormal="85" workbookViewId="0">
      <selection activeCell="L16" sqref="L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2695312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714" t="s">
        <v>222</v>
      </c>
      <c r="D13" s="715"/>
      <c r="E13" s="590">
        <v>0.5</v>
      </c>
      <c r="F13" s="591">
        <f t="shared" ref="F13:F18" si="0">$D$4*E13</f>
        <v>1449887.3270009493</v>
      </c>
      <c r="G13" s="592"/>
      <c r="H13" s="593">
        <v>46083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4" t="s">
        <v>223</v>
      </c>
      <c r="D14" s="715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714" t="s">
        <v>224</v>
      </c>
      <c r="D15" s="715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712" t="s">
        <v>182</v>
      </c>
      <c r="D16" s="713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712" t="s">
        <v>225</v>
      </c>
      <c r="D17" s="713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712" t="s">
        <v>226</v>
      </c>
      <c r="D18" s="713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714" t="s">
        <v>226</v>
      </c>
      <c r="D19" s="715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6"/>
      <c r="C4" s="716"/>
      <c r="D4" s="716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717" t="s">
        <v>241</v>
      </c>
      <c r="C5" s="717"/>
      <c r="D5" s="717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W45" sqref="W45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1" t="s">
        <v>247</v>
      </c>
      <c r="C2" s="632"/>
      <c r="D2" s="632"/>
      <c r="E2" s="632"/>
      <c r="F2" s="632"/>
      <c r="G2" s="632"/>
      <c r="H2" s="395"/>
      <c r="I2" s="162">
        <f>SUM(I6:I159)</f>
        <v>2528912.5701168482</v>
      </c>
      <c r="J2" s="162">
        <f>SUM(J6:J159)</f>
        <v>2899774.6540018991</v>
      </c>
      <c r="L2" s="633" t="s">
        <v>248</v>
      </c>
      <c r="M2" s="634"/>
      <c r="N2" s="634"/>
      <c r="O2" s="634"/>
      <c r="P2" s="634"/>
      <c r="Q2" s="634"/>
      <c r="R2" s="641" t="s">
        <v>249</v>
      </c>
      <c r="S2" s="642"/>
      <c r="T2" s="642"/>
      <c r="U2" s="642"/>
      <c r="V2" s="642"/>
      <c r="W2" s="643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35">
        <f>SUM(G6:G11)</f>
        <v>263738.00499999995</v>
      </c>
      <c r="J6" s="638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50">
        <f>J6-SUM(U6:U11)</f>
        <v>0</v>
      </c>
      <c r="W6" s="453">
        <f>'Project Plan'!K37+60</f>
        <v>46195</v>
      </c>
      <c r="X6" s="635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36"/>
      <c r="J7" s="639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51"/>
      <c r="W7" s="454"/>
      <c r="X7" s="636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6"/>
      <c r="J8" s="639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51"/>
      <c r="W8" s="454"/>
      <c r="X8" s="636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6"/>
      <c r="J9" s="639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51"/>
      <c r="W9" s="455"/>
      <c r="X9" s="63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6"/>
      <c r="J10" s="639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51"/>
      <c r="W10" s="455"/>
      <c r="X10" s="63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7"/>
      <c r="J11" s="640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52"/>
      <c r="W11" s="456"/>
      <c r="X11" s="637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44">
        <f>SUM(G13:G19)</f>
        <v>0</v>
      </c>
      <c r="J13" s="647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53">
        <f>J13-SUM(U13:U19)</f>
        <v>0</v>
      </c>
      <c r="W13" s="458"/>
      <c r="X13" s="644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45"/>
      <c r="J14" s="648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54"/>
      <c r="W14" s="459"/>
      <c r="X14" s="645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45"/>
      <c r="J15" s="648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54"/>
      <c r="W15" s="459"/>
      <c r="X15" s="645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45"/>
      <c r="J16" s="648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54"/>
      <c r="W16" s="459"/>
      <c r="X16" s="645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45"/>
      <c r="J17" s="648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54"/>
      <c r="W17" s="459"/>
      <c r="X17" s="645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45"/>
      <c r="J18" s="648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54"/>
      <c r="W18" s="459"/>
      <c r="X18" s="645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46"/>
      <c r="J19" s="649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55"/>
      <c r="W19" s="460"/>
      <c r="X19" s="646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35">
        <f>SUM(G21:G26)</f>
        <v>53802</v>
      </c>
      <c r="J21" s="638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50">
        <f>J21-SUM(U21:U26)</f>
        <v>0</v>
      </c>
      <c r="W21" s="461">
        <v>46142</v>
      </c>
      <c r="X21" s="635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6"/>
      <c r="J22" s="639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51"/>
      <c r="W22" s="454"/>
      <c r="X22" s="636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6"/>
      <c r="J23" s="639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51"/>
      <c r="W23" s="454"/>
      <c r="X23" s="636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6"/>
      <c r="J24" s="639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51"/>
      <c r="W24" s="455"/>
      <c r="X24" s="636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6"/>
      <c r="J25" s="639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51"/>
      <c r="W25" s="455"/>
      <c r="X25" s="636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7"/>
      <c r="J26" s="640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52"/>
      <c r="W26" s="456"/>
      <c r="X26" s="637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44">
        <f>SUM(G28:G42)</f>
        <v>125191.1</v>
      </c>
      <c r="J28" s="647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53">
        <f>J28-SUM(U28:U42)</f>
        <v>0</v>
      </c>
      <c r="W28" s="458">
        <f>W6</f>
        <v>46195</v>
      </c>
      <c r="X28" s="644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45"/>
      <c r="J29" s="648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54"/>
      <c r="W29" s="459"/>
      <c r="X29" s="645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45"/>
      <c r="J30" s="648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54"/>
      <c r="W30" s="459"/>
      <c r="X30" s="645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45"/>
      <c r="J31" s="648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54"/>
      <c r="W31" s="459"/>
      <c r="X31" s="645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45"/>
      <c r="J32" s="648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59"/>
      <c r="S32" s="506"/>
      <c r="T32" s="416">
        <f>T90</f>
        <v>46142</v>
      </c>
      <c r="U32" s="401">
        <f t="shared" si="3"/>
        <v>9242.1190311850223</v>
      </c>
      <c r="V32" s="654"/>
      <c r="W32" s="459">
        <f>W90</f>
        <v>46134</v>
      </c>
      <c r="X32" s="645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45"/>
      <c r="J33" s="648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60"/>
      <c r="S33" s="506"/>
      <c r="T33" s="416">
        <f t="shared" ref="T33:T39" si="7">T91</f>
        <v>46142</v>
      </c>
      <c r="U33" s="401">
        <f t="shared" si="3"/>
        <v>13863.178546777535</v>
      </c>
      <c r="V33" s="654"/>
      <c r="W33" s="459">
        <f t="shared" ref="W33:W39" si="8">W91</f>
        <v>46134</v>
      </c>
      <c r="X33" s="645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45"/>
      <c r="J34" s="648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60"/>
      <c r="S34" s="506"/>
      <c r="T34" s="416">
        <f t="shared" si="7"/>
        <v>46173</v>
      </c>
      <c r="U34" s="401">
        <f t="shared" si="3"/>
        <v>18484.238062370045</v>
      </c>
      <c r="V34" s="654"/>
      <c r="W34" s="459">
        <f t="shared" si="8"/>
        <v>46167</v>
      </c>
      <c r="X34" s="645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45"/>
      <c r="J35" s="648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60"/>
      <c r="S35" s="506"/>
      <c r="T35" s="416">
        <f t="shared" si="7"/>
        <v>46173</v>
      </c>
      <c r="U35" s="401">
        <f t="shared" si="3"/>
        <v>23105.297577962559</v>
      </c>
      <c r="V35" s="654"/>
      <c r="W35" s="459">
        <f t="shared" si="8"/>
        <v>46163</v>
      </c>
      <c r="X35" s="645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45"/>
      <c r="J36" s="648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60"/>
      <c r="S36" s="506"/>
      <c r="T36" s="416">
        <f t="shared" si="7"/>
        <v>46203</v>
      </c>
      <c r="U36" s="401">
        <f t="shared" si="3"/>
        <v>9242.1190311850223</v>
      </c>
      <c r="V36" s="654"/>
      <c r="W36" s="459">
        <f t="shared" si="8"/>
        <v>46176</v>
      </c>
      <c r="X36" s="645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45"/>
      <c r="J37" s="648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60"/>
      <c r="S37" s="506"/>
      <c r="T37" s="416">
        <f t="shared" si="7"/>
        <v>46203</v>
      </c>
      <c r="U37" s="401">
        <f t="shared" si="3"/>
        <v>9242.1190311850223</v>
      </c>
      <c r="V37" s="654"/>
      <c r="W37" s="459">
        <f t="shared" si="8"/>
        <v>46177</v>
      </c>
      <c r="X37" s="645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45"/>
      <c r="J38" s="648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60"/>
      <c r="S38" s="506"/>
      <c r="T38" s="416">
        <f t="shared" si="7"/>
        <v>46203</v>
      </c>
      <c r="U38" s="401">
        <f t="shared" si="3"/>
        <v>4621.0595155925112</v>
      </c>
      <c r="V38" s="654"/>
      <c r="W38" s="459">
        <f t="shared" si="8"/>
        <v>46177</v>
      </c>
      <c r="X38" s="645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45"/>
      <c r="J39" s="648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61"/>
      <c r="S39" s="506"/>
      <c r="T39" s="416">
        <f t="shared" si="7"/>
        <v>46203</v>
      </c>
      <c r="U39" s="401">
        <f t="shared" si="3"/>
        <v>4621.0595155925112</v>
      </c>
      <c r="V39" s="654"/>
      <c r="W39" s="459">
        <f t="shared" si="8"/>
        <v>46200</v>
      </c>
      <c r="X39" s="645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45"/>
      <c r="J40" s="648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54"/>
      <c r="W40" s="459"/>
      <c r="X40" s="64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45"/>
      <c r="J41" s="648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54"/>
      <c r="W41" s="459"/>
      <c r="X41" s="64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46"/>
      <c r="J42" s="649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55"/>
      <c r="W42" s="460"/>
      <c r="X42" s="646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35">
        <f>D165</f>
        <v>0</v>
      </c>
      <c r="J44" s="638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50">
        <f>J44-SUM(U44:U50)</f>
        <v>0</v>
      </c>
      <c r="W44" s="461">
        <f>T44</f>
        <v>46142</v>
      </c>
      <c r="X44" s="635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36"/>
      <c r="J45" s="639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51"/>
      <c r="W45" s="454">
        <f>W44</f>
        <v>46142</v>
      </c>
      <c r="X45" s="636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36"/>
      <c r="J46" s="639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51"/>
      <c r="W46" s="454">
        <f>W45</f>
        <v>46142</v>
      </c>
      <c r="X46" s="636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6"/>
      <c r="J47" s="639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51"/>
      <c r="W47" s="454"/>
      <c r="X47" s="636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6"/>
      <c r="J48" s="639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51"/>
      <c r="W48" s="455"/>
      <c r="X48" s="636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6"/>
      <c r="J49" s="639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51"/>
      <c r="W49" s="455"/>
      <c r="X49" s="636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7"/>
      <c r="J50" s="640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52"/>
      <c r="W50" s="456"/>
      <c r="X50" s="637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44">
        <f>SUM(G52:G68)</f>
        <v>0</v>
      </c>
      <c r="J52" s="647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53">
        <f>J52-SUM(U52:U68)</f>
        <v>0</v>
      </c>
      <c r="W52" s="458"/>
      <c r="X52" s="644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45"/>
      <c r="J53" s="648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54"/>
      <c r="W53" s="459"/>
      <c r="X53" s="64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45"/>
      <c r="J54" s="648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54"/>
      <c r="W54" s="459"/>
      <c r="X54" s="64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45"/>
      <c r="J55" s="648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54"/>
      <c r="W55" s="459"/>
      <c r="X55" s="64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45"/>
      <c r="J56" s="648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54"/>
      <c r="W56" s="459"/>
      <c r="X56" s="64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45"/>
      <c r="J57" s="648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54"/>
      <c r="W57" s="459"/>
      <c r="X57" s="64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45"/>
      <c r="J58" s="648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59"/>
      <c r="S58" s="506"/>
      <c r="T58" s="419">
        <f>T90</f>
        <v>46142</v>
      </c>
      <c r="U58" s="401"/>
      <c r="V58" s="654"/>
      <c r="W58" s="459">
        <f>W90</f>
        <v>46134</v>
      </c>
      <c r="X58" s="64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45"/>
      <c r="J59" s="648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60"/>
      <c r="S59" s="506"/>
      <c r="T59" s="419">
        <f t="shared" si="0"/>
        <v>46142</v>
      </c>
      <c r="U59" s="401"/>
      <c r="V59" s="654"/>
      <c r="W59" s="459">
        <f t="shared" ref="W59:W65" si="11">W91</f>
        <v>46134</v>
      </c>
      <c r="X59" s="64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45"/>
      <c r="J60" s="648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60"/>
      <c r="S60" s="506"/>
      <c r="T60" s="419">
        <f t="shared" si="0"/>
        <v>46173</v>
      </c>
      <c r="U60" s="401"/>
      <c r="V60" s="654"/>
      <c r="W60" s="459">
        <f t="shared" si="11"/>
        <v>46167</v>
      </c>
      <c r="X60" s="64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45"/>
      <c r="J61" s="648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60"/>
      <c r="S61" s="506"/>
      <c r="T61" s="419">
        <f t="shared" si="0"/>
        <v>46173</v>
      </c>
      <c r="U61" s="401"/>
      <c r="V61" s="654"/>
      <c r="W61" s="459">
        <f t="shared" si="11"/>
        <v>46163</v>
      </c>
      <c r="X61" s="64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45"/>
      <c r="J62" s="648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60"/>
      <c r="S62" s="506"/>
      <c r="T62" s="419">
        <f t="shared" si="0"/>
        <v>46203</v>
      </c>
      <c r="U62" s="401"/>
      <c r="V62" s="654"/>
      <c r="W62" s="459">
        <f t="shared" si="11"/>
        <v>46176</v>
      </c>
      <c r="X62" s="64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45"/>
      <c r="J63" s="648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60"/>
      <c r="S63" s="510"/>
      <c r="T63" s="419">
        <f t="shared" si="0"/>
        <v>46203</v>
      </c>
      <c r="U63" s="406"/>
      <c r="V63" s="654"/>
      <c r="W63" s="459">
        <f t="shared" si="11"/>
        <v>46177</v>
      </c>
      <c r="X63" s="64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45"/>
      <c r="J64" s="648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60"/>
      <c r="S64" s="510"/>
      <c r="T64" s="419">
        <f t="shared" si="0"/>
        <v>46203</v>
      </c>
      <c r="U64" s="406"/>
      <c r="V64" s="654"/>
      <c r="W64" s="459">
        <f t="shared" si="11"/>
        <v>46177</v>
      </c>
      <c r="X64" s="64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45"/>
      <c r="J65" s="648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61"/>
      <c r="S65" s="510"/>
      <c r="T65" s="419">
        <f t="shared" si="0"/>
        <v>46203</v>
      </c>
      <c r="U65" s="406"/>
      <c r="V65" s="654"/>
      <c r="W65" s="459">
        <f t="shared" si="11"/>
        <v>46200</v>
      </c>
      <c r="X65" s="64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45"/>
      <c r="J66" s="648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54"/>
      <c r="W66" s="462"/>
      <c r="X66" s="64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45"/>
      <c r="J67" s="648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54"/>
      <c r="W67" s="462"/>
      <c r="X67" s="64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46"/>
      <c r="J68" s="649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55"/>
      <c r="W68" s="460"/>
      <c r="X68" s="646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35">
        <f>SUM(G70:G77)</f>
        <v>1211692.6086956521</v>
      </c>
      <c r="J70" s="638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56">
        <f>J70-SUM(U70:U77)</f>
        <v>0</v>
      </c>
      <c r="W70" s="464">
        <v>46142</v>
      </c>
      <c r="X70" s="635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36"/>
      <c r="J71" s="639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57"/>
      <c r="W71" s="455">
        <v>46142</v>
      </c>
      <c r="X71" s="636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36"/>
      <c r="J72" s="639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57"/>
      <c r="W72" s="455">
        <v>46142</v>
      </c>
      <c r="X72" s="636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36"/>
      <c r="J73" s="639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57"/>
      <c r="W73" s="455">
        <v>46142</v>
      </c>
      <c r="X73" s="636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36"/>
      <c r="J74" s="639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57"/>
      <c r="W74" s="455">
        <v>46142</v>
      </c>
      <c r="X74" s="636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36"/>
      <c r="J75" s="639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57"/>
      <c r="W75" s="455">
        <v>46142</v>
      </c>
      <c r="X75" s="63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6"/>
      <c r="J76" s="639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57"/>
      <c r="W76" s="455"/>
      <c r="X76" s="636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7"/>
      <c r="J77" s="640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58"/>
      <c r="W77" s="456"/>
      <c r="X77" s="637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44">
        <f>SUM(G79:G87)</f>
        <v>693148.4</v>
      </c>
      <c r="J79" s="647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674">
        <f>J79-SUM(U79:U87)</f>
        <v>0</v>
      </c>
      <c r="W79" s="458"/>
      <c r="X79" s="644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45"/>
      <c r="J80" s="648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675"/>
      <c r="W80" s="458">
        <v>46142</v>
      </c>
      <c r="X80" s="645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45"/>
      <c r="J81" s="648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675"/>
      <c r="W81" s="458">
        <v>46142</v>
      </c>
      <c r="X81" s="645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45"/>
      <c r="J82" s="648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675"/>
      <c r="W82" s="458">
        <v>46142</v>
      </c>
      <c r="X82" s="645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45"/>
      <c r="J83" s="648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675"/>
      <c r="W83" s="459"/>
      <c r="X83" s="64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45"/>
      <c r="J84" s="648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675"/>
      <c r="W84" s="459"/>
      <c r="X84" s="64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45"/>
      <c r="J85" s="648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675"/>
      <c r="W85" s="459"/>
      <c r="X85" s="64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45"/>
      <c r="J86" s="648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675"/>
      <c r="W86" s="462"/>
      <c r="X86" s="645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46"/>
      <c r="J87" s="649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676"/>
      <c r="W87" s="460"/>
      <c r="X87" s="646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68">
        <f>SUM(G89:G100)</f>
        <v>95060</v>
      </c>
      <c r="J89" s="638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50">
        <f>J89-SUM(U89:U100)</f>
        <v>0</v>
      </c>
      <c r="W89" s="461"/>
      <c r="X89" s="635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669"/>
      <c r="J90" s="639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0"/>
      <c r="S90" s="501"/>
      <c r="T90" s="412">
        <f t="shared" si="12"/>
        <v>46142</v>
      </c>
      <c r="U90" s="397">
        <f t="shared" si="15"/>
        <v>10562.222222222223</v>
      </c>
      <c r="V90" s="651"/>
      <c r="W90" s="454">
        <f>'Project Plan'!I20</f>
        <v>46134</v>
      </c>
      <c r="X90" s="636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69"/>
      <c r="J91" s="639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1"/>
      <c r="S91" s="502"/>
      <c r="T91" s="412">
        <f t="shared" si="12"/>
        <v>46142</v>
      </c>
      <c r="U91" s="397">
        <f t="shared" si="15"/>
        <v>15843.333333333332</v>
      </c>
      <c r="V91" s="651"/>
      <c r="W91" s="455">
        <f>'Project Plan'!I20</f>
        <v>46134</v>
      </c>
      <c r="X91" s="636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69"/>
      <c r="J92" s="639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1"/>
      <c r="S92" s="502"/>
      <c r="T92" s="412">
        <f t="shared" si="12"/>
        <v>46173</v>
      </c>
      <c r="U92" s="397">
        <f t="shared" si="15"/>
        <v>21124.444444444445</v>
      </c>
      <c r="V92" s="651"/>
      <c r="W92" s="455">
        <f>'Project Plan'!K22+7</f>
        <v>46167</v>
      </c>
      <c r="X92" s="636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69"/>
      <c r="J93" s="639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1"/>
      <c r="S93" s="502"/>
      <c r="T93" s="412">
        <f t="shared" si="12"/>
        <v>46173</v>
      </c>
      <c r="U93" s="397">
        <f t="shared" si="15"/>
        <v>26405.555555555555</v>
      </c>
      <c r="V93" s="651"/>
      <c r="W93" s="455">
        <f>'Project Plan'!K29+7</f>
        <v>46163</v>
      </c>
      <c r="X93" s="636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69"/>
      <c r="J94" s="639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1"/>
      <c r="S94" s="502"/>
      <c r="T94" s="412">
        <f t="shared" si="12"/>
        <v>46203</v>
      </c>
      <c r="U94" s="397">
        <f t="shared" si="15"/>
        <v>10562.222222222223</v>
      </c>
      <c r="V94" s="651"/>
      <c r="W94" s="455">
        <f>'Project Plan'!K40+7</f>
        <v>46176</v>
      </c>
      <c r="X94" s="63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69"/>
      <c r="J95" s="639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1"/>
      <c r="S95" s="502"/>
      <c r="T95" s="412">
        <f t="shared" si="12"/>
        <v>46203</v>
      </c>
      <c r="U95" s="397">
        <f t="shared" si="15"/>
        <v>10562.222222222223</v>
      </c>
      <c r="V95" s="651"/>
      <c r="W95" s="455">
        <f>'Project Plan'!K47+7</f>
        <v>46177</v>
      </c>
      <c r="X95" s="63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69"/>
      <c r="J96" s="639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1"/>
      <c r="S96" s="502"/>
      <c r="T96" s="412">
        <f t="shared" si="12"/>
        <v>46203</v>
      </c>
      <c r="U96" s="397">
        <f t="shared" si="15"/>
        <v>5281.1111111111113</v>
      </c>
      <c r="V96" s="651"/>
      <c r="W96" s="455">
        <f>'Project Plan'!K47+7</f>
        <v>46177</v>
      </c>
      <c r="X96" s="63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69"/>
      <c r="J97" s="639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2"/>
      <c r="S97" s="502"/>
      <c r="T97" s="412">
        <f t="shared" si="12"/>
        <v>46203</v>
      </c>
      <c r="U97" s="397">
        <f t="shared" si="15"/>
        <v>5281.1111111111113</v>
      </c>
      <c r="V97" s="651"/>
      <c r="W97" s="455">
        <f>'Project Plan'!K47+30</f>
        <v>46200</v>
      </c>
      <c r="X97" s="63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69"/>
      <c r="J98" s="639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51"/>
      <c r="W98" s="455"/>
      <c r="X98" s="63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69"/>
      <c r="J99" s="639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51"/>
      <c r="W99" s="455"/>
      <c r="X99" s="636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0"/>
      <c r="J100" s="640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52"/>
      <c r="W100" s="456"/>
      <c r="X100" s="637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62">
        <f>SUM(G102:G116)</f>
        <v>32715.466666666667</v>
      </c>
      <c r="J102" s="665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671">
        <f>J102-SUM(U102:U116)</f>
        <v>0</v>
      </c>
      <c r="W102" s="465">
        <f>W108</f>
        <v>46167</v>
      </c>
      <c r="X102" s="662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63"/>
      <c r="J103" s="666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72"/>
      <c r="W103" s="466"/>
      <c r="X103" s="663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63"/>
      <c r="J104" s="666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72"/>
      <c r="W104" s="466"/>
      <c r="X104" s="663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63"/>
      <c r="J105" s="666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72"/>
      <c r="W105" s="466"/>
      <c r="X105" s="66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63"/>
      <c r="J106" s="666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77"/>
      <c r="S106" s="515"/>
      <c r="T106" s="425">
        <f>T90</f>
        <v>46142</v>
      </c>
      <c r="U106" s="409">
        <f t="shared" si="17"/>
        <v>2024.253940139617</v>
      </c>
      <c r="V106" s="672"/>
      <c r="W106" s="467">
        <f>W90</f>
        <v>46134</v>
      </c>
      <c r="X106" s="66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63"/>
      <c r="J107" s="666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78"/>
      <c r="S107" s="520"/>
      <c r="T107" s="425">
        <f t="shared" ref="T107:T113" si="19">T91</f>
        <v>46142</v>
      </c>
      <c r="U107" s="409">
        <f t="shared" si="17"/>
        <v>3036.380910209426</v>
      </c>
      <c r="V107" s="672"/>
      <c r="W107" s="467">
        <f t="shared" ref="W107:W113" si="20">W91</f>
        <v>46134</v>
      </c>
      <c r="X107" s="66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63"/>
      <c r="J108" s="666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78"/>
      <c r="S108" s="515"/>
      <c r="T108" s="425">
        <f t="shared" si="19"/>
        <v>46173</v>
      </c>
      <c r="U108" s="409">
        <f t="shared" si="17"/>
        <v>4048.5078802792341</v>
      </c>
      <c r="V108" s="672"/>
      <c r="W108" s="467">
        <f t="shared" si="20"/>
        <v>46167</v>
      </c>
      <c r="X108" s="66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63"/>
      <c r="J109" s="666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78"/>
      <c r="S109" s="515"/>
      <c r="T109" s="425">
        <f t="shared" si="19"/>
        <v>46173</v>
      </c>
      <c r="U109" s="409">
        <f t="shared" si="17"/>
        <v>5060.6348503490426</v>
      </c>
      <c r="V109" s="672"/>
      <c r="W109" s="467">
        <f t="shared" si="20"/>
        <v>46163</v>
      </c>
      <c r="X109" s="66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63"/>
      <c r="J110" s="666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78"/>
      <c r="S110" s="515"/>
      <c r="T110" s="425">
        <f t="shared" si="19"/>
        <v>46203</v>
      </c>
      <c r="U110" s="409">
        <f t="shared" si="17"/>
        <v>2024.253940139617</v>
      </c>
      <c r="V110" s="672"/>
      <c r="W110" s="467">
        <f t="shared" si="20"/>
        <v>46176</v>
      </c>
      <c r="X110" s="66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63"/>
      <c r="J111" s="666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78"/>
      <c r="S111" s="515"/>
      <c r="T111" s="425">
        <f t="shared" si="19"/>
        <v>46203</v>
      </c>
      <c r="U111" s="409">
        <f t="shared" si="17"/>
        <v>2024.253940139617</v>
      </c>
      <c r="V111" s="672"/>
      <c r="W111" s="467">
        <f t="shared" si="20"/>
        <v>46177</v>
      </c>
      <c r="X111" s="66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3"/>
      <c r="J112" s="666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78"/>
      <c r="S112" s="515"/>
      <c r="T112" s="425">
        <f t="shared" si="19"/>
        <v>46203</v>
      </c>
      <c r="U112" s="409">
        <f t="shared" si="17"/>
        <v>1012.1269700698085</v>
      </c>
      <c r="V112" s="672"/>
      <c r="W112" s="467">
        <f t="shared" si="20"/>
        <v>46177</v>
      </c>
      <c r="X112" s="66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3"/>
      <c r="J113" s="666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79"/>
      <c r="S113" s="515"/>
      <c r="T113" s="425">
        <f t="shared" si="19"/>
        <v>46203</v>
      </c>
      <c r="U113" s="409">
        <f t="shared" si="17"/>
        <v>1012.1269700698085</v>
      </c>
      <c r="V113" s="672"/>
      <c r="W113" s="467">
        <f t="shared" si="20"/>
        <v>46200</v>
      </c>
      <c r="X113" s="66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3"/>
      <c r="J114" s="666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72"/>
      <c r="W114" s="467"/>
      <c r="X114" s="66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3"/>
      <c r="J115" s="666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72"/>
      <c r="W115" s="467"/>
      <c r="X115" s="66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64"/>
      <c r="J116" s="667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73"/>
      <c r="W116" s="468"/>
      <c r="X116" s="664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35">
        <f>SUM(G118:G122)</f>
        <v>29000</v>
      </c>
      <c r="J118" s="638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50">
        <f>J118-SUM(U118:U122)</f>
        <v>0</v>
      </c>
      <c r="W118" s="461">
        <f>'Project Plan'!K40+14</f>
        <v>46183</v>
      </c>
      <c r="X118" s="635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36"/>
      <c r="J119" s="639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51"/>
      <c r="W119" s="461">
        <f>'Project Plan'!K41+14</f>
        <v>46175</v>
      </c>
      <c r="X119" s="636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36"/>
      <c r="J120" s="639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51"/>
      <c r="W120" s="454"/>
      <c r="X120" s="636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6"/>
      <c r="J121" s="639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51"/>
      <c r="W121" s="455">
        <f>'Project Plan'!K40</f>
        <v>46169</v>
      </c>
      <c r="X121" s="636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7"/>
      <c r="J122" s="640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52"/>
      <c r="W122" s="456"/>
      <c r="X122" s="637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62">
        <f>SUM(G124:G125)</f>
        <v>0</v>
      </c>
      <c r="J124" s="665">
        <v>0</v>
      </c>
      <c r="K124" s="683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62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64"/>
      <c r="J125" s="667"/>
      <c r="K125" s="684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64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35">
        <f>SUM(G127:G131)</f>
        <v>22639.989754528986</v>
      </c>
      <c r="J127" s="638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50">
        <f>J127-SUM(U127:U132)</f>
        <v>0</v>
      </c>
      <c r="W127" s="461">
        <f>'Project Plan'!K40</f>
        <v>46169</v>
      </c>
      <c r="X127" s="635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6"/>
      <c r="J128" s="639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51"/>
      <c r="W128" s="454">
        <f>W127</f>
        <v>46169</v>
      </c>
      <c r="X128" s="636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6"/>
      <c r="J129" s="639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51"/>
      <c r="W129" s="454">
        <f t="shared" ref="W129:W131" si="22">W128</f>
        <v>46169</v>
      </c>
      <c r="X129" s="636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6"/>
      <c r="J130" s="639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51"/>
      <c r="W130" s="454">
        <f t="shared" si="22"/>
        <v>46169</v>
      </c>
      <c r="X130" s="636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6"/>
      <c r="J131" s="639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51"/>
      <c r="W131" s="454">
        <f t="shared" si="22"/>
        <v>46169</v>
      </c>
      <c r="X131" s="636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7"/>
      <c r="J132" s="640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52"/>
      <c r="W132" s="456"/>
      <c r="X132" s="637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62">
        <f>SUM(G134:G145)</f>
        <v>1925</v>
      </c>
      <c r="J134" s="665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1">
        <f>J134-SUM(U134:U145)</f>
        <v>0</v>
      </c>
      <c r="W134" s="467">
        <f>T134+7</f>
        <v>46119</v>
      </c>
      <c r="X134" s="662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63"/>
      <c r="J135" s="666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72"/>
      <c r="W135" s="467">
        <f>T135+7</f>
        <v>46149</v>
      </c>
      <c r="X135" s="66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63"/>
      <c r="J136" s="666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72"/>
      <c r="W136" s="467">
        <f>T136+7</f>
        <v>46180</v>
      </c>
      <c r="X136" s="66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63"/>
      <c r="J137" s="666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72"/>
      <c r="W137" s="467">
        <f>T137+7</f>
        <v>46210</v>
      </c>
      <c r="X137" s="66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63"/>
      <c r="J138" s="666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2"/>
      <c r="W138" s="467"/>
      <c r="X138" s="66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63"/>
      <c r="J139" s="666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2"/>
      <c r="W139" s="467"/>
      <c r="X139" s="66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63"/>
      <c r="J140" s="666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2"/>
      <c r="W140" s="467"/>
      <c r="X140" s="66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3"/>
      <c r="J141" s="666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2"/>
      <c r="W141" s="467"/>
      <c r="X141" s="66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3"/>
      <c r="J142" s="666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2"/>
      <c r="W142" s="467"/>
      <c r="X142" s="66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3"/>
      <c r="J143" s="666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2"/>
      <c r="W143" s="467"/>
      <c r="X143" s="66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3"/>
      <c r="J144" s="666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2"/>
      <c r="W144" s="467"/>
      <c r="X144" s="66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64"/>
      <c r="J145" s="667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3"/>
      <c r="W145" s="468"/>
      <c r="X145" s="664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35">
        <f>SUM(G147:G158)</f>
        <v>0</v>
      </c>
      <c r="J147" s="638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50">
        <v>0</v>
      </c>
      <c r="W147" s="461"/>
      <c r="X147" s="635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6"/>
      <c r="J148" s="639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51"/>
      <c r="W148" s="454"/>
      <c r="X148" s="636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6"/>
      <c r="J149" s="639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51"/>
      <c r="W149" s="454"/>
      <c r="X149" s="636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6"/>
      <c r="J150" s="639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51"/>
      <c r="W150" s="454"/>
      <c r="X150" s="636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6"/>
      <c r="J151" s="639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51"/>
      <c r="W151" s="454"/>
      <c r="X151" s="636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6"/>
      <c r="J152" s="639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51"/>
      <c r="W152" s="454"/>
      <c r="X152" s="636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6"/>
      <c r="J153" s="639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51"/>
      <c r="W153" s="454"/>
      <c r="X153" s="636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6"/>
      <c r="J154" s="639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51"/>
      <c r="W154" s="454"/>
      <c r="X154" s="636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6"/>
      <c r="J155" s="639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51"/>
      <c r="W155" s="454"/>
      <c r="X155" s="636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6"/>
      <c r="J156" s="639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51"/>
      <c r="W156" s="454"/>
      <c r="X156" s="636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6"/>
      <c r="J157" s="639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51"/>
      <c r="W157" s="454"/>
      <c r="X157" s="636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7"/>
      <c r="J158" s="640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52"/>
      <c r="W158" s="456"/>
      <c r="X158" s="637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1449887.3270009493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1449887.3270009493</v>
      </c>
      <c r="X4" s="109">
        <f t="shared" si="5"/>
        <v>2174830.9905014238</v>
      </c>
      <c r="Y4" s="109">
        <f t="shared" si="5"/>
        <v>2464808.4559016135</v>
      </c>
      <c r="Z4" s="109">
        <f t="shared" si="5"/>
        <v>2464808.4559016135</v>
      </c>
      <c r="AA4" s="109">
        <f t="shared" si="5"/>
        <v>2464808.4559016135</v>
      </c>
      <c r="AB4" s="109">
        <f t="shared" si="5"/>
        <v>2464808.4559016135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1449887.3270009493</v>
      </c>
      <c r="X7" s="118">
        <f t="shared" si="16"/>
        <v>2174830.9905014238</v>
      </c>
      <c r="Y7" s="118">
        <f t="shared" si="16"/>
        <v>2464808.4559016135</v>
      </c>
      <c r="Z7" s="118">
        <f t="shared" si="16"/>
        <v>2378887.3559016134</v>
      </c>
      <c r="AA7" s="118">
        <f t="shared" si="16"/>
        <v>243468.8805392948</v>
      </c>
      <c r="AB7" s="118">
        <f t="shared" si="16"/>
        <v>214468.8805392948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1449887.3270009493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1449887.3270009493</v>
      </c>
      <c r="X10" s="122">
        <f t="shared" si="21"/>
        <v>1449887.3270009493</v>
      </c>
      <c r="Y10" s="122">
        <f t="shared" si="21"/>
        <v>1449887.3270009493</v>
      </c>
      <c r="Z10" s="122">
        <f t="shared" si="21"/>
        <v>1449887.3270009493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1449887.3270009493</v>
      </c>
      <c r="X14" s="118">
        <f t="shared" si="32"/>
        <v>1449887.3270009493</v>
      </c>
      <c r="Y14" s="118">
        <f t="shared" si="32"/>
        <v>1449887.3270009493</v>
      </c>
      <c r="Z14" s="118">
        <f t="shared" si="32"/>
        <v>1449887.3270009493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2026-02-12T10:08:03Z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