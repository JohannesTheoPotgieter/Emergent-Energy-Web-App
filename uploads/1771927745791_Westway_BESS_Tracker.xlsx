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72" documentId="13_ncr:1_{746170D4-45AF-4BDD-B7D1-00BBC5E658DF}" xr6:coauthVersionLast="47" xr6:coauthVersionMax="47" xr10:uidLastSave="{E1A36650-C4F5-4031-A64B-E758FF08C85F}"/>
  <bookViews>
    <workbookView xWindow="-98" yWindow="-98" windowWidth="21795" windowHeight="12975" tabRatio="618" firstSheet="6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49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18" l="1"/>
  <c r="O82" i="18"/>
  <c r="W88" i="18"/>
  <c r="W75" i="18"/>
  <c r="W74" i="18"/>
  <c r="W73" i="18"/>
  <c r="W72" i="18"/>
  <c r="W71" i="18"/>
  <c r="Q75" i="18"/>
  <c r="P75" i="18"/>
  <c r="Q74" i="18"/>
  <c r="Q73" i="18"/>
  <c r="Q72" i="18"/>
  <c r="Q71" i="18"/>
  <c r="N11" i="2" l="1"/>
  <c r="M11" i="2"/>
  <c r="K16" i="2"/>
  <c r="I33" i="2"/>
  <c r="H7" i="5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I27" i="2"/>
  <c r="K27" i="2" s="1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M29" i="2"/>
  <c r="M22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41" i="2" s="1"/>
  <c r="I29" i="2"/>
  <c r="N26" i="2"/>
  <c r="N27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H5" i="3"/>
  <c r="V28" i="18"/>
  <c r="G47" i="2" l="1"/>
  <c r="G45" i="2" s="1"/>
  <c r="E50" i="2"/>
  <c r="E45" i="2"/>
  <c r="F46" i="5"/>
  <c r="K41" i="2"/>
  <c r="I42" i="2" s="1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N33" i="2"/>
  <c r="N31" i="2"/>
  <c r="N32" i="2"/>
  <c r="V14" i="2"/>
  <c r="W78" i="18" l="1"/>
  <c r="W79" i="18" s="1"/>
  <c r="I43" i="2"/>
  <c r="G51" i="2"/>
  <c r="E49" i="2"/>
  <c r="N24" i="2"/>
  <c r="N23" i="2"/>
  <c r="M19" i="2"/>
  <c r="M9" i="2" s="1"/>
  <c r="U14" i="2"/>
  <c r="G49" i="2" l="1"/>
  <c r="K43" i="2"/>
  <c r="I40" i="2"/>
  <c r="N22" i="2"/>
  <c r="T15" i="2"/>
  <c r="K40" i="2" l="1"/>
  <c r="J40" i="2" s="1"/>
  <c r="I46" i="2"/>
  <c r="K46" i="2" s="1"/>
  <c r="I47" i="2" s="1"/>
  <c r="I50" i="2" s="1"/>
  <c r="F49" i="2"/>
  <c r="J9" i="2"/>
  <c r="T18" i="2"/>
  <c r="U15" i="2"/>
  <c r="V15" i="2"/>
  <c r="N34" i="2" l="1"/>
  <c r="K47" i="2" l="1"/>
  <c r="I45" i="2"/>
  <c r="T17" i="2"/>
  <c r="U18" i="2"/>
  <c r="V18" i="2"/>
  <c r="K45" i="2" l="1"/>
  <c r="W83" i="18"/>
  <c r="W84" i="18" s="1"/>
  <c r="J45" i="2"/>
  <c r="K50" i="2"/>
  <c r="N29" i="2"/>
  <c r="I51" i="2" l="1"/>
  <c r="I52" i="2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<sst xmlns="http://schemas.openxmlformats.org/spreadsheetml/2006/main" count="679" uniqueCount="373">
  <si>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</si>
  <si>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</si>
  <si>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</si>
  <si>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</si>
  <si>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</si>
  <si>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</si>
  <si>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</si>
  <si>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</si>
  <si>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</si>
  <si>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</si>
  <si>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</si>
  <si>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</si>
  <si>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</si>
  <si>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</si>
  <si>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</si>
  <si>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</si>
  <si>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</si>
  <si>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</si>
  <si>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</si>
  <si>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</si>
  <si>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</si>
  <si>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</si>
  <si>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</si>
  <si>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</si>
  <si>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</si>
  <si>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</si>
  <si>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</si>
  <si>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</si>
  <si>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</si>
  <si>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</si>
  <si>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</si>
  <si>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</si>
  <si>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</si>
  <si>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</si>
  <si>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</si>
  <si>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</si>
  <si>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</si>
  <si>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</si>
  <si>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</si>
  <si>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</si>
  <si>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</si>
  <si>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</si>
  <si>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</si>
  <si>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</si>
  <si>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</si>
  <si>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</si>
  <si>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</si>
  <si>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</si>
  <si>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</si>
  <si>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</si>
  <si>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</si>
  <si>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</si>
  <si>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</si>
  <si>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</si>
  <si>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</si>
  <si>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</si>
  <si>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</si>
  <si>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</si>
  <si>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</si>
  <si>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</si>
  <si>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</si>
  <si>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</si>
  <si>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</si>
  <si>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</si>
  <si>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</si>
  <si>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</si>
  <si>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</si>
  <si>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</si>
  <si>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</si>
  <si>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</si>
  <si>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</si>
  <si>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</si>
  <si>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</si>
  <si>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</si>
  <si>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</si>
  <si>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</si>
  <si>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</si>
  <si>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</si>
  <si>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</si>
  <si>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</si>
  <si>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</si>
  <si>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</si>
  <si>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</si>
  <si>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</si>
  <si>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</si>
  <si>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</si>
  <si>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</si>
  <si>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</si>
  <si>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</si>
  <si>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</si>
  <si>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</si>
  <si>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</si>
  <si>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</si>
  <si>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</si>
  <si>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</si>
  <si>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</si>
  <si>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</si>
  <si>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</si>
  <si>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</si>
  <si>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</si>
  <si>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</si>
  <si>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</si>
  <si>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</si>
  <si>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</si>
  <si>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</si>
  <si>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</si>
  <si>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</si>
  <si>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</si>
  <si>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</si>
  <si>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</si>
  <si>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</si>
  <si>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</si>
  <si>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</si>
  <si>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</si>
  <si>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</si>
  <si>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</si>
  <si>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</si>
  <si>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</si>
  <si>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</si>
  <si>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</si>
  <si>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</si>
  <si>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</si>
  <si>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</si>
  <si>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</si>
  <si>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</si>
  <si>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</si>
  <si>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</si>
  <si>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</si>
  <si>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</si>
  <si>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</si>
  <si>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</si>
  <si>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</si>
  <si>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</si>
  <si>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</si>
  <si>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</si>
  <si>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</si>
  <si>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</si>
  <si>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</si>
  <si>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</si>
  <si>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</si>
  <si>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</si>
  <si>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</si>
  <si>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</si>
  <si>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</si>
  <si>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</si>
  <si>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</si>
  <si>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</si>
  <si>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004948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</si>
  <si>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</si>
  <si>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</si>
  <si>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</si>
  <si>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</si>
  <si>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</si>
  <si>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</si>
  <si>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</si>
  <si>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</si>
  <si>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</si>
  <si>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</si>
  <si>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</si>
  <si>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</si>
  <si>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</si>
  <si>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</si>
  <si>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</si>
  <si>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</si>
  <si>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</si>
  <si>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</si>
  <si>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</si>
  <si>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</si>
  <si>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</si>
  <si>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</si>
  <si>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</si>
  <si>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</si>
  <si>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</si>
  <si>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</si>
  <si>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</si>
  <si>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</si>
  <si>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</si>
  <si>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</si>
  <si>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</si>
  <si>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</si>
  <si>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</si>
  <si>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</si>
  <si>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</si>
  <si>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</si>
  <si>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</si>
  <si>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</si>
  <si>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</si>
  <si>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</si>
  <si>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</si>
  <si>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</si>
  <si>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</si>
  <si>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</si>
  <si>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</si>
  <si>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</si>
  <si>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</si>
  <si>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</si>
  <si>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</si>
  <si>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</si>
  <si>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</si>
  <si>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</si>
  <si>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</si>
  <si>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</si>
  <si>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</si>
  <si>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</si>
  <si>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</si>
  <si>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</si>
  <si>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</si>
  <si>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</si>
  <si>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</si>
  <si>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</si>
  <si>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</si>
  <si>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</si>
  <si>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</si>
  <si>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</si>
  <si>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</si>
  <si>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</si>
  <si>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</si>
  <si>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</si>
  <si>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</si>
  <si>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</si>
  <si>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</si>
  <si>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</si>
  <si>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</si>
  <si>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</si>
  <si>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</si>
  <si>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</si>
  <si>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</si>
  <si>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</si>
  <si>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</si>
  <si>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</si>
  <si>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</si>
  <si>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</si>
  <si>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</si>
  <si>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</si>
  <si>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</si>
  <si>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</si>
  <si>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</si>
  <si>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</si>
  <si>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</si>
  <si>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</si>
  <si>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</si>
  <si>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</si>
  <si>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</si>
  <si>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</si>
  <si>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</si>
  <si>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</si>
  <si>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</si>
  <si>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</si>
  <si>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</si>
  <si>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</si>
  <si>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</si>
  <si>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</si>
  <si>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</si>
  <si>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</si>
  <si>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</si>
  <si>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</si>
  <si>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</si>
  <si>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</si>
  <si>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</si>
  <si>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</si>
  <si>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</si>
  <si>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</si>
  <si>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</si>
  <si>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</si>
  <si>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</si>
  <si>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</si>
  <si>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</si>
  <si>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</si>
  <si>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</si>
  <si>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</si>
  <si>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</si>
  <si>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</si>
  <si>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</si>
  <si>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</si>
  <si>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</si>
  <si>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</si>
  <si>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</si>
  <si>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</si>
  <si>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</si>
  <si>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</si>
  <si>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</si>
  <si>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</si>
  <si>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</si>
  <si>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</si>
  <si>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</si>
  <si>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</si>
  <si>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</si>
  <si>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</si>
  <si>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>PO4615-WWB-20260209 - RV Approved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</si>
  <si>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</si>
  <si>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</si>
  <si>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</si>
  <si>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</si>
  <si>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</si>
  <si>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</si>
  <si>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</si>
  <si>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</si>
  <si>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</si>
  <si>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PO4630-WWB-20260219 - RV Approved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</si>
  <si>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</si>
  <si>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</si>
  <si>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</si>
  <si>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</si>
  <si>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</si>
  <si>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>CTs</t>
  </si>
  <si>
    <t>PO4628-WWB-20260217 - RV Approved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</si>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</sst>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16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164" fontId="5" fillId="9" borderId="1" xfId="2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0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2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5</c:v>
                  </c:pt>
                  <c:pt idx="8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46078</c:v>
                </c:pt>
                <c:pt idx="7">
                  <c:v>46094</c:v>
                </c:pt>
                <c:pt idx="8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70542.266666666677</c:v>
                </c:pt>
                <c:pt idx="12">
                  <c:v>70542.266666666677</c:v>
                </c:pt>
                <c:pt idx="13">
                  <c:v>70542.266666666677</c:v>
                </c:pt>
                <c:pt idx="14">
                  <c:v>78820.466666666674</c:v>
                </c:pt>
                <c:pt idx="15">
                  <c:v>96903.866666666669</c:v>
                </c:pt>
                <c:pt idx="16">
                  <c:v>97195.53333333334</c:v>
                </c:pt>
                <c:pt idx="17">
                  <c:v>97195.53333333334</c:v>
                </c:pt>
                <c:pt idx="18">
                  <c:v>102714.33333333334</c:v>
                </c:pt>
                <c:pt idx="19">
                  <c:v>584773.84458333335</c:v>
                </c:pt>
                <c:pt idx="20">
                  <c:v>585065.51124999998</c:v>
                </c:pt>
                <c:pt idx="21">
                  <c:v>585065.51124999998</c:v>
                </c:pt>
                <c:pt idx="22">
                  <c:v>585065.51124999998</c:v>
                </c:pt>
                <c:pt idx="23">
                  <c:v>585065.51124999998</c:v>
                </c:pt>
                <c:pt idx="24">
                  <c:v>585065.51124999998</c:v>
                </c:pt>
                <c:pt idx="25">
                  <c:v>585065.51124999998</c:v>
                </c:pt>
                <c:pt idx="26">
                  <c:v>585065.51124999998</c:v>
                </c:pt>
                <c:pt idx="27">
                  <c:v>585065.51124999998</c:v>
                </c:pt>
                <c:pt idx="28">
                  <c:v>585065.51124999998</c:v>
                </c:pt>
                <c:pt idx="29">
                  <c:v>585065.51124999998</c:v>
                </c:pt>
                <c:pt idx="30">
                  <c:v>585065.51124999998</c:v>
                </c:pt>
                <c:pt idx="31">
                  <c:v>585065.51124999998</c:v>
                </c:pt>
                <c:pt idx="32">
                  <c:v>585065.51124999998</c:v>
                </c:pt>
                <c:pt idx="33">
                  <c:v>585065.51124999998</c:v>
                </c:pt>
                <c:pt idx="34">
                  <c:v>585065.51124999998</c:v>
                </c:pt>
                <c:pt idx="35">
                  <c:v>585065.51124999998</c:v>
                </c:pt>
                <c:pt idx="36">
                  <c:v>585065.51124999998</c:v>
                </c:pt>
                <c:pt idx="37">
                  <c:v>585065.51124999998</c:v>
                </c:pt>
                <c:pt idx="38">
                  <c:v>585065.51124999998</c:v>
                </c:pt>
                <c:pt idx="39">
                  <c:v>585065.51124999998</c:v>
                </c:pt>
                <c:pt idx="40">
                  <c:v>585065.51124999998</c:v>
                </c:pt>
                <c:pt idx="41">
                  <c:v>585065.51124999998</c:v>
                </c:pt>
                <c:pt idx="42">
                  <c:v>585065.51124999998</c:v>
                </c:pt>
                <c:pt idx="43">
                  <c:v>585065.51124999998</c:v>
                </c:pt>
                <c:pt idx="44">
                  <c:v>585065.51124999998</c:v>
                </c:pt>
                <c:pt idx="45">
                  <c:v>585065.51124999998</c:v>
                </c:pt>
                <c:pt idx="46">
                  <c:v>585065.51124999998</c:v>
                </c:pt>
                <c:pt idx="47">
                  <c:v>585065.51124999998</c:v>
                </c:pt>
                <c:pt idx="48">
                  <c:v>585065.51124999998</c:v>
                </c:pt>
                <c:pt idx="49">
                  <c:v>585065.51124999998</c:v>
                </c:pt>
                <c:pt idx="50">
                  <c:v>585065.51124999998</c:v>
                </c:pt>
                <c:pt idx="51">
                  <c:v>585065.51124999998</c:v>
                </c:pt>
                <c:pt idx="52">
                  <c:v>585065.51124999998</c:v>
                </c:pt>
                <c:pt idx="53">
                  <c:v>585065.51124999998</c:v>
                </c:pt>
                <c:pt idx="54">
                  <c:v>585065.51124999998</c:v>
                </c:pt>
                <c:pt idx="55">
                  <c:v>585065.51124999998</c:v>
                </c:pt>
                <c:pt idx="56">
                  <c:v>585065.51124999998</c:v>
                </c:pt>
                <c:pt idx="57">
                  <c:v>585065.51124999998</c:v>
                </c:pt>
                <c:pt idx="58">
                  <c:v>585065.51124999998</c:v>
                </c:pt>
                <c:pt idx="59">
                  <c:v>585065.51124999998</c:v>
                </c:pt>
                <c:pt idx="60">
                  <c:v>585065.51124999998</c:v>
                </c:pt>
                <c:pt idx="61">
                  <c:v>585065.51124999998</c:v>
                </c:pt>
                <c:pt idx="62">
                  <c:v>585065.51124999998</c:v>
                </c:pt>
                <c:pt idx="63">
                  <c:v>585065.51124999998</c:v>
                </c:pt>
                <c:pt idx="64">
                  <c:v>585065.51124999998</c:v>
                </c:pt>
                <c:pt idx="65">
                  <c:v>585065.51124999998</c:v>
                </c:pt>
                <c:pt idx="66">
                  <c:v>585065.51124999998</c:v>
                </c:pt>
                <c:pt idx="67">
                  <c:v>585065.51124999998</c:v>
                </c:pt>
                <c:pt idx="68">
                  <c:v>585065.51124999998</c:v>
                </c:pt>
                <c:pt idx="69">
                  <c:v>585065.51124999998</c:v>
                </c:pt>
                <c:pt idx="70">
                  <c:v>585065.51124999998</c:v>
                </c:pt>
                <c:pt idx="71">
                  <c:v>585065.51124999998</c:v>
                </c:pt>
                <c:pt idx="72">
                  <c:v>585065.51124999998</c:v>
                </c:pt>
                <c:pt idx="73">
                  <c:v>585065.51124999998</c:v>
                </c:pt>
                <c:pt idx="74">
                  <c:v>585065.51124999998</c:v>
                </c:pt>
                <c:pt idx="75">
                  <c:v>585065.51124999998</c:v>
                </c:pt>
                <c:pt idx="76">
                  <c:v>585065.51124999998</c:v>
                </c:pt>
                <c:pt idx="77">
                  <c:v>585065.51124999998</c:v>
                </c:pt>
                <c:pt idx="78">
                  <c:v>585065.51124999998</c:v>
                </c:pt>
                <c:pt idx="79">
                  <c:v>585065.51124999998</c:v>
                </c:pt>
                <c:pt idx="80">
                  <c:v>585065.51124999998</c:v>
                </c:pt>
                <c:pt idx="81">
                  <c:v>585065.51124999998</c:v>
                </c:pt>
                <c:pt idx="82">
                  <c:v>585065.51124999998</c:v>
                </c:pt>
                <c:pt idx="83">
                  <c:v>585065.51124999998</c:v>
                </c:pt>
                <c:pt idx="84">
                  <c:v>585065.51124999998</c:v>
                </c:pt>
                <c:pt idx="85">
                  <c:v>585065.51124999998</c:v>
                </c:pt>
                <c:pt idx="86">
                  <c:v>585065.51124999998</c:v>
                </c:pt>
                <c:pt idx="87">
                  <c:v>585065.51124999998</c:v>
                </c:pt>
                <c:pt idx="88">
                  <c:v>585065.51124999998</c:v>
                </c:pt>
                <c:pt idx="89">
                  <c:v>585065.51124999998</c:v>
                </c:pt>
                <c:pt idx="90">
                  <c:v>585065.51124999998</c:v>
                </c:pt>
                <c:pt idx="91">
                  <c:v>585065.51124999998</c:v>
                </c:pt>
                <c:pt idx="92">
                  <c:v>585065.51124999998</c:v>
                </c:pt>
                <c:pt idx="93">
                  <c:v>585065.51124999998</c:v>
                </c:pt>
                <c:pt idx="94">
                  <c:v>585065.51124999998</c:v>
                </c:pt>
                <c:pt idx="95">
                  <c:v>585065.51124999998</c:v>
                </c:pt>
                <c:pt idx="96">
                  <c:v>585065.51124999998</c:v>
                </c:pt>
                <c:pt idx="97">
                  <c:v>585065.51124999998</c:v>
                </c:pt>
                <c:pt idx="98">
                  <c:v>585065.51124999998</c:v>
                </c:pt>
                <c:pt idx="99">
                  <c:v>585065.51124999998</c:v>
                </c:pt>
                <c:pt idx="100">
                  <c:v>585065.51124999998</c:v>
                </c:pt>
                <c:pt idx="101">
                  <c:v>585065.51124999998</c:v>
                </c:pt>
                <c:pt idx="102">
                  <c:v>585065.51124999998</c:v>
                </c:pt>
                <c:pt idx="103">
                  <c:v>585065.51124999998</c:v>
                </c:pt>
                <c:pt idx="104">
                  <c:v>585065.51124999998</c:v>
                </c:pt>
                <c:pt idx="105">
                  <c:v>585065.51124999998</c:v>
                </c:pt>
                <c:pt idx="106">
                  <c:v>585065.51124999998</c:v>
                </c:pt>
                <c:pt idx="107">
                  <c:v>585065.51124999998</c:v>
                </c:pt>
                <c:pt idx="108">
                  <c:v>585065.51124999998</c:v>
                </c:pt>
                <c:pt idx="109">
                  <c:v>585065.51124999998</c:v>
                </c:pt>
                <c:pt idx="110">
                  <c:v>585065.51124999998</c:v>
                </c:pt>
                <c:pt idx="111">
                  <c:v>585065.51124999998</c:v>
                </c:pt>
                <c:pt idx="112">
                  <c:v>585065.51124999998</c:v>
                </c:pt>
                <c:pt idx="113">
                  <c:v>585065.51124999998</c:v>
                </c:pt>
                <c:pt idx="114">
                  <c:v>585065.51124999998</c:v>
                </c:pt>
                <c:pt idx="115">
                  <c:v>585065.51124999998</c:v>
                </c:pt>
                <c:pt idx="116">
                  <c:v>585065.51124999998</c:v>
                </c:pt>
                <c:pt idx="117">
                  <c:v>585065.51124999998</c:v>
                </c:pt>
                <c:pt idx="118">
                  <c:v>585065.51124999998</c:v>
                </c:pt>
                <c:pt idx="119">
                  <c:v>585065.51124999998</c:v>
                </c:pt>
                <c:pt idx="120">
                  <c:v>585065.51124999998</c:v>
                </c:pt>
                <c:pt idx="121">
                  <c:v>585065.51124999998</c:v>
                </c:pt>
                <c:pt idx="122">
                  <c:v>585065.51124999998</c:v>
                </c:pt>
                <c:pt idx="123">
                  <c:v>585065.51124999998</c:v>
                </c:pt>
                <c:pt idx="124">
                  <c:v>585065.51124999998</c:v>
                </c:pt>
                <c:pt idx="125">
                  <c:v>585065.51124999998</c:v>
                </c:pt>
                <c:pt idx="126">
                  <c:v>585065.51124999998</c:v>
                </c:pt>
                <c:pt idx="127">
                  <c:v>585065.51124999998</c:v>
                </c:pt>
                <c:pt idx="128">
                  <c:v>585065.51124999998</c:v>
                </c:pt>
                <c:pt idx="129">
                  <c:v>585065.51124999998</c:v>
                </c:pt>
                <c:pt idx="130">
                  <c:v>585065.51124999998</c:v>
                </c:pt>
                <c:pt idx="131">
                  <c:v>585065.51124999998</c:v>
                </c:pt>
                <c:pt idx="132">
                  <c:v>585065.51124999998</c:v>
                </c:pt>
                <c:pt idx="133">
                  <c:v>585065.51124999998</c:v>
                </c:pt>
                <c:pt idx="134">
                  <c:v>585065.51124999998</c:v>
                </c:pt>
                <c:pt idx="135">
                  <c:v>585065.51124999998</c:v>
                </c:pt>
                <c:pt idx="136">
                  <c:v>585065.51124999998</c:v>
                </c:pt>
                <c:pt idx="137">
                  <c:v>585065.51124999998</c:v>
                </c:pt>
                <c:pt idx="138">
                  <c:v>585065.51124999998</c:v>
                </c:pt>
                <c:pt idx="139">
                  <c:v>585065.51124999998</c:v>
                </c:pt>
                <c:pt idx="140">
                  <c:v>585065.51124999998</c:v>
                </c:pt>
                <c:pt idx="141">
                  <c:v>585065.51124999998</c:v>
                </c:pt>
                <c:pt idx="142">
                  <c:v>585065.51124999998</c:v>
                </c:pt>
                <c:pt idx="143">
                  <c:v>585065.51124999998</c:v>
                </c:pt>
                <c:pt idx="144">
                  <c:v>585065.51124999998</c:v>
                </c:pt>
                <c:pt idx="145">
                  <c:v>585065.51124999998</c:v>
                </c:pt>
                <c:pt idx="146">
                  <c:v>585065.51124999998</c:v>
                </c:pt>
                <c:pt idx="147">
                  <c:v>585065.51124999998</c:v>
                </c:pt>
                <c:pt idx="148">
                  <c:v>585065.51124999998</c:v>
                </c:pt>
                <c:pt idx="149">
                  <c:v>585065.51124999998</c:v>
                </c:pt>
                <c:pt idx="150">
                  <c:v>585065.51124999998</c:v>
                </c:pt>
                <c:pt idx="151">
                  <c:v>585065.51124999998</c:v>
                </c:pt>
                <c:pt idx="152">
                  <c:v>585065.51124999998</c:v>
                </c:pt>
                <c:pt idx="153">
                  <c:v>585065.51124999998</c:v>
                </c:pt>
                <c:pt idx="154">
                  <c:v>585065.51124999998</c:v>
                </c:pt>
                <c:pt idx="155">
                  <c:v>585065.51124999998</c:v>
                </c:pt>
                <c:pt idx="156">
                  <c:v>585065.51124999998</c:v>
                </c:pt>
                <c:pt idx="157">
                  <c:v>585065.51124999998</c:v>
                </c:pt>
                <c:pt idx="158">
                  <c:v>585065.51124999998</c:v>
                </c:pt>
                <c:pt idx="159">
                  <c:v>585065.51124999998</c:v>
                </c:pt>
                <c:pt idx="160">
                  <c:v>585065.51124999998</c:v>
                </c:pt>
                <c:pt idx="161">
                  <c:v>585065.51124999998</c:v>
                </c:pt>
                <c:pt idx="162">
                  <c:v>585065.51124999998</c:v>
                </c:pt>
                <c:pt idx="163">
                  <c:v>585065.51124999998</c:v>
                </c:pt>
                <c:pt idx="164">
                  <c:v>585065.51124999998</c:v>
                </c:pt>
                <c:pt idx="165">
                  <c:v>585065.51124999998</c:v>
                </c:pt>
                <c:pt idx="166">
                  <c:v>585065.51124999998</c:v>
                </c:pt>
                <c:pt idx="167">
                  <c:v>585065.51124999998</c:v>
                </c:pt>
                <c:pt idx="168">
                  <c:v>585065.51124999998</c:v>
                </c:pt>
                <c:pt idx="169">
                  <c:v>585065.51124999998</c:v>
                </c:pt>
                <c:pt idx="170">
                  <c:v>585065.51124999998</c:v>
                </c:pt>
                <c:pt idx="171">
                  <c:v>585065.51124999998</c:v>
                </c:pt>
                <c:pt idx="172">
                  <c:v>585065.51124999998</c:v>
                </c:pt>
                <c:pt idx="173">
                  <c:v>585065.51124999998</c:v>
                </c:pt>
                <c:pt idx="174">
                  <c:v>585065.51124999998</c:v>
                </c:pt>
                <c:pt idx="175">
                  <c:v>585065.51124999998</c:v>
                </c:pt>
                <c:pt idx="176">
                  <c:v>585065.51124999998</c:v>
                </c:pt>
                <c:pt idx="177">
                  <c:v>585065.51124999998</c:v>
                </c:pt>
                <c:pt idx="178">
                  <c:v>585065.51124999998</c:v>
                </c:pt>
                <c:pt idx="179">
                  <c:v>585065.51124999998</c:v>
                </c:pt>
                <c:pt idx="180">
                  <c:v>585065.51124999998</c:v>
                </c:pt>
                <c:pt idx="181">
                  <c:v>585065.51124999998</c:v>
                </c:pt>
                <c:pt idx="182">
                  <c:v>585065.51124999998</c:v>
                </c:pt>
                <c:pt idx="183">
                  <c:v>585065.51124999998</c:v>
                </c:pt>
                <c:pt idx="184">
                  <c:v>585065.51124999998</c:v>
                </c:pt>
                <c:pt idx="185">
                  <c:v>585065.51124999998</c:v>
                </c:pt>
                <c:pt idx="186">
                  <c:v>585065.51124999998</c:v>
                </c:pt>
                <c:pt idx="187">
                  <c:v>585065.51124999998</c:v>
                </c:pt>
                <c:pt idx="188">
                  <c:v>585065.51124999998</c:v>
                </c:pt>
                <c:pt idx="189">
                  <c:v>585065.51124999998</c:v>
                </c:pt>
                <c:pt idx="190">
                  <c:v>585065.51124999998</c:v>
                </c:pt>
                <c:pt idx="191">
                  <c:v>585065.51124999998</c:v>
                </c:pt>
                <c:pt idx="192">
                  <c:v>585065.51124999998</c:v>
                </c:pt>
                <c:pt idx="193">
                  <c:v>585065.51124999998</c:v>
                </c:pt>
                <c:pt idx="194">
                  <c:v>585065.51124999998</c:v>
                </c:pt>
                <c:pt idx="195">
                  <c:v>585065.51124999998</c:v>
                </c:pt>
                <c:pt idx="196">
                  <c:v>585065.51124999998</c:v>
                </c:pt>
                <c:pt idx="197">
                  <c:v>585065.51124999998</c:v>
                </c:pt>
                <c:pt idx="198">
                  <c:v>585065.51124999998</c:v>
                </c:pt>
                <c:pt idx="199">
                  <c:v>585065.51124999998</c:v>
                </c:pt>
                <c:pt idx="200">
                  <c:v>585065.51124999998</c:v>
                </c:pt>
                <c:pt idx="201">
                  <c:v>585065.51124999998</c:v>
                </c:pt>
                <c:pt idx="202">
                  <c:v>585065.51124999998</c:v>
                </c:pt>
                <c:pt idx="203">
                  <c:v>585065.51124999998</c:v>
                </c:pt>
                <c:pt idx="204">
                  <c:v>585065.51124999998</c:v>
                </c:pt>
                <c:pt idx="205">
                  <c:v>585065.51124999998</c:v>
                </c:pt>
                <c:pt idx="206">
                  <c:v>585065.51124999998</c:v>
                </c:pt>
                <c:pt idx="207">
                  <c:v>585065.51124999998</c:v>
                </c:pt>
                <c:pt idx="208">
                  <c:v>585065.51124999998</c:v>
                </c:pt>
                <c:pt idx="209">
                  <c:v>585065.51124999998</c:v>
                </c:pt>
                <c:pt idx="210">
                  <c:v>585065.51124999998</c:v>
                </c:pt>
                <c:pt idx="211">
                  <c:v>585065.51124999998</c:v>
                </c:pt>
                <c:pt idx="212">
                  <c:v>585065.51124999998</c:v>
                </c:pt>
                <c:pt idx="213">
                  <c:v>585065.51124999998</c:v>
                </c:pt>
                <c:pt idx="214">
                  <c:v>585065.51124999998</c:v>
                </c:pt>
                <c:pt idx="215">
                  <c:v>585065.51124999998</c:v>
                </c:pt>
                <c:pt idx="216">
                  <c:v>585065.51124999998</c:v>
                </c:pt>
                <c:pt idx="217">
                  <c:v>585065.51124999998</c:v>
                </c:pt>
                <c:pt idx="218">
                  <c:v>585065.51124999998</c:v>
                </c:pt>
                <c:pt idx="219">
                  <c:v>585065.51124999998</c:v>
                </c:pt>
                <c:pt idx="220">
                  <c:v>585065.51124999998</c:v>
                </c:pt>
                <c:pt idx="221">
                  <c:v>585065.51124999998</c:v>
                </c:pt>
                <c:pt idx="222">
                  <c:v>585065.51124999998</c:v>
                </c:pt>
                <c:pt idx="223">
                  <c:v>585065.51124999998</c:v>
                </c:pt>
                <c:pt idx="224">
                  <c:v>585065.51124999998</c:v>
                </c:pt>
                <c:pt idx="225">
                  <c:v>585065.51124999998</c:v>
                </c:pt>
                <c:pt idx="226">
                  <c:v>585065.51124999998</c:v>
                </c:pt>
                <c:pt idx="227">
                  <c:v>585065.51124999998</c:v>
                </c:pt>
                <c:pt idx="228">
                  <c:v>585065.51124999998</c:v>
                </c:pt>
                <c:pt idx="229">
                  <c:v>585065.51124999998</c:v>
                </c:pt>
                <c:pt idx="230">
                  <c:v>585065.51124999998</c:v>
                </c:pt>
                <c:pt idx="231">
                  <c:v>585065.51124999998</c:v>
                </c:pt>
                <c:pt idx="232">
                  <c:v>585065.51124999998</c:v>
                </c:pt>
                <c:pt idx="233">
                  <c:v>585065.51124999998</c:v>
                </c:pt>
                <c:pt idx="234">
                  <c:v>585065.51124999998</c:v>
                </c:pt>
                <c:pt idx="235">
                  <c:v>585065.51124999998</c:v>
                </c:pt>
                <c:pt idx="236">
                  <c:v>585065.51124999998</c:v>
                </c:pt>
                <c:pt idx="237">
                  <c:v>585065.51124999998</c:v>
                </c:pt>
                <c:pt idx="238">
                  <c:v>585065.51124999998</c:v>
                </c:pt>
                <c:pt idx="239">
                  <c:v>585065.51124999998</c:v>
                </c:pt>
                <c:pt idx="240">
                  <c:v>585065.51124999998</c:v>
                </c:pt>
                <c:pt idx="241">
                  <c:v>585065.51124999998</c:v>
                </c:pt>
                <c:pt idx="242">
                  <c:v>585065.51124999998</c:v>
                </c:pt>
                <c:pt idx="243">
                  <c:v>585065.51124999998</c:v>
                </c:pt>
                <c:pt idx="244">
                  <c:v>585065.51124999998</c:v>
                </c:pt>
                <c:pt idx="245">
                  <c:v>585065.51124999998</c:v>
                </c:pt>
                <c:pt idx="246">
                  <c:v>585065.51124999998</c:v>
                </c:pt>
                <c:pt idx="247">
                  <c:v>585065.51124999998</c:v>
                </c:pt>
                <c:pt idx="248">
                  <c:v>585065.51124999998</c:v>
                </c:pt>
                <c:pt idx="249">
                  <c:v>585065.51124999998</c:v>
                </c:pt>
                <c:pt idx="250">
                  <c:v>585065.51124999998</c:v>
                </c:pt>
                <c:pt idx="251">
                  <c:v>585065.51124999998</c:v>
                </c:pt>
                <c:pt idx="252">
                  <c:v>585065.51124999998</c:v>
                </c:pt>
                <c:pt idx="253">
                  <c:v>585065.51124999998</c:v>
                </c:pt>
                <c:pt idx="254">
                  <c:v>585065.51124999998</c:v>
                </c:pt>
                <c:pt idx="255">
                  <c:v>585065.51124999998</c:v>
                </c:pt>
                <c:pt idx="256">
                  <c:v>585065.51124999998</c:v>
                </c:pt>
                <c:pt idx="257">
                  <c:v>585065.51124999998</c:v>
                </c:pt>
                <c:pt idx="258">
                  <c:v>585065.51124999998</c:v>
                </c:pt>
                <c:pt idx="259">
                  <c:v>585065.51124999998</c:v>
                </c:pt>
                <c:pt idx="260">
                  <c:v>585065.51124999998</c:v>
                </c:pt>
                <c:pt idx="261">
                  <c:v>585065.51124999998</c:v>
                </c:pt>
                <c:pt idx="262">
                  <c:v>585065.51124999998</c:v>
                </c:pt>
                <c:pt idx="263">
                  <c:v>585065.51124999998</c:v>
                </c:pt>
                <c:pt idx="264">
                  <c:v>585065.51124999998</c:v>
                </c:pt>
                <c:pt idx="265">
                  <c:v>585065.51124999998</c:v>
                </c:pt>
                <c:pt idx="266">
                  <c:v>585065.51124999998</c:v>
                </c:pt>
                <c:pt idx="267">
                  <c:v>585065.51124999998</c:v>
                </c:pt>
                <c:pt idx="268">
                  <c:v>585065.51124999998</c:v>
                </c:pt>
                <c:pt idx="269">
                  <c:v>585065.51124999998</c:v>
                </c:pt>
                <c:pt idx="270">
                  <c:v>585065.51124999998</c:v>
                </c:pt>
                <c:pt idx="271">
                  <c:v>585065.51124999998</c:v>
                </c:pt>
                <c:pt idx="272">
                  <c:v>585065.51124999998</c:v>
                </c:pt>
                <c:pt idx="273">
                  <c:v>585065.51124999998</c:v>
                </c:pt>
                <c:pt idx="274">
                  <c:v>585065.51124999998</c:v>
                </c:pt>
                <c:pt idx="275">
                  <c:v>585065.51124999998</c:v>
                </c:pt>
                <c:pt idx="276">
                  <c:v>585065.51124999998</c:v>
                </c:pt>
                <c:pt idx="277">
                  <c:v>585065.51124999998</c:v>
                </c:pt>
                <c:pt idx="278">
                  <c:v>585065.51124999998</c:v>
                </c:pt>
                <c:pt idx="279">
                  <c:v>585065.51124999998</c:v>
                </c:pt>
                <c:pt idx="280">
                  <c:v>585065.51124999998</c:v>
                </c:pt>
                <c:pt idx="281">
                  <c:v>585065.51124999998</c:v>
                </c:pt>
                <c:pt idx="282">
                  <c:v>585065.51124999998</c:v>
                </c:pt>
                <c:pt idx="283">
                  <c:v>585065.51124999998</c:v>
                </c:pt>
                <c:pt idx="284">
                  <c:v>585065.51124999998</c:v>
                </c:pt>
                <c:pt idx="285">
                  <c:v>585065.51124999998</c:v>
                </c:pt>
                <c:pt idx="286">
                  <c:v>585065.51124999998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753316.22037769004</c:v>
                </c:pt>
                <c:pt idx="12">
                  <c:v>753316.22037769004</c:v>
                </c:pt>
                <c:pt idx="13">
                  <c:v>753316.22037769004</c:v>
                </c:pt>
                <c:pt idx="14">
                  <c:v>745038.02037769009</c:v>
                </c:pt>
                <c:pt idx="15">
                  <c:v>726954.62037769007</c:v>
                </c:pt>
                <c:pt idx="16">
                  <c:v>726662.95371102344</c:v>
                </c:pt>
                <c:pt idx="17">
                  <c:v>726662.95371102344</c:v>
                </c:pt>
                <c:pt idx="18">
                  <c:v>721144.15371102339</c:v>
                </c:pt>
                <c:pt idx="19">
                  <c:v>239084.64246102341</c:v>
                </c:pt>
                <c:pt idx="20">
                  <c:v>238792.97579435678</c:v>
                </c:pt>
                <c:pt idx="21">
                  <c:v>238792.97579435678</c:v>
                </c:pt>
                <c:pt idx="22">
                  <c:v>238792.97579435678</c:v>
                </c:pt>
                <c:pt idx="23">
                  <c:v>238792.97579435678</c:v>
                </c:pt>
                <c:pt idx="24">
                  <c:v>238792.97579435678</c:v>
                </c:pt>
                <c:pt idx="25">
                  <c:v>238792.97579435678</c:v>
                </c:pt>
                <c:pt idx="26">
                  <c:v>238792.97579435678</c:v>
                </c:pt>
                <c:pt idx="27">
                  <c:v>238792.97579435678</c:v>
                </c:pt>
                <c:pt idx="28">
                  <c:v>238792.97579435678</c:v>
                </c:pt>
                <c:pt idx="29">
                  <c:v>238792.97579435678</c:v>
                </c:pt>
                <c:pt idx="30">
                  <c:v>238792.97579435678</c:v>
                </c:pt>
                <c:pt idx="31">
                  <c:v>238792.97579435678</c:v>
                </c:pt>
                <c:pt idx="32">
                  <c:v>238792.97579435678</c:v>
                </c:pt>
                <c:pt idx="33">
                  <c:v>238792.97579435678</c:v>
                </c:pt>
                <c:pt idx="34">
                  <c:v>238792.97579435678</c:v>
                </c:pt>
                <c:pt idx="35">
                  <c:v>238792.97579435678</c:v>
                </c:pt>
                <c:pt idx="36">
                  <c:v>238792.97579435678</c:v>
                </c:pt>
                <c:pt idx="37">
                  <c:v>238792.97579435678</c:v>
                </c:pt>
                <c:pt idx="38">
                  <c:v>238792.97579435678</c:v>
                </c:pt>
                <c:pt idx="39">
                  <c:v>238792.97579435678</c:v>
                </c:pt>
                <c:pt idx="40">
                  <c:v>238792.97579435678</c:v>
                </c:pt>
                <c:pt idx="41">
                  <c:v>238792.97579435678</c:v>
                </c:pt>
                <c:pt idx="42">
                  <c:v>238792.97579435678</c:v>
                </c:pt>
                <c:pt idx="43">
                  <c:v>238792.97579435678</c:v>
                </c:pt>
                <c:pt idx="44">
                  <c:v>238792.97579435678</c:v>
                </c:pt>
                <c:pt idx="45">
                  <c:v>238792.97579435678</c:v>
                </c:pt>
                <c:pt idx="46">
                  <c:v>238792.97579435678</c:v>
                </c:pt>
                <c:pt idx="47">
                  <c:v>238792.97579435678</c:v>
                </c:pt>
                <c:pt idx="48">
                  <c:v>238792.97579435678</c:v>
                </c:pt>
                <c:pt idx="49">
                  <c:v>238792.97579435678</c:v>
                </c:pt>
                <c:pt idx="50">
                  <c:v>238792.97579435678</c:v>
                </c:pt>
                <c:pt idx="51">
                  <c:v>238792.97579435678</c:v>
                </c:pt>
                <c:pt idx="52">
                  <c:v>238792.97579435678</c:v>
                </c:pt>
                <c:pt idx="53">
                  <c:v>238792.97579435678</c:v>
                </c:pt>
                <c:pt idx="54">
                  <c:v>238792.97579435678</c:v>
                </c:pt>
                <c:pt idx="55">
                  <c:v>238792.97579435678</c:v>
                </c:pt>
                <c:pt idx="56">
                  <c:v>238792.97579435678</c:v>
                </c:pt>
                <c:pt idx="57">
                  <c:v>238792.97579435678</c:v>
                </c:pt>
                <c:pt idx="58">
                  <c:v>238792.97579435678</c:v>
                </c:pt>
                <c:pt idx="59">
                  <c:v>238792.97579435678</c:v>
                </c:pt>
                <c:pt idx="60">
                  <c:v>238792.97579435678</c:v>
                </c:pt>
                <c:pt idx="61">
                  <c:v>238792.97579435678</c:v>
                </c:pt>
                <c:pt idx="62">
                  <c:v>238792.97579435678</c:v>
                </c:pt>
                <c:pt idx="63">
                  <c:v>238792.97579435678</c:v>
                </c:pt>
                <c:pt idx="64">
                  <c:v>238792.97579435678</c:v>
                </c:pt>
                <c:pt idx="65">
                  <c:v>238792.97579435678</c:v>
                </c:pt>
                <c:pt idx="66">
                  <c:v>238792.97579435678</c:v>
                </c:pt>
                <c:pt idx="67">
                  <c:v>238792.97579435678</c:v>
                </c:pt>
                <c:pt idx="68">
                  <c:v>238792.97579435678</c:v>
                </c:pt>
                <c:pt idx="69">
                  <c:v>238792.97579435678</c:v>
                </c:pt>
                <c:pt idx="70">
                  <c:v>238792.97579435678</c:v>
                </c:pt>
                <c:pt idx="71">
                  <c:v>238792.97579435678</c:v>
                </c:pt>
                <c:pt idx="72">
                  <c:v>238792.97579435678</c:v>
                </c:pt>
                <c:pt idx="73">
                  <c:v>238792.97579435678</c:v>
                </c:pt>
                <c:pt idx="74">
                  <c:v>238792.97579435678</c:v>
                </c:pt>
                <c:pt idx="75">
                  <c:v>238792.97579435678</c:v>
                </c:pt>
                <c:pt idx="76">
                  <c:v>238792.97579435678</c:v>
                </c:pt>
                <c:pt idx="77">
                  <c:v>238792.97579435678</c:v>
                </c:pt>
                <c:pt idx="78">
                  <c:v>238792.97579435678</c:v>
                </c:pt>
                <c:pt idx="79">
                  <c:v>238792.97579435678</c:v>
                </c:pt>
                <c:pt idx="80">
                  <c:v>238792.97579435678</c:v>
                </c:pt>
                <c:pt idx="81">
                  <c:v>238792.97579435678</c:v>
                </c:pt>
                <c:pt idx="82">
                  <c:v>238792.97579435678</c:v>
                </c:pt>
                <c:pt idx="83">
                  <c:v>238792.97579435678</c:v>
                </c:pt>
                <c:pt idx="84">
                  <c:v>238792.97579435678</c:v>
                </c:pt>
                <c:pt idx="85">
                  <c:v>238792.97579435678</c:v>
                </c:pt>
                <c:pt idx="86">
                  <c:v>238792.97579435678</c:v>
                </c:pt>
                <c:pt idx="87">
                  <c:v>238792.97579435678</c:v>
                </c:pt>
                <c:pt idx="88">
                  <c:v>238792.97579435678</c:v>
                </c:pt>
                <c:pt idx="89">
                  <c:v>238792.97579435678</c:v>
                </c:pt>
                <c:pt idx="90">
                  <c:v>238792.97579435678</c:v>
                </c:pt>
                <c:pt idx="91">
                  <c:v>238792.97579435678</c:v>
                </c:pt>
                <c:pt idx="92">
                  <c:v>238792.97579435678</c:v>
                </c:pt>
                <c:pt idx="93">
                  <c:v>238792.97579435678</c:v>
                </c:pt>
                <c:pt idx="94">
                  <c:v>238792.97579435678</c:v>
                </c:pt>
                <c:pt idx="95">
                  <c:v>238792.97579435678</c:v>
                </c:pt>
                <c:pt idx="96">
                  <c:v>238792.97579435678</c:v>
                </c:pt>
                <c:pt idx="97">
                  <c:v>238792.97579435678</c:v>
                </c:pt>
                <c:pt idx="98">
                  <c:v>238792.97579435678</c:v>
                </c:pt>
                <c:pt idx="99">
                  <c:v>238792.97579435678</c:v>
                </c:pt>
                <c:pt idx="100">
                  <c:v>238792.97579435678</c:v>
                </c:pt>
                <c:pt idx="101">
                  <c:v>238792.97579435678</c:v>
                </c:pt>
                <c:pt idx="102">
                  <c:v>238792.97579435678</c:v>
                </c:pt>
                <c:pt idx="103">
                  <c:v>238792.97579435678</c:v>
                </c:pt>
                <c:pt idx="104">
                  <c:v>238792.97579435678</c:v>
                </c:pt>
                <c:pt idx="105">
                  <c:v>238792.97579435678</c:v>
                </c:pt>
                <c:pt idx="106">
                  <c:v>238792.97579435678</c:v>
                </c:pt>
                <c:pt idx="107">
                  <c:v>238792.97579435678</c:v>
                </c:pt>
                <c:pt idx="108">
                  <c:v>238792.97579435678</c:v>
                </c:pt>
                <c:pt idx="109">
                  <c:v>238792.97579435678</c:v>
                </c:pt>
                <c:pt idx="110">
                  <c:v>238792.97579435678</c:v>
                </c:pt>
                <c:pt idx="111">
                  <c:v>238792.97579435678</c:v>
                </c:pt>
                <c:pt idx="112">
                  <c:v>238792.97579435678</c:v>
                </c:pt>
                <c:pt idx="113">
                  <c:v>238792.97579435678</c:v>
                </c:pt>
                <c:pt idx="114">
                  <c:v>238792.97579435678</c:v>
                </c:pt>
                <c:pt idx="115">
                  <c:v>238792.97579435678</c:v>
                </c:pt>
                <c:pt idx="116">
                  <c:v>238792.97579435678</c:v>
                </c:pt>
                <c:pt idx="117">
                  <c:v>238792.97579435678</c:v>
                </c:pt>
                <c:pt idx="118">
                  <c:v>238792.97579435678</c:v>
                </c:pt>
                <c:pt idx="119">
                  <c:v>238792.97579435678</c:v>
                </c:pt>
                <c:pt idx="120">
                  <c:v>238792.97579435678</c:v>
                </c:pt>
                <c:pt idx="121">
                  <c:v>238792.97579435678</c:v>
                </c:pt>
                <c:pt idx="122">
                  <c:v>238792.97579435678</c:v>
                </c:pt>
                <c:pt idx="123">
                  <c:v>238792.97579435678</c:v>
                </c:pt>
                <c:pt idx="124">
                  <c:v>238792.97579435678</c:v>
                </c:pt>
                <c:pt idx="125">
                  <c:v>238792.97579435678</c:v>
                </c:pt>
                <c:pt idx="126">
                  <c:v>238792.97579435678</c:v>
                </c:pt>
                <c:pt idx="127">
                  <c:v>238792.97579435678</c:v>
                </c:pt>
                <c:pt idx="128">
                  <c:v>238792.97579435678</c:v>
                </c:pt>
                <c:pt idx="129">
                  <c:v>238792.97579435678</c:v>
                </c:pt>
                <c:pt idx="130">
                  <c:v>238792.97579435678</c:v>
                </c:pt>
                <c:pt idx="131">
                  <c:v>238792.97579435678</c:v>
                </c:pt>
                <c:pt idx="132">
                  <c:v>238792.97579435678</c:v>
                </c:pt>
                <c:pt idx="133">
                  <c:v>238792.97579435678</c:v>
                </c:pt>
                <c:pt idx="134">
                  <c:v>238792.97579435678</c:v>
                </c:pt>
                <c:pt idx="135">
                  <c:v>238792.97579435678</c:v>
                </c:pt>
                <c:pt idx="136">
                  <c:v>238792.97579435678</c:v>
                </c:pt>
                <c:pt idx="137">
                  <c:v>238792.97579435678</c:v>
                </c:pt>
                <c:pt idx="138">
                  <c:v>238792.97579435678</c:v>
                </c:pt>
                <c:pt idx="139">
                  <c:v>238792.97579435678</c:v>
                </c:pt>
                <c:pt idx="140">
                  <c:v>238792.97579435678</c:v>
                </c:pt>
                <c:pt idx="141">
                  <c:v>238792.97579435678</c:v>
                </c:pt>
                <c:pt idx="142">
                  <c:v>238792.97579435678</c:v>
                </c:pt>
                <c:pt idx="143">
                  <c:v>238792.97579435678</c:v>
                </c:pt>
                <c:pt idx="144">
                  <c:v>238792.97579435678</c:v>
                </c:pt>
                <c:pt idx="145">
                  <c:v>238792.97579435678</c:v>
                </c:pt>
                <c:pt idx="146">
                  <c:v>238792.97579435678</c:v>
                </c:pt>
                <c:pt idx="147">
                  <c:v>238792.97579435678</c:v>
                </c:pt>
                <c:pt idx="148">
                  <c:v>238792.97579435678</c:v>
                </c:pt>
                <c:pt idx="149">
                  <c:v>238792.97579435678</c:v>
                </c:pt>
                <c:pt idx="150">
                  <c:v>238792.97579435678</c:v>
                </c:pt>
                <c:pt idx="151">
                  <c:v>238792.97579435678</c:v>
                </c:pt>
                <c:pt idx="152">
                  <c:v>238792.97579435678</c:v>
                </c:pt>
                <c:pt idx="153">
                  <c:v>238792.97579435678</c:v>
                </c:pt>
                <c:pt idx="154">
                  <c:v>238792.97579435678</c:v>
                </c:pt>
                <c:pt idx="155">
                  <c:v>238792.97579435678</c:v>
                </c:pt>
                <c:pt idx="156">
                  <c:v>238792.97579435678</c:v>
                </c:pt>
                <c:pt idx="157">
                  <c:v>238792.97579435678</c:v>
                </c:pt>
                <c:pt idx="158">
                  <c:v>238792.97579435678</c:v>
                </c:pt>
                <c:pt idx="159">
                  <c:v>238792.97579435678</c:v>
                </c:pt>
                <c:pt idx="160">
                  <c:v>238792.97579435678</c:v>
                </c:pt>
                <c:pt idx="161">
                  <c:v>238792.97579435678</c:v>
                </c:pt>
                <c:pt idx="162">
                  <c:v>238792.97579435678</c:v>
                </c:pt>
                <c:pt idx="163">
                  <c:v>238792.97579435678</c:v>
                </c:pt>
                <c:pt idx="164">
                  <c:v>238792.97579435678</c:v>
                </c:pt>
                <c:pt idx="165">
                  <c:v>238792.97579435678</c:v>
                </c:pt>
                <c:pt idx="166">
                  <c:v>238792.97579435678</c:v>
                </c:pt>
                <c:pt idx="167">
                  <c:v>238792.97579435678</c:v>
                </c:pt>
                <c:pt idx="168">
                  <c:v>238792.97579435678</c:v>
                </c:pt>
                <c:pt idx="169">
                  <c:v>238792.97579435678</c:v>
                </c:pt>
                <c:pt idx="170">
                  <c:v>238792.97579435678</c:v>
                </c:pt>
                <c:pt idx="171">
                  <c:v>238792.97579435678</c:v>
                </c:pt>
                <c:pt idx="172">
                  <c:v>238792.97579435678</c:v>
                </c:pt>
                <c:pt idx="173">
                  <c:v>238792.97579435678</c:v>
                </c:pt>
                <c:pt idx="174">
                  <c:v>238792.97579435678</c:v>
                </c:pt>
                <c:pt idx="175">
                  <c:v>238792.97579435678</c:v>
                </c:pt>
                <c:pt idx="176">
                  <c:v>238792.97579435678</c:v>
                </c:pt>
                <c:pt idx="177">
                  <c:v>238792.97579435678</c:v>
                </c:pt>
                <c:pt idx="178">
                  <c:v>238792.97579435678</c:v>
                </c:pt>
                <c:pt idx="179">
                  <c:v>238792.97579435678</c:v>
                </c:pt>
                <c:pt idx="180">
                  <c:v>238792.97579435678</c:v>
                </c:pt>
                <c:pt idx="181">
                  <c:v>238792.97579435678</c:v>
                </c:pt>
                <c:pt idx="182">
                  <c:v>238792.97579435678</c:v>
                </c:pt>
                <c:pt idx="183">
                  <c:v>238792.97579435678</c:v>
                </c:pt>
                <c:pt idx="184">
                  <c:v>238792.97579435678</c:v>
                </c:pt>
                <c:pt idx="185">
                  <c:v>238792.97579435678</c:v>
                </c:pt>
                <c:pt idx="186">
                  <c:v>238792.97579435678</c:v>
                </c:pt>
                <c:pt idx="187">
                  <c:v>238792.97579435678</c:v>
                </c:pt>
                <c:pt idx="188">
                  <c:v>238792.97579435678</c:v>
                </c:pt>
                <c:pt idx="189">
                  <c:v>238792.97579435678</c:v>
                </c:pt>
                <c:pt idx="190">
                  <c:v>238792.97579435678</c:v>
                </c:pt>
                <c:pt idx="191">
                  <c:v>238792.97579435678</c:v>
                </c:pt>
                <c:pt idx="192">
                  <c:v>238792.97579435678</c:v>
                </c:pt>
                <c:pt idx="193">
                  <c:v>238792.97579435678</c:v>
                </c:pt>
                <c:pt idx="194">
                  <c:v>238792.97579435678</c:v>
                </c:pt>
                <c:pt idx="195">
                  <c:v>238792.97579435678</c:v>
                </c:pt>
                <c:pt idx="196">
                  <c:v>238792.97579435678</c:v>
                </c:pt>
                <c:pt idx="197">
                  <c:v>238792.97579435678</c:v>
                </c:pt>
                <c:pt idx="198">
                  <c:v>238792.97579435678</c:v>
                </c:pt>
                <c:pt idx="199">
                  <c:v>238792.97579435678</c:v>
                </c:pt>
                <c:pt idx="200">
                  <c:v>238792.97579435678</c:v>
                </c:pt>
                <c:pt idx="201">
                  <c:v>238792.97579435678</c:v>
                </c:pt>
                <c:pt idx="202">
                  <c:v>238792.97579435678</c:v>
                </c:pt>
                <c:pt idx="203">
                  <c:v>238792.97579435678</c:v>
                </c:pt>
                <c:pt idx="204">
                  <c:v>238792.97579435678</c:v>
                </c:pt>
                <c:pt idx="205">
                  <c:v>238792.97579435678</c:v>
                </c:pt>
                <c:pt idx="206">
                  <c:v>238792.97579435678</c:v>
                </c:pt>
                <c:pt idx="207">
                  <c:v>238792.97579435678</c:v>
                </c:pt>
                <c:pt idx="208">
                  <c:v>238792.97579435678</c:v>
                </c:pt>
                <c:pt idx="209">
                  <c:v>238792.97579435678</c:v>
                </c:pt>
                <c:pt idx="210">
                  <c:v>238792.97579435678</c:v>
                </c:pt>
                <c:pt idx="211">
                  <c:v>238792.97579435678</c:v>
                </c:pt>
                <c:pt idx="212">
                  <c:v>238792.97579435678</c:v>
                </c:pt>
                <c:pt idx="213">
                  <c:v>238792.97579435678</c:v>
                </c:pt>
                <c:pt idx="214">
                  <c:v>238792.97579435678</c:v>
                </c:pt>
                <c:pt idx="215">
                  <c:v>238792.97579435678</c:v>
                </c:pt>
                <c:pt idx="216">
                  <c:v>238792.97579435678</c:v>
                </c:pt>
                <c:pt idx="217">
                  <c:v>238792.97579435678</c:v>
                </c:pt>
                <c:pt idx="218">
                  <c:v>238792.97579435678</c:v>
                </c:pt>
                <c:pt idx="219">
                  <c:v>238792.97579435678</c:v>
                </c:pt>
                <c:pt idx="220">
                  <c:v>238792.97579435678</c:v>
                </c:pt>
                <c:pt idx="221">
                  <c:v>238792.97579435678</c:v>
                </c:pt>
                <c:pt idx="222">
                  <c:v>238792.97579435678</c:v>
                </c:pt>
                <c:pt idx="223">
                  <c:v>238792.97579435678</c:v>
                </c:pt>
                <c:pt idx="224">
                  <c:v>238792.97579435678</c:v>
                </c:pt>
                <c:pt idx="225">
                  <c:v>238792.97579435678</c:v>
                </c:pt>
                <c:pt idx="226">
                  <c:v>238792.97579435678</c:v>
                </c:pt>
                <c:pt idx="227">
                  <c:v>238792.97579435678</c:v>
                </c:pt>
                <c:pt idx="228">
                  <c:v>238792.97579435678</c:v>
                </c:pt>
                <c:pt idx="229">
                  <c:v>238792.97579435678</c:v>
                </c:pt>
                <c:pt idx="230">
                  <c:v>238792.97579435678</c:v>
                </c:pt>
                <c:pt idx="231">
                  <c:v>238792.97579435678</c:v>
                </c:pt>
                <c:pt idx="232">
                  <c:v>238792.97579435678</c:v>
                </c:pt>
                <c:pt idx="233">
                  <c:v>238792.97579435678</c:v>
                </c:pt>
                <c:pt idx="234">
                  <c:v>238792.97579435678</c:v>
                </c:pt>
                <c:pt idx="235">
                  <c:v>238792.97579435678</c:v>
                </c:pt>
                <c:pt idx="236">
                  <c:v>238792.97579435678</c:v>
                </c:pt>
                <c:pt idx="237">
                  <c:v>238792.97579435678</c:v>
                </c:pt>
                <c:pt idx="238">
                  <c:v>238792.97579435678</c:v>
                </c:pt>
                <c:pt idx="239">
                  <c:v>238792.97579435678</c:v>
                </c:pt>
                <c:pt idx="240">
                  <c:v>238792.97579435678</c:v>
                </c:pt>
                <c:pt idx="241">
                  <c:v>238792.97579435678</c:v>
                </c:pt>
                <c:pt idx="242">
                  <c:v>238792.97579435678</c:v>
                </c:pt>
                <c:pt idx="243">
                  <c:v>238792.97579435678</c:v>
                </c:pt>
                <c:pt idx="244">
                  <c:v>238792.97579435678</c:v>
                </c:pt>
                <c:pt idx="245">
                  <c:v>238792.97579435678</c:v>
                </c:pt>
                <c:pt idx="246">
                  <c:v>238792.97579435678</c:v>
                </c:pt>
                <c:pt idx="247">
                  <c:v>238792.97579435678</c:v>
                </c:pt>
                <c:pt idx="248">
                  <c:v>238792.97579435678</c:v>
                </c:pt>
                <c:pt idx="249">
                  <c:v>238792.97579435678</c:v>
                </c:pt>
                <c:pt idx="250">
                  <c:v>238792.97579435678</c:v>
                </c:pt>
                <c:pt idx="251">
                  <c:v>238792.97579435678</c:v>
                </c:pt>
                <c:pt idx="252">
                  <c:v>238792.97579435678</c:v>
                </c:pt>
                <c:pt idx="253">
                  <c:v>238792.97579435678</c:v>
                </c:pt>
                <c:pt idx="254">
                  <c:v>238792.97579435678</c:v>
                </c:pt>
                <c:pt idx="255">
                  <c:v>238792.97579435678</c:v>
                </c:pt>
                <c:pt idx="256">
                  <c:v>238792.97579435678</c:v>
                </c:pt>
                <c:pt idx="257">
                  <c:v>238792.97579435678</c:v>
                </c:pt>
                <c:pt idx="258">
                  <c:v>238792.97579435678</c:v>
                </c:pt>
                <c:pt idx="259">
                  <c:v>238792.97579435678</c:v>
                </c:pt>
                <c:pt idx="260">
                  <c:v>238792.97579435678</c:v>
                </c:pt>
                <c:pt idx="261">
                  <c:v>238792.97579435678</c:v>
                </c:pt>
                <c:pt idx="262">
                  <c:v>238792.97579435678</c:v>
                </c:pt>
                <c:pt idx="263">
                  <c:v>238792.97579435678</c:v>
                </c:pt>
                <c:pt idx="264">
                  <c:v>238792.97579435678</c:v>
                </c:pt>
                <c:pt idx="265">
                  <c:v>238792.97579435678</c:v>
                </c:pt>
                <c:pt idx="266">
                  <c:v>238792.97579435678</c:v>
                </c:pt>
                <c:pt idx="267">
                  <c:v>238792.97579435678</c:v>
                </c:pt>
                <c:pt idx="268">
                  <c:v>238792.97579435678</c:v>
                </c:pt>
                <c:pt idx="269">
                  <c:v>238792.97579435678</c:v>
                </c:pt>
                <c:pt idx="270">
                  <c:v>238792.97579435678</c:v>
                </c:pt>
                <c:pt idx="271">
                  <c:v>238792.97579435678</c:v>
                </c:pt>
                <c:pt idx="272">
                  <c:v>238792.97579435678</c:v>
                </c:pt>
                <c:pt idx="273">
                  <c:v>238792.97579435678</c:v>
                </c:pt>
                <c:pt idx="274">
                  <c:v>238792.97579435678</c:v>
                </c:pt>
                <c:pt idx="275">
                  <c:v>238792.97579435678</c:v>
                </c:pt>
                <c:pt idx="276">
                  <c:v>238792.97579435678</c:v>
                </c:pt>
                <c:pt idx="277">
                  <c:v>238792.97579435678</c:v>
                </c:pt>
                <c:pt idx="278">
                  <c:v>238792.97579435678</c:v>
                </c:pt>
                <c:pt idx="279">
                  <c:v>238792.97579435678</c:v>
                </c:pt>
                <c:pt idx="280">
                  <c:v>238792.97579435678</c:v>
                </c:pt>
                <c:pt idx="281">
                  <c:v>238792.97579435678</c:v>
                </c:pt>
                <c:pt idx="282">
                  <c:v>238792.97579435678</c:v>
                </c:pt>
                <c:pt idx="283">
                  <c:v>238792.97579435678</c:v>
                </c:pt>
                <c:pt idx="284">
                  <c:v>238792.97579435678</c:v>
                </c:pt>
                <c:pt idx="285">
                  <c:v>238792.97579435678</c:v>
                </c:pt>
                <c:pt idx="286">
                  <c:v>238792.97579435678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823210.26482213405</c:v>
                </c:pt>
                <c:pt idx="11">
                  <c:v>823210.26482213405</c:v>
                </c:pt>
                <c:pt idx="12">
                  <c:v>823210.26482213405</c:v>
                </c:pt>
                <c:pt idx="13">
                  <c:v>823210.26482213405</c:v>
                </c:pt>
                <c:pt idx="14">
                  <c:v>823210.26482213405</c:v>
                </c:pt>
                <c:pt idx="15">
                  <c:v>823534.26482213405</c:v>
                </c:pt>
                <c:pt idx="16">
                  <c:v>823534.26482213405</c:v>
                </c:pt>
                <c:pt idx="17">
                  <c:v>823534.26482213405</c:v>
                </c:pt>
                <c:pt idx="18">
                  <c:v>823534.26482213405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1131806</xdr:colOff>
      <xdr:row>158</xdr:row>
      <xdr:rowOff>122409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4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4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5546875"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4.65" thickBot="1"/>
    <row r="2" spans="2:15" ht="18">
      <c r="B2" s="646" t="s">
        <v>0</v>
      </c>
      <c r="C2" s="646"/>
      <c r="D2" s="646"/>
      <c r="E2" s="646"/>
      <c r="H2" s="647" t="s">
        <v>1</v>
      </c>
      <c r="I2" s="648"/>
      <c r="J2" s="648"/>
      <c r="K2" s="648"/>
      <c r="L2" s="648"/>
      <c r="M2" s="648"/>
      <c r="N2" s="648"/>
      <c r="O2" s="649"/>
    </row>
    <row r="3" spans="2:15">
      <c r="B3" s="616"/>
      <c r="H3" s="650"/>
      <c r="I3" s="651"/>
      <c r="J3" s="651"/>
      <c r="K3" s="651"/>
      <c r="L3" s="651"/>
      <c r="M3" s="651"/>
      <c r="N3" s="651"/>
      <c r="O3" s="652"/>
    </row>
    <row r="4" spans="2:15">
      <c r="B4" s="617" t="s">
        <v>2</v>
      </c>
      <c r="C4" s="618" t="str">
        <f>'Project Plan'!E2</f>
        <v>Westway BESS</v>
      </c>
      <c r="H4" s="650"/>
      <c r="I4" s="651"/>
      <c r="J4" s="651"/>
      <c r="K4" s="651"/>
      <c r="L4" s="651"/>
      <c r="M4" s="651"/>
      <c r="N4" s="651"/>
      <c r="O4" s="652"/>
    </row>
    <row r="5" spans="2:15">
      <c r="B5" s="617" t="s">
        <v>3</v>
      </c>
      <c r="C5" s="618" t="s">
        <v>4</v>
      </c>
      <c r="H5" s="650"/>
      <c r="I5" s="651"/>
      <c r="J5" s="651"/>
      <c r="K5" s="651"/>
      <c r="L5" s="651"/>
      <c r="M5" s="651"/>
      <c r="N5" s="651"/>
      <c r="O5" s="652"/>
    </row>
    <row r="6" spans="2:15">
      <c r="B6" s="617" t="s">
        <v>5</v>
      </c>
      <c r="C6" s="618" t="s">
        <v>6</v>
      </c>
      <c r="H6" s="650"/>
      <c r="I6" s="651"/>
      <c r="J6" s="651"/>
      <c r="K6" s="651"/>
      <c r="L6" s="651"/>
      <c r="M6" s="651"/>
      <c r="N6" s="651"/>
      <c r="O6" s="652"/>
    </row>
    <row r="7" spans="2:15">
      <c r="B7" s="617" t="s">
        <v>7</v>
      </c>
      <c r="C7" s="618" t="s">
        <v>8</v>
      </c>
      <c r="H7" s="650"/>
      <c r="I7" s="651"/>
      <c r="J7" s="651"/>
      <c r="K7" s="651"/>
      <c r="L7" s="651"/>
      <c r="M7" s="651"/>
      <c r="N7" s="651"/>
      <c r="O7" s="652"/>
    </row>
    <row r="8" spans="2:15">
      <c r="B8" s="616"/>
      <c r="H8" s="650"/>
      <c r="I8" s="651"/>
      <c r="J8" s="651"/>
      <c r="K8" s="651"/>
      <c r="L8" s="651"/>
      <c r="M8" s="651"/>
      <c r="N8" s="651"/>
      <c r="O8" s="652"/>
    </row>
    <row r="9" spans="2:15">
      <c r="B9" s="656" t="s">
        <v>9</v>
      </c>
      <c r="C9" s="656"/>
      <c r="D9" s="656"/>
      <c r="E9" s="656"/>
      <c r="H9" s="650"/>
      <c r="I9" s="651"/>
      <c r="J9" s="651"/>
      <c r="K9" s="651"/>
      <c r="L9" s="651"/>
      <c r="M9" s="651"/>
      <c r="N9" s="651"/>
      <c r="O9" s="652"/>
    </row>
    <row r="10" spans="2:15" ht="14.65" thickBot="1">
      <c r="B10" s="656" t="s">
        <v>10</v>
      </c>
      <c r="C10" s="656"/>
      <c r="D10" s="656"/>
      <c r="E10" s="656"/>
      <c r="H10" s="653"/>
      <c r="I10" s="654"/>
      <c r="J10" s="654"/>
      <c r="K10" s="654"/>
      <c r="L10" s="654"/>
      <c r="M10" s="654"/>
      <c r="N10" s="654"/>
      <c r="O10" s="655"/>
    </row>
    <row r="11" spans="2:15">
      <c r="B11" s="619" t="s">
        <v>11</v>
      </c>
      <c r="C11" s="645"/>
      <c r="D11" s="645"/>
      <c r="E11" s="645"/>
    </row>
    <row r="12" spans="2:15">
      <c r="B12" s="619" t="s">
        <v>12</v>
      </c>
      <c r="C12" s="645"/>
      <c r="D12" s="645"/>
      <c r="E12" s="645"/>
    </row>
    <row r="13" spans="2:15">
      <c r="B13" s="619" t="s">
        <v>13</v>
      </c>
      <c r="C13" s="645"/>
      <c r="D13" s="645"/>
      <c r="E13" s="645"/>
    </row>
    <row r="14" spans="2:15">
      <c r="B14" s="619" t="s">
        <v>14</v>
      </c>
      <c r="C14" s="645"/>
      <c r="D14" s="645"/>
      <c r="E14" s="645"/>
    </row>
    <row r="15" spans="2:15">
      <c r="B15" s="619" t="s">
        <v>15</v>
      </c>
      <c r="C15" s="645"/>
      <c r="D15" s="645"/>
      <c r="E15" s="645"/>
    </row>
    <row r="16" spans="2:15" ht="15" customHeight="1">
      <c r="B16" s="619" t="s">
        <v>16</v>
      </c>
      <c r="C16" s="645"/>
      <c r="D16" s="645"/>
      <c r="E16" s="645"/>
    </row>
    <row r="17" spans="2:5">
      <c r="B17" s="616"/>
    </row>
    <row r="18" spans="2:5">
      <c r="B18" s="657" t="s">
        <v>17</v>
      </c>
      <c r="C18" s="657"/>
      <c r="D18" s="657"/>
      <c r="E18" s="657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5546875"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4.65" thickBot="1"/>
    <row r="2" spans="2:15" ht="18">
      <c r="B2" s="646" t="s">
        <v>22</v>
      </c>
      <c r="C2" s="646"/>
      <c r="D2" s="646"/>
      <c r="E2" s="646"/>
      <c r="H2" s="647" t="s">
        <v>23</v>
      </c>
      <c r="I2" s="648"/>
      <c r="J2" s="648"/>
      <c r="K2" s="648"/>
      <c r="L2" s="648"/>
      <c r="M2" s="648"/>
      <c r="N2" s="648"/>
      <c r="O2" s="649"/>
    </row>
    <row r="3" spans="2:15">
      <c r="B3" s="616"/>
      <c r="H3" s="650"/>
      <c r="I3" s="651"/>
      <c r="J3" s="651"/>
      <c r="K3" s="651"/>
      <c r="L3" s="651"/>
      <c r="M3" s="651"/>
      <c r="N3" s="651"/>
      <c r="O3" s="652"/>
    </row>
    <row r="4" spans="2:15">
      <c r="B4" s="617" t="s">
        <v>2</v>
      </c>
      <c r="C4" s="618" t="str">
        <f>'Project Plan'!E2</f>
        <v>Westway BESS</v>
      </c>
      <c r="H4" s="650"/>
      <c r="I4" s="651"/>
      <c r="J4" s="651"/>
      <c r="K4" s="651"/>
      <c r="L4" s="651"/>
      <c r="M4" s="651"/>
      <c r="N4" s="651"/>
      <c r="O4" s="652"/>
    </row>
    <row r="5" spans="2:15">
      <c r="B5" s="617" t="s">
        <v>24</v>
      </c>
      <c r="C5" s="618"/>
      <c r="H5" s="650"/>
      <c r="I5" s="651"/>
      <c r="J5" s="651"/>
      <c r="K5" s="651"/>
      <c r="L5" s="651"/>
      <c r="M5" s="651"/>
      <c r="N5" s="651"/>
      <c r="O5" s="652"/>
    </row>
    <row r="6" spans="2:15">
      <c r="B6" s="617" t="s">
        <v>5</v>
      </c>
      <c r="C6" s="618" t="s">
        <v>6</v>
      </c>
      <c r="H6" s="650"/>
      <c r="I6" s="651"/>
      <c r="J6" s="651"/>
      <c r="K6" s="651"/>
      <c r="L6" s="651"/>
      <c r="M6" s="651"/>
      <c r="N6" s="651"/>
      <c r="O6" s="652"/>
    </row>
    <row r="7" spans="2:15">
      <c r="B7" s="617" t="s">
        <v>25</v>
      </c>
      <c r="C7" s="618" t="str">
        <f>'Project Plan'!E5</f>
        <v>Lloyd Brown</v>
      </c>
      <c r="H7" s="650"/>
      <c r="I7" s="651"/>
      <c r="J7" s="651"/>
      <c r="K7" s="651"/>
      <c r="L7" s="651"/>
      <c r="M7" s="651"/>
      <c r="N7" s="651"/>
      <c r="O7" s="652"/>
    </row>
    <row r="8" spans="2:15">
      <c r="B8" s="617" t="s">
        <v>26</v>
      </c>
      <c r="C8" s="618"/>
      <c r="H8" s="650"/>
      <c r="I8" s="651"/>
      <c r="J8" s="651"/>
      <c r="K8" s="651"/>
      <c r="L8" s="651"/>
      <c r="M8" s="651"/>
      <c r="N8" s="651"/>
      <c r="O8" s="652"/>
    </row>
    <row r="9" spans="2:15">
      <c r="B9" s="616"/>
      <c r="H9" s="650"/>
      <c r="I9" s="651"/>
      <c r="J9" s="651"/>
      <c r="K9" s="651"/>
      <c r="L9" s="651"/>
      <c r="M9" s="651"/>
      <c r="N9" s="651"/>
      <c r="O9" s="652"/>
    </row>
    <row r="10" spans="2:15">
      <c r="B10" s="656" t="s">
        <v>9</v>
      </c>
      <c r="C10" s="656"/>
      <c r="D10" s="656"/>
      <c r="E10" s="656"/>
      <c r="H10" s="650"/>
      <c r="I10" s="651"/>
      <c r="J10" s="651"/>
      <c r="K10" s="651"/>
      <c r="L10" s="651"/>
      <c r="M10" s="651"/>
      <c r="N10" s="651"/>
      <c r="O10" s="652"/>
    </row>
    <row r="11" spans="2:15" ht="14.65" thickBot="1">
      <c r="B11" s="656" t="s">
        <v>10</v>
      </c>
      <c r="C11" s="656"/>
      <c r="D11" s="656"/>
      <c r="E11" s="656"/>
      <c r="H11" s="653"/>
      <c r="I11" s="654"/>
      <c r="J11" s="654"/>
      <c r="K11" s="654"/>
      <c r="L11" s="654"/>
      <c r="M11" s="654"/>
      <c r="N11" s="654"/>
      <c r="O11" s="655"/>
    </row>
    <row r="12" spans="2:15" ht="25.5">
      <c r="B12" s="619" t="s">
        <v>27</v>
      </c>
      <c r="C12" s="645"/>
      <c r="D12" s="645"/>
      <c r="E12" s="645"/>
    </row>
    <row r="13" spans="2:15">
      <c r="B13" s="619" t="s">
        <v>28</v>
      </c>
      <c r="C13" s="645"/>
      <c r="D13" s="645"/>
      <c r="E13" s="645"/>
    </row>
    <row r="14" spans="2:15">
      <c r="B14" s="619" t="s">
        <v>29</v>
      </c>
      <c r="C14" s="645"/>
      <c r="D14" s="645"/>
      <c r="E14" s="645"/>
    </row>
    <row r="15" spans="2:15">
      <c r="B15" s="619" t="s">
        <v>30</v>
      </c>
      <c r="C15" s="645"/>
      <c r="D15" s="645"/>
      <c r="E15" s="645"/>
    </row>
    <row r="16" spans="2:15" ht="25.5">
      <c r="B16" s="619" t="s">
        <v>31</v>
      </c>
      <c r="C16" s="645"/>
      <c r="D16" s="645"/>
      <c r="E16" s="645"/>
    </row>
    <row r="17" spans="2:5">
      <c r="B17" s="619" t="s">
        <v>32</v>
      </c>
      <c r="C17" s="645"/>
      <c r="D17" s="645"/>
      <c r="E17" s="645"/>
    </row>
    <row r="18" spans="2:5">
      <c r="B18" s="619" t="s">
        <v>33</v>
      </c>
      <c r="C18" s="645"/>
      <c r="D18" s="645"/>
      <c r="E18" s="645"/>
    </row>
    <row r="19" spans="2:5">
      <c r="B19" s="619" t="s">
        <v>34</v>
      </c>
      <c r="C19" s="645"/>
      <c r="D19" s="645"/>
      <c r="E19" s="645"/>
    </row>
    <row r="20" spans="2:5">
      <c r="B20" s="619" t="s">
        <v>35</v>
      </c>
      <c r="C20" s="645"/>
      <c r="D20" s="645"/>
      <c r="E20" s="645"/>
    </row>
    <row r="21" spans="2:5">
      <c r="B21" s="619" t="s">
        <v>36</v>
      </c>
      <c r="C21" s="645"/>
      <c r="D21" s="645"/>
      <c r="E21" s="645"/>
    </row>
    <row r="22" spans="2:5" ht="15" customHeight="1">
      <c r="B22" s="619" t="s">
        <v>16</v>
      </c>
      <c r="C22" s="645"/>
      <c r="D22" s="645"/>
      <c r="E22" s="645"/>
    </row>
    <row r="23" spans="2:5">
      <c r="B23" s="616"/>
    </row>
    <row r="24" spans="2:5">
      <c r="B24" s="657" t="s">
        <v>17</v>
      </c>
      <c r="C24" s="657"/>
      <c r="D24" s="657"/>
      <c r="E24" s="657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60"/>
      <c r="C1" s="661"/>
      <c r="D1" s="661"/>
      <c r="E1" s="661"/>
      <c r="F1" s="658" t="s">
        <v>37</v>
      </c>
      <c r="G1" s="658"/>
      <c r="H1" s="658"/>
      <c r="I1" s="658"/>
      <c r="J1" s="658"/>
      <c r="K1" s="659"/>
      <c r="L1" s="13"/>
      <c r="M1" s="13"/>
      <c r="N1" s="13"/>
      <c r="O1" s="13"/>
    </row>
    <row r="2" spans="2:15" ht="6.75" customHeight="1"/>
    <row r="3" spans="2:15" s="623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C3" sqref="C3"/>
      <selection activeCell="B9" sqref="B2:O51"/>
    </sheetView>
  </sheetViews>
  <sheetFormatPr defaultColWidth="8.42578125" defaultRowHeight="13.5"/>
  <cols>
    <col min="1" max="1" width="1.42578125" style="4" customWidth="1"/>
    <col min="2" max="2" width="30.42578125" style="4" bestFit="1" customWidth="1"/>
    <col min="3" max="3" width="19.42578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 ht="13.9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662" t="s">
        <v>102</v>
      </c>
      <c r="C2" s="663"/>
      <c r="D2" s="663"/>
      <c r="E2" s="663"/>
      <c r="F2" s="664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62" t="s">
        <v>111</v>
      </c>
      <c r="C16" s="663"/>
      <c r="D16" s="663"/>
      <c r="E16" s="663"/>
      <c r="F16" s="664"/>
    </row>
    <row r="17" spans="2:6" ht="14.6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abSelected="1" zoomScale="115" zoomScaleNormal="115" workbookViewId="0">
      <selection activeCell="N17" sqref="N17"/>
    </sheetView>
  </sheetViews>
  <sheetFormatPr defaultColWidth="8.42578125" defaultRowHeight="14.25"/>
  <cols>
    <col min="1" max="1" width="5.140625" style="24" customWidth="1"/>
    <col min="2" max="2" width="5.140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3.42578125" style="43" customWidth="1"/>
    <col min="8" max="8" width="20.5703125" style="43" customWidth="1"/>
    <col min="9" max="9" width="2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8.425781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.15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585065.51124999986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.15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585065.51124999998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238792.97579435678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0.28984707877567828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.15">
      <c r="B13" s="590">
        <v>1</v>
      </c>
      <c r="C13" s="667" t="s">
        <v>141</v>
      </c>
      <c r="D13" s="668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.15">
      <c r="B14" s="600">
        <v>2</v>
      </c>
      <c r="C14" s="667" t="s">
        <v>143</v>
      </c>
      <c r="D14" s="668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.15">
      <c r="B15" s="590">
        <v>3</v>
      </c>
      <c r="C15" s="667" t="s">
        <v>144</v>
      </c>
      <c r="D15" s="668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.15">
      <c r="B16" s="590">
        <v>4</v>
      </c>
      <c r="C16" s="665" t="s">
        <v>145</v>
      </c>
      <c r="D16" s="666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.15">
      <c r="B17" s="590">
        <v>5</v>
      </c>
      <c r="C17" s="665" t="s">
        <v>146</v>
      </c>
      <c r="D17" s="666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 t="s">
        <v>147</v>
      </c>
      <c r="M17" s="595"/>
      <c r="N17" s="594">
        <v>46079</v>
      </c>
      <c r="O17" s="595"/>
      <c r="P17" s="599">
        <v>46088</v>
      </c>
      <c r="R17" s="280"/>
      <c r="S17" s="637" t="b">
        <v>0</v>
      </c>
      <c r="T17" s="53"/>
    </row>
    <row r="18" spans="2:20" s="24" customFormat="1" ht="13.15">
      <c r="B18" s="590">
        <v>6</v>
      </c>
      <c r="C18" s="665" t="s">
        <v>148</v>
      </c>
      <c r="D18" s="666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.15">
      <c r="B19" s="590">
        <v>7</v>
      </c>
      <c r="C19" s="667" t="s">
        <v>148</v>
      </c>
      <c r="D19" s="668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149</v>
      </c>
      <c r="C23" s="57" t="s">
        <v>150</v>
      </c>
      <c r="D23" s="57"/>
      <c r="F23" s="58"/>
      <c r="H23" s="30"/>
    </row>
    <row r="24" spans="2:20" s="24" customFormat="1" ht="12.75">
      <c r="C24" s="59" t="s">
        <v>151</v>
      </c>
      <c r="D24" s="60"/>
      <c r="F24" s="61"/>
    </row>
    <row r="25" spans="2:20" s="24" customFormat="1" ht="12.75">
      <c r="C25" s="59" t="s">
        <v>152</v>
      </c>
      <c r="D25" s="60"/>
    </row>
    <row r="26" spans="2:20" s="24" customFormat="1" ht="12.75">
      <c r="C26" s="62" t="s">
        <v>153</v>
      </c>
      <c r="D26" s="63"/>
    </row>
    <row r="27" spans="2:20" s="24" customFormat="1" ht="12.75">
      <c r="C27" s="64" t="s">
        <v>154</v>
      </c>
      <c r="D27" s="60"/>
    </row>
    <row r="28" spans="2:20" s="24" customFormat="1" ht="12.75">
      <c r="B28" s="31"/>
      <c r="C28" s="64" t="s">
        <v>155</v>
      </c>
      <c r="D28" s="60"/>
    </row>
    <row r="29" spans="2:20" s="24" customFormat="1" ht="12.75">
      <c r="B29" s="31"/>
      <c r="C29" s="24" t="s">
        <v>156</v>
      </c>
    </row>
    <row r="30" spans="2:20" s="24" customFormat="1" ht="27.75" customHeight="1">
      <c r="B30" s="31"/>
      <c r="C30" s="65" t="s">
        <v>157</v>
      </c>
      <c r="D30" s="65"/>
      <c r="F30" s="61"/>
    </row>
    <row r="31" spans="2:20" s="24" customFormat="1" ht="12.75">
      <c r="B31" s="31"/>
      <c r="F31" s="58"/>
      <c r="N31" s="544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158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159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160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161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162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6 O13:O14 T2:T3 Y2:XFD3 Q13:R17 A18:R1048576 I5:R10 A11:R11 A1:R1 A12:Q12 A3:G3 A2:G2 J2:R2 J3:R3 J4:R4 I17:K17 M17 O17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85" zoomScaleNormal="85" workbookViewId="0">
      <selection activeCell="O11" sqref="O11"/>
    </sheetView>
  </sheetViews>
  <sheetFormatPr defaultColWidth="8.42578125" defaultRowHeight="13.5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163</v>
      </c>
      <c r="D2" s="90"/>
      <c r="E2" s="567" t="s">
        <v>164</v>
      </c>
      <c r="F2" s="568"/>
      <c r="G2" s="568"/>
      <c r="H2" s="569"/>
      <c r="I2" s="669" t="s">
        <v>165</v>
      </c>
      <c r="J2" s="670"/>
      <c r="K2" s="588">
        <f>NETWORKDAYS(I19,K40,Data!C3:C60)</f>
        <v>15</v>
      </c>
      <c r="N2" s="306">
        <v>0</v>
      </c>
      <c r="O2" s="306">
        <v>1</v>
      </c>
    </row>
    <row r="3" spans="2:28" s="26" customFormat="1" ht="14.25" thickBot="1">
      <c r="B3" s="91"/>
      <c r="C3" s="92" t="s">
        <v>166</v>
      </c>
      <c r="D3" s="90"/>
      <c r="E3" s="312">
        <v>100</v>
      </c>
      <c r="F3" s="93"/>
      <c r="G3" s="94"/>
      <c r="H3" s="94"/>
      <c r="I3" s="669" t="s">
        <v>167</v>
      </c>
      <c r="J3" s="670"/>
      <c r="K3" s="588">
        <f>K2/5</f>
        <v>3</v>
      </c>
      <c r="Q3" s="1"/>
    </row>
    <row r="4" spans="2:28" s="26" customFormat="1" ht="14.25" thickBot="1">
      <c r="B4" s="91"/>
      <c r="C4" s="92" t="s">
        <v>168</v>
      </c>
      <c r="D4" s="90"/>
      <c r="E4" s="566" t="s">
        <v>169</v>
      </c>
      <c r="F4" s="94"/>
      <c r="G4" s="94"/>
      <c r="H4" s="94"/>
      <c r="I4" s="669" t="s">
        <v>170</v>
      </c>
      <c r="J4" s="670"/>
      <c r="K4" s="589">
        <f>E3/K3</f>
        <v>33.333333333333336</v>
      </c>
      <c r="Q4" s="1"/>
    </row>
    <row r="5" spans="2:28" s="26" customFormat="1" ht="13.9">
      <c r="B5" s="91"/>
      <c r="C5" s="92" t="s">
        <v>171</v>
      </c>
      <c r="D5" s="90"/>
      <c r="E5" s="566" t="s">
        <v>172</v>
      </c>
      <c r="F5" s="94"/>
      <c r="G5" s="94"/>
      <c r="H5" s="94"/>
      <c r="Q5" s="1"/>
    </row>
    <row r="6" spans="2:28" ht="13.9">
      <c r="B6" s="95"/>
      <c r="C6" s="96" t="s">
        <v>173</v>
      </c>
      <c r="D6" s="90"/>
      <c r="E6" s="545">
        <v>823858.48704435665</v>
      </c>
      <c r="F6" s="570"/>
      <c r="G6" s="570"/>
      <c r="H6" s="571"/>
    </row>
    <row r="7" spans="2:28" s="26" customFormat="1" ht="13.9">
      <c r="B7" s="79"/>
      <c r="C7" s="629" t="s">
        <v>174</v>
      </c>
      <c r="E7" s="628" t="s">
        <v>175</v>
      </c>
      <c r="F7" s="80"/>
      <c r="G7" s="97"/>
      <c r="J7" s="27"/>
      <c r="Q7" s="1"/>
    </row>
    <row r="8" spans="2:28" ht="30" customHeight="1">
      <c r="B8" s="673" t="s">
        <v>131</v>
      </c>
      <c r="C8" s="674" t="s">
        <v>176</v>
      </c>
      <c r="D8" s="126"/>
      <c r="E8" s="675" t="s">
        <v>177</v>
      </c>
      <c r="F8" s="148" t="s">
        <v>178</v>
      </c>
      <c r="G8" s="675" t="s">
        <v>179</v>
      </c>
      <c r="H8" s="149"/>
      <c r="I8" s="675" t="s">
        <v>180</v>
      </c>
      <c r="J8" s="148" t="s">
        <v>178</v>
      </c>
      <c r="K8" s="675" t="s">
        <v>181</v>
      </c>
      <c r="M8" s="585" t="s">
        <v>44</v>
      </c>
      <c r="N8" s="586" t="s">
        <v>182</v>
      </c>
      <c r="O8" s="671" t="s">
        <v>183</v>
      </c>
      <c r="Z8" s="26"/>
      <c r="AA8" s="26"/>
      <c r="AB8" s="26"/>
    </row>
    <row r="9" spans="2:28" ht="13.9">
      <c r="B9" s="673"/>
      <c r="C9" s="674"/>
      <c r="D9" s="126"/>
      <c r="E9" s="675"/>
      <c r="F9" s="40">
        <f>G40-E20</f>
        <v>18</v>
      </c>
      <c r="G9" s="675"/>
      <c r="H9" s="149"/>
      <c r="I9" s="675"/>
      <c r="J9" s="41">
        <f>K40-I20</f>
        <v>18</v>
      </c>
      <c r="K9" s="675"/>
      <c r="M9" s="265">
        <f>AVERAGE(M11,M19,M22,M29,M40,M49,M45)</f>
        <v>7.1428571428571425E-2</v>
      </c>
      <c r="N9" s="265">
        <f ca="1">AVERAGE(N11,N19,N22,N29,N40,N49,N45)</f>
        <v>0.37142818388064142</v>
      </c>
      <c r="O9" s="672"/>
      <c r="S9" s="587">
        <f ca="1">TODAY()</f>
        <v>46077</v>
      </c>
      <c r="T9" s="587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184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(J12*M12+J13*M13+J14*M14+J15*M15+J17*M17)/SUM(J12:J17)</f>
        <v>0.5</v>
      </c>
      <c r="N11" s="576">
        <f>(J12*M12+J13*M13+J14*M14+J15*M15+J17*M17)/SUM(J12:J17)</f>
        <v>0.5</v>
      </c>
      <c r="O11" s="33"/>
      <c r="P11" s="26"/>
      <c r="Q11" s="34"/>
    </row>
    <row r="12" spans="2:28" s="26" customFormat="1" ht="13.9">
      <c r="B12" s="157" t="s">
        <v>185</v>
      </c>
      <c r="C12" s="158" t="s">
        <v>186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187</v>
      </c>
      <c r="T12" s="538" t="s">
        <v>124</v>
      </c>
      <c r="U12" s="538" t="s">
        <v>178</v>
      </c>
      <c r="V12" s="538" t="s">
        <v>188</v>
      </c>
    </row>
    <row r="13" spans="2:28" s="26" customFormat="1">
      <c r="B13" s="157" t="s">
        <v>189</v>
      </c>
      <c r="C13" s="158" t="s">
        <v>190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191</v>
      </c>
      <c r="C14" s="158" t="s">
        <v>192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0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193</v>
      </c>
      <c r="C15" s="632" t="s">
        <v>194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2</v>
      </c>
      <c r="V15" s="539">
        <f>K22</f>
        <v>46078</v>
      </c>
    </row>
    <row r="16" spans="2:28" s="26" customFormat="1">
      <c r="B16" s="631"/>
      <c r="C16" s="632" t="s">
        <v>195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/>
      <c r="N16" s="580"/>
      <c r="O16" s="36"/>
      <c r="Q16" s="1"/>
      <c r="S16" s="537"/>
      <c r="T16" s="539"/>
      <c r="U16" s="540"/>
      <c r="V16" s="539"/>
    </row>
    <row r="17" spans="2:28" s="26" customFormat="1">
      <c r="B17" s="157" t="s">
        <v>196</v>
      </c>
      <c r="C17" s="158" t="s">
        <v>197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0</v>
      </c>
      <c r="N17" s="580">
        <f t="shared" ca="1" si="0"/>
        <v>1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 ht="13.9">
      <c r="B19" s="155">
        <v>2</v>
      </c>
      <c r="C19" s="156" t="s">
        <v>198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0</v>
      </c>
      <c r="N19" s="576">
        <f ca="1">(K20*N20)/K19</f>
        <v>1</v>
      </c>
      <c r="O19" s="33"/>
      <c r="P19" s="26"/>
      <c r="Q19" s="37"/>
      <c r="R19" s="32"/>
      <c r="S19" s="537" t="str">
        <f>C40</f>
        <v>Commissioning</v>
      </c>
      <c r="T19" s="539">
        <f>I40</f>
        <v>46078</v>
      </c>
      <c r="U19" s="540">
        <f>J40</f>
        <v>16</v>
      </c>
      <c r="V19" s="539">
        <f>K40</f>
        <v>46094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199</v>
      </c>
      <c r="C20" s="158" t="s">
        <v>200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37" t="str">
        <f>C45</f>
        <v>QA Inspections</v>
      </c>
      <c r="T20" s="539">
        <f>I45</f>
        <v>46094</v>
      </c>
      <c r="U20" s="540">
        <f>J45</f>
        <v>5</v>
      </c>
      <c r="V20" s="539">
        <f>K45</f>
        <v>46099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46097</v>
      </c>
      <c r="U21" s="540">
        <f>J49</f>
        <v>10</v>
      </c>
      <c r="V21" s="539">
        <f>K49</f>
        <v>46107</v>
      </c>
    </row>
    <row r="22" spans="2:28" s="28" customFormat="1" ht="13.9">
      <c r="B22" s="155">
        <v>3</v>
      </c>
      <c r="C22" s="156" t="s">
        <v>201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2</v>
      </c>
      <c r="K22" s="572">
        <f>MAX(K23:K28)</f>
        <v>46078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0.6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202</v>
      </c>
      <c r="C23" s="158" t="s">
        <v>203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204</v>
      </c>
      <c r="C24" s="158" t="s">
        <v>205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206</v>
      </c>
      <c r="C25" s="158" t="s">
        <v>207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208</v>
      </c>
      <c r="C26" s="158" t="s">
        <v>209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0</v>
      </c>
      <c r="N26" s="580">
        <f t="shared" ca="1" si="1"/>
        <v>0.5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210</v>
      </c>
      <c r="C27" s="158" t="s">
        <v>211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f>WORKDAY.INTL(I26,0,1,Data!$C$3:$C$60)</f>
        <v>46076</v>
      </c>
      <c r="J27" s="578">
        <v>1</v>
      </c>
      <c r="K27" s="577">
        <f>WORKDAY.INTL(I27,J27,1,Data!$C$3:$C$60)</f>
        <v>46077</v>
      </c>
      <c r="L27" s="77"/>
      <c r="M27" s="580">
        <v>0</v>
      </c>
      <c r="N27" s="580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 ht="13.9">
      <c r="B29" s="155">
        <v>4</v>
      </c>
      <c r="C29" s="156" t="s">
        <v>212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(J31*M31+J32*M32+J34*M34)/SUM(J31:J34)</f>
        <v>0</v>
      </c>
      <c r="N29" s="576">
        <f ca="1">(K31*N31+K32*N32+K34*N34)/SUM(K31:K34)</f>
        <v>0.49999728716449005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213</v>
      </c>
      <c r="C31" s="158" t="s">
        <v>214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215</v>
      </c>
      <c r="C32" s="158" t="s">
        <v>216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217</v>
      </c>
      <c r="C33" s="158" t="s">
        <v>218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0</v>
      </c>
      <c r="N33" s="580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25">
      <c r="B34" s="157" t="s">
        <v>219</v>
      </c>
      <c r="C34" s="154" t="s">
        <v>220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0</v>
      </c>
      <c r="N34" s="580">
        <f t="shared" ca="1" si="2"/>
        <v>1</v>
      </c>
      <c r="O34" s="36"/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t="13.9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 ht="13.9">
      <c r="B40" s="155">
        <v>6</v>
      </c>
      <c r="C40" s="156" t="s">
        <v>221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46078</v>
      </c>
      <c r="J40" s="573">
        <f>K40-I40</f>
        <v>16</v>
      </c>
      <c r="K40" s="572">
        <f>MAX(K41:K44)</f>
        <v>46094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222</v>
      </c>
      <c r="C41" s="154" t="s">
        <v>221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f>WORKDAY.INTL(MAX(K22,K29),0,1,Data!$C$3:$C$60)</f>
        <v>46078</v>
      </c>
      <c r="J41" s="578">
        <v>1</v>
      </c>
      <c r="K41" s="583">
        <f>WORKDAY.INTL(I41,J41,1,Data!$C$3:$C$60)</f>
        <v>46079</v>
      </c>
      <c r="L41" s="77"/>
      <c r="M41" s="580">
        <v>0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223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f>WORKDAY.INTL(K41,0,1,Data!$C$3:$C$60)</f>
        <v>46079</v>
      </c>
      <c r="J42" s="578">
        <v>1</v>
      </c>
      <c r="K42" s="583">
        <f>WORKDAY.INTL(I42,J42,1,Data!$C$3:$C$60)</f>
        <v>46080</v>
      </c>
      <c r="L42" s="77"/>
      <c r="M42" s="580">
        <v>0</v>
      </c>
      <c r="N42" s="580">
        <f t="shared" ca="1" si="3"/>
        <v>0</v>
      </c>
      <c r="O42" s="36"/>
      <c r="Y42" s="4"/>
    </row>
    <row r="43" spans="2:28">
      <c r="B43" s="157" t="s">
        <v>224</v>
      </c>
      <c r="C43" s="640" t="s">
        <v>225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f>WORKDAY.INTL(K42,0,1,Data!$C$3:$C$60)</f>
        <v>46080</v>
      </c>
      <c r="J43" s="578">
        <v>10</v>
      </c>
      <c r="K43" s="583">
        <f>WORKDAY.INTL(I43,J43,1,Data!$C$3:$C$60)</f>
        <v>46094</v>
      </c>
      <c r="L43" s="77"/>
      <c r="M43" s="580">
        <v>0</v>
      </c>
      <c r="N43" s="580">
        <f t="shared" ca="1" si="3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 ht="13.9">
      <c r="B45" s="155">
        <v>7</v>
      </c>
      <c r="C45" s="156" t="s">
        <v>226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46094</v>
      </c>
      <c r="J45" s="573">
        <f>K45-I45</f>
        <v>5</v>
      </c>
      <c r="K45" s="572">
        <f>MAX(K46:K48)</f>
        <v>46099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227</v>
      </c>
      <c r="C46" s="154" t="s">
        <v>228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46094</v>
      </c>
      <c r="J46" s="578">
        <v>1</v>
      </c>
      <c r="K46" s="583">
        <f>WORKDAY.INTL(I46,J46,1,Data!$C$3:$C$60)</f>
        <v>46097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229</v>
      </c>
      <c r="C47" s="154" t="s">
        <v>230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46097</v>
      </c>
      <c r="J47" s="578">
        <v>2</v>
      </c>
      <c r="K47" s="583">
        <f>WORKDAY.INTL(I47,J47,1,Data!$C$3:$C$60)</f>
        <v>46099</v>
      </c>
      <c r="L47" s="77"/>
      <c r="M47" s="580">
        <v>0</v>
      </c>
      <c r="N47" s="580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 ht="13.9">
      <c r="B49" s="155">
        <v>8</v>
      </c>
      <c r="C49" s="156" t="s">
        <v>231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46097</v>
      </c>
      <c r="J49" s="573">
        <f>K49-I49</f>
        <v>10</v>
      </c>
      <c r="K49" s="572">
        <f>MAX(K50:K52)</f>
        <v>46107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232</v>
      </c>
      <c r="C50" s="154" t="s">
        <v>233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46097</v>
      </c>
      <c r="J50" s="578">
        <v>3</v>
      </c>
      <c r="K50" s="583">
        <f>WORKDAY.INTL(I50,J50,1,Data!$C$3:$C$60)</f>
        <v>46100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234</v>
      </c>
      <c r="C51" s="154" t="s">
        <v>235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f>WORKDAY.INTL(K50,0,1,Data!$C$3:$C$60)</f>
        <v>46100</v>
      </c>
      <c r="J51" s="578">
        <v>1</v>
      </c>
      <c r="K51" s="583">
        <f>WORKDAY.INTL(I51,J51,1,Data!$C$3:$C$60)</f>
        <v>46101</v>
      </c>
      <c r="L51" s="77"/>
      <c r="M51" s="580">
        <v>0</v>
      </c>
      <c r="N51" s="580">
        <f t="shared" ca="1" si="5"/>
        <v>0</v>
      </c>
      <c r="O51" s="36"/>
      <c r="Y51" s="4"/>
    </row>
    <row r="52" spans="2:28">
      <c r="B52" s="157" t="s">
        <v>236</v>
      </c>
      <c r="C52" s="154" t="s">
        <v>237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46100</v>
      </c>
      <c r="J52" s="578">
        <v>5</v>
      </c>
      <c r="K52" s="583">
        <f>WORKDAY.INTL(I52,J52,1,Data!$C$3:$C$60)</f>
        <v>46107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opLeftCell="R1" zoomScale="85" zoomScaleNormal="85" workbookViewId="0">
      <pane ySplit="4" topLeftCell="A5" activePane="bottomLeft" state="frozen"/>
      <selection pane="bottomLeft" activeCell="R148" sqref="R148"/>
      <selection activeCell="X33" sqref="X33"/>
    </sheetView>
  </sheetViews>
  <sheetFormatPr defaultColWidth="9.42578125" defaultRowHeight="13.5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41.5703125" style="26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23" t="s">
        <v>238</v>
      </c>
      <c r="C2" s="724"/>
      <c r="D2" s="724"/>
      <c r="E2" s="724"/>
      <c r="F2" s="724"/>
      <c r="G2" s="724"/>
      <c r="H2" s="395"/>
      <c r="I2" s="162">
        <f>SUM(I6:I180)</f>
        <v>725014.91304347827</v>
      </c>
      <c r="J2" s="162">
        <f>SUM(J6:J180)</f>
        <v>823858.26482213405</v>
      </c>
      <c r="L2" s="725" t="s">
        <v>239</v>
      </c>
      <c r="M2" s="726"/>
      <c r="N2" s="726"/>
      <c r="O2" s="726"/>
      <c r="P2" s="726"/>
      <c r="Q2" s="726"/>
      <c r="R2" s="727" t="s">
        <v>240</v>
      </c>
      <c r="S2" s="728"/>
      <c r="T2" s="728"/>
      <c r="U2" s="728"/>
      <c r="V2" s="728"/>
      <c r="W2" s="729"/>
      <c r="X2" s="162">
        <f>SUM(X6:X180)</f>
        <v>585065.51124999998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241</v>
      </c>
      <c r="C4" s="164" t="s">
        <v>242</v>
      </c>
      <c r="D4" s="164" t="s">
        <v>243</v>
      </c>
      <c r="E4" s="164" t="s">
        <v>244</v>
      </c>
      <c r="F4" s="363" t="s">
        <v>245</v>
      </c>
      <c r="G4" s="165" t="s">
        <v>246</v>
      </c>
      <c r="H4" s="273" t="s">
        <v>247</v>
      </c>
      <c r="I4" s="166" t="s">
        <v>248</v>
      </c>
      <c r="J4" s="166" t="str">
        <f>IF(J2-'Revenue Tracking'!D4&gt;=0, "Total Revenue", "ERROR on REV" )</f>
        <v>ERROR on REV</v>
      </c>
      <c r="K4" s="77"/>
      <c r="L4" s="163" t="s">
        <v>241</v>
      </c>
      <c r="M4" s="164" t="s">
        <v>249</v>
      </c>
      <c r="N4" s="164" t="s">
        <v>243</v>
      </c>
      <c r="O4" s="164" t="s">
        <v>244</v>
      </c>
      <c r="P4" s="363" t="s">
        <v>245</v>
      </c>
      <c r="Q4" s="274" t="s">
        <v>250</v>
      </c>
      <c r="R4" s="497" t="s">
        <v>251</v>
      </c>
      <c r="S4" s="498" t="s">
        <v>136</v>
      </c>
      <c r="T4" s="522" t="s">
        <v>137</v>
      </c>
      <c r="U4" s="523" t="s">
        <v>252</v>
      </c>
      <c r="V4" s="274" t="s">
        <v>253</v>
      </c>
      <c r="W4" s="522" t="s">
        <v>254</v>
      </c>
      <c r="X4" s="166" t="s">
        <v>248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255</v>
      </c>
      <c r="D6" s="186"/>
      <c r="E6" s="187"/>
      <c r="F6" s="336"/>
      <c r="G6" s="292"/>
      <c r="H6" s="551"/>
      <c r="I6" s="676">
        <f>SUM(G6:G11)</f>
        <v>0</v>
      </c>
      <c r="J6" s="679">
        <f>F181</f>
        <v>0</v>
      </c>
      <c r="K6" s="289"/>
      <c r="L6" s="185">
        <v>1</v>
      </c>
      <c r="M6" s="316" t="s">
        <v>256</v>
      </c>
      <c r="N6" s="186"/>
      <c r="O6" s="521"/>
      <c r="P6" s="336"/>
      <c r="Q6" s="292"/>
      <c r="R6" s="469"/>
      <c r="S6" s="500"/>
      <c r="T6" s="411"/>
      <c r="U6" s="397"/>
      <c r="V6" s="688">
        <f>J6-SUM(U6:U11)</f>
        <v>0</v>
      </c>
      <c r="W6" s="453"/>
      <c r="X6" s="676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77"/>
      <c r="J7" s="680"/>
      <c r="K7" s="192"/>
      <c r="L7" s="215">
        <v>1</v>
      </c>
      <c r="M7" s="217" t="s">
        <v>256</v>
      </c>
      <c r="N7" s="290"/>
      <c r="O7" s="433"/>
      <c r="P7" s="627"/>
      <c r="Q7" s="219"/>
      <c r="R7" s="470"/>
      <c r="S7" s="501"/>
      <c r="T7" s="411"/>
      <c r="U7" s="397"/>
      <c r="V7" s="689"/>
      <c r="W7" s="454"/>
      <c r="X7" s="677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77"/>
      <c r="J8" s="680"/>
      <c r="K8" s="192"/>
      <c r="L8" s="215">
        <v>1</v>
      </c>
      <c r="M8" s="217" t="s">
        <v>256</v>
      </c>
      <c r="N8" s="379"/>
      <c r="O8" s="434"/>
      <c r="P8" s="343"/>
      <c r="Q8" s="219"/>
      <c r="R8" s="470"/>
      <c r="S8" s="501"/>
      <c r="T8" s="411"/>
      <c r="U8" s="397"/>
      <c r="V8" s="689"/>
      <c r="W8" s="454"/>
      <c r="X8" s="677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77"/>
      <c r="J9" s="680"/>
      <c r="K9" s="192"/>
      <c r="L9" s="215">
        <v>1</v>
      </c>
      <c r="M9" s="217" t="s">
        <v>256</v>
      </c>
      <c r="N9" s="379"/>
      <c r="O9" s="434"/>
      <c r="P9" s="343"/>
      <c r="Q9" s="287"/>
      <c r="R9" s="471"/>
      <c r="S9" s="502"/>
      <c r="T9" s="412"/>
      <c r="U9" s="397"/>
      <c r="V9" s="689"/>
      <c r="W9" s="455"/>
      <c r="X9" s="677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77"/>
      <c r="J10" s="680"/>
      <c r="K10" s="192"/>
      <c r="L10" s="215">
        <v>1</v>
      </c>
      <c r="M10" s="217" t="s">
        <v>256</v>
      </c>
      <c r="N10" s="379"/>
      <c r="O10" s="434"/>
      <c r="P10" s="343"/>
      <c r="Q10" s="287"/>
      <c r="R10" s="471"/>
      <c r="S10" s="502"/>
      <c r="T10" s="412"/>
      <c r="U10" s="397"/>
      <c r="V10" s="689"/>
      <c r="W10" s="455"/>
      <c r="X10" s="677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78"/>
      <c r="J11" s="681"/>
      <c r="K11" s="193"/>
      <c r="L11" s="220">
        <v>1</v>
      </c>
      <c r="M11" s="318" t="s">
        <v>256</v>
      </c>
      <c r="N11" s="293"/>
      <c r="O11" s="435"/>
      <c r="P11" s="358"/>
      <c r="Q11" s="234"/>
      <c r="R11" s="472"/>
      <c r="S11" s="503"/>
      <c r="T11" s="413"/>
      <c r="U11" s="397"/>
      <c r="V11" s="690"/>
      <c r="W11" s="456"/>
      <c r="X11" s="678"/>
      <c r="Y11" s="608" t="s">
        <v>257</v>
      </c>
      <c r="Z11" s="487" t="s">
        <v>258</v>
      </c>
    </row>
    <row r="12" spans="1:76" ht="14.2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259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705">
        <f>SUM(G13:G19)</f>
        <v>0</v>
      </c>
      <c r="J13" s="708">
        <f>F182</f>
        <v>0</v>
      </c>
      <c r="K13" s="201"/>
      <c r="L13" s="197">
        <v>2</v>
      </c>
      <c r="M13" s="319" t="s">
        <v>260</v>
      </c>
      <c r="N13" s="223"/>
      <c r="O13" s="437"/>
      <c r="P13" s="355"/>
      <c r="Q13" s="200"/>
      <c r="R13" s="474"/>
      <c r="S13" s="505"/>
      <c r="T13" s="415"/>
      <c r="U13" s="401"/>
      <c r="V13" s="720">
        <f>J13-SUM(U13:U19)</f>
        <v>0</v>
      </c>
      <c r="W13" s="458"/>
      <c r="X13" s="705">
        <f>SUM(Q13:Q19)</f>
        <v>0</v>
      </c>
      <c r="Y13" s="609" t="s">
        <v>261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706"/>
      <c r="J14" s="709"/>
      <c r="K14" s="205"/>
      <c r="L14" s="202">
        <v>2</v>
      </c>
      <c r="M14" s="325" t="s">
        <v>260</v>
      </c>
      <c r="N14" s="309"/>
      <c r="O14" s="438"/>
      <c r="P14" s="351"/>
      <c r="Q14" s="375"/>
      <c r="R14" s="475"/>
      <c r="S14" s="506"/>
      <c r="T14" s="416"/>
      <c r="U14" s="401"/>
      <c r="V14" s="721"/>
      <c r="W14" s="459"/>
      <c r="X14" s="706"/>
      <c r="Y14" s="609" t="s">
        <v>262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706"/>
      <c r="J15" s="709"/>
      <c r="K15" s="205"/>
      <c r="L15" s="202">
        <v>2</v>
      </c>
      <c r="M15" s="325" t="s">
        <v>260</v>
      </c>
      <c r="N15" s="309"/>
      <c r="O15" s="438"/>
      <c r="P15" s="351"/>
      <c r="Q15" s="375"/>
      <c r="R15" s="475"/>
      <c r="S15" s="506"/>
      <c r="T15" s="416"/>
      <c r="U15" s="401"/>
      <c r="V15" s="721"/>
      <c r="W15" s="459"/>
      <c r="X15" s="706"/>
      <c r="Y15" s="609" t="s">
        <v>263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706"/>
      <c r="J16" s="709"/>
      <c r="K16" s="205"/>
      <c r="L16" s="202">
        <v>2</v>
      </c>
      <c r="M16" s="325" t="s">
        <v>260</v>
      </c>
      <c r="N16" s="309"/>
      <c r="O16" s="438"/>
      <c r="P16" s="351"/>
      <c r="Q16" s="375"/>
      <c r="R16" s="475"/>
      <c r="S16" s="506"/>
      <c r="T16" s="416"/>
      <c r="U16" s="401"/>
      <c r="V16" s="721"/>
      <c r="W16" s="459"/>
      <c r="X16" s="706"/>
      <c r="Y16" s="609" t="s">
        <v>264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706"/>
      <c r="J17" s="709"/>
      <c r="K17" s="205"/>
      <c r="L17" s="202">
        <v>2</v>
      </c>
      <c r="M17" s="325" t="s">
        <v>260</v>
      </c>
      <c r="N17" s="309"/>
      <c r="O17" s="438"/>
      <c r="P17" s="351"/>
      <c r="Q17" s="375"/>
      <c r="R17" s="475"/>
      <c r="S17" s="506"/>
      <c r="T17" s="416"/>
      <c r="U17" s="401"/>
      <c r="V17" s="721"/>
      <c r="W17" s="459"/>
      <c r="X17" s="706"/>
      <c r="Y17" s="609" t="s">
        <v>265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706"/>
      <c r="J18" s="709"/>
      <c r="K18" s="205"/>
      <c r="L18" s="202">
        <v>2</v>
      </c>
      <c r="M18" s="325" t="s">
        <v>260</v>
      </c>
      <c r="N18" s="309"/>
      <c r="O18" s="438"/>
      <c r="P18" s="351"/>
      <c r="Q18" s="375"/>
      <c r="R18" s="475"/>
      <c r="S18" s="506"/>
      <c r="T18" s="416"/>
      <c r="U18" s="401"/>
      <c r="V18" s="721"/>
      <c r="W18" s="459"/>
      <c r="X18" s="706"/>
      <c r="Y18" s="609" t="s">
        <v>266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707"/>
      <c r="J19" s="710"/>
      <c r="K19" s="210"/>
      <c r="L19" s="296">
        <v>2</v>
      </c>
      <c r="M19" s="320" t="s">
        <v>260</v>
      </c>
      <c r="N19" s="297"/>
      <c r="O19" s="439"/>
      <c r="P19" s="365"/>
      <c r="Q19" s="299"/>
      <c r="R19" s="476"/>
      <c r="S19" s="507"/>
      <c r="T19" s="417"/>
      <c r="U19" s="402"/>
      <c r="V19" s="722"/>
      <c r="W19" s="460"/>
      <c r="X19" s="707"/>
      <c r="Y19" s="609" t="s">
        <v>267</v>
      </c>
      <c r="Z19" s="488">
        <v>0</v>
      </c>
      <c r="AA19" s="527"/>
    </row>
    <row r="20" spans="1:27" ht="14.2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268</v>
      </c>
      <c r="Z20" s="488">
        <v>0</v>
      </c>
      <c r="AA20" s="527"/>
    </row>
    <row r="21" spans="1:27" ht="14.25" hidden="1" customHeight="1">
      <c r="B21" s="185">
        <v>3</v>
      </c>
      <c r="C21" s="213" t="s">
        <v>269</v>
      </c>
      <c r="D21" s="231"/>
      <c r="E21" s="187"/>
      <c r="F21" s="336"/>
      <c r="G21" s="188"/>
      <c r="H21" s="543"/>
      <c r="I21" s="676">
        <f>SUM(G21:G26)</f>
        <v>0</v>
      </c>
      <c r="J21" s="679">
        <f>F183</f>
        <v>0</v>
      </c>
      <c r="K21" s="189"/>
      <c r="L21" s="185">
        <v>3</v>
      </c>
      <c r="M21" s="321" t="s">
        <v>270</v>
      </c>
      <c r="N21" s="231"/>
      <c r="O21" s="432"/>
      <c r="P21" s="336"/>
      <c r="Q21" s="188"/>
      <c r="R21" s="477"/>
      <c r="S21" s="508"/>
      <c r="T21" s="607"/>
      <c r="U21" s="397"/>
      <c r="V21" s="688">
        <f>J21-SUM(U21:U26)</f>
        <v>0</v>
      </c>
      <c r="W21" s="461"/>
      <c r="X21" s="676">
        <f>SUM(Q21:Q26)</f>
        <v>0</v>
      </c>
      <c r="Y21" s="609" t="s">
        <v>271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77"/>
      <c r="J22" s="680"/>
      <c r="K22" s="192"/>
      <c r="L22" s="215">
        <v>3</v>
      </c>
      <c r="M22" s="322" t="s">
        <v>270</v>
      </c>
      <c r="N22" s="232"/>
      <c r="O22" s="433"/>
      <c r="P22" s="357"/>
      <c r="Q22" s="219"/>
      <c r="R22" s="470"/>
      <c r="S22" s="501"/>
      <c r="T22" s="411"/>
      <c r="U22" s="397"/>
      <c r="V22" s="689"/>
      <c r="W22" s="454"/>
      <c r="X22" s="677"/>
      <c r="Y22" s="609" t="s">
        <v>162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77"/>
      <c r="J23" s="680"/>
      <c r="K23" s="192"/>
      <c r="L23" s="215">
        <v>3</v>
      </c>
      <c r="M23" s="322" t="s">
        <v>270</v>
      </c>
      <c r="N23" s="232"/>
      <c r="O23" s="433"/>
      <c r="P23" s="357"/>
      <c r="Q23" s="219"/>
      <c r="R23" s="470"/>
      <c r="S23" s="501"/>
      <c r="T23" s="411"/>
      <c r="U23" s="397"/>
      <c r="V23" s="689"/>
      <c r="W23" s="454"/>
      <c r="X23" s="677"/>
      <c r="Y23" s="609" t="s">
        <v>272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77"/>
      <c r="J24" s="680"/>
      <c r="K24" s="192"/>
      <c r="L24" s="215">
        <v>3</v>
      </c>
      <c r="M24" s="322" t="s">
        <v>270</v>
      </c>
      <c r="N24" s="286"/>
      <c r="O24" s="434"/>
      <c r="P24" s="343"/>
      <c r="Q24" s="287"/>
      <c r="R24" s="471"/>
      <c r="S24" s="502"/>
      <c r="T24" s="412"/>
      <c r="U24" s="397"/>
      <c r="V24" s="689"/>
      <c r="W24" s="455"/>
      <c r="X24" s="677"/>
      <c r="Y24" s="610" t="s">
        <v>273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77"/>
      <c r="J25" s="680"/>
      <c r="K25" s="192"/>
      <c r="L25" s="215">
        <v>3</v>
      </c>
      <c r="M25" s="322" t="s">
        <v>270</v>
      </c>
      <c r="N25" s="286"/>
      <c r="O25" s="434"/>
      <c r="P25" s="343"/>
      <c r="Q25" s="287"/>
      <c r="R25" s="471"/>
      <c r="S25" s="502"/>
      <c r="T25" s="412"/>
      <c r="U25" s="397"/>
      <c r="V25" s="689"/>
      <c r="W25" s="455"/>
      <c r="X25" s="677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78"/>
      <c r="J26" s="681"/>
      <c r="K26" s="193"/>
      <c r="L26" s="220">
        <v>3</v>
      </c>
      <c r="M26" s="323" t="s">
        <v>270</v>
      </c>
      <c r="N26" s="233"/>
      <c r="O26" s="435"/>
      <c r="P26" s="358"/>
      <c r="Q26" s="234"/>
      <c r="R26" s="472"/>
      <c r="S26" s="503"/>
      <c r="T26" s="413"/>
      <c r="U26" s="398"/>
      <c r="V26" s="690"/>
      <c r="W26" s="456"/>
      <c r="X26" s="678"/>
      <c r="Y26" s="611" t="s">
        <v>120</v>
      </c>
      <c r="Z26" s="492" t="s">
        <v>274</v>
      </c>
    </row>
    <row r="27" spans="1:27" ht="14.2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261</v>
      </c>
      <c r="D28" s="198"/>
      <c r="E28" s="268"/>
      <c r="F28" s="355"/>
      <c r="G28" s="200"/>
      <c r="H28" s="555"/>
      <c r="I28" s="705">
        <f>SUM(G28:G42)</f>
        <v>0</v>
      </c>
      <c r="J28" s="708">
        <f>F184</f>
        <v>0</v>
      </c>
      <c r="K28" s="201"/>
      <c r="L28" s="197">
        <v>4</v>
      </c>
      <c r="M28" s="324" t="s">
        <v>275</v>
      </c>
      <c r="N28" s="198"/>
      <c r="O28" s="429"/>
      <c r="P28" s="355"/>
      <c r="Q28" s="200"/>
      <c r="R28" s="474"/>
      <c r="S28" s="505"/>
      <c r="T28" s="415"/>
      <c r="U28" s="401"/>
      <c r="V28" s="720">
        <f>J28-SUM(U28:U42)</f>
        <v>0</v>
      </c>
      <c r="W28" s="458"/>
      <c r="X28" s="705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706"/>
      <c r="J29" s="709"/>
      <c r="K29" s="205"/>
      <c r="L29" s="202">
        <v>4</v>
      </c>
      <c r="M29" s="325" t="s">
        <v>275</v>
      </c>
      <c r="N29" s="309"/>
      <c r="O29" s="430"/>
      <c r="P29" s="351"/>
      <c r="Q29" s="204"/>
      <c r="R29" s="475"/>
      <c r="S29" s="506"/>
      <c r="T29" s="416"/>
      <c r="U29" s="401"/>
      <c r="V29" s="721"/>
      <c r="W29" s="459"/>
      <c r="X29" s="706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706"/>
      <c r="J30" s="709"/>
      <c r="K30" s="205"/>
      <c r="L30" s="202">
        <v>4</v>
      </c>
      <c r="M30" s="325" t="s">
        <v>275</v>
      </c>
      <c r="N30" s="309"/>
      <c r="O30" s="430"/>
      <c r="P30" s="351"/>
      <c r="Q30" s="204"/>
      <c r="R30" s="475"/>
      <c r="S30" s="506"/>
      <c r="T30" s="416"/>
      <c r="U30" s="401"/>
      <c r="V30" s="721"/>
      <c r="W30" s="459"/>
      <c r="X30" s="706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706"/>
      <c r="J31" s="709"/>
      <c r="K31" s="205"/>
      <c r="L31" s="202">
        <v>4</v>
      </c>
      <c r="M31" s="325" t="s">
        <v>275</v>
      </c>
      <c r="N31" s="309"/>
      <c r="O31" s="438"/>
      <c r="P31" s="351"/>
      <c r="Q31" s="204"/>
      <c r="R31" s="475"/>
      <c r="S31" s="506"/>
      <c r="T31" s="416"/>
      <c r="U31" s="401"/>
      <c r="V31" s="721"/>
      <c r="W31" s="459"/>
      <c r="X31" s="706"/>
      <c r="Y31" s="612" t="s">
        <v>276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706"/>
      <c r="J32" s="709"/>
      <c r="K32" s="205"/>
      <c r="L32" s="202">
        <v>4</v>
      </c>
      <c r="M32" s="325" t="s">
        <v>275</v>
      </c>
      <c r="N32" s="309"/>
      <c r="O32" s="447"/>
      <c r="P32" s="448"/>
      <c r="Q32" s="204"/>
      <c r="R32" s="702"/>
      <c r="S32" s="506"/>
      <c r="T32" s="416"/>
      <c r="U32" s="401"/>
      <c r="V32" s="721"/>
      <c r="W32" s="459"/>
      <c r="X32" s="706"/>
      <c r="Y32" s="612" t="s">
        <v>277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706"/>
      <c r="J33" s="709"/>
      <c r="K33" s="205"/>
      <c r="L33" s="202">
        <v>4</v>
      </c>
      <c r="M33" s="325" t="s">
        <v>275</v>
      </c>
      <c r="N33" s="309"/>
      <c r="O33" s="438"/>
      <c r="P33" s="448"/>
      <c r="Q33" s="204"/>
      <c r="R33" s="703"/>
      <c r="S33" s="506"/>
      <c r="T33" s="416"/>
      <c r="U33" s="401"/>
      <c r="V33" s="721"/>
      <c r="W33" s="459"/>
      <c r="X33" s="706"/>
      <c r="Y33" s="612" t="s">
        <v>278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706"/>
      <c r="J34" s="709"/>
      <c r="K34" s="205"/>
      <c r="L34" s="202">
        <v>4</v>
      </c>
      <c r="M34" s="325" t="s">
        <v>275</v>
      </c>
      <c r="N34" s="309"/>
      <c r="O34" s="438"/>
      <c r="P34" s="448"/>
      <c r="Q34" s="204"/>
      <c r="R34" s="703"/>
      <c r="S34" s="506"/>
      <c r="T34" s="416"/>
      <c r="U34" s="401"/>
      <c r="V34" s="721"/>
      <c r="W34" s="459"/>
      <c r="X34" s="706"/>
      <c r="Y34" s="612" t="s">
        <v>279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706"/>
      <c r="J35" s="709"/>
      <c r="K35" s="205"/>
      <c r="L35" s="202">
        <v>4</v>
      </c>
      <c r="M35" s="325" t="s">
        <v>275</v>
      </c>
      <c r="N35" s="309"/>
      <c r="O35" s="438"/>
      <c r="P35" s="448"/>
      <c r="Q35" s="204"/>
      <c r="R35" s="703"/>
      <c r="S35" s="506"/>
      <c r="T35" s="416"/>
      <c r="U35" s="401"/>
      <c r="V35" s="721"/>
      <c r="W35" s="459"/>
      <c r="X35" s="706"/>
      <c r="Y35" s="612" t="s">
        <v>268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706"/>
      <c r="J36" s="709"/>
      <c r="K36" s="205"/>
      <c r="L36" s="202">
        <v>4</v>
      </c>
      <c r="M36" s="325" t="s">
        <v>275</v>
      </c>
      <c r="N36" s="309"/>
      <c r="O36" s="438"/>
      <c r="P36" s="448"/>
      <c r="Q36" s="204"/>
      <c r="R36" s="703"/>
      <c r="S36" s="506"/>
      <c r="T36" s="416"/>
      <c r="U36" s="401"/>
      <c r="V36" s="721"/>
      <c r="W36" s="459"/>
      <c r="X36" s="706"/>
      <c r="Y36" s="612" t="s">
        <v>271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706"/>
      <c r="J37" s="709"/>
      <c r="K37" s="205"/>
      <c r="L37" s="202">
        <v>4</v>
      </c>
      <c r="M37" s="325" t="s">
        <v>275</v>
      </c>
      <c r="N37" s="309"/>
      <c r="O37" s="438"/>
      <c r="P37" s="448"/>
      <c r="Q37" s="204"/>
      <c r="R37" s="703"/>
      <c r="S37" s="506"/>
      <c r="T37" s="416"/>
      <c r="U37" s="401"/>
      <c r="V37" s="721"/>
      <c r="W37" s="459"/>
      <c r="X37" s="706"/>
      <c r="Y37" s="612" t="s">
        <v>271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706"/>
      <c r="J38" s="709"/>
      <c r="K38" s="205"/>
      <c r="L38" s="202">
        <v>4</v>
      </c>
      <c r="M38" s="325" t="s">
        <v>275</v>
      </c>
      <c r="N38" s="309"/>
      <c r="O38" s="438"/>
      <c r="P38" s="448"/>
      <c r="Q38" s="204"/>
      <c r="R38" s="703"/>
      <c r="S38" s="506"/>
      <c r="T38" s="416"/>
      <c r="U38" s="401"/>
      <c r="V38" s="721"/>
      <c r="W38" s="459"/>
      <c r="X38" s="706"/>
      <c r="Y38" s="612" t="s">
        <v>162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706"/>
      <c r="J39" s="709"/>
      <c r="K39" s="205"/>
      <c r="L39" s="202">
        <v>4</v>
      </c>
      <c r="M39" s="325" t="s">
        <v>275</v>
      </c>
      <c r="N39" s="309"/>
      <c r="O39" s="438"/>
      <c r="P39" s="448"/>
      <c r="Q39" s="204"/>
      <c r="R39" s="704"/>
      <c r="S39" s="506"/>
      <c r="T39" s="416"/>
      <c r="U39" s="401"/>
      <c r="V39" s="721"/>
      <c r="W39" s="459"/>
      <c r="X39" s="706"/>
      <c r="Y39" s="613" t="s">
        <v>273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706"/>
      <c r="J40" s="709"/>
      <c r="K40" s="205"/>
      <c r="L40" s="202">
        <v>4</v>
      </c>
      <c r="M40" s="325" t="s">
        <v>275</v>
      </c>
      <c r="N40" s="309"/>
      <c r="O40" s="438"/>
      <c r="P40" s="351"/>
      <c r="Q40" s="204"/>
      <c r="R40" s="475"/>
      <c r="S40" s="506"/>
      <c r="T40" s="416"/>
      <c r="U40" s="401"/>
      <c r="V40" s="721"/>
      <c r="W40" s="459"/>
      <c r="X40" s="706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706"/>
      <c r="J41" s="709"/>
      <c r="K41" s="205"/>
      <c r="L41" s="202">
        <v>4</v>
      </c>
      <c r="M41" s="325" t="s">
        <v>275</v>
      </c>
      <c r="N41" s="309"/>
      <c r="O41" s="438"/>
      <c r="P41" s="351"/>
      <c r="Q41" s="204"/>
      <c r="R41" s="475"/>
      <c r="S41" s="506"/>
      <c r="T41" s="416"/>
      <c r="U41" s="401"/>
      <c r="V41" s="721"/>
      <c r="W41" s="459"/>
      <c r="X41" s="706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707"/>
      <c r="J42" s="710"/>
      <c r="K42" s="210"/>
      <c r="L42" s="206">
        <v>4</v>
      </c>
      <c r="M42" s="326" t="s">
        <v>275</v>
      </c>
      <c r="N42" s="229"/>
      <c r="O42" s="439"/>
      <c r="P42" s="353"/>
      <c r="Q42" s="209"/>
      <c r="R42" s="476"/>
      <c r="S42" s="507"/>
      <c r="T42" s="417"/>
      <c r="U42" s="402"/>
      <c r="V42" s="722"/>
      <c r="W42" s="460"/>
      <c r="X42" s="707"/>
    </row>
    <row r="43" spans="1:26" ht="13.9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280</v>
      </c>
      <c r="D44" s="231"/>
      <c r="E44" s="187"/>
      <c r="F44" s="336"/>
      <c r="G44" s="188"/>
      <c r="H44" s="543"/>
      <c r="I44" s="676">
        <f>D186</f>
        <v>0</v>
      </c>
      <c r="J44" s="679">
        <f>F186</f>
        <v>0</v>
      </c>
      <c r="K44" s="189"/>
      <c r="L44" s="185">
        <v>5</v>
      </c>
      <c r="M44" s="321" t="s">
        <v>281</v>
      </c>
      <c r="N44" s="231"/>
      <c r="O44" s="432"/>
      <c r="P44" s="336"/>
      <c r="Q44" s="188"/>
      <c r="R44" s="477"/>
      <c r="S44" s="508"/>
      <c r="T44" s="411"/>
      <c r="U44" s="396"/>
      <c r="V44" s="688"/>
      <c r="W44" s="461"/>
      <c r="X44" s="676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77"/>
      <c r="J45" s="680"/>
      <c r="K45" s="192"/>
      <c r="L45" s="190">
        <v>5</v>
      </c>
      <c r="M45" s="327" t="s">
        <v>281</v>
      </c>
      <c r="N45" s="191"/>
      <c r="O45" s="440"/>
      <c r="P45" s="350"/>
      <c r="Q45" s="219"/>
      <c r="R45" s="518"/>
      <c r="S45" s="501"/>
      <c r="T45" s="411"/>
      <c r="U45" s="396"/>
      <c r="V45" s="689"/>
      <c r="W45" s="454"/>
      <c r="X45" s="677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77"/>
      <c r="J46" s="680"/>
      <c r="K46" s="192"/>
      <c r="L46" s="190">
        <v>5</v>
      </c>
      <c r="M46" s="327" t="s">
        <v>281</v>
      </c>
      <c r="N46" s="217"/>
      <c r="O46" s="433"/>
      <c r="P46" s="357"/>
      <c r="Q46" s="219"/>
      <c r="R46" s="470"/>
      <c r="S46" s="501"/>
      <c r="T46" s="411"/>
      <c r="U46" s="396"/>
      <c r="V46" s="689"/>
      <c r="W46" s="454"/>
      <c r="X46" s="677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77"/>
      <c r="J47" s="680"/>
      <c r="K47" s="192"/>
      <c r="L47" s="215">
        <v>5</v>
      </c>
      <c r="M47" s="327" t="s">
        <v>281</v>
      </c>
      <c r="N47" s="217"/>
      <c r="O47" s="433"/>
      <c r="P47" s="357"/>
      <c r="Q47" s="219"/>
      <c r="R47" s="470"/>
      <c r="S47" s="501"/>
      <c r="T47" s="542"/>
      <c r="U47" s="396"/>
      <c r="V47" s="689"/>
      <c r="W47" s="454"/>
      <c r="X47" s="677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77"/>
      <c r="J48" s="680"/>
      <c r="K48" s="192"/>
      <c r="L48" s="215">
        <v>5</v>
      </c>
      <c r="M48" s="327" t="s">
        <v>281</v>
      </c>
      <c r="N48" s="288"/>
      <c r="O48" s="434"/>
      <c r="P48" s="343"/>
      <c r="Q48" s="287"/>
      <c r="R48" s="471"/>
      <c r="S48" s="502"/>
      <c r="T48" s="412"/>
      <c r="U48" s="396"/>
      <c r="V48" s="689"/>
      <c r="W48" s="455"/>
      <c r="X48" s="677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77"/>
      <c r="J49" s="680"/>
      <c r="K49" s="192"/>
      <c r="L49" s="215">
        <v>5</v>
      </c>
      <c r="M49" s="327" t="s">
        <v>281</v>
      </c>
      <c r="N49" s="288"/>
      <c r="O49" s="434"/>
      <c r="P49" s="343"/>
      <c r="Q49" s="287"/>
      <c r="R49" s="471"/>
      <c r="S49" s="502"/>
      <c r="T49" s="412"/>
      <c r="U49" s="397"/>
      <c r="V49" s="689"/>
      <c r="W49" s="455"/>
      <c r="X49" s="677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78"/>
      <c r="J50" s="681"/>
      <c r="K50" s="193"/>
      <c r="L50" s="220">
        <v>5</v>
      </c>
      <c r="M50" s="323" t="s">
        <v>281</v>
      </c>
      <c r="N50" s="221"/>
      <c r="O50" s="435"/>
      <c r="P50" s="358"/>
      <c r="Q50" s="234"/>
      <c r="R50" s="472"/>
      <c r="S50" s="503"/>
      <c r="T50" s="413"/>
      <c r="U50" s="398"/>
      <c r="V50" s="690"/>
      <c r="W50" s="456"/>
      <c r="X50" s="678"/>
    </row>
    <row r="51" spans="1:24" ht="14.2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259</v>
      </c>
      <c r="D52" s="199"/>
      <c r="E52" s="373"/>
      <c r="F52" s="355"/>
      <c r="G52" s="200"/>
      <c r="H52" s="555"/>
      <c r="I52" s="705">
        <f>SUM(G52:G68)</f>
        <v>0</v>
      </c>
      <c r="J52" s="708">
        <f>F185</f>
        <v>0</v>
      </c>
      <c r="K52" s="201"/>
      <c r="L52" s="197">
        <v>6</v>
      </c>
      <c r="M52" s="330" t="s">
        <v>282</v>
      </c>
      <c r="N52" s="199"/>
      <c r="O52" s="428"/>
      <c r="P52" s="355"/>
      <c r="Q52" s="200"/>
      <c r="R52" s="474"/>
      <c r="S52" s="505"/>
      <c r="T52" s="415"/>
      <c r="U52" s="400"/>
      <c r="V52" s="720"/>
      <c r="W52" s="458"/>
      <c r="X52" s="705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706"/>
      <c r="J53" s="709"/>
      <c r="K53" s="205"/>
      <c r="L53" s="202">
        <v>6</v>
      </c>
      <c r="M53" s="328" t="s">
        <v>282</v>
      </c>
      <c r="N53" s="342"/>
      <c r="O53" s="438"/>
      <c r="P53" s="351"/>
      <c r="Q53" s="225"/>
      <c r="R53" s="475"/>
      <c r="S53" s="506"/>
      <c r="T53" s="416"/>
      <c r="U53" s="401"/>
      <c r="V53" s="721"/>
      <c r="W53" s="459"/>
      <c r="X53" s="706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706"/>
      <c r="J54" s="709"/>
      <c r="K54" s="205"/>
      <c r="L54" s="202">
        <v>6</v>
      </c>
      <c r="M54" s="328" t="s">
        <v>282</v>
      </c>
      <c r="N54" s="342"/>
      <c r="O54" s="438"/>
      <c r="P54" s="351"/>
      <c r="Q54" s="225"/>
      <c r="R54" s="475"/>
      <c r="S54" s="506"/>
      <c r="T54" s="416"/>
      <c r="U54" s="401"/>
      <c r="V54" s="721"/>
      <c r="W54" s="459"/>
      <c r="X54" s="706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706"/>
      <c r="J55" s="709"/>
      <c r="K55" s="205"/>
      <c r="L55" s="202">
        <v>6</v>
      </c>
      <c r="M55" s="328" t="s">
        <v>282</v>
      </c>
      <c r="N55" s="342"/>
      <c r="O55" s="438"/>
      <c r="P55" s="351"/>
      <c r="Q55" s="225"/>
      <c r="R55" s="475"/>
      <c r="S55" s="506"/>
      <c r="T55" s="416"/>
      <c r="U55" s="401"/>
      <c r="V55" s="721"/>
      <c r="W55" s="459"/>
      <c r="X55" s="706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706"/>
      <c r="J56" s="709"/>
      <c r="K56" s="205"/>
      <c r="L56" s="202">
        <v>6</v>
      </c>
      <c r="M56" s="328" t="s">
        <v>282</v>
      </c>
      <c r="N56" s="342"/>
      <c r="O56" s="438"/>
      <c r="P56" s="351"/>
      <c r="Q56" s="225"/>
      <c r="R56" s="475"/>
      <c r="S56" s="506"/>
      <c r="T56" s="416"/>
      <c r="U56" s="401"/>
      <c r="V56" s="721"/>
      <c r="W56" s="459"/>
      <c r="X56" s="706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706"/>
      <c r="J57" s="709"/>
      <c r="K57" s="205"/>
      <c r="L57" s="202">
        <v>6</v>
      </c>
      <c r="M57" s="328" t="s">
        <v>282</v>
      </c>
      <c r="N57" s="342"/>
      <c r="O57" s="438"/>
      <c r="P57" s="351"/>
      <c r="Q57" s="225"/>
      <c r="R57" s="475"/>
      <c r="S57" s="506"/>
      <c r="T57" s="416"/>
      <c r="U57" s="401"/>
      <c r="V57" s="721"/>
      <c r="W57" s="459"/>
      <c r="X57" s="706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706"/>
      <c r="J58" s="709"/>
      <c r="K58" s="205"/>
      <c r="L58" s="202">
        <v>6</v>
      </c>
      <c r="M58" s="328" t="s">
        <v>282</v>
      </c>
      <c r="N58" s="309"/>
      <c r="O58" s="447"/>
      <c r="P58" s="448"/>
      <c r="Q58" s="204"/>
      <c r="R58" s="702"/>
      <c r="S58" s="506"/>
      <c r="T58" s="419"/>
      <c r="U58" s="401"/>
      <c r="V58" s="721"/>
      <c r="W58" s="459"/>
      <c r="X58" s="706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706"/>
      <c r="J59" s="709"/>
      <c r="K59" s="205"/>
      <c r="L59" s="202">
        <v>6</v>
      </c>
      <c r="M59" s="329" t="s">
        <v>282</v>
      </c>
      <c r="N59" s="309"/>
      <c r="O59" s="438"/>
      <c r="P59" s="448"/>
      <c r="Q59" s="204"/>
      <c r="R59" s="703"/>
      <c r="S59" s="506"/>
      <c r="T59" s="419"/>
      <c r="U59" s="401"/>
      <c r="V59" s="721"/>
      <c r="W59" s="459"/>
      <c r="X59" s="706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706"/>
      <c r="J60" s="709"/>
      <c r="K60" s="205"/>
      <c r="L60" s="202">
        <v>6</v>
      </c>
      <c r="M60" s="329" t="s">
        <v>282</v>
      </c>
      <c r="N60" s="309"/>
      <c r="O60" s="438"/>
      <c r="P60" s="448"/>
      <c r="Q60" s="204"/>
      <c r="R60" s="703"/>
      <c r="S60" s="506"/>
      <c r="T60" s="419"/>
      <c r="U60" s="401"/>
      <c r="V60" s="721"/>
      <c r="W60" s="459"/>
      <c r="X60" s="706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706"/>
      <c r="J61" s="709"/>
      <c r="K61" s="205"/>
      <c r="L61" s="202">
        <v>6</v>
      </c>
      <c r="M61" s="329" t="s">
        <v>282</v>
      </c>
      <c r="N61" s="309"/>
      <c r="O61" s="438"/>
      <c r="P61" s="448"/>
      <c r="Q61" s="204"/>
      <c r="R61" s="703"/>
      <c r="S61" s="506"/>
      <c r="T61" s="419"/>
      <c r="U61" s="401"/>
      <c r="V61" s="721"/>
      <c r="W61" s="459"/>
      <c r="X61" s="706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706"/>
      <c r="J62" s="709"/>
      <c r="K62" s="205"/>
      <c r="L62" s="202">
        <v>6</v>
      </c>
      <c r="M62" s="329" t="s">
        <v>282</v>
      </c>
      <c r="N62" s="309"/>
      <c r="O62" s="438"/>
      <c r="P62" s="448"/>
      <c r="Q62" s="204"/>
      <c r="R62" s="703"/>
      <c r="S62" s="506"/>
      <c r="T62" s="419"/>
      <c r="U62" s="401"/>
      <c r="V62" s="721"/>
      <c r="W62" s="459"/>
      <c r="X62" s="706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706"/>
      <c r="J63" s="709"/>
      <c r="K63" s="205"/>
      <c r="L63" s="202">
        <v>6</v>
      </c>
      <c r="M63" s="329" t="s">
        <v>282</v>
      </c>
      <c r="N63" s="309"/>
      <c r="O63" s="438"/>
      <c r="P63" s="448"/>
      <c r="Q63" s="204"/>
      <c r="R63" s="703"/>
      <c r="S63" s="510"/>
      <c r="T63" s="419"/>
      <c r="U63" s="406"/>
      <c r="V63" s="721"/>
      <c r="W63" s="459"/>
      <c r="X63" s="706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706"/>
      <c r="J64" s="709"/>
      <c r="K64" s="205"/>
      <c r="L64" s="202">
        <v>6</v>
      </c>
      <c r="M64" s="329" t="s">
        <v>282</v>
      </c>
      <c r="N64" s="309"/>
      <c r="O64" s="438"/>
      <c r="P64" s="448"/>
      <c r="Q64" s="204"/>
      <c r="R64" s="703"/>
      <c r="S64" s="510"/>
      <c r="T64" s="419"/>
      <c r="U64" s="406"/>
      <c r="V64" s="721"/>
      <c r="W64" s="459"/>
      <c r="X64" s="706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706"/>
      <c r="J65" s="709"/>
      <c r="K65" s="205"/>
      <c r="L65" s="202">
        <v>6</v>
      </c>
      <c r="M65" s="329" t="s">
        <v>282</v>
      </c>
      <c r="N65" s="309"/>
      <c r="O65" s="438"/>
      <c r="P65" s="448"/>
      <c r="Q65" s="204"/>
      <c r="R65" s="704"/>
      <c r="S65" s="510"/>
      <c r="T65" s="419"/>
      <c r="U65" s="406"/>
      <c r="V65" s="721"/>
      <c r="W65" s="459"/>
      <c r="X65" s="706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706"/>
      <c r="J66" s="709"/>
      <c r="K66" s="205"/>
      <c r="L66" s="202">
        <v>6</v>
      </c>
      <c r="M66" s="329" t="s">
        <v>282</v>
      </c>
      <c r="N66" s="309"/>
      <c r="O66" s="438"/>
      <c r="P66" s="448"/>
      <c r="Q66" s="204"/>
      <c r="R66" s="479"/>
      <c r="S66" s="510"/>
      <c r="T66" s="419"/>
      <c r="U66" s="406"/>
      <c r="V66" s="721"/>
      <c r="W66" s="462"/>
      <c r="X66" s="706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706"/>
      <c r="J67" s="709"/>
      <c r="K67" s="205"/>
      <c r="L67" s="202">
        <v>6</v>
      </c>
      <c r="M67" s="329" t="s">
        <v>282</v>
      </c>
      <c r="N67" s="309"/>
      <c r="O67" s="438"/>
      <c r="P67" s="448"/>
      <c r="Q67" s="204"/>
      <c r="R67" s="479"/>
      <c r="S67" s="510"/>
      <c r="T67" s="419"/>
      <c r="U67" s="406"/>
      <c r="V67" s="721"/>
      <c r="W67" s="462"/>
      <c r="X67" s="706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707"/>
      <c r="J68" s="710"/>
      <c r="K68" s="210"/>
      <c r="L68" s="206">
        <v>6</v>
      </c>
      <c r="M68" s="331" t="s">
        <v>282</v>
      </c>
      <c r="N68" s="208"/>
      <c r="O68" s="442"/>
      <c r="P68" s="353"/>
      <c r="Q68" s="209"/>
      <c r="R68" s="476"/>
      <c r="S68" s="507"/>
      <c r="T68" s="417"/>
      <c r="U68" s="402"/>
      <c r="V68" s="722"/>
      <c r="W68" s="460"/>
      <c r="X68" s="707"/>
    </row>
    <row r="69" spans="1:24" ht="13.9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283</v>
      </c>
      <c r="D70" s="282" t="s">
        <v>284</v>
      </c>
      <c r="E70" s="360">
        <v>1</v>
      </c>
      <c r="F70" s="366"/>
      <c r="G70" s="283">
        <v>559066</v>
      </c>
      <c r="H70" s="559">
        <v>46112</v>
      </c>
      <c r="I70" s="676">
        <f>SUM(G70:G98)</f>
        <v>724139.91304347827</v>
      </c>
      <c r="J70" s="679">
        <v>822886.26482213405</v>
      </c>
      <c r="K70" s="189"/>
      <c r="L70" s="281">
        <v>7</v>
      </c>
      <c r="M70" s="213" t="s">
        <v>285</v>
      </c>
      <c r="N70" s="282" t="s">
        <v>284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717"/>
      <c r="W70" s="464"/>
      <c r="X70" s="676">
        <f>SUM(Q70:Q98)</f>
        <v>573781</v>
      </c>
    </row>
    <row r="71" spans="1:24" ht="14.25" customHeight="1">
      <c r="B71" s="284">
        <v>7</v>
      </c>
      <c r="C71" s="285"/>
      <c r="D71" s="286" t="s">
        <v>286</v>
      </c>
      <c r="E71" s="307">
        <v>1</v>
      </c>
      <c r="F71" s="343"/>
      <c r="G71" s="287">
        <v>19400</v>
      </c>
      <c r="H71" s="542">
        <v>46081</v>
      </c>
      <c r="I71" s="677"/>
      <c r="J71" s="680"/>
      <c r="K71" s="192"/>
      <c r="L71" s="284">
        <v>7</v>
      </c>
      <c r="M71" s="285" t="s">
        <v>285</v>
      </c>
      <c r="N71" s="286" t="s">
        <v>287</v>
      </c>
      <c r="O71" s="307">
        <v>1</v>
      </c>
      <c r="P71" s="343">
        <v>69250</v>
      </c>
      <c r="Q71" s="287">
        <f>O71*P71</f>
        <v>69250</v>
      </c>
      <c r="R71" s="697" t="s">
        <v>288</v>
      </c>
      <c r="S71" s="502"/>
      <c r="T71" s="412">
        <v>46081</v>
      </c>
      <c r="U71" s="397">
        <f t="shared" ref="U71:U98" si="1">(Q71/$X$70*$J$70)</f>
        <v>99314.675527653904</v>
      </c>
      <c r="V71" s="718"/>
      <c r="W71" s="455">
        <f>T71+60</f>
        <v>46141</v>
      </c>
      <c r="X71" s="677"/>
    </row>
    <row r="72" spans="1:24" ht="14.25" customHeight="1">
      <c r="B72" s="284">
        <v>7</v>
      </c>
      <c r="C72" s="285"/>
      <c r="D72" s="286" t="s">
        <v>289</v>
      </c>
      <c r="E72" s="307">
        <v>1</v>
      </c>
      <c r="F72" s="343"/>
      <c r="G72" s="287">
        <v>53200</v>
      </c>
      <c r="H72" s="542">
        <v>46081</v>
      </c>
      <c r="I72" s="677"/>
      <c r="J72" s="680"/>
      <c r="K72" s="192"/>
      <c r="L72" s="284">
        <v>7</v>
      </c>
      <c r="M72" s="285" t="s">
        <v>285</v>
      </c>
      <c r="N72" s="286" t="s">
        <v>290</v>
      </c>
      <c r="O72" s="307">
        <v>8</v>
      </c>
      <c r="P72" s="343">
        <v>38500</v>
      </c>
      <c r="Q72" s="287">
        <f>O72*P72</f>
        <v>308000</v>
      </c>
      <c r="R72" s="698"/>
      <c r="S72" s="502"/>
      <c r="T72" s="412">
        <v>46081</v>
      </c>
      <c r="U72" s="397">
        <f t="shared" si="1"/>
        <v>441717.2572204679</v>
      </c>
      <c r="V72" s="718"/>
      <c r="W72" s="455">
        <f>W71</f>
        <v>46141</v>
      </c>
      <c r="X72" s="677"/>
    </row>
    <row r="73" spans="1:24" ht="14.25" customHeight="1">
      <c r="B73" s="284">
        <v>7</v>
      </c>
      <c r="C73" s="285"/>
      <c r="D73" s="286" t="s">
        <v>291</v>
      </c>
      <c r="E73" s="307">
        <v>1</v>
      </c>
      <c r="F73" s="343"/>
      <c r="G73" s="287">
        <v>64400</v>
      </c>
      <c r="H73" s="542">
        <v>46081</v>
      </c>
      <c r="I73" s="677"/>
      <c r="J73" s="680"/>
      <c r="K73" s="192"/>
      <c r="L73" s="284">
        <v>7</v>
      </c>
      <c r="M73" s="285" t="s">
        <v>285</v>
      </c>
      <c r="N73" s="286" t="s">
        <v>292</v>
      </c>
      <c r="O73" s="307">
        <v>2</v>
      </c>
      <c r="P73" s="343">
        <v>3650</v>
      </c>
      <c r="Q73" s="287">
        <f>O73*P73</f>
        <v>7300</v>
      </c>
      <c r="R73" s="698"/>
      <c r="S73" s="502"/>
      <c r="T73" s="412">
        <v>46081</v>
      </c>
      <c r="U73" s="397">
        <f t="shared" si="1"/>
        <v>10469.2726549007</v>
      </c>
      <c r="V73" s="718"/>
      <c r="W73" s="455">
        <f>W71</f>
        <v>46141</v>
      </c>
      <c r="X73" s="677"/>
    </row>
    <row r="74" spans="1:24" ht="14.25" customHeight="1">
      <c r="B74" s="284">
        <v>7</v>
      </c>
      <c r="C74" s="285"/>
      <c r="D74" s="286" t="s">
        <v>293</v>
      </c>
      <c r="E74" s="307">
        <v>2</v>
      </c>
      <c r="F74" s="343"/>
      <c r="G74" s="287">
        <v>7500</v>
      </c>
      <c r="H74" s="542">
        <v>46081</v>
      </c>
      <c r="I74" s="677"/>
      <c r="J74" s="680"/>
      <c r="K74" s="192"/>
      <c r="L74" s="284">
        <v>7</v>
      </c>
      <c r="M74" s="285" t="s">
        <v>285</v>
      </c>
      <c r="N74" s="286" t="s">
        <v>294</v>
      </c>
      <c r="O74" s="307">
        <v>1</v>
      </c>
      <c r="P74" s="343">
        <v>57800</v>
      </c>
      <c r="Q74" s="287">
        <f>O74*P74</f>
        <v>57800</v>
      </c>
      <c r="R74" s="698"/>
      <c r="S74" s="502"/>
      <c r="T74" s="412">
        <v>46081</v>
      </c>
      <c r="U74" s="397">
        <f t="shared" si="1"/>
        <v>82893.693075789095</v>
      </c>
      <c r="V74" s="718"/>
      <c r="W74" s="455">
        <f>W71</f>
        <v>46141</v>
      </c>
      <c r="X74" s="677"/>
    </row>
    <row r="75" spans="1:24" ht="14.25" customHeight="1">
      <c r="B75" s="284">
        <v>7</v>
      </c>
      <c r="C75" s="285"/>
      <c r="D75" s="286" t="s">
        <v>295</v>
      </c>
      <c r="E75" s="307">
        <v>40</v>
      </c>
      <c r="F75" s="343"/>
      <c r="G75" s="287">
        <v>20573.913043478264</v>
      </c>
      <c r="H75" s="542">
        <v>46081</v>
      </c>
      <c r="I75" s="677"/>
      <c r="J75" s="680"/>
      <c r="K75" s="192"/>
      <c r="L75" s="284">
        <v>7</v>
      </c>
      <c r="M75" s="285" t="s">
        <v>285</v>
      </c>
      <c r="N75" s="286" t="s">
        <v>296</v>
      </c>
      <c r="O75" s="643">
        <v>1</v>
      </c>
      <c r="P75" s="644">
        <f>11000+11000+3650+3650</f>
        <v>29300</v>
      </c>
      <c r="Q75" s="287">
        <f>O75*P75</f>
        <v>29300</v>
      </c>
      <c r="R75" s="699"/>
      <c r="S75" s="502"/>
      <c r="T75" s="412">
        <v>46081</v>
      </c>
      <c r="U75" s="397">
        <f t="shared" si="1"/>
        <v>42020.50531350555</v>
      </c>
      <c r="V75" s="718"/>
      <c r="W75" s="455">
        <f>W71</f>
        <v>46141</v>
      </c>
      <c r="X75" s="677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77"/>
      <c r="J76" s="680"/>
      <c r="K76" s="192"/>
      <c r="L76" s="284"/>
      <c r="M76" s="285" t="s">
        <v>285</v>
      </c>
      <c r="N76" s="286"/>
      <c r="O76" s="630"/>
      <c r="P76" s="449"/>
      <c r="Q76" s="287"/>
      <c r="R76" s="471"/>
      <c r="S76" s="502"/>
      <c r="T76" s="412"/>
      <c r="U76" s="397"/>
      <c r="V76" s="718"/>
      <c r="W76" s="455"/>
      <c r="X76" s="677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77"/>
      <c r="J77" s="680"/>
      <c r="K77" s="192"/>
      <c r="L77" s="284">
        <v>7</v>
      </c>
      <c r="M77" s="285" t="s">
        <v>285</v>
      </c>
      <c r="N77" s="286" t="s">
        <v>297</v>
      </c>
      <c r="O77" s="630">
        <f>90756*75%+2500</f>
        <v>70567</v>
      </c>
      <c r="P77" s="449">
        <v>0.5</v>
      </c>
      <c r="Q77" s="287">
        <f>$O$77*P77</f>
        <v>35283.5</v>
      </c>
      <c r="R77" s="697" t="s">
        <v>298</v>
      </c>
      <c r="S77" s="502"/>
      <c r="T77" s="412">
        <v>46081</v>
      </c>
      <c r="U77" s="397">
        <f t="shared" si="1"/>
        <v>50601.723523176552</v>
      </c>
      <c r="V77" s="718"/>
      <c r="W77" s="455">
        <f>'Project Plan'!I20+7</f>
        <v>46083</v>
      </c>
      <c r="X77" s="677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77"/>
      <c r="J78" s="680"/>
      <c r="K78" s="192"/>
      <c r="L78" s="284">
        <v>7</v>
      </c>
      <c r="M78" s="285" t="s">
        <v>285</v>
      </c>
      <c r="N78" s="286" t="s">
        <v>299</v>
      </c>
      <c r="O78" s="630"/>
      <c r="P78" s="449">
        <v>0.3</v>
      </c>
      <c r="Q78" s="287">
        <f>$O$77*P78</f>
        <v>21170.1</v>
      </c>
      <c r="R78" s="698"/>
      <c r="S78" s="502"/>
      <c r="T78" s="412">
        <v>46081</v>
      </c>
      <c r="U78" s="397">
        <f t="shared" si="1"/>
        <v>30361.034113905931</v>
      </c>
      <c r="V78" s="718"/>
      <c r="W78" s="455">
        <f>'Project Plan'!K42+7</f>
        <v>46087</v>
      </c>
      <c r="X78" s="677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77"/>
      <c r="J79" s="680"/>
      <c r="K79" s="192"/>
      <c r="L79" s="284">
        <v>7</v>
      </c>
      <c r="M79" s="285" t="s">
        <v>285</v>
      </c>
      <c r="N79" s="286" t="s">
        <v>300</v>
      </c>
      <c r="O79" s="630"/>
      <c r="P79" s="449">
        <v>0.2</v>
      </c>
      <c r="Q79" s="287">
        <f>$O$77*P79</f>
        <v>14113.400000000001</v>
      </c>
      <c r="R79" s="698"/>
      <c r="S79" s="502"/>
      <c r="T79" s="412">
        <v>46081</v>
      </c>
      <c r="U79" s="397">
        <f t="shared" si="1"/>
        <v>20240.689409270624</v>
      </c>
      <c r="V79" s="718"/>
      <c r="W79" s="455">
        <f>W78+30</f>
        <v>46117</v>
      </c>
      <c r="X79" s="677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77"/>
      <c r="J80" s="680"/>
      <c r="K80" s="192"/>
      <c r="L80" s="284">
        <v>7</v>
      </c>
      <c r="M80" s="285" t="s">
        <v>285</v>
      </c>
      <c r="N80" s="286"/>
      <c r="O80" s="630"/>
      <c r="P80" s="449"/>
      <c r="Q80" s="287"/>
      <c r="R80" s="698"/>
      <c r="S80" s="502"/>
      <c r="T80" s="412"/>
      <c r="U80" s="397">
        <f t="shared" si="1"/>
        <v>0</v>
      </c>
      <c r="V80" s="718"/>
      <c r="W80" s="455"/>
      <c r="X80" s="677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77"/>
      <c r="J81" s="680"/>
      <c r="K81" s="192"/>
      <c r="L81" s="284">
        <v>7</v>
      </c>
      <c r="M81" s="285" t="s">
        <v>285</v>
      </c>
      <c r="N81" s="286"/>
      <c r="O81" s="630"/>
      <c r="P81" s="449"/>
      <c r="Q81" s="287"/>
      <c r="R81" s="698"/>
      <c r="S81" s="502"/>
      <c r="T81" s="412"/>
      <c r="U81" s="397">
        <f t="shared" si="1"/>
        <v>0</v>
      </c>
      <c r="V81" s="718"/>
      <c r="W81" s="455"/>
      <c r="X81" s="677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77"/>
      <c r="J82" s="680"/>
      <c r="K82" s="192"/>
      <c r="L82" s="284">
        <v>7</v>
      </c>
      <c r="M82" s="285" t="s">
        <v>285</v>
      </c>
      <c r="N82" s="286" t="s">
        <v>301</v>
      </c>
      <c r="O82" s="630">
        <f>90756*25%+4905</f>
        <v>27594</v>
      </c>
      <c r="P82" s="449">
        <v>0.5</v>
      </c>
      <c r="Q82" s="287">
        <f>$O$82*P82</f>
        <v>13797</v>
      </c>
      <c r="R82" s="698"/>
      <c r="S82" s="502"/>
      <c r="T82" s="412">
        <v>46081</v>
      </c>
      <c r="U82" s="397">
        <f t="shared" si="1"/>
        <v>19786.925317762321</v>
      </c>
      <c r="V82" s="718"/>
      <c r="W82" s="455">
        <v>46083</v>
      </c>
      <c r="X82" s="677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77"/>
      <c r="J83" s="680"/>
      <c r="K83" s="192"/>
      <c r="L83" s="284">
        <v>7</v>
      </c>
      <c r="M83" s="285" t="s">
        <v>285</v>
      </c>
      <c r="N83" s="286" t="s">
        <v>302</v>
      </c>
      <c r="O83" s="630"/>
      <c r="P83" s="449">
        <v>0.3</v>
      </c>
      <c r="Q83" s="287">
        <f>$O$82*P83</f>
        <v>8278.1999999999989</v>
      </c>
      <c r="R83" s="698"/>
      <c r="S83" s="502"/>
      <c r="T83" s="412">
        <v>46081</v>
      </c>
      <c r="U83" s="397">
        <f t="shared" si="1"/>
        <v>11872.155190657391</v>
      </c>
      <c r="V83" s="718"/>
      <c r="W83" s="455">
        <f>'Project Plan'!K47+7</f>
        <v>46106</v>
      </c>
      <c r="X83" s="677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77"/>
      <c r="J84" s="680"/>
      <c r="K84" s="192"/>
      <c r="L84" s="284">
        <v>7</v>
      </c>
      <c r="M84" s="285" t="s">
        <v>285</v>
      </c>
      <c r="N84" s="286" t="s">
        <v>303</v>
      </c>
      <c r="O84" s="630"/>
      <c r="P84" s="449">
        <v>0.2</v>
      </c>
      <c r="Q84" s="287">
        <f>$O$82*P84</f>
        <v>5518.8</v>
      </c>
      <c r="R84" s="699"/>
      <c r="S84" s="502"/>
      <c r="T84" s="412">
        <v>46081</v>
      </c>
      <c r="U84" s="397">
        <f t="shared" si="1"/>
        <v>7914.77012710493</v>
      </c>
      <c r="V84" s="718"/>
      <c r="W84" s="455">
        <f>W83+30</f>
        <v>46136</v>
      </c>
      <c r="X84" s="677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77"/>
      <c r="J85" s="680"/>
      <c r="K85" s="192"/>
      <c r="L85" s="284">
        <v>7</v>
      </c>
      <c r="M85" s="285" t="s">
        <v>285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718"/>
      <c r="W85" s="455"/>
      <c r="X85" s="677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77"/>
      <c r="J86" s="680"/>
      <c r="K86" s="192"/>
      <c r="L86" s="284">
        <v>7</v>
      </c>
      <c r="M86" s="285" t="s">
        <v>285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718"/>
      <c r="W86" s="455"/>
      <c r="X86" s="677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77"/>
      <c r="J87" s="680"/>
      <c r="K87" s="192"/>
      <c r="L87" s="284">
        <v>7</v>
      </c>
      <c r="M87" s="285" t="s">
        <v>285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718"/>
      <c r="W87" s="455"/>
      <c r="X87" s="677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77"/>
      <c r="J88" s="680"/>
      <c r="K88" s="192"/>
      <c r="L88" s="284">
        <v>7</v>
      </c>
      <c r="M88" s="285" t="s">
        <v>285</v>
      </c>
      <c r="N88" s="286" t="s">
        <v>304</v>
      </c>
      <c r="O88" s="434"/>
      <c r="P88" s="343"/>
      <c r="Q88" s="287">
        <v>3970</v>
      </c>
      <c r="R88" s="471" t="s">
        <v>305</v>
      </c>
      <c r="S88" s="502"/>
      <c r="T88" s="412">
        <v>46081</v>
      </c>
      <c r="U88" s="397">
        <f t="shared" si="1"/>
        <v>5693.5633479391481</v>
      </c>
      <c r="V88" s="718"/>
      <c r="W88" s="455">
        <f>T88+30</f>
        <v>46111</v>
      </c>
      <c r="X88" s="677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77"/>
      <c r="J89" s="680"/>
      <c r="K89" s="192"/>
      <c r="L89" s="284">
        <v>7</v>
      </c>
      <c r="M89" s="285" t="s">
        <v>285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718"/>
      <c r="W89" s="455"/>
      <c r="X89" s="677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77"/>
      <c r="J90" s="680"/>
      <c r="K90" s="192"/>
      <c r="L90" s="284">
        <v>7</v>
      </c>
      <c r="M90" s="285" t="s">
        <v>285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718"/>
      <c r="W90" s="455"/>
      <c r="X90" s="677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77"/>
      <c r="J91" s="680"/>
      <c r="K91" s="192"/>
      <c r="L91" s="284">
        <v>7</v>
      </c>
      <c r="M91" s="285" t="s">
        <v>285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718"/>
      <c r="W91" s="455"/>
      <c r="X91" s="677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77"/>
      <c r="J92" s="680"/>
      <c r="K92" s="192"/>
      <c r="L92" s="284">
        <v>7</v>
      </c>
      <c r="M92" s="285" t="s">
        <v>285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718"/>
      <c r="W92" s="455"/>
      <c r="X92" s="677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77"/>
      <c r="J93" s="680"/>
      <c r="K93" s="192"/>
      <c r="L93" s="284">
        <v>7</v>
      </c>
      <c r="M93" s="285" t="s">
        <v>285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718"/>
      <c r="W93" s="455"/>
      <c r="X93" s="677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77"/>
      <c r="J94" s="680"/>
      <c r="K94" s="192"/>
      <c r="L94" s="284">
        <v>7</v>
      </c>
      <c r="M94" s="285" t="s">
        <v>285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718"/>
      <c r="W94" s="455"/>
      <c r="X94" s="677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77"/>
      <c r="J95" s="680"/>
      <c r="K95" s="192"/>
      <c r="L95" s="284">
        <v>7</v>
      </c>
      <c r="M95" s="285" t="s">
        <v>285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718"/>
      <c r="W95" s="455"/>
      <c r="X95" s="677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77"/>
      <c r="J96" s="680"/>
      <c r="K96" s="192"/>
      <c r="L96" s="284">
        <v>7</v>
      </c>
      <c r="M96" s="285" t="s">
        <v>285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718"/>
      <c r="W96" s="455"/>
      <c r="X96" s="677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77"/>
      <c r="J97" s="680"/>
      <c r="K97" s="192"/>
      <c r="L97" s="284">
        <v>7</v>
      </c>
      <c r="M97" s="285" t="s">
        <v>285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718"/>
      <c r="W97" s="455"/>
      <c r="X97" s="677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78"/>
      <c r="J98" s="681"/>
      <c r="K98" s="193"/>
      <c r="L98" s="220">
        <v>7</v>
      </c>
      <c r="M98" s="241" t="s">
        <v>285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719"/>
      <c r="W98" s="456"/>
      <c r="X98" s="678"/>
    </row>
    <row r="99" spans="1:24" ht="13.9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306</v>
      </c>
      <c r="D100" s="237"/>
      <c r="E100" s="361"/>
      <c r="F100" s="315"/>
      <c r="G100" s="238"/>
      <c r="H100" s="555"/>
      <c r="I100" s="705">
        <f>SUM(G100:G108)</f>
        <v>0</v>
      </c>
      <c r="J100" s="708">
        <f>F189+F190+F204</f>
        <v>0</v>
      </c>
      <c r="K100" s="201"/>
      <c r="L100" s="236">
        <v>8</v>
      </c>
      <c r="M100" s="324" t="s">
        <v>307</v>
      </c>
      <c r="N100" s="237"/>
      <c r="O100" s="361"/>
      <c r="P100" s="315"/>
      <c r="Q100" s="238"/>
      <c r="R100" s="474"/>
      <c r="S100" s="505"/>
      <c r="T100" s="415"/>
      <c r="U100" s="400"/>
      <c r="V100" s="714"/>
      <c r="W100" s="458"/>
      <c r="X100" s="705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706"/>
      <c r="J101" s="709"/>
      <c r="K101" s="205"/>
      <c r="L101" s="226">
        <v>8</v>
      </c>
      <c r="M101" s="332" t="s">
        <v>307</v>
      </c>
      <c r="N101" s="239"/>
      <c r="O101" s="314"/>
      <c r="P101" s="359"/>
      <c r="Q101" s="228"/>
      <c r="R101" s="475"/>
      <c r="S101" s="506"/>
      <c r="T101" s="416"/>
      <c r="U101" s="401"/>
      <c r="V101" s="715"/>
      <c r="W101" s="458"/>
      <c r="X101" s="706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706"/>
      <c r="J102" s="709"/>
      <c r="K102" s="205"/>
      <c r="L102" s="226">
        <v>8</v>
      </c>
      <c r="M102" s="332" t="s">
        <v>307</v>
      </c>
      <c r="N102" s="239"/>
      <c r="O102" s="314"/>
      <c r="P102" s="359"/>
      <c r="Q102" s="228"/>
      <c r="R102" s="475"/>
      <c r="S102" s="506"/>
      <c r="T102" s="416"/>
      <c r="U102" s="401"/>
      <c r="V102" s="715"/>
      <c r="W102" s="458"/>
      <c r="X102" s="706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706"/>
      <c r="J103" s="709"/>
      <c r="K103" s="205"/>
      <c r="L103" s="226">
        <v>8</v>
      </c>
      <c r="M103" s="332" t="s">
        <v>307</v>
      </c>
      <c r="N103" s="239"/>
      <c r="O103" s="314"/>
      <c r="P103" s="359"/>
      <c r="Q103" s="228"/>
      <c r="R103" s="475"/>
      <c r="S103" s="506"/>
      <c r="T103" s="416"/>
      <c r="U103" s="401"/>
      <c r="V103" s="715"/>
      <c r="W103" s="458"/>
      <c r="X103" s="706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706"/>
      <c r="J104" s="709"/>
      <c r="K104" s="205"/>
      <c r="L104" s="226">
        <v>8</v>
      </c>
      <c r="M104" s="332" t="s">
        <v>307</v>
      </c>
      <c r="N104" s="239"/>
      <c r="O104" s="314"/>
      <c r="P104" s="359"/>
      <c r="Q104" s="228"/>
      <c r="R104" s="475"/>
      <c r="S104" s="506"/>
      <c r="T104" s="416"/>
      <c r="U104" s="401"/>
      <c r="V104" s="715"/>
      <c r="W104" s="459"/>
      <c r="X104" s="706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706"/>
      <c r="J105" s="709"/>
      <c r="K105" s="205"/>
      <c r="L105" s="226">
        <v>8</v>
      </c>
      <c r="M105" s="332" t="s">
        <v>307</v>
      </c>
      <c r="N105" s="239"/>
      <c r="O105" s="441"/>
      <c r="P105" s="534"/>
      <c r="Q105" s="228"/>
      <c r="R105" s="475"/>
      <c r="S105" s="506"/>
      <c r="T105" s="416"/>
      <c r="U105" s="401"/>
      <c r="V105" s="715"/>
      <c r="W105" s="459"/>
      <c r="X105" s="706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706"/>
      <c r="J106" s="709"/>
      <c r="K106" s="205"/>
      <c r="L106" s="226">
        <v>8</v>
      </c>
      <c r="M106" s="332" t="s">
        <v>307</v>
      </c>
      <c r="N106" s="239"/>
      <c r="O106" s="441"/>
      <c r="P106" s="359"/>
      <c r="Q106" s="228"/>
      <c r="R106" s="475"/>
      <c r="S106" s="506"/>
      <c r="T106" s="546"/>
      <c r="U106" s="401"/>
      <c r="V106" s="715"/>
      <c r="W106" s="459"/>
      <c r="X106" s="706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706"/>
      <c r="J107" s="709"/>
      <c r="K107" s="205"/>
      <c r="L107" s="226">
        <v>8</v>
      </c>
      <c r="M107" s="332" t="s">
        <v>307</v>
      </c>
      <c r="N107" s="239"/>
      <c r="O107" s="441"/>
      <c r="P107" s="359"/>
      <c r="Q107" s="228"/>
      <c r="R107" s="479"/>
      <c r="S107" s="510"/>
      <c r="T107" s="419"/>
      <c r="U107" s="406"/>
      <c r="V107" s="715"/>
      <c r="W107" s="462"/>
      <c r="X107" s="706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707"/>
      <c r="J108" s="710"/>
      <c r="K108" s="210"/>
      <c r="L108" s="206">
        <v>8</v>
      </c>
      <c r="M108" s="331" t="s">
        <v>307</v>
      </c>
      <c r="N108" s="208"/>
      <c r="O108" s="442"/>
      <c r="P108" s="353"/>
      <c r="Q108" s="209"/>
      <c r="R108" s="476"/>
      <c r="S108" s="507"/>
      <c r="T108" s="417"/>
      <c r="U108" s="402"/>
      <c r="V108" s="716"/>
      <c r="W108" s="460"/>
      <c r="X108" s="707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308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309</v>
      </c>
      <c r="D110" s="231"/>
      <c r="E110" s="218"/>
      <c r="F110" s="336"/>
      <c r="G110" s="496"/>
      <c r="H110" s="543"/>
      <c r="I110" s="711">
        <f>SUM(G110:G121)</f>
        <v>0</v>
      </c>
      <c r="J110" s="679">
        <f>F194+F195</f>
        <v>0</v>
      </c>
      <c r="K110" s="192"/>
      <c r="L110" s="215">
        <v>9</v>
      </c>
      <c r="M110" s="322" t="s">
        <v>310</v>
      </c>
      <c r="N110" s="231"/>
      <c r="O110" s="433"/>
      <c r="P110" s="336"/>
      <c r="Q110" s="219"/>
      <c r="R110" s="477"/>
      <c r="S110" s="508"/>
      <c r="T110" s="418"/>
      <c r="U110" s="404"/>
      <c r="V110" s="688"/>
      <c r="W110" s="461"/>
      <c r="X110" s="676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712"/>
      <c r="J111" s="680"/>
      <c r="K111" s="192"/>
      <c r="L111" s="215">
        <v>9</v>
      </c>
      <c r="M111" s="322" t="s">
        <v>310</v>
      </c>
      <c r="N111" s="232"/>
      <c r="O111" s="450"/>
      <c r="P111" s="451"/>
      <c r="Q111" s="219"/>
      <c r="R111" s="697"/>
      <c r="S111" s="501"/>
      <c r="T111" s="412"/>
      <c r="U111" s="397"/>
      <c r="V111" s="689"/>
      <c r="W111" s="454"/>
      <c r="X111" s="677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712"/>
      <c r="J112" s="680"/>
      <c r="K112" s="192"/>
      <c r="L112" s="284">
        <v>9</v>
      </c>
      <c r="M112" s="394" t="s">
        <v>310</v>
      </c>
      <c r="N112" s="286"/>
      <c r="O112" s="434"/>
      <c r="P112" s="449"/>
      <c r="Q112" s="219"/>
      <c r="R112" s="698"/>
      <c r="S112" s="502"/>
      <c r="T112" s="412"/>
      <c r="U112" s="397"/>
      <c r="V112" s="689"/>
      <c r="W112" s="455"/>
      <c r="X112" s="677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712"/>
      <c r="J113" s="680"/>
      <c r="K113" s="192"/>
      <c r="L113" s="284">
        <v>9</v>
      </c>
      <c r="M113" s="394" t="s">
        <v>310</v>
      </c>
      <c r="N113" s="286"/>
      <c r="O113" s="434"/>
      <c r="P113" s="449"/>
      <c r="Q113" s="219"/>
      <c r="R113" s="698"/>
      <c r="S113" s="502"/>
      <c r="T113" s="412"/>
      <c r="U113" s="397"/>
      <c r="V113" s="689"/>
      <c r="W113" s="455"/>
      <c r="X113" s="677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712"/>
      <c r="J114" s="680"/>
      <c r="K114" s="192"/>
      <c r="L114" s="284">
        <v>9</v>
      </c>
      <c r="M114" s="394" t="s">
        <v>310</v>
      </c>
      <c r="N114" s="286"/>
      <c r="O114" s="434"/>
      <c r="P114" s="449"/>
      <c r="Q114" s="219"/>
      <c r="R114" s="698"/>
      <c r="S114" s="502"/>
      <c r="T114" s="412"/>
      <c r="U114" s="397"/>
      <c r="V114" s="689"/>
      <c r="W114" s="455"/>
      <c r="X114" s="677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712"/>
      <c r="J115" s="680"/>
      <c r="K115" s="192"/>
      <c r="L115" s="284">
        <v>9</v>
      </c>
      <c r="M115" s="394" t="s">
        <v>310</v>
      </c>
      <c r="N115" s="286"/>
      <c r="O115" s="434"/>
      <c r="P115" s="449"/>
      <c r="Q115" s="219"/>
      <c r="R115" s="698"/>
      <c r="S115" s="502"/>
      <c r="T115" s="412"/>
      <c r="U115" s="397"/>
      <c r="V115" s="689"/>
      <c r="W115" s="455"/>
      <c r="X115" s="677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712"/>
      <c r="J116" s="680"/>
      <c r="K116" s="192"/>
      <c r="L116" s="284">
        <v>9</v>
      </c>
      <c r="M116" s="394" t="s">
        <v>310</v>
      </c>
      <c r="N116" s="286"/>
      <c r="O116" s="434"/>
      <c r="P116" s="449"/>
      <c r="Q116" s="219"/>
      <c r="R116" s="698"/>
      <c r="S116" s="502"/>
      <c r="T116" s="412"/>
      <c r="U116" s="397"/>
      <c r="V116" s="689"/>
      <c r="W116" s="455"/>
      <c r="X116" s="677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712"/>
      <c r="J117" s="680"/>
      <c r="K117" s="192"/>
      <c r="L117" s="284">
        <v>9</v>
      </c>
      <c r="M117" s="394" t="s">
        <v>310</v>
      </c>
      <c r="N117" s="286"/>
      <c r="O117" s="434"/>
      <c r="P117" s="449"/>
      <c r="Q117" s="219"/>
      <c r="R117" s="698"/>
      <c r="S117" s="502"/>
      <c r="T117" s="412"/>
      <c r="U117" s="397"/>
      <c r="V117" s="689"/>
      <c r="W117" s="455"/>
      <c r="X117" s="677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712"/>
      <c r="J118" s="680"/>
      <c r="K118" s="192"/>
      <c r="L118" s="284">
        <v>9</v>
      </c>
      <c r="M118" s="394" t="s">
        <v>310</v>
      </c>
      <c r="N118" s="286"/>
      <c r="O118" s="434"/>
      <c r="P118" s="449"/>
      <c r="Q118" s="219"/>
      <c r="R118" s="699"/>
      <c r="S118" s="502"/>
      <c r="T118" s="412"/>
      <c r="U118" s="397"/>
      <c r="V118" s="689"/>
      <c r="W118" s="455"/>
      <c r="X118" s="677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712"/>
      <c r="J119" s="680"/>
      <c r="K119" s="192"/>
      <c r="L119" s="284">
        <v>9</v>
      </c>
      <c r="M119" s="394" t="s">
        <v>310</v>
      </c>
      <c r="N119" s="286"/>
      <c r="O119" s="434"/>
      <c r="P119" s="343"/>
      <c r="Q119" s="287"/>
      <c r="R119" s="471"/>
      <c r="S119" s="502"/>
      <c r="T119" s="412"/>
      <c r="U119" s="397"/>
      <c r="V119" s="689"/>
      <c r="W119" s="455"/>
      <c r="X119" s="677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712"/>
      <c r="J120" s="680"/>
      <c r="K120" s="192"/>
      <c r="L120" s="284">
        <v>9</v>
      </c>
      <c r="M120" s="394" t="s">
        <v>310</v>
      </c>
      <c r="N120" s="286"/>
      <c r="O120" s="434"/>
      <c r="P120" s="343"/>
      <c r="Q120" s="287"/>
      <c r="R120" s="471"/>
      <c r="S120" s="502"/>
      <c r="T120" s="412"/>
      <c r="U120" s="397"/>
      <c r="V120" s="689"/>
      <c r="W120" s="455"/>
      <c r="X120" s="677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713"/>
      <c r="J121" s="681"/>
      <c r="K121" s="267"/>
      <c r="L121" s="220">
        <v>9</v>
      </c>
      <c r="M121" s="340" t="s">
        <v>310</v>
      </c>
      <c r="N121" s="233"/>
      <c r="O121" s="435"/>
      <c r="P121" s="358"/>
      <c r="Q121" s="234"/>
      <c r="R121" s="472"/>
      <c r="S121" s="503"/>
      <c r="T121" s="413"/>
      <c r="U121" s="398"/>
      <c r="V121" s="690"/>
      <c r="W121" s="456"/>
      <c r="X121" s="678"/>
    </row>
    <row r="122" spans="1:24" ht="13.9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311</v>
      </c>
      <c r="D123" s="174"/>
      <c r="E123" s="175"/>
      <c r="F123" s="368"/>
      <c r="G123" s="242"/>
      <c r="H123" s="562"/>
      <c r="I123" s="682">
        <f>SUM(G123:G137)</f>
        <v>0</v>
      </c>
      <c r="J123" s="685">
        <f>F198+F201+F202+F200+F199</f>
        <v>0</v>
      </c>
      <c r="K123" s="243"/>
      <c r="L123" s="173">
        <v>10</v>
      </c>
      <c r="M123" s="333" t="s">
        <v>312</v>
      </c>
      <c r="N123" s="174"/>
      <c r="O123" s="444"/>
      <c r="P123" s="368"/>
      <c r="Q123" s="242"/>
      <c r="R123" s="483"/>
      <c r="S123" s="513"/>
      <c r="T123" s="423"/>
      <c r="U123" s="408"/>
      <c r="V123" s="691"/>
      <c r="W123" s="465"/>
      <c r="X123" s="682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683"/>
      <c r="J124" s="686"/>
      <c r="K124" s="176"/>
      <c r="L124" s="244">
        <v>10</v>
      </c>
      <c r="M124" s="334" t="s">
        <v>312</v>
      </c>
      <c r="N124" s="245"/>
      <c r="O124" s="445"/>
      <c r="P124" s="369"/>
      <c r="Q124" s="247"/>
      <c r="R124" s="484"/>
      <c r="S124" s="514"/>
      <c r="T124" s="424"/>
      <c r="U124" s="524"/>
      <c r="V124" s="692"/>
      <c r="W124" s="466"/>
      <c r="X124" s="683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683"/>
      <c r="J125" s="686"/>
      <c r="K125" s="176"/>
      <c r="L125" s="244">
        <v>10</v>
      </c>
      <c r="M125" s="334" t="s">
        <v>312</v>
      </c>
      <c r="N125" s="245"/>
      <c r="O125" s="445"/>
      <c r="P125" s="369"/>
      <c r="Q125" s="247"/>
      <c r="R125" s="484"/>
      <c r="S125" s="514"/>
      <c r="T125" s="424"/>
      <c r="U125" s="409"/>
      <c r="V125" s="692"/>
      <c r="W125" s="466"/>
      <c r="X125" s="683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683"/>
      <c r="J126" s="686"/>
      <c r="K126" s="176"/>
      <c r="L126" s="244">
        <v>10</v>
      </c>
      <c r="M126" s="334" t="s">
        <v>312</v>
      </c>
      <c r="N126" s="245"/>
      <c r="O126" s="445"/>
      <c r="P126" s="369"/>
      <c r="Q126" s="247"/>
      <c r="R126" s="484"/>
      <c r="S126" s="514"/>
      <c r="T126" s="424"/>
      <c r="U126" s="409"/>
      <c r="V126" s="692"/>
      <c r="W126" s="466"/>
      <c r="X126" s="683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683"/>
      <c r="J127" s="686"/>
      <c r="K127" s="176"/>
      <c r="L127" s="244">
        <v>10</v>
      </c>
      <c r="M127" s="334" t="s">
        <v>312</v>
      </c>
      <c r="N127" s="245"/>
      <c r="O127" s="495"/>
      <c r="P127" s="452"/>
      <c r="Q127" s="247"/>
      <c r="R127" s="694"/>
      <c r="S127" s="515"/>
      <c r="T127" s="425"/>
      <c r="U127" s="409"/>
      <c r="V127" s="692"/>
      <c r="W127" s="467"/>
      <c r="X127" s="683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683"/>
      <c r="J128" s="686"/>
      <c r="K128" s="176"/>
      <c r="L128" s="244">
        <v>10</v>
      </c>
      <c r="M128" s="334" t="s">
        <v>312</v>
      </c>
      <c r="N128" s="245"/>
      <c r="O128" s="445"/>
      <c r="P128" s="452"/>
      <c r="Q128" s="247"/>
      <c r="R128" s="695"/>
      <c r="S128" s="520"/>
      <c r="T128" s="425"/>
      <c r="U128" s="409"/>
      <c r="V128" s="692"/>
      <c r="W128" s="467"/>
      <c r="X128" s="683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683"/>
      <c r="J129" s="686"/>
      <c r="K129" s="176"/>
      <c r="L129" s="244">
        <v>10</v>
      </c>
      <c r="M129" s="334" t="s">
        <v>312</v>
      </c>
      <c r="N129" s="245"/>
      <c r="O129" s="445"/>
      <c r="P129" s="452"/>
      <c r="Q129" s="247"/>
      <c r="R129" s="695"/>
      <c r="S129" s="515"/>
      <c r="T129" s="425"/>
      <c r="U129" s="409"/>
      <c r="V129" s="692"/>
      <c r="W129" s="467"/>
      <c r="X129" s="683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683"/>
      <c r="J130" s="686"/>
      <c r="K130" s="176"/>
      <c r="L130" s="244">
        <v>10</v>
      </c>
      <c r="M130" s="334" t="s">
        <v>312</v>
      </c>
      <c r="N130" s="245"/>
      <c r="O130" s="445"/>
      <c r="P130" s="452"/>
      <c r="Q130" s="247"/>
      <c r="R130" s="695"/>
      <c r="S130" s="515"/>
      <c r="T130" s="425"/>
      <c r="U130" s="409"/>
      <c r="V130" s="692"/>
      <c r="W130" s="467"/>
      <c r="X130" s="683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683"/>
      <c r="J131" s="686"/>
      <c r="K131" s="176"/>
      <c r="L131" s="244">
        <v>10</v>
      </c>
      <c r="M131" s="334" t="s">
        <v>312</v>
      </c>
      <c r="N131" s="245"/>
      <c r="O131" s="445"/>
      <c r="P131" s="452"/>
      <c r="Q131" s="247"/>
      <c r="R131" s="695"/>
      <c r="S131" s="515"/>
      <c r="T131" s="425"/>
      <c r="U131" s="409"/>
      <c r="V131" s="692"/>
      <c r="W131" s="467"/>
      <c r="X131" s="683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683"/>
      <c r="J132" s="686"/>
      <c r="K132" s="176"/>
      <c r="L132" s="244">
        <v>10</v>
      </c>
      <c r="M132" s="334" t="s">
        <v>312</v>
      </c>
      <c r="N132" s="245"/>
      <c r="O132" s="445"/>
      <c r="P132" s="452"/>
      <c r="Q132" s="247"/>
      <c r="R132" s="695"/>
      <c r="S132" s="515"/>
      <c r="T132" s="425"/>
      <c r="U132" s="409"/>
      <c r="V132" s="692"/>
      <c r="W132" s="467"/>
      <c r="X132" s="683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683"/>
      <c r="J133" s="686"/>
      <c r="K133" s="176"/>
      <c r="L133" s="244">
        <v>10</v>
      </c>
      <c r="M133" s="334" t="s">
        <v>312</v>
      </c>
      <c r="N133" s="245"/>
      <c r="O133" s="445"/>
      <c r="P133" s="452"/>
      <c r="Q133" s="247"/>
      <c r="R133" s="695"/>
      <c r="S133" s="515"/>
      <c r="T133" s="425"/>
      <c r="U133" s="409"/>
      <c r="V133" s="692"/>
      <c r="W133" s="467"/>
      <c r="X133" s="683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683"/>
      <c r="J134" s="686"/>
      <c r="K134" s="176"/>
      <c r="L134" s="244">
        <v>10</v>
      </c>
      <c r="M134" s="334" t="s">
        <v>312</v>
      </c>
      <c r="N134" s="245"/>
      <c r="O134" s="445"/>
      <c r="P134" s="452"/>
      <c r="Q134" s="247"/>
      <c r="R134" s="696"/>
      <c r="S134" s="515"/>
      <c r="T134" s="425"/>
      <c r="U134" s="409"/>
      <c r="V134" s="692"/>
      <c r="W134" s="467"/>
      <c r="X134" s="683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683"/>
      <c r="J135" s="686"/>
      <c r="K135" s="176"/>
      <c r="L135" s="244">
        <v>10</v>
      </c>
      <c r="M135" s="334" t="s">
        <v>312</v>
      </c>
      <c r="N135" s="245"/>
      <c r="O135" s="445"/>
      <c r="P135" s="369"/>
      <c r="Q135" s="247"/>
      <c r="R135" s="485"/>
      <c r="S135" s="515"/>
      <c r="T135" s="425"/>
      <c r="U135" s="409"/>
      <c r="V135" s="692"/>
      <c r="W135" s="467"/>
      <c r="X135" s="683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683"/>
      <c r="J136" s="686"/>
      <c r="K136" s="176"/>
      <c r="L136" s="244">
        <v>10</v>
      </c>
      <c r="M136" s="334" t="s">
        <v>312</v>
      </c>
      <c r="N136" s="245"/>
      <c r="O136" s="445"/>
      <c r="P136" s="369"/>
      <c r="Q136" s="247"/>
      <c r="R136" s="485"/>
      <c r="S136" s="515"/>
      <c r="T136" s="425"/>
      <c r="U136" s="409"/>
      <c r="V136" s="692"/>
      <c r="W136" s="467"/>
      <c r="X136" s="683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684"/>
      <c r="J137" s="687"/>
      <c r="K137" s="179"/>
      <c r="L137" s="177">
        <v>10</v>
      </c>
      <c r="M137" s="335" t="s">
        <v>312</v>
      </c>
      <c r="N137" s="248"/>
      <c r="O137" s="446"/>
      <c r="P137" s="370"/>
      <c r="Q137" s="178"/>
      <c r="R137" s="486"/>
      <c r="S137" s="516"/>
      <c r="T137" s="426"/>
      <c r="U137" s="410"/>
      <c r="V137" s="693"/>
      <c r="W137" s="468"/>
      <c r="X137" s="684"/>
    </row>
    <row r="138" spans="1:24" ht="13.9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313</v>
      </c>
      <c r="D139" s="255"/>
      <c r="E139" s="187"/>
      <c r="F139" s="336"/>
      <c r="G139" s="188"/>
      <c r="H139" s="543"/>
      <c r="I139" s="676">
        <f>SUM(G139:G143)</f>
        <v>0</v>
      </c>
      <c r="J139" s="679">
        <f>F197</f>
        <v>0</v>
      </c>
      <c r="K139" s="189"/>
      <c r="L139" s="185">
        <v>11</v>
      </c>
      <c r="M139" s="255" t="s">
        <v>314</v>
      </c>
      <c r="N139" s="255"/>
      <c r="O139" s="187"/>
      <c r="P139" s="336"/>
      <c r="Q139" s="188"/>
      <c r="R139" s="536"/>
      <c r="S139" s="508"/>
      <c r="T139" s="418"/>
      <c r="U139" s="397"/>
      <c r="V139" s="688"/>
      <c r="W139" s="461"/>
      <c r="X139" s="676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77"/>
      <c r="J140" s="680"/>
      <c r="K140" s="192"/>
      <c r="L140" s="215">
        <v>11</v>
      </c>
      <c r="M140" s="290" t="s">
        <v>314</v>
      </c>
      <c r="N140" s="217"/>
      <c r="O140" s="218"/>
      <c r="P140" s="357"/>
      <c r="Q140" s="219"/>
      <c r="R140" s="518"/>
      <c r="S140" s="501"/>
      <c r="T140" s="411"/>
      <c r="U140" s="397"/>
      <c r="V140" s="689"/>
      <c r="W140" s="454"/>
      <c r="X140" s="677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77"/>
      <c r="J141" s="680"/>
      <c r="K141" s="192"/>
      <c r="L141" s="215">
        <v>11</v>
      </c>
      <c r="M141" s="290" t="s">
        <v>314</v>
      </c>
      <c r="N141" s="217"/>
      <c r="O141" s="218"/>
      <c r="P141" s="357"/>
      <c r="Q141" s="219"/>
      <c r="R141" s="470"/>
      <c r="S141" s="501"/>
      <c r="T141" s="411"/>
      <c r="U141" s="397"/>
      <c r="V141" s="689"/>
      <c r="W141" s="454"/>
      <c r="X141" s="677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77"/>
      <c r="J142" s="680"/>
      <c r="K142" s="192"/>
      <c r="L142" s="215">
        <v>11</v>
      </c>
      <c r="M142" s="290" t="s">
        <v>314</v>
      </c>
      <c r="N142" s="288"/>
      <c r="O142" s="434"/>
      <c r="P142" s="343"/>
      <c r="Q142" s="287"/>
      <c r="R142" s="471"/>
      <c r="S142" s="502"/>
      <c r="T142" s="411"/>
      <c r="U142" s="397"/>
      <c r="V142" s="689"/>
      <c r="W142" s="455"/>
      <c r="X142" s="677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78"/>
      <c r="J143" s="681"/>
      <c r="K143" s="193"/>
      <c r="L143" s="220">
        <v>11</v>
      </c>
      <c r="M143" s="318" t="s">
        <v>314</v>
      </c>
      <c r="N143" s="221"/>
      <c r="O143" s="222"/>
      <c r="P143" s="358"/>
      <c r="Q143" s="234"/>
      <c r="R143" s="472"/>
      <c r="S143" s="503"/>
      <c r="T143" s="413"/>
      <c r="U143" s="398"/>
      <c r="V143" s="690"/>
      <c r="W143" s="456"/>
      <c r="X143" s="678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315</v>
      </c>
      <c r="D145" s="174"/>
      <c r="E145" s="175"/>
      <c r="F145" s="368"/>
      <c r="G145" s="242"/>
      <c r="H145" s="562"/>
      <c r="I145" s="682">
        <f>SUM(G145:G146)</f>
        <v>0</v>
      </c>
      <c r="J145" s="685">
        <v>0</v>
      </c>
      <c r="K145" s="700"/>
      <c r="L145" s="173">
        <v>12</v>
      </c>
      <c r="M145" s="174" t="s">
        <v>316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682">
        <f>SUM(Q145:Q146)</f>
        <v>0</v>
      </c>
    </row>
    <row r="146" spans="1:24" ht="15" hidden="1" customHeight="1" thickBot="1">
      <c r="B146" s="177">
        <v>12</v>
      </c>
      <c r="C146" s="248" t="s">
        <v>315</v>
      </c>
      <c r="D146" s="248"/>
      <c r="E146" s="249"/>
      <c r="F146" s="370"/>
      <c r="G146" s="178"/>
      <c r="H146" s="565"/>
      <c r="I146" s="684"/>
      <c r="J146" s="687"/>
      <c r="K146" s="701"/>
      <c r="L146" s="177">
        <v>12</v>
      </c>
      <c r="M146" s="248" t="s">
        <v>316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684"/>
    </row>
    <row r="147" spans="1:24" ht="14.2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317</v>
      </c>
      <c r="D148" s="255"/>
      <c r="E148" s="187"/>
      <c r="F148" s="336"/>
      <c r="G148" s="188"/>
      <c r="H148" s="543"/>
      <c r="I148" s="676">
        <f>SUM(G148:G152)</f>
        <v>0</v>
      </c>
      <c r="J148" s="679">
        <f>F196</f>
        <v>0</v>
      </c>
      <c r="K148" s="189"/>
      <c r="L148" s="185">
        <v>13</v>
      </c>
      <c r="M148" s="255" t="s">
        <v>318</v>
      </c>
      <c r="N148" s="255" t="s">
        <v>319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88"/>
      <c r="W148" s="461">
        <v>46142</v>
      </c>
      <c r="X148" s="676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77"/>
      <c r="J149" s="680"/>
      <c r="K149" s="192"/>
      <c r="L149" s="215">
        <v>13</v>
      </c>
      <c r="M149" s="290" t="s">
        <v>318</v>
      </c>
      <c r="N149" s="217"/>
      <c r="O149" s="218"/>
      <c r="P149" s="357"/>
      <c r="Q149" s="219"/>
      <c r="R149" s="470"/>
      <c r="S149" s="501"/>
      <c r="T149" s="411"/>
      <c r="U149" s="396"/>
      <c r="V149" s="689"/>
      <c r="W149" s="454"/>
      <c r="X149" s="677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77"/>
      <c r="J150" s="680"/>
      <c r="K150" s="192"/>
      <c r="L150" s="215">
        <v>13</v>
      </c>
      <c r="M150" s="290" t="s">
        <v>318</v>
      </c>
      <c r="N150" s="217"/>
      <c r="O150" s="218"/>
      <c r="P150" s="357"/>
      <c r="Q150" s="219"/>
      <c r="R150" s="470"/>
      <c r="S150" s="501"/>
      <c r="T150" s="411"/>
      <c r="U150" s="396"/>
      <c r="V150" s="689"/>
      <c r="W150" s="454"/>
      <c r="X150" s="677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77"/>
      <c r="J151" s="680"/>
      <c r="K151" s="192"/>
      <c r="L151" s="215">
        <v>13</v>
      </c>
      <c r="M151" s="290" t="s">
        <v>318</v>
      </c>
      <c r="N151" s="217"/>
      <c r="O151" s="218"/>
      <c r="P151" s="357"/>
      <c r="Q151" s="219"/>
      <c r="R151" s="470"/>
      <c r="S151" s="501"/>
      <c r="T151" s="411"/>
      <c r="U151" s="396"/>
      <c r="V151" s="689"/>
      <c r="W151" s="454"/>
      <c r="X151" s="677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77"/>
      <c r="J152" s="680"/>
      <c r="K152" s="192"/>
      <c r="L152" s="215">
        <v>13</v>
      </c>
      <c r="M152" s="290" t="s">
        <v>318</v>
      </c>
      <c r="N152" s="217"/>
      <c r="O152" s="218"/>
      <c r="P152" s="357"/>
      <c r="Q152" s="219"/>
      <c r="R152" s="470"/>
      <c r="S152" s="501"/>
      <c r="T152" s="411"/>
      <c r="U152" s="396"/>
      <c r="V152" s="689"/>
      <c r="W152" s="454"/>
      <c r="X152" s="677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78"/>
      <c r="J153" s="681"/>
      <c r="K153" s="267"/>
      <c r="L153" s="220">
        <v>13</v>
      </c>
      <c r="M153" s="318" t="s">
        <v>318</v>
      </c>
      <c r="N153" s="221"/>
      <c r="O153" s="435"/>
      <c r="P153" s="358"/>
      <c r="Q153" s="234"/>
      <c r="R153" s="472"/>
      <c r="S153" s="503"/>
      <c r="T153" s="413"/>
      <c r="U153" s="398"/>
      <c r="V153" s="690"/>
      <c r="W153" s="456"/>
      <c r="X153" s="678"/>
    </row>
    <row r="154" spans="1:24" ht="14.2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320</v>
      </c>
      <c r="D155" s="174" t="s">
        <v>321</v>
      </c>
      <c r="E155" s="175"/>
      <c r="F155" s="368"/>
      <c r="G155" s="242">
        <v>875</v>
      </c>
      <c r="H155" s="562">
        <v>46112</v>
      </c>
      <c r="I155" s="682">
        <f>SUM(G155:G166)</f>
        <v>875</v>
      </c>
      <c r="J155" s="685">
        <v>972</v>
      </c>
      <c r="K155" s="243"/>
      <c r="L155" s="173">
        <v>14</v>
      </c>
      <c r="M155" s="333" t="s">
        <v>322</v>
      </c>
      <c r="N155" s="174" t="s">
        <v>321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691">
        <f>J155-SUM(U155:U166)</f>
        <v>0</v>
      </c>
      <c r="W155" s="467">
        <f>T155+7</f>
        <v>46088</v>
      </c>
      <c r="X155" s="682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683"/>
      <c r="J156" s="686"/>
      <c r="K156" s="176"/>
      <c r="L156" s="244">
        <v>14</v>
      </c>
      <c r="M156" s="334" t="s">
        <v>322</v>
      </c>
      <c r="N156" s="245" t="s">
        <v>321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692"/>
      <c r="W156" s="467">
        <f>T156+7</f>
        <v>46119</v>
      </c>
      <c r="X156" s="683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683"/>
      <c r="J157" s="686"/>
      <c r="K157" s="176"/>
      <c r="L157" s="244">
        <v>14</v>
      </c>
      <c r="M157" s="334" t="s">
        <v>322</v>
      </c>
      <c r="N157" s="245" t="s">
        <v>321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692"/>
      <c r="W157" s="467">
        <f>T157+7</f>
        <v>46149</v>
      </c>
      <c r="X157" s="683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683"/>
      <c r="J158" s="686"/>
      <c r="K158" s="176"/>
      <c r="L158" s="244">
        <v>14</v>
      </c>
      <c r="M158" s="334" t="s">
        <v>322</v>
      </c>
      <c r="N158" s="245" t="s">
        <v>321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692"/>
      <c r="W158" s="467"/>
      <c r="X158" s="683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683"/>
      <c r="J159" s="686"/>
      <c r="K159" s="176"/>
      <c r="L159" s="244">
        <v>14</v>
      </c>
      <c r="M159" s="334" t="s">
        <v>322</v>
      </c>
      <c r="N159" s="245" t="s">
        <v>321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692"/>
      <c r="W159" s="467"/>
      <c r="X159" s="683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683"/>
      <c r="J160" s="686"/>
      <c r="K160" s="176"/>
      <c r="L160" s="244">
        <v>14</v>
      </c>
      <c r="M160" s="334" t="s">
        <v>322</v>
      </c>
      <c r="N160" s="245" t="s">
        <v>321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692"/>
      <c r="W160" s="467"/>
      <c r="X160" s="683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683"/>
      <c r="J161" s="686"/>
      <c r="K161" s="176"/>
      <c r="L161" s="244">
        <v>14</v>
      </c>
      <c r="M161" s="334" t="s">
        <v>322</v>
      </c>
      <c r="N161" s="245" t="s">
        <v>321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692"/>
      <c r="W161" s="467"/>
      <c r="X161" s="683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683"/>
      <c r="J162" s="686"/>
      <c r="K162" s="176"/>
      <c r="L162" s="244">
        <v>14</v>
      </c>
      <c r="M162" s="334" t="s">
        <v>322</v>
      </c>
      <c r="N162" s="245" t="s">
        <v>321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692"/>
      <c r="W162" s="467"/>
      <c r="X162" s="683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683"/>
      <c r="J163" s="686"/>
      <c r="K163" s="176"/>
      <c r="L163" s="244">
        <v>14</v>
      </c>
      <c r="M163" s="334" t="s">
        <v>322</v>
      </c>
      <c r="N163" s="245" t="s">
        <v>321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692"/>
      <c r="W163" s="467"/>
      <c r="X163" s="683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683"/>
      <c r="J164" s="686"/>
      <c r="K164" s="176"/>
      <c r="L164" s="244">
        <v>14</v>
      </c>
      <c r="M164" s="334" t="s">
        <v>322</v>
      </c>
      <c r="N164" s="245" t="s">
        <v>321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692"/>
      <c r="W164" s="467"/>
      <c r="X164" s="683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683"/>
      <c r="J165" s="686"/>
      <c r="K165" s="176"/>
      <c r="L165" s="244">
        <v>14</v>
      </c>
      <c r="M165" s="334" t="s">
        <v>322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692"/>
      <c r="W165" s="467"/>
      <c r="X165" s="683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684"/>
      <c r="J166" s="687"/>
      <c r="K166" s="179"/>
      <c r="L166" s="177">
        <v>14</v>
      </c>
      <c r="M166" s="335" t="s">
        <v>322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693"/>
      <c r="W166" s="468"/>
      <c r="X166" s="684"/>
    </row>
    <row r="167" spans="1:24" ht="14.2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323</v>
      </c>
      <c r="D168" s="186"/>
      <c r="E168" s="187"/>
      <c r="F168" s="336"/>
      <c r="G168" s="188"/>
      <c r="H168" s="543"/>
      <c r="I168" s="676">
        <f>SUM(G168:G179)</f>
        <v>0</v>
      </c>
      <c r="J168" s="679">
        <v>0</v>
      </c>
      <c r="K168" s="189"/>
      <c r="L168" s="185">
        <v>15</v>
      </c>
      <c r="M168" s="255" t="s">
        <v>324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88">
        <v>0</v>
      </c>
      <c r="W168" s="461"/>
      <c r="X168" s="676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77"/>
      <c r="J169" s="680"/>
      <c r="K169" s="192"/>
      <c r="L169" s="215">
        <v>15</v>
      </c>
      <c r="M169" s="290" t="s">
        <v>324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89"/>
      <c r="W169" s="454"/>
      <c r="X169" s="677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77"/>
      <c r="J170" s="680"/>
      <c r="K170" s="192"/>
      <c r="L170" s="215">
        <v>15</v>
      </c>
      <c r="M170" s="290" t="s">
        <v>324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89"/>
      <c r="W170" s="454"/>
      <c r="X170" s="677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77"/>
      <c r="J171" s="680"/>
      <c r="K171" s="192"/>
      <c r="L171" s="215">
        <v>15</v>
      </c>
      <c r="M171" s="290" t="s">
        <v>324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89"/>
      <c r="W171" s="454"/>
      <c r="X171" s="677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77"/>
      <c r="J172" s="680"/>
      <c r="K172" s="192"/>
      <c r="L172" s="215">
        <v>15</v>
      </c>
      <c r="M172" s="290" t="s">
        <v>324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89"/>
      <c r="W172" s="454"/>
      <c r="X172" s="677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77"/>
      <c r="J173" s="680"/>
      <c r="K173" s="192"/>
      <c r="L173" s="215">
        <v>15</v>
      </c>
      <c r="M173" s="290" t="s">
        <v>324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89"/>
      <c r="W173" s="454"/>
      <c r="X173" s="677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77"/>
      <c r="J174" s="680"/>
      <c r="K174" s="192"/>
      <c r="L174" s="215">
        <v>15</v>
      </c>
      <c r="M174" s="290" t="s">
        <v>324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89"/>
      <c r="W174" s="454"/>
      <c r="X174" s="677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77"/>
      <c r="J175" s="680"/>
      <c r="K175" s="192"/>
      <c r="L175" s="215">
        <v>15</v>
      </c>
      <c r="M175" s="290" t="s">
        <v>324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89"/>
      <c r="W175" s="454"/>
      <c r="X175" s="677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77"/>
      <c r="J176" s="680"/>
      <c r="K176" s="192"/>
      <c r="L176" s="215">
        <v>15</v>
      </c>
      <c r="M176" s="290" t="s">
        <v>324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89"/>
      <c r="W176" s="454"/>
      <c r="X176" s="677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77"/>
      <c r="J177" s="680"/>
      <c r="K177" s="192"/>
      <c r="L177" s="215">
        <v>15</v>
      </c>
      <c r="M177" s="290" t="s">
        <v>324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89"/>
      <c r="W177" s="454"/>
      <c r="X177" s="677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77"/>
      <c r="J178" s="680"/>
      <c r="K178" s="192"/>
      <c r="L178" s="215">
        <v>15</v>
      </c>
      <c r="M178" s="290" t="s">
        <v>324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89"/>
      <c r="W178" s="454"/>
      <c r="X178" s="677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78"/>
      <c r="J179" s="681"/>
      <c r="K179" s="193"/>
      <c r="L179" s="220">
        <v>15</v>
      </c>
      <c r="M179" s="318" t="s">
        <v>324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90"/>
      <c r="W179" s="456"/>
      <c r="X179" s="678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77:R84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</mergeCells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F24" sqref="F24"/>
      <selection activeCell="X33" sqref="X33"/>
    </sheetView>
  </sheetViews>
  <sheetFormatPr defaultColWidth="8.42578125" defaultRowHeight="13.5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325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30"/>
      <c r="C4" s="730"/>
      <c r="D4" s="730"/>
      <c r="E4" s="313"/>
      <c r="F4" s="131" t="s">
        <v>119</v>
      </c>
      <c r="G4" s="126"/>
      <c r="H4" s="131" t="s">
        <v>120</v>
      </c>
      <c r="I4" s="126"/>
      <c r="J4" s="132" t="s">
        <v>326</v>
      </c>
      <c r="K4" s="26"/>
      <c r="L4" s="26"/>
    </row>
    <row r="5" spans="1:12" ht="14.25" thickBot="1">
      <c r="A5" s="126"/>
      <c r="B5" s="731" t="s">
        <v>327</v>
      </c>
      <c r="C5" s="731"/>
      <c r="D5" s="731"/>
      <c r="E5" s="313"/>
      <c r="F5" s="133">
        <f>SUM(F9:F23)</f>
        <v>725014.91304347827</v>
      </c>
      <c r="G5" s="128"/>
      <c r="H5" s="133">
        <f>SUM(H9:H23)</f>
        <v>585065.51124999998</v>
      </c>
      <c r="I5" s="126"/>
      <c r="J5" s="134">
        <f>SUM(J9:J23)</f>
        <v>139949.40179347826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131</v>
      </c>
      <c r="C7" s="137"/>
      <c r="D7" s="136" t="s">
        <v>78</v>
      </c>
      <c r="E7" s="137"/>
      <c r="F7" s="138" t="s">
        <v>328</v>
      </c>
      <c r="G7" s="139"/>
      <c r="H7" s="138" t="s">
        <v>329</v>
      </c>
      <c r="I7" s="139"/>
      <c r="J7" s="138" t="s">
        <v>330</v>
      </c>
      <c r="K7" s="84"/>
      <c r="L7" s="29" t="s">
        <v>331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573781</v>
      </c>
      <c r="I15" s="23"/>
      <c r="J15" s="143">
        <f t="shared" si="0"/>
        <v>150358.91304347827</v>
      </c>
      <c r="K15" s="85"/>
      <c r="L15" s="159"/>
    </row>
    <row r="16" spans="1:12" ht="13.9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 ht="13.9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 ht="13.9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 ht="13.9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 ht="13.9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332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G26" sqref="G26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333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2" t="s">
        <v>334</v>
      </c>
      <c r="B2" s="103"/>
      <c r="C2" s="104" t="s">
        <v>253</v>
      </c>
      <c r="D2" s="104" t="s">
        <v>253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3"/>
      <c r="B4" s="106" t="s">
        <v>335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3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3"/>
      <c r="B6" s="110" t="s">
        <v>336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3"/>
      <c r="B7" s="115" t="s">
        <v>337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2" t="s">
        <v>120</v>
      </c>
      <c r="B8" s="103"/>
      <c r="C8" s="104" t="s">
        <v>253</v>
      </c>
      <c r="D8" s="104" t="s">
        <v>253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338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659086.78963548539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3"/>
      <c r="B10" s="120" t="s">
        <v>339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823858.48704435676</v>
      </c>
      <c r="R10" s="122">
        <f t="shared" si="21"/>
        <v>823858.48704435676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3"/>
      <c r="B11" s="123" t="s">
        <v>340</v>
      </c>
      <c r="C11" s="124">
        <f>'Revenue Tracking'!F5</f>
        <v>585065.51124999998</v>
      </c>
      <c r="D11" s="124">
        <f>SUM(F11:KF11)</f>
        <v>585065.51124999998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70542.266666666677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0</v>
      </c>
      <c r="T11" s="125">
        <f>SUMIFS('Expenditure Breakdown'!$Q$6:$Q$187, 'Expenditure Breakdown'!$W$6:$W$187, "&gt;="&amp;T1,'Expenditure Breakdown'!$W$6:$W$187, "&lt;"&amp;U1)</f>
        <v>8278.1999999999989</v>
      </c>
      <c r="U11" s="125">
        <f>SUMIFS('Expenditure Breakdown'!$Q$6:$Q$187, 'Expenditure Breakdown'!$W$6:$W$187, "&gt;="&amp;U1,'Expenditure Breakdown'!$W$6:$W$187, "&lt;"&amp;V1)</f>
        <v>18083.400000000001</v>
      </c>
      <c r="V11" s="125">
        <f>SUMIFS('Expenditure Breakdown'!$Q$6:$Q$187, 'Expenditure Breakdown'!$W$6:$W$187, "&gt;="&amp;V1,'Expenditure Breakdown'!$W$6:$W$187, "&lt;"&amp;W1)</f>
        <v>291.66666666666669</v>
      </c>
      <c r="W11" s="125">
        <f>SUMIFS('Expenditure Breakdown'!$Q$6:$Q$187, 'Expenditure Breakdown'!$W$6:$W$187, "&gt;="&amp;W1,'Expenditure Breakdown'!$W$6:$W$187, "&lt;"&amp;X1)</f>
        <v>0</v>
      </c>
      <c r="X11" s="125">
        <f>SUMIFS('Expenditure Breakdown'!$Q$6:$Q$187, 'Expenditure Breakdown'!$W$6:$W$187, "&gt;="&amp;X1,'Expenditure Breakdown'!$W$6:$W$187, "&lt;"&amp;Y1)</f>
        <v>5518.8</v>
      </c>
      <c r="Y11" s="125">
        <f>SUMIFS('Expenditure Breakdown'!$Q$6:$Q$187, 'Expenditure Breakdown'!$W$6:$W$187, "&gt;="&amp;Y1,'Expenditure Breakdown'!$W$6:$W$187, "&lt;"&amp;Z1)</f>
        <v>482059.51124999998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3"/>
      <c r="B12" s="123" t="s">
        <v>341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70542.266666666677</v>
      </c>
      <c r="R12" s="125">
        <f t="shared" si="26"/>
        <v>70542.266666666677</v>
      </c>
      <c r="S12" s="125">
        <f t="shared" si="26"/>
        <v>70542.266666666677</v>
      </c>
      <c r="T12" s="125">
        <f t="shared" si="26"/>
        <v>78820.466666666674</v>
      </c>
      <c r="U12" s="125">
        <f t="shared" si="26"/>
        <v>96903.866666666669</v>
      </c>
      <c r="V12" s="125">
        <f t="shared" si="26"/>
        <v>97195.53333333334</v>
      </c>
      <c r="W12" s="125">
        <f t="shared" si="26"/>
        <v>97195.53333333334</v>
      </c>
      <c r="X12" s="125">
        <f t="shared" si="26"/>
        <v>102714.33333333334</v>
      </c>
      <c r="Y12" s="125">
        <f t="shared" si="26"/>
        <v>584773.84458333335</v>
      </c>
      <c r="Z12" s="125">
        <f t="shared" si="26"/>
        <v>585065.51124999998</v>
      </c>
      <c r="AA12" s="125">
        <f t="shared" si="26"/>
        <v>585065.51124999998</v>
      </c>
      <c r="AB12" s="125">
        <f t="shared" si="26"/>
        <v>585065.51124999998</v>
      </c>
      <c r="AC12" s="125">
        <f t="shared" si="26"/>
        <v>585065.51124999998</v>
      </c>
      <c r="AD12" s="125">
        <f>AC12+AD11</f>
        <v>585065.51124999998</v>
      </c>
      <c r="AE12" s="125">
        <f t="shared" si="26"/>
        <v>585065.51124999998</v>
      </c>
      <c r="AF12" s="125">
        <f t="shared" si="26"/>
        <v>585065.51124999998</v>
      </c>
      <c r="AG12" s="125">
        <f t="shared" si="26"/>
        <v>585065.51124999998</v>
      </c>
      <c r="AH12" s="125">
        <f t="shared" si="26"/>
        <v>585065.51124999998</v>
      </c>
      <c r="AI12" s="125">
        <f t="shared" si="26"/>
        <v>585065.51124999998</v>
      </c>
      <c r="AJ12" s="125">
        <f t="shared" si="26"/>
        <v>585065.51124999998</v>
      </c>
      <c r="AK12" s="125">
        <f t="shared" si="26"/>
        <v>585065.51124999998</v>
      </c>
      <c r="AL12" s="125">
        <f t="shared" si="26"/>
        <v>585065.51124999998</v>
      </c>
      <c r="AM12" s="125">
        <f t="shared" si="26"/>
        <v>585065.51124999998</v>
      </c>
      <c r="AN12" s="125">
        <f t="shared" si="26"/>
        <v>585065.51124999998</v>
      </c>
      <c r="AO12" s="125">
        <f t="shared" si="26"/>
        <v>585065.51124999998</v>
      </c>
      <c r="AP12" s="125">
        <f t="shared" si="26"/>
        <v>585065.51124999998</v>
      </c>
      <c r="AQ12" s="125">
        <f t="shared" si="26"/>
        <v>585065.51124999998</v>
      </c>
      <c r="AR12" s="125">
        <f t="shared" si="26"/>
        <v>585065.51124999998</v>
      </c>
      <c r="AS12" s="125">
        <f t="shared" si="26"/>
        <v>585065.51124999998</v>
      </c>
      <c r="AT12" s="125">
        <f t="shared" si="26"/>
        <v>585065.51124999998</v>
      </c>
      <c r="AU12" s="125">
        <f t="shared" si="26"/>
        <v>585065.51124999998</v>
      </c>
      <c r="AV12" s="125">
        <f t="shared" si="26"/>
        <v>585065.51124999998</v>
      </c>
      <c r="AW12" s="125">
        <f t="shared" si="26"/>
        <v>585065.51124999998</v>
      </c>
      <c r="AX12" s="125">
        <f t="shared" si="26"/>
        <v>585065.51124999998</v>
      </c>
      <c r="AY12" s="125">
        <f t="shared" si="26"/>
        <v>585065.51124999998</v>
      </c>
      <c r="AZ12" s="125">
        <f t="shared" si="26"/>
        <v>585065.51124999998</v>
      </c>
      <c r="BA12" s="125">
        <f t="shared" si="26"/>
        <v>585065.51124999998</v>
      </c>
      <c r="BB12" s="125">
        <f t="shared" si="26"/>
        <v>585065.51124999998</v>
      </c>
      <c r="BC12" s="125">
        <f t="shared" si="26"/>
        <v>585065.51124999998</v>
      </c>
      <c r="BD12" s="125">
        <f t="shared" si="26"/>
        <v>585065.51124999998</v>
      </c>
      <c r="BE12" s="125">
        <f t="shared" si="26"/>
        <v>585065.51124999998</v>
      </c>
      <c r="BF12" s="125">
        <f t="shared" si="26"/>
        <v>585065.51124999998</v>
      </c>
      <c r="BG12" s="125">
        <f t="shared" si="26"/>
        <v>585065.51124999998</v>
      </c>
      <c r="BH12" s="125">
        <f t="shared" si="26"/>
        <v>585065.51124999998</v>
      </c>
      <c r="BI12" s="125">
        <f t="shared" si="26"/>
        <v>585065.51124999998</v>
      </c>
      <c r="BJ12" s="125">
        <f t="shared" si="26"/>
        <v>585065.51124999998</v>
      </c>
      <c r="BK12" s="125">
        <f t="shared" si="26"/>
        <v>585065.51124999998</v>
      </c>
      <c r="BL12" s="125">
        <f t="shared" si="26"/>
        <v>585065.51124999998</v>
      </c>
      <c r="BM12" s="125">
        <f t="shared" si="26"/>
        <v>585065.51124999998</v>
      </c>
      <c r="BN12" s="125">
        <f t="shared" si="26"/>
        <v>585065.51124999998</v>
      </c>
      <c r="BO12" s="125">
        <f t="shared" si="26"/>
        <v>585065.51124999998</v>
      </c>
      <c r="BP12" s="125">
        <f t="shared" si="26"/>
        <v>585065.51124999998</v>
      </c>
      <c r="BQ12" s="125">
        <f t="shared" si="26"/>
        <v>585065.51124999998</v>
      </c>
      <c r="BR12" s="125">
        <f t="shared" si="26"/>
        <v>585065.51124999998</v>
      </c>
      <c r="BS12" s="125">
        <f t="shared" si="26"/>
        <v>585065.51124999998</v>
      </c>
      <c r="BT12" s="125">
        <f t="shared" si="26"/>
        <v>585065.51124999998</v>
      </c>
      <c r="BU12" s="125">
        <f t="shared" ref="BU12:EF12" si="27">BT12+BU11</f>
        <v>585065.51124999998</v>
      </c>
      <c r="BV12" s="125">
        <f t="shared" si="27"/>
        <v>585065.51124999998</v>
      </c>
      <c r="BW12" s="125">
        <f t="shared" si="27"/>
        <v>585065.51124999998</v>
      </c>
      <c r="BX12" s="125">
        <f t="shared" si="27"/>
        <v>585065.51124999998</v>
      </c>
      <c r="BY12" s="125">
        <f t="shared" si="27"/>
        <v>585065.51124999998</v>
      </c>
      <c r="BZ12" s="125">
        <f t="shared" si="27"/>
        <v>585065.51124999998</v>
      </c>
      <c r="CA12" s="125">
        <f t="shared" si="27"/>
        <v>585065.51124999998</v>
      </c>
      <c r="CB12" s="125">
        <f t="shared" si="27"/>
        <v>585065.51124999998</v>
      </c>
      <c r="CC12" s="125">
        <f t="shared" si="27"/>
        <v>585065.51124999998</v>
      </c>
      <c r="CD12" s="125">
        <f t="shared" si="27"/>
        <v>585065.51124999998</v>
      </c>
      <c r="CE12" s="125">
        <f t="shared" si="27"/>
        <v>585065.51124999998</v>
      </c>
      <c r="CF12" s="125">
        <f t="shared" si="27"/>
        <v>585065.51124999998</v>
      </c>
      <c r="CG12" s="125">
        <f t="shared" si="27"/>
        <v>585065.51124999998</v>
      </c>
      <c r="CH12" s="125">
        <f t="shared" si="27"/>
        <v>585065.51124999998</v>
      </c>
      <c r="CI12" s="125">
        <f t="shared" si="27"/>
        <v>585065.51124999998</v>
      </c>
      <c r="CJ12" s="125">
        <f t="shared" si="27"/>
        <v>585065.51124999998</v>
      </c>
      <c r="CK12" s="125">
        <f t="shared" si="27"/>
        <v>585065.51124999998</v>
      </c>
      <c r="CL12" s="125">
        <f t="shared" si="27"/>
        <v>585065.51124999998</v>
      </c>
      <c r="CM12" s="125">
        <f t="shared" si="27"/>
        <v>585065.51124999998</v>
      </c>
      <c r="CN12" s="125">
        <f t="shared" si="27"/>
        <v>585065.51124999998</v>
      </c>
      <c r="CO12" s="125">
        <f t="shared" si="27"/>
        <v>585065.51124999998</v>
      </c>
      <c r="CP12" s="125">
        <f t="shared" si="27"/>
        <v>585065.51124999998</v>
      </c>
      <c r="CQ12" s="125">
        <f t="shared" si="27"/>
        <v>585065.51124999998</v>
      </c>
      <c r="CR12" s="125">
        <f t="shared" si="27"/>
        <v>585065.51124999998</v>
      </c>
      <c r="CS12" s="125">
        <f t="shared" si="27"/>
        <v>585065.51124999998</v>
      </c>
      <c r="CT12" s="125">
        <f t="shared" si="27"/>
        <v>585065.51124999998</v>
      </c>
      <c r="CU12" s="125">
        <f t="shared" si="27"/>
        <v>585065.51124999998</v>
      </c>
      <c r="CV12" s="125">
        <f t="shared" si="27"/>
        <v>585065.51124999998</v>
      </c>
      <c r="CW12" s="125">
        <f t="shared" si="27"/>
        <v>585065.51124999998</v>
      </c>
      <c r="CX12" s="125">
        <f t="shared" si="27"/>
        <v>585065.51124999998</v>
      </c>
      <c r="CY12" s="125">
        <f t="shared" si="27"/>
        <v>585065.51124999998</v>
      </c>
      <c r="CZ12" s="125">
        <f t="shared" si="27"/>
        <v>585065.51124999998</v>
      </c>
      <c r="DA12" s="125">
        <f t="shared" si="27"/>
        <v>585065.51124999998</v>
      </c>
      <c r="DB12" s="125">
        <f t="shared" si="27"/>
        <v>585065.51124999998</v>
      </c>
      <c r="DC12" s="125">
        <f t="shared" si="27"/>
        <v>585065.51124999998</v>
      </c>
      <c r="DD12" s="125">
        <f t="shared" si="27"/>
        <v>585065.51124999998</v>
      </c>
      <c r="DE12" s="125">
        <f t="shared" si="27"/>
        <v>585065.51124999998</v>
      </c>
      <c r="DF12" s="125">
        <f t="shared" si="27"/>
        <v>585065.51124999998</v>
      </c>
      <c r="DG12" s="125">
        <f t="shared" si="27"/>
        <v>585065.51124999998</v>
      </c>
      <c r="DH12" s="125">
        <f t="shared" si="27"/>
        <v>585065.51124999998</v>
      </c>
      <c r="DI12" s="125">
        <f t="shared" si="27"/>
        <v>585065.51124999998</v>
      </c>
      <c r="DJ12" s="125">
        <f t="shared" si="27"/>
        <v>585065.51124999998</v>
      </c>
      <c r="DK12" s="125">
        <f t="shared" si="27"/>
        <v>585065.51124999998</v>
      </c>
      <c r="DL12" s="125">
        <f t="shared" si="27"/>
        <v>585065.51124999998</v>
      </c>
      <c r="DM12" s="125">
        <f t="shared" si="27"/>
        <v>585065.51124999998</v>
      </c>
      <c r="DN12" s="125">
        <f t="shared" si="27"/>
        <v>585065.51124999998</v>
      </c>
      <c r="DO12" s="125">
        <f t="shared" si="27"/>
        <v>585065.51124999998</v>
      </c>
      <c r="DP12" s="125">
        <f t="shared" si="27"/>
        <v>585065.51124999998</v>
      </c>
      <c r="DQ12" s="125">
        <f t="shared" si="27"/>
        <v>585065.51124999998</v>
      </c>
      <c r="DR12" s="125">
        <f t="shared" si="27"/>
        <v>585065.51124999998</v>
      </c>
      <c r="DS12" s="125">
        <f t="shared" si="27"/>
        <v>585065.51124999998</v>
      </c>
      <c r="DT12" s="125">
        <f t="shared" si="27"/>
        <v>585065.51124999998</v>
      </c>
      <c r="DU12" s="125">
        <f t="shared" si="27"/>
        <v>585065.51124999998</v>
      </c>
      <c r="DV12" s="125">
        <f t="shared" si="27"/>
        <v>585065.51124999998</v>
      </c>
      <c r="DW12" s="125">
        <f t="shared" si="27"/>
        <v>585065.51124999998</v>
      </c>
      <c r="DX12" s="125">
        <f t="shared" si="27"/>
        <v>585065.51124999998</v>
      </c>
      <c r="DY12" s="125">
        <f t="shared" si="27"/>
        <v>585065.51124999998</v>
      </c>
      <c r="DZ12" s="125">
        <f t="shared" si="27"/>
        <v>585065.51124999998</v>
      </c>
      <c r="EA12" s="125">
        <f t="shared" si="27"/>
        <v>585065.51124999998</v>
      </c>
      <c r="EB12" s="125">
        <f t="shared" si="27"/>
        <v>585065.51124999998</v>
      </c>
      <c r="EC12" s="125">
        <f t="shared" si="27"/>
        <v>585065.51124999998</v>
      </c>
      <c r="ED12" s="125">
        <f t="shared" si="27"/>
        <v>585065.51124999998</v>
      </c>
      <c r="EE12" s="125">
        <f t="shared" si="27"/>
        <v>585065.51124999998</v>
      </c>
      <c r="EF12" s="125">
        <f t="shared" si="27"/>
        <v>585065.51124999998</v>
      </c>
      <c r="EG12" s="125">
        <f t="shared" ref="EG12:GR12" si="28">EF12+EG11</f>
        <v>585065.51124999998</v>
      </c>
      <c r="EH12" s="125">
        <f t="shared" si="28"/>
        <v>585065.51124999998</v>
      </c>
      <c r="EI12" s="125">
        <f t="shared" si="28"/>
        <v>585065.51124999998</v>
      </c>
      <c r="EJ12" s="125">
        <f t="shared" si="28"/>
        <v>585065.51124999998</v>
      </c>
      <c r="EK12" s="125">
        <f t="shared" si="28"/>
        <v>585065.51124999998</v>
      </c>
      <c r="EL12" s="125">
        <f t="shared" si="28"/>
        <v>585065.51124999998</v>
      </c>
      <c r="EM12" s="125">
        <f t="shared" si="28"/>
        <v>585065.51124999998</v>
      </c>
      <c r="EN12" s="125">
        <f t="shared" si="28"/>
        <v>585065.51124999998</v>
      </c>
      <c r="EO12" s="125">
        <f t="shared" si="28"/>
        <v>585065.51124999998</v>
      </c>
      <c r="EP12" s="125">
        <f t="shared" si="28"/>
        <v>585065.51124999998</v>
      </c>
      <c r="EQ12" s="125">
        <f t="shared" si="28"/>
        <v>585065.51124999998</v>
      </c>
      <c r="ER12" s="125">
        <f t="shared" si="28"/>
        <v>585065.51124999998</v>
      </c>
      <c r="ES12" s="125">
        <f t="shared" si="28"/>
        <v>585065.51124999998</v>
      </c>
      <c r="ET12" s="125">
        <f t="shared" si="28"/>
        <v>585065.51124999998</v>
      </c>
      <c r="EU12" s="125">
        <f t="shared" si="28"/>
        <v>585065.51124999998</v>
      </c>
      <c r="EV12" s="125">
        <f t="shared" si="28"/>
        <v>585065.51124999998</v>
      </c>
      <c r="EW12" s="125">
        <f t="shared" si="28"/>
        <v>585065.51124999998</v>
      </c>
      <c r="EX12" s="125">
        <f t="shared" si="28"/>
        <v>585065.51124999998</v>
      </c>
      <c r="EY12" s="125">
        <f t="shared" si="28"/>
        <v>585065.51124999998</v>
      </c>
      <c r="EZ12" s="125">
        <f t="shared" si="28"/>
        <v>585065.51124999998</v>
      </c>
      <c r="FA12" s="125">
        <f t="shared" si="28"/>
        <v>585065.51124999998</v>
      </c>
      <c r="FB12" s="125">
        <f t="shared" si="28"/>
        <v>585065.51124999998</v>
      </c>
      <c r="FC12" s="125">
        <f t="shared" si="28"/>
        <v>585065.51124999998</v>
      </c>
      <c r="FD12" s="125">
        <f t="shared" si="28"/>
        <v>585065.51124999998</v>
      </c>
      <c r="FE12" s="125">
        <f t="shared" si="28"/>
        <v>585065.51124999998</v>
      </c>
      <c r="FF12" s="125">
        <f t="shared" si="28"/>
        <v>585065.51124999998</v>
      </c>
      <c r="FG12" s="125">
        <f t="shared" si="28"/>
        <v>585065.51124999998</v>
      </c>
      <c r="FH12" s="125">
        <f t="shared" si="28"/>
        <v>585065.51124999998</v>
      </c>
      <c r="FI12" s="125">
        <f t="shared" si="28"/>
        <v>585065.51124999998</v>
      </c>
      <c r="FJ12" s="125">
        <f t="shared" si="28"/>
        <v>585065.51124999998</v>
      </c>
      <c r="FK12" s="125">
        <f t="shared" si="28"/>
        <v>585065.51124999998</v>
      </c>
      <c r="FL12" s="125">
        <f t="shared" si="28"/>
        <v>585065.51124999998</v>
      </c>
      <c r="FM12" s="125">
        <f t="shared" si="28"/>
        <v>585065.51124999998</v>
      </c>
      <c r="FN12" s="125">
        <f t="shared" si="28"/>
        <v>585065.51124999998</v>
      </c>
      <c r="FO12" s="125">
        <f t="shared" si="28"/>
        <v>585065.51124999998</v>
      </c>
      <c r="FP12" s="125">
        <f t="shared" si="28"/>
        <v>585065.51124999998</v>
      </c>
      <c r="FQ12" s="125">
        <f t="shared" si="28"/>
        <v>585065.51124999998</v>
      </c>
      <c r="FR12" s="125">
        <f t="shared" si="28"/>
        <v>585065.51124999998</v>
      </c>
      <c r="FS12" s="125">
        <f t="shared" si="28"/>
        <v>585065.51124999998</v>
      </c>
      <c r="FT12" s="125">
        <f t="shared" si="28"/>
        <v>585065.51124999998</v>
      </c>
      <c r="FU12" s="125">
        <f t="shared" si="28"/>
        <v>585065.51124999998</v>
      </c>
      <c r="FV12" s="125">
        <f t="shared" si="28"/>
        <v>585065.51124999998</v>
      </c>
      <c r="FW12" s="125">
        <f t="shared" si="28"/>
        <v>585065.51124999998</v>
      </c>
      <c r="FX12" s="125">
        <f t="shared" si="28"/>
        <v>585065.51124999998</v>
      </c>
      <c r="FY12" s="125">
        <f t="shared" si="28"/>
        <v>585065.51124999998</v>
      </c>
      <c r="FZ12" s="125">
        <f t="shared" si="28"/>
        <v>585065.51124999998</v>
      </c>
      <c r="GA12" s="125">
        <f t="shared" si="28"/>
        <v>585065.51124999998</v>
      </c>
      <c r="GB12" s="125">
        <f t="shared" si="28"/>
        <v>585065.51124999998</v>
      </c>
      <c r="GC12" s="125">
        <f t="shared" si="28"/>
        <v>585065.51124999998</v>
      </c>
      <c r="GD12" s="125">
        <f t="shared" si="28"/>
        <v>585065.51124999998</v>
      </c>
      <c r="GE12" s="125">
        <f t="shared" si="28"/>
        <v>585065.51124999998</v>
      </c>
      <c r="GF12" s="125">
        <f t="shared" si="28"/>
        <v>585065.51124999998</v>
      </c>
      <c r="GG12" s="125">
        <f t="shared" si="28"/>
        <v>585065.51124999998</v>
      </c>
      <c r="GH12" s="125">
        <f t="shared" si="28"/>
        <v>585065.51124999998</v>
      </c>
      <c r="GI12" s="125">
        <f t="shared" si="28"/>
        <v>585065.51124999998</v>
      </c>
      <c r="GJ12" s="125">
        <f t="shared" si="28"/>
        <v>585065.51124999998</v>
      </c>
      <c r="GK12" s="125">
        <f t="shared" si="28"/>
        <v>585065.51124999998</v>
      </c>
      <c r="GL12" s="125">
        <f t="shared" si="28"/>
        <v>585065.51124999998</v>
      </c>
      <c r="GM12" s="125">
        <f t="shared" si="28"/>
        <v>585065.51124999998</v>
      </c>
      <c r="GN12" s="125">
        <f t="shared" si="28"/>
        <v>585065.51124999998</v>
      </c>
      <c r="GO12" s="125">
        <f t="shared" si="28"/>
        <v>585065.51124999998</v>
      </c>
      <c r="GP12" s="125">
        <f t="shared" si="28"/>
        <v>585065.51124999998</v>
      </c>
      <c r="GQ12" s="125">
        <f t="shared" si="28"/>
        <v>585065.51124999998</v>
      </c>
      <c r="GR12" s="125">
        <f t="shared" si="28"/>
        <v>585065.51124999998</v>
      </c>
      <c r="GS12" s="125">
        <f t="shared" ref="GS12:JD12" si="29">GR12+GS11</f>
        <v>585065.51124999998</v>
      </c>
      <c r="GT12" s="125">
        <f t="shared" si="29"/>
        <v>585065.51124999998</v>
      </c>
      <c r="GU12" s="125">
        <f t="shared" si="29"/>
        <v>585065.51124999998</v>
      </c>
      <c r="GV12" s="125">
        <f t="shared" si="29"/>
        <v>585065.51124999998</v>
      </c>
      <c r="GW12" s="125">
        <f t="shared" si="29"/>
        <v>585065.51124999998</v>
      </c>
      <c r="GX12" s="125">
        <f t="shared" si="29"/>
        <v>585065.51124999998</v>
      </c>
      <c r="GY12" s="125">
        <f t="shared" si="29"/>
        <v>585065.51124999998</v>
      </c>
      <c r="GZ12" s="125">
        <f t="shared" si="29"/>
        <v>585065.51124999998</v>
      </c>
      <c r="HA12" s="125">
        <f t="shared" si="29"/>
        <v>585065.51124999998</v>
      </c>
      <c r="HB12" s="125">
        <f t="shared" si="29"/>
        <v>585065.51124999998</v>
      </c>
      <c r="HC12" s="125">
        <f t="shared" si="29"/>
        <v>585065.51124999998</v>
      </c>
      <c r="HD12" s="125">
        <f t="shared" si="29"/>
        <v>585065.51124999998</v>
      </c>
      <c r="HE12" s="125">
        <f t="shared" si="29"/>
        <v>585065.51124999998</v>
      </c>
      <c r="HF12" s="125">
        <f t="shared" si="29"/>
        <v>585065.51124999998</v>
      </c>
      <c r="HG12" s="125">
        <f t="shared" si="29"/>
        <v>585065.51124999998</v>
      </c>
      <c r="HH12" s="125">
        <f t="shared" si="29"/>
        <v>585065.51124999998</v>
      </c>
      <c r="HI12" s="125">
        <f t="shared" si="29"/>
        <v>585065.51124999998</v>
      </c>
      <c r="HJ12" s="125">
        <f t="shared" si="29"/>
        <v>585065.51124999998</v>
      </c>
      <c r="HK12" s="125">
        <f t="shared" si="29"/>
        <v>585065.51124999998</v>
      </c>
      <c r="HL12" s="125">
        <f t="shared" si="29"/>
        <v>585065.51124999998</v>
      </c>
      <c r="HM12" s="125">
        <f t="shared" si="29"/>
        <v>585065.51124999998</v>
      </c>
      <c r="HN12" s="125">
        <f t="shared" si="29"/>
        <v>585065.51124999998</v>
      </c>
      <c r="HO12" s="125">
        <f t="shared" si="29"/>
        <v>585065.51124999998</v>
      </c>
      <c r="HP12" s="125">
        <f t="shared" si="29"/>
        <v>585065.51124999998</v>
      </c>
      <c r="HQ12" s="125">
        <f t="shared" si="29"/>
        <v>585065.51124999998</v>
      </c>
      <c r="HR12" s="125">
        <f t="shared" si="29"/>
        <v>585065.51124999998</v>
      </c>
      <c r="HS12" s="125">
        <f t="shared" si="29"/>
        <v>585065.51124999998</v>
      </c>
      <c r="HT12" s="125">
        <f t="shared" si="29"/>
        <v>585065.51124999998</v>
      </c>
      <c r="HU12" s="125">
        <f t="shared" si="29"/>
        <v>585065.51124999998</v>
      </c>
      <c r="HV12" s="125">
        <f t="shared" si="29"/>
        <v>585065.51124999998</v>
      </c>
      <c r="HW12" s="125">
        <f t="shared" si="29"/>
        <v>585065.51124999998</v>
      </c>
      <c r="HX12" s="125">
        <f t="shared" si="29"/>
        <v>585065.51124999998</v>
      </c>
      <c r="HY12" s="125">
        <f t="shared" si="29"/>
        <v>585065.51124999998</v>
      </c>
      <c r="HZ12" s="125">
        <f t="shared" si="29"/>
        <v>585065.51124999998</v>
      </c>
      <c r="IA12" s="125">
        <f t="shared" si="29"/>
        <v>585065.51124999998</v>
      </c>
      <c r="IB12" s="125">
        <f t="shared" si="29"/>
        <v>585065.51124999998</v>
      </c>
      <c r="IC12" s="125">
        <f t="shared" si="29"/>
        <v>585065.51124999998</v>
      </c>
      <c r="ID12" s="125">
        <f t="shared" si="29"/>
        <v>585065.51124999998</v>
      </c>
      <c r="IE12" s="125">
        <f t="shared" si="29"/>
        <v>585065.51124999998</v>
      </c>
      <c r="IF12" s="125">
        <f t="shared" si="29"/>
        <v>585065.51124999998</v>
      </c>
      <c r="IG12" s="125">
        <f t="shared" si="29"/>
        <v>585065.51124999998</v>
      </c>
      <c r="IH12" s="125">
        <f t="shared" si="29"/>
        <v>585065.51124999998</v>
      </c>
      <c r="II12" s="125">
        <f t="shared" si="29"/>
        <v>585065.51124999998</v>
      </c>
      <c r="IJ12" s="125">
        <f t="shared" si="29"/>
        <v>585065.51124999998</v>
      </c>
      <c r="IK12" s="125">
        <f t="shared" si="29"/>
        <v>585065.51124999998</v>
      </c>
      <c r="IL12" s="125">
        <f t="shared" si="29"/>
        <v>585065.51124999998</v>
      </c>
      <c r="IM12" s="125">
        <f t="shared" si="29"/>
        <v>585065.51124999998</v>
      </c>
      <c r="IN12" s="125">
        <f t="shared" si="29"/>
        <v>585065.51124999998</v>
      </c>
      <c r="IO12" s="125">
        <f t="shared" si="29"/>
        <v>585065.51124999998</v>
      </c>
      <c r="IP12" s="125">
        <f t="shared" si="29"/>
        <v>585065.51124999998</v>
      </c>
      <c r="IQ12" s="125">
        <f t="shared" si="29"/>
        <v>585065.51124999998</v>
      </c>
      <c r="IR12" s="125">
        <f t="shared" si="29"/>
        <v>585065.51124999998</v>
      </c>
      <c r="IS12" s="125">
        <f t="shared" si="29"/>
        <v>585065.51124999998</v>
      </c>
      <c r="IT12" s="125">
        <f t="shared" si="29"/>
        <v>585065.51124999998</v>
      </c>
      <c r="IU12" s="125">
        <f t="shared" si="29"/>
        <v>585065.51124999998</v>
      </c>
      <c r="IV12" s="125">
        <f t="shared" si="29"/>
        <v>585065.51124999998</v>
      </c>
      <c r="IW12" s="125">
        <f t="shared" si="29"/>
        <v>585065.51124999998</v>
      </c>
      <c r="IX12" s="125">
        <f t="shared" si="29"/>
        <v>585065.51124999998</v>
      </c>
      <c r="IY12" s="125">
        <f t="shared" si="29"/>
        <v>585065.51124999998</v>
      </c>
      <c r="IZ12" s="125">
        <f t="shared" si="29"/>
        <v>585065.51124999998</v>
      </c>
      <c r="JA12" s="125">
        <f t="shared" si="29"/>
        <v>585065.51124999998</v>
      </c>
      <c r="JB12" s="125">
        <f t="shared" si="29"/>
        <v>585065.51124999998</v>
      </c>
      <c r="JC12" s="125">
        <f t="shared" si="29"/>
        <v>585065.51124999998</v>
      </c>
      <c r="JD12" s="125">
        <f t="shared" si="29"/>
        <v>585065.51124999998</v>
      </c>
      <c r="JE12" s="125">
        <f t="shared" ref="JE12:KF12" si="30">JD12+JE11</f>
        <v>585065.51124999998</v>
      </c>
      <c r="JF12" s="125">
        <f t="shared" si="30"/>
        <v>585065.51124999998</v>
      </c>
      <c r="JG12" s="125">
        <f t="shared" si="30"/>
        <v>585065.51124999998</v>
      </c>
      <c r="JH12" s="125">
        <f t="shared" si="30"/>
        <v>585065.51124999998</v>
      </c>
      <c r="JI12" s="125">
        <f t="shared" si="30"/>
        <v>585065.51124999998</v>
      </c>
      <c r="JJ12" s="125">
        <f t="shared" si="30"/>
        <v>585065.51124999998</v>
      </c>
      <c r="JK12" s="125">
        <f t="shared" si="30"/>
        <v>585065.51124999998</v>
      </c>
      <c r="JL12" s="125">
        <f t="shared" si="30"/>
        <v>585065.51124999998</v>
      </c>
      <c r="JM12" s="125">
        <f t="shared" si="30"/>
        <v>585065.51124999998</v>
      </c>
      <c r="JN12" s="125">
        <f t="shared" si="30"/>
        <v>585065.51124999998</v>
      </c>
      <c r="JO12" s="125">
        <f t="shared" si="30"/>
        <v>585065.51124999998</v>
      </c>
      <c r="JP12" s="125">
        <f t="shared" si="30"/>
        <v>585065.51124999998</v>
      </c>
      <c r="JQ12" s="125">
        <f t="shared" si="30"/>
        <v>585065.51124999998</v>
      </c>
      <c r="JR12" s="125">
        <f t="shared" si="30"/>
        <v>585065.51124999998</v>
      </c>
      <c r="JS12" s="125">
        <f t="shared" si="30"/>
        <v>585065.51124999998</v>
      </c>
      <c r="JT12" s="125">
        <f t="shared" si="30"/>
        <v>585065.51124999998</v>
      </c>
      <c r="JU12" s="125">
        <f t="shared" si="30"/>
        <v>585065.51124999998</v>
      </c>
      <c r="JV12" s="125">
        <f t="shared" si="30"/>
        <v>585065.51124999998</v>
      </c>
      <c r="JW12" s="125">
        <f t="shared" si="30"/>
        <v>585065.51124999998</v>
      </c>
      <c r="JX12" s="125">
        <f t="shared" si="30"/>
        <v>585065.51124999998</v>
      </c>
      <c r="JY12" s="125">
        <f t="shared" si="30"/>
        <v>585065.51124999998</v>
      </c>
      <c r="JZ12" s="125">
        <f t="shared" si="30"/>
        <v>585065.51124999998</v>
      </c>
      <c r="KA12" s="125">
        <f t="shared" si="30"/>
        <v>585065.51124999998</v>
      </c>
      <c r="KB12" s="125">
        <f t="shared" si="30"/>
        <v>585065.51124999998</v>
      </c>
      <c r="KC12" s="125">
        <f t="shared" si="30"/>
        <v>585065.51124999998</v>
      </c>
      <c r="KD12" s="125">
        <f t="shared" si="30"/>
        <v>585065.51124999998</v>
      </c>
      <c r="KE12" s="125">
        <f t="shared" si="30"/>
        <v>585065.51124999998</v>
      </c>
      <c r="KF12" s="125">
        <f t="shared" si="30"/>
        <v>585065.51124999998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342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753316.22037769004</v>
      </c>
      <c r="R14" s="118">
        <f t="shared" si="32"/>
        <v>753316.22037769004</v>
      </c>
      <c r="S14" s="118">
        <f t="shared" si="32"/>
        <v>753316.22037769004</v>
      </c>
      <c r="T14" s="118">
        <f t="shared" si="32"/>
        <v>745038.02037769009</v>
      </c>
      <c r="U14" s="118">
        <f t="shared" si="32"/>
        <v>726954.62037769007</v>
      </c>
      <c r="V14" s="118">
        <f t="shared" si="32"/>
        <v>726662.95371102344</v>
      </c>
      <c r="W14" s="118">
        <f t="shared" si="32"/>
        <v>726662.95371102344</v>
      </c>
      <c r="X14" s="118">
        <f t="shared" si="32"/>
        <v>721144.15371102339</v>
      </c>
      <c r="Y14" s="118">
        <f t="shared" si="32"/>
        <v>239084.64246102341</v>
      </c>
      <c r="Z14" s="118">
        <f t="shared" si="32"/>
        <v>238792.97579435678</v>
      </c>
      <c r="AA14" s="118">
        <f t="shared" si="32"/>
        <v>238792.97579435678</v>
      </c>
      <c r="AB14" s="118">
        <f t="shared" si="32"/>
        <v>238792.97579435678</v>
      </c>
      <c r="AC14" s="118">
        <f t="shared" si="32"/>
        <v>238792.97579435678</v>
      </c>
      <c r="AD14" s="118">
        <f t="shared" si="32"/>
        <v>238792.97579435678</v>
      </c>
      <c r="AE14" s="118">
        <f t="shared" si="32"/>
        <v>238792.97579435678</v>
      </c>
      <c r="AF14" s="118">
        <f t="shared" si="32"/>
        <v>238792.97579435678</v>
      </c>
      <c r="AG14" s="118">
        <f t="shared" si="32"/>
        <v>238792.97579435678</v>
      </c>
      <c r="AH14" s="118">
        <f t="shared" si="32"/>
        <v>238792.97579435678</v>
      </c>
      <c r="AI14" s="118">
        <f t="shared" si="32"/>
        <v>238792.97579435678</v>
      </c>
      <c r="AJ14" s="118">
        <f t="shared" si="32"/>
        <v>238792.97579435678</v>
      </c>
      <c r="AK14" s="118">
        <f t="shared" si="32"/>
        <v>238792.97579435678</v>
      </c>
      <c r="AL14" s="118">
        <f t="shared" si="32"/>
        <v>238792.97579435678</v>
      </c>
      <c r="AM14" s="118">
        <f t="shared" si="32"/>
        <v>238792.97579435678</v>
      </c>
      <c r="AN14" s="118">
        <f t="shared" si="32"/>
        <v>238792.97579435678</v>
      </c>
      <c r="AO14" s="118">
        <f t="shared" si="32"/>
        <v>238792.97579435678</v>
      </c>
      <c r="AP14" s="118">
        <f t="shared" si="32"/>
        <v>238792.97579435678</v>
      </c>
      <c r="AQ14" s="118">
        <f t="shared" si="32"/>
        <v>238792.97579435678</v>
      </c>
      <c r="AR14" s="118">
        <f t="shared" si="32"/>
        <v>238792.97579435678</v>
      </c>
      <c r="AS14" s="118">
        <f t="shared" si="32"/>
        <v>238792.97579435678</v>
      </c>
      <c r="AT14" s="118">
        <f t="shared" si="32"/>
        <v>238792.97579435678</v>
      </c>
      <c r="AU14" s="118">
        <f t="shared" si="32"/>
        <v>238792.97579435678</v>
      </c>
      <c r="AV14" s="118">
        <f t="shared" si="32"/>
        <v>238792.97579435678</v>
      </c>
      <c r="AW14" s="118">
        <f t="shared" si="32"/>
        <v>238792.97579435678</v>
      </c>
      <c r="AX14" s="118">
        <f t="shared" si="32"/>
        <v>238792.97579435678</v>
      </c>
      <c r="AY14" s="118">
        <f t="shared" si="32"/>
        <v>238792.97579435678</v>
      </c>
      <c r="AZ14" s="118">
        <f t="shared" si="32"/>
        <v>238792.97579435678</v>
      </c>
      <c r="BA14" s="118">
        <f t="shared" si="32"/>
        <v>238792.97579435678</v>
      </c>
      <c r="BB14" s="118">
        <f t="shared" si="32"/>
        <v>238792.97579435678</v>
      </c>
      <c r="BC14" s="118">
        <f t="shared" si="32"/>
        <v>238792.97579435678</v>
      </c>
      <c r="BD14" s="118">
        <f t="shared" si="32"/>
        <v>238792.97579435678</v>
      </c>
      <c r="BE14" s="118">
        <f t="shared" si="32"/>
        <v>238792.97579435678</v>
      </c>
      <c r="BF14" s="118">
        <f t="shared" si="32"/>
        <v>238792.97579435678</v>
      </c>
      <c r="BG14" s="118">
        <f t="shared" si="32"/>
        <v>238792.97579435678</v>
      </c>
      <c r="BH14" s="118">
        <f t="shared" si="32"/>
        <v>238792.97579435678</v>
      </c>
      <c r="BI14" s="118">
        <f t="shared" si="32"/>
        <v>238792.97579435678</v>
      </c>
      <c r="BJ14" s="118">
        <f t="shared" si="32"/>
        <v>238792.97579435678</v>
      </c>
      <c r="BK14" s="118">
        <f t="shared" si="32"/>
        <v>238792.97579435678</v>
      </c>
      <c r="BL14" s="118">
        <f t="shared" si="32"/>
        <v>238792.97579435678</v>
      </c>
      <c r="BM14" s="118">
        <f t="shared" si="32"/>
        <v>238792.97579435678</v>
      </c>
      <c r="BN14" s="118">
        <f t="shared" si="32"/>
        <v>238792.97579435678</v>
      </c>
      <c r="BO14" s="118">
        <f t="shared" si="32"/>
        <v>238792.97579435678</v>
      </c>
      <c r="BP14" s="118">
        <f t="shared" si="32"/>
        <v>238792.97579435678</v>
      </c>
      <c r="BQ14" s="118">
        <f t="shared" si="32"/>
        <v>238792.97579435678</v>
      </c>
      <c r="BR14" s="118">
        <f t="shared" si="32"/>
        <v>238792.97579435678</v>
      </c>
      <c r="BS14" s="118">
        <f t="shared" si="32"/>
        <v>238792.97579435678</v>
      </c>
      <c r="BT14" s="118">
        <f t="shared" si="32"/>
        <v>238792.97579435678</v>
      </c>
      <c r="BU14" s="118">
        <f t="shared" ref="BU14:EF14" si="33">BU10-BU12</f>
        <v>238792.97579435678</v>
      </c>
      <c r="BV14" s="118">
        <f t="shared" si="33"/>
        <v>238792.97579435678</v>
      </c>
      <c r="BW14" s="118">
        <f t="shared" si="33"/>
        <v>238792.97579435678</v>
      </c>
      <c r="BX14" s="118">
        <f t="shared" si="33"/>
        <v>238792.97579435678</v>
      </c>
      <c r="BY14" s="118">
        <f t="shared" si="33"/>
        <v>238792.97579435678</v>
      </c>
      <c r="BZ14" s="118">
        <f t="shared" si="33"/>
        <v>238792.97579435678</v>
      </c>
      <c r="CA14" s="118">
        <f t="shared" si="33"/>
        <v>238792.97579435678</v>
      </c>
      <c r="CB14" s="118">
        <f t="shared" si="33"/>
        <v>238792.97579435678</v>
      </c>
      <c r="CC14" s="118">
        <f t="shared" si="33"/>
        <v>238792.97579435678</v>
      </c>
      <c r="CD14" s="118">
        <f t="shared" si="33"/>
        <v>238792.97579435678</v>
      </c>
      <c r="CE14" s="118">
        <f t="shared" si="33"/>
        <v>238792.97579435678</v>
      </c>
      <c r="CF14" s="118">
        <f t="shared" si="33"/>
        <v>238792.97579435678</v>
      </c>
      <c r="CG14" s="118">
        <f t="shared" si="33"/>
        <v>238792.97579435678</v>
      </c>
      <c r="CH14" s="118">
        <f t="shared" si="33"/>
        <v>238792.97579435678</v>
      </c>
      <c r="CI14" s="118">
        <f t="shared" si="33"/>
        <v>238792.97579435678</v>
      </c>
      <c r="CJ14" s="118">
        <f t="shared" si="33"/>
        <v>238792.97579435678</v>
      </c>
      <c r="CK14" s="118">
        <f t="shared" si="33"/>
        <v>238792.97579435678</v>
      </c>
      <c r="CL14" s="118">
        <f t="shared" si="33"/>
        <v>238792.97579435678</v>
      </c>
      <c r="CM14" s="118">
        <f t="shared" si="33"/>
        <v>238792.97579435678</v>
      </c>
      <c r="CN14" s="118">
        <f t="shared" si="33"/>
        <v>238792.97579435678</v>
      </c>
      <c r="CO14" s="118">
        <f t="shared" si="33"/>
        <v>238792.97579435678</v>
      </c>
      <c r="CP14" s="118">
        <f t="shared" si="33"/>
        <v>238792.97579435678</v>
      </c>
      <c r="CQ14" s="118">
        <f t="shared" si="33"/>
        <v>238792.97579435678</v>
      </c>
      <c r="CR14" s="118">
        <f t="shared" si="33"/>
        <v>238792.97579435678</v>
      </c>
      <c r="CS14" s="118">
        <f t="shared" si="33"/>
        <v>238792.97579435678</v>
      </c>
      <c r="CT14" s="118">
        <f t="shared" si="33"/>
        <v>238792.97579435678</v>
      </c>
      <c r="CU14" s="118">
        <f t="shared" si="33"/>
        <v>238792.97579435678</v>
      </c>
      <c r="CV14" s="118">
        <f t="shared" si="33"/>
        <v>238792.97579435678</v>
      </c>
      <c r="CW14" s="118">
        <f t="shared" si="33"/>
        <v>238792.97579435678</v>
      </c>
      <c r="CX14" s="118">
        <f t="shared" si="33"/>
        <v>238792.97579435678</v>
      </c>
      <c r="CY14" s="118">
        <f t="shared" si="33"/>
        <v>238792.97579435678</v>
      </c>
      <c r="CZ14" s="118">
        <f t="shared" si="33"/>
        <v>238792.97579435678</v>
      </c>
      <c r="DA14" s="118">
        <f t="shared" si="33"/>
        <v>238792.97579435678</v>
      </c>
      <c r="DB14" s="118">
        <f t="shared" si="33"/>
        <v>238792.97579435678</v>
      </c>
      <c r="DC14" s="118">
        <f t="shared" si="33"/>
        <v>238792.97579435678</v>
      </c>
      <c r="DD14" s="118">
        <f t="shared" si="33"/>
        <v>238792.97579435678</v>
      </c>
      <c r="DE14" s="118">
        <f t="shared" si="33"/>
        <v>238792.97579435678</v>
      </c>
      <c r="DF14" s="118">
        <f t="shared" si="33"/>
        <v>238792.97579435678</v>
      </c>
      <c r="DG14" s="118">
        <f t="shared" si="33"/>
        <v>238792.97579435678</v>
      </c>
      <c r="DH14" s="118">
        <f t="shared" si="33"/>
        <v>238792.97579435678</v>
      </c>
      <c r="DI14" s="118">
        <f t="shared" si="33"/>
        <v>238792.97579435678</v>
      </c>
      <c r="DJ14" s="118">
        <f t="shared" si="33"/>
        <v>238792.97579435678</v>
      </c>
      <c r="DK14" s="118">
        <f t="shared" si="33"/>
        <v>238792.97579435678</v>
      </c>
      <c r="DL14" s="118">
        <f t="shared" si="33"/>
        <v>238792.97579435678</v>
      </c>
      <c r="DM14" s="118">
        <f t="shared" si="33"/>
        <v>238792.97579435678</v>
      </c>
      <c r="DN14" s="118">
        <f t="shared" si="33"/>
        <v>238792.97579435678</v>
      </c>
      <c r="DO14" s="118">
        <f t="shared" si="33"/>
        <v>238792.97579435678</v>
      </c>
      <c r="DP14" s="118">
        <f t="shared" si="33"/>
        <v>238792.97579435678</v>
      </c>
      <c r="DQ14" s="118">
        <f t="shared" si="33"/>
        <v>238792.97579435678</v>
      </c>
      <c r="DR14" s="118">
        <f t="shared" si="33"/>
        <v>238792.97579435678</v>
      </c>
      <c r="DS14" s="118">
        <f t="shared" si="33"/>
        <v>238792.97579435678</v>
      </c>
      <c r="DT14" s="118">
        <f t="shared" si="33"/>
        <v>238792.97579435678</v>
      </c>
      <c r="DU14" s="118">
        <f t="shared" si="33"/>
        <v>238792.97579435678</v>
      </c>
      <c r="DV14" s="118">
        <f t="shared" si="33"/>
        <v>238792.97579435678</v>
      </c>
      <c r="DW14" s="118">
        <f t="shared" si="33"/>
        <v>238792.97579435678</v>
      </c>
      <c r="DX14" s="118">
        <f t="shared" si="33"/>
        <v>238792.97579435678</v>
      </c>
      <c r="DY14" s="118">
        <f t="shared" si="33"/>
        <v>238792.97579435678</v>
      </c>
      <c r="DZ14" s="118">
        <f t="shared" si="33"/>
        <v>238792.97579435678</v>
      </c>
      <c r="EA14" s="118">
        <f t="shared" si="33"/>
        <v>238792.97579435678</v>
      </c>
      <c r="EB14" s="118">
        <f t="shared" si="33"/>
        <v>238792.97579435678</v>
      </c>
      <c r="EC14" s="118">
        <f t="shared" si="33"/>
        <v>238792.97579435678</v>
      </c>
      <c r="ED14" s="118">
        <f t="shared" si="33"/>
        <v>238792.97579435678</v>
      </c>
      <c r="EE14" s="118">
        <f t="shared" si="33"/>
        <v>238792.97579435678</v>
      </c>
      <c r="EF14" s="118">
        <f t="shared" si="33"/>
        <v>238792.97579435678</v>
      </c>
      <c r="EG14" s="118">
        <f t="shared" ref="EG14:GR14" si="34">EG10-EG12</f>
        <v>238792.97579435678</v>
      </c>
      <c r="EH14" s="118">
        <f t="shared" si="34"/>
        <v>238792.97579435678</v>
      </c>
      <c r="EI14" s="118">
        <f t="shared" si="34"/>
        <v>238792.97579435678</v>
      </c>
      <c r="EJ14" s="118">
        <f t="shared" si="34"/>
        <v>238792.97579435678</v>
      </c>
      <c r="EK14" s="118">
        <f t="shared" si="34"/>
        <v>238792.97579435678</v>
      </c>
      <c r="EL14" s="118">
        <f t="shared" si="34"/>
        <v>238792.97579435678</v>
      </c>
      <c r="EM14" s="118">
        <f t="shared" si="34"/>
        <v>238792.97579435678</v>
      </c>
      <c r="EN14" s="118">
        <f t="shared" si="34"/>
        <v>238792.97579435678</v>
      </c>
      <c r="EO14" s="118">
        <f t="shared" si="34"/>
        <v>238792.97579435678</v>
      </c>
      <c r="EP14" s="118">
        <f t="shared" si="34"/>
        <v>238792.97579435678</v>
      </c>
      <c r="EQ14" s="118">
        <f t="shared" si="34"/>
        <v>238792.97579435678</v>
      </c>
      <c r="ER14" s="118">
        <f t="shared" si="34"/>
        <v>238792.97579435678</v>
      </c>
      <c r="ES14" s="118">
        <f t="shared" si="34"/>
        <v>238792.97579435678</v>
      </c>
      <c r="ET14" s="118">
        <f t="shared" si="34"/>
        <v>238792.97579435678</v>
      </c>
      <c r="EU14" s="118">
        <f t="shared" si="34"/>
        <v>238792.97579435678</v>
      </c>
      <c r="EV14" s="118">
        <f t="shared" si="34"/>
        <v>238792.97579435678</v>
      </c>
      <c r="EW14" s="118">
        <f t="shared" si="34"/>
        <v>238792.97579435678</v>
      </c>
      <c r="EX14" s="118">
        <f t="shared" si="34"/>
        <v>238792.97579435678</v>
      </c>
      <c r="EY14" s="118">
        <f t="shared" si="34"/>
        <v>238792.97579435678</v>
      </c>
      <c r="EZ14" s="118">
        <f t="shared" si="34"/>
        <v>238792.97579435678</v>
      </c>
      <c r="FA14" s="118">
        <f t="shared" si="34"/>
        <v>238792.97579435678</v>
      </c>
      <c r="FB14" s="118">
        <f t="shared" si="34"/>
        <v>238792.97579435678</v>
      </c>
      <c r="FC14" s="118">
        <f t="shared" si="34"/>
        <v>238792.97579435678</v>
      </c>
      <c r="FD14" s="118">
        <f t="shared" si="34"/>
        <v>238792.97579435678</v>
      </c>
      <c r="FE14" s="118">
        <f t="shared" si="34"/>
        <v>238792.97579435678</v>
      </c>
      <c r="FF14" s="118">
        <f t="shared" si="34"/>
        <v>238792.97579435678</v>
      </c>
      <c r="FG14" s="118">
        <f t="shared" si="34"/>
        <v>238792.97579435678</v>
      </c>
      <c r="FH14" s="118">
        <f t="shared" si="34"/>
        <v>238792.97579435678</v>
      </c>
      <c r="FI14" s="118">
        <f t="shared" si="34"/>
        <v>238792.97579435678</v>
      </c>
      <c r="FJ14" s="118">
        <f t="shared" si="34"/>
        <v>238792.97579435678</v>
      </c>
      <c r="FK14" s="118">
        <f t="shared" si="34"/>
        <v>238792.97579435678</v>
      </c>
      <c r="FL14" s="118">
        <f t="shared" si="34"/>
        <v>238792.97579435678</v>
      </c>
      <c r="FM14" s="118">
        <f t="shared" si="34"/>
        <v>238792.97579435678</v>
      </c>
      <c r="FN14" s="118">
        <f t="shared" si="34"/>
        <v>238792.97579435678</v>
      </c>
      <c r="FO14" s="118">
        <f t="shared" si="34"/>
        <v>238792.97579435678</v>
      </c>
      <c r="FP14" s="118">
        <f t="shared" si="34"/>
        <v>238792.97579435678</v>
      </c>
      <c r="FQ14" s="118">
        <f t="shared" si="34"/>
        <v>238792.97579435678</v>
      </c>
      <c r="FR14" s="118">
        <f t="shared" si="34"/>
        <v>238792.97579435678</v>
      </c>
      <c r="FS14" s="118">
        <f t="shared" si="34"/>
        <v>238792.97579435678</v>
      </c>
      <c r="FT14" s="118">
        <f t="shared" si="34"/>
        <v>238792.97579435678</v>
      </c>
      <c r="FU14" s="118">
        <f t="shared" si="34"/>
        <v>238792.97579435678</v>
      </c>
      <c r="FV14" s="118">
        <f t="shared" si="34"/>
        <v>238792.97579435678</v>
      </c>
      <c r="FW14" s="118">
        <f t="shared" si="34"/>
        <v>238792.97579435678</v>
      </c>
      <c r="FX14" s="118">
        <f t="shared" si="34"/>
        <v>238792.97579435678</v>
      </c>
      <c r="FY14" s="118">
        <f t="shared" si="34"/>
        <v>238792.97579435678</v>
      </c>
      <c r="FZ14" s="118">
        <f t="shared" si="34"/>
        <v>238792.97579435678</v>
      </c>
      <c r="GA14" s="118">
        <f t="shared" si="34"/>
        <v>238792.97579435678</v>
      </c>
      <c r="GB14" s="118">
        <f t="shared" si="34"/>
        <v>238792.97579435678</v>
      </c>
      <c r="GC14" s="118">
        <f t="shared" si="34"/>
        <v>238792.97579435678</v>
      </c>
      <c r="GD14" s="118">
        <f t="shared" si="34"/>
        <v>238792.97579435678</v>
      </c>
      <c r="GE14" s="118">
        <f t="shared" si="34"/>
        <v>238792.97579435678</v>
      </c>
      <c r="GF14" s="118">
        <f t="shared" si="34"/>
        <v>238792.97579435678</v>
      </c>
      <c r="GG14" s="118">
        <f t="shared" si="34"/>
        <v>238792.97579435678</v>
      </c>
      <c r="GH14" s="118">
        <f t="shared" si="34"/>
        <v>238792.97579435678</v>
      </c>
      <c r="GI14" s="118">
        <f t="shared" si="34"/>
        <v>238792.97579435678</v>
      </c>
      <c r="GJ14" s="118">
        <f t="shared" si="34"/>
        <v>238792.97579435678</v>
      </c>
      <c r="GK14" s="118">
        <f t="shared" si="34"/>
        <v>238792.97579435678</v>
      </c>
      <c r="GL14" s="118">
        <f t="shared" si="34"/>
        <v>238792.97579435678</v>
      </c>
      <c r="GM14" s="118">
        <f t="shared" si="34"/>
        <v>238792.97579435678</v>
      </c>
      <c r="GN14" s="118">
        <f t="shared" si="34"/>
        <v>238792.97579435678</v>
      </c>
      <c r="GO14" s="118">
        <f t="shared" si="34"/>
        <v>238792.97579435678</v>
      </c>
      <c r="GP14" s="118">
        <f t="shared" si="34"/>
        <v>238792.97579435678</v>
      </c>
      <c r="GQ14" s="118">
        <f t="shared" si="34"/>
        <v>238792.97579435678</v>
      </c>
      <c r="GR14" s="118">
        <f t="shared" si="34"/>
        <v>238792.97579435678</v>
      </c>
      <c r="GS14" s="118">
        <f t="shared" ref="GS14:JD14" si="35">GS10-GS12</f>
        <v>238792.97579435678</v>
      </c>
      <c r="GT14" s="118">
        <f t="shared" si="35"/>
        <v>238792.97579435678</v>
      </c>
      <c r="GU14" s="118">
        <f t="shared" si="35"/>
        <v>238792.97579435678</v>
      </c>
      <c r="GV14" s="118">
        <f t="shared" si="35"/>
        <v>238792.97579435678</v>
      </c>
      <c r="GW14" s="118">
        <f t="shared" si="35"/>
        <v>238792.97579435678</v>
      </c>
      <c r="GX14" s="118">
        <f t="shared" si="35"/>
        <v>238792.97579435678</v>
      </c>
      <c r="GY14" s="118">
        <f t="shared" si="35"/>
        <v>238792.97579435678</v>
      </c>
      <c r="GZ14" s="118">
        <f t="shared" si="35"/>
        <v>238792.97579435678</v>
      </c>
      <c r="HA14" s="118">
        <f t="shared" si="35"/>
        <v>238792.97579435678</v>
      </c>
      <c r="HB14" s="118">
        <f t="shared" si="35"/>
        <v>238792.97579435678</v>
      </c>
      <c r="HC14" s="118">
        <f t="shared" si="35"/>
        <v>238792.97579435678</v>
      </c>
      <c r="HD14" s="118">
        <f t="shared" si="35"/>
        <v>238792.97579435678</v>
      </c>
      <c r="HE14" s="118">
        <f t="shared" si="35"/>
        <v>238792.97579435678</v>
      </c>
      <c r="HF14" s="118">
        <f t="shared" si="35"/>
        <v>238792.97579435678</v>
      </c>
      <c r="HG14" s="118">
        <f t="shared" si="35"/>
        <v>238792.97579435678</v>
      </c>
      <c r="HH14" s="118">
        <f t="shared" si="35"/>
        <v>238792.97579435678</v>
      </c>
      <c r="HI14" s="118">
        <f t="shared" si="35"/>
        <v>238792.97579435678</v>
      </c>
      <c r="HJ14" s="118">
        <f t="shared" si="35"/>
        <v>238792.97579435678</v>
      </c>
      <c r="HK14" s="118">
        <f t="shared" si="35"/>
        <v>238792.97579435678</v>
      </c>
      <c r="HL14" s="118">
        <f t="shared" si="35"/>
        <v>238792.97579435678</v>
      </c>
      <c r="HM14" s="118">
        <f t="shared" si="35"/>
        <v>238792.97579435678</v>
      </c>
      <c r="HN14" s="118">
        <f t="shared" si="35"/>
        <v>238792.97579435678</v>
      </c>
      <c r="HO14" s="118">
        <f t="shared" si="35"/>
        <v>238792.97579435678</v>
      </c>
      <c r="HP14" s="118">
        <f t="shared" si="35"/>
        <v>238792.97579435678</v>
      </c>
      <c r="HQ14" s="118">
        <f t="shared" si="35"/>
        <v>238792.97579435678</v>
      </c>
      <c r="HR14" s="118">
        <f t="shared" si="35"/>
        <v>238792.97579435678</v>
      </c>
      <c r="HS14" s="118">
        <f t="shared" si="35"/>
        <v>238792.97579435678</v>
      </c>
      <c r="HT14" s="118">
        <f t="shared" si="35"/>
        <v>238792.97579435678</v>
      </c>
      <c r="HU14" s="118">
        <f t="shared" si="35"/>
        <v>238792.97579435678</v>
      </c>
      <c r="HV14" s="118">
        <f t="shared" si="35"/>
        <v>238792.97579435678</v>
      </c>
      <c r="HW14" s="118">
        <f t="shared" si="35"/>
        <v>238792.97579435678</v>
      </c>
      <c r="HX14" s="118">
        <f t="shared" si="35"/>
        <v>238792.97579435678</v>
      </c>
      <c r="HY14" s="118">
        <f t="shared" si="35"/>
        <v>238792.97579435678</v>
      </c>
      <c r="HZ14" s="118">
        <f t="shared" si="35"/>
        <v>238792.97579435678</v>
      </c>
      <c r="IA14" s="118">
        <f t="shared" si="35"/>
        <v>238792.97579435678</v>
      </c>
      <c r="IB14" s="118">
        <f t="shared" si="35"/>
        <v>238792.97579435678</v>
      </c>
      <c r="IC14" s="118">
        <f t="shared" si="35"/>
        <v>238792.97579435678</v>
      </c>
      <c r="ID14" s="118">
        <f t="shared" si="35"/>
        <v>238792.97579435678</v>
      </c>
      <c r="IE14" s="118">
        <f t="shared" si="35"/>
        <v>238792.97579435678</v>
      </c>
      <c r="IF14" s="118">
        <f t="shared" si="35"/>
        <v>238792.97579435678</v>
      </c>
      <c r="IG14" s="118">
        <f t="shared" si="35"/>
        <v>238792.97579435678</v>
      </c>
      <c r="IH14" s="118">
        <f t="shared" si="35"/>
        <v>238792.97579435678</v>
      </c>
      <c r="II14" s="118">
        <f t="shared" si="35"/>
        <v>238792.97579435678</v>
      </c>
      <c r="IJ14" s="118">
        <f t="shared" si="35"/>
        <v>238792.97579435678</v>
      </c>
      <c r="IK14" s="118">
        <f t="shared" si="35"/>
        <v>238792.97579435678</v>
      </c>
      <c r="IL14" s="118">
        <f t="shared" si="35"/>
        <v>238792.97579435678</v>
      </c>
      <c r="IM14" s="118">
        <f t="shared" si="35"/>
        <v>238792.97579435678</v>
      </c>
      <c r="IN14" s="118">
        <f t="shared" si="35"/>
        <v>238792.97579435678</v>
      </c>
      <c r="IO14" s="118">
        <f t="shared" si="35"/>
        <v>238792.97579435678</v>
      </c>
      <c r="IP14" s="118">
        <f t="shared" si="35"/>
        <v>238792.97579435678</v>
      </c>
      <c r="IQ14" s="118">
        <f t="shared" si="35"/>
        <v>238792.97579435678</v>
      </c>
      <c r="IR14" s="118">
        <f t="shared" si="35"/>
        <v>238792.97579435678</v>
      </c>
      <c r="IS14" s="118">
        <f t="shared" si="35"/>
        <v>238792.97579435678</v>
      </c>
      <c r="IT14" s="118">
        <f t="shared" si="35"/>
        <v>238792.97579435678</v>
      </c>
      <c r="IU14" s="118">
        <f t="shared" si="35"/>
        <v>238792.97579435678</v>
      </c>
      <c r="IV14" s="118">
        <f t="shared" si="35"/>
        <v>238792.97579435678</v>
      </c>
      <c r="IW14" s="118">
        <f t="shared" si="35"/>
        <v>238792.97579435678</v>
      </c>
      <c r="IX14" s="118">
        <f t="shared" si="35"/>
        <v>238792.97579435678</v>
      </c>
      <c r="IY14" s="118">
        <f t="shared" si="35"/>
        <v>238792.97579435678</v>
      </c>
      <c r="IZ14" s="118">
        <f t="shared" si="35"/>
        <v>238792.97579435678</v>
      </c>
      <c r="JA14" s="118">
        <f t="shared" si="35"/>
        <v>238792.97579435678</v>
      </c>
      <c r="JB14" s="118">
        <f t="shared" si="35"/>
        <v>238792.97579435678</v>
      </c>
      <c r="JC14" s="118">
        <f t="shared" si="35"/>
        <v>238792.97579435678</v>
      </c>
      <c r="JD14" s="118">
        <f t="shared" si="35"/>
        <v>238792.97579435678</v>
      </c>
      <c r="JE14" s="118">
        <f t="shared" ref="JE14:KF14" si="36">JE10-JE12</f>
        <v>238792.97579435678</v>
      </c>
      <c r="JF14" s="118">
        <f t="shared" si="36"/>
        <v>238792.97579435678</v>
      </c>
      <c r="JG14" s="118">
        <f t="shared" si="36"/>
        <v>238792.97579435678</v>
      </c>
      <c r="JH14" s="118">
        <f t="shared" si="36"/>
        <v>238792.97579435678</v>
      </c>
      <c r="JI14" s="118">
        <f t="shared" si="36"/>
        <v>238792.97579435678</v>
      </c>
      <c r="JJ14" s="118">
        <f t="shared" si="36"/>
        <v>238792.97579435678</v>
      </c>
      <c r="JK14" s="118">
        <f t="shared" si="36"/>
        <v>238792.97579435678</v>
      </c>
      <c r="JL14" s="118">
        <f t="shared" si="36"/>
        <v>238792.97579435678</v>
      </c>
      <c r="JM14" s="118">
        <f t="shared" si="36"/>
        <v>238792.97579435678</v>
      </c>
      <c r="JN14" s="118">
        <f t="shared" si="36"/>
        <v>238792.97579435678</v>
      </c>
      <c r="JO14" s="118">
        <f t="shared" si="36"/>
        <v>238792.97579435678</v>
      </c>
      <c r="JP14" s="118">
        <f t="shared" si="36"/>
        <v>238792.97579435678</v>
      </c>
      <c r="JQ14" s="118">
        <f t="shared" si="36"/>
        <v>238792.97579435678</v>
      </c>
      <c r="JR14" s="118">
        <f t="shared" si="36"/>
        <v>238792.97579435678</v>
      </c>
      <c r="JS14" s="118">
        <f t="shared" si="36"/>
        <v>238792.97579435678</v>
      </c>
      <c r="JT14" s="118">
        <f t="shared" si="36"/>
        <v>238792.97579435678</v>
      </c>
      <c r="JU14" s="118">
        <f t="shared" si="36"/>
        <v>238792.97579435678</v>
      </c>
      <c r="JV14" s="118">
        <f t="shared" si="36"/>
        <v>238792.97579435678</v>
      </c>
      <c r="JW14" s="118">
        <f t="shared" si="36"/>
        <v>238792.97579435678</v>
      </c>
      <c r="JX14" s="118">
        <f t="shared" si="36"/>
        <v>238792.97579435678</v>
      </c>
      <c r="JY14" s="118">
        <f t="shared" si="36"/>
        <v>238792.97579435678</v>
      </c>
      <c r="JZ14" s="118">
        <f t="shared" si="36"/>
        <v>238792.97579435678</v>
      </c>
      <c r="KA14" s="118">
        <f t="shared" si="36"/>
        <v>238792.97579435678</v>
      </c>
      <c r="KB14" s="118">
        <f t="shared" si="36"/>
        <v>238792.97579435678</v>
      </c>
      <c r="KC14" s="118">
        <f t="shared" si="36"/>
        <v>238792.97579435678</v>
      </c>
      <c r="KD14" s="118">
        <f t="shared" si="36"/>
        <v>238792.97579435678</v>
      </c>
      <c r="KE14" s="118">
        <f t="shared" si="36"/>
        <v>238792.97579435678</v>
      </c>
      <c r="KF14" s="118">
        <f t="shared" si="36"/>
        <v>238792.97579435678</v>
      </c>
    </row>
    <row r="15" spans="1:770" s="102" customFormat="1"/>
    <row r="16" spans="1:770" s="102" customFormat="1">
      <c r="C16" s="104" t="s">
        <v>253</v>
      </c>
      <c r="D16" s="104" t="s">
        <v>253</v>
      </c>
    </row>
    <row r="17" spans="1:292">
      <c r="A17" s="734"/>
      <c r="B17" s="106" t="s">
        <v>343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823210.26482213405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324.00000000000006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4"/>
      <c r="B18" s="106" t="s">
        <v>344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823210.26482213405</v>
      </c>
      <c r="Q18" s="125">
        <f t="shared" si="37"/>
        <v>823210.26482213405</v>
      </c>
      <c r="R18" s="125">
        <f t="shared" si="37"/>
        <v>823210.26482213405</v>
      </c>
      <c r="S18" s="125">
        <f t="shared" si="37"/>
        <v>823210.26482213405</v>
      </c>
      <c r="T18" s="125">
        <f t="shared" si="37"/>
        <v>823210.26482213405</v>
      </c>
      <c r="U18" s="125">
        <f t="shared" si="37"/>
        <v>823534.26482213405</v>
      </c>
      <c r="V18" s="125">
        <f t="shared" si="37"/>
        <v>823534.26482213405</v>
      </c>
      <c r="W18" s="125">
        <f t="shared" si="37"/>
        <v>823534.26482213405</v>
      </c>
      <c r="X18" s="125">
        <f t="shared" si="37"/>
        <v>823534.26482213405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25"/>
  <cols>
    <col min="1" max="1" width="36.85546875" style="269" bestFit="1" customWidth="1"/>
    <col min="2" max="2" width="15.85546875" style="270" bestFit="1" customWidth="1"/>
    <col min="3" max="3" width="11.85546875" style="269" bestFit="1" customWidth="1"/>
    <col min="4" max="4" width="6.140625" style="269" bestFit="1" customWidth="1"/>
    <col min="5" max="5" width="14.42578125" style="269" bestFit="1" customWidth="1"/>
    <col min="6" max="7" width="12.85546875" style="269" bestFit="1" customWidth="1"/>
    <col min="8" max="9" width="11.85546875" style="269" bestFit="1" customWidth="1"/>
    <col min="10" max="10" width="14.42578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345</v>
      </c>
      <c r="B3" s="541" t="s">
        <v>346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347</v>
      </c>
      <c r="B4" t="s">
        <v>348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349</v>
      </c>
      <c r="K4"/>
      <c r="L4"/>
      <c r="M4"/>
      <c r="N4"/>
      <c r="O4"/>
      <c r="P4"/>
      <c r="Q4"/>
      <c r="R4"/>
      <c r="S4"/>
      <c r="T4"/>
    </row>
    <row r="5" spans="1:20">
      <c r="A5" s="345" t="s">
        <v>348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260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270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275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281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282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307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310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312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314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318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322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324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316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285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349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2578125" defaultRowHeight="14.25"/>
  <cols>
    <col min="1" max="1" width="20.140625" bestFit="1" customWidth="1"/>
    <col min="2" max="2" width="15.85546875" style="308" bestFit="1" customWidth="1"/>
    <col min="3" max="3" width="11.85546875" style="308" bestFit="1" customWidth="1"/>
    <col min="4" max="4" width="6.140625" style="308" bestFit="1" customWidth="1"/>
    <col min="5" max="7" width="12.85546875" style="308" bestFit="1" customWidth="1"/>
    <col min="8" max="9" width="11.85546875" style="308" bestFit="1" customWidth="1"/>
    <col min="10" max="10" width="14.425781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0">
      <c r="A3" s="541" t="s">
        <v>350</v>
      </c>
      <c r="B3" s="541" t="s">
        <v>346</v>
      </c>
      <c r="C3"/>
      <c r="D3"/>
      <c r="E3"/>
      <c r="F3"/>
      <c r="G3"/>
      <c r="H3"/>
      <c r="I3"/>
    </row>
    <row r="4" spans="1:10">
      <c r="A4" s="541" t="s">
        <v>347</v>
      </c>
      <c r="B4" t="s">
        <v>348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349</v>
      </c>
    </row>
    <row r="5" spans="1:10">
      <c r="A5" s="345" t="s">
        <v>348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256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260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270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275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281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282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307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310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312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314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318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322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324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316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285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349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2.7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15" thickBot="1"/>
    <row r="2" spans="3:8" ht="13.15" thickBot="1">
      <c r="C2" s="19" t="s">
        <v>351</v>
      </c>
      <c r="F2" s="19" t="s">
        <v>352</v>
      </c>
    </row>
    <row r="3" spans="3:8">
      <c r="C3" s="15">
        <v>45658</v>
      </c>
      <c r="D3" s="9" t="s">
        <v>353</v>
      </c>
      <c r="F3" s="17" t="s">
        <v>354</v>
      </c>
    </row>
    <row r="4" spans="3:8">
      <c r="C4" s="15">
        <v>45737</v>
      </c>
      <c r="D4" s="9" t="s">
        <v>355</v>
      </c>
      <c r="F4" s="17" t="s">
        <v>356</v>
      </c>
    </row>
    <row r="5" spans="3:8">
      <c r="C5" s="15">
        <v>45765</v>
      </c>
      <c r="D5" s="9" t="s">
        <v>357</v>
      </c>
      <c r="F5" s="17" t="s">
        <v>358</v>
      </c>
    </row>
    <row r="6" spans="3:8" ht="13.15" thickBot="1">
      <c r="C6" s="15">
        <v>45768</v>
      </c>
      <c r="D6" s="9" t="s">
        <v>359</v>
      </c>
      <c r="F6" s="18" t="s">
        <v>360</v>
      </c>
    </row>
    <row r="7" spans="3:8">
      <c r="C7" s="15">
        <v>45774</v>
      </c>
      <c r="D7" s="9" t="s">
        <v>361</v>
      </c>
    </row>
    <row r="8" spans="3:8">
      <c r="C8" s="15">
        <v>45765</v>
      </c>
      <c r="D8" s="9" t="s">
        <v>362</v>
      </c>
    </row>
    <row r="9" spans="3:8">
      <c r="C9" s="15">
        <v>45778</v>
      </c>
      <c r="D9" s="9" t="s">
        <v>363</v>
      </c>
    </row>
    <row r="10" spans="3:8">
      <c r="C10" s="15">
        <v>45824</v>
      </c>
      <c r="D10" s="9" t="s">
        <v>364</v>
      </c>
    </row>
    <row r="11" spans="3:8">
      <c r="C11" s="15">
        <v>45878</v>
      </c>
      <c r="D11" s="9" t="s">
        <v>365</v>
      </c>
    </row>
    <row r="12" spans="3:8">
      <c r="C12" s="15">
        <v>45924</v>
      </c>
      <c r="D12" s="9" t="s">
        <v>366</v>
      </c>
    </row>
    <row r="13" spans="3:8">
      <c r="C13" s="15">
        <v>46007</v>
      </c>
      <c r="D13" s="9" t="s">
        <v>367</v>
      </c>
      <c r="F13" s="20"/>
      <c r="H13" s="9" t="s">
        <v>368</v>
      </c>
    </row>
    <row r="14" spans="3:8">
      <c r="C14" s="15">
        <v>46016</v>
      </c>
      <c r="D14" s="9" t="s">
        <v>369</v>
      </c>
    </row>
    <row r="15" spans="3:8">
      <c r="C15" s="15">
        <v>46017</v>
      </c>
      <c r="D15" s="9" t="s">
        <v>370</v>
      </c>
    </row>
    <row r="16" spans="3:8">
      <c r="C16" s="15">
        <v>46006</v>
      </c>
      <c r="D16" s="9" t="s">
        <v>371</v>
      </c>
    </row>
    <row r="17" spans="3:4">
      <c r="C17" s="15">
        <v>46007</v>
      </c>
      <c r="D17" s="9" t="s">
        <v>371</v>
      </c>
    </row>
    <row r="18" spans="3:4">
      <c r="C18" s="15">
        <v>46008</v>
      </c>
      <c r="D18" s="9" t="s">
        <v>371</v>
      </c>
    </row>
    <row r="19" spans="3:4">
      <c r="C19" s="15">
        <v>46009</v>
      </c>
      <c r="D19" s="9" t="s">
        <v>371</v>
      </c>
    </row>
    <row r="20" spans="3:4">
      <c r="C20" s="15">
        <v>46010</v>
      </c>
      <c r="D20" s="9" t="s">
        <v>371</v>
      </c>
    </row>
    <row r="21" spans="3:4">
      <c r="C21" s="15">
        <v>46011</v>
      </c>
      <c r="D21" s="9" t="s">
        <v>371</v>
      </c>
    </row>
    <row r="22" spans="3:4">
      <c r="C22" s="15">
        <v>46012</v>
      </c>
      <c r="D22" s="9" t="s">
        <v>371</v>
      </c>
    </row>
    <row r="23" spans="3:4">
      <c r="C23" s="15">
        <v>46013</v>
      </c>
      <c r="D23" s="9" t="s">
        <v>371</v>
      </c>
    </row>
    <row r="24" spans="3:4">
      <c r="C24" s="15">
        <v>46014</v>
      </c>
      <c r="D24" s="9" t="s">
        <v>371</v>
      </c>
    </row>
    <row r="25" spans="3:4">
      <c r="C25" s="15">
        <v>46015</v>
      </c>
      <c r="D25" s="9" t="s">
        <v>371</v>
      </c>
    </row>
    <row r="26" spans="3:4">
      <c r="C26" s="15">
        <v>46016</v>
      </c>
      <c r="D26" s="9" t="s">
        <v>371</v>
      </c>
    </row>
    <row r="27" spans="3:4">
      <c r="C27" s="15">
        <v>46017</v>
      </c>
      <c r="D27" s="9" t="s">
        <v>371</v>
      </c>
    </row>
    <row r="28" spans="3:4">
      <c r="C28" s="15">
        <v>46018</v>
      </c>
      <c r="D28" s="9" t="s">
        <v>371</v>
      </c>
    </row>
    <row r="29" spans="3:4">
      <c r="C29" s="15">
        <v>46019</v>
      </c>
      <c r="D29" s="9" t="s">
        <v>371</v>
      </c>
    </row>
    <row r="30" spans="3:4">
      <c r="C30" s="15">
        <v>46020</v>
      </c>
      <c r="D30" s="9" t="s">
        <v>371</v>
      </c>
    </row>
    <row r="31" spans="3:4">
      <c r="C31" s="15">
        <v>46021</v>
      </c>
      <c r="D31" s="9" t="s">
        <v>371</v>
      </c>
    </row>
    <row r="32" spans="3:4">
      <c r="C32" s="15">
        <v>46022</v>
      </c>
      <c r="D32" s="9" t="s">
        <v>371</v>
      </c>
    </row>
    <row r="33" spans="3:4">
      <c r="C33" s="15">
        <v>46023</v>
      </c>
      <c r="D33" s="9" t="s">
        <v>371</v>
      </c>
    </row>
    <row r="34" spans="3:4">
      <c r="C34" s="15">
        <v>46024</v>
      </c>
      <c r="D34" s="9" t="s">
        <v>371</v>
      </c>
    </row>
    <row r="35" spans="3:4">
      <c r="C35" s="15">
        <v>46025</v>
      </c>
      <c r="D35" s="9" t="s">
        <v>371</v>
      </c>
    </row>
    <row r="36" spans="3:4">
      <c r="C36" s="15">
        <v>46026</v>
      </c>
      <c r="D36" s="9" t="s">
        <v>371</v>
      </c>
    </row>
    <row r="37" spans="3:4">
      <c r="C37" s="15">
        <v>46027</v>
      </c>
      <c r="D37" s="9" t="s">
        <v>371</v>
      </c>
    </row>
    <row r="38" spans="3:4">
      <c r="C38" s="15">
        <v>46028</v>
      </c>
      <c r="D38" s="9" t="s">
        <v>371</v>
      </c>
    </row>
    <row r="39" spans="3:4">
      <c r="C39" s="15">
        <v>46029</v>
      </c>
      <c r="D39" s="9" t="s">
        <v>371</v>
      </c>
    </row>
    <row r="40" spans="3:4">
      <c r="C40" s="15">
        <v>46030</v>
      </c>
      <c r="D40" s="9" t="s">
        <v>371</v>
      </c>
    </row>
    <row r="41" spans="3:4">
      <c r="C41" s="15"/>
      <c r="D41" s="9" t="s">
        <v>371</v>
      </c>
    </row>
    <row r="42" spans="3:4">
      <c r="C42" s="15"/>
      <c r="D42" s="9" t="s">
        <v>371</v>
      </c>
    </row>
    <row r="43" spans="3:4">
      <c r="C43" s="15"/>
      <c r="D43" s="9" t="s">
        <v>371</v>
      </c>
    </row>
    <row r="44" spans="3:4">
      <c r="C44" s="15"/>
      <c r="D44" s="9" t="s">
        <v>371</v>
      </c>
    </row>
    <row r="45" spans="3:4">
      <c r="C45" s="15"/>
      <c r="D45" s="9" t="s">
        <v>371</v>
      </c>
    </row>
    <row r="46" spans="3:4">
      <c r="C46" s="15"/>
      <c r="D46" s="9" t="s">
        <v>371</v>
      </c>
    </row>
    <row r="47" spans="3:4">
      <c r="C47" s="15"/>
      <c r="D47" s="9" t="s">
        <v>371</v>
      </c>
    </row>
    <row r="48" spans="3:4">
      <c r="C48" s="15"/>
      <c r="D48" s="9" t="s">
        <v>371</v>
      </c>
    </row>
    <row r="49" spans="3:4">
      <c r="C49" s="15">
        <v>46102</v>
      </c>
      <c r="D49" s="9" t="s">
        <v>355</v>
      </c>
    </row>
    <row r="50" spans="3:4">
      <c r="C50" s="15">
        <v>46115</v>
      </c>
      <c r="D50" s="9" t="s">
        <v>357</v>
      </c>
    </row>
    <row r="51" spans="3:4">
      <c r="C51" s="15">
        <v>46118</v>
      </c>
      <c r="D51" s="9" t="s">
        <v>359</v>
      </c>
    </row>
    <row r="52" spans="3:4">
      <c r="C52" s="15">
        <v>46139</v>
      </c>
      <c r="D52" s="9" t="s">
        <v>361</v>
      </c>
    </row>
    <row r="53" spans="3:4">
      <c r="C53" s="15">
        <v>46143</v>
      </c>
      <c r="D53" s="9" t="s">
        <v>363</v>
      </c>
    </row>
    <row r="54" spans="3:4">
      <c r="C54" s="15">
        <v>46189</v>
      </c>
      <c r="D54" s="9" t="s">
        <v>364</v>
      </c>
    </row>
    <row r="55" spans="3:4">
      <c r="C55" s="15">
        <v>46243</v>
      </c>
      <c r="D55" s="9" t="s">
        <v>365</v>
      </c>
    </row>
    <row r="56" spans="3:4">
      <c r="C56" s="15">
        <v>46244</v>
      </c>
      <c r="D56" s="9" t="s">
        <v>372</v>
      </c>
    </row>
    <row r="57" spans="3:4">
      <c r="C57" s="15">
        <v>46289</v>
      </c>
      <c r="D57" s="9" t="s">
        <v>366</v>
      </c>
    </row>
    <row r="58" spans="3:4">
      <c r="C58" s="15">
        <v>46372</v>
      </c>
      <c r="D58" s="9" t="s">
        <v>367</v>
      </c>
    </row>
    <row r="59" spans="3:4">
      <c r="C59" s="15">
        <v>46381</v>
      </c>
      <c r="D59" s="9" t="s">
        <v>369</v>
      </c>
    </row>
    <row r="60" spans="3:4" ht="13.15" thickBot="1">
      <c r="C60" s="16">
        <v>46382</v>
      </c>
      <c r="D60" s="9" t="s">
        <v>370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C65A378B-2BD3-4348-A41B-B61CC7820E64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2026-02-24T10:06:37Z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