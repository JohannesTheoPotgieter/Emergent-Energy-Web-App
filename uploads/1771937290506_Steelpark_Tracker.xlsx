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36" documentId="13_ncr:1_{3ECD668F-DBB6-42A3-9FAB-1C780F61CF9D}" xr6:coauthVersionLast="47" xr6:coauthVersionMax="47" xr10:uidLastSave="{F31A497B-EC27-415E-9C8B-B454B5A4EC0C}"/>
  <bookViews>
    <workbookView xWindow="28680" yWindow="-120" windowWidth="29040" windowHeight="15720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8" l="1"/>
  <c r="Q28" i="18"/>
  <c r="Q26" i="18"/>
  <c r="Q25" i="18"/>
  <c r="Q23" i="18"/>
  <c r="O24" i="18"/>
  <c r="F171" i="18" l="1"/>
  <c r="J58" i="18" s="1"/>
  <c r="F17" i="5"/>
  <c r="F16" i="5"/>
  <c r="F15" i="5"/>
  <c r="F14" i="5"/>
  <c r="F13" i="5"/>
  <c r="P18" i="5"/>
  <c r="H18" i="5"/>
  <c r="I33" i="2"/>
  <c r="M11" i="2"/>
  <c r="W50" i="18"/>
  <c r="W51" i="18"/>
  <c r="P7" i="18"/>
  <c r="E24" i="2"/>
  <c r="I24" i="2"/>
  <c r="E38" i="2"/>
  <c r="I38" i="2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N11" i="2"/>
  <c r="O30" i="18"/>
  <c r="W126" i="18"/>
  <c r="E26" i="2"/>
  <c r="G26" i="2"/>
  <c r="E17" i="2"/>
  <c r="G16" i="2"/>
  <c r="G15" i="2"/>
  <c r="G14" i="2"/>
  <c r="G13" i="2"/>
  <c r="E33" i="2"/>
  <c r="G33" i="2"/>
  <c r="G12" i="2"/>
  <c r="I17" i="2"/>
  <c r="I18" i="2"/>
  <c r="I21" i="2"/>
  <c r="I32" i="2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/>
  <c r="H6" i="5"/>
  <c r="W144" i="18"/>
  <c r="W143" i="18"/>
  <c r="W142" i="18"/>
  <c r="W141" i="18"/>
  <c r="W59" i="18"/>
  <c r="E39" i="2"/>
  <c r="G39" i="2"/>
  <c r="E35" i="2"/>
  <c r="G35" i="2"/>
  <c r="G17" i="2"/>
  <c r="E18" i="2"/>
  <c r="N14" i="2"/>
  <c r="G18" i="2"/>
  <c r="G11" i="2"/>
  <c r="F11" i="2"/>
  <c r="E21" i="2"/>
  <c r="G38" i="2"/>
  <c r="G37" i="2"/>
  <c r="E37" i="2"/>
  <c r="E11" i="2"/>
  <c r="I49" i="18"/>
  <c r="F37" i="2"/>
  <c r="H14" i="5"/>
  <c r="E20" i="2"/>
  <c r="E32" i="2"/>
  <c r="G21" i="2"/>
  <c r="J85" i="18"/>
  <c r="G85" i="18"/>
  <c r="X124" i="18"/>
  <c r="G32" i="2"/>
  <c r="E34" i="2"/>
  <c r="G34" i="2"/>
  <c r="E30" i="2"/>
  <c r="G20" i="2"/>
  <c r="F20" i="2"/>
  <c r="T33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4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/>
  <c r="G30" i="2"/>
  <c r="F30" i="2"/>
  <c r="N12" i="2"/>
  <c r="E25" i="2"/>
  <c r="H15" i="5"/>
  <c r="K15" i="2"/>
  <c r="E27" i="2"/>
  <c r="G25" i="2"/>
  <c r="I26" i="2"/>
  <c r="K26" i="2"/>
  <c r="K16" i="2"/>
  <c r="C4" i="24"/>
  <c r="C7" i="23"/>
  <c r="C4" i="23"/>
  <c r="Q131" i="18"/>
  <c r="E28" i="2"/>
  <c r="G28" i="2"/>
  <c r="G27" i="2"/>
  <c r="G23" i="2"/>
  <c r="N15" i="2"/>
  <c r="E42" i="2"/>
  <c r="E23" i="2"/>
  <c r="F23" i="2"/>
  <c r="K17" i="2"/>
  <c r="K18" i="2"/>
  <c r="G42" i="2"/>
  <c r="I11" i="2"/>
  <c r="K11" i="2"/>
  <c r="H58" i="18"/>
  <c r="H49" i="18"/>
  <c r="H50" i="18"/>
  <c r="E43" i="2"/>
  <c r="K21" i="2"/>
  <c r="I20" i="2"/>
  <c r="J11" i="2"/>
  <c r="H6" i="18"/>
  <c r="G43" i="2"/>
  <c r="K24" i="2"/>
  <c r="K20" i="2"/>
  <c r="J20" i="2"/>
  <c r="I34" i="2"/>
  <c r="K34" i="2"/>
  <c r="K32" i="2"/>
  <c r="K33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T7" i="18"/>
  <c r="Q33" i="18"/>
  <c r="X13" i="18"/>
  <c r="T9" i="2"/>
  <c r="S9" i="2"/>
  <c r="S20" i="2"/>
  <c r="S19" i="2"/>
  <c r="S18" i="2"/>
  <c r="S17" i="2"/>
  <c r="S16" i="2"/>
  <c r="S15" i="2"/>
  <c r="S14" i="2"/>
  <c r="S13" i="2"/>
  <c r="X49" i="18"/>
  <c r="U51" i="18" s="1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E46" i="5"/>
  <c r="E47" i="5"/>
  <c r="E21" i="5"/>
  <c r="I124" i="18"/>
  <c r="Z43" i="18"/>
  <c r="Z44" i="18" s="1"/>
  <c r="X21" i="18"/>
  <c r="E44" i="2"/>
  <c r="I39" i="2"/>
  <c r="I37" i="2"/>
  <c r="N20" i="2"/>
  <c r="M20" i="2"/>
  <c r="P15" i="5"/>
  <c r="I25" i="2"/>
  <c r="I27" i="2"/>
  <c r="U55" i="18"/>
  <c r="U56" i="18"/>
  <c r="U49" i="18"/>
  <c r="K39" i="2"/>
  <c r="U15" i="18"/>
  <c r="I33" i="18"/>
  <c r="F12" i="3" s="1"/>
  <c r="I134" i="18"/>
  <c r="F21" i="3" s="1"/>
  <c r="F19" i="3"/>
  <c r="J19" i="3" s="1"/>
  <c r="F10" i="3"/>
  <c r="J10" i="3" s="1"/>
  <c r="I95" i="18"/>
  <c r="F17" i="3" s="1"/>
  <c r="Z15" i="18"/>
  <c r="U13" i="18"/>
  <c r="U14" i="18"/>
  <c r="H10" i="3"/>
  <c r="U17" i="18"/>
  <c r="I58" i="18"/>
  <c r="U16" i="18"/>
  <c r="U19" i="18"/>
  <c r="U18" i="18"/>
  <c r="H20" i="3"/>
  <c r="N16" i="2"/>
  <c r="Q6" i="18"/>
  <c r="X6" i="18" s="1"/>
  <c r="F19" i="5"/>
  <c r="C3" i="6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X134" i="18"/>
  <c r="U139" i="18" s="1"/>
  <c r="F13" i="3"/>
  <c r="H13" i="3"/>
  <c r="H16" i="3"/>
  <c r="E47" i="2"/>
  <c r="G44" i="2"/>
  <c r="G41" i="2"/>
  <c r="E41" i="2"/>
  <c r="W6" i="18"/>
  <c r="K38" i="2"/>
  <c r="P14" i="5"/>
  <c r="I28" i="2"/>
  <c r="K28" i="2"/>
  <c r="K27" i="2"/>
  <c r="I23" i="2"/>
  <c r="K25" i="2"/>
  <c r="I35" i="2"/>
  <c r="F14" i="3"/>
  <c r="N17" i="2"/>
  <c r="F41" i="2"/>
  <c r="H16" i="5"/>
  <c r="G47" i="2"/>
  <c r="K37" i="2"/>
  <c r="J37" i="2"/>
  <c r="W33" i="18"/>
  <c r="W14" i="18"/>
  <c r="W49" i="18" s="1"/>
  <c r="K23" i="2"/>
  <c r="J23" i="2"/>
  <c r="K35" i="2"/>
  <c r="K30" i="2"/>
  <c r="I30" i="2"/>
  <c r="N27" i="2"/>
  <c r="N26" i="2"/>
  <c r="N28" i="2"/>
  <c r="T13" i="2"/>
  <c r="E48" i="2"/>
  <c r="J30" i="2"/>
  <c r="I42" i="2"/>
  <c r="N18" i="2"/>
  <c r="G48" i="2"/>
  <c r="G46" i="2"/>
  <c r="E51" i="2"/>
  <c r="E46" i="2"/>
  <c r="K42" i="2"/>
  <c r="N38" i="2"/>
  <c r="U13" i="2"/>
  <c r="V13" i="2"/>
  <c r="W97" i="18"/>
  <c r="W113" i="18" s="1"/>
  <c r="F46" i="2"/>
  <c r="G51" i="2"/>
  <c r="W64" i="18"/>
  <c r="W112" i="18"/>
  <c r="W37" i="18"/>
  <c r="W38" i="18"/>
  <c r="I43" i="2"/>
  <c r="N21" i="2"/>
  <c r="H21" i="18"/>
  <c r="H13" i="18"/>
  <c r="T14" i="2"/>
  <c r="E53" i="2"/>
  <c r="G53" i="2"/>
  <c r="E52" i="2"/>
  <c r="K43" i="2"/>
  <c r="N34" i="2"/>
  <c r="N32" i="2"/>
  <c r="N33" i="2"/>
  <c r="H33" i="18"/>
  <c r="V14" i="2"/>
  <c r="G52" i="2"/>
  <c r="E50" i="2"/>
  <c r="I44" i="2"/>
  <c r="I51" i="2"/>
  <c r="H95" i="18"/>
  <c r="H110" i="18" s="1"/>
  <c r="N25" i="2"/>
  <c r="N24" i="2"/>
  <c r="U14" i="2"/>
  <c r="H17" i="5"/>
  <c r="G50" i="2"/>
  <c r="F50" i="2"/>
  <c r="H85" i="18"/>
  <c r="K44" i="2"/>
  <c r="K41" i="2"/>
  <c r="I47" i="2"/>
  <c r="I41" i="2"/>
  <c r="H108" i="18"/>
  <c r="H109" i="18"/>
  <c r="T15" i="2"/>
  <c r="W124" i="18"/>
  <c r="P16" i="5"/>
  <c r="K47" i="2"/>
  <c r="J41" i="2"/>
  <c r="J9" i="2"/>
  <c r="H96" i="18"/>
  <c r="H34" i="18"/>
  <c r="T17" i="2"/>
  <c r="U15" i="2"/>
  <c r="V15" i="2"/>
  <c r="W98" i="18"/>
  <c r="W66" i="18" s="1"/>
  <c r="I48" i="2"/>
  <c r="N39" i="2"/>
  <c r="N35" i="2"/>
  <c r="T114" i="18"/>
  <c r="K48" i="2"/>
  <c r="K46" i="2"/>
  <c r="I46" i="2"/>
  <c r="T16" i="2"/>
  <c r="U17" i="2"/>
  <c r="V17" i="2"/>
  <c r="J46" i="2"/>
  <c r="K51" i="2"/>
  <c r="I52" i="2"/>
  <c r="I53" i="2"/>
  <c r="K53" i="2"/>
  <c r="U16" i="2"/>
  <c r="W99" i="18"/>
  <c r="W67" i="18" s="1"/>
  <c r="T67" i="18" s="1"/>
  <c r="V16" i="2"/>
  <c r="K52" i="2"/>
  <c r="I50" i="2"/>
  <c r="N42" i="2"/>
  <c r="P17" i="5"/>
  <c r="K50" i="2"/>
  <c r="J50" i="2"/>
  <c r="N43" i="2"/>
  <c r="N44" i="2"/>
  <c r="N47" i="2"/>
  <c r="H141" i="18"/>
  <c r="H134" i="18"/>
  <c r="K2" i="2"/>
  <c r="K3" i="2"/>
  <c r="K4" i="2"/>
  <c r="T18" i="2"/>
  <c r="U18" i="2"/>
  <c r="V18" i="2"/>
  <c r="W100" i="18"/>
  <c r="W41" i="18" s="1"/>
  <c r="N48" i="2"/>
  <c r="T19" i="2"/>
  <c r="N51" i="2"/>
  <c r="W102" i="18"/>
  <c r="W43" i="18" s="1"/>
  <c r="W103" i="18"/>
  <c r="T103" i="18" s="1"/>
  <c r="W101" i="18"/>
  <c r="T101" i="18" s="1"/>
  <c r="W118" i="18"/>
  <c r="U19" i="2"/>
  <c r="V19" i="2"/>
  <c r="N53" i="2"/>
  <c r="N52" i="2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F9" i="2"/>
  <c r="H124" i="18"/>
  <c r="H125" i="18" s="1"/>
  <c r="H126" i="18" s="1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F4" i="6"/>
  <c r="G4" i="6"/>
  <c r="H4" i="6"/>
  <c r="I4" i="6"/>
  <c r="J4" i="6"/>
  <c r="K4" i="6"/>
  <c r="L4" i="6"/>
  <c r="M4" i="6"/>
  <c r="N4" i="6"/>
  <c r="O4" i="6"/>
  <c r="P4" i="6"/>
  <c r="M9" i="2"/>
  <c r="T20" i="2"/>
  <c r="N9" i="2"/>
  <c r="V20" i="2"/>
  <c r="U20" i="2"/>
  <c r="T124" i="18"/>
  <c r="T134" i="18"/>
  <c r="C9" i="6"/>
  <c r="F21" i="5"/>
  <c r="F47" i="5"/>
  <c r="F41" i="5"/>
  <c r="Q3" i="6"/>
  <c r="D3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T9" i="6"/>
  <c r="D9" i="6"/>
  <c r="F45" i="5"/>
  <c r="F44" i="5"/>
  <c r="F42" i="5"/>
  <c r="F43" i="5"/>
  <c r="F46" i="5"/>
  <c r="U30" i="18" l="1"/>
  <c r="U29" i="18"/>
  <c r="U28" i="18"/>
  <c r="U27" i="18"/>
  <c r="U26" i="18"/>
  <c r="U25" i="18"/>
  <c r="U24" i="18"/>
  <c r="U23" i="18"/>
  <c r="U31" i="18"/>
  <c r="U22" i="18"/>
  <c r="T102" i="18"/>
  <c r="T43" i="18" s="1"/>
  <c r="W65" i="18"/>
  <c r="H21" i="3"/>
  <c r="W70" i="18"/>
  <c r="T70" i="18" s="1"/>
  <c r="H111" i="18"/>
  <c r="X58" i="18"/>
  <c r="U62" i="18" s="1"/>
  <c r="J20" i="3"/>
  <c r="W40" i="18"/>
  <c r="U138" i="18"/>
  <c r="T99" i="18"/>
  <c r="T115" i="18" s="1"/>
  <c r="U53" i="18"/>
  <c r="W115" i="18"/>
  <c r="V13" i="18"/>
  <c r="U50" i="18"/>
  <c r="V49" i="18" s="1"/>
  <c r="U52" i="18"/>
  <c r="U54" i="18"/>
  <c r="W68" i="18"/>
  <c r="T68" i="18" s="1"/>
  <c r="J13" i="3"/>
  <c r="U136" i="18"/>
  <c r="J21" i="3"/>
  <c r="J23" i="3"/>
  <c r="U69" i="18"/>
  <c r="U70" i="18"/>
  <c r="U72" i="18"/>
  <c r="U74" i="18"/>
  <c r="U61" i="18"/>
  <c r="U73" i="18"/>
  <c r="U58" i="18"/>
  <c r="U65" i="18"/>
  <c r="U59" i="18"/>
  <c r="Y5" i="6"/>
  <c r="T42" i="18"/>
  <c r="T117" i="18"/>
  <c r="U66" i="18"/>
  <c r="T44" i="18"/>
  <c r="T119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FM5" i="6"/>
  <c r="W69" i="18"/>
  <c r="T69" i="18" s="1"/>
  <c r="W116" i="18"/>
  <c r="X33" i="18"/>
  <c r="Q141" i="18"/>
  <c r="U128" i="18"/>
  <c r="T100" i="18"/>
  <c r="U137" i="18"/>
  <c r="H51" i="18"/>
  <c r="IS5" i="6"/>
  <c r="W44" i="18"/>
  <c r="U135" i="18"/>
  <c r="U125" i="18"/>
  <c r="I21" i="18"/>
  <c r="FE5" i="6"/>
  <c r="W119" i="18"/>
  <c r="V134" i="18"/>
  <c r="U127" i="18"/>
  <c r="IR5" i="6"/>
  <c r="U129" i="18"/>
  <c r="Q119" i="18"/>
  <c r="HQ5" i="6"/>
  <c r="T118" i="18"/>
  <c r="W71" i="18"/>
  <c r="T71" i="18" s="1"/>
  <c r="U126" i="18"/>
  <c r="Q102" i="18"/>
  <c r="HS5" i="6"/>
  <c r="U134" i="18"/>
  <c r="Q100" i="18"/>
  <c r="Q142" i="18"/>
  <c r="W42" i="18"/>
  <c r="Q98" i="18"/>
  <c r="Q118" i="18"/>
  <c r="Q144" i="18"/>
  <c r="FO5" i="6"/>
  <c r="W117" i="18"/>
  <c r="W39" i="18"/>
  <c r="Q114" i="18"/>
  <c r="Q103" i="18"/>
  <c r="Q99" i="18"/>
  <c r="Q143" i="18"/>
  <c r="W114" i="18"/>
  <c r="Q117" i="18"/>
  <c r="Q96" i="18"/>
  <c r="U21" i="18"/>
  <c r="H11" i="3"/>
  <c r="V124" i="18" l="1"/>
  <c r="U60" i="18"/>
  <c r="U68" i="18"/>
  <c r="T40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HH11" i="6"/>
  <c r="O11" i="6"/>
  <c r="X11" i="6"/>
  <c r="EX11" i="6"/>
  <c r="DX11" i="6"/>
  <c r="DP11" i="6"/>
  <c r="DT11" i="6"/>
  <c r="JR11" i="6"/>
  <c r="JF11" i="6"/>
  <c r="CM11" i="6"/>
  <c r="CI11" i="6"/>
  <c r="JB11" i="6"/>
  <c r="AX11" i="6"/>
  <c r="IN11" i="6"/>
  <c r="P11" i="6"/>
  <c r="CW11" i="6"/>
  <c r="AC11" i="6"/>
  <c r="HM11" i="6"/>
  <c r="DK11" i="6"/>
  <c r="JH11" i="6"/>
  <c r="BJ11" i="6"/>
  <c r="AL11" i="6"/>
  <c r="BM11" i="6"/>
  <c r="U11" i="6"/>
  <c r="DC11" i="6"/>
  <c r="CX11" i="6"/>
  <c r="BR11" i="6"/>
  <c r="KB11" i="6"/>
  <c r="CL11" i="6"/>
  <c r="FU11" i="6"/>
  <c r="GL11" i="6"/>
  <c r="BY11" i="6"/>
  <c r="HQ11" i="6"/>
  <c r="FV11" i="6"/>
  <c r="EP11" i="6"/>
  <c r="EU11" i="6"/>
  <c r="FH11" i="6"/>
  <c r="HD11" i="6"/>
  <c r="FN11" i="6"/>
  <c r="CK11" i="6"/>
  <c r="HK11" i="6"/>
  <c r="JY11" i="6"/>
  <c r="HU11" i="6"/>
  <c r="AT11" i="6"/>
  <c r="FG11" i="6"/>
  <c r="DW11" i="6"/>
  <c r="GU11" i="6"/>
  <c r="EY11" i="6"/>
  <c r="IA11" i="6"/>
  <c r="IR11" i="6"/>
  <c r="CP11" i="6"/>
  <c r="JI11" i="6"/>
  <c r="FS11" i="6"/>
  <c r="AI11" i="6"/>
  <c r="BE11" i="6"/>
  <c r="G11" i="6"/>
  <c r="IK11" i="6"/>
  <c r="IP11" i="6"/>
  <c r="EE11" i="6"/>
  <c r="HR11" i="6"/>
  <c r="AU11" i="6"/>
  <c r="GF11" i="6"/>
  <c r="IB11" i="6"/>
  <c r="HS11" i="6"/>
  <c r="EF11" i="6"/>
  <c r="AP11" i="6"/>
  <c r="DG11" i="6"/>
  <c r="BC11" i="6"/>
  <c r="EL11" i="6"/>
  <c r="FZ11" i="6"/>
  <c r="DZ11" i="6"/>
  <c r="W11" i="6"/>
  <c r="HP11" i="6"/>
  <c r="BW11" i="6"/>
  <c r="FJ11" i="6"/>
  <c r="EK11" i="6"/>
  <c r="Z11" i="6"/>
  <c r="GA11" i="6"/>
  <c r="DU11" i="6"/>
  <c r="JV11" i="6"/>
  <c r="JP11" i="6"/>
  <c r="GZ11" i="6"/>
  <c r="CH11" i="6"/>
  <c r="JK11" i="6"/>
  <c r="JL11" i="6"/>
  <c r="S11" i="6"/>
  <c r="HO11" i="6"/>
  <c r="CF11" i="6"/>
  <c r="IU11" i="6"/>
  <c r="EQ11" i="6"/>
  <c r="DD11" i="6"/>
  <c r="R11" i="6"/>
  <c r="JC11" i="6"/>
  <c r="HJ11" i="6"/>
  <c r="BT11" i="6"/>
  <c r="JJ11" i="6"/>
  <c r="KA11" i="6"/>
  <c r="DQ11" i="6"/>
  <c r="J11" i="6"/>
  <c r="AO11" i="6"/>
  <c r="IH11" i="6"/>
  <c r="FC11" i="6"/>
  <c r="CU11" i="6"/>
  <c r="CS11" i="6"/>
  <c r="IG11" i="6"/>
  <c r="HA11" i="6"/>
  <c r="CC11" i="6"/>
  <c r="GY11" i="6"/>
  <c r="EV11" i="6"/>
  <c r="GO11" i="6"/>
  <c r="BV11" i="6"/>
  <c r="ES11" i="6"/>
  <c r="IE11" i="6"/>
  <c r="IY11" i="6"/>
  <c r="CD11" i="6"/>
  <c r="CN11" i="6"/>
  <c r="AR11" i="6"/>
  <c r="II11" i="6"/>
  <c r="AV11" i="6"/>
  <c r="IC11" i="6"/>
  <c r="BI11" i="6"/>
  <c r="HY11" i="6"/>
  <c r="FR11" i="6"/>
  <c r="JS11" i="6"/>
  <c r="JO11" i="6"/>
  <c r="GB11" i="6"/>
  <c r="FY11" i="6"/>
  <c r="AY11" i="6"/>
  <c r="GP11" i="6"/>
  <c r="EG11" i="6"/>
  <c r="HB11" i="6"/>
  <c r="CG11" i="6"/>
  <c r="EA11" i="6"/>
  <c r="IQ11" i="6"/>
  <c r="DN11" i="6"/>
  <c r="GI11" i="6"/>
  <c r="IW11" i="6"/>
  <c r="BD11" i="6"/>
  <c r="HI11" i="6"/>
  <c r="AK11" i="6"/>
  <c r="DJ11" i="6"/>
  <c r="DV11" i="6"/>
  <c r="GS11" i="6"/>
  <c r="FB11" i="6"/>
  <c r="Q11" i="6"/>
  <c r="KF11" i="6"/>
  <c r="CA11" i="6"/>
  <c r="BF11" i="6"/>
  <c r="M11" i="6"/>
  <c r="BA11" i="6"/>
  <c r="AB11" i="6"/>
  <c r="GC11" i="6"/>
  <c r="CT11" i="6"/>
  <c r="H11" i="6"/>
  <c r="IT11" i="6"/>
  <c r="HZ11" i="6"/>
  <c r="FQ11" i="6"/>
  <c r="AH11" i="6"/>
  <c r="EN11" i="6"/>
  <c r="BB11" i="6"/>
  <c r="HT11" i="6"/>
  <c r="DR11" i="6"/>
  <c r="F11" i="6"/>
  <c r="BZ11" i="6"/>
  <c r="FO11" i="6"/>
  <c r="IJ11" i="6"/>
  <c r="I11" i="6"/>
  <c r="T11" i="6"/>
  <c r="JZ11" i="6"/>
  <c r="AW11" i="6"/>
  <c r="DI11" i="6"/>
  <c r="GN11" i="6"/>
  <c r="BQ11" i="6"/>
  <c r="V11" i="6"/>
  <c r="AE11" i="6"/>
  <c r="GJ11" i="6"/>
  <c r="BS11" i="6"/>
  <c r="BG11" i="6"/>
  <c r="EH11" i="6"/>
  <c r="FP11" i="6"/>
  <c r="CJ11" i="6"/>
  <c r="CR11" i="6"/>
  <c r="AN11" i="6"/>
  <c r="N11" i="6"/>
  <c r="FW11" i="6"/>
  <c r="HX11" i="6"/>
  <c r="JQ11" i="6"/>
  <c r="Y11" i="6"/>
  <c r="HG11" i="6"/>
  <c r="DF11" i="6"/>
  <c r="FL11" i="6"/>
  <c r="AS11" i="6"/>
  <c r="CY11" i="6"/>
  <c r="KD11" i="6"/>
  <c r="GX11" i="6"/>
  <c r="IF11" i="6"/>
  <c r="ED11" i="6"/>
  <c r="AZ11" i="6"/>
  <c r="JW11" i="6"/>
  <c r="EO11" i="6"/>
  <c r="EM11" i="6"/>
  <c r="GE11" i="6"/>
  <c r="CB11" i="6"/>
  <c r="DL11" i="6"/>
  <c r="IO11" i="6"/>
  <c r="GV11" i="6"/>
  <c r="ER11" i="6"/>
  <c r="FX11" i="6"/>
  <c r="HF11" i="6"/>
  <c r="GR11" i="6"/>
  <c r="K11" i="6"/>
  <c r="GH11" i="6"/>
  <c r="AJ11" i="6"/>
  <c r="GQ11" i="6"/>
  <c r="JD11" i="6"/>
  <c r="AG11" i="6"/>
  <c r="CE11" i="6"/>
  <c r="BO11" i="6"/>
  <c r="AQ11" i="6"/>
  <c r="FK11" i="6"/>
  <c r="JN11" i="6"/>
  <c r="HL11" i="6"/>
  <c r="KC11" i="6"/>
  <c r="BN11" i="6"/>
  <c r="FI11" i="6"/>
  <c r="DB11" i="6"/>
  <c r="GT11" i="6"/>
  <c r="HW11" i="6"/>
  <c r="IM11" i="6"/>
  <c r="CO11" i="6"/>
  <c r="DY11" i="6"/>
  <c r="CZ11" i="6"/>
  <c r="DS11" i="6"/>
  <c r="EZ11" i="6"/>
  <c r="AF11" i="6"/>
  <c r="KE11" i="6"/>
  <c r="IZ11" i="6"/>
  <c r="ET11" i="6"/>
  <c r="EI11" i="6"/>
  <c r="FE11" i="6"/>
  <c r="BU11" i="6"/>
  <c r="GM11" i="6"/>
  <c r="FM11" i="6"/>
  <c r="FA11" i="6"/>
  <c r="BK11" i="6"/>
  <c r="AA11" i="6"/>
  <c r="ID11" i="6"/>
  <c r="BX11" i="6"/>
  <c r="EW11" i="6"/>
  <c r="DO11" i="6"/>
  <c r="GD11" i="6"/>
  <c r="CV11" i="6"/>
  <c r="GG11" i="6"/>
  <c r="BH11" i="6"/>
  <c r="DA11" i="6"/>
  <c r="JM11" i="6"/>
  <c r="IL11" i="6"/>
  <c r="L11" i="6"/>
  <c r="HE11" i="6"/>
  <c r="IV11" i="6"/>
  <c r="BP11" i="6"/>
  <c r="AD11" i="6"/>
  <c r="JG11" i="6"/>
  <c r="HV11" i="6"/>
  <c r="EC11" i="6"/>
  <c r="HN11" i="6"/>
  <c r="CQ11" i="6"/>
  <c r="IX11" i="6"/>
  <c r="GK11" i="6"/>
  <c r="JA11" i="6"/>
  <c r="GW11" i="6"/>
  <c r="DH11" i="6"/>
  <c r="FD11" i="6"/>
  <c r="JT11" i="6"/>
  <c r="JU11" i="6"/>
  <c r="EB11" i="6"/>
  <c r="DE11" i="6"/>
  <c r="IS11" i="6"/>
  <c r="EJ11" i="6"/>
  <c r="HC11" i="6"/>
  <c r="FT11" i="6"/>
  <c r="FF11" i="6"/>
  <c r="JE11" i="6"/>
  <c r="DM11" i="6"/>
  <c r="JX11" i="6"/>
  <c r="AM11" i="6"/>
  <c r="BL11" i="6"/>
  <c r="F11" i="3"/>
  <c r="F5" i="3" s="1"/>
  <c r="D5" i="5" s="1"/>
  <c r="I2" i="18"/>
  <c r="F25" i="3" s="1"/>
  <c r="U41" i="18"/>
  <c r="U43" i="18"/>
  <c r="V6" i="18"/>
  <c r="DB5" i="6"/>
  <c r="IU5" i="6"/>
  <c r="EN5" i="6"/>
  <c r="HR5" i="6"/>
  <c r="DD5" i="6"/>
  <c r="IF5" i="6"/>
  <c r="EW5" i="6"/>
  <c r="FX5" i="6"/>
  <c r="IW5" i="6"/>
  <c r="JU5" i="6"/>
  <c r="CQ5" i="6"/>
  <c r="JH5" i="6"/>
  <c r="HO5" i="6"/>
  <c r="ES5" i="6"/>
  <c r="AP5" i="6"/>
  <c r="GO5" i="6"/>
  <c r="IH5" i="6"/>
  <c r="JC5" i="6"/>
  <c r="FJ5" i="6"/>
  <c r="GG5" i="6"/>
  <c r="GX5" i="6"/>
  <c r="AA5" i="6"/>
  <c r="GY5" i="6"/>
  <c r="BW5" i="6"/>
  <c r="AE5" i="6"/>
  <c r="CN5" i="6"/>
  <c r="FV5" i="6"/>
  <c r="U5" i="6"/>
  <c r="DO5" i="6"/>
  <c r="FS5" i="6"/>
  <c r="AF5" i="6"/>
  <c r="IV5" i="6"/>
  <c r="HU5" i="6"/>
  <c r="FU5" i="6"/>
  <c r="FH5" i="6"/>
  <c r="T5" i="6"/>
  <c r="J5" i="6"/>
  <c r="L5" i="6"/>
  <c r="CF5" i="6"/>
  <c r="AQ5" i="6"/>
  <c r="IO5" i="6"/>
  <c r="GM5" i="6"/>
  <c r="GB5" i="6"/>
  <c r="BI5" i="6"/>
  <c r="FN5" i="6"/>
  <c r="S5" i="6"/>
  <c r="BE5" i="6"/>
  <c r="BD5" i="6"/>
  <c r="JW5" i="6"/>
  <c r="EY5" i="6"/>
  <c r="IK5" i="6"/>
  <c r="DN5" i="6"/>
  <c r="IQ5" i="6"/>
  <c r="JN5" i="6"/>
  <c r="JP5" i="6"/>
  <c r="JG5" i="6"/>
  <c r="AV5" i="6"/>
  <c r="JX5" i="6"/>
  <c r="HB5" i="6"/>
  <c r="HT5" i="6"/>
  <c r="FC5" i="6"/>
  <c r="HG5" i="6"/>
  <c r="HX5" i="6"/>
  <c r="HP5" i="6"/>
  <c r="IB5" i="6"/>
  <c r="GL5" i="6"/>
  <c r="CZ5" i="6"/>
  <c r="CC5" i="6"/>
  <c r="AM5" i="6"/>
  <c r="GW5" i="6"/>
  <c r="JI5" i="6"/>
  <c r="FA5" i="6"/>
  <c r="EI5" i="6"/>
  <c r="CO5" i="6"/>
  <c r="JS5" i="6"/>
  <c r="EP5" i="6"/>
  <c r="FR5" i="6"/>
  <c r="IZ5" i="6"/>
  <c r="GZ5" i="6"/>
  <c r="DH5" i="6"/>
  <c r="AC5" i="6"/>
  <c r="HI5" i="6"/>
  <c r="FY5" i="6"/>
  <c r="ER5" i="6"/>
  <c r="AH5" i="6"/>
  <c r="EV5" i="6"/>
  <c r="DZ5" i="6"/>
  <c r="HH5" i="6"/>
  <c r="Q5" i="6"/>
  <c r="EA5" i="6"/>
  <c r="EU5" i="6"/>
  <c r="HA5" i="6"/>
  <c r="IX5" i="6"/>
  <c r="JB5" i="6"/>
  <c r="GF5" i="6"/>
  <c r="GR5" i="6"/>
  <c r="II5" i="6"/>
  <c r="EB5" i="6"/>
  <c r="HJ5" i="6"/>
  <c r="Z5" i="6"/>
  <c r="HW5" i="6"/>
  <c r="AK5" i="6"/>
  <c r="EX5" i="6"/>
  <c r="CH5" i="6"/>
  <c r="EL5" i="6"/>
  <c r="R5" i="6"/>
  <c r="IJ5" i="6"/>
  <c r="AR5" i="6"/>
  <c r="BV5" i="6"/>
  <c r="DQ5" i="6"/>
  <c r="DM5" i="6"/>
  <c r="F5" i="6"/>
  <c r="EK5" i="6"/>
  <c r="GA5" i="6"/>
  <c r="M5" i="6"/>
  <c r="JE5" i="6"/>
  <c r="BQ5" i="6"/>
  <c r="AS5" i="6"/>
  <c r="BF5" i="6"/>
  <c r="BP5" i="6"/>
  <c r="BR5" i="6"/>
  <c r="HF5" i="6"/>
  <c r="CG5" i="6"/>
  <c r="IY5" i="6"/>
  <c r="DF5" i="6"/>
  <c r="AO5" i="6"/>
  <c r="AG5" i="6"/>
  <c r="CE5" i="6"/>
  <c r="FK5" i="6"/>
  <c r="HK5" i="6"/>
  <c r="V5" i="6"/>
  <c r="EF5" i="6"/>
  <c r="IN5" i="6"/>
  <c r="DS5" i="6"/>
  <c r="FD5" i="6"/>
  <c r="FQ5" i="6"/>
  <c r="IM5" i="6"/>
  <c r="AU5" i="6"/>
  <c r="GV5" i="6"/>
  <c r="H5" i="6"/>
  <c r="CI5" i="6"/>
  <c r="AW5" i="6"/>
  <c r="IP5" i="6"/>
  <c r="JQ5" i="6"/>
  <c r="DC5" i="6"/>
  <c r="ID5" i="6"/>
  <c r="GC5" i="6"/>
  <c r="GQ5" i="6"/>
  <c r="HN5" i="6"/>
  <c r="DX5" i="6"/>
  <c r="KE5" i="6"/>
  <c r="AJ5" i="6"/>
  <c r="CB5" i="6"/>
  <c r="DK5" i="6"/>
  <c r="JD5" i="6"/>
  <c r="JV5" i="6"/>
  <c r="CY5" i="6"/>
  <c r="FT5" i="6"/>
  <c r="BJ5" i="6"/>
  <c r="EH5" i="6"/>
  <c r="FI5" i="6"/>
  <c r="FG5" i="6"/>
  <c r="DU5" i="6"/>
  <c r="CS5" i="6"/>
  <c r="AY5" i="6"/>
  <c r="BY5" i="6"/>
  <c r="GT5" i="6"/>
  <c r="HV5" i="6"/>
  <c r="GD5" i="6"/>
  <c r="EQ5" i="6"/>
  <c r="ET5" i="6"/>
  <c r="GU5" i="6"/>
  <c r="BG5" i="6"/>
  <c r="JT5" i="6"/>
  <c r="BX5" i="6"/>
  <c r="GJ5" i="6"/>
  <c r="CX5" i="6"/>
  <c r="DG5" i="6"/>
  <c r="K5" i="6"/>
  <c r="GK5" i="6"/>
  <c r="AD5" i="6"/>
  <c r="BS5" i="6"/>
  <c r="JA5" i="6"/>
  <c r="EO5" i="6"/>
  <c r="DY5" i="6"/>
  <c r="FW5" i="6"/>
  <c r="BU5" i="6"/>
  <c r="BA5" i="6"/>
  <c r="AZ5" i="6"/>
  <c r="IC5" i="6"/>
  <c r="AL5" i="6"/>
  <c r="EM5" i="6"/>
  <c r="CV5" i="6"/>
  <c r="CK5" i="6"/>
  <c r="FF5" i="6"/>
  <c r="FL5" i="6"/>
  <c r="DW5" i="6"/>
  <c r="N5" i="6"/>
  <c r="CW5" i="6"/>
  <c r="DT5" i="6"/>
  <c r="AN5" i="6"/>
  <c r="BN5" i="6"/>
  <c r="EJ5" i="6"/>
  <c r="BL5" i="6"/>
  <c r="DE5" i="6"/>
  <c r="JK5" i="6"/>
  <c r="G5" i="6"/>
  <c r="BK5" i="6"/>
  <c r="FB5" i="6"/>
  <c r="EE5" i="6"/>
  <c r="KB5" i="6"/>
  <c r="IE5" i="6"/>
  <c r="DR5" i="6"/>
  <c r="FP5" i="6"/>
  <c r="HL5" i="6"/>
  <c r="DI5" i="6"/>
  <c r="IG5" i="6"/>
  <c r="HE5" i="6"/>
  <c r="KC5" i="6"/>
  <c r="GI5" i="6"/>
  <c r="DV5" i="6"/>
  <c r="AT5" i="6"/>
  <c r="DP5" i="6"/>
  <c r="HY5" i="6"/>
  <c r="KA5" i="6"/>
  <c r="BH5" i="6"/>
  <c r="KF5" i="6"/>
  <c r="JY5" i="6"/>
  <c r="I5" i="6"/>
  <c r="HC5" i="6"/>
  <c r="BM5" i="6"/>
  <c r="EG5" i="6"/>
  <c r="IA5" i="6"/>
  <c r="X5" i="6"/>
  <c r="CL5" i="6"/>
  <c r="JM5" i="6"/>
  <c r="BC5" i="6"/>
  <c r="CP5" i="6"/>
  <c r="JR5" i="6"/>
  <c r="IT5" i="6"/>
  <c r="AI5" i="6"/>
  <c r="JJ5" i="6"/>
  <c r="JO5" i="6"/>
  <c r="W5" i="6"/>
  <c r="AX5" i="6"/>
  <c r="JZ5" i="6"/>
  <c r="HM5" i="6"/>
  <c r="P5" i="6"/>
  <c r="DA5" i="6"/>
  <c r="KD5" i="6"/>
  <c r="HD5" i="6"/>
  <c r="IL5" i="6"/>
  <c r="AB5" i="6"/>
  <c r="JF5" i="6"/>
  <c r="GE5" i="6"/>
  <c r="HZ5" i="6"/>
  <c r="GN5" i="6"/>
  <c r="CU5" i="6"/>
  <c r="CM5" i="6"/>
  <c r="BZ5" i="6"/>
  <c r="BT5" i="6"/>
  <c r="CJ5" i="6"/>
  <c r="CA5" i="6"/>
  <c r="O5" i="6"/>
  <c r="GS5" i="6"/>
  <c r="GP5" i="6"/>
  <c r="BB5" i="6"/>
  <c r="DJ5" i="6"/>
  <c r="BO5" i="6"/>
  <c r="CR5" i="6"/>
  <c r="ED5" i="6"/>
  <c r="EC5" i="6"/>
  <c r="JL5" i="6"/>
  <c r="EZ5" i="6"/>
  <c r="DL5" i="6"/>
  <c r="GH5" i="6"/>
  <c r="CD5" i="6"/>
  <c r="CT5" i="6"/>
  <c r="FZ5" i="6"/>
  <c r="U96" i="18"/>
  <c r="X95" i="18"/>
  <c r="U98" i="18" s="1"/>
  <c r="U144" i="18"/>
  <c r="U117" i="18"/>
  <c r="U118" i="18"/>
  <c r="U119" i="18"/>
  <c r="BT17" i="6"/>
  <c r="CN17" i="6"/>
  <c r="GG17" i="6"/>
  <c r="BA17" i="6"/>
  <c r="BC17" i="6"/>
  <c r="AE17" i="6"/>
  <c r="AO17" i="6"/>
  <c r="U142" i="18"/>
  <c r="U42" i="18"/>
  <c r="U100" i="18"/>
  <c r="U103" i="18"/>
  <c r="U143" i="18"/>
  <c r="T116" i="18"/>
  <c r="ET17" i="6" s="1"/>
  <c r="T41" i="18"/>
  <c r="HO17" i="6" s="1"/>
  <c r="U99" i="18"/>
  <c r="U37" i="18"/>
  <c r="J11" i="3"/>
  <c r="BO17" i="6" l="1"/>
  <c r="FM17" i="6"/>
  <c r="BZ17" i="6"/>
  <c r="W4" i="5"/>
  <c r="AC17" i="6"/>
  <c r="F17" i="6"/>
  <c r="F18" i="6" s="1"/>
  <c r="IY17" i="6"/>
  <c r="ES17" i="6"/>
  <c r="CI17" i="6"/>
  <c r="JB17" i="6"/>
  <c r="HV17" i="6"/>
  <c r="FG17" i="6"/>
  <c r="JV17" i="6"/>
  <c r="GK17" i="6"/>
  <c r="DK17" i="6"/>
  <c r="DP17" i="6"/>
  <c r="GC17" i="6"/>
  <c r="AH17" i="6"/>
  <c r="U4" i="5"/>
  <c r="AB17" i="6"/>
  <c r="HI17" i="6"/>
  <c r="CL17" i="6"/>
  <c r="EI17" i="6"/>
  <c r="AJ17" i="6"/>
  <c r="FX17" i="6"/>
  <c r="GA17" i="6"/>
  <c r="GI17" i="6"/>
  <c r="CY17" i="6"/>
  <c r="CQ17" i="6"/>
  <c r="BS17" i="6"/>
  <c r="IW17" i="6"/>
  <c r="GW17" i="6"/>
  <c r="FH17" i="6"/>
  <c r="M17" i="6"/>
  <c r="EX17" i="6"/>
  <c r="JK17" i="6"/>
  <c r="GS17" i="6"/>
  <c r="FB17" i="6"/>
  <c r="FY17" i="6"/>
  <c r="IH17" i="6"/>
  <c r="N17" i="6"/>
  <c r="IB17" i="6"/>
  <c r="FA17" i="6"/>
  <c r="CM17" i="6"/>
  <c r="HL17" i="6"/>
  <c r="GV17" i="6"/>
  <c r="KD17" i="6"/>
  <c r="CE17" i="6"/>
  <c r="HT17" i="6"/>
  <c r="CR17" i="6"/>
  <c r="HX17" i="6"/>
  <c r="L17" i="6"/>
  <c r="IN17" i="6"/>
  <c r="CS17" i="6"/>
  <c r="HJ17" i="6"/>
  <c r="GP17" i="6"/>
  <c r="EL17" i="6"/>
  <c r="X17" i="6"/>
  <c r="DT17" i="6"/>
  <c r="JE17" i="6"/>
  <c r="FR17" i="6"/>
  <c r="S17" i="6"/>
  <c r="EQ17" i="6"/>
  <c r="AW17" i="6"/>
  <c r="JD17" i="6"/>
  <c r="IG17" i="6"/>
  <c r="DB17" i="6"/>
  <c r="JP17" i="6"/>
  <c r="DX17" i="6"/>
  <c r="IP17" i="6"/>
  <c r="FN17" i="6"/>
  <c r="FW17" i="6"/>
  <c r="BJ17" i="6"/>
  <c r="T17" i="6"/>
  <c r="DZ17" i="6"/>
  <c r="FU17" i="6"/>
  <c r="IL17" i="6"/>
  <c r="IJ17" i="6"/>
  <c r="GB17" i="6"/>
  <c r="DW17" i="6"/>
  <c r="JS17" i="6"/>
  <c r="JA17" i="6"/>
  <c r="HK17" i="6"/>
  <c r="CU17" i="6"/>
  <c r="EP17" i="6"/>
  <c r="CC17" i="6"/>
  <c r="BY17" i="6"/>
  <c r="AI17" i="6"/>
  <c r="II17" i="6"/>
  <c r="HG17" i="6"/>
  <c r="GN17" i="6"/>
  <c r="AK17" i="6"/>
  <c r="DY17" i="6"/>
  <c r="BG17" i="6"/>
  <c r="CH17" i="6"/>
  <c r="EK17" i="6"/>
  <c r="GD17" i="6"/>
  <c r="EC17" i="6"/>
  <c r="BX17" i="6"/>
  <c r="JT17" i="6"/>
  <c r="V17" i="6"/>
  <c r="JI17" i="6"/>
  <c r="BU17" i="6"/>
  <c r="AV17" i="6"/>
  <c r="BP17" i="6"/>
  <c r="JY17" i="6"/>
  <c r="KB17" i="6"/>
  <c r="HS17" i="6"/>
  <c r="HQ17" i="6"/>
  <c r="Q17" i="6"/>
  <c r="AS17" i="6"/>
  <c r="J17" i="6"/>
  <c r="IO17" i="6"/>
  <c r="KE17" i="6"/>
  <c r="JH17" i="6"/>
  <c r="BF17" i="6"/>
  <c r="AF17" i="6"/>
  <c r="K17" i="6"/>
  <c r="CB17" i="6"/>
  <c r="CF17" i="6"/>
  <c r="IV17" i="6"/>
  <c r="O17" i="6"/>
  <c r="CJ17" i="6"/>
  <c r="DQ17" i="6"/>
  <c r="GJ17" i="6"/>
  <c r="GR17" i="6"/>
  <c r="BR17" i="6"/>
  <c r="BB17" i="6"/>
  <c r="HN17" i="6"/>
  <c r="KF17" i="6"/>
  <c r="DA17" i="6"/>
  <c r="FI17" i="6"/>
  <c r="JL17" i="6"/>
  <c r="HH17" i="6"/>
  <c r="ID17" i="6"/>
  <c r="GF17" i="6"/>
  <c r="IC17" i="6"/>
  <c r="JM17" i="6"/>
  <c r="F12" i="6"/>
  <c r="D11" i="6"/>
  <c r="JF17" i="6"/>
  <c r="CD17" i="6"/>
  <c r="R17" i="6"/>
  <c r="FK17" i="6"/>
  <c r="HB17" i="6"/>
  <c r="GE17" i="6"/>
  <c r="GO17" i="6"/>
  <c r="JN17" i="6"/>
  <c r="DS17" i="6"/>
  <c r="DO17" i="6"/>
  <c r="BI17" i="6"/>
  <c r="FO17" i="6"/>
  <c r="EA17" i="6"/>
  <c r="FC17" i="6"/>
  <c r="JJ17" i="6"/>
  <c r="BE17" i="6"/>
  <c r="GT17" i="6"/>
  <c r="EJ17" i="6"/>
  <c r="EE17" i="6"/>
  <c r="EV17" i="6"/>
  <c r="DC17" i="6"/>
  <c r="AX17" i="6"/>
  <c r="HF17" i="6"/>
  <c r="GY17" i="6"/>
  <c r="CA17" i="6"/>
  <c r="EU17" i="6"/>
  <c r="IS17" i="6"/>
  <c r="EH17" i="6"/>
  <c r="DG17" i="6"/>
  <c r="FE17" i="6"/>
  <c r="GQ17" i="6"/>
  <c r="JU17" i="6"/>
  <c r="IR17" i="6"/>
  <c r="GZ17" i="6"/>
  <c r="IX17" i="6"/>
  <c r="IZ17" i="6"/>
  <c r="IT17" i="6"/>
  <c r="FV17" i="6"/>
  <c r="C5" i="6"/>
  <c r="D6" i="5"/>
  <c r="FD17" i="6"/>
  <c r="CW17" i="6"/>
  <c r="IK17" i="6"/>
  <c r="HA17" i="6"/>
  <c r="HZ17" i="6"/>
  <c r="CV17" i="6"/>
  <c r="BK17" i="6"/>
  <c r="HD17" i="6"/>
  <c r="H17" i="6"/>
  <c r="JR17" i="6"/>
  <c r="JO17" i="6"/>
  <c r="FZ17" i="6"/>
  <c r="HW17" i="6"/>
  <c r="AR17" i="6"/>
  <c r="DH17" i="6"/>
  <c r="DD17" i="6"/>
  <c r="HR17" i="6"/>
  <c r="JX17" i="6"/>
  <c r="IM17" i="6"/>
  <c r="BW17" i="6"/>
  <c r="AQ17" i="6"/>
  <c r="EM17" i="6"/>
  <c r="GH17" i="6"/>
  <c r="JW17" i="6"/>
  <c r="CG17" i="6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DV17" i="6"/>
  <c r="BD17" i="6"/>
  <c r="EB17" i="6"/>
  <c r="BM17" i="6"/>
  <c r="BL17" i="6"/>
  <c r="G17" i="6"/>
  <c r="DF17" i="6"/>
  <c r="DU17" i="6"/>
  <c r="ER17" i="6"/>
  <c r="DJ17" i="6"/>
  <c r="EW17" i="6"/>
  <c r="EY17" i="6"/>
  <c r="DN17" i="6"/>
  <c r="JG17" i="6"/>
  <c r="IA17" i="6"/>
  <c r="KA17" i="6"/>
  <c r="JC17" i="6"/>
  <c r="HE17" i="6"/>
  <c r="FT17" i="6"/>
  <c r="FS17" i="6"/>
  <c r="HP17" i="6"/>
  <c r="Y17" i="6"/>
  <c r="CK17" i="6"/>
  <c r="DM17" i="6"/>
  <c r="ED17" i="6"/>
  <c r="CT17" i="6"/>
  <c r="D5" i="6"/>
  <c r="F6" i="6"/>
  <c r="U102" i="18"/>
  <c r="CX17" i="6"/>
  <c r="IF17" i="6"/>
  <c r="BQ17" i="6"/>
  <c r="BH17" i="6"/>
  <c r="EG17" i="6"/>
  <c r="FP17" i="6"/>
  <c r="IQ17" i="6"/>
  <c r="FQ17" i="6"/>
  <c r="DE17" i="6"/>
  <c r="AA17" i="6"/>
  <c r="EZ17" i="6"/>
  <c r="IU17" i="6"/>
  <c r="I17" i="6"/>
  <c r="P17" i="6"/>
  <c r="AM17" i="6"/>
  <c r="EO17" i="6"/>
  <c r="DI17" i="6"/>
  <c r="JQ17" i="6"/>
  <c r="HY17" i="6"/>
  <c r="JZ17" i="6"/>
  <c r="GM17" i="6"/>
  <c r="FF17" i="6"/>
  <c r="AL17" i="6"/>
  <c r="EF17" i="6"/>
  <c r="HC17" i="6"/>
  <c r="BV17" i="6"/>
  <c r="DR17" i="6"/>
  <c r="DL17" i="6"/>
  <c r="GU17" i="6"/>
  <c r="AZ17" i="6"/>
  <c r="CP17" i="6"/>
  <c r="IE17" i="6"/>
  <c r="AY17" i="6"/>
  <c r="FL17" i="6"/>
  <c r="AN17" i="6"/>
  <c r="CO17" i="6"/>
  <c r="W17" i="6"/>
  <c r="AG17" i="6"/>
  <c r="EN17" i="6"/>
  <c r="AP17" i="6"/>
  <c r="CZ17" i="6"/>
  <c r="KC17" i="6"/>
  <c r="FJ17" i="6"/>
  <c r="GL17" i="6"/>
  <c r="AU17" i="6"/>
  <c r="AT17" i="6"/>
  <c r="BN17" i="6"/>
  <c r="GX17" i="6"/>
  <c r="HU17" i="6"/>
  <c r="HM17" i="6"/>
  <c r="U110" i="18"/>
  <c r="U120" i="18"/>
  <c r="U112" i="18"/>
  <c r="H18" i="3"/>
  <c r="J18" i="3" s="1"/>
  <c r="U109" i="18"/>
  <c r="U121" i="18"/>
  <c r="U113" i="18"/>
  <c r="U108" i="18"/>
  <c r="U111" i="18"/>
  <c r="U115" i="18"/>
  <c r="Z17" i="6" s="1"/>
  <c r="U116" i="18"/>
  <c r="AD17" i="6" l="1"/>
  <c r="U17" i="6"/>
  <c r="V141" i="18"/>
  <c r="V95" i="18"/>
  <c r="V4" i="5"/>
  <c r="J17" i="3"/>
  <c r="J5" i="3" s="1"/>
  <c r="H5" i="3"/>
  <c r="F14" i="6"/>
  <c r="G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G6" i="6"/>
  <c r="F7" i="6"/>
  <c r="D7" i="5"/>
  <c r="G6" i="5"/>
  <c r="V108" i="18"/>
  <c r="U168" i="18"/>
  <c r="T4" i="5"/>
  <c r="D17" i="6" l="1"/>
  <c r="U18" i="6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4" i="6"/>
  <c r="H12" i="6"/>
  <c r="F5" i="5"/>
  <c r="H25" i="3"/>
  <c r="G7" i="6"/>
  <c r="H6" i="6"/>
  <c r="C17" i="6"/>
  <c r="D18" i="6" l="1"/>
  <c r="C18" i="6" s="1"/>
  <c r="I6" i="6"/>
  <c r="H7" i="6"/>
  <c r="H14" i="6"/>
  <c r="I12" i="6"/>
  <c r="C11" i="6"/>
  <c r="F6" i="5"/>
  <c r="F7" i="5" s="1"/>
  <c r="J12" i="6" l="1"/>
  <c r="I14" i="6"/>
  <c r="J6" i="6"/>
  <c r="I7" i="6"/>
  <c r="K12" i="6" l="1"/>
  <c r="J14" i="6"/>
  <c r="K6" i="6"/>
  <c r="J7" i="6"/>
  <c r="L6" i="6" l="1"/>
  <c r="K7" i="6"/>
  <c r="L12" i="6"/>
  <c r="K14" i="6"/>
  <c r="L14" i="6" l="1"/>
  <c r="M12" i="6"/>
  <c r="M6" i="6"/>
  <c r="L7" i="6"/>
  <c r="M14" i="6" l="1"/>
  <c r="N12" i="6"/>
  <c r="M7" i="6"/>
  <c r="N6" i="6"/>
  <c r="N7" i="6" l="1"/>
  <c r="O6" i="6"/>
  <c r="N14" i="6"/>
  <c r="O12" i="6"/>
  <c r="P12" i="6" l="1"/>
  <c r="O14" i="6"/>
  <c r="P6" i="6"/>
  <c r="O7" i="6"/>
  <c r="P7" i="6" l="1"/>
  <c r="Q6" i="6"/>
  <c r="P14" i="6"/>
  <c r="Q12" i="6"/>
  <c r="R12" i="6" l="1"/>
  <c r="Q14" i="6"/>
  <c r="R6" i="6"/>
  <c r="Q7" i="6"/>
  <c r="S6" i="6" l="1"/>
  <c r="R7" i="6"/>
  <c r="S12" i="6"/>
  <c r="R14" i="6"/>
  <c r="T12" i="6" l="1"/>
  <c r="S14" i="6"/>
  <c r="T6" i="6"/>
  <c r="S7" i="6"/>
  <c r="U6" i="6" l="1"/>
  <c r="T7" i="6"/>
  <c r="T14" i="6"/>
  <c r="U12" i="6"/>
  <c r="U14" i="6" l="1"/>
  <c r="V12" i="6"/>
  <c r="V6" i="6"/>
  <c r="U7" i="6"/>
  <c r="W6" i="6" l="1"/>
  <c r="V7" i="6"/>
  <c r="W12" i="6"/>
  <c r="V14" i="6"/>
  <c r="X6" i="6" l="1"/>
  <c r="W7" i="6"/>
  <c r="X12" i="6"/>
  <c r="W14" i="6"/>
  <c r="X14" i="6" l="1"/>
  <c r="Y12" i="6"/>
  <c r="Y6" i="6"/>
  <c r="X7" i="6"/>
  <c r="Z6" i="6" l="1"/>
  <c r="Y7" i="6"/>
  <c r="Z12" i="6"/>
  <c r="Y14" i="6"/>
  <c r="AA12" i="6" l="1"/>
  <c r="Z14" i="6"/>
  <c r="Z7" i="6"/>
  <c r="AA6" i="6"/>
  <c r="AB6" i="6" l="1"/>
  <c r="AA7" i="6"/>
  <c r="AB12" i="6"/>
  <c r="AA14" i="6"/>
  <c r="AC12" i="6" l="1"/>
  <c r="AB14" i="6"/>
  <c r="AC6" i="6"/>
  <c r="AB7" i="6"/>
  <c r="AD6" i="6" l="1"/>
  <c r="AC7" i="6"/>
  <c r="AD12" i="6"/>
  <c r="AC14" i="6"/>
  <c r="AD14" i="6" l="1"/>
  <c r="AE12" i="6"/>
  <c r="AE6" i="6"/>
  <c r="AD7" i="6"/>
  <c r="AF6" i="6" l="1"/>
  <c r="AE7" i="6"/>
  <c r="AE14" i="6"/>
  <c r="AF12" i="6"/>
  <c r="AF14" i="6" l="1"/>
  <c r="AG12" i="6"/>
  <c r="AG6" i="6"/>
  <c r="AF7" i="6"/>
  <c r="AG14" i="6" l="1"/>
  <c r="AH12" i="6"/>
  <c r="AH6" i="6"/>
  <c r="AG7" i="6"/>
  <c r="AI6" i="6" l="1"/>
  <c r="AH7" i="6"/>
  <c r="AH14" i="6"/>
  <c r="AI12" i="6"/>
  <c r="AJ12" i="6" l="1"/>
  <c r="AI14" i="6"/>
  <c r="AJ6" i="6"/>
  <c r="AI7" i="6"/>
  <c r="AK6" i="6" l="1"/>
  <c r="AJ7" i="6"/>
  <c r="AK12" i="6"/>
  <c r="AJ14" i="6"/>
  <c r="AL12" i="6" l="1"/>
  <c r="AK14" i="6"/>
  <c r="AL6" i="6"/>
  <c r="AK7" i="6"/>
  <c r="AL7" i="6" l="1"/>
  <c r="AM6" i="6"/>
  <c r="AM12" i="6"/>
  <c r="AL14" i="6"/>
  <c r="AM14" i="6" l="1"/>
  <c r="AN12" i="6"/>
  <c r="AN6" i="6"/>
  <c r="AM7" i="6"/>
  <c r="AN7" i="6" l="1"/>
  <c r="AO6" i="6"/>
  <c r="AO12" i="6"/>
  <c r="AN14" i="6"/>
  <c r="AP6" i="6" l="1"/>
  <c r="AO7" i="6"/>
  <c r="AO14" i="6"/>
  <c r="AP12" i="6"/>
  <c r="AP14" i="6" l="1"/>
  <c r="AQ12" i="6"/>
  <c r="AQ6" i="6"/>
  <c r="AP7" i="6"/>
  <c r="AR6" i="6" l="1"/>
  <c r="AQ7" i="6"/>
  <c r="AR12" i="6"/>
  <c r="AQ14" i="6"/>
  <c r="AS6" i="6" l="1"/>
  <c r="AR7" i="6"/>
  <c r="AS12" i="6"/>
  <c r="AR14" i="6"/>
  <c r="AT6" i="6" l="1"/>
  <c r="AS7" i="6"/>
  <c r="AT12" i="6"/>
  <c r="AS14" i="6"/>
  <c r="AU6" i="6" l="1"/>
  <c r="AT7" i="6"/>
  <c r="AU12" i="6"/>
  <c r="AT14" i="6"/>
  <c r="AV12" i="6" l="1"/>
  <c r="AU14" i="6"/>
  <c r="AV6" i="6"/>
  <c r="AU7" i="6"/>
  <c r="AW6" i="6" l="1"/>
  <c r="AV7" i="6"/>
  <c r="AW12" i="6"/>
  <c r="AV14" i="6"/>
  <c r="AX12" i="6" l="1"/>
  <c r="AW14" i="6"/>
  <c r="AX6" i="6"/>
  <c r="AW7" i="6"/>
  <c r="AX7" i="6" l="1"/>
  <c r="AY6" i="6"/>
  <c r="AX14" i="6"/>
  <c r="AY12" i="6"/>
  <c r="AY14" i="6" l="1"/>
  <c r="AZ12" i="6"/>
  <c r="AZ6" i="6"/>
  <c r="AY7" i="6"/>
  <c r="AZ7" i="6" l="1"/>
  <c r="BA6" i="6"/>
  <c r="AZ14" i="6"/>
  <c r="BA12" i="6"/>
  <c r="BA14" i="6" l="1"/>
  <c r="BB12" i="6"/>
  <c r="BB6" i="6"/>
  <c r="BA7" i="6"/>
  <c r="BC6" i="6" l="1"/>
  <c r="BB7" i="6"/>
  <c r="BB14" i="6"/>
  <c r="BC12" i="6"/>
  <c r="BD12" i="6" l="1"/>
  <c r="BC14" i="6"/>
  <c r="BD6" i="6"/>
  <c r="BC7" i="6"/>
  <c r="BE6" i="6" l="1"/>
  <c r="BD7" i="6"/>
  <c r="BD14" i="6"/>
  <c r="BE12" i="6"/>
  <c r="BE14" i="6" l="1"/>
  <c r="BF12" i="6"/>
  <c r="BF6" i="6"/>
  <c r="BE7" i="6"/>
  <c r="BG6" i="6" l="1"/>
  <c r="BF7" i="6"/>
  <c r="BF14" i="6"/>
  <c r="BG12" i="6"/>
  <c r="BG14" i="6" l="1"/>
  <c r="BH12" i="6"/>
  <c r="BH6" i="6"/>
  <c r="BG7" i="6"/>
  <c r="BI6" i="6" l="1"/>
  <c r="BH7" i="6"/>
  <c r="BI12" i="6"/>
  <c r="BH14" i="6"/>
  <c r="BI14" i="6" l="1"/>
  <c r="BJ12" i="6"/>
  <c r="BJ6" i="6"/>
  <c r="BI7" i="6"/>
  <c r="BJ7" i="6" l="1"/>
  <c r="BK6" i="6"/>
  <c r="BJ14" i="6"/>
  <c r="BK12" i="6"/>
  <c r="BL12" i="6" l="1"/>
  <c r="BK14" i="6"/>
  <c r="BL6" i="6"/>
  <c r="BK7" i="6"/>
  <c r="BL7" i="6" l="1"/>
  <c r="BM6" i="6"/>
  <c r="BL14" i="6"/>
  <c r="BM12" i="6"/>
  <c r="BN12" i="6" l="1"/>
  <c r="BM14" i="6"/>
  <c r="BN6" i="6"/>
  <c r="BM7" i="6"/>
  <c r="BO6" i="6" l="1"/>
  <c r="BN7" i="6"/>
  <c r="BO12" i="6"/>
  <c r="BN14" i="6"/>
  <c r="BP12" i="6" l="1"/>
  <c r="BO14" i="6"/>
  <c r="BP6" i="6"/>
  <c r="BO7" i="6"/>
  <c r="BQ6" i="6" l="1"/>
  <c r="BP7" i="6"/>
  <c r="BQ12" i="6"/>
  <c r="BP14" i="6"/>
  <c r="BR6" i="6" l="1"/>
  <c r="BQ7" i="6"/>
  <c r="BQ14" i="6"/>
  <c r="BR12" i="6"/>
  <c r="BS12" i="6" l="1"/>
  <c r="BR14" i="6"/>
  <c r="BS6" i="6"/>
  <c r="BR7" i="6"/>
  <c r="BT6" i="6" l="1"/>
  <c r="BS7" i="6"/>
  <c r="BS14" i="6"/>
  <c r="BT12" i="6"/>
  <c r="BT14" i="6" l="1"/>
  <c r="BU12" i="6"/>
  <c r="BU6" i="6"/>
  <c r="BT7" i="6"/>
  <c r="BV6" i="6" l="1"/>
  <c r="BU7" i="6"/>
  <c r="BV12" i="6"/>
  <c r="BU14" i="6"/>
  <c r="BV7" i="6" l="1"/>
  <c r="BW6" i="6"/>
  <c r="BW12" i="6"/>
  <c r="BV14" i="6"/>
  <c r="BW14" i="6" l="1"/>
  <c r="BX12" i="6"/>
  <c r="BX6" i="6"/>
  <c r="BW7" i="6"/>
  <c r="BX14" i="6" l="1"/>
  <c r="BY12" i="6"/>
  <c r="BY6" i="6"/>
  <c r="BX7" i="6"/>
  <c r="BZ6" i="6" l="1"/>
  <c r="BY7" i="6"/>
  <c r="BY14" i="6"/>
  <c r="BZ12" i="6"/>
  <c r="CA12" i="6" l="1"/>
  <c r="BZ14" i="6"/>
  <c r="CA6" i="6"/>
  <c r="BZ7" i="6"/>
  <c r="CB6" i="6" l="1"/>
  <c r="CA7" i="6"/>
  <c r="CB12" i="6"/>
  <c r="CA14" i="6"/>
  <c r="CC12" i="6" l="1"/>
  <c r="CB14" i="6"/>
  <c r="CC6" i="6"/>
  <c r="CB7" i="6"/>
  <c r="CD6" i="6" l="1"/>
  <c r="CC7" i="6"/>
  <c r="CC14" i="6"/>
  <c r="CD12" i="6"/>
  <c r="CD14" i="6" l="1"/>
  <c r="CE12" i="6"/>
  <c r="CE6" i="6"/>
  <c r="CD7" i="6"/>
  <c r="CF6" i="6" l="1"/>
  <c r="CE7" i="6"/>
  <c r="CE14" i="6"/>
  <c r="CF12" i="6"/>
  <c r="CF14" i="6" l="1"/>
  <c r="CG12" i="6"/>
  <c r="CG6" i="6"/>
  <c r="CF7" i="6"/>
  <c r="CH6" i="6" l="1"/>
  <c r="CG7" i="6"/>
  <c r="CG14" i="6"/>
  <c r="CH12" i="6"/>
  <c r="CH14" i="6" l="1"/>
  <c r="CI12" i="6"/>
  <c r="CH7" i="6"/>
  <c r="CI6" i="6"/>
  <c r="CJ6" i="6" l="1"/>
  <c r="CI7" i="6"/>
  <c r="CJ12" i="6"/>
  <c r="CI14" i="6"/>
  <c r="CJ7" i="6" l="1"/>
  <c r="CK6" i="6"/>
  <c r="CK12" i="6"/>
  <c r="CJ14" i="6"/>
  <c r="CL6" i="6" l="1"/>
  <c r="CK7" i="6"/>
  <c r="CK14" i="6"/>
  <c r="CL12" i="6"/>
  <c r="CM12" i="6" l="1"/>
  <c r="CL14" i="6"/>
  <c r="CM6" i="6"/>
  <c r="CL7" i="6"/>
  <c r="CN6" i="6" l="1"/>
  <c r="CM7" i="6"/>
  <c r="CM14" i="6"/>
  <c r="CN12" i="6"/>
  <c r="CO12" i="6" l="1"/>
  <c r="CN14" i="6"/>
  <c r="CO6" i="6"/>
  <c r="CN7" i="6"/>
  <c r="CP6" i="6" l="1"/>
  <c r="CO7" i="6"/>
  <c r="CP12" i="6"/>
  <c r="CO14" i="6"/>
  <c r="CQ12" i="6" l="1"/>
  <c r="CP14" i="6"/>
  <c r="CQ6" i="6"/>
  <c r="CP7" i="6"/>
  <c r="CR6" i="6" l="1"/>
  <c r="CQ7" i="6"/>
  <c r="CR12" i="6"/>
  <c r="CQ14" i="6"/>
  <c r="CS12" i="6" l="1"/>
  <c r="CR14" i="6"/>
  <c r="CS6" i="6"/>
  <c r="CR7" i="6"/>
  <c r="CT6" i="6" l="1"/>
  <c r="CS7" i="6"/>
  <c r="CT12" i="6"/>
  <c r="CS14" i="6"/>
  <c r="CU12" i="6" l="1"/>
  <c r="CT14" i="6"/>
  <c r="CU6" i="6"/>
  <c r="CT7" i="6"/>
  <c r="CV6" i="6" l="1"/>
  <c r="CU7" i="6"/>
  <c r="CV12" i="6"/>
  <c r="CU14" i="6"/>
  <c r="CW12" i="6" l="1"/>
  <c r="CV14" i="6"/>
  <c r="CV7" i="6"/>
  <c r="CW6" i="6"/>
  <c r="CX6" i="6" l="1"/>
  <c r="CW7" i="6"/>
  <c r="CX12" i="6"/>
  <c r="CW14" i="6"/>
  <c r="CY12" i="6" l="1"/>
  <c r="CX14" i="6"/>
  <c r="CY6" i="6"/>
  <c r="CX7" i="6"/>
  <c r="CZ6" i="6" l="1"/>
  <c r="CY7" i="6"/>
  <c r="CY14" i="6"/>
  <c r="CZ12" i="6"/>
  <c r="DA12" i="6" l="1"/>
  <c r="CZ14" i="6"/>
  <c r="DA6" i="6"/>
  <c r="CZ7" i="6"/>
  <c r="DB6" i="6" l="1"/>
  <c r="DA7" i="6"/>
  <c r="DA14" i="6"/>
  <c r="DB12" i="6"/>
  <c r="DC12" i="6" l="1"/>
  <c r="DB14" i="6"/>
  <c r="DC6" i="6"/>
  <c r="DB7" i="6"/>
  <c r="DD6" i="6" l="1"/>
  <c r="DC7" i="6"/>
  <c r="DD12" i="6"/>
  <c r="DC14" i="6"/>
  <c r="DD14" i="6" l="1"/>
  <c r="DE12" i="6"/>
  <c r="DE6" i="6"/>
  <c r="DD7" i="6"/>
  <c r="DF6" i="6" l="1"/>
  <c r="DE7" i="6"/>
  <c r="DF12" i="6"/>
  <c r="DE14" i="6"/>
  <c r="DF14" i="6" l="1"/>
  <c r="DG12" i="6"/>
  <c r="DG6" i="6"/>
  <c r="DF7" i="6"/>
  <c r="DH6" i="6" l="1"/>
  <c r="DG7" i="6"/>
  <c r="DH12" i="6"/>
  <c r="DG14" i="6"/>
  <c r="DH14" i="6" l="1"/>
  <c r="DI12" i="6"/>
  <c r="DH7" i="6"/>
  <c r="DI6" i="6"/>
  <c r="DJ6" i="6" l="1"/>
  <c r="DI7" i="6"/>
  <c r="DJ12" i="6"/>
  <c r="DI14" i="6"/>
  <c r="DK12" i="6" l="1"/>
  <c r="DJ14" i="6"/>
  <c r="DK6" i="6"/>
  <c r="DJ7" i="6"/>
  <c r="DL6" i="6" l="1"/>
  <c r="DK7" i="6"/>
  <c r="DK14" i="6"/>
  <c r="DL12" i="6"/>
  <c r="DM12" i="6" l="1"/>
  <c r="DL14" i="6"/>
  <c r="DM6" i="6"/>
  <c r="DL7" i="6"/>
  <c r="DN6" i="6" l="1"/>
  <c r="DM7" i="6"/>
  <c r="DN12" i="6"/>
  <c r="DM14" i="6"/>
  <c r="DN14" i="6" l="1"/>
  <c r="DO12" i="6"/>
  <c r="DO6" i="6"/>
  <c r="DN7" i="6"/>
  <c r="DP6" i="6" l="1"/>
  <c r="DO7" i="6"/>
  <c r="DP12" i="6"/>
  <c r="DO14" i="6"/>
  <c r="DQ12" i="6" l="1"/>
  <c r="DP14" i="6"/>
  <c r="DQ6" i="6"/>
  <c r="DP7" i="6"/>
  <c r="DR6" i="6" l="1"/>
  <c r="DQ7" i="6"/>
  <c r="DR12" i="6"/>
  <c r="DQ14" i="6"/>
  <c r="DS6" i="6" l="1"/>
  <c r="DR7" i="6"/>
  <c r="DR14" i="6"/>
  <c r="DS12" i="6"/>
  <c r="DT12" i="6" l="1"/>
  <c r="DS14" i="6"/>
  <c r="DT6" i="6"/>
  <c r="DS7" i="6"/>
  <c r="DT14" i="6" l="1"/>
  <c r="DU12" i="6"/>
  <c r="DU6" i="6"/>
  <c r="DT7" i="6"/>
  <c r="DV6" i="6" l="1"/>
  <c r="DU7" i="6"/>
  <c r="DU14" i="6"/>
  <c r="DV12" i="6"/>
  <c r="DW6" i="6" l="1"/>
  <c r="DV7" i="6"/>
  <c r="DW12" i="6"/>
  <c r="DV14" i="6"/>
  <c r="DW14" i="6" l="1"/>
  <c r="DX12" i="6"/>
  <c r="DX6" i="6"/>
  <c r="DW7" i="6"/>
  <c r="DY6" i="6" l="1"/>
  <c r="DX7" i="6"/>
  <c r="DY12" i="6"/>
  <c r="DX14" i="6"/>
  <c r="DZ6" i="6" l="1"/>
  <c r="DY7" i="6"/>
  <c r="DY14" i="6"/>
  <c r="DZ12" i="6"/>
  <c r="DZ14" i="6" l="1"/>
  <c r="EA12" i="6"/>
  <c r="EA6" i="6"/>
  <c r="DZ7" i="6"/>
  <c r="EB6" i="6" l="1"/>
  <c r="EA7" i="6"/>
  <c r="EB12" i="6"/>
  <c r="EA14" i="6"/>
  <c r="EB14" i="6" l="1"/>
  <c r="EC12" i="6"/>
  <c r="EC6" i="6"/>
  <c r="EB7" i="6"/>
  <c r="ED6" i="6" l="1"/>
  <c r="EC7" i="6"/>
  <c r="EC14" i="6"/>
  <c r="ED12" i="6"/>
  <c r="EE6" i="6" l="1"/>
  <c r="ED7" i="6"/>
  <c r="ED14" i="6"/>
  <c r="EE12" i="6"/>
  <c r="EF6" i="6" l="1"/>
  <c r="EE7" i="6"/>
  <c r="EF12" i="6"/>
  <c r="EE14" i="6"/>
  <c r="EF14" i="6" l="1"/>
  <c r="EG12" i="6"/>
  <c r="EF7" i="6"/>
  <c r="EG6" i="6"/>
  <c r="EH6" i="6" l="1"/>
  <c r="EG7" i="6"/>
  <c r="EH12" i="6"/>
  <c r="EG14" i="6"/>
  <c r="EH14" i="6" l="1"/>
  <c r="EI12" i="6"/>
  <c r="EI6" i="6"/>
  <c r="EH7" i="6"/>
  <c r="EJ6" i="6" l="1"/>
  <c r="EI7" i="6"/>
  <c r="EJ12" i="6"/>
  <c r="EI14" i="6"/>
  <c r="EK12" i="6" l="1"/>
  <c r="EJ14" i="6"/>
  <c r="EK6" i="6"/>
  <c r="EJ7" i="6"/>
  <c r="EK14" i="6" l="1"/>
  <c r="EL12" i="6"/>
  <c r="EL6" i="6"/>
  <c r="EK7" i="6"/>
  <c r="EM6" i="6" l="1"/>
  <c r="EL7" i="6"/>
  <c r="EM12" i="6"/>
  <c r="EL14" i="6"/>
  <c r="EM14" i="6" l="1"/>
  <c r="EN12" i="6"/>
  <c r="EN6" i="6"/>
  <c r="EM7" i="6"/>
  <c r="EO6" i="6" l="1"/>
  <c r="EN7" i="6"/>
  <c r="EO12" i="6"/>
  <c r="EN14" i="6"/>
  <c r="EO14" i="6" l="1"/>
  <c r="EP12" i="6"/>
  <c r="EP6" i="6"/>
  <c r="EO7" i="6"/>
  <c r="EQ12" i="6" l="1"/>
  <c r="EP14" i="6"/>
  <c r="EQ6" i="6"/>
  <c r="EP7" i="6"/>
  <c r="ER6" i="6" l="1"/>
  <c r="EQ7" i="6"/>
  <c r="ER12" i="6"/>
  <c r="EQ14" i="6"/>
  <c r="ER14" i="6" l="1"/>
  <c r="ES12" i="6"/>
  <c r="ER7" i="6"/>
  <c r="ES6" i="6"/>
  <c r="ET6" i="6" l="1"/>
  <c r="ES7" i="6"/>
  <c r="ES14" i="6"/>
  <c r="ET12" i="6"/>
  <c r="EU12" i="6" l="1"/>
  <c r="ET14" i="6"/>
  <c r="EU6" i="6"/>
  <c r="ET7" i="6"/>
  <c r="EV6" i="6" l="1"/>
  <c r="EU7" i="6"/>
  <c r="EU14" i="6"/>
  <c r="EV12" i="6"/>
  <c r="EW12" i="6" l="1"/>
  <c r="EV14" i="6"/>
  <c r="EW6" i="6"/>
  <c r="EV7" i="6"/>
  <c r="EX6" i="6" l="1"/>
  <c r="EW7" i="6"/>
  <c r="EW14" i="6"/>
  <c r="EX12" i="6"/>
  <c r="EY12" i="6" l="1"/>
  <c r="EX14" i="6"/>
  <c r="EY6" i="6"/>
  <c r="EX7" i="6"/>
  <c r="EZ6" i="6" l="1"/>
  <c r="EY7" i="6"/>
  <c r="EZ12" i="6"/>
  <c r="EY14" i="6"/>
  <c r="EZ14" i="6" l="1"/>
  <c r="FA12" i="6"/>
  <c r="FA6" i="6"/>
  <c r="EZ7" i="6"/>
  <c r="FB6" i="6" l="1"/>
  <c r="FA7" i="6"/>
  <c r="FB12" i="6"/>
  <c r="FA14" i="6"/>
  <c r="FB14" i="6" l="1"/>
  <c r="FC12" i="6"/>
  <c r="FC6" i="6"/>
  <c r="FB7" i="6"/>
  <c r="FD6" i="6" l="1"/>
  <c r="FC7" i="6"/>
  <c r="FD12" i="6"/>
  <c r="FC14" i="6"/>
  <c r="FE12" i="6" l="1"/>
  <c r="FD14" i="6"/>
  <c r="FE6" i="6"/>
  <c r="FD7" i="6"/>
  <c r="FF6" i="6" l="1"/>
  <c r="FE7" i="6"/>
  <c r="FF12" i="6"/>
  <c r="FE14" i="6"/>
  <c r="FF14" i="6" l="1"/>
  <c r="FG12" i="6"/>
  <c r="FG6" i="6"/>
  <c r="FF7" i="6"/>
  <c r="FH6" i="6" l="1"/>
  <c r="FG7" i="6"/>
  <c r="FG14" i="6"/>
  <c r="FH12" i="6"/>
  <c r="FH14" i="6" l="1"/>
  <c r="FI12" i="6"/>
  <c r="FI6" i="6"/>
  <c r="FH7" i="6"/>
  <c r="FJ6" i="6" l="1"/>
  <c r="FI7" i="6"/>
  <c r="FI14" i="6"/>
  <c r="FJ12" i="6"/>
  <c r="FK12" i="6" l="1"/>
  <c r="FJ14" i="6"/>
  <c r="FK6" i="6"/>
  <c r="FJ7" i="6"/>
  <c r="FL6" i="6" l="1"/>
  <c r="FK7" i="6"/>
  <c r="FK14" i="6"/>
  <c r="FL12" i="6"/>
  <c r="FM12" i="6" l="1"/>
  <c r="FL14" i="6"/>
  <c r="FM6" i="6"/>
  <c r="FL7" i="6"/>
  <c r="FN6" i="6" l="1"/>
  <c r="FM7" i="6"/>
  <c r="FN12" i="6"/>
  <c r="FM14" i="6"/>
  <c r="FO12" i="6" l="1"/>
  <c r="FN14" i="6"/>
  <c r="FO6" i="6"/>
  <c r="FN7" i="6"/>
  <c r="FP6" i="6" l="1"/>
  <c r="FO7" i="6"/>
  <c r="FP12" i="6"/>
  <c r="FO14" i="6"/>
  <c r="FP14" i="6" l="1"/>
  <c r="FQ12" i="6"/>
  <c r="FQ6" i="6"/>
  <c r="FP7" i="6"/>
  <c r="FR6" i="6" l="1"/>
  <c r="FQ7" i="6"/>
  <c r="FQ14" i="6"/>
  <c r="FR12" i="6"/>
  <c r="FS12" i="6" l="1"/>
  <c r="FR14" i="6"/>
  <c r="FS6" i="6"/>
  <c r="FR7" i="6"/>
  <c r="FT6" i="6" l="1"/>
  <c r="FS7" i="6"/>
  <c r="FS14" i="6"/>
  <c r="FT12" i="6"/>
  <c r="FT14" i="6" l="1"/>
  <c r="FU12" i="6"/>
  <c r="FU6" i="6"/>
  <c r="FT7" i="6"/>
  <c r="FV6" i="6" l="1"/>
  <c r="FU7" i="6"/>
  <c r="FU14" i="6"/>
  <c r="FV12" i="6"/>
  <c r="FW12" i="6" l="1"/>
  <c r="FV14" i="6"/>
  <c r="FW6" i="6"/>
  <c r="FV7" i="6"/>
  <c r="FX6" i="6" l="1"/>
  <c r="FW7" i="6"/>
  <c r="FX12" i="6"/>
  <c r="FW14" i="6"/>
  <c r="FY12" i="6" l="1"/>
  <c r="FX14" i="6"/>
  <c r="FY6" i="6"/>
  <c r="FX7" i="6"/>
  <c r="FZ6" i="6" l="1"/>
  <c r="FY7" i="6"/>
  <c r="FY14" i="6"/>
  <c r="FZ12" i="6"/>
  <c r="GA12" i="6" l="1"/>
  <c r="FZ14" i="6"/>
  <c r="GA6" i="6"/>
  <c r="FZ7" i="6"/>
  <c r="GB6" i="6" l="1"/>
  <c r="GA7" i="6"/>
  <c r="GB12" i="6"/>
  <c r="GA14" i="6"/>
  <c r="GB14" i="6" l="1"/>
  <c r="GC12" i="6"/>
  <c r="GC6" i="6"/>
  <c r="GB7" i="6"/>
  <c r="GD6" i="6" l="1"/>
  <c r="GC7" i="6"/>
  <c r="GD12" i="6"/>
  <c r="GC14" i="6"/>
  <c r="GD14" i="6" l="1"/>
  <c r="GE12" i="6"/>
  <c r="GE6" i="6"/>
  <c r="GD7" i="6"/>
  <c r="GF6" i="6" l="1"/>
  <c r="GE7" i="6"/>
  <c r="GE14" i="6"/>
  <c r="GF12" i="6"/>
  <c r="GF14" i="6" l="1"/>
  <c r="GG12" i="6"/>
  <c r="GG6" i="6"/>
  <c r="GF7" i="6"/>
  <c r="GH6" i="6" l="1"/>
  <c r="GG7" i="6"/>
  <c r="GH12" i="6"/>
  <c r="GG14" i="6"/>
  <c r="GI12" i="6" l="1"/>
  <c r="GH14" i="6"/>
  <c r="GI6" i="6"/>
  <c r="GH7" i="6"/>
  <c r="GJ6" i="6" l="1"/>
  <c r="GI7" i="6"/>
  <c r="GJ12" i="6"/>
  <c r="GI14" i="6"/>
  <c r="GJ14" i="6" l="1"/>
  <c r="GK12" i="6"/>
  <c r="GK6" i="6"/>
  <c r="GJ7" i="6"/>
  <c r="GL6" i="6" l="1"/>
  <c r="GK7" i="6"/>
  <c r="GK14" i="6"/>
  <c r="GL12" i="6"/>
  <c r="GL14" i="6" l="1"/>
  <c r="GM12" i="6"/>
  <c r="GM6" i="6"/>
  <c r="GL7" i="6"/>
  <c r="GN6" i="6" l="1"/>
  <c r="GM7" i="6"/>
  <c r="GM14" i="6"/>
  <c r="GN12" i="6"/>
  <c r="GN14" i="6" l="1"/>
  <c r="GO12" i="6"/>
  <c r="GO6" i="6"/>
  <c r="GN7" i="6"/>
  <c r="GP6" i="6" l="1"/>
  <c r="GO7" i="6"/>
  <c r="GP12" i="6"/>
  <c r="GO14" i="6"/>
  <c r="GP14" i="6" l="1"/>
  <c r="GQ12" i="6"/>
  <c r="GQ6" i="6"/>
  <c r="GP7" i="6"/>
  <c r="GQ14" i="6" l="1"/>
  <c r="GR12" i="6"/>
  <c r="GR6" i="6"/>
  <c r="GQ7" i="6"/>
  <c r="GS12" i="6" l="1"/>
  <c r="GR14" i="6"/>
  <c r="GS6" i="6"/>
  <c r="GR7" i="6"/>
  <c r="GT6" i="6" l="1"/>
  <c r="GS7" i="6"/>
  <c r="GT12" i="6"/>
  <c r="GS14" i="6"/>
  <c r="GT14" i="6" l="1"/>
  <c r="GU12" i="6"/>
  <c r="GU6" i="6"/>
  <c r="GT7" i="6"/>
  <c r="GV6" i="6" l="1"/>
  <c r="GU7" i="6"/>
  <c r="GV12" i="6"/>
  <c r="GU14" i="6"/>
  <c r="GV14" i="6" l="1"/>
  <c r="GW12" i="6"/>
  <c r="GW6" i="6"/>
  <c r="GV7" i="6"/>
  <c r="GX6" i="6" l="1"/>
  <c r="GW7" i="6"/>
  <c r="GW14" i="6"/>
  <c r="GX12" i="6"/>
  <c r="GY12" i="6" l="1"/>
  <c r="GX14" i="6"/>
  <c r="GY6" i="6"/>
  <c r="GX7" i="6"/>
  <c r="GZ6" i="6" l="1"/>
  <c r="GY7" i="6"/>
  <c r="GZ12" i="6"/>
  <c r="GY14" i="6"/>
  <c r="HA12" i="6" l="1"/>
  <c r="GZ14" i="6"/>
  <c r="GZ7" i="6"/>
  <c r="HA6" i="6"/>
  <c r="HB6" i="6" l="1"/>
  <c r="HA7" i="6"/>
  <c r="HB12" i="6"/>
  <c r="HA14" i="6"/>
  <c r="HC12" i="6" l="1"/>
  <c r="HB14" i="6"/>
  <c r="HC6" i="6"/>
  <c r="HB7" i="6"/>
  <c r="HD6" i="6" l="1"/>
  <c r="HC7" i="6"/>
  <c r="HD12" i="6"/>
  <c r="HC14" i="6"/>
  <c r="HE12" i="6" l="1"/>
  <c r="HD14" i="6"/>
  <c r="HE6" i="6"/>
  <c r="HD7" i="6"/>
  <c r="HF6" i="6" l="1"/>
  <c r="HE7" i="6"/>
  <c r="HF12" i="6"/>
  <c r="HE14" i="6"/>
  <c r="HF14" i="6" l="1"/>
  <c r="HG12" i="6"/>
  <c r="HG6" i="6"/>
  <c r="HF7" i="6"/>
  <c r="HH6" i="6" l="1"/>
  <c r="HG7" i="6"/>
  <c r="HH12" i="6"/>
  <c r="HG14" i="6"/>
  <c r="HI12" i="6" l="1"/>
  <c r="HH14" i="6"/>
  <c r="HI6" i="6"/>
  <c r="HH7" i="6"/>
  <c r="HJ6" i="6" l="1"/>
  <c r="HI7" i="6"/>
  <c r="HJ12" i="6"/>
  <c r="HI14" i="6"/>
  <c r="HK12" i="6" l="1"/>
  <c r="HJ14" i="6"/>
  <c r="HK6" i="6"/>
  <c r="HJ7" i="6"/>
  <c r="HL6" i="6" l="1"/>
  <c r="HK7" i="6"/>
  <c r="HL12" i="6"/>
  <c r="HK14" i="6"/>
  <c r="HM12" i="6" l="1"/>
  <c r="HL14" i="6"/>
  <c r="HM6" i="6"/>
  <c r="HL7" i="6"/>
  <c r="HN12" i="6" l="1"/>
  <c r="HM14" i="6"/>
  <c r="HN6" i="6"/>
  <c r="HM7" i="6"/>
  <c r="HO6" i="6" l="1"/>
  <c r="HN7" i="6"/>
  <c r="HN14" i="6"/>
  <c r="HO12" i="6"/>
  <c r="HP12" i="6" l="1"/>
  <c r="HO14" i="6"/>
  <c r="HP6" i="6"/>
  <c r="HO7" i="6"/>
  <c r="HQ6" i="6" l="1"/>
  <c r="HP7" i="6"/>
  <c r="HQ12" i="6"/>
  <c r="HP14" i="6"/>
  <c r="HR12" i="6" l="1"/>
  <c r="HQ14" i="6"/>
  <c r="HR6" i="6"/>
  <c r="HQ7" i="6"/>
  <c r="HS6" i="6" l="1"/>
  <c r="HR7" i="6"/>
  <c r="HR14" i="6"/>
  <c r="HS12" i="6"/>
  <c r="HT12" i="6" l="1"/>
  <c r="HS14" i="6"/>
  <c r="HT6" i="6"/>
  <c r="HS7" i="6"/>
  <c r="HU6" i="6" l="1"/>
  <c r="HT7" i="6"/>
  <c r="HT14" i="6"/>
  <c r="HU12" i="6"/>
  <c r="HV12" i="6" l="1"/>
  <c r="HU14" i="6"/>
  <c r="HV6" i="6"/>
  <c r="HU7" i="6"/>
  <c r="HW6" i="6" l="1"/>
  <c r="HV7" i="6"/>
  <c r="HW12" i="6"/>
  <c r="HV14" i="6"/>
  <c r="HX12" i="6" l="1"/>
  <c r="HW14" i="6"/>
  <c r="HX6" i="6"/>
  <c r="HW7" i="6"/>
  <c r="HY6" i="6" l="1"/>
  <c r="HX7" i="6"/>
  <c r="HY12" i="6"/>
  <c r="HX14" i="6"/>
  <c r="HZ12" i="6" l="1"/>
  <c r="HY14" i="6"/>
  <c r="HZ6" i="6"/>
  <c r="HY7" i="6"/>
  <c r="IA12" i="6" l="1"/>
  <c r="HZ14" i="6"/>
  <c r="IA6" i="6"/>
  <c r="HZ7" i="6"/>
  <c r="IB6" i="6" l="1"/>
  <c r="IA7" i="6"/>
  <c r="IB12" i="6"/>
  <c r="IA14" i="6"/>
  <c r="IC6" i="6" l="1"/>
  <c r="IB7" i="6"/>
  <c r="IB14" i="6"/>
  <c r="IC12" i="6"/>
  <c r="ID6" i="6" l="1"/>
  <c r="IC7" i="6"/>
  <c r="IC14" i="6"/>
  <c r="ID12" i="6"/>
  <c r="IE12" i="6" l="1"/>
  <c r="ID14" i="6"/>
  <c r="IE6" i="6"/>
  <c r="ID7" i="6"/>
  <c r="IF6" i="6" l="1"/>
  <c r="IE7" i="6"/>
  <c r="IE14" i="6"/>
  <c r="IF12" i="6"/>
  <c r="IF14" i="6" l="1"/>
  <c r="IG12" i="6"/>
  <c r="IG6" i="6"/>
  <c r="IF7" i="6"/>
  <c r="IH6" i="6" l="1"/>
  <c r="IG7" i="6"/>
  <c r="IG14" i="6"/>
  <c r="IH12" i="6"/>
  <c r="II12" i="6" l="1"/>
  <c r="IH14" i="6"/>
  <c r="II6" i="6"/>
  <c r="IH7" i="6"/>
  <c r="IJ6" i="6" l="1"/>
  <c r="II7" i="6"/>
  <c r="II14" i="6"/>
  <c r="IJ12" i="6"/>
  <c r="IJ14" i="6" l="1"/>
  <c r="IK12" i="6"/>
  <c r="IK6" i="6"/>
  <c r="IJ7" i="6"/>
  <c r="IL6" i="6" l="1"/>
  <c r="IK7" i="6"/>
  <c r="IL12" i="6"/>
  <c r="IK14" i="6"/>
  <c r="IL14" i="6" l="1"/>
  <c r="IM12" i="6"/>
  <c r="IM6" i="6"/>
  <c r="IL7" i="6"/>
  <c r="IM14" i="6" l="1"/>
  <c r="IN12" i="6"/>
  <c r="IN6" i="6"/>
  <c r="IM7" i="6"/>
  <c r="IO6" i="6" l="1"/>
  <c r="IN7" i="6"/>
  <c r="IO12" i="6"/>
  <c r="IN14" i="6"/>
  <c r="IO14" i="6" l="1"/>
  <c r="IP12" i="6"/>
  <c r="IP6" i="6"/>
  <c r="IO7" i="6"/>
  <c r="IQ6" i="6" l="1"/>
  <c r="IP7" i="6"/>
  <c r="IQ12" i="6"/>
  <c r="IP14" i="6"/>
  <c r="IR12" i="6" l="1"/>
  <c r="IQ14" i="6"/>
  <c r="IR6" i="6"/>
  <c r="IQ7" i="6"/>
  <c r="IS6" i="6" l="1"/>
  <c r="IR7" i="6"/>
  <c r="IR14" i="6"/>
  <c r="IS12" i="6"/>
  <c r="IT12" i="6" l="1"/>
  <c r="IS14" i="6"/>
  <c r="IT6" i="6"/>
  <c r="IS7" i="6"/>
  <c r="IU6" i="6" l="1"/>
  <c r="IT7" i="6"/>
  <c r="IT14" i="6"/>
  <c r="IU12" i="6"/>
  <c r="IV12" i="6" l="1"/>
  <c r="IU14" i="6"/>
  <c r="IV6" i="6"/>
  <c r="IU7" i="6"/>
  <c r="IV7" i="6" l="1"/>
  <c r="IW6" i="6"/>
  <c r="IW12" i="6"/>
  <c r="IV14" i="6"/>
  <c r="IX12" i="6" l="1"/>
  <c r="IW14" i="6"/>
  <c r="IX6" i="6"/>
  <c r="IW7" i="6"/>
  <c r="IY6" i="6" l="1"/>
  <c r="IX7" i="6"/>
  <c r="IY12" i="6"/>
  <c r="IX14" i="6"/>
  <c r="IZ12" i="6" l="1"/>
  <c r="IY14" i="6"/>
  <c r="IZ6" i="6"/>
  <c r="IY7" i="6"/>
  <c r="JA6" i="6" l="1"/>
  <c r="IZ7" i="6"/>
  <c r="JA12" i="6"/>
  <c r="IZ14" i="6"/>
  <c r="JB12" i="6" l="1"/>
  <c r="JA14" i="6"/>
  <c r="JB6" i="6"/>
  <c r="JA7" i="6"/>
  <c r="JC6" i="6" l="1"/>
  <c r="JB7" i="6"/>
  <c r="JB14" i="6"/>
  <c r="JC12" i="6"/>
  <c r="JD12" i="6" l="1"/>
  <c r="JC14" i="6"/>
  <c r="JD6" i="6"/>
  <c r="JC7" i="6"/>
  <c r="JE6" i="6" l="1"/>
  <c r="JD7" i="6"/>
  <c r="JD14" i="6"/>
  <c r="JE12" i="6"/>
  <c r="JE14" i="6" l="1"/>
  <c r="JF12" i="6"/>
  <c r="JF6" i="6"/>
  <c r="JE7" i="6"/>
  <c r="JG12" i="6" l="1"/>
  <c r="JF14" i="6"/>
  <c r="JG6" i="6"/>
  <c r="JF7" i="6"/>
  <c r="JH6" i="6" l="1"/>
  <c r="JG7" i="6"/>
  <c r="JG14" i="6"/>
  <c r="JH12" i="6"/>
  <c r="JH14" i="6" l="1"/>
  <c r="JI12" i="6"/>
  <c r="JI6" i="6"/>
  <c r="JH7" i="6"/>
  <c r="JJ6" i="6" l="1"/>
  <c r="JI7" i="6"/>
  <c r="JI14" i="6"/>
  <c r="JJ12" i="6"/>
  <c r="JK12" i="6" l="1"/>
  <c r="JJ14" i="6"/>
  <c r="JK6" i="6"/>
  <c r="JJ7" i="6"/>
  <c r="JL6" i="6" l="1"/>
  <c r="JK7" i="6"/>
  <c r="JL12" i="6"/>
  <c r="JK14" i="6"/>
  <c r="JL14" i="6" l="1"/>
  <c r="JM12" i="6"/>
  <c r="JM6" i="6"/>
  <c r="JL7" i="6"/>
  <c r="JN6" i="6" l="1"/>
  <c r="JM7" i="6"/>
  <c r="JN12" i="6"/>
  <c r="JM14" i="6"/>
  <c r="JN14" i="6" l="1"/>
  <c r="JO12" i="6"/>
  <c r="JO6" i="6"/>
  <c r="JN7" i="6"/>
  <c r="JP6" i="6" l="1"/>
  <c r="JO7" i="6"/>
  <c r="JP12" i="6"/>
  <c r="JO14" i="6"/>
  <c r="JP14" i="6" l="1"/>
  <c r="JQ12" i="6"/>
  <c r="JQ6" i="6"/>
  <c r="JP7" i="6"/>
  <c r="JR6" i="6" l="1"/>
  <c r="JQ7" i="6"/>
  <c r="JR12" i="6"/>
  <c r="JQ14" i="6"/>
  <c r="JR14" i="6" l="1"/>
  <c r="JS12" i="6"/>
  <c r="JS6" i="6"/>
  <c r="JR7" i="6"/>
  <c r="JS14" i="6" l="1"/>
  <c r="JT12" i="6"/>
  <c r="JT6" i="6"/>
  <c r="JS7" i="6"/>
  <c r="JU6" i="6" l="1"/>
  <c r="JT7" i="6"/>
  <c r="JT14" i="6"/>
  <c r="JU12" i="6"/>
  <c r="JV12" i="6" l="1"/>
  <c r="JU14" i="6"/>
  <c r="JV6" i="6"/>
  <c r="JU7" i="6"/>
  <c r="JW6" i="6" l="1"/>
  <c r="JV7" i="6"/>
  <c r="JW12" i="6"/>
  <c r="JV14" i="6"/>
  <c r="JX12" i="6" l="1"/>
  <c r="JW14" i="6"/>
  <c r="JX6" i="6"/>
  <c r="JW7" i="6"/>
  <c r="JY6" i="6" l="1"/>
  <c r="JX7" i="6"/>
  <c r="JX14" i="6"/>
  <c r="JY12" i="6"/>
  <c r="JY14" i="6" l="1"/>
  <c r="JZ12" i="6"/>
  <c r="JZ6" i="6"/>
  <c r="JY7" i="6"/>
  <c r="JZ14" i="6" l="1"/>
  <c r="KA12" i="6"/>
  <c r="KA6" i="6"/>
  <c r="JZ7" i="6"/>
  <c r="KA14" i="6" l="1"/>
  <c r="KB12" i="6"/>
  <c r="KB6" i="6"/>
  <c r="KA7" i="6"/>
  <c r="KC6" i="6" l="1"/>
  <c r="KB7" i="6"/>
  <c r="KC12" i="6"/>
  <c r="KB14" i="6"/>
  <c r="KD12" i="6" l="1"/>
  <c r="KC14" i="6"/>
  <c r="KD6" i="6"/>
  <c r="KC7" i="6"/>
  <c r="KE6" i="6" l="1"/>
  <c r="KD7" i="6"/>
  <c r="KE12" i="6"/>
  <c r="KD14" i="6"/>
  <c r="KE14" i="6" l="1"/>
  <c r="KF12" i="6"/>
  <c r="KF14" i="6" s="1"/>
  <c r="KF6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<sst xmlns="http://schemas.openxmlformats.org/spreadsheetml/2006/main" count="896" uniqueCount="470">
  <si>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</si>
  <si>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</si>
  <si>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</si>
  <si>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</si>
  <si>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</si>
  <si>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</si>
  <si>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</si>
  <si>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</si>
  <si>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</si>
  <si>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</si>
  <si>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</si>
  <si>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</si>
  <si>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</si>
  <si>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</si>
  <si>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</si>
  <si>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</si>
  <si>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</si>
  <si>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</si>
  <si>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</si>
  <si>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</si>
  <si>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</si>
  <si>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</si>
  <si>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</si>
  <si>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</si>
  <si>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</si>
  <si>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</si>
  <si>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</si>
  <si>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</si>
  <si>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</si>
  <si>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</si>
  <si>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</si>
  <si>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</si>
  <si>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</si>
  <si>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</si>
  <si>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</si>
  <si>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</si>
  <si>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</si>
  <si>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</si>
  <si>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</si>
  <si>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</si>
  <si>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</si>
  <si>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</si>
  <si>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</si>
  <si>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</si>
  <si>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</si>
  <si>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</si>
  <si>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</si>
  <si>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</si>
  <si>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</si>
  <si>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</si>
  <si>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</si>
  <si>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</si>
  <si>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</si>
  <si>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</si>
  <si>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</si>
  <si>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</si>
  <si>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</si>
  <si>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</si>
  <si>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</si>
  <si>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</si>
  <si>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</si>
  <si>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</si>
  <si>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</si>
  <si>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</si>
  <si>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</si>
  <si>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</si>
  <si>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</si>
  <si>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</si>
  <si>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</si>
  <si>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</si>
  <si>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</si>
  <si>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</si>
  <si>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</si>
  <si>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</si>
  <si>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</si>
  <si>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</si>
  <si>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</si>
  <si>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</si>
  <si>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</si>
  <si>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</si>
  <si>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</si>
  <si>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</si>
  <si>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</si>
  <si>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</si>
  <si>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</si>
  <si>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</si>
  <si>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</si>
  <si>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</si>
  <si>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</si>
  <si>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</si>
  <si>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</si>
  <si>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</si>
  <si>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</si>
  <si>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</si>
  <si>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</si>
  <si>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</si>
  <si>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</si>
  <si>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</si>
  <si>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</si>
  <si>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</si>
  <si>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</si>
  <si>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</si>
  <si>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</si>
  <si>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</si>
  <si>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</si>
  <si>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</si>
  <si>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</si>
  <si>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</si>
  <si>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</si>
  <si>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</si>
  <si>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</si>
  <si>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</si>
  <si>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</si>
  <si>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</si>
  <si>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</si>
  <si>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</si>
  <si>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</si>
  <si>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</si>
  <si>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</si>
  <si>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</si>
  <si>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</si>
  <si>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</si>
  <si>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</si>
  <si>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</si>
  <si>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</si>
  <si>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</si>
  <si>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</si>
  <si>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</si>
  <si>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</si>
  <si>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</si>
  <si>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</si>
  <si>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</si>
  <si>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</si>
  <si>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</si>
  <si>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</si>
  <si>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</si>
  <si>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</si>
  <si>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</si>
  <si>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</si>
  <si>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</si>
  <si>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</si>
  <si>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</si>
  <si>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</si>
  <si>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</si>
  <si>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</si>
  <si>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</si>
  <si>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</si>
  <si>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</si>
  <si>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</si>
  <si>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</si>
  <si>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</si>
  <si>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</si>
  <si>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</si>
  <si>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</si>
  <si>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</si>
  <si>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</si>
  <si>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</si>
  <si>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</si>
  <si>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</si>
  <si>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</si>
  <si>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</si>
  <si>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</si>
  <si>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</si>
  <si>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</si>
  <si>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</si>
  <si>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</si>
  <si>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</si>
  <si>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</si>
  <si>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</si>
  <si>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</si>
  <si>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</si>
  <si>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</si>
  <si>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</si>
  <si>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</si>
  <si>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</si>
  <si>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</si>
  <si>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</si>
  <si>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</si>
  <si>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</si>
  <si>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</si>
  <si>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</si>
  <si>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</si>
  <si>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</si>
  <si>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</si>
  <si>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</si>
  <si>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</si>
  <si>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</si>
  <si>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</si>
  <si>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</si>
  <si>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</si>
  <si>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</si>
  <si>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</si>
  <si>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</si>
  <si>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</si>
  <si>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</si>
  <si>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</si>
  <si>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</si>
  <si>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</si>
  <si>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</si>
  <si>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</si>
  <si>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</si>
  <si>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</si>
  <si>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</si>
  <si>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</si>
  <si>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</si>
  <si>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</si>
  <si>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</si>
  <si>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</si>
  <si>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</si>
  <si>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</si>
  <si>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</si>
  <si>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</si>
  <si>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</si>
  <si>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</si>
  <si>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</si>
  <si>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</si>
  <si>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</si>
  <si>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</si>
  <si>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</si>
  <si>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</si>
  <si>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</si>
  <si>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</si>
  <si>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</si>
  <si>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</si>
  <si>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</si>
  <si>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</si>
  <si>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</si>
  <si>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</si>
  <si>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</si>
  <si>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</si>
  <si>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</si>
  <si>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</si>
  <si>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</si>
  <si>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</si>
  <si>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</si>
  <si>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</si>
  <si>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</si>
  <si>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</si>
  <si>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</si>
  <si>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</si>
  <si>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</si>
  <si>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</si>
  <si>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</si>
  <si>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</si>
  <si>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</si>
  <si>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</si>
  <si>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</si>
  <si>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</si>
  <si>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</si>
  <si>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</si>
  <si>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</si>
  <si>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</si>
  <si>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</si>
  <si>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</si>
  <si>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</si>
  <si>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Total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</si>
  <si>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</si>
  <si>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</si>
  <si>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</si>
  <si>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</si>
  <si>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</si>
  <si>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</si>
  <si>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</si>
  <si>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</si>
  <si>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</si>
  <si>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</si>
  <si>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</si>
  <si>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</si>
  <si>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</si>
  <si>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</si>
  <si>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</si>
  <si>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</si>
  <si>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</si>
  <si>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</si>
  <si>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</si>
  <si>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</si>
  <si>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</si>
  <si>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</si>
  <si>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</si>
  <si>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</si>
  <si>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</si>
  <si>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</si>
  <si>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</si>
  <si>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</si>
  <si>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</si>
  <si>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</si>
  <si>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</si>
  <si>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</si>
  <si>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</si>
  <si>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</si>
  <si>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</si>
  <si>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</si>
  <si>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</si>
  <si>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</si>
  <si>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</si>
  <si>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</si>
  <si>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</si>
  <si>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</si>
  <si>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</si>
  <si>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</si>
  <si>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</si>
  <si>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</si>
  <si>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</si>
  <si>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</si>
  <si>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</si>
  <si>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</si>
  <si>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</si>
  <si>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</si>
  <si>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</si>
  <si>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</si>
  <si>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</si>
  <si>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</si>
  <si>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</si>
  <si>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</si>
  <si>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</si>
  <si>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</si>
  <si>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</si>
  <si>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</si>
  <si>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</si>
  <si>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</si>
  <si>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</si>
  <si>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</si>
  <si>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</si>
  <si>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</si>
  <si>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</si>
  <si>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</si>
  <si>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</si>
  <si>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</si>
  <si>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</si>
  <si>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</si>
  <si>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</si>
  <si>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</si>
  <si>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</si>
  <si>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</si>
  <si>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</si>
  <si>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</si>
  <si>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</si>
  <si>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</si>
  <si>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</si>
  <si>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</si>
  <si>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</si>
  <si>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</si>
  <si>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</si>
  <si>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</si>
  <si>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</si>
  <si>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</si>
  <si>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</si>
  <si>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</si>
  <si>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</si>
  <si>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</si>
  <si>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</si>
  <si>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</si>
  <si>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</si>
  <si>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</si>
  <si>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</si>
  <si>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</si>
  <si>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</si>
  <si>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</si>
  <si>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</si>
  <si>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</si>
  <si>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</si>
  <si>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</si>
  <si>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</si>
  <si>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</si>
  <si>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</si>
  <si>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</si>
  <si>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</si>
  <si>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</si>
  <si>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</si>
  <si>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</si>
  <si>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</si>
  <si>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</si>
  <si>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</si>
  <si>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</si>
  <si>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</si>
  <si>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</si>
  <si>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</si>
  <si>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</si>
  <si>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</si>
  <si>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</si>
  <si>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</si>
  <si>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</si>
  <si>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</si>
  <si>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</si>
  <si>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</si>
  <si>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</si>
  <si>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</si>
  <si>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</si>
  <si>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</si>
  <si>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</si>
  <si>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</si>
  <si>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</si>
  <si>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</si>
  <si>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</si>
  <si>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</si>
  <si>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</si>
  <si>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</si>
  <si>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</si>
  <si>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</si>
  <si>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</si>
  <si>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</si>
  <si>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</si>
  <si>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</si>
  <si>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</si>
  <si>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</si>
  <si>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</si>
  <si>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</si>
  <si>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</si>
  <si>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</si>
  <si>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</si>
  <si>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</si>
  <si>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</si>
  <si>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</si>
  <si>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</si>
  <si>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</si>
  <si>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</si>
  <si>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</si>
  <si>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</si>
  <si>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</si>
  <si>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</si>
  <si>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</si>
  <si>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</si>
  <si>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</si>
  <si>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</si>
  <si>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</si>
  <si>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</si>
  <si>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</si>
  <si>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</si>
  <si>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</si>
  <si>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</si>
  <si>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</si>
  <si>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</si>
  <si>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</si>
  <si>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</si>
  <si>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</si>
  <si>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</si>
  <si>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</si>
  <si>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</si>
  <si>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</si>
  <si>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</si>
  <si>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</si>
  <si>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</si>
  <si>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</si>
  <si>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</si>
  <si>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</si>
  <si>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</si>
  <si>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</si>
  <si>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</si>
  <si>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</si>
  <si>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</si>
  <si>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</si>
  <si>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</si>
  <si>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</si>
  <si>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</si>
  <si>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</si>
  <si>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</si>
  <si>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</si>
  <si>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</si>
  <si>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</si>
  <si>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</si>
  <si>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</si>
  <si>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</si>
  <si>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</si>
  <si>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 xml:space="preserve">Screws </t>
  </si>
  <si>
    <t>Joburg Storeroom</t>
  </si>
  <si>
    <t>Allocated from Joburg Streroom</t>
  </si>
  <si>
    <t xml:space="preserve">Mid Clamps </t>
  </si>
  <si>
    <t>Allocated from Cpt Storeroom</t>
  </si>
  <si>
    <t>Clampfit Pro</t>
  </si>
  <si>
    <t>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</si>
</sst>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7" fontId="4" fillId="4" borderId="2" xfId="1" applyFont="1" applyFill="1" applyBorder="1" applyAlignment="1" applyProtection="1">
      <alignment horizontal="right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86323.712499999994</c:v>
                </c:pt>
                <c:pt idx="16">
                  <c:v>86848.712499999994</c:v>
                </c:pt>
                <c:pt idx="17">
                  <c:v>141081.98449999999</c:v>
                </c:pt>
                <c:pt idx="18">
                  <c:v>141081.98449999999</c:v>
                </c:pt>
                <c:pt idx="19">
                  <c:v>208873.57449999999</c:v>
                </c:pt>
                <c:pt idx="20">
                  <c:v>313798.2145</c:v>
                </c:pt>
                <c:pt idx="21">
                  <c:v>382114.80450000003</c:v>
                </c:pt>
                <c:pt idx="22">
                  <c:v>394692.30450000003</c:v>
                </c:pt>
                <c:pt idx="23">
                  <c:v>761070.64450000005</c:v>
                </c:pt>
                <c:pt idx="24">
                  <c:v>798644.34346541448</c:v>
                </c:pt>
                <c:pt idx="25">
                  <c:v>799169.34346541448</c:v>
                </c:pt>
                <c:pt idx="26">
                  <c:v>799169.34346541448</c:v>
                </c:pt>
                <c:pt idx="27">
                  <c:v>799169.34346541448</c:v>
                </c:pt>
                <c:pt idx="28">
                  <c:v>799169.34346541448</c:v>
                </c:pt>
                <c:pt idx="29">
                  <c:v>799694.34346541448</c:v>
                </c:pt>
                <c:pt idx="30">
                  <c:v>799694.34346541448</c:v>
                </c:pt>
                <c:pt idx="31">
                  <c:v>799694.34346541448</c:v>
                </c:pt>
                <c:pt idx="32">
                  <c:v>799694.34346541448</c:v>
                </c:pt>
                <c:pt idx="33">
                  <c:v>799694.34346541448</c:v>
                </c:pt>
                <c:pt idx="34">
                  <c:v>799694.34346541448</c:v>
                </c:pt>
                <c:pt idx="35">
                  <c:v>799694.34346541448</c:v>
                </c:pt>
                <c:pt idx="36">
                  <c:v>799694.34346541448</c:v>
                </c:pt>
                <c:pt idx="37">
                  <c:v>799694.34346541448</c:v>
                </c:pt>
                <c:pt idx="38">
                  <c:v>799694.34346541448</c:v>
                </c:pt>
                <c:pt idx="39">
                  <c:v>799694.34346541448</c:v>
                </c:pt>
                <c:pt idx="40">
                  <c:v>799694.34346541448</c:v>
                </c:pt>
                <c:pt idx="41">
                  <c:v>799694.34346541448</c:v>
                </c:pt>
                <c:pt idx="42">
                  <c:v>799694.34346541448</c:v>
                </c:pt>
                <c:pt idx="43">
                  <c:v>799694.34346541448</c:v>
                </c:pt>
                <c:pt idx="44">
                  <c:v>799694.34346541448</c:v>
                </c:pt>
                <c:pt idx="45">
                  <c:v>799694.34346541448</c:v>
                </c:pt>
                <c:pt idx="46">
                  <c:v>799694.34346541448</c:v>
                </c:pt>
                <c:pt idx="47">
                  <c:v>799694.34346541448</c:v>
                </c:pt>
                <c:pt idx="48">
                  <c:v>799694.34346541448</c:v>
                </c:pt>
                <c:pt idx="49">
                  <c:v>799694.34346541448</c:v>
                </c:pt>
                <c:pt idx="50">
                  <c:v>799694.34346541448</c:v>
                </c:pt>
                <c:pt idx="51">
                  <c:v>799694.34346541448</c:v>
                </c:pt>
                <c:pt idx="52">
                  <c:v>799694.34346541448</c:v>
                </c:pt>
                <c:pt idx="53">
                  <c:v>799694.34346541448</c:v>
                </c:pt>
                <c:pt idx="54">
                  <c:v>799694.34346541448</c:v>
                </c:pt>
                <c:pt idx="55">
                  <c:v>799694.34346541448</c:v>
                </c:pt>
                <c:pt idx="56">
                  <c:v>799694.34346541448</c:v>
                </c:pt>
                <c:pt idx="57">
                  <c:v>799694.34346541448</c:v>
                </c:pt>
                <c:pt idx="58">
                  <c:v>799694.34346541448</c:v>
                </c:pt>
                <c:pt idx="59">
                  <c:v>799694.34346541448</c:v>
                </c:pt>
                <c:pt idx="60">
                  <c:v>799694.34346541448</c:v>
                </c:pt>
                <c:pt idx="61">
                  <c:v>799694.34346541448</c:v>
                </c:pt>
                <c:pt idx="62">
                  <c:v>799694.34346541448</c:v>
                </c:pt>
                <c:pt idx="63">
                  <c:v>799694.34346541448</c:v>
                </c:pt>
                <c:pt idx="64">
                  <c:v>799694.34346541448</c:v>
                </c:pt>
                <c:pt idx="65">
                  <c:v>799694.34346541448</c:v>
                </c:pt>
                <c:pt idx="66">
                  <c:v>799694.34346541448</c:v>
                </c:pt>
                <c:pt idx="67">
                  <c:v>799694.34346541448</c:v>
                </c:pt>
                <c:pt idx="68">
                  <c:v>799694.34346541448</c:v>
                </c:pt>
                <c:pt idx="69">
                  <c:v>799694.34346541448</c:v>
                </c:pt>
                <c:pt idx="70">
                  <c:v>799694.34346541448</c:v>
                </c:pt>
                <c:pt idx="71">
                  <c:v>799694.34346541448</c:v>
                </c:pt>
                <c:pt idx="72">
                  <c:v>799694.34346541448</c:v>
                </c:pt>
                <c:pt idx="73">
                  <c:v>799694.34346541448</c:v>
                </c:pt>
                <c:pt idx="74">
                  <c:v>799694.34346541448</c:v>
                </c:pt>
                <c:pt idx="75">
                  <c:v>799694.34346541448</c:v>
                </c:pt>
                <c:pt idx="76">
                  <c:v>799694.34346541448</c:v>
                </c:pt>
                <c:pt idx="77">
                  <c:v>799694.34346541448</c:v>
                </c:pt>
                <c:pt idx="78">
                  <c:v>799694.34346541448</c:v>
                </c:pt>
                <c:pt idx="79">
                  <c:v>799694.34346541448</c:v>
                </c:pt>
                <c:pt idx="80">
                  <c:v>799694.34346541448</c:v>
                </c:pt>
                <c:pt idx="81">
                  <c:v>799694.34346541448</c:v>
                </c:pt>
                <c:pt idx="82">
                  <c:v>799694.34346541448</c:v>
                </c:pt>
                <c:pt idx="83">
                  <c:v>799694.34346541448</c:v>
                </c:pt>
                <c:pt idx="84">
                  <c:v>799694.34346541448</c:v>
                </c:pt>
                <c:pt idx="85">
                  <c:v>799694.34346541448</c:v>
                </c:pt>
                <c:pt idx="86">
                  <c:v>799694.34346541448</c:v>
                </c:pt>
                <c:pt idx="87">
                  <c:v>799694.34346541448</c:v>
                </c:pt>
                <c:pt idx="88">
                  <c:v>799694.34346541448</c:v>
                </c:pt>
                <c:pt idx="89">
                  <c:v>799694.34346541448</c:v>
                </c:pt>
                <c:pt idx="90">
                  <c:v>799694.34346541448</c:v>
                </c:pt>
                <c:pt idx="91">
                  <c:v>799694.34346541448</c:v>
                </c:pt>
                <c:pt idx="92">
                  <c:v>799694.34346541448</c:v>
                </c:pt>
                <c:pt idx="93">
                  <c:v>799694.34346541448</c:v>
                </c:pt>
                <c:pt idx="94">
                  <c:v>799694.34346541448</c:v>
                </c:pt>
                <c:pt idx="95">
                  <c:v>799694.34346541448</c:v>
                </c:pt>
                <c:pt idx="96">
                  <c:v>799694.34346541448</c:v>
                </c:pt>
                <c:pt idx="97">
                  <c:v>799694.34346541448</c:v>
                </c:pt>
                <c:pt idx="98">
                  <c:v>799694.34346541448</c:v>
                </c:pt>
                <c:pt idx="99">
                  <c:v>799694.34346541448</c:v>
                </c:pt>
                <c:pt idx="100">
                  <c:v>799694.34346541448</c:v>
                </c:pt>
                <c:pt idx="101">
                  <c:v>799694.34346541448</c:v>
                </c:pt>
                <c:pt idx="102">
                  <c:v>799694.34346541448</c:v>
                </c:pt>
                <c:pt idx="103">
                  <c:v>799694.34346541448</c:v>
                </c:pt>
                <c:pt idx="104">
                  <c:v>799694.34346541448</c:v>
                </c:pt>
                <c:pt idx="105">
                  <c:v>799694.34346541448</c:v>
                </c:pt>
                <c:pt idx="106">
                  <c:v>799694.34346541448</c:v>
                </c:pt>
                <c:pt idx="107">
                  <c:v>799694.34346541448</c:v>
                </c:pt>
                <c:pt idx="108">
                  <c:v>799694.34346541448</c:v>
                </c:pt>
                <c:pt idx="109">
                  <c:v>799694.34346541448</c:v>
                </c:pt>
                <c:pt idx="110">
                  <c:v>799694.34346541448</c:v>
                </c:pt>
                <c:pt idx="111">
                  <c:v>799694.34346541448</c:v>
                </c:pt>
                <c:pt idx="112">
                  <c:v>799694.34346541448</c:v>
                </c:pt>
                <c:pt idx="113">
                  <c:v>799694.34346541448</c:v>
                </c:pt>
                <c:pt idx="114">
                  <c:v>799694.34346541448</c:v>
                </c:pt>
                <c:pt idx="115">
                  <c:v>799694.34346541448</c:v>
                </c:pt>
                <c:pt idx="116">
                  <c:v>799694.34346541448</c:v>
                </c:pt>
                <c:pt idx="117">
                  <c:v>799694.34346541448</c:v>
                </c:pt>
                <c:pt idx="118">
                  <c:v>799694.34346541448</c:v>
                </c:pt>
                <c:pt idx="119">
                  <c:v>799694.34346541448</c:v>
                </c:pt>
                <c:pt idx="120">
                  <c:v>799694.34346541448</c:v>
                </c:pt>
                <c:pt idx="121">
                  <c:v>799694.34346541448</c:v>
                </c:pt>
                <c:pt idx="122">
                  <c:v>799694.34346541448</c:v>
                </c:pt>
                <c:pt idx="123">
                  <c:v>799694.34346541448</c:v>
                </c:pt>
                <c:pt idx="124">
                  <c:v>799694.34346541448</c:v>
                </c:pt>
                <c:pt idx="125">
                  <c:v>799694.34346541448</c:v>
                </c:pt>
                <c:pt idx="126">
                  <c:v>799694.34346541448</c:v>
                </c:pt>
                <c:pt idx="127">
                  <c:v>799694.34346541448</c:v>
                </c:pt>
                <c:pt idx="128">
                  <c:v>799694.34346541448</c:v>
                </c:pt>
                <c:pt idx="129">
                  <c:v>799694.34346541448</c:v>
                </c:pt>
                <c:pt idx="130">
                  <c:v>799694.34346541448</c:v>
                </c:pt>
                <c:pt idx="131">
                  <c:v>799694.34346541448</c:v>
                </c:pt>
                <c:pt idx="132">
                  <c:v>799694.34346541448</c:v>
                </c:pt>
                <c:pt idx="133">
                  <c:v>799694.34346541448</c:v>
                </c:pt>
                <c:pt idx="134">
                  <c:v>799694.34346541448</c:v>
                </c:pt>
                <c:pt idx="135">
                  <c:v>799694.34346541448</c:v>
                </c:pt>
                <c:pt idx="136">
                  <c:v>799694.34346541448</c:v>
                </c:pt>
                <c:pt idx="137">
                  <c:v>799694.34346541448</c:v>
                </c:pt>
                <c:pt idx="138">
                  <c:v>799694.34346541448</c:v>
                </c:pt>
                <c:pt idx="139">
                  <c:v>799694.34346541448</c:v>
                </c:pt>
                <c:pt idx="140">
                  <c:v>799694.34346541448</c:v>
                </c:pt>
                <c:pt idx="141">
                  <c:v>799694.34346541448</c:v>
                </c:pt>
                <c:pt idx="142">
                  <c:v>799694.34346541448</c:v>
                </c:pt>
                <c:pt idx="143">
                  <c:v>799694.34346541448</c:v>
                </c:pt>
                <c:pt idx="144">
                  <c:v>799694.34346541448</c:v>
                </c:pt>
                <c:pt idx="145">
                  <c:v>799694.34346541448</c:v>
                </c:pt>
                <c:pt idx="146">
                  <c:v>799694.34346541448</c:v>
                </c:pt>
                <c:pt idx="147">
                  <c:v>799694.34346541448</c:v>
                </c:pt>
                <c:pt idx="148">
                  <c:v>799694.34346541448</c:v>
                </c:pt>
                <c:pt idx="149">
                  <c:v>799694.34346541448</c:v>
                </c:pt>
                <c:pt idx="150">
                  <c:v>799694.34346541448</c:v>
                </c:pt>
                <c:pt idx="151">
                  <c:v>799694.34346541448</c:v>
                </c:pt>
                <c:pt idx="152">
                  <c:v>799694.34346541448</c:v>
                </c:pt>
                <c:pt idx="153">
                  <c:v>799694.34346541448</c:v>
                </c:pt>
                <c:pt idx="154">
                  <c:v>799694.34346541448</c:v>
                </c:pt>
                <c:pt idx="155">
                  <c:v>799694.34346541448</c:v>
                </c:pt>
                <c:pt idx="156">
                  <c:v>799694.34346541448</c:v>
                </c:pt>
                <c:pt idx="157">
                  <c:v>799694.34346541448</c:v>
                </c:pt>
                <c:pt idx="158">
                  <c:v>799694.34346541448</c:v>
                </c:pt>
                <c:pt idx="159">
                  <c:v>799694.34346541448</c:v>
                </c:pt>
                <c:pt idx="160">
                  <c:v>799694.34346541448</c:v>
                </c:pt>
                <c:pt idx="161">
                  <c:v>799694.34346541448</c:v>
                </c:pt>
                <c:pt idx="162">
                  <c:v>799694.34346541448</c:v>
                </c:pt>
                <c:pt idx="163">
                  <c:v>799694.34346541448</c:v>
                </c:pt>
                <c:pt idx="164">
                  <c:v>799694.34346541448</c:v>
                </c:pt>
                <c:pt idx="165">
                  <c:v>799694.34346541448</c:v>
                </c:pt>
                <c:pt idx="166">
                  <c:v>799694.34346541448</c:v>
                </c:pt>
                <c:pt idx="167">
                  <c:v>799694.34346541448</c:v>
                </c:pt>
                <c:pt idx="168">
                  <c:v>799694.34346541448</c:v>
                </c:pt>
                <c:pt idx="169">
                  <c:v>799694.34346541448</c:v>
                </c:pt>
                <c:pt idx="170">
                  <c:v>799694.34346541448</c:v>
                </c:pt>
                <c:pt idx="171">
                  <c:v>799694.34346541448</c:v>
                </c:pt>
                <c:pt idx="172">
                  <c:v>799694.34346541448</c:v>
                </c:pt>
                <c:pt idx="173">
                  <c:v>799694.34346541448</c:v>
                </c:pt>
                <c:pt idx="174">
                  <c:v>799694.34346541448</c:v>
                </c:pt>
                <c:pt idx="175">
                  <c:v>799694.34346541448</c:v>
                </c:pt>
                <c:pt idx="176">
                  <c:v>799694.34346541448</c:v>
                </c:pt>
                <c:pt idx="177">
                  <c:v>799694.34346541448</c:v>
                </c:pt>
                <c:pt idx="178">
                  <c:v>799694.34346541448</c:v>
                </c:pt>
                <c:pt idx="179">
                  <c:v>799694.34346541448</c:v>
                </c:pt>
                <c:pt idx="180">
                  <c:v>799694.34346541448</c:v>
                </c:pt>
                <c:pt idx="181">
                  <c:v>799694.34346541448</c:v>
                </c:pt>
                <c:pt idx="182">
                  <c:v>799694.34346541448</c:v>
                </c:pt>
                <c:pt idx="183">
                  <c:v>799694.34346541448</c:v>
                </c:pt>
                <c:pt idx="184">
                  <c:v>799694.34346541448</c:v>
                </c:pt>
                <c:pt idx="185">
                  <c:v>799694.34346541448</c:v>
                </c:pt>
                <c:pt idx="186">
                  <c:v>799694.34346541448</c:v>
                </c:pt>
                <c:pt idx="187">
                  <c:v>799694.34346541448</c:v>
                </c:pt>
                <c:pt idx="188">
                  <c:v>799694.34346541448</c:v>
                </c:pt>
                <c:pt idx="189">
                  <c:v>799694.34346541448</c:v>
                </c:pt>
                <c:pt idx="190">
                  <c:v>799694.34346541448</c:v>
                </c:pt>
                <c:pt idx="191">
                  <c:v>799694.34346541448</c:v>
                </c:pt>
                <c:pt idx="192">
                  <c:v>799694.34346541448</c:v>
                </c:pt>
                <c:pt idx="193">
                  <c:v>799694.34346541448</c:v>
                </c:pt>
                <c:pt idx="194">
                  <c:v>799694.34346541448</c:v>
                </c:pt>
                <c:pt idx="195">
                  <c:v>799694.34346541448</c:v>
                </c:pt>
                <c:pt idx="196">
                  <c:v>799694.34346541448</c:v>
                </c:pt>
                <c:pt idx="197">
                  <c:v>799694.34346541448</c:v>
                </c:pt>
                <c:pt idx="198">
                  <c:v>799694.34346541448</c:v>
                </c:pt>
                <c:pt idx="199">
                  <c:v>799694.34346541448</c:v>
                </c:pt>
                <c:pt idx="200">
                  <c:v>799694.34346541448</c:v>
                </c:pt>
                <c:pt idx="201">
                  <c:v>799694.34346541448</c:v>
                </c:pt>
                <c:pt idx="202">
                  <c:v>799694.34346541448</c:v>
                </c:pt>
                <c:pt idx="203">
                  <c:v>799694.34346541448</c:v>
                </c:pt>
                <c:pt idx="204">
                  <c:v>799694.34346541448</c:v>
                </c:pt>
                <c:pt idx="205">
                  <c:v>799694.34346541448</c:v>
                </c:pt>
                <c:pt idx="206">
                  <c:v>799694.34346541448</c:v>
                </c:pt>
                <c:pt idx="207">
                  <c:v>799694.34346541448</c:v>
                </c:pt>
                <c:pt idx="208">
                  <c:v>799694.34346541448</c:v>
                </c:pt>
                <c:pt idx="209">
                  <c:v>799694.34346541448</c:v>
                </c:pt>
                <c:pt idx="210">
                  <c:v>799694.34346541448</c:v>
                </c:pt>
                <c:pt idx="211">
                  <c:v>799694.34346541448</c:v>
                </c:pt>
                <c:pt idx="212">
                  <c:v>799694.34346541448</c:v>
                </c:pt>
                <c:pt idx="213">
                  <c:v>799694.34346541448</c:v>
                </c:pt>
                <c:pt idx="214">
                  <c:v>799694.34346541448</c:v>
                </c:pt>
                <c:pt idx="215">
                  <c:v>799694.34346541448</c:v>
                </c:pt>
                <c:pt idx="216">
                  <c:v>799694.34346541448</c:v>
                </c:pt>
                <c:pt idx="217">
                  <c:v>799694.34346541448</c:v>
                </c:pt>
                <c:pt idx="218">
                  <c:v>799694.34346541448</c:v>
                </c:pt>
                <c:pt idx="219">
                  <c:v>799694.34346541448</c:v>
                </c:pt>
                <c:pt idx="220">
                  <c:v>799694.34346541448</c:v>
                </c:pt>
                <c:pt idx="221">
                  <c:v>799694.34346541448</c:v>
                </c:pt>
                <c:pt idx="222">
                  <c:v>799694.34346541448</c:v>
                </c:pt>
                <c:pt idx="223">
                  <c:v>799694.34346541448</c:v>
                </c:pt>
                <c:pt idx="224">
                  <c:v>799694.34346541448</c:v>
                </c:pt>
                <c:pt idx="225">
                  <c:v>799694.34346541448</c:v>
                </c:pt>
                <c:pt idx="226">
                  <c:v>799694.34346541448</c:v>
                </c:pt>
                <c:pt idx="227">
                  <c:v>799694.34346541448</c:v>
                </c:pt>
                <c:pt idx="228">
                  <c:v>799694.34346541448</c:v>
                </c:pt>
                <c:pt idx="229">
                  <c:v>799694.34346541448</c:v>
                </c:pt>
                <c:pt idx="230">
                  <c:v>799694.34346541448</c:v>
                </c:pt>
                <c:pt idx="231">
                  <c:v>799694.34346541448</c:v>
                </c:pt>
                <c:pt idx="232">
                  <c:v>799694.34346541448</c:v>
                </c:pt>
                <c:pt idx="233">
                  <c:v>799694.34346541448</c:v>
                </c:pt>
                <c:pt idx="234">
                  <c:v>799694.34346541448</c:v>
                </c:pt>
                <c:pt idx="235">
                  <c:v>799694.34346541448</c:v>
                </c:pt>
                <c:pt idx="236">
                  <c:v>799694.34346541448</c:v>
                </c:pt>
                <c:pt idx="237">
                  <c:v>799694.34346541448</c:v>
                </c:pt>
                <c:pt idx="238">
                  <c:v>799694.34346541448</c:v>
                </c:pt>
                <c:pt idx="239">
                  <c:v>799694.34346541448</c:v>
                </c:pt>
                <c:pt idx="240">
                  <c:v>799694.34346541448</c:v>
                </c:pt>
                <c:pt idx="241">
                  <c:v>799694.34346541448</c:v>
                </c:pt>
                <c:pt idx="242">
                  <c:v>799694.34346541448</c:v>
                </c:pt>
                <c:pt idx="243">
                  <c:v>799694.34346541448</c:v>
                </c:pt>
                <c:pt idx="244">
                  <c:v>799694.34346541448</c:v>
                </c:pt>
                <c:pt idx="245">
                  <c:v>799694.34346541448</c:v>
                </c:pt>
                <c:pt idx="246">
                  <c:v>799694.34346541448</c:v>
                </c:pt>
                <c:pt idx="247">
                  <c:v>799694.34346541448</c:v>
                </c:pt>
                <c:pt idx="248">
                  <c:v>799694.34346541448</c:v>
                </c:pt>
                <c:pt idx="249">
                  <c:v>799694.34346541448</c:v>
                </c:pt>
                <c:pt idx="250">
                  <c:v>799694.34346541448</c:v>
                </c:pt>
                <c:pt idx="251">
                  <c:v>799694.34346541448</c:v>
                </c:pt>
                <c:pt idx="252">
                  <c:v>799694.34346541448</c:v>
                </c:pt>
                <c:pt idx="253">
                  <c:v>799694.34346541448</c:v>
                </c:pt>
                <c:pt idx="254">
                  <c:v>799694.34346541448</c:v>
                </c:pt>
                <c:pt idx="255">
                  <c:v>799694.34346541448</c:v>
                </c:pt>
                <c:pt idx="256">
                  <c:v>799694.34346541448</c:v>
                </c:pt>
                <c:pt idx="257">
                  <c:v>799694.34346541448</c:v>
                </c:pt>
                <c:pt idx="258">
                  <c:v>799694.34346541448</c:v>
                </c:pt>
                <c:pt idx="259">
                  <c:v>799694.34346541448</c:v>
                </c:pt>
                <c:pt idx="260">
                  <c:v>799694.34346541448</c:v>
                </c:pt>
                <c:pt idx="261">
                  <c:v>799694.34346541448</c:v>
                </c:pt>
                <c:pt idx="262">
                  <c:v>799694.34346541448</c:v>
                </c:pt>
                <c:pt idx="263">
                  <c:v>799694.34346541448</c:v>
                </c:pt>
                <c:pt idx="264">
                  <c:v>799694.34346541448</c:v>
                </c:pt>
                <c:pt idx="265">
                  <c:v>799694.34346541448</c:v>
                </c:pt>
                <c:pt idx="266">
                  <c:v>799694.34346541448</c:v>
                </c:pt>
                <c:pt idx="267">
                  <c:v>799694.34346541448</c:v>
                </c:pt>
                <c:pt idx="268">
                  <c:v>799694.34346541448</c:v>
                </c:pt>
                <c:pt idx="269">
                  <c:v>799694.34346541448</c:v>
                </c:pt>
                <c:pt idx="270">
                  <c:v>799694.34346541448</c:v>
                </c:pt>
                <c:pt idx="271">
                  <c:v>799694.34346541448</c:v>
                </c:pt>
                <c:pt idx="272">
                  <c:v>799694.34346541448</c:v>
                </c:pt>
                <c:pt idx="273">
                  <c:v>799694.34346541448</c:v>
                </c:pt>
                <c:pt idx="274">
                  <c:v>799694.34346541448</c:v>
                </c:pt>
                <c:pt idx="275">
                  <c:v>799694.34346541448</c:v>
                </c:pt>
                <c:pt idx="276">
                  <c:v>799694.34346541448</c:v>
                </c:pt>
                <c:pt idx="277">
                  <c:v>799694.34346541448</c:v>
                </c:pt>
                <c:pt idx="278">
                  <c:v>799694.34346541448</c:v>
                </c:pt>
                <c:pt idx="279">
                  <c:v>799694.34346541448</c:v>
                </c:pt>
                <c:pt idx="280">
                  <c:v>799694.34346541448</c:v>
                </c:pt>
                <c:pt idx="281">
                  <c:v>799694.34346541448</c:v>
                </c:pt>
                <c:pt idx="282">
                  <c:v>799694.34346541448</c:v>
                </c:pt>
                <c:pt idx="283">
                  <c:v>799694.34346541448</c:v>
                </c:pt>
                <c:pt idx="284">
                  <c:v>799694.34346541448</c:v>
                </c:pt>
                <c:pt idx="285">
                  <c:v>799694.34346541448</c:v>
                </c:pt>
                <c:pt idx="286">
                  <c:v>799694.34346541448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613366.5921165786</c:v>
                </c:pt>
                <c:pt idx="16">
                  <c:v>1102624.8053481837</c:v>
                </c:pt>
                <c:pt idx="17">
                  <c:v>1048391.5333481836</c:v>
                </c:pt>
                <c:pt idx="18">
                  <c:v>1048391.5333481836</c:v>
                </c:pt>
                <c:pt idx="19">
                  <c:v>980599.94334818365</c:v>
                </c:pt>
                <c:pt idx="20">
                  <c:v>875675.30334818363</c:v>
                </c:pt>
                <c:pt idx="21">
                  <c:v>1017265.8047331572</c:v>
                </c:pt>
                <c:pt idx="22">
                  <c:v>1004688.3047331572</c:v>
                </c:pt>
                <c:pt idx="23">
                  <c:v>638309.96473315719</c:v>
                </c:pt>
                <c:pt idx="24">
                  <c:v>600736.26576774276</c:v>
                </c:pt>
                <c:pt idx="25">
                  <c:v>600211.26576774276</c:v>
                </c:pt>
                <c:pt idx="26">
                  <c:v>600211.26576774276</c:v>
                </c:pt>
                <c:pt idx="27">
                  <c:v>600211.26576774276</c:v>
                </c:pt>
                <c:pt idx="28">
                  <c:v>600211.26576774276</c:v>
                </c:pt>
                <c:pt idx="29">
                  <c:v>599686.26576774276</c:v>
                </c:pt>
                <c:pt idx="30">
                  <c:v>599686.26576774276</c:v>
                </c:pt>
                <c:pt idx="31">
                  <c:v>599686.26576774276</c:v>
                </c:pt>
                <c:pt idx="32">
                  <c:v>599686.26576774276</c:v>
                </c:pt>
                <c:pt idx="33">
                  <c:v>599686.26576774276</c:v>
                </c:pt>
                <c:pt idx="34">
                  <c:v>599686.26576774276</c:v>
                </c:pt>
                <c:pt idx="35">
                  <c:v>599686.26576774276</c:v>
                </c:pt>
                <c:pt idx="36">
                  <c:v>599686.26576774276</c:v>
                </c:pt>
                <c:pt idx="37">
                  <c:v>599686.26576774276</c:v>
                </c:pt>
                <c:pt idx="38">
                  <c:v>599686.26576774276</c:v>
                </c:pt>
                <c:pt idx="39">
                  <c:v>599686.26576774276</c:v>
                </c:pt>
                <c:pt idx="40">
                  <c:v>599686.26576774276</c:v>
                </c:pt>
                <c:pt idx="41">
                  <c:v>599686.26576774276</c:v>
                </c:pt>
                <c:pt idx="42">
                  <c:v>599686.26576774276</c:v>
                </c:pt>
                <c:pt idx="43">
                  <c:v>599686.26576774276</c:v>
                </c:pt>
                <c:pt idx="44">
                  <c:v>599686.26576774276</c:v>
                </c:pt>
                <c:pt idx="45">
                  <c:v>599686.26576774276</c:v>
                </c:pt>
                <c:pt idx="46">
                  <c:v>599686.26576774276</c:v>
                </c:pt>
                <c:pt idx="47">
                  <c:v>599686.26576774276</c:v>
                </c:pt>
                <c:pt idx="48">
                  <c:v>599686.26576774276</c:v>
                </c:pt>
                <c:pt idx="49">
                  <c:v>599686.26576774276</c:v>
                </c:pt>
                <c:pt idx="50">
                  <c:v>599686.26576774276</c:v>
                </c:pt>
                <c:pt idx="51">
                  <c:v>599686.26576774276</c:v>
                </c:pt>
                <c:pt idx="52">
                  <c:v>599686.26576774276</c:v>
                </c:pt>
                <c:pt idx="53">
                  <c:v>599686.26576774276</c:v>
                </c:pt>
                <c:pt idx="54">
                  <c:v>599686.26576774276</c:v>
                </c:pt>
                <c:pt idx="55">
                  <c:v>599686.26576774276</c:v>
                </c:pt>
                <c:pt idx="56">
                  <c:v>599686.26576774276</c:v>
                </c:pt>
                <c:pt idx="57">
                  <c:v>599686.26576774276</c:v>
                </c:pt>
                <c:pt idx="58">
                  <c:v>599686.26576774276</c:v>
                </c:pt>
                <c:pt idx="59">
                  <c:v>599686.26576774276</c:v>
                </c:pt>
                <c:pt idx="60">
                  <c:v>599686.26576774276</c:v>
                </c:pt>
                <c:pt idx="61">
                  <c:v>599686.26576774276</c:v>
                </c:pt>
                <c:pt idx="62">
                  <c:v>599686.26576774276</c:v>
                </c:pt>
                <c:pt idx="63">
                  <c:v>599686.26576774276</c:v>
                </c:pt>
                <c:pt idx="64">
                  <c:v>599686.26576774276</c:v>
                </c:pt>
                <c:pt idx="65">
                  <c:v>599686.26576774276</c:v>
                </c:pt>
                <c:pt idx="66">
                  <c:v>599686.26576774276</c:v>
                </c:pt>
                <c:pt idx="67">
                  <c:v>599686.26576774276</c:v>
                </c:pt>
                <c:pt idx="68">
                  <c:v>599686.26576774276</c:v>
                </c:pt>
                <c:pt idx="69">
                  <c:v>599686.26576774276</c:v>
                </c:pt>
                <c:pt idx="70">
                  <c:v>599686.26576774276</c:v>
                </c:pt>
                <c:pt idx="71">
                  <c:v>599686.26576774276</c:v>
                </c:pt>
                <c:pt idx="72">
                  <c:v>599686.26576774276</c:v>
                </c:pt>
                <c:pt idx="73">
                  <c:v>599686.26576774276</c:v>
                </c:pt>
                <c:pt idx="74">
                  <c:v>599686.26576774276</c:v>
                </c:pt>
                <c:pt idx="75">
                  <c:v>599686.26576774276</c:v>
                </c:pt>
                <c:pt idx="76">
                  <c:v>599686.26576774276</c:v>
                </c:pt>
                <c:pt idx="77">
                  <c:v>599686.26576774276</c:v>
                </c:pt>
                <c:pt idx="78">
                  <c:v>599686.26576774276</c:v>
                </c:pt>
                <c:pt idx="79">
                  <c:v>599686.26576774276</c:v>
                </c:pt>
                <c:pt idx="80">
                  <c:v>599686.26576774276</c:v>
                </c:pt>
                <c:pt idx="81">
                  <c:v>599686.26576774276</c:v>
                </c:pt>
                <c:pt idx="82">
                  <c:v>599686.26576774276</c:v>
                </c:pt>
                <c:pt idx="83">
                  <c:v>599686.26576774276</c:v>
                </c:pt>
                <c:pt idx="84">
                  <c:v>599686.26576774276</c:v>
                </c:pt>
                <c:pt idx="85">
                  <c:v>599686.26576774276</c:v>
                </c:pt>
                <c:pt idx="86">
                  <c:v>599686.26576774276</c:v>
                </c:pt>
                <c:pt idx="87">
                  <c:v>599686.26576774276</c:v>
                </c:pt>
                <c:pt idx="88">
                  <c:v>599686.26576774276</c:v>
                </c:pt>
                <c:pt idx="89">
                  <c:v>599686.26576774276</c:v>
                </c:pt>
                <c:pt idx="90">
                  <c:v>599686.26576774276</c:v>
                </c:pt>
                <c:pt idx="91">
                  <c:v>599686.26576774276</c:v>
                </c:pt>
                <c:pt idx="92">
                  <c:v>599686.26576774276</c:v>
                </c:pt>
                <c:pt idx="93">
                  <c:v>599686.26576774276</c:v>
                </c:pt>
                <c:pt idx="94">
                  <c:v>599686.26576774276</c:v>
                </c:pt>
                <c:pt idx="95">
                  <c:v>599686.26576774276</c:v>
                </c:pt>
                <c:pt idx="96">
                  <c:v>599686.26576774276</c:v>
                </c:pt>
                <c:pt idx="97">
                  <c:v>599686.26576774276</c:v>
                </c:pt>
                <c:pt idx="98">
                  <c:v>599686.26576774276</c:v>
                </c:pt>
                <c:pt idx="99">
                  <c:v>599686.26576774276</c:v>
                </c:pt>
                <c:pt idx="100">
                  <c:v>599686.26576774276</c:v>
                </c:pt>
                <c:pt idx="101">
                  <c:v>599686.26576774276</c:v>
                </c:pt>
                <c:pt idx="102">
                  <c:v>599686.26576774276</c:v>
                </c:pt>
                <c:pt idx="103">
                  <c:v>599686.26576774276</c:v>
                </c:pt>
                <c:pt idx="104">
                  <c:v>599686.26576774276</c:v>
                </c:pt>
                <c:pt idx="105">
                  <c:v>599686.26576774276</c:v>
                </c:pt>
                <c:pt idx="106">
                  <c:v>599686.26576774276</c:v>
                </c:pt>
                <c:pt idx="107">
                  <c:v>599686.26576774276</c:v>
                </c:pt>
                <c:pt idx="108">
                  <c:v>599686.26576774276</c:v>
                </c:pt>
                <c:pt idx="109">
                  <c:v>599686.26576774276</c:v>
                </c:pt>
                <c:pt idx="110">
                  <c:v>599686.26576774276</c:v>
                </c:pt>
                <c:pt idx="111">
                  <c:v>599686.26576774276</c:v>
                </c:pt>
                <c:pt idx="112">
                  <c:v>599686.26576774276</c:v>
                </c:pt>
                <c:pt idx="113">
                  <c:v>599686.26576774276</c:v>
                </c:pt>
                <c:pt idx="114">
                  <c:v>599686.26576774276</c:v>
                </c:pt>
                <c:pt idx="115">
                  <c:v>599686.26576774276</c:v>
                </c:pt>
                <c:pt idx="116">
                  <c:v>599686.26576774276</c:v>
                </c:pt>
                <c:pt idx="117">
                  <c:v>599686.26576774276</c:v>
                </c:pt>
                <c:pt idx="118">
                  <c:v>599686.26576774276</c:v>
                </c:pt>
                <c:pt idx="119">
                  <c:v>599686.26576774276</c:v>
                </c:pt>
                <c:pt idx="120">
                  <c:v>599686.26576774276</c:v>
                </c:pt>
                <c:pt idx="121">
                  <c:v>599686.26576774276</c:v>
                </c:pt>
                <c:pt idx="122">
                  <c:v>599686.26576774276</c:v>
                </c:pt>
                <c:pt idx="123">
                  <c:v>599686.26576774276</c:v>
                </c:pt>
                <c:pt idx="124">
                  <c:v>599686.26576774276</c:v>
                </c:pt>
                <c:pt idx="125">
                  <c:v>599686.26576774276</c:v>
                </c:pt>
                <c:pt idx="126">
                  <c:v>599686.26576774276</c:v>
                </c:pt>
                <c:pt idx="127">
                  <c:v>599686.26576774276</c:v>
                </c:pt>
                <c:pt idx="128">
                  <c:v>599686.26576774276</c:v>
                </c:pt>
                <c:pt idx="129">
                  <c:v>599686.26576774276</c:v>
                </c:pt>
                <c:pt idx="130">
                  <c:v>599686.26576774276</c:v>
                </c:pt>
                <c:pt idx="131">
                  <c:v>599686.26576774276</c:v>
                </c:pt>
                <c:pt idx="132">
                  <c:v>599686.26576774276</c:v>
                </c:pt>
                <c:pt idx="133">
                  <c:v>599686.26576774276</c:v>
                </c:pt>
                <c:pt idx="134">
                  <c:v>599686.26576774276</c:v>
                </c:pt>
                <c:pt idx="135">
                  <c:v>599686.26576774276</c:v>
                </c:pt>
                <c:pt idx="136">
                  <c:v>599686.26576774276</c:v>
                </c:pt>
                <c:pt idx="137">
                  <c:v>599686.26576774276</c:v>
                </c:pt>
                <c:pt idx="138">
                  <c:v>599686.26576774276</c:v>
                </c:pt>
                <c:pt idx="139">
                  <c:v>599686.26576774276</c:v>
                </c:pt>
                <c:pt idx="140">
                  <c:v>599686.26576774276</c:v>
                </c:pt>
                <c:pt idx="141">
                  <c:v>599686.26576774276</c:v>
                </c:pt>
                <c:pt idx="142">
                  <c:v>599686.26576774276</c:v>
                </c:pt>
                <c:pt idx="143">
                  <c:v>599686.26576774276</c:v>
                </c:pt>
                <c:pt idx="144">
                  <c:v>599686.26576774276</c:v>
                </c:pt>
                <c:pt idx="145">
                  <c:v>599686.26576774276</c:v>
                </c:pt>
                <c:pt idx="146">
                  <c:v>599686.26576774276</c:v>
                </c:pt>
                <c:pt idx="147">
                  <c:v>599686.26576774276</c:v>
                </c:pt>
                <c:pt idx="148">
                  <c:v>599686.26576774276</c:v>
                </c:pt>
                <c:pt idx="149">
                  <c:v>599686.26576774276</c:v>
                </c:pt>
                <c:pt idx="150">
                  <c:v>599686.26576774276</c:v>
                </c:pt>
                <c:pt idx="151">
                  <c:v>599686.26576774276</c:v>
                </c:pt>
                <c:pt idx="152">
                  <c:v>599686.26576774276</c:v>
                </c:pt>
                <c:pt idx="153">
                  <c:v>599686.26576774276</c:v>
                </c:pt>
                <c:pt idx="154">
                  <c:v>599686.26576774276</c:v>
                </c:pt>
                <c:pt idx="155">
                  <c:v>599686.26576774276</c:v>
                </c:pt>
                <c:pt idx="156">
                  <c:v>599686.26576774276</c:v>
                </c:pt>
                <c:pt idx="157">
                  <c:v>599686.26576774276</c:v>
                </c:pt>
                <c:pt idx="158">
                  <c:v>599686.26576774276</c:v>
                </c:pt>
                <c:pt idx="159">
                  <c:v>599686.26576774276</c:v>
                </c:pt>
                <c:pt idx="160">
                  <c:v>599686.26576774276</c:v>
                </c:pt>
                <c:pt idx="161">
                  <c:v>599686.26576774276</c:v>
                </c:pt>
                <c:pt idx="162">
                  <c:v>599686.26576774276</c:v>
                </c:pt>
                <c:pt idx="163">
                  <c:v>599686.26576774276</c:v>
                </c:pt>
                <c:pt idx="164">
                  <c:v>599686.26576774276</c:v>
                </c:pt>
                <c:pt idx="165">
                  <c:v>599686.26576774276</c:v>
                </c:pt>
                <c:pt idx="166">
                  <c:v>599686.26576774276</c:v>
                </c:pt>
                <c:pt idx="167">
                  <c:v>599686.26576774276</c:v>
                </c:pt>
                <c:pt idx="168">
                  <c:v>599686.26576774276</c:v>
                </c:pt>
                <c:pt idx="169">
                  <c:v>599686.26576774276</c:v>
                </c:pt>
                <c:pt idx="170">
                  <c:v>599686.26576774276</c:v>
                </c:pt>
                <c:pt idx="171">
                  <c:v>599686.26576774276</c:v>
                </c:pt>
                <c:pt idx="172">
                  <c:v>599686.26576774276</c:v>
                </c:pt>
                <c:pt idx="173">
                  <c:v>599686.26576774276</c:v>
                </c:pt>
                <c:pt idx="174">
                  <c:v>599686.26576774276</c:v>
                </c:pt>
                <c:pt idx="175">
                  <c:v>599686.26576774276</c:v>
                </c:pt>
                <c:pt idx="176">
                  <c:v>599686.26576774276</c:v>
                </c:pt>
                <c:pt idx="177">
                  <c:v>599686.26576774276</c:v>
                </c:pt>
                <c:pt idx="178">
                  <c:v>599686.26576774276</c:v>
                </c:pt>
                <c:pt idx="179">
                  <c:v>599686.26576774276</c:v>
                </c:pt>
                <c:pt idx="180">
                  <c:v>599686.26576774276</c:v>
                </c:pt>
                <c:pt idx="181">
                  <c:v>599686.26576774276</c:v>
                </c:pt>
                <c:pt idx="182">
                  <c:v>599686.26576774276</c:v>
                </c:pt>
                <c:pt idx="183">
                  <c:v>599686.26576774276</c:v>
                </c:pt>
                <c:pt idx="184">
                  <c:v>599686.26576774276</c:v>
                </c:pt>
                <c:pt idx="185">
                  <c:v>599686.26576774276</c:v>
                </c:pt>
                <c:pt idx="186">
                  <c:v>599686.26576774276</c:v>
                </c:pt>
                <c:pt idx="187">
                  <c:v>599686.26576774276</c:v>
                </c:pt>
                <c:pt idx="188">
                  <c:v>599686.26576774276</c:v>
                </c:pt>
                <c:pt idx="189">
                  <c:v>599686.26576774276</c:v>
                </c:pt>
                <c:pt idx="190">
                  <c:v>599686.26576774276</c:v>
                </c:pt>
                <c:pt idx="191">
                  <c:v>599686.26576774276</c:v>
                </c:pt>
                <c:pt idx="192">
                  <c:v>599686.26576774276</c:v>
                </c:pt>
                <c:pt idx="193">
                  <c:v>599686.26576774276</c:v>
                </c:pt>
                <c:pt idx="194">
                  <c:v>599686.26576774276</c:v>
                </c:pt>
                <c:pt idx="195">
                  <c:v>599686.26576774276</c:v>
                </c:pt>
                <c:pt idx="196">
                  <c:v>599686.26576774276</c:v>
                </c:pt>
                <c:pt idx="197">
                  <c:v>599686.26576774276</c:v>
                </c:pt>
                <c:pt idx="198">
                  <c:v>599686.26576774276</c:v>
                </c:pt>
                <c:pt idx="199">
                  <c:v>599686.26576774276</c:v>
                </c:pt>
                <c:pt idx="200">
                  <c:v>599686.26576774276</c:v>
                </c:pt>
                <c:pt idx="201">
                  <c:v>599686.26576774276</c:v>
                </c:pt>
                <c:pt idx="202">
                  <c:v>599686.26576774276</c:v>
                </c:pt>
                <c:pt idx="203">
                  <c:v>599686.26576774276</c:v>
                </c:pt>
                <c:pt idx="204">
                  <c:v>599686.26576774276</c:v>
                </c:pt>
                <c:pt idx="205">
                  <c:v>599686.26576774276</c:v>
                </c:pt>
                <c:pt idx="206">
                  <c:v>599686.26576774276</c:v>
                </c:pt>
                <c:pt idx="207">
                  <c:v>599686.26576774276</c:v>
                </c:pt>
                <c:pt idx="208">
                  <c:v>599686.26576774276</c:v>
                </c:pt>
                <c:pt idx="209">
                  <c:v>599686.26576774276</c:v>
                </c:pt>
                <c:pt idx="210">
                  <c:v>599686.26576774276</c:v>
                </c:pt>
                <c:pt idx="211">
                  <c:v>599686.26576774276</c:v>
                </c:pt>
                <c:pt idx="212">
                  <c:v>599686.26576774276</c:v>
                </c:pt>
                <c:pt idx="213">
                  <c:v>599686.26576774276</c:v>
                </c:pt>
                <c:pt idx="214">
                  <c:v>599686.26576774276</c:v>
                </c:pt>
                <c:pt idx="215">
                  <c:v>599686.26576774276</c:v>
                </c:pt>
                <c:pt idx="216">
                  <c:v>599686.26576774276</c:v>
                </c:pt>
                <c:pt idx="217">
                  <c:v>599686.26576774276</c:v>
                </c:pt>
                <c:pt idx="218">
                  <c:v>599686.26576774276</c:v>
                </c:pt>
                <c:pt idx="219">
                  <c:v>599686.26576774276</c:v>
                </c:pt>
                <c:pt idx="220">
                  <c:v>599686.26576774276</c:v>
                </c:pt>
                <c:pt idx="221">
                  <c:v>599686.26576774276</c:v>
                </c:pt>
                <c:pt idx="222">
                  <c:v>599686.26576774276</c:v>
                </c:pt>
                <c:pt idx="223">
                  <c:v>599686.26576774276</c:v>
                </c:pt>
                <c:pt idx="224">
                  <c:v>599686.26576774276</c:v>
                </c:pt>
                <c:pt idx="225">
                  <c:v>599686.26576774276</c:v>
                </c:pt>
                <c:pt idx="226">
                  <c:v>599686.26576774276</c:v>
                </c:pt>
                <c:pt idx="227">
                  <c:v>599686.26576774276</c:v>
                </c:pt>
                <c:pt idx="228">
                  <c:v>599686.26576774276</c:v>
                </c:pt>
                <c:pt idx="229">
                  <c:v>599686.26576774276</c:v>
                </c:pt>
                <c:pt idx="230">
                  <c:v>599686.26576774276</c:v>
                </c:pt>
                <c:pt idx="231">
                  <c:v>599686.26576774276</c:v>
                </c:pt>
                <c:pt idx="232">
                  <c:v>599686.26576774276</c:v>
                </c:pt>
                <c:pt idx="233">
                  <c:v>599686.26576774276</c:v>
                </c:pt>
                <c:pt idx="234">
                  <c:v>599686.26576774276</c:v>
                </c:pt>
                <c:pt idx="235">
                  <c:v>599686.26576774276</c:v>
                </c:pt>
                <c:pt idx="236">
                  <c:v>599686.26576774276</c:v>
                </c:pt>
                <c:pt idx="237">
                  <c:v>599686.26576774276</c:v>
                </c:pt>
                <c:pt idx="238">
                  <c:v>599686.26576774276</c:v>
                </c:pt>
                <c:pt idx="239">
                  <c:v>599686.26576774276</c:v>
                </c:pt>
                <c:pt idx="240">
                  <c:v>599686.26576774276</c:v>
                </c:pt>
                <c:pt idx="241">
                  <c:v>599686.26576774276</c:v>
                </c:pt>
                <c:pt idx="242">
                  <c:v>599686.26576774276</c:v>
                </c:pt>
                <c:pt idx="243">
                  <c:v>599686.26576774276</c:v>
                </c:pt>
                <c:pt idx="244">
                  <c:v>599686.26576774276</c:v>
                </c:pt>
                <c:pt idx="245">
                  <c:v>599686.26576774276</c:v>
                </c:pt>
                <c:pt idx="246">
                  <c:v>599686.26576774276</c:v>
                </c:pt>
                <c:pt idx="247">
                  <c:v>599686.26576774276</c:v>
                </c:pt>
                <c:pt idx="248">
                  <c:v>599686.26576774276</c:v>
                </c:pt>
                <c:pt idx="249">
                  <c:v>599686.26576774276</c:v>
                </c:pt>
                <c:pt idx="250">
                  <c:v>599686.26576774276</c:v>
                </c:pt>
                <c:pt idx="251">
                  <c:v>599686.26576774276</c:v>
                </c:pt>
                <c:pt idx="252">
                  <c:v>599686.26576774276</c:v>
                </c:pt>
                <c:pt idx="253">
                  <c:v>599686.26576774276</c:v>
                </c:pt>
                <c:pt idx="254">
                  <c:v>599686.26576774276</c:v>
                </c:pt>
                <c:pt idx="255">
                  <c:v>599686.26576774276</c:v>
                </c:pt>
                <c:pt idx="256">
                  <c:v>599686.26576774276</c:v>
                </c:pt>
                <c:pt idx="257">
                  <c:v>599686.26576774276</c:v>
                </c:pt>
                <c:pt idx="258">
                  <c:v>599686.26576774276</c:v>
                </c:pt>
                <c:pt idx="259">
                  <c:v>599686.26576774276</c:v>
                </c:pt>
                <c:pt idx="260">
                  <c:v>599686.26576774276</c:v>
                </c:pt>
                <c:pt idx="261">
                  <c:v>599686.26576774276</c:v>
                </c:pt>
                <c:pt idx="262">
                  <c:v>599686.26576774276</c:v>
                </c:pt>
                <c:pt idx="263">
                  <c:v>599686.26576774276</c:v>
                </c:pt>
                <c:pt idx="264">
                  <c:v>599686.26576774276</c:v>
                </c:pt>
                <c:pt idx="265">
                  <c:v>599686.26576774276</c:v>
                </c:pt>
                <c:pt idx="266">
                  <c:v>599686.26576774276</c:v>
                </c:pt>
                <c:pt idx="267">
                  <c:v>599686.26576774276</c:v>
                </c:pt>
                <c:pt idx="268">
                  <c:v>599686.26576774276</c:v>
                </c:pt>
                <c:pt idx="269">
                  <c:v>599686.26576774276</c:v>
                </c:pt>
                <c:pt idx="270">
                  <c:v>599686.26576774276</c:v>
                </c:pt>
                <c:pt idx="271">
                  <c:v>599686.26576774276</c:v>
                </c:pt>
                <c:pt idx="272">
                  <c:v>599686.26576774276</c:v>
                </c:pt>
                <c:pt idx="273">
                  <c:v>599686.26576774276</c:v>
                </c:pt>
                <c:pt idx="274">
                  <c:v>599686.26576774276</c:v>
                </c:pt>
                <c:pt idx="275">
                  <c:v>599686.26576774276</c:v>
                </c:pt>
                <c:pt idx="276">
                  <c:v>599686.26576774276</c:v>
                </c:pt>
                <c:pt idx="277">
                  <c:v>599686.26576774276</c:v>
                </c:pt>
                <c:pt idx="278">
                  <c:v>599686.26576774276</c:v>
                </c:pt>
                <c:pt idx="279">
                  <c:v>599686.26576774276</c:v>
                </c:pt>
                <c:pt idx="280">
                  <c:v>599686.26576774276</c:v>
                </c:pt>
                <c:pt idx="281">
                  <c:v>599686.26576774276</c:v>
                </c:pt>
                <c:pt idx="282">
                  <c:v>599686.26576774276</c:v>
                </c:pt>
                <c:pt idx="283">
                  <c:v>599686.26576774276</c:v>
                </c:pt>
                <c:pt idx="284">
                  <c:v>599686.26576774276</c:v>
                </c:pt>
                <c:pt idx="285">
                  <c:v>599686.26576774276</c:v>
                </c:pt>
                <c:pt idx="286">
                  <c:v>599686.26576774276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1063786.9159693019</c:v>
                </c:pt>
                <c:pt idx="16">
                  <c:v>1063786.9159693019</c:v>
                </c:pt>
                <c:pt idx="17">
                  <c:v>1063786.9159693019</c:v>
                </c:pt>
                <c:pt idx="18">
                  <c:v>1063786.9159693019</c:v>
                </c:pt>
                <c:pt idx="19">
                  <c:v>1063786.9159693019</c:v>
                </c:pt>
                <c:pt idx="20">
                  <c:v>1164596.9440315415</c:v>
                </c:pt>
                <c:pt idx="21">
                  <c:v>1164596.9440315415</c:v>
                </c:pt>
                <c:pt idx="22">
                  <c:v>1164596.9440315415</c:v>
                </c:pt>
                <c:pt idx="23">
                  <c:v>1164596.9440315415</c:v>
                </c:pt>
                <c:pt idx="24">
                  <c:v>1398762.960174334</c:v>
                </c:pt>
                <c:pt idx="25">
                  <c:v>1398762.960174334</c:v>
                </c:pt>
                <c:pt idx="26">
                  <c:v>1398762.960174334</c:v>
                </c:pt>
                <c:pt idx="27">
                  <c:v>1398762.960174334</c:v>
                </c:pt>
                <c:pt idx="28">
                  <c:v>1399380.6072331576</c:v>
                </c:pt>
                <c:pt idx="29">
                  <c:v>1399380.6072331576</c:v>
                </c:pt>
                <c:pt idx="30">
                  <c:v>1399380.6072331576</c:v>
                </c:pt>
                <c:pt idx="31">
                  <c:v>1399380.6072331576</c:v>
                </c:pt>
                <c:pt idx="32">
                  <c:v>1399380.6072331576</c:v>
                </c:pt>
                <c:pt idx="33">
                  <c:v>1399380.6072331576</c:v>
                </c:pt>
                <c:pt idx="34">
                  <c:v>1399380.6072331576</c:v>
                </c:pt>
                <c:pt idx="35">
                  <c:v>1399380.6072331576</c:v>
                </c:pt>
                <c:pt idx="36">
                  <c:v>1399380.6072331576</c:v>
                </c:pt>
                <c:pt idx="37">
                  <c:v>1399380.6072331576</c:v>
                </c:pt>
                <c:pt idx="38">
                  <c:v>1399380.6072331576</c:v>
                </c:pt>
                <c:pt idx="39">
                  <c:v>1399380.6072331576</c:v>
                </c:pt>
                <c:pt idx="40">
                  <c:v>1399380.6072331576</c:v>
                </c:pt>
                <c:pt idx="41">
                  <c:v>1399380.6072331576</c:v>
                </c:pt>
                <c:pt idx="42">
                  <c:v>1399380.6072331576</c:v>
                </c:pt>
                <c:pt idx="43">
                  <c:v>1399380.6072331576</c:v>
                </c:pt>
                <c:pt idx="44">
                  <c:v>1399380.6072331576</c:v>
                </c:pt>
                <c:pt idx="45">
                  <c:v>1399380.6072331576</c:v>
                </c:pt>
                <c:pt idx="46">
                  <c:v>1399380.6072331576</c:v>
                </c:pt>
                <c:pt idx="47">
                  <c:v>1399380.6072331576</c:v>
                </c:pt>
                <c:pt idx="48">
                  <c:v>1399380.6072331576</c:v>
                </c:pt>
                <c:pt idx="49">
                  <c:v>1399380.6072331576</c:v>
                </c:pt>
                <c:pt idx="50">
                  <c:v>1399380.6072331576</c:v>
                </c:pt>
                <c:pt idx="51">
                  <c:v>1399380.6072331576</c:v>
                </c:pt>
                <c:pt idx="52">
                  <c:v>1399380.6072331576</c:v>
                </c:pt>
                <c:pt idx="53">
                  <c:v>1399380.6072331576</c:v>
                </c:pt>
                <c:pt idx="54">
                  <c:v>1399380.6072331576</c:v>
                </c:pt>
                <c:pt idx="55">
                  <c:v>1399380.6072331576</c:v>
                </c:pt>
                <c:pt idx="56">
                  <c:v>1399380.6072331576</c:v>
                </c:pt>
                <c:pt idx="57">
                  <c:v>1399380.6072331576</c:v>
                </c:pt>
                <c:pt idx="58">
                  <c:v>1399380.6072331576</c:v>
                </c:pt>
                <c:pt idx="59">
                  <c:v>1399380.6072331576</c:v>
                </c:pt>
                <c:pt idx="60">
                  <c:v>1399380.6072331576</c:v>
                </c:pt>
                <c:pt idx="61">
                  <c:v>1399380.6072331576</c:v>
                </c:pt>
                <c:pt idx="62">
                  <c:v>1399380.6072331576</c:v>
                </c:pt>
                <c:pt idx="63">
                  <c:v>1399380.6072331576</c:v>
                </c:pt>
                <c:pt idx="64">
                  <c:v>1399380.6072331576</c:v>
                </c:pt>
                <c:pt idx="65">
                  <c:v>1399380.6072331576</c:v>
                </c:pt>
                <c:pt idx="66">
                  <c:v>1399380.6072331576</c:v>
                </c:pt>
                <c:pt idx="67">
                  <c:v>1399380.6072331576</c:v>
                </c:pt>
                <c:pt idx="68">
                  <c:v>1399380.6072331576</c:v>
                </c:pt>
                <c:pt idx="69">
                  <c:v>1399380.6072331576</c:v>
                </c:pt>
                <c:pt idx="70">
                  <c:v>1399380.6072331576</c:v>
                </c:pt>
                <c:pt idx="71">
                  <c:v>1399380.6072331576</c:v>
                </c:pt>
                <c:pt idx="72">
                  <c:v>1399380.6072331576</c:v>
                </c:pt>
                <c:pt idx="73">
                  <c:v>1399380.6072331576</c:v>
                </c:pt>
                <c:pt idx="74">
                  <c:v>1399380.6072331576</c:v>
                </c:pt>
                <c:pt idx="75">
                  <c:v>1399380.6072331576</c:v>
                </c:pt>
                <c:pt idx="76">
                  <c:v>1399380.6072331576</c:v>
                </c:pt>
                <c:pt idx="77">
                  <c:v>1399380.6072331576</c:v>
                </c:pt>
                <c:pt idx="78">
                  <c:v>1399380.6072331576</c:v>
                </c:pt>
                <c:pt idx="79">
                  <c:v>1399380.6072331576</c:v>
                </c:pt>
                <c:pt idx="80">
                  <c:v>1399380.6072331576</c:v>
                </c:pt>
                <c:pt idx="81">
                  <c:v>1399380.6072331576</c:v>
                </c:pt>
                <c:pt idx="82">
                  <c:v>1399380.6072331576</c:v>
                </c:pt>
                <c:pt idx="83">
                  <c:v>1399380.6072331576</c:v>
                </c:pt>
                <c:pt idx="84">
                  <c:v>1399380.6072331576</c:v>
                </c:pt>
                <c:pt idx="85">
                  <c:v>1399380.6072331576</c:v>
                </c:pt>
                <c:pt idx="86">
                  <c:v>1399380.6072331576</c:v>
                </c:pt>
                <c:pt idx="87">
                  <c:v>1399380.6072331576</c:v>
                </c:pt>
                <c:pt idx="88">
                  <c:v>1399380.6072331576</c:v>
                </c:pt>
                <c:pt idx="89">
                  <c:v>1399380.6072331576</c:v>
                </c:pt>
                <c:pt idx="90">
                  <c:v>1399380.6072331576</c:v>
                </c:pt>
                <c:pt idx="91">
                  <c:v>1399380.6072331576</c:v>
                </c:pt>
                <c:pt idx="92">
                  <c:v>1399380.6072331576</c:v>
                </c:pt>
                <c:pt idx="93">
                  <c:v>1399380.6072331576</c:v>
                </c:pt>
                <c:pt idx="94">
                  <c:v>1399380.6072331576</c:v>
                </c:pt>
                <c:pt idx="95">
                  <c:v>1399380.6072331576</c:v>
                </c:pt>
                <c:pt idx="96">
                  <c:v>1399380.6072331576</c:v>
                </c:pt>
                <c:pt idx="97">
                  <c:v>1399380.6072331576</c:v>
                </c:pt>
                <c:pt idx="98">
                  <c:v>1399380.6072331576</c:v>
                </c:pt>
                <c:pt idx="99">
                  <c:v>1399380.6072331576</c:v>
                </c:pt>
                <c:pt idx="100">
                  <c:v>1399380.6072331576</c:v>
                </c:pt>
                <c:pt idx="101">
                  <c:v>1399380.6072331576</c:v>
                </c:pt>
                <c:pt idx="102">
                  <c:v>1399380.6072331576</c:v>
                </c:pt>
                <c:pt idx="103">
                  <c:v>1399380.6072331576</c:v>
                </c:pt>
                <c:pt idx="104">
                  <c:v>1399380.6072331576</c:v>
                </c:pt>
                <c:pt idx="105">
                  <c:v>1399380.6072331576</c:v>
                </c:pt>
                <c:pt idx="106">
                  <c:v>1399380.6072331576</c:v>
                </c:pt>
                <c:pt idx="107">
                  <c:v>1399380.6072331576</c:v>
                </c:pt>
                <c:pt idx="108">
                  <c:v>1399380.6072331576</c:v>
                </c:pt>
                <c:pt idx="109">
                  <c:v>1399380.6072331576</c:v>
                </c:pt>
                <c:pt idx="110">
                  <c:v>1399380.6072331576</c:v>
                </c:pt>
                <c:pt idx="111">
                  <c:v>1399380.6072331576</c:v>
                </c:pt>
                <c:pt idx="112">
                  <c:v>1399380.6072331576</c:v>
                </c:pt>
                <c:pt idx="113">
                  <c:v>1399380.6072331576</c:v>
                </c:pt>
                <c:pt idx="114">
                  <c:v>1399380.6072331576</c:v>
                </c:pt>
                <c:pt idx="115">
                  <c:v>1399380.6072331576</c:v>
                </c:pt>
                <c:pt idx="116">
                  <c:v>1399380.6072331576</c:v>
                </c:pt>
                <c:pt idx="117">
                  <c:v>1399380.6072331576</c:v>
                </c:pt>
                <c:pt idx="118">
                  <c:v>1399380.6072331576</c:v>
                </c:pt>
                <c:pt idx="119">
                  <c:v>1399380.6072331576</c:v>
                </c:pt>
                <c:pt idx="120">
                  <c:v>1399380.6072331576</c:v>
                </c:pt>
                <c:pt idx="121">
                  <c:v>1399380.6072331576</c:v>
                </c:pt>
                <c:pt idx="122">
                  <c:v>1399380.6072331576</c:v>
                </c:pt>
                <c:pt idx="123">
                  <c:v>1399380.6072331576</c:v>
                </c:pt>
                <c:pt idx="124">
                  <c:v>1399380.6072331576</c:v>
                </c:pt>
                <c:pt idx="125">
                  <c:v>1399380.6072331576</c:v>
                </c:pt>
                <c:pt idx="126">
                  <c:v>1399380.6072331576</c:v>
                </c:pt>
                <c:pt idx="127">
                  <c:v>1399380.6072331576</c:v>
                </c:pt>
                <c:pt idx="128">
                  <c:v>1399380.6072331576</c:v>
                </c:pt>
                <c:pt idx="129">
                  <c:v>1399380.6072331576</c:v>
                </c:pt>
                <c:pt idx="130">
                  <c:v>1399380.6072331576</c:v>
                </c:pt>
                <c:pt idx="131">
                  <c:v>1399380.6072331576</c:v>
                </c:pt>
                <c:pt idx="132">
                  <c:v>1399380.6072331576</c:v>
                </c:pt>
                <c:pt idx="133">
                  <c:v>1399380.6072331576</c:v>
                </c:pt>
                <c:pt idx="134">
                  <c:v>1399380.6072331576</c:v>
                </c:pt>
                <c:pt idx="135">
                  <c:v>1399380.6072331576</c:v>
                </c:pt>
                <c:pt idx="136">
                  <c:v>1399380.6072331576</c:v>
                </c:pt>
                <c:pt idx="137">
                  <c:v>1399380.6072331576</c:v>
                </c:pt>
                <c:pt idx="138">
                  <c:v>1399380.6072331576</c:v>
                </c:pt>
                <c:pt idx="139">
                  <c:v>1399380.6072331576</c:v>
                </c:pt>
                <c:pt idx="140">
                  <c:v>1399380.6072331576</c:v>
                </c:pt>
                <c:pt idx="141">
                  <c:v>1399380.6072331576</c:v>
                </c:pt>
                <c:pt idx="142">
                  <c:v>1399380.6072331576</c:v>
                </c:pt>
                <c:pt idx="143">
                  <c:v>1399380.6072331576</c:v>
                </c:pt>
                <c:pt idx="144">
                  <c:v>1399380.6072331576</c:v>
                </c:pt>
                <c:pt idx="145">
                  <c:v>1399380.6072331576</c:v>
                </c:pt>
                <c:pt idx="146">
                  <c:v>1399380.6072331576</c:v>
                </c:pt>
                <c:pt idx="147">
                  <c:v>1399380.6072331576</c:v>
                </c:pt>
                <c:pt idx="148">
                  <c:v>1399380.6072331576</c:v>
                </c:pt>
                <c:pt idx="149">
                  <c:v>1399380.6072331576</c:v>
                </c:pt>
                <c:pt idx="150">
                  <c:v>1399380.6072331576</c:v>
                </c:pt>
                <c:pt idx="151">
                  <c:v>1399380.6072331576</c:v>
                </c:pt>
                <c:pt idx="152">
                  <c:v>1399380.6072331576</c:v>
                </c:pt>
                <c:pt idx="153">
                  <c:v>1399380.6072331576</c:v>
                </c:pt>
                <c:pt idx="154">
                  <c:v>1399380.6072331576</c:v>
                </c:pt>
                <c:pt idx="155">
                  <c:v>1399380.6072331576</c:v>
                </c:pt>
                <c:pt idx="156">
                  <c:v>1399380.6072331576</c:v>
                </c:pt>
                <c:pt idx="157">
                  <c:v>1399380.6072331576</c:v>
                </c:pt>
                <c:pt idx="158">
                  <c:v>1399380.6072331576</c:v>
                </c:pt>
                <c:pt idx="159">
                  <c:v>1399380.6072331576</c:v>
                </c:pt>
                <c:pt idx="160">
                  <c:v>1399380.6072331576</c:v>
                </c:pt>
                <c:pt idx="161">
                  <c:v>1399380.6072331576</c:v>
                </c:pt>
                <c:pt idx="162">
                  <c:v>1399380.6072331576</c:v>
                </c:pt>
                <c:pt idx="163">
                  <c:v>1399380.6072331576</c:v>
                </c:pt>
                <c:pt idx="164">
                  <c:v>1399380.6072331576</c:v>
                </c:pt>
                <c:pt idx="165">
                  <c:v>1399380.6072331576</c:v>
                </c:pt>
                <c:pt idx="166">
                  <c:v>1399380.6072331576</c:v>
                </c:pt>
                <c:pt idx="167">
                  <c:v>1399380.6072331576</c:v>
                </c:pt>
                <c:pt idx="168">
                  <c:v>1399380.6072331576</c:v>
                </c:pt>
                <c:pt idx="169">
                  <c:v>1399380.6072331576</c:v>
                </c:pt>
                <c:pt idx="170">
                  <c:v>1399380.6072331576</c:v>
                </c:pt>
                <c:pt idx="171">
                  <c:v>1399380.6072331576</c:v>
                </c:pt>
                <c:pt idx="172">
                  <c:v>1399380.6072331576</c:v>
                </c:pt>
                <c:pt idx="173">
                  <c:v>1399380.6072331576</c:v>
                </c:pt>
                <c:pt idx="174">
                  <c:v>1399380.6072331576</c:v>
                </c:pt>
                <c:pt idx="175">
                  <c:v>1399380.6072331576</c:v>
                </c:pt>
                <c:pt idx="176">
                  <c:v>1399380.6072331576</c:v>
                </c:pt>
                <c:pt idx="177">
                  <c:v>1399380.6072331576</c:v>
                </c:pt>
                <c:pt idx="178">
                  <c:v>1399380.6072331576</c:v>
                </c:pt>
                <c:pt idx="179">
                  <c:v>1399380.6072331576</c:v>
                </c:pt>
                <c:pt idx="180">
                  <c:v>1399380.6072331576</c:v>
                </c:pt>
                <c:pt idx="181">
                  <c:v>1399380.6072331576</c:v>
                </c:pt>
                <c:pt idx="182">
                  <c:v>1399380.6072331576</c:v>
                </c:pt>
                <c:pt idx="183">
                  <c:v>1399380.6072331576</c:v>
                </c:pt>
                <c:pt idx="184">
                  <c:v>1399380.6072331576</c:v>
                </c:pt>
                <c:pt idx="185">
                  <c:v>1399380.6072331576</c:v>
                </c:pt>
                <c:pt idx="186">
                  <c:v>1399380.6072331576</c:v>
                </c:pt>
                <c:pt idx="187">
                  <c:v>1399380.6072331576</c:v>
                </c:pt>
                <c:pt idx="188">
                  <c:v>1399380.6072331576</c:v>
                </c:pt>
                <c:pt idx="189">
                  <c:v>1399380.6072331576</c:v>
                </c:pt>
                <c:pt idx="190">
                  <c:v>1399380.6072331576</c:v>
                </c:pt>
                <c:pt idx="191">
                  <c:v>1399380.6072331576</c:v>
                </c:pt>
                <c:pt idx="192">
                  <c:v>1399380.6072331576</c:v>
                </c:pt>
                <c:pt idx="193">
                  <c:v>1399380.6072331576</c:v>
                </c:pt>
                <c:pt idx="194">
                  <c:v>1399380.6072331576</c:v>
                </c:pt>
                <c:pt idx="195">
                  <c:v>1399380.6072331576</c:v>
                </c:pt>
                <c:pt idx="196">
                  <c:v>1399380.6072331576</c:v>
                </c:pt>
                <c:pt idx="197">
                  <c:v>1399380.6072331576</c:v>
                </c:pt>
                <c:pt idx="198">
                  <c:v>1399380.6072331576</c:v>
                </c:pt>
                <c:pt idx="199">
                  <c:v>1399380.6072331576</c:v>
                </c:pt>
                <c:pt idx="200">
                  <c:v>1399380.6072331576</c:v>
                </c:pt>
                <c:pt idx="201">
                  <c:v>1399380.6072331576</c:v>
                </c:pt>
                <c:pt idx="202">
                  <c:v>1399380.6072331576</c:v>
                </c:pt>
                <c:pt idx="203">
                  <c:v>1399380.6072331576</c:v>
                </c:pt>
                <c:pt idx="204">
                  <c:v>1399380.6072331576</c:v>
                </c:pt>
                <c:pt idx="205">
                  <c:v>1399380.6072331576</c:v>
                </c:pt>
                <c:pt idx="206">
                  <c:v>1399380.6072331576</c:v>
                </c:pt>
                <c:pt idx="207">
                  <c:v>1399380.6072331576</c:v>
                </c:pt>
                <c:pt idx="208">
                  <c:v>1399380.6072331576</c:v>
                </c:pt>
                <c:pt idx="209">
                  <c:v>1399380.6072331576</c:v>
                </c:pt>
                <c:pt idx="210">
                  <c:v>1399380.6072331576</c:v>
                </c:pt>
                <c:pt idx="211">
                  <c:v>1399380.6072331576</c:v>
                </c:pt>
                <c:pt idx="212">
                  <c:v>1399380.6072331576</c:v>
                </c:pt>
                <c:pt idx="213">
                  <c:v>1399380.6072331576</c:v>
                </c:pt>
                <c:pt idx="214">
                  <c:v>1399380.6072331576</c:v>
                </c:pt>
                <c:pt idx="215">
                  <c:v>1399380.6072331576</c:v>
                </c:pt>
                <c:pt idx="216">
                  <c:v>1399380.6072331576</c:v>
                </c:pt>
                <c:pt idx="217">
                  <c:v>1399380.6072331576</c:v>
                </c:pt>
                <c:pt idx="218">
                  <c:v>1399380.6072331576</c:v>
                </c:pt>
                <c:pt idx="219">
                  <c:v>1399380.6072331576</c:v>
                </c:pt>
                <c:pt idx="220">
                  <c:v>1399380.6072331576</c:v>
                </c:pt>
                <c:pt idx="221">
                  <c:v>1399380.6072331576</c:v>
                </c:pt>
                <c:pt idx="222">
                  <c:v>1399380.6072331576</c:v>
                </c:pt>
                <c:pt idx="223">
                  <c:v>1399380.6072331576</c:v>
                </c:pt>
                <c:pt idx="224">
                  <c:v>1399380.6072331576</c:v>
                </c:pt>
                <c:pt idx="225">
                  <c:v>1399380.6072331576</c:v>
                </c:pt>
                <c:pt idx="226">
                  <c:v>1399380.6072331576</c:v>
                </c:pt>
                <c:pt idx="227">
                  <c:v>1399380.6072331576</c:v>
                </c:pt>
                <c:pt idx="228">
                  <c:v>1399380.6072331576</c:v>
                </c:pt>
                <c:pt idx="229">
                  <c:v>1399380.6072331576</c:v>
                </c:pt>
                <c:pt idx="230">
                  <c:v>1399380.6072331576</c:v>
                </c:pt>
                <c:pt idx="231">
                  <c:v>1399380.6072331576</c:v>
                </c:pt>
                <c:pt idx="232">
                  <c:v>1399380.6072331576</c:v>
                </c:pt>
                <c:pt idx="233">
                  <c:v>1399380.6072331576</c:v>
                </c:pt>
                <c:pt idx="234">
                  <c:v>1399380.6072331576</c:v>
                </c:pt>
                <c:pt idx="235">
                  <c:v>1399380.6072331576</c:v>
                </c:pt>
                <c:pt idx="236">
                  <c:v>1399380.6072331576</c:v>
                </c:pt>
                <c:pt idx="237">
                  <c:v>1399380.6072331576</c:v>
                </c:pt>
                <c:pt idx="238">
                  <c:v>1399380.6072331576</c:v>
                </c:pt>
                <c:pt idx="239">
                  <c:v>1399380.6072331576</c:v>
                </c:pt>
                <c:pt idx="240">
                  <c:v>1399380.6072331576</c:v>
                </c:pt>
                <c:pt idx="241">
                  <c:v>1399380.6072331576</c:v>
                </c:pt>
                <c:pt idx="242">
                  <c:v>1399380.6072331576</c:v>
                </c:pt>
                <c:pt idx="243">
                  <c:v>1399380.6072331576</c:v>
                </c:pt>
                <c:pt idx="244">
                  <c:v>1399380.6072331576</c:v>
                </c:pt>
                <c:pt idx="245">
                  <c:v>1399380.6072331576</c:v>
                </c:pt>
                <c:pt idx="246">
                  <c:v>1399380.6072331576</c:v>
                </c:pt>
                <c:pt idx="247">
                  <c:v>1399380.6072331576</c:v>
                </c:pt>
                <c:pt idx="248">
                  <c:v>1399380.6072331576</c:v>
                </c:pt>
                <c:pt idx="249">
                  <c:v>1399380.6072331576</c:v>
                </c:pt>
                <c:pt idx="250">
                  <c:v>1399380.6072331576</c:v>
                </c:pt>
                <c:pt idx="251">
                  <c:v>1399380.6072331576</c:v>
                </c:pt>
                <c:pt idx="252">
                  <c:v>1399380.6072331576</c:v>
                </c:pt>
                <c:pt idx="253">
                  <c:v>1399380.6072331576</c:v>
                </c:pt>
                <c:pt idx="254">
                  <c:v>1399380.6072331576</c:v>
                </c:pt>
                <c:pt idx="255">
                  <c:v>1399380.6072331576</c:v>
                </c:pt>
                <c:pt idx="256">
                  <c:v>1399380.6072331576</c:v>
                </c:pt>
                <c:pt idx="257">
                  <c:v>1399380.6072331576</c:v>
                </c:pt>
                <c:pt idx="258">
                  <c:v>1399380.6072331576</c:v>
                </c:pt>
                <c:pt idx="259">
                  <c:v>1399380.6072331576</c:v>
                </c:pt>
                <c:pt idx="260">
                  <c:v>1399380.6072331576</c:v>
                </c:pt>
                <c:pt idx="261">
                  <c:v>1399380.6072331576</c:v>
                </c:pt>
                <c:pt idx="262">
                  <c:v>1399380.6072331576</c:v>
                </c:pt>
                <c:pt idx="263">
                  <c:v>1399380.6072331576</c:v>
                </c:pt>
                <c:pt idx="264">
                  <c:v>1399380.6072331576</c:v>
                </c:pt>
                <c:pt idx="265">
                  <c:v>1399380.6072331576</c:v>
                </c:pt>
                <c:pt idx="266">
                  <c:v>1399380.6072331576</c:v>
                </c:pt>
                <c:pt idx="267">
                  <c:v>1399380.6072331576</c:v>
                </c:pt>
                <c:pt idx="268">
                  <c:v>1399380.6072331576</c:v>
                </c:pt>
                <c:pt idx="269">
                  <c:v>1399380.6072331576</c:v>
                </c:pt>
                <c:pt idx="270">
                  <c:v>1399380.6072331576</c:v>
                </c:pt>
                <c:pt idx="271">
                  <c:v>1399380.6072331576</c:v>
                </c:pt>
                <c:pt idx="272">
                  <c:v>1399380.6072331576</c:v>
                </c:pt>
                <c:pt idx="273">
                  <c:v>1399380.6072331576</c:v>
                </c:pt>
                <c:pt idx="274">
                  <c:v>1399380.6072331576</c:v>
                </c:pt>
                <c:pt idx="275">
                  <c:v>1399380.6072331576</c:v>
                </c:pt>
                <c:pt idx="276">
                  <c:v>1399380.6072331576</c:v>
                </c:pt>
                <c:pt idx="277">
                  <c:v>1399380.6072331576</c:v>
                </c:pt>
                <c:pt idx="278">
                  <c:v>1399380.6072331576</c:v>
                </c:pt>
                <c:pt idx="279">
                  <c:v>1399380.6072331576</c:v>
                </c:pt>
                <c:pt idx="280">
                  <c:v>1399380.6072331576</c:v>
                </c:pt>
                <c:pt idx="281">
                  <c:v>1399380.6072331576</c:v>
                </c:pt>
                <c:pt idx="282">
                  <c:v>1399380.6072331576</c:v>
                </c:pt>
                <c:pt idx="283">
                  <c:v>1399380.6072331576</c:v>
                </c:pt>
                <c:pt idx="284">
                  <c:v>1399380.6072331576</c:v>
                </c:pt>
                <c:pt idx="285">
                  <c:v>1399380.6072331576</c:v>
                </c:pt>
                <c:pt idx="286">
                  <c:v>1399380.6072331576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57" t="s">
        <v>0</v>
      </c>
      <c r="C2" s="657"/>
      <c r="D2" s="657"/>
      <c r="E2" s="657"/>
      <c r="H2" s="658" t="s">
        <v>1</v>
      </c>
      <c r="I2" s="659"/>
      <c r="J2" s="659"/>
      <c r="K2" s="659"/>
      <c r="L2" s="659"/>
      <c r="M2" s="659"/>
      <c r="N2" s="659"/>
      <c r="O2" s="660"/>
    </row>
    <row r="3" spans="2:15">
      <c r="B3" s="615"/>
      <c r="H3" s="661"/>
      <c r="I3" s="662"/>
      <c r="J3" s="662"/>
      <c r="K3" s="662"/>
      <c r="L3" s="662"/>
      <c r="M3" s="662"/>
      <c r="N3" s="662"/>
      <c r="O3" s="663"/>
    </row>
    <row r="4" spans="2:15">
      <c r="B4" s="616" t="s">
        <v>2</v>
      </c>
      <c r="C4" s="617" t="str">
        <f>'Project Plan'!E2</f>
        <v>Steelpark</v>
      </c>
      <c r="H4" s="661"/>
      <c r="I4" s="662"/>
      <c r="J4" s="662"/>
      <c r="K4" s="662"/>
      <c r="L4" s="662"/>
      <c r="M4" s="662"/>
      <c r="N4" s="662"/>
      <c r="O4" s="663"/>
    </row>
    <row r="5" spans="2:15">
      <c r="B5" s="616" t="s">
        <v>3</v>
      </c>
      <c r="C5" s="617" t="s">
        <v>4</v>
      </c>
      <c r="H5" s="661"/>
      <c r="I5" s="662"/>
      <c r="J5" s="662"/>
      <c r="K5" s="662"/>
      <c r="L5" s="662"/>
      <c r="M5" s="662"/>
      <c r="N5" s="662"/>
      <c r="O5" s="663"/>
    </row>
    <row r="6" spans="2:15">
      <c r="B6" s="616" t="s">
        <v>5</v>
      </c>
      <c r="C6" s="617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>
      <c r="B7" s="616" t="s">
        <v>7</v>
      </c>
      <c r="C7" s="617" t="s">
        <v>8</v>
      </c>
      <c r="H7" s="661"/>
      <c r="I7" s="662"/>
      <c r="J7" s="662"/>
      <c r="K7" s="662"/>
      <c r="L7" s="662"/>
      <c r="M7" s="662"/>
      <c r="N7" s="662"/>
      <c r="O7" s="663"/>
    </row>
    <row r="8" spans="2:15">
      <c r="B8" s="615"/>
      <c r="H8" s="661"/>
      <c r="I8" s="662"/>
      <c r="J8" s="662"/>
      <c r="K8" s="662"/>
      <c r="L8" s="662"/>
      <c r="M8" s="662"/>
      <c r="N8" s="662"/>
      <c r="O8" s="663"/>
    </row>
    <row r="9" spans="2:15">
      <c r="B9" s="667" t="s">
        <v>9</v>
      </c>
      <c r="C9" s="667"/>
      <c r="D9" s="667"/>
      <c r="E9" s="667"/>
      <c r="H9" s="661"/>
      <c r="I9" s="662"/>
      <c r="J9" s="662"/>
      <c r="K9" s="662"/>
      <c r="L9" s="662"/>
      <c r="M9" s="662"/>
      <c r="N9" s="662"/>
      <c r="O9" s="663"/>
    </row>
    <row r="10" spans="2:15" ht="15" thickBot="1">
      <c r="B10" s="667" t="s">
        <v>10</v>
      </c>
      <c r="C10" s="667"/>
      <c r="D10" s="667"/>
      <c r="E10" s="667"/>
      <c r="H10" s="664"/>
      <c r="I10" s="665"/>
      <c r="J10" s="665"/>
      <c r="K10" s="665"/>
      <c r="L10" s="665"/>
      <c r="M10" s="665"/>
      <c r="N10" s="665"/>
      <c r="O10" s="666"/>
    </row>
    <row r="11" spans="2:15">
      <c r="B11" s="618" t="s">
        <v>11</v>
      </c>
      <c r="C11" s="655"/>
      <c r="D11" s="655"/>
      <c r="E11" s="655"/>
    </row>
    <row r="12" spans="2:15">
      <c r="B12" s="618" t="s">
        <v>12</v>
      </c>
      <c r="C12" s="655"/>
      <c r="D12" s="655"/>
      <c r="E12" s="655"/>
    </row>
    <row r="13" spans="2:15">
      <c r="B13" s="618" t="s">
        <v>13</v>
      </c>
      <c r="C13" s="655"/>
      <c r="D13" s="655"/>
      <c r="E13" s="655"/>
    </row>
    <row r="14" spans="2:15">
      <c r="B14" s="618" t="s">
        <v>14</v>
      </c>
      <c r="C14" s="655"/>
      <c r="D14" s="655"/>
      <c r="E14" s="655"/>
    </row>
    <row r="15" spans="2:15">
      <c r="B15" s="618" t="s">
        <v>15</v>
      </c>
      <c r="C15" s="655"/>
      <c r="D15" s="655"/>
      <c r="E15" s="655"/>
    </row>
    <row r="16" spans="2:15" ht="15" customHeight="1">
      <c r="B16" s="618" t="s">
        <v>16</v>
      </c>
      <c r="C16" s="655"/>
      <c r="D16" s="655"/>
      <c r="E16" s="655"/>
    </row>
    <row r="17" spans="2:5">
      <c r="B17" s="615"/>
    </row>
    <row r="18" spans="2:5">
      <c r="B18" s="656" t="s">
        <v>17</v>
      </c>
      <c r="C18" s="656"/>
      <c r="D18" s="656"/>
      <c r="E18" s="656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57" t="s">
        <v>22</v>
      </c>
      <c r="C2" s="657"/>
      <c r="D2" s="657"/>
      <c r="E2" s="657"/>
      <c r="H2" s="658" t="s">
        <v>23</v>
      </c>
      <c r="I2" s="659"/>
      <c r="J2" s="659"/>
      <c r="K2" s="659"/>
      <c r="L2" s="659"/>
      <c r="M2" s="659"/>
      <c r="N2" s="659"/>
      <c r="O2" s="660"/>
    </row>
    <row r="3" spans="2:15">
      <c r="B3" s="615"/>
      <c r="H3" s="661"/>
      <c r="I3" s="662"/>
      <c r="J3" s="662"/>
      <c r="K3" s="662"/>
      <c r="L3" s="662"/>
      <c r="M3" s="662"/>
      <c r="N3" s="662"/>
      <c r="O3" s="663"/>
    </row>
    <row r="4" spans="2:15">
      <c r="B4" s="616" t="s">
        <v>2</v>
      </c>
      <c r="C4" s="617" t="str">
        <f>'Project Plan'!E2</f>
        <v>Steelpark</v>
      </c>
      <c r="H4" s="661"/>
      <c r="I4" s="662"/>
      <c r="J4" s="662"/>
      <c r="K4" s="662"/>
      <c r="L4" s="662"/>
      <c r="M4" s="662"/>
      <c r="N4" s="662"/>
      <c r="O4" s="663"/>
    </row>
    <row r="5" spans="2:15">
      <c r="B5" s="616" t="s">
        <v>24</v>
      </c>
      <c r="C5" s="617"/>
      <c r="H5" s="661"/>
      <c r="I5" s="662"/>
      <c r="J5" s="662"/>
      <c r="K5" s="662"/>
      <c r="L5" s="662"/>
      <c r="M5" s="662"/>
      <c r="N5" s="662"/>
      <c r="O5" s="663"/>
    </row>
    <row r="6" spans="2:15">
      <c r="B6" s="616" t="s">
        <v>5</v>
      </c>
      <c r="C6" s="617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>
      <c r="B7" s="616" t="s">
        <v>25</v>
      </c>
      <c r="C7" s="617" t="str">
        <f>'Project Plan'!E5</f>
        <v>Justin Franke</v>
      </c>
      <c r="H7" s="661"/>
      <c r="I7" s="662"/>
      <c r="J7" s="662"/>
      <c r="K7" s="662"/>
      <c r="L7" s="662"/>
      <c r="M7" s="662"/>
      <c r="N7" s="662"/>
      <c r="O7" s="663"/>
    </row>
    <row r="8" spans="2:15">
      <c r="B8" s="616" t="s">
        <v>26</v>
      </c>
      <c r="C8" s="617"/>
      <c r="H8" s="661"/>
      <c r="I8" s="662"/>
      <c r="J8" s="662"/>
      <c r="K8" s="662"/>
      <c r="L8" s="662"/>
      <c r="M8" s="662"/>
      <c r="N8" s="662"/>
      <c r="O8" s="663"/>
    </row>
    <row r="9" spans="2:15">
      <c r="B9" s="615"/>
      <c r="H9" s="661"/>
      <c r="I9" s="662"/>
      <c r="J9" s="662"/>
      <c r="K9" s="662"/>
      <c r="L9" s="662"/>
      <c r="M9" s="662"/>
      <c r="N9" s="662"/>
      <c r="O9" s="663"/>
    </row>
    <row r="10" spans="2:15">
      <c r="B10" s="667" t="s">
        <v>9</v>
      </c>
      <c r="C10" s="667"/>
      <c r="D10" s="667"/>
      <c r="E10" s="667"/>
      <c r="H10" s="661"/>
      <c r="I10" s="662"/>
      <c r="J10" s="662"/>
      <c r="K10" s="662"/>
      <c r="L10" s="662"/>
      <c r="M10" s="662"/>
      <c r="N10" s="662"/>
      <c r="O10" s="663"/>
    </row>
    <row r="11" spans="2:15" ht="15" thickBot="1">
      <c r="B11" s="667" t="s">
        <v>10</v>
      </c>
      <c r="C11" s="667"/>
      <c r="D11" s="667"/>
      <c r="E11" s="667"/>
      <c r="H11" s="664"/>
      <c r="I11" s="665"/>
      <c r="J11" s="665"/>
      <c r="K11" s="665"/>
      <c r="L11" s="665"/>
      <c r="M11" s="665"/>
      <c r="N11" s="665"/>
      <c r="O11" s="666"/>
    </row>
    <row r="12" spans="2:15" ht="25">
      <c r="B12" s="618" t="s">
        <v>27</v>
      </c>
      <c r="C12" s="668"/>
      <c r="D12" s="668"/>
      <c r="E12" s="668"/>
    </row>
    <row r="13" spans="2:15">
      <c r="B13" s="618" t="s">
        <v>28</v>
      </c>
      <c r="C13" s="668" t="s">
        <v>29</v>
      </c>
      <c r="D13" s="668"/>
      <c r="E13" s="668"/>
    </row>
    <row r="14" spans="2:15">
      <c r="B14" s="618" t="s">
        <v>30</v>
      </c>
      <c r="C14" s="668" t="s">
        <v>29</v>
      </c>
      <c r="D14" s="668"/>
      <c r="E14" s="668"/>
    </row>
    <row r="15" spans="2:15">
      <c r="B15" s="618" t="s">
        <v>31</v>
      </c>
      <c r="C15" s="668" t="s">
        <v>32</v>
      </c>
      <c r="D15" s="668"/>
      <c r="E15" s="668"/>
    </row>
    <row r="16" spans="2:15" ht="25">
      <c r="B16" s="618" t="s">
        <v>33</v>
      </c>
      <c r="C16" s="668"/>
      <c r="D16" s="668"/>
      <c r="E16" s="668"/>
    </row>
    <row r="17" spans="2:5">
      <c r="B17" s="618" t="s">
        <v>34</v>
      </c>
      <c r="C17" s="668"/>
      <c r="D17" s="668"/>
      <c r="E17" s="668"/>
    </row>
    <row r="18" spans="2:5">
      <c r="B18" s="618" t="s">
        <v>35</v>
      </c>
      <c r="C18" s="668"/>
      <c r="D18" s="668"/>
      <c r="E18" s="668"/>
    </row>
    <row r="19" spans="2:5">
      <c r="B19" s="618" t="s">
        <v>36</v>
      </c>
      <c r="C19" s="668"/>
      <c r="D19" s="668"/>
      <c r="E19" s="668"/>
    </row>
    <row r="20" spans="2:5">
      <c r="B20" s="618" t="s">
        <v>37</v>
      </c>
      <c r="C20" s="668"/>
      <c r="D20" s="668"/>
      <c r="E20" s="668"/>
    </row>
    <row r="21" spans="2:5">
      <c r="B21" s="618" t="s">
        <v>38</v>
      </c>
      <c r="C21" s="668"/>
      <c r="D21" s="668"/>
      <c r="E21" s="668"/>
    </row>
    <row r="22" spans="2:5" ht="15" customHeight="1">
      <c r="B22" s="618" t="s">
        <v>16</v>
      </c>
      <c r="C22" s="668"/>
      <c r="D22" s="668"/>
      <c r="E22" s="668"/>
    </row>
    <row r="23" spans="2:5">
      <c r="B23" s="615"/>
    </row>
    <row r="24" spans="2:5">
      <c r="B24" s="656" t="s">
        <v>17</v>
      </c>
      <c r="C24" s="656"/>
      <c r="D24" s="656"/>
      <c r="E24" s="656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71"/>
      <c r="C1" s="672"/>
      <c r="D1" s="672"/>
      <c r="E1" s="672"/>
      <c r="F1" s="669" t="s">
        <v>39</v>
      </c>
      <c r="G1" s="669"/>
      <c r="H1" s="669"/>
      <c r="I1" s="669"/>
      <c r="J1" s="669"/>
      <c r="K1" s="670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3" t="s">
        <v>57</v>
      </c>
      <c r="D5" s="643"/>
      <c r="E5" s="643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4"/>
      <c r="G8" s="644"/>
      <c r="H8" s="644"/>
      <c r="I8" s="644"/>
      <c r="J8" s="644"/>
      <c r="K8" s="7"/>
    </row>
    <row r="9" spans="2:15">
      <c r="B9" s="12" t="s">
        <v>62</v>
      </c>
      <c r="C9" s="11"/>
      <c r="D9" s="11"/>
      <c r="E9" s="11"/>
      <c r="F9" s="644"/>
      <c r="G9" s="644"/>
      <c r="H9" s="644"/>
      <c r="I9" s="644"/>
      <c r="J9" s="644"/>
      <c r="K9" s="7"/>
    </row>
    <row r="10" spans="2:15">
      <c r="B10" s="12" t="s">
        <v>63</v>
      </c>
      <c r="C10" s="11"/>
      <c r="D10" s="11"/>
      <c r="E10" s="11"/>
      <c r="F10" s="644"/>
      <c r="G10" s="644"/>
      <c r="H10" s="644"/>
      <c r="I10" s="644"/>
      <c r="J10" s="644"/>
      <c r="K10" s="7"/>
    </row>
    <row r="11" spans="2:15">
      <c r="B11" s="12" t="s">
        <v>64</v>
      </c>
      <c r="C11" s="11"/>
      <c r="D11" s="11"/>
      <c r="E11" s="11"/>
      <c r="F11" s="644"/>
      <c r="G11" s="644"/>
      <c r="H11" s="644"/>
      <c r="I11" s="644"/>
      <c r="J11" s="644"/>
      <c r="K11" s="7"/>
    </row>
    <row r="12" spans="2:15">
      <c r="B12" s="12" t="s">
        <v>65</v>
      </c>
      <c r="C12" s="11"/>
      <c r="D12" s="11"/>
      <c r="E12" s="11"/>
      <c r="F12" s="644"/>
      <c r="G12" s="644"/>
      <c r="H12" s="644"/>
      <c r="I12" s="644"/>
      <c r="J12" s="644"/>
      <c r="K12" s="7"/>
    </row>
    <row r="13" spans="2:15">
      <c r="B13" s="12" t="s">
        <v>66</v>
      </c>
      <c r="C13" s="11"/>
      <c r="D13" s="11"/>
      <c r="E13" s="11"/>
      <c r="F13" s="644"/>
      <c r="G13" s="644"/>
      <c r="H13" s="644"/>
      <c r="I13" s="644"/>
      <c r="J13" s="644"/>
      <c r="K13" s="7"/>
    </row>
    <row r="14" spans="2:15">
      <c r="B14" s="12" t="s">
        <v>67</v>
      </c>
      <c r="C14" s="11"/>
      <c r="D14" s="11"/>
      <c r="E14" s="11"/>
      <c r="F14" s="644"/>
      <c r="G14" s="644"/>
      <c r="H14" s="644"/>
      <c r="I14" s="644"/>
      <c r="J14" s="644"/>
      <c r="K14" s="7"/>
    </row>
    <row r="15" spans="2:15">
      <c r="B15" s="12" t="s">
        <v>68</v>
      </c>
      <c r="C15" s="11"/>
      <c r="D15" s="11"/>
      <c r="E15" s="11"/>
      <c r="F15" s="644"/>
      <c r="G15" s="644"/>
      <c r="H15" s="644"/>
      <c r="I15" s="644"/>
      <c r="J15" s="644"/>
      <c r="K15" s="7"/>
    </row>
    <row r="16" spans="2:15">
      <c r="B16" s="12" t="s">
        <v>69</v>
      </c>
      <c r="C16" s="11"/>
      <c r="D16" s="11"/>
      <c r="E16" s="11"/>
      <c r="F16" s="644"/>
      <c r="G16" s="644"/>
      <c r="H16" s="644"/>
      <c r="I16" s="644"/>
      <c r="J16" s="644"/>
      <c r="K16" s="7"/>
    </row>
    <row r="17" spans="2:11">
      <c r="B17" s="12" t="s">
        <v>70</v>
      </c>
      <c r="C17" s="11"/>
      <c r="D17" s="11"/>
      <c r="E17" s="11"/>
      <c r="F17" s="644"/>
      <c r="G17" s="644"/>
      <c r="H17" s="644"/>
      <c r="I17" s="644"/>
      <c r="J17" s="644"/>
      <c r="K17" s="7"/>
    </row>
    <row r="18" spans="2:11">
      <c r="B18" s="12" t="s">
        <v>71</v>
      </c>
      <c r="C18" s="11"/>
      <c r="D18" s="11"/>
      <c r="E18" s="11"/>
      <c r="F18" s="644"/>
      <c r="G18" s="644"/>
      <c r="H18" s="644"/>
      <c r="I18" s="644"/>
      <c r="J18" s="644"/>
      <c r="K18" s="7"/>
    </row>
    <row r="19" spans="2:11">
      <c r="B19" s="12" t="s">
        <v>72</v>
      </c>
      <c r="C19" s="11"/>
      <c r="D19" s="11"/>
      <c r="E19" s="11"/>
      <c r="F19" s="644"/>
      <c r="G19" s="644"/>
      <c r="H19" s="644"/>
      <c r="I19" s="644"/>
      <c r="J19" s="644"/>
      <c r="K19" s="7"/>
    </row>
    <row r="20" spans="2:11">
      <c r="B20" s="12" t="s">
        <v>73</v>
      </c>
      <c r="C20" s="11"/>
      <c r="D20" s="11"/>
      <c r="E20" s="11"/>
      <c r="F20" s="644"/>
      <c r="G20" s="644"/>
      <c r="H20" s="644"/>
      <c r="I20" s="644"/>
      <c r="J20" s="644"/>
      <c r="K20" s="7"/>
    </row>
    <row r="21" spans="2:11">
      <c r="B21" s="12" t="s">
        <v>74</v>
      </c>
      <c r="C21" s="11"/>
      <c r="D21" s="11"/>
      <c r="E21" s="11"/>
      <c r="F21" s="644"/>
      <c r="G21" s="644"/>
      <c r="H21" s="644"/>
      <c r="I21" s="644"/>
      <c r="J21" s="644"/>
      <c r="K21" s="7"/>
    </row>
    <row r="22" spans="2:11">
      <c r="B22" s="12" t="s">
        <v>75</v>
      </c>
      <c r="C22" s="11"/>
      <c r="D22" s="11"/>
      <c r="E22" s="11"/>
      <c r="F22" s="644"/>
      <c r="G22" s="644"/>
      <c r="H22" s="644"/>
      <c r="I22" s="644"/>
      <c r="J22" s="644"/>
      <c r="K22" s="7"/>
    </row>
    <row r="23" spans="2:11">
      <c r="B23" s="12" t="s">
        <v>76</v>
      </c>
      <c r="C23" s="11"/>
      <c r="D23" s="11"/>
      <c r="E23" s="11"/>
      <c r="F23" s="644"/>
      <c r="G23" s="644"/>
      <c r="H23" s="644"/>
      <c r="I23" s="644"/>
      <c r="J23" s="644"/>
      <c r="K23" s="7"/>
    </row>
    <row r="24" spans="2:11">
      <c r="B24" s="12" t="s">
        <v>77</v>
      </c>
      <c r="C24" s="11"/>
      <c r="D24" s="11"/>
      <c r="E24" s="11"/>
      <c r="F24" s="644"/>
      <c r="G24" s="644"/>
      <c r="H24" s="644"/>
      <c r="I24" s="644"/>
      <c r="J24" s="644"/>
      <c r="K24" s="7"/>
    </row>
    <row r="25" spans="2:11">
      <c r="B25" s="12" t="s">
        <v>78</v>
      </c>
      <c r="C25" s="11"/>
      <c r="D25" s="11"/>
      <c r="E25" s="11"/>
      <c r="F25" s="644"/>
      <c r="G25" s="644"/>
      <c r="H25" s="644"/>
      <c r="I25" s="644"/>
      <c r="J25" s="644"/>
      <c r="K25" s="7"/>
    </row>
    <row r="26" spans="2:11">
      <c r="B26" s="12" t="s">
        <v>79</v>
      </c>
      <c r="C26" s="11"/>
      <c r="D26" s="11"/>
      <c r="E26" s="11"/>
      <c r="F26" s="644"/>
      <c r="G26" s="644"/>
      <c r="H26" s="644"/>
      <c r="I26" s="644"/>
      <c r="J26" s="644"/>
      <c r="K26" s="7"/>
    </row>
    <row r="27" spans="2:11">
      <c r="B27" s="12" t="s">
        <v>80</v>
      </c>
      <c r="C27" s="11"/>
      <c r="D27" s="11"/>
      <c r="E27" s="11"/>
      <c r="F27" s="644"/>
      <c r="G27" s="644"/>
      <c r="H27" s="644"/>
      <c r="I27" s="644"/>
      <c r="J27" s="644"/>
      <c r="K27" s="7"/>
    </row>
    <row r="28" spans="2:11">
      <c r="B28" s="12" t="s">
        <v>81</v>
      </c>
      <c r="C28" s="11"/>
      <c r="D28" s="11"/>
      <c r="E28" s="11"/>
      <c r="F28" s="644"/>
      <c r="G28" s="644"/>
      <c r="H28" s="644"/>
      <c r="I28" s="644"/>
      <c r="J28" s="644"/>
      <c r="K28" s="7"/>
    </row>
    <row r="29" spans="2:11">
      <c r="B29" s="12" t="s">
        <v>82</v>
      </c>
      <c r="C29" s="11"/>
      <c r="D29" s="11"/>
      <c r="E29" s="11"/>
      <c r="F29" s="644"/>
      <c r="G29" s="644"/>
      <c r="H29" s="644"/>
      <c r="I29" s="644"/>
      <c r="J29" s="644"/>
      <c r="K29" s="7"/>
    </row>
    <row r="30" spans="2:11">
      <c r="B30" s="12" t="s">
        <v>83</v>
      </c>
      <c r="C30" s="11"/>
      <c r="D30" s="11"/>
      <c r="E30" s="11"/>
      <c r="F30" s="644"/>
      <c r="G30" s="644"/>
      <c r="H30" s="644"/>
      <c r="I30" s="644"/>
      <c r="J30" s="644"/>
      <c r="K30" s="7"/>
    </row>
    <row r="31" spans="2:11">
      <c r="B31" s="12" t="s">
        <v>84</v>
      </c>
      <c r="C31" s="11"/>
      <c r="D31" s="11"/>
      <c r="E31" s="11"/>
      <c r="F31" s="644"/>
      <c r="G31" s="644"/>
      <c r="H31" s="644"/>
      <c r="I31" s="644"/>
      <c r="J31" s="644"/>
      <c r="K31" s="7"/>
    </row>
    <row r="32" spans="2:11">
      <c r="B32" s="12" t="s">
        <v>85</v>
      </c>
      <c r="C32" s="11"/>
      <c r="D32" s="11"/>
      <c r="E32" s="11"/>
      <c r="F32" s="644"/>
      <c r="G32" s="644"/>
      <c r="H32" s="644"/>
      <c r="I32" s="644"/>
      <c r="J32" s="644"/>
      <c r="K32" s="7"/>
    </row>
    <row r="33" spans="2:11">
      <c r="B33" s="12" t="s">
        <v>86</v>
      </c>
      <c r="C33" s="11"/>
      <c r="D33" s="11"/>
      <c r="E33" s="11"/>
      <c r="F33" s="644"/>
      <c r="G33" s="644"/>
      <c r="H33" s="644"/>
      <c r="I33" s="644"/>
      <c r="J33" s="644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36328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36328125" customWidth="1"/>
    <col min="2" max="2" width="37.6328125" customWidth="1"/>
    <col min="3" max="3" width="9.453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673" t="s">
        <v>115</v>
      </c>
      <c r="C2" s="674"/>
      <c r="D2" s="674"/>
      <c r="E2" s="674"/>
      <c r="F2" s="675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3" t="s">
        <v>124</v>
      </c>
      <c r="C16" s="674"/>
      <c r="D16" s="674"/>
      <c r="E16" s="674"/>
      <c r="F16" s="675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7" zoomScaleNormal="100" workbookViewId="0">
      <selection activeCell="J15" sqref="J15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6328125" style="4" customWidth="1"/>
    <col min="4" max="4" width="3.36328125" style="26" customWidth="1"/>
    <col min="5" max="5" width="14.54296875" style="4" customWidth="1"/>
    <col min="6" max="6" width="10.36328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76" t="s">
        <v>129</v>
      </c>
      <c r="J2" s="677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76" t="s">
        <v>131</v>
      </c>
      <c r="J3" s="677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76" t="s">
        <v>133</v>
      </c>
      <c r="J4" s="677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0" t="s">
        <v>139</v>
      </c>
      <c r="C8" s="681" t="s">
        <v>140</v>
      </c>
      <c r="D8" s="126"/>
      <c r="E8" s="682" t="s">
        <v>141</v>
      </c>
      <c r="F8" s="148" t="s">
        <v>142</v>
      </c>
      <c r="G8" s="682" t="s">
        <v>143</v>
      </c>
      <c r="H8" s="149"/>
      <c r="I8" s="682" t="s">
        <v>144</v>
      </c>
      <c r="J8" s="148" t="s">
        <v>142</v>
      </c>
      <c r="K8" s="682" t="s">
        <v>145</v>
      </c>
      <c r="M8" s="584" t="s">
        <v>46</v>
      </c>
      <c r="N8" s="585" t="s">
        <v>146</v>
      </c>
      <c r="O8" s="678" t="s">
        <v>147</v>
      </c>
      <c r="Z8" s="26"/>
      <c r="AA8" s="26"/>
      <c r="AB8" s="26"/>
    </row>
    <row r="9" spans="2:28">
      <c r="B9" s="680"/>
      <c r="C9" s="681"/>
      <c r="D9" s="126"/>
      <c r="E9" s="682"/>
      <c r="F9" s="40">
        <f>G41-E21</f>
        <v>35</v>
      </c>
      <c r="G9" s="682"/>
      <c r="H9" s="149"/>
      <c r="I9" s="682"/>
      <c r="J9" s="41">
        <f>K41-I21</f>
        <v>35</v>
      </c>
      <c r="K9" s="682"/>
      <c r="M9" s="265">
        <f>AVERAGE(M11,M20,M23,M30,M37,M41,M50,M46)</f>
        <v>9.0824275362318838E-2</v>
      </c>
      <c r="N9" s="265">
        <f>AVERAGE(N11,N20,N23,N30,N37,N41,N50,N46)</f>
        <v>9.0824275362318838E-2</v>
      </c>
      <c r="O9" s="679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0.10326086956521739</v>
      </c>
      <c r="N11" s="575">
        <f>(J12*M12+J15*M15+J16*M16+J17*M17+J18*M18)/SUM(J12:J18)</f>
        <v>0.10326086956521739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0.8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70" zoomScaleNormal="70" workbookViewId="0">
      <pane ySplit="4" topLeftCell="A17" activePane="bottomLeft" state="frozen"/>
      <selection activeCell="X33" sqref="X33"/>
      <selection pane="bottomLeft" activeCell="P22" sqref="P22"/>
    </sheetView>
  </sheetViews>
  <sheetFormatPr defaultColWidth="9.269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6328125" style="26" customWidth="1"/>
    <col min="16" max="17" width="17.453125" style="26" customWidth="1"/>
    <col min="18" max="18" width="37.54296875" style="26" bestFit="1" customWidth="1"/>
    <col min="19" max="19" width="33.36328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1796875" style="26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36328125" style="26" customWidth="1"/>
    <col min="33" max="33" width="11" style="26" customWidth="1"/>
    <col min="34" max="76" width="17.453125" style="26" customWidth="1"/>
    <col min="77" max="16384" width="9.269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3" t="s">
        <v>213</v>
      </c>
      <c r="C2" s="684"/>
      <c r="D2" s="684"/>
      <c r="E2" s="684"/>
      <c r="F2" s="684"/>
      <c r="G2" s="684"/>
      <c r="H2" s="395"/>
      <c r="I2" s="162">
        <f>SUM(I6:I166)</f>
        <v>1194452.4559184783</v>
      </c>
      <c r="J2" s="162">
        <f>SUM(J6:J166)</f>
        <v>1399380.6072331574</v>
      </c>
      <c r="L2" s="685" t="s">
        <v>214</v>
      </c>
      <c r="M2" s="686"/>
      <c r="N2" s="686"/>
      <c r="O2" s="686"/>
      <c r="P2" s="686"/>
      <c r="Q2" s="686"/>
      <c r="R2" s="693" t="s">
        <v>215</v>
      </c>
      <c r="S2" s="694"/>
      <c r="T2" s="694"/>
      <c r="U2" s="694"/>
      <c r="V2" s="694"/>
      <c r="W2" s="695"/>
      <c r="X2" s="162">
        <f>SUM(X6:X166)</f>
        <v>828370.34346541448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216</v>
      </c>
      <c r="C4" s="164" t="s">
        <v>217</v>
      </c>
      <c r="D4" s="164" t="s">
        <v>218</v>
      </c>
      <c r="E4" s="164" t="s">
        <v>219</v>
      </c>
      <c r="F4" s="363" t="s">
        <v>220</v>
      </c>
      <c r="G4" s="165" t="s">
        <v>221</v>
      </c>
      <c r="H4" s="273" t="s">
        <v>222</v>
      </c>
      <c r="I4" s="166" t="s">
        <v>223</v>
      </c>
      <c r="J4" s="166" t="str">
        <f>IF(J2-'Revenue Tracking'!D4&gt;=0, "Total Revenue", "ERROR on REV" )</f>
        <v>ERROR on REV</v>
      </c>
      <c r="K4" s="77"/>
      <c r="L4" s="163" t="s">
        <v>216</v>
      </c>
      <c r="M4" s="164" t="s">
        <v>224</v>
      </c>
      <c r="N4" s="164" t="s">
        <v>218</v>
      </c>
      <c r="O4" s="164" t="s">
        <v>219</v>
      </c>
      <c r="P4" s="363" t="s">
        <v>220</v>
      </c>
      <c r="Q4" s="274" t="s">
        <v>225</v>
      </c>
      <c r="R4" s="497" t="s">
        <v>226</v>
      </c>
      <c r="S4" s="498" t="s">
        <v>227</v>
      </c>
      <c r="T4" s="521" t="s">
        <v>228</v>
      </c>
      <c r="U4" s="522" t="s">
        <v>229</v>
      </c>
      <c r="V4" s="274" t="s">
        <v>230</v>
      </c>
      <c r="W4" s="521" t="s">
        <v>231</v>
      </c>
      <c r="X4" s="166" t="s">
        <v>223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232</v>
      </c>
      <c r="D6" s="186" t="s">
        <v>233</v>
      </c>
      <c r="E6" s="187"/>
      <c r="F6" s="336"/>
      <c r="G6" s="292">
        <f>D167</f>
        <v>370794.53000000009</v>
      </c>
      <c r="H6" s="550">
        <f>'Project Plan'!E38+60</f>
        <v>46136</v>
      </c>
      <c r="I6" s="687">
        <f>SUM(G6:G11)</f>
        <v>370794.53000000009</v>
      </c>
      <c r="J6" s="690">
        <f>F167</f>
        <v>452188.45121951227</v>
      </c>
      <c r="K6" s="289"/>
      <c r="L6" s="185">
        <v>1</v>
      </c>
      <c r="M6" s="316" t="s">
        <v>234</v>
      </c>
      <c r="N6" s="186" t="s">
        <v>235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2">
        <f>J6-SUM(U6:U11)</f>
        <v>0</v>
      </c>
      <c r="W6" s="453">
        <f>'Project Plan'!I38+60</f>
        <v>46136</v>
      </c>
      <c r="X6" s="687">
        <f>SUM(Q6:Q11)</f>
        <v>260780</v>
      </c>
    </row>
    <row r="7" spans="1:76" ht="15" customHeight="1">
      <c r="B7" s="215">
        <v>1</v>
      </c>
      <c r="C7" s="317"/>
      <c r="D7" s="290" t="s">
        <v>236</v>
      </c>
      <c r="E7" s="291"/>
      <c r="F7" s="357"/>
      <c r="G7" s="219"/>
      <c r="H7" s="541"/>
      <c r="I7" s="688"/>
      <c r="J7" s="691"/>
      <c r="K7" s="192"/>
      <c r="L7" s="215">
        <v>1</v>
      </c>
      <c r="M7" s="217" t="s">
        <v>234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5" si="1">IF(W7&gt;1,EOMONTH(W7,0),"")</f>
        <v/>
      </c>
      <c r="U7" s="397">
        <f t="shared" si="0"/>
        <v>0</v>
      </c>
      <c r="V7" s="703"/>
      <c r="W7" s="454"/>
      <c r="X7" s="688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8"/>
      <c r="J8" s="691"/>
      <c r="K8" s="192"/>
      <c r="L8" s="215">
        <v>1</v>
      </c>
      <c r="M8" s="217" t="s">
        <v>234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3"/>
      <c r="W8" s="454"/>
      <c r="X8" s="688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8"/>
      <c r="J9" s="691"/>
      <c r="K9" s="192"/>
      <c r="L9" s="215">
        <v>1</v>
      </c>
      <c r="M9" s="217" t="s">
        <v>234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3"/>
      <c r="W9" s="455"/>
      <c r="X9" s="68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8"/>
      <c r="J10" s="691"/>
      <c r="K10" s="192"/>
      <c r="L10" s="215">
        <v>1</v>
      </c>
      <c r="M10" s="217" t="s">
        <v>234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3"/>
      <c r="W10" s="455"/>
      <c r="X10" s="68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9"/>
      <c r="J11" s="692"/>
      <c r="K11" s="193"/>
      <c r="L11" s="220">
        <v>1</v>
      </c>
      <c r="M11" s="318" t="s">
        <v>234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4"/>
      <c r="W11" s="456"/>
      <c r="X11" s="689"/>
      <c r="Y11" s="607" t="s">
        <v>237</v>
      </c>
      <c r="Z11" s="487" t="s">
        <v>238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239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240</v>
      </c>
      <c r="E13" s="268"/>
      <c r="F13" s="355"/>
      <c r="G13" s="200">
        <f>D168</f>
        <v>95000</v>
      </c>
      <c r="H13" s="554">
        <f>'Project Plan'!E24+60</f>
        <v>46136</v>
      </c>
      <c r="I13" s="696">
        <f>SUM(G13:G19)</f>
        <v>95000</v>
      </c>
      <c r="J13" s="699">
        <f>F168</f>
        <v>115853.65853658537</v>
      </c>
      <c r="K13" s="201"/>
      <c r="L13" s="197">
        <v>2</v>
      </c>
      <c r="M13" s="319" t="s">
        <v>241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5">
        <f>J13-SUM(U13:U19)</f>
        <v>0</v>
      </c>
      <c r="W13" s="458"/>
      <c r="X13" s="696">
        <f>SUM(Q13:Q19)</f>
        <v>69000</v>
      </c>
      <c r="Y13" s="608" t="s">
        <v>242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7"/>
      <c r="J14" s="700"/>
      <c r="K14" s="205"/>
      <c r="L14" s="202">
        <v>2</v>
      </c>
      <c r="M14" s="325" t="s">
        <v>241</v>
      </c>
      <c r="N14" s="638" t="s">
        <v>243</v>
      </c>
      <c r="O14" s="642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06"/>
      <c r="W14" s="459">
        <f>W6</f>
        <v>46136</v>
      </c>
      <c r="X14" s="697"/>
      <c r="Y14" s="608" t="s">
        <v>244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7"/>
      <c r="J15" s="700"/>
      <c r="K15" s="205"/>
      <c r="L15" s="202">
        <v>2</v>
      </c>
      <c r="M15" s="325" t="s">
        <v>241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6"/>
      <c r="W15" s="459"/>
      <c r="X15" s="697"/>
      <c r="Y15" s="608" t="s">
        <v>245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7"/>
      <c r="J16" s="700"/>
      <c r="K16" s="205"/>
      <c r="L16" s="202">
        <v>2</v>
      </c>
      <c r="M16" s="325" t="s">
        <v>241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6"/>
      <c r="W16" s="459"/>
      <c r="X16" s="697"/>
      <c r="Y16" s="608" t="s">
        <v>246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697"/>
      <c r="J17" s="700"/>
      <c r="K17" s="205"/>
      <c r="L17" s="202">
        <v>2</v>
      </c>
      <c r="M17" s="325" t="s">
        <v>241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6"/>
      <c r="W17" s="459"/>
      <c r="X17" s="697"/>
      <c r="Y17" s="608" t="s">
        <v>247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697"/>
      <c r="J18" s="700"/>
      <c r="K18" s="205"/>
      <c r="L18" s="202">
        <v>2</v>
      </c>
      <c r="M18" s="325" t="s">
        <v>241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6"/>
      <c r="W18" s="459"/>
      <c r="X18" s="697"/>
      <c r="Y18" s="608" t="s">
        <v>248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698"/>
      <c r="J19" s="701"/>
      <c r="K19" s="210"/>
      <c r="L19" s="296">
        <v>2</v>
      </c>
      <c r="M19" s="320" t="s">
        <v>241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7"/>
      <c r="W19" s="460"/>
      <c r="X19" s="698"/>
      <c r="Y19" s="608" t="s">
        <v>249</v>
      </c>
      <c r="Z19" s="488">
        <v>0</v>
      </c>
      <c r="AA19" s="526"/>
    </row>
    <row r="20" spans="1:32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2" ht="14.25" customHeight="1">
      <c r="B21" s="185">
        <v>3</v>
      </c>
      <c r="C21" s="213" t="s">
        <v>250</v>
      </c>
      <c r="D21" s="231" t="s">
        <v>251</v>
      </c>
      <c r="E21" s="187"/>
      <c r="F21" s="336"/>
      <c r="G21" s="188">
        <f>D169</f>
        <v>58482.000000000007</v>
      </c>
      <c r="H21" s="542">
        <f>'Project Plan'!E32+30</f>
        <v>46106</v>
      </c>
      <c r="I21" s="687">
        <f>SUM(G21:G31)</f>
        <v>58482.000000000007</v>
      </c>
      <c r="J21" s="690">
        <f>F169</f>
        <v>71319.512195121963</v>
      </c>
      <c r="K21" s="189"/>
      <c r="L21" s="185">
        <v>3</v>
      </c>
      <c r="M21" s="321" t="s">
        <v>252</v>
      </c>
      <c r="N21" s="186" t="s">
        <v>253</v>
      </c>
      <c r="O21" s="432"/>
      <c r="P21" s="336"/>
      <c r="Q21" s="188"/>
      <c r="R21" s="477"/>
      <c r="S21" s="508"/>
      <c r="T21" s="606"/>
      <c r="U21" s="397">
        <f t="shared" ref="U21:U31" si="3">(Q21/$X$21*$J$21)</f>
        <v>0</v>
      </c>
      <c r="V21" s="702">
        <f>J21-SUM(U21:U31)</f>
        <v>0</v>
      </c>
      <c r="W21" s="461"/>
      <c r="X21" s="687">
        <f>SUM(Q21:Q31)</f>
        <v>15616.04</v>
      </c>
      <c r="Y21" s="608" t="s">
        <v>254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88"/>
      <c r="J22" s="691"/>
      <c r="K22" s="192"/>
      <c r="L22" s="215">
        <v>3</v>
      </c>
      <c r="M22" s="322" t="s">
        <v>252</v>
      </c>
      <c r="N22" s="217" t="s">
        <v>468</v>
      </c>
      <c r="O22" s="636">
        <v>400</v>
      </c>
      <c r="P22" s="357">
        <v>22.73</v>
      </c>
      <c r="Q22" s="752">
        <f>O22*P22</f>
        <v>9092</v>
      </c>
      <c r="R22" s="470"/>
      <c r="S22" s="501"/>
      <c r="T22" s="411">
        <v>46081</v>
      </c>
      <c r="U22" s="397">
        <f t="shared" si="3"/>
        <v>41523.779708431124</v>
      </c>
      <c r="V22" s="703"/>
      <c r="W22" s="454" t="s">
        <v>469</v>
      </c>
      <c r="X22" s="688"/>
      <c r="Y22" s="608" t="s">
        <v>255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88"/>
      <c r="J23" s="691"/>
      <c r="K23" s="192"/>
      <c r="L23" s="215">
        <v>3</v>
      </c>
      <c r="M23" s="322" t="s">
        <v>252</v>
      </c>
      <c r="N23" s="217" t="s">
        <v>468</v>
      </c>
      <c r="O23" s="636">
        <v>74</v>
      </c>
      <c r="P23" s="357">
        <v>23.96</v>
      </c>
      <c r="Q23" s="219">
        <f>O23*P23</f>
        <v>1773.04</v>
      </c>
      <c r="R23" s="470"/>
      <c r="S23" s="501" t="s">
        <v>465</v>
      </c>
      <c r="T23" s="411">
        <v>46081</v>
      </c>
      <c r="U23" s="397">
        <f t="shared" si="3"/>
        <v>8097.59374991605</v>
      </c>
      <c r="V23" s="703"/>
      <c r="W23" s="454">
        <v>46081</v>
      </c>
      <c r="X23" s="688"/>
      <c r="Y23" s="608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88"/>
      <c r="J24" s="691"/>
      <c r="K24" s="192"/>
      <c r="L24" s="215">
        <v>3</v>
      </c>
      <c r="M24" s="322" t="s">
        <v>252</v>
      </c>
      <c r="N24" s="217" t="s">
        <v>468</v>
      </c>
      <c r="O24" s="636">
        <f>200-74</f>
        <v>126</v>
      </c>
      <c r="P24" s="357"/>
      <c r="Q24" s="219"/>
      <c r="R24" s="470"/>
      <c r="S24" s="750" t="s">
        <v>464</v>
      </c>
      <c r="T24" s="411">
        <v>46081</v>
      </c>
      <c r="U24" s="397">
        <f t="shared" si="3"/>
        <v>0</v>
      </c>
      <c r="V24" s="703"/>
      <c r="W24" s="454">
        <v>46081</v>
      </c>
      <c r="X24" s="688"/>
      <c r="Y24" s="608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88"/>
      <c r="J25" s="691"/>
      <c r="K25" s="192"/>
      <c r="L25" s="215">
        <v>3</v>
      </c>
      <c r="M25" s="322" t="s">
        <v>252</v>
      </c>
      <c r="N25" s="217" t="s">
        <v>256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467</v>
      </c>
      <c r="T25" s="411">
        <v>46081</v>
      </c>
      <c r="U25" s="397">
        <f t="shared" si="3"/>
        <v>5000.9391531821475</v>
      </c>
      <c r="V25" s="703"/>
      <c r="W25" s="454">
        <v>46081</v>
      </c>
      <c r="X25" s="688"/>
      <c r="Y25" s="608" t="s">
        <v>257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88"/>
      <c r="J26" s="691"/>
      <c r="K26" s="192"/>
      <c r="L26" s="215">
        <v>3</v>
      </c>
      <c r="M26" s="322" t="s">
        <v>252</v>
      </c>
      <c r="N26" s="217" t="s">
        <v>256</v>
      </c>
      <c r="O26" s="434">
        <v>100</v>
      </c>
      <c r="P26" s="343">
        <v>11.52</v>
      </c>
      <c r="Q26" s="219">
        <f>O26*P26</f>
        <v>1152</v>
      </c>
      <c r="R26" s="471"/>
      <c r="S26" s="508" t="s">
        <v>467</v>
      </c>
      <c r="T26" s="412">
        <v>46081</v>
      </c>
      <c r="U26" s="397">
        <f t="shared" si="3"/>
        <v>5261.2620132108068</v>
      </c>
      <c r="V26" s="703"/>
      <c r="W26" s="455">
        <v>46081</v>
      </c>
      <c r="X26" s="688"/>
      <c r="Y26" s="608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88"/>
      <c r="J27" s="691"/>
      <c r="K27" s="192"/>
      <c r="L27" s="215">
        <v>3</v>
      </c>
      <c r="M27" s="322" t="s">
        <v>252</v>
      </c>
      <c r="N27" s="288" t="s">
        <v>466</v>
      </c>
      <c r="O27" s="434">
        <v>200</v>
      </c>
      <c r="P27" s="343"/>
      <c r="Q27" s="287"/>
      <c r="R27" s="471"/>
      <c r="S27" s="502" t="s">
        <v>464</v>
      </c>
      <c r="T27" s="412">
        <v>46081</v>
      </c>
      <c r="U27" s="397">
        <f t="shared" si="3"/>
        <v>0</v>
      </c>
      <c r="V27" s="703"/>
      <c r="W27" s="455">
        <v>46081</v>
      </c>
      <c r="X27" s="688"/>
      <c r="Y27" s="608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88"/>
      <c r="J28" s="691"/>
      <c r="K28" s="192"/>
      <c r="L28" s="215">
        <v>3</v>
      </c>
      <c r="M28" s="322" t="s">
        <v>252</v>
      </c>
      <c r="N28" s="288" t="s">
        <v>258</v>
      </c>
      <c r="O28" s="434">
        <v>200</v>
      </c>
      <c r="P28" s="343">
        <v>12.52</v>
      </c>
      <c r="Q28" s="751">
        <f>O28*P28</f>
        <v>2504</v>
      </c>
      <c r="R28" s="471"/>
      <c r="S28" s="502"/>
      <c r="T28" s="412">
        <v>46081</v>
      </c>
      <c r="U28" s="397">
        <f t="shared" si="3"/>
        <v>11435.937570381824</v>
      </c>
      <c r="V28" s="703"/>
      <c r="W28" s="455" t="s">
        <v>469</v>
      </c>
      <c r="X28" s="688"/>
      <c r="Y28" s="609" t="s">
        <v>259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88"/>
      <c r="J29" s="691"/>
      <c r="K29" s="192"/>
      <c r="L29" s="215">
        <v>3</v>
      </c>
      <c r="M29" s="322" t="s">
        <v>252</v>
      </c>
      <c r="N29" s="288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03"/>
      <c r="W29" s="455">
        <v>46081</v>
      </c>
      <c r="X29" s="688"/>
      <c r="Y29" s="608"/>
      <c r="Z29" s="639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88"/>
      <c r="J30" s="691"/>
      <c r="K30" s="192"/>
      <c r="L30" s="215">
        <v>3</v>
      </c>
      <c r="M30" s="322" t="s">
        <v>252</v>
      </c>
      <c r="N30" s="288" t="s">
        <v>260</v>
      </c>
      <c r="O30" s="637">
        <f>O22*2</f>
        <v>800</v>
      </c>
      <c r="P30" s="343"/>
      <c r="Q30" s="287"/>
      <c r="R30" s="471"/>
      <c r="S30" s="502"/>
      <c r="T30" s="412">
        <v>46081</v>
      </c>
      <c r="U30" s="397">
        <f t="shared" si="3"/>
        <v>0</v>
      </c>
      <c r="V30" s="703"/>
      <c r="W30" s="455">
        <v>46081</v>
      </c>
      <c r="X30" s="688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689"/>
      <c r="J31" s="692"/>
      <c r="K31" s="193"/>
      <c r="L31" s="220">
        <v>3</v>
      </c>
      <c r="M31" s="323" t="s">
        <v>252</v>
      </c>
      <c r="N31" s="221" t="s">
        <v>463</v>
      </c>
      <c r="O31" s="435">
        <v>1000</v>
      </c>
      <c r="P31" s="358"/>
      <c r="Q31" s="234">
        <v>0</v>
      </c>
      <c r="R31" s="472"/>
      <c r="S31" s="503" t="s">
        <v>464</v>
      </c>
      <c r="T31" s="413">
        <v>46081</v>
      </c>
      <c r="U31" s="398">
        <f t="shared" si="3"/>
        <v>0</v>
      </c>
      <c r="V31" s="704"/>
      <c r="W31" s="456">
        <v>46081</v>
      </c>
      <c r="X31" s="689"/>
      <c r="Y31" s="610" t="s">
        <v>261</v>
      </c>
      <c r="Z31" s="492" t="s">
        <v>262</v>
      </c>
      <c r="AB31" s="610" t="s">
        <v>263</v>
      </c>
      <c r="AC31" s="492" t="s">
        <v>262</v>
      </c>
      <c r="AE31" s="610" t="s">
        <v>264</v>
      </c>
      <c r="AF31" s="492" t="s">
        <v>262</v>
      </c>
    </row>
    <row r="32" spans="1:32" ht="14.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1" t="str">
        <f>Y12</f>
        <v>AC Equipment</v>
      </c>
      <c r="Z32" s="493">
        <v>35629.449999999997</v>
      </c>
      <c r="AB32" s="611" t="s">
        <v>239</v>
      </c>
      <c r="AC32" s="493">
        <v>85150</v>
      </c>
      <c r="AE32" s="611" t="s">
        <v>239</v>
      </c>
      <c r="AF32" s="493">
        <v>41000</v>
      </c>
    </row>
    <row r="33" spans="1:33" ht="14.25" customHeight="1">
      <c r="B33" s="197">
        <v>4</v>
      </c>
      <c r="C33" s="198" t="s">
        <v>242</v>
      </c>
      <c r="D33" s="198" t="s">
        <v>265</v>
      </c>
      <c r="E33" s="268">
        <v>1328</v>
      </c>
      <c r="F33" s="355"/>
      <c r="G33" s="200">
        <v>18592</v>
      </c>
      <c r="H33" s="554">
        <f>'Project Plan'!E34+60</f>
        <v>46136</v>
      </c>
      <c r="I33" s="696">
        <f>SUM(G33:G47)</f>
        <v>69414.8</v>
      </c>
      <c r="J33" s="699">
        <f>F170</f>
        <v>84652.195121951227</v>
      </c>
      <c r="K33" s="201"/>
      <c r="L33" s="197">
        <v>4</v>
      </c>
      <c r="M33" s="324" t="s">
        <v>266</v>
      </c>
      <c r="N33" s="198" t="s">
        <v>267</v>
      </c>
      <c r="O33" s="429">
        <v>2000</v>
      </c>
      <c r="P33" s="355">
        <v>14</v>
      </c>
      <c r="Q33" s="200">
        <f>O33*P33</f>
        <v>28000</v>
      </c>
      <c r="R33" s="474"/>
      <c r="S33" s="505"/>
      <c r="T33" s="415">
        <f>T6</f>
        <v>46081</v>
      </c>
      <c r="U33" s="401">
        <f t="shared" ref="U33:U46" si="4">(Q33/$X$33*$J$33)</f>
        <v>24553.020785564771</v>
      </c>
      <c r="V33" s="705">
        <f>J33-SUM(U33:U47)</f>
        <v>0</v>
      </c>
      <c r="W33" s="458">
        <f>W6</f>
        <v>46136</v>
      </c>
      <c r="X33" s="696">
        <f>SUM(Q33:Q47)</f>
        <v>96536.45</v>
      </c>
      <c r="Y33" s="611" t="str">
        <f>Y13</f>
        <v>DC Equipment</v>
      </c>
      <c r="Z33" s="493">
        <v>72341.45</v>
      </c>
      <c r="AB33" s="611" t="s">
        <v>242</v>
      </c>
      <c r="AC33" s="493">
        <v>54990</v>
      </c>
      <c r="AE33" s="611" t="s">
        <v>242</v>
      </c>
      <c r="AF33" s="493">
        <v>69107.78</v>
      </c>
    </row>
    <row r="34" spans="1:33" ht="14.25" customHeight="1">
      <c r="B34" s="224">
        <v>4</v>
      </c>
      <c r="C34" s="309"/>
      <c r="D34" s="309" t="s">
        <v>268</v>
      </c>
      <c r="E34" s="295"/>
      <c r="F34" s="351"/>
      <c r="G34" s="517">
        <f>D170-G33</f>
        <v>50822.8</v>
      </c>
      <c r="H34" s="545">
        <f>'Project Plan'!G30</f>
        <v>46100</v>
      </c>
      <c r="I34" s="697"/>
      <c r="J34" s="700"/>
      <c r="K34" s="205"/>
      <c r="L34" s="202">
        <v>4</v>
      </c>
      <c r="M34" s="325" t="s">
        <v>266</v>
      </c>
      <c r="N34" s="638" t="s">
        <v>269</v>
      </c>
      <c r="O34" s="641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06"/>
      <c r="W34" s="459"/>
      <c r="X34" s="697"/>
      <c r="Y34" s="611" t="str">
        <f>Y14</f>
        <v>AC Labour</v>
      </c>
      <c r="Z34" s="493">
        <v>41239.56</v>
      </c>
      <c r="AA34" s="526">
        <f>Z34/'Project Plan'!$E$3/1000</f>
        <v>0.31722738461538463</v>
      </c>
      <c r="AB34" s="611" t="s">
        <v>244</v>
      </c>
      <c r="AC34" s="493">
        <v>84500</v>
      </c>
      <c r="AD34" s="526">
        <f>AC34/'Project Plan'!$E$3/1000</f>
        <v>0.65</v>
      </c>
      <c r="AE34" s="611" t="s">
        <v>244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697"/>
      <c r="J35" s="700"/>
      <c r="K35" s="205"/>
      <c r="L35" s="202">
        <v>4</v>
      </c>
      <c r="M35" s="325" t="s">
        <v>266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06"/>
      <c r="W35" s="459"/>
      <c r="X35" s="697"/>
      <c r="Y35" s="611" t="str">
        <f>Y15</f>
        <v>DC Labour</v>
      </c>
      <c r="Z35" s="493">
        <v>90230.36</v>
      </c>
      <c r="AA35" s="526">
        <f>Z35/'Project Plan'!$E$3/1000</f>
        <v>0.69407969230769229</v>
      </c>
      <c r="AB35" s="611" t="s">
        <v>245</v>
      </c>
      <c r="AC35" s="493">
        <v>106210</v>
      </c>
      <c r="AD35" s="526">
        <f>AC35/'Project Plan'!$E$3/1000</f>
        <v>0.81699999999999995</v>
      </c>
      <c r="AE35" s="611" t="s">
        <v>245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697"/>
      <c r="J36" s="700"/>
      <c r="K36" s="205"/>
      <c r="L36" s="202">
        <v>4</v>
      </c>
      <c r="M36" s="325" t="s">
        <v>266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06"/>
      <c r="W36" s="459"/>
      <c r="X36" s="697"/>
      <c r="Y36" s="611" t="s">
        <v>246</v>
      </c>
      <c r="Z36" s="493">
        <v>12000</v>
      </c>
      <c r="AB36" s="611" t="s">
        <v>270</v>
      </c>
      <c r="AC36" s="493">
        <v>114000</v>
      </c>
      <c r="AE36" s="611" t="s">
        <v>246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697"/>
      <c r="J37" s="700"/>
      <c r="K37" s="205"/>
      <c r="L37" s="202">
        <v>4</v>
      </c>
      <c r="M37" s="325" t="s">
        <v>266</v>
      </c>
      <c r="N37" s="309" t="s">
        <v>271</v>
      </c>
      <c r="O37" s="447">
        <f>Z50</f>
        <v>68536.45</v>
      </c>
      <c r="P37" s="448">
        <v>0.1</v>
      </c>
      <c r="Q37" s="204">
        <f>$O$37*P37</f>
        <v>6853.6450000000004</v>
      </c>
      <c r="R37" s="712" t="s">
        <v>272</v>
      </c>
      <c r="S37" s="506" t="s">
        <v>273</v>
      </c>
      <c r="T37" s="645">
        <v>46081</v>
      </c>
      <c r="U37" s="401">
        <f t="shared" si="4"/>
        <v>6009.9174336386459</v>
      </c>
      <c r="V37" s="706"/>
      <c r="W37" s="654">
        <f>W96</f>
        <v>46073</v>
      </c>
      <c r="X37" s="697"/>
      <c r="Y37" s="611" t="s">
        <v>274</v>
      </c>
      <c r="Z37" s="493">
        <v>12397</v>
      </c>
      <c r="AB37" s="611" t="s">
        <v>275</v>
      </c>
      <c r="AC37" s="493">
        <v>0</v>
      </c>
      <c r="AE37" s="611" t="s">
        <v>276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697"/>
      <c r="J38" s="700"/>
      <c r="K38" s="205"/>
      <c r="L38" s="202">
        <v>4</v>
      </c>
      <c r="M38" s="325" t="s">
        <v>266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13"/>
      <c r="S38" s="506" t="s">
        <v>277</v>
      </c>
      <c r="T38" s="645">
        <v>46081</v>
      </c>
      <c r="U38" s="401">
        <f t="shared" si="4"/>
        <v>9014.876150457967</v>
      </c>
      <c r="V38" s="706"/>
      <c r="W38" s="459">
        <f t="shared" ref="W38:W44" si="6">W97</f>
        <v>46076</v>
      </c>
      <c r="X38" s="697"/>
      <c r="Y38" s="611" t="s">
        <v>248</v>
      </c>
      <c r="Z38" s="493">
        <v>9450</v>
      </c>
      <c r="AB38" s="611" t="s">
        <v>278</v>
      </c>
      <c r="AC38" s="493">
        <v>0</v>
      </c>
      <c r="AE38" s="611" t="s">
        <v>279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697"/>
      <c r="J39" s="700"/>
      <c r="K39" s="205"/>
      <c r="L39" s="202">
        <v>4</v>
      </c>
      <c r="M39" s="325" t="s">
        <v>266</v>
      </c>
      <c r="N39" s="309" t="s">
        <v>280</v>
      </c>
      <c r="O39" s="438"/>
      <c r="P39" s="448">
        <v>0.2</v>
      </c>
      <c r="Q39" s="204">
        <f t="shared" si="5"/>
        <v>13707.29</v>
      </c>
      <c r="R39" s="713"/>
      <c r="S39" s="506"/>
      <c r="T39" s="416">
        <v>46081</v>
      </c>
      <c r="U39" s="401">
        <f t="shared" si="4"/>
        <v>12019.834867277292</v>
      </c>
      <c r="V39" s="706"/>
      <c r="W39" s="459">
        <f t="shared" si="6"/>
        <v>46091</v>
      </c>
      <c r="X39" s="697"/>
      <c r="Y39" s="611" t="s">
        <v>281</v>
      </c>
      <c r="Z39" s="493">
        <v>1600</v>
      </c>
      <c r="AB39" s="611" t="s">
        <v>270</v>
      </c>
      <c r="AC39" s="493">
        <v>0</v>
      </c>
      <c r="AE39" s="611" t="s">
        <v>282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697"/>
      <c r="J40" s="700"/>
      <c r="K40" s="205"/>
      <c r="L40" s="202">
        <v>4</v>
      </c>
      <c r="M40" s="325" t="s">
        <v>266</v>
      </c>
      <c r="N40" s="309" t="s">
        <v>283</v>
      </c>
      <c r="O40" s="438"/>
      <c r="P40" s="448">
        <v>0.25</v>
      </c>
      <c r="Q40" s="204">
        <f t="shared" si="5"/>
        <v>17134.112499999999</v>
      </c>
      <c r="R40" s="713"/>
      <c r="S40" s="506"/>
      <c r="T40" s="416">
        <f t="shared" ref="T40:T44" si="7">T99</f>
        <v>46112</v>
      </c>
      <c r="U40" s="401">
        <f t="shared" si="4"/>
        <v>15024.793584096613</v>
      </c>
      <c r="V40" s="706"/>
      <c r="W40" s="459">
        <f t="shared" si="6"/>
        <v>46107</v>
      </c>
      <c r="X40" s="697"/>
      <c r="Y40" s="611" t="s">
        <v>284</v>
      </c>
      <c r="Z40" s="493">
        <v>9345.93</v>
      </c>
      <c r="AB40" s="611" t="s">
        <v>115</v>
      </c>
      <c r="AC40" s="493">
        <v>0</v>
      </c>
      <c r="AE40" s="611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697"/>
      <c r="J41" s="700"/>
      <c r="K41" s="205"/>
      <c r="L41" s="202">
        <v>4</v>
      </c>
      <c r="M41" s="325" t="s">
        <v>266</v>
      </c>
      <c r="N41" s="309" t="s">
        <v>285</v>
      </c>
      <c r="O41" s="438"/>
      <c r="P41" s="448">
        <v>0.1</v>
      </c>
      <c r="Q41" s="204">
        <f t="shared" si="5"/>
        <v>6853.6450000000004</v>
      </c>
      <c r="R41" s="713"/>
      <c r="S41" s="506"/>
      <c r="T41" s="416">
        <f t="shared" si="7"/>
        <v>46142</v>
      </c>
      <c r="U41" s="401">
        <f t="shared" si="4"/>
        <v>6009.9174336386459</v>
      </c>
      <c r="V41" s="706"/>
      <c r="W41" s="459">
        <f t="shared" si="6"/>
        <v>46118</v>
      </c>
      <c r="X41" s="697"/>
      <c r="Y41" s="611" t="s">
        <v>286</v>
      </c>
      <c r="Z41" s="493">
        <v>4500</v>
      </c>
      <c r="AB41" s="611" t="s">
        <v>254</v>
      </c>
      <c r="AC41" s="493">
        <v>0</v>
      </c>
      <c r="AE41" s="611" t="s">
        <v>254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697"/>
      <c r="J42" s="700"/>
      <c r="K42" s="205"/>
      <c r="L42" s="202">
        <v>4</v>
      </c>
      <c r="M42" s="325" t="s">
        <v>266</v>
      </c>
      <c r="N42" s="309" t="s">
        <v>287</v>
      </c>
      <c r="O42" s="438"/>
      <c r="P42" s="448">
        <v>0.1</v>
      </c>
      <c r="Q42" s="204">
        <f t="shared" si="5"/>
        <v>6853.6450000000004</v>
      </c>
      <c r="R42" s="713"/>
      <c r="S42" s="506"/>
      <c r="T42" s="416">
        <f t="shared" si="7"/>
        <v>46142</v>
      </c>
      <c r="U42" s="401">
        <f t="shared" si="4"/>
        <v>6009.9174336386459</v>
      </c>
      <c r="V42" s="706"/>
      <c r="W42" s="459">
        <f t="shared" si="6"/>
        <v>46119</v>
      </c>
      <c r="X42" s="697"/>
      <c r="Y42" s="611" t="s">
        <v>115</v>
      </c>
      <c r="Z42" s="494">
        <v>6750</v>
      </c>
      <c r="AB42" s="611" t="s">
        <v>254</v>
      </c>
      <c r="AC42" s="494">
        <v>0</v>
      </c>
      <c r="AE42" s="611" t="s">
        <v>254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697"/>
      <c r="J43" s="700"/>
      <c r="K43" s="205"/>
      <c r="L43" s="202">
        <v>4</v>
      </c>
      <c r="M43" s="325" t="s">
        <v>266</v>
      </c>
      <c r="N43" s="309" t="s">
        <v>288</v>
      </c>
      <c r="O43" s="438"/>
      <c r="P43" s="448">
        <v>0.05</v>
      </c>
      <c r="Q43" s="204">
        <f t="shared" si="5"/>
        <v>3426.8225000000002</v>
      </c>
      <c r="R43" s="713"/>
      <c r="S43" s="506"/>
      <c r="T43" s="416">
        <f t="shared" si="7"/>
        <v>46142</v>
      </c>
      <c r="U43" s="401">
        <f t="shared" si="4"/>
        <v>3004.9587168193229</v>
      </c>
      <c r="V43" s="706"/>
      <c r="W43" s="459">
        <f t="shared" si="6"/>
        <v>46119</v>
      </c>
      <c r="X43" s="697"/>
      <c r="Y43" s="611" t="s">
        <v>255</v>
      </c>
      <c r="Z43" s="493">
        <f>SUM(Z32:Z42)</f>
        <v>295483.75</v>
      </c>
      <c r="AB43" s="611" t="s">
        <v>255</v>
      </c>
      <c r="AC43" s="493">
        <f>SUM(AC32:AC42)</f>
        <v>444850</v>
      </c>
      <c r="AE43" s="611" t="s">
        <v>255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697"/>
      <c r="J44" s="700"/>
      <c r="K44" s="205"/>
      <c r="L44" s="202">
        <v>4</v>
      </c>
      <c r="M44" s="325" t="s">
        <v>266</v>
      </c>
      <c r="N44" s="309" t="s">
        <v>289</v>
      </c>
      <c r="O44" s="438"/>
      <c r="P44" s="448">
        <v>0.05</v>
      </c>
      <c r="Q44" s="204">
        <f t="shared" si="5"/>
        <v>3426.8225000000002</v>
      </c>
      <c r="R44" s="714"/>
      <c r="S44" s="506"/>
      <c r="T44" s="416">
        <f t="shared" si="7"/>
        <v>46142</v>
      </c>
      <c r="U44" s="401">
        <f t="shared" si="4"/>
        <v>3004.9587168193229</v>
      </c>
      <c r="V44" s="706"/>
      <c r="W44" s="459">
        <f t="shared" si="6"/>
        <v>46142</v>
      </c>
      <c r="X44" s="697"/>
      <c r="Y44" s="612" t="s">
        <v>259</v>
      </c>
      <c r="Z44" s="494">
        <f>Z43/'Project Plan'!$E$3/1000</f>
        <v>2.2729519230769228</v>
      </c>
      <c r="AB44" s="612" t="s">
        <v>259</v>
      </c>
      <c r="AC44" s="494">
        <f>AC43/'Project Plan'!$E$3/1000</f>
        <v>3.4219230769230773</v>
      </c>
      <c r="AE44" s="612" t="s">
        <v>259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697"/>
      <c r="J45" s="700"/>
      <c r="K45" s="205"/>
      <c r="L45" s="202">
        <v>4</v>
      </c>
      <c r="M45" s="325" t="s">
        <v>266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06"/>
      <c r="W45" s="459"/>
      <c r="X45" s="697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697"/>
      <c r="J46" s="700"/>
      <c r="K46" s="205"/>
      <c r="L46" s="202">
        <v>4</v>
      </c>
      <c r="M46" s="325" t="s">
        <v>266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06"/>
      <c r="W46" s="459"/>
      <c r="X46" s="708"/>
      <c r="Y46" s="732" t="s">
        <v>290</v>
      </c>
      <c r="Z46" s="733"/>
      <c r="AA46" s="733"/>
      <c r="AB46" s="733"/>
      <c r="AC46" s="733"/>
      <c r="AD46" s="733"/>
      <c r="AE46" s="733"/>
      <c r="AF46" s="734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698"/>
      <c r="J47" s="701"/>
      <c r="K47" s="210"/>
      <c r="L47" s="206">
        <v>4</v>
      </c>
      <c r="M47" s="326" t="s">
        <v>266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07"/>
      <c r="W47" s="460"/>
      <c r="X47" s="698"/>
    </row>
    <row r="48" spans="1:33" ht="14.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10" t="s">
        <v>261</v>
      </c>
      <c r="Z48" s="492" t="s">
        <v>262</v>
      </c>
      <c r="AB48" s="610" t="s">
        <v>263</v>
      </c>
      <c r="AC48" s="492" t="s">
        <v>262</v>
      </c>
      <c r="AE48" s="610" t="s">
        <v>264</v>
      </c>
      <c r="AF48" s="492" t="s">
        <v>262</v>
      </c>
    </row>
    <row r="49" spans="1:33" ht="14.25" customHeight="1">
      <c r="B49" s="185">
        <v>5</v>
      </c>
      <c r="C49" s="213" t="s">
        <v>291</v>
      </c>
      <c r="D49" s="231" t="s">
        <v>292</v>
      </c>
      <c r="E49" s="187"/>
      <c r="F49" s="336"/>
      <c r="G49" s="188">
        <v>26000</v>
      </c>
      <c r="H49" s="542">
        <f>H58</f>
        <v>46096</v>
      </c>
      <c r="I49" s="687">
        <f>D172</f>
        <v>49000</v>
      </c>
      <c r="J49" s="690">
        <f>F172</f>
        <v>59756.097560975606</v>
      </c>
      <c r="K49" s="189"/>
      <c r="L49" s="185">
        <v>5</v>
      </c>
      <c r="M49" s="321" t="s">
        <v>293</v>
      </c>
      <c r="N49" s="231" t="s">
        <v>294</v>
      </c>
      <c r="O49" s="432"/>
      <c r="P49" s="336"/>
      <c r="Q49" s="188">
        <v>8598.34</v>
      </c>
      <c r="R49" s="477"/>
      <c r="S49" s="508"/>
      <c r="T49" s="411">
        <f>T14</f>
        <v>46081</v>
      </c>
      <c r="U49" s="396">
        <f>(Q49/$X$49*$J$49)</f>
        <v>10830.262401445636</v>
      </c>
      <c r="V49" s="702">
        <f>J49-SUM(U49:U56)</f>
        <v>0</v>
      </c>
      <c r="W49" s="461">
        <f>W14</f>
        <v>46136</v>
      </c>
      <c r="X49" s="687">
        <f>SUM(Q49:Q56)</f>
        <v>47441.439999999995</v>
      </c>
      <c r="Y49" s="611" t="s">
        <v>239</v>
      </c>
      <c r="Z49" s="493">
        <v>33557.29</v>
      </c>
      <c r="AB49" s="611" t="s">
        <v>239</v>
      </c>
      <c r="AC49" s="493">
        <f>52300-10000</f>
        <v>42300</v>
      </c>
      <c r="AE49" s="611" t="s">
        <v>239</v>
      </c>
      <c r="AF49" s="493">
        <v>41000</v>
      </c>
    </row>
    <row r="50" spans="1:33" ht="14.25" customHeight="1">
      <c r="B50" s="190">
        <v>5</v>
      </c>
      <c r="C50" s="214"/>
      <c r="D50" s="217" t="s">
        <v>295</v>
      </c>
      <c r="E50" s="349"/>
      <c r="F50" s="350"/>
      <c r="G50" s="219">
        <v>8000</v>
      </c>
      <c r="H50" s="541">
        <f>H49</f>
        <v>46096</v>
      </c>
      <c r="I50" s="688"/>
      <c r="J50" s="691"/>
      <c r="K50" s="192"/>
      <c r="L50" s="190">
        <v>5</v>
      </c>
      <c r="M50" s="327" t="s">
        <v>293</v>
      </c>
      <c r="N50" s="191" t="s">
        <v>296</v>
      </c>
      <c r="O50" s="440"/>
      <c r="P50" s="350"/>
      <c r="Q50" s="219">
        <v>15184</v>
      </c>
      <c r="R50" s="518" t="s">
        <v>297</v>
      </c>
      <c r="S50" s="501"/>
      <c r="T50" s="411">
        <v>46081</v>
      </c>
      <c r="U50" s="396">
        <f t="shared" ref="U50:U56" si="8">(Q50/$X$49*$J$49)</f>
        <v>19125.401449995061</v>
      </c>
      <c r="V50" s="703"/>
      <c r="W50" s="454">
        <f>T50+30</f>
        <v>46111</v>
      </c>
      <c r="X50" s="688"/>
      <c r="Y50" s="611" t="s">
        <v>242</v>
      </c>
      <c r="Z50" s="493">
        <v>68536.45</v>
      </c>
      <c r="AB50" s="611" t="s">
        <v>242</v>
      </c>
      <c r="AC50" s="493">
        <v>54989</v>
      </c>
      <c r="AE50" s="611" t="s">
        <v>242</v>
      </c>
      <c r="AF50" s="493">
        <v>69107.78</v>
      </c>
    </row>
    <row r="51" spans="1:33" ht="14.25" customHeight="1">
      <c r="B51" s="190">
        <v>5</v>
      </c>
      <c r="C51" s="214"/>
      <c r="D51" s="288" t="s">
        <v>298</v>
      </c>
      <c r="E51" s="218"/>
      <c r="F51" s="357"/>
      <c r="G51" s="219">
        <v>15000</v>
      </c>
      <c r="H51" s="541">
        <f>H50</f>
        <v>46096</v>
      </c>
      <c r="I51" s="688"/>
      <c r="J51" s="691"/>
      <c r="K51" s="192"/>
      <c r="L51" s="190">
        <v>5</v>
      </c>
      <c r="M51" s="327" t="s">
        <v>293</v>
      </c>
      <c r="N51" s="217" t="s">
        <v>298</v>
      </c>
      <c r="O51" s="433"/>
      <c r="P51" s="357"/>
      <c r="Q51" s="219">
        <v>15000</v>
      </c>
      <c r="R51" s="470"/>
      <c r="S51" s="501"/>
      <c r="T51" s="411">
        <v>46081</v>
      </c>
      <c r="U51" s="396">
        <f t="shared" si="8"/>
        <v>18893.63947246614</v>
      </c>
      <c r="V51" s="703"/>
      <c r="W51" s="454">
        <f>T51+30</f>
        <v>46111</v>
      </c>
      <c r="X51" s="688"/>
      <c r="Y51" s="611" t="s">
        <v>244</v>
      </c>
      <c r="Z51" s="493">
        <v>39997.83</v>
      </c>
      <c r="AA51" s="526">
        <f>Z51/'Project Plan'!$E$3/1000</f>
        <v>0.30767561538461541</v>
      </c>
      <c r="AB51" s="611" t="s">
        <v>244</v>
      </c>
      <c r="AC51" s="493">
        <v>63375</v>
      </c>
      <c r="AD51" s="526">
        <f>AC51/'Project Plan'!$E$3/1000</f>
        <v>0.48749999999999999</v>
      </c>
      <c r="AE51" s="611" t="s">
        <v>244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88"/>
      <c r="J52" s="691"/>
      <c r="K52" s="192"/>
      <c r="L52" s="215">
        <v>5</v>
      </c>
      <c r="M52" s="327" t="s">
        <v>293</v>
      </c>
      <c r="N52" s="217" t="s">
        <v>299</v>
      </c>
      <c r="O52" s="433"/>
      <c r="P52" s="357"/>
      <c r="Q52" s="219">
        <v>3600</v>
      </c>
      <c r="R52" s="470" t="s">
        <v>300</v>
      </c>
      <c r="S52" s="501" t="s">
        <v>301</v>
      </c>
      <c r="T52" s="626">
        <v>46081</v>
      </c>
      <c r="U52" s="396">
        <f t="shared" si="8"/>
        <v>4534.4734733918749</v>
      </c>
      <c r="V52" s="703"/>
      <c r="W52" s="627">
        <v>45911</v>
      </c>
      <c r="X52" s="688"/>
      <c r="Y52" s="611" t="s">
        <v>245</v>
      </c>
      <c r="Z52" s="493">
        <v>79230.36</v>
      </c>
      <c r="AA52" s="526">
        <f>Z52/'Project Plan'!$E$3/1000</f>
        <v>0.60946430769230764</v>
      </c>
      <c r="AB52" s="611" t="s">
        <v>245</v>
      </c>
      <c r="AC52" s="493">
        <v>106210</v>
      </c>
      <c r="AD52" s="526">
        <f>AC52/'Project Plan'!$E$3/1000</f>
        <v>0.81699999999999995</v>
      </c>
      <c r="AE52" s="611" t="s">
        <v>245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88"/>
      <c r="J53" s="691"/>
      <c r="K53" s="192"/>
      <c r="L53" s="215">
        <v>5</v>
      </c>
      <c r="M53" s="327" t="s">
        <v>293</v>
      </c>
      <c r="N53" s="217" t="s">
        <v>302</v>
      </c>
      <c r="O53" s="434"/>
      <c r="P53" s="343"/>
      <c r="Q53" s="287">
        <v>2870</v>
      </c>
      <c r="R53" s="471"/>
      <c r="S53" s="502" t="s">
        <v>303</v>
      </c>
      <c r="T53" s="626">
        <v>46081</v>
      </c>
      <c r="U53" s="396">
        <f t="shared" si="8"/>
        <v>3614.9830190651887</v>
      </c>
      <c r="V53" s="703"/>
      <c r="W53" s="631">
        <v>46029</v>
      </c>
      <c r="X53" s="688"/>
      <c r="Y53" s="611" t="s">
        <v>246</v>
      </c>
      <c r="Z53" s="493">
        <v>12000</v>
      </c>
      <c r="AB53" s="611" t="s">
        <v>270</v>
      </c>
      <c r="AC53" s="493">
        <v>62300</v>
      </c>
      <c r="AE53" s="611" t="s">
        <v>246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88"/>
      <c r="J54" s="691"/>
      <c r="K54" s="192"/>
      <c r="L54" s="215">
        <v>5</v>
      </c>
      <c r="M54" s="327" t="s">
        <v>293</v>
      </c>
      <c r="N54" s="288" t="s">
        <v>304</v>
      </c>
      <c r="O54" s="434"/>
      <c r="P54" s="343"/>
      <c r="Q54" s="287">
        <v>975</v>
      </c>
      <c r="R54" s="471"/>
      <c r="S54" s="502" t="s">
        <v>305</v>
      </c>
      <c r="T54" s="626">
        <v>46081</v>
      </c>
      <c r="U54" s="396">
        <f t="shared" si="8"/>
        <v>1228.0865657102993</v>
      </c>
      <c r="V54" s="703"/>
      <c r="W54" s="631">
        <v>45899</v>
      </c>
      <c r="X54" s="688"/>
      <c r="Y54" s="611" t="s">
        <v>274</v>
      </c>
      <c r="Z54" s="493">
        <v>6198.5</v>
      </c>
      <c r="AB54" s="611" t="s">
        <v>275</v>
      </c>
      <c r="AC54" s="493">
        <v>0</v>
      </c>
      <c r="AE54" s="611" t="s">
        <v>276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88"/>
      <c r="J55" s="691"/>
      <c r="K55" s="192"/>
      <c r="L55" s="215">
        <v>5</v>
      </c>
      <c r="M55" s="327" t="s">
        <v>293</v>
      </c>
      <c r="N55" s="288" t="s">
        <v>306</v>
      </c>
      <c r="O55" s="434"/>
      <c r="P55" s="343"/>
      <c r="Q55" s="287">
        <v>1214.0999999999999</v>
      </c>
      <c r="R55" s="471"/>
      <c r="S55" s="502" t="s">
        <v>307</v>
      </c>
      <c r="T55" s="626">
        <v>46081</v>
      </c>
      <c r="U55" s="397">
        <f t="shared" si="8"/>
        <v>1529.2511789014095</v>
      </c>
      <c r="V55" s="703"/>
      <c r="W55" s="631">
        <v>45910</v>
      </c>
      <c r="X55" s="688"/>
      <c r="Y55" s="611" t="s">
        <v>248</v>
      </c>
      <c r="Z55" s="493">
        <v>9450</v>
      </c>
      <c r="AB55" s="611" t="s">
        <v>278</v>
      </c>
      <c r="AC55" s="493">
        <v>0</v>
      </c>
      <c r="AE55" s="611" t="s">
        <v>279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689"/>
      <c r="J56" s="692"/>
      <c r="K56" s="193"/>
      <c r="L56" s="220">
        <v>5</v>
      </c>
      <c r="M56" s="323" t="s">
        <v>293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04"/>
      <c r="W56" s="456"/>
      <c r="X56" s="689"/>
      <c r="Y56" s="611" t="s">
        <v>281</v>
      </c>
      <c r="Z56" s="493">
        <v>1600</v>
      </c>
      <c r="AB56" s="611" t="s">
        <v>270</v>
      </c>
      <c r="AC56" s="493">
        <v>0</v>
      </c>
      <c r="AE56" s="611" t="s">
        <v>282</v>
      </c>
      <c r="AF56" s="493">
        <v>4500</v>
      </c>
    </row>
    <row r="57" spans="1:33" ht="14.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1" t="s">
        <v>284</v>
      </c>
      <c r="Z57" s="493">
        <v>9345.93</v>
      </c>
      <c r="AB57" s="611" t="s">
        <v>115</v>
      </c>
      <c r="AC57" s="493">
        <v>0</v>
      </c>
      <c r="AE57" s="611" t="s">
        <v>115</v>
      </c>
      <c r="AF57" s="493">
        <v>0</v>
      </c>
    </row>
    <row r="58" spans="1:33" ht="14.25" customHeight="1">
      <c r="B58" s="197">
        <v>6</v>
      </c>
      <c r="C58" s="198" t="s">
        <v>239</v>
      </c>
      <c r="D58" s="199" t="s">
        <v>308</v>
      </c>
      <c r="E58" s="373"/>
      <c r="F58" s="355"/>
      <c r="G58" s="200">
        <f>D171</f>
        <v>198443.48695652175</v>
      </c>
      <c r="H58" s="554">
        <f>'Project Plan'!G26+30</f>
        <v>46096</v>
      </c>
      <c r="I58" s="696">
        <f>SUM(G58:G74)</f>
        <v>198443.48695652175</v>
      </c>
      <c r="J58" s="699">
        <f>F171</f>
        <v>200154.38238600199</v>
      </c>
      <c r="K58" s="201"/>
      <c r="L58" s="197">
        <v>6</v>
      </c>
      <c r="M58" s="330" t="s">
        <v>309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05">
        <f>J58-SUM(U58:U74)</f>
        <v>0</v>
      </c>
      <c r="W58" s="458"/>
      <c r="X58" s="696">
        <f>SUM(Q58:Q74)</f>
        <v>58297.930000000008</v>
      </c>
      <c r="Y58" s="611" t="s">
        <v>286</v>
      </c>
      <c r="Z58" s="493">
        <v>4500</v>
      </c>
      <c r="AB58" s="611" t="s">
        <v>254</v>
      </c>
      <c r="AC58" s="493">
        <v>0</v>
      </c>
      <c r="AE58" s="611" t="s">
        <v>254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697"/>
      <c r="J59" s="700"/>
      <c r="K59" s="205"/>
      <c r="L59" s="202">
        <v>6</v>
      </c>
      <c r="M59" s="328" t="s">
        <v>309</v>
      </c>
      <c r="N59" s="342" t="s">
        <v>295</v>
      </c>
      <c r="O59" s="438"/>
      <c r="P59" s="351"/>
      <c r="Q59" s="225">
        <v>24740.639999999999</v>
      </c>
      <c r="R59" s="475"/>
      <c r="S59" s="506" t="s">
        <v>310</v>
      </c>
      <c r="T59" s="645">
        <v>46081</v>
      </c>
      <c r="U59" s="401">
        <f t="shared" si="9"/>
        <v>84942.081460429486</v>
      </c>
      <c r="V59" s="706"/>
      <c r="W59" s="459">
        <f>T59+30</f>
        <v>46111</v>
      </c>
      <c r="X59" s="697"/>
      <c r="Y59" s="611" t="s">
        <v>115</v>
      </c>
      <c r="Z59" s="494">
        <v>6750</v>
      </c>
      <c r="AB59" s="611" t="s">
        <v>254</v>
      </c>
      <c r="AC59" s="494">
        <v>0</v>
      </c>
      <c r="AE59" s="611" t="s">
        <v>254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697"/>
      <c r="J60" s="700"/>
      <c r="K60" s="205"/>
      <c r="L60" s="202">
        <v>6</v>
      </c>
      <c r="M60" s="328" t="s">
        <v>309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06"/>
      <c r="W60" s="459"/>
      <c r="X60" s="697"/>
      <c r="Y60" s="611" t="s">
        <v>255</v>
      </c>
      <c r="Z60" s="493">
        <f>SUM(Z49:Z59)</f>
        <v>271166.36</v>
      </c>
      <c r="AB60" s="611" t="s">
        <v>255</v>
      </c>
      <c r="AC60" s="493">
        <f>SUM(AC49:AC59)</f>
        <v>329174</v>
      </c>
      <c r="AE60" s="611" t="s">
        <v>255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697"/>
      <c r="J61" s="700"/>
      <c r="K61" s="205"/>
      <c r="L61" s="202">
        <v>6</v>
      </c>
      <c r="M61" s="328" t="s">
        <v>309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06"/>
      <c r="W61" s="459"/>
      <c r="X61" s="697"/>
      <c r="Y61" s="612" t="s">
        <v>259</v>
      </c>
      <c r="Z61" s="494">
        <f>Z60/'Project Plan'!$E$3/1000</f>
        <v>2.0858950769230771</v>
      </c>
      <c r="AB61" s="612" t="s">
        <v>259</v>
      </c>
      <c r="AC61" s="494">
        <f>AC60/'Project Plan'!$E$3/1000</f>
        <v>2.5321076923076919</v>
      </c>
      <c r="AE61" s="612" t="s">
        <v>259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697"/>
      <c r="J62" s="700"/>
      <c r="K62" s="205"/>
      <c r="L62" s="202">
        <v>6</v>
      </c>
      <c r="M62" s="328" t="s">
        <v>309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06"/>
      <c r="W62" s="459"/>
      <c r="X62" s="697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697"/>
      <c r="J63" s="700"/>
      <c r="K63" s="205"/>
      <c r="L63" s="202">
        <v>6</v>
      </c>
      <c r="M63" s="328" t="s">
        <v>309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06"/>
      <c r="W63" s="459"/>
      <c r="X63" s="697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697"/>
      <c r="J64" s="700"/>
      <c r="K64" s="205"/>
      <c r="L64" s="202">
        <v>6</v>
      </c>
      <c r="M64" s="328" t="s">
        <v>309</v>
      </c>
      <c r="N64" s="309" t="s">
        <v>271</v>
      </c>
      <c r="O64" s="447">
        <f>Z49</f>
        <v>33557.29</v>
      </c>
      <c r="P64" s="448">
        <v>0.1</v>
      </c>
      <c r="Q64" s="204">
        <f>$O$64*P64</f>
        <v>3355.7290000000003</v>
      </c>
      <c r="R64" s="712" t="s">
        <v>272</v>
      </c>
      <c r="S64" s="506" t="s">
        <v>273</v>
      </c>
      <c r="T64" s="645">
        <v>46081</v>
      </c>
      <c r="U64" s="401">
        <f t="shared" si="9"/>
        <v>11521.230092557249</v>
      </c>
      <c r="V64" s="706"/>
      <c r="W64" s="654">
        <f>W96</f>
        <v>46073</v>
      </c>
      <c r="X64" s="697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697"/>
      <c r="J65" s="700"/>
      <c r="K65" s="205"/>
      <c r="L65" s="202">
        <v>6</v>
      </c>
      <c r="M65" s="329" t="s">
        <v>309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13"/>
      <c r="S65" s="506" t="s">
        <v>277</v>
      </c>
      <c r="T65" s="649">
        <v>46081</v>
      </c>
      <c r="U65" s="401">
        <f t="shared" si="9"/>
        <v>17281.845138835874</v>
      </c>
      <c r="V65" s="706"/>
      <c r="W65" s="459">
        <f t="shared" ref="W65:W71" si="11">W97</f>
        <v>46076</v>
      </c>
      <c r="X65" s="697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697"/>
      <c r="J66" s="700"/>
      <c r="K66" s="205"/>
      <c r="L66" s="202">
        <v>6</v>
      </c>
      <c r="M66" s="329" t="s">
        <v>309</v>
      </c>
      <c r="N66" s="309" t="s">
        <v>280</v>
      </c>
      <c r="O66" s="438"/>
      <c r="P66" s="448">
        <v>0.2</v>
      </c>
      <c r="Q66" s="204">
        <f t="shared" si="10"/>
        <v>6711.4580000000005</v>
      </c>
      <c r="R66" s="713"/>
      <c r="S66" s="506"/>
      <c r="T66" s="419">
        <v>46081</v>
      </c>
      <c r="U66" s="401">
        <f t="shared" si="9"/>
        <v>23042.460185114498</v>
      </c>
      <c r="V66" s="706"/>
      <c r="W66" s="459">
        <f t="shared" si="11"/>
        <v>46091</v>
      </c>
      <c r="X66" s="697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697"/>
      <c r="J67" s="700"/>
      <c r="K67" s="205"/>
      <c r="L67" s="202">
        <v>6</v>
      </c>
      <c r="M67" s="329" t="s">
        <v>309</v>
      </c>
      <c r="N67" s="309" t="s">
        <v>283</v>
      </c>
      <c r="O67" s="438"/>
      <c r="P67" s="448">
        <v>0.25</v>
      </c>
      <c r="Q67" s="204">
        <f t="shared" si="10"/>
        <v>8389.3225000000002</v>
      </c>
      <c r="R67" s="713"/>
      <c r="S67" s="506"/>
      <c r="T67" s="419">
        <f t="shared" si="1"/>
        <v>46112</v>
      </c>
      <c r="U67" s="401">
        <f t="shared" si="9"/>
        <v>28803.075231393123</v>
      </c>
      <c r="V67" s="706"/>
      <c r="W67" s="459">
        <f t="shared" si="11"/>
        <v>46107</v>
      </c>
      <c r="X67" s="697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697"/>
      <c r="J68" s="700"/>
      <c r="K68" s="205"/>
      <c r="L68" s="202">
        <v>6</v>
      </c>
      <c r="M68" s="329" t="s">
        <v>309</v>
      </c>
      <c r="N68" s="309" t="s">
        <v>285</v>
      </c>
      <c r="O68" s="438"/>
      <c r="P68" s="448">
        <v>0.1</v>
      </c>
      <c r="Q68" s="204">
        <f t="shared" si="10"/>
        <v>3355.7290000000003</v>
      </c>
      <c r="R68" s="713"/>
      <c r="S68" s="506"/>
      <c r="T68" s="419">
        <f t="shared" si="1"/>
        <v>46142</v>
      </c>
      <c r="U68" s="401">
        <f t="shared" si="9"/>
        <v>11521.230092557249</v>
      </c>
      <c r="V68" s="706"/>
      <c r="W68" s="459">
        <f t="shared" si="11"/>
        <v>46118</v>
      </c>
      <c r="X68" s="697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97"/>
      <c r="J69" s="700"/>
      <c r="K69" s="205"/>
      <c r="L69" s="202">
        <v>6</v>
      </c>
      <c r="M69" s="329" t="s">
        <v>309</v>
      </c>
      <c r="N69" s="309" t="s">
        <v>287</v>
      </c>
      <c r="O69" s="438"/>
      <c r="P69" s="448">
        <v>0.1</v>
      </c>
      <c r="Q69" s="204">
        <f t="shared" si="10"/>
        <v>3355.7290000000003</v>
      </c>
      <c r="R69" s="713"/>
      <c r="S69" s="510"/>
      <c r="T69" s="419">
        <f t="shared" si="1"/>
        <v>46142</v>
      </c>
      <c r="U69" s="406">
        <f t="shared" si="9"/>
        <v>11521.230092557249</v>
      </c>
      <c r="V69" s="706"/>
      <c r="W69" s="459">
        <f t="shared" si="11"/>
        <v>46119</v>
      </c>
      <c r="X69" s="697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697"/>
      <c r="J70" s="700"/>
      <c r="K70" s="205"/>
      <c r="L70" s="202">
        <v>6</v>
      </c>
      <c r="M70" s="329" t="s">
        <v>309</v>
      </c>
      <c r="N70" s="309" t="s">
        <v>288</v>
      </c>
      <c r="O70" s="438"/>
      <c r="P70" s="448">
        <v>0.05</v>
      </c>
      <c r="Q70" s="204">
        <f t="shared" si="10"/>
        <v>1677.8645000000001</v>
      </c>
      <c r="R70" s="713"/>
      <c r="S70" s="510"/>
      <c r="T70" s="419">
        <f t="shared" si="1"/>
        <v>46142</v>
      </c>
      <c r="U70" s="406">
        <f t="shared" si="9"/>
        <v>5760.6150462786245</v>
      </c>
      <c r="V70" s="706"/>
      <c r="W70" s="459">
        <f t="shared" si="11"/>
        <v>46119</v>
      </c>
      <c r="X70" s="697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697"/>
      <c r="J71" s="700"/>
      <c r="K71" s="205"/>
      <c r="L71" s="202">
        <v>6</v>
      </c>
      <c r="M71" s="329" t="s">
        <v>309</v>
      </c>
      <c r="N71" s="309" t="s">
        <v>289</v>
      </c>
      <c r="O71" s="438"/>
      <c r="P71" s="448">
        <v>0.05</v>
      </c>
      <c r="Q71" s="204">
        <f t="shared" si="10"/>
        <v>1677.8645000000001</v>
      </c>
      <c r="R71" s="714"/>
      <c r="S71" s="510"/>
      <c r="T71" s="419">
        <f t="shared" si="1"/>
        <v>46142</v>
      </c>
      <c r="U71" s="406">
        <f t="shared" si="9"/>
        <v>5760.6150462786245</v>
      </c>
      <c r="V71" s="706"/>
      <c r="W71" s="459">
        <f t="shared" si="11"/>
        <v>46142</v>
      </c>
      <c r="X71" s="697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697"/>
      <c r="J72" s="700"/>
      <c r="K72" s="205"/>
      <c r="L72" s="202">
        <v>6</v>
      </c>
      <c r="M72" s="329" t="s">
        <v>309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06"/>
      <c r="W72" s="462"/>
      <c r="X72" s="697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697"/>
      <c r="J73" s="700"/>
      <c r="K73" s="205"/>
      <c r="L73" s="202">
        <v>6</v>
      </c>
      <c r="M73" s="329" t="s">
        <v>309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06"/>
      <c r="W73" s="462"/>
      <c r="X73" s="697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698"/>
      <c r="J74" s="701"/>
      <c r="K74" s="210"/>
      <c r="L74" s="206">
        <v>6</v>
      </c>
      <c r="M74" s="331" t="s">
        <v>309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07"/>
      <c r="W74" s="460"/>
      <c r="X74" s="698"/>
    </row>
    <row r="75" spans="1:24" ht="14.5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311</v>
      </c>
      <c r="D76" s="282"/>
      <c r="E76" s="360"/>
      <c r="F76" s="366"/>
      <c r="G76" s="283"/>
      <c r="H76" s="558"/>
      <c r="I76" s="687">
        <f>SUM(G76:G83)</f>
        <v>0</v>
      </c>
      <c r="J76" s="690">
        <f>F176</f>
        <v>0</v>
      </c>
      <c r="K76" s="189"/>
      <c r="L76" s="281">
        <v>7</v>
      </c>
      <c r="M76" s="213" t="s">
        <v>312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09">
        <f>J76-SUM(U76:U83)</f>
        <v>0</v>
      </c>
      <c r="W76" s="464"/>
      <c r="X76" s="687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8"/>
      <c r="J77" s="691"/>
      <c r="K77" s="192"/>
      <c r="L77" s="284">
        <v>7</v>
      </c>
      <c r="M77" s="285" t="s">
        <v>312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10"/>
      <c r="W77" s="455"/>
      <c r="X77" s="688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88"/>
      <c r="J78" s="691"/>
      <c r="K78" s="192"/>
      <c r="L78" s="284">
        <v>7</v>
      </c>
      <c r="M78" s="285" t="s">
        <v>312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10"/>
      <c r="W78" s="455"/>
      <c r="X78" s="688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88"/>
      <c r="J79" s="691"/>
      <c r="K79" s="192"/>
      <c r="L79" s="284">
        <v>7</v>
      </c>
      <c r="M79" s="285" t="s">
        <v>312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10"/>
      <c r="W79" s="455"/>
      <c r="X79" s="688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88"/>
      <c r="J80" s="691"/>
      <c r="K80" s="192"/>
      <c r="L80" s="284">
        <v>7</v>
      </c>
      <c r="M80" s="285" t="s">
        <v>312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10"/>
      <c r="W80" s="455"/>
      <c r="X80" s="688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88"/>
      <c r="J81" s="691"/>
      <c r="K81" s="192"/>
      <c r="L81" s="284">
        <v>7</v>
      </c>
      <c r="M81" s="285" t="s">
        <v>312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10"/>
      <c r="W81" s="455"/>
      <c r="X81" s="688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88"/>
      <c r="J82" s="691"/>
      <c r="K82" s="192"/>
      <c r="L82" s="284">
        <v>7</v>
      </c>
      <c r="M82" s="285" t="s">
        <v>312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10"/>
      <c r="W82" s="455"/>
      <c r="X82" s="688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689"/>
      <c r="J83" s="692"/>
      <c r="K83" s="193"/>
      <c r="L83" s="220">
        <v>7</v>
      </c>
      <c r="M83" s="241" t="s">
        <v>312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11"/>
      <c r="W83" s="456"/>
      <c r="X83" s="689"/>
    </row>
    <row r="84" spans="1:24" ht="14.5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313</v>
      </c>
      <c r="D85" s="237" t="s">
        <v>314</v>
      </c>
      <c r="E85" s="361"/>
      <c r="F85" s="315"/>
      <c r="G85" s="238">
        <f>D175</f>
        <v>4000</v>
      </c>
      <c r="H85" s="554">
        <f>H95</f>
        <v>46091</v>
      </c>
      <c r="I85" s="696">
        <f>SUM(G85:G93)</f>
        <v>4000</v>
      </c>
      <c r="J85" s="699">
        <f>F175</f>
        <v>4494.3820224719102</v>
      </c>
      <c r="K85" s="201"/>
      <c r="L85" s="236">
        <v>8</v>
      </c>
      <c r="M85" s="324" t="s">
        <v>315</v>
      </c>
      <c r="N85" s="237" t="s">
        <v>299</v>
      </c>
      <c r="O85" s="361"/>
      <c r="P85" s="315"/>
      <c r="Q85" s="238">
        <v>3600</v>
      </c>
      <c r="R85" s="474" t="s">
        <v>300</v>
      </c>
      <c r="S85" s="505" t="s">
        <v>301</v>
      </c>
      <c r="T85" s="650">
        <v>46081</v>
      </c>
      <c r="U85" s="400">
        <f>(Q85/$X$85*$J$85)</f>
        <v>4494.3820224719102</v>
      </c>
      <c r="V85" s="727">
        <f>J85-SUM(U85:U93)</f>
        <v>0</v>
      </c>
      <c r="W85" s="458">
        <v>45911</v>
      </c>
      <c r="X85" s="696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7"/>
      <c r="J86" s="700"/>
      <c r="K86" s="205"/>
      <c r="L86" s="226">
        <v>8</v>
      </c>
      <c r="M86" s="332" t="s">
        <v>315</v>
      </c>
      <c r="N86" s="239"/>
      <c r="O86" s="314"/>
      <c r="P86" s="359"/>
      <c r="Q86" s="228"/>
      <c r="R86" s="475"/>
      <c r="S86" s="506"/>
      <c r="T86" s="416"/>
      <c r="U86" s="401"/>
      <c r="V86" s="728"/>
      <c r="W86" s="459"/>
      <c r="X86" s="69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97"/>
      <c r="J87" s="700"/>
      <c r="K87" s="205"/>
      <c r="L87" s="226">
        <v>8</v>
      </c>
      <c r="M87" s="332" t="s">
        <v>315</v>
      </c>
      <c r="N87" s="239"/>
      <c r="O87" s="314"/>
      <c r="P87" s="359"/>
      <c r="Q87" s="228"/>
      <c r="R87" s="475"/>
      <c r="S87" s="506"/>
      <c r="T87" s="416"/>
      <c r="U87" s="401"/>
      <c r="V87" s="728"/>
      <c r="W87" s="459"/>
      <c r="X87" s="697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697"/>
      <c r="J88" s="700"/>
      <c r="K88" s="205"/>
      <c r="L88" s="226">
        <v>8</v>
      </c>
      <c r="M88" s="332" t="s">
        <v>315</v>
      </c>
      <c r="N88" s="239"/>
      <c r="O88" s="314"/>
      <c r="P88" s="359"/>
      <c r="Q88" s="228"/>
      <c r="R88" s="475"/>
      <c r="S88" s="506"/>
      <c r="T88" s="416"/>
      <c r="U88" s="401"/>
      <c r="V88" s="728"/>
      <c r="W88" s="459"/>
      <c r="X88" s="69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697"/>
      <c r="J89" s="700"/>
      <c r="K89" s="205"/>
      <c r="L89" s="226">
        <v>8</v>
      </c>
      <c r="M89" s="332" t="s">
        <v>315</v>
      </c>
      <c r="N89" s="239"/>
      <c r="O89" s="314"/>
      <c r="P89" s="359"/>
      <c r="Q89" s="228"/>
      <c r="R89" s="475"/>
      <c r="S89" s="506"/>
      <c r="T89" s="416"/>
      <c r="U89" s="401"/>
      <c r="V89" s="728"/>
      <c r="W89" s="459"/>
      <c r="X89" s="69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697"/>
      <c r="J90" s="700"/>
      <c r="K90" s="205"/>
      <c r="L90" s="226">
        <v>8</v>
      </c>
      <c r="M90" s="332" t="s">
        <v>315</v>
      </c>
      <c r="N90" s="239"/>
      <c r="O90" s="441"/>
      <c r="P90" s="533"/>
      <c r="Q90" s="228"/>
      <c r="R90" s="475"/>
      <c r="S90" s="506"/>
      <c r="T90" s="416"/>
      <c r="U90" s="401"/>
      <c r="V90" s="728"/>
      <c r="W90" s="459"/>
      <c r="X90" s="697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697"/>
      <c r="J91" s="700"/>
      <c r="K91" s="205"/>
      <c r="L91" s="226">
        <v>8</v>
      </c>
      <c r="M91" s="332" t="s">
        <v>315</v>
      </c>
      <c r="N91" s="239"/>
      <c r="O91" s="441"/>
      <c r="P91" s="359"/>
      <c r="Q91" s="228"/>
      <c r="R91" s="475"/>
      <c r="S91" s="506"/>
      <c r="T91" s="545"/>
      <c r="U91" s="401"/>
      <c r="V91" s="728"/>
      <c r="W91" s="459"/>
      <c r="X91" s="697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97"/>
      <c r="J92" s="700"/>
      <c r="K92" s="205"/>
      <c r="L92" s="226">
        <v>8</v>
      </c>
      <c r="M92" s="332" t="s">
        <v>315</v>
      </c>
      <c r="N92" s="239"/>
      <c r="O92" s="441"/>
      <c r="P92" s="359"/>
      <c r="Q92" s="228"/>
      <c r="R92" s="479"/>
      <c r="S92" s="510"/>
      <c r="T92" s="419"/>
      <c r="U92" s="406"/>
      <c r="V92" s="728"/>
      <c r="W92" s="462"/>
      <c r="X92" s="697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98"/>
      <c r="J93" s="701"/>
      <c r="K93" s="210"/>
      <c r="L93" s="206">
        <v>8</v>
      </c>
      <c r="M93" s="331" t="s">
        <v>315</v>
      </c>
      <c r="N93" s="208"/>
      <c r="O93" s="442"/>
      <c r="P93" s="353"/>
      <c r="Q93" s="209"/>
      <c r="R93" s="476"/>
      <c r="S93" s="507"/>
      <c r="T93" s="417"/>
      <c r="U93" s="402"/>
      <c r="V93" s="729"/>
      <c r="W93" s="460"/>
      <c r="X93" s="698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316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317</v>
      </c>
      <c r="D95" s="231" t="s">
        <v>318</v>
      </c>
      <c r="E95" s="218"/>
      <c r="F95" s="336"/>
      <c r="G95" s="496">
        <f>D180</f>
        <v>32490</v>
      </c>
      <c r="H95" s="542">
        <f>'Project Plan'!G23+7</f>
        <v>46091</v>
      </c>
      <c r="I95" s="721">
        <f>SUM(G95:G106)</f>
        <v>108300</v>
      </c>
      <c r="J95" s="690">
        <f>F180+F181</f>
        <v>127411.76470588235</v>
      </c>
      <c r="K95" s="192"/>
      <c r="L95" s="215">
        <v>9</v>
      </c>
      <c r="M95" s="322" t="s">
        <v>319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02">
        <f>J95-SUM(U95:U106)</f>
        <v>0</v>
      </c>
      <c r="W95" s="461"/>
      <c r="X95" s="687">
        <f>SUM(Q95:Q106)</f>
        <v>119228.19</v>
      </c>
    </row>
    <row r="96" spans="1:24" ht="15" customHeight="1">
      <c r="B96" s="215">
        <v>9</v>
      </c>
      <c r="C96" s="341"/>
      <c r="D96" s="232" t="s">
        <v>320</v>
      </c>
      <c r="E96" s="218"/>
      <c r="F96" s="357"/>
      <c r="G96" s="496">
        <f>D181</f>
        <v>75810</v>
      </c>
      <c r="H96" s="541">
        <f>'Project Plan'!G30+7</f>
        <v>46107</v>
      </c>
      <c r="I96" s="722"/>
      <c r="J96" s="691"/>
      <c r="K96" s="192"/>
      <c r="L96" s="215">
        <v>9</v>
      </c>
      <c r="M96" s="322" t="s">
        <v>319</v>
      </c>
      <c r="N96" s="232" t="s">
        <v>271</v>
      </c>
      <c r="O96" s="450">
        <f>Z51+Z52</f>
        <v>119228.19</v>
      </c>
      <c r="P96" s="451">
        <v>0.1</v>
      </c>
      <c r="Q96" s="219">
        <f>$O$96*P96</f>
        <v>11922.819000000001</v>
      </c>
      <c r="R96" s="738" t="s">
        <v>272</v>
      </c>
      <c r="S96" s="646" t="s">
        <v>273</v>
      </c>
      <c r="T96" s="630">
        <v>46081</v>
      </c>
      <c r="U96" s="397">
        <f t="shared" si="13"/>
        <v>12741.176470588236</v>
      </c>
      <c r="V96" s="703"/>
      <c r="W96" s="652">
        <v>46073</v>
      </c>
      <c r="X96" s="68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2"/>
      <c r="J97" s="691"/>
      <c r="K97" s="192"/>
      <c r="L97" s="284">
        <v>9</v>
      </c>
      <c r="M97" s="394" t="s">
        <v>319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39"/>
      <c r="S97" s="646" t="s">
        <v>277</v>
      </c>
      <c r="T97" s="630">
        <v>46081</v>
      </c>
      <c r="U97" s="397">
        <f t="shared" si="13"/>
        <v>19111.764705882353</v>
      </c>
      <c r="V97" s="703"/>
      <c r="W97" s="455">
        <f>'Project Plan'!I21</f>
        <v>46076</v>
      </c>
      <c r="X97" s="68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2"/>
      <c r="J98" s="691"/>
      <c r="K98" s="192"/>
      <c r="L98" s="284">
        <v>9</v>
      </c>
      <c r="M98" s="394" t="s">
        <v>319</v>
      </c>
      <c r="N98" s="286" t="s">
        <v>280</v>
      </c>
      <c r="O98" s="434"/>
      <c r="P98" s="449">
        <v>0.2</v>
      </c>
      <c r="Q98" s="219">
        <f t="shared" si="14"/>
        <v>23845.638000000003</v>
      </c>
      <c r="R98" s="739"/>
      <c r="S98" s="502"/>
      <c r="T98" s="412">
        <v>46081</v>
      </c>
      <c r="U98" s="397">
        <f t="shared" si="13"/>
        <v>25482.352941176472</v>
      </c>
      <c r="V98" s="703"/>
      <c r="W98" s="455">
        <f>'Project Plan'!K23+7</f>
        <v>46091</v>
      </c>
      <c r="X98" s="68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2"/>
      <c r="J99" s="691"/>
      <c r="K99" s="192"/>
      <c r="L99" s="284">
        <v>9</v>
      </c>
      <c r="M99" s="394" t="s">
        <v>319</v>
      </c>
      <c r="N99" s="286" t="s">
        <v>283</v>
      </c>
      <c r="O99" s="434"/>
      <c r="P99" s="449">
        <v>0.25</v>
      </c>
      <c r="Q99" s="219">
        <f t="shared" si="14"/>
        <v>29807.047500000001</v>
      </c>
      <c r="R99" s="739"/>
      <c r="S99" s="502"/>
      <c r="T99" s="412">
        <f t="shared" si="12"/>
        <v>46112</v>
      </c>
      <c r="U99" s="397">
        <f t="shared" si="13"/>
        <v>31852.941176470587</v>
      </c>
      <c r="V99" s="703"/>
      <c r="W99" s="455">
        <f>'Project Plan'!K30+7</f>
        <v>46107</v>
      </c>
      <c r="X99" s="68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2"/>
      <c r="J100" s="691"/>
      <c r="K100" s="192"/>
      <c r="L100" s="284">
        <v>9</v>
      </c>
      <c r="M100" s="394" t="s">
        <v>319</v>
      </c>
      <c r="N100" s="286" t="s">
        <v>285</v>
      </c>
      <c r="O100" s="434"/>
      <c r="P100" s="449">
        <v>0.1</v>
      </c>
      <c r="Q100" s="219">
        <f t="shared" si="14"/>
        <v>11922.819000000001</v>
      </c>
      <c r="R100" s="739"/>
      <c r="S100" s="502"/>
      <c r="T100" s="412">
        <f t="shared" si="12"/>
        <v>46142</v>
      </c>
      <c r="U100" s="397">
        <f t="shared" si="13"/>
        <v>12741.176470588236</v>
      </c>
      <c r="V100" s="703"/>
      <c r="W100" s="455">
        <f>'Project Plan'!K41+7</f>
        <v>46118</v>
      </c>
      <c r="X100" s="68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2"/>
      <c r="J101" s="691"/>
      <c r="K101" s="192"/>
      <c r="L101" s="284">
        <v>9</v>
      </c>
      <c r="M101" s="394" t="s">
        <v>319</v>
      </c>
      <c r="N101" s="286" t="s">
        <v>287</v>
      </c>
      <c r="O101" s="434"/>
      <c r="P101" s="449">
        <v>0.1</v>
      </c>
      <c r="Q101" s="219">
        <f t="shared" si="14"/>
        <v>11922.819000000001</v>
      </c>
      <c r="R101" s="739"/>
      <c r="S101" s="502"/>
      <c r="T101" s="412">
        <f t="shared" si="12"/>
        <v>46142</v>
      </c>
      <c r="U101" s="397">
        <f t="shared" si="13"/>
        <v>12741.176470588236</v>
      </c>
      <c r="V101" s="703"/>
      <c r="W101" s="455">
        <f>'Project Plan'!K48+7</f>
        <v>46119</v>
      </c>
      <c r="X101" s="68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2"/>
      <c r="J102" s="691"/>
      <c r="K102" s="192"/>
      <c r="L102" s="284">
        <v>9</v>
      </c>
      <c r="M102" s="394" t="s">
        <v>319</v>
      </c>
      <c r="N102" s="286" t="s">
        <v>288</v>
      </c>
      <c r="O102" s="434"/>
      <c r="P102" s="449">
        <v>0.05</v>
      </c>
      <c r="Q102" s="219">
        <f t="shared" si="14"/>
        <v>5961.4095000000007</v>
      </c>
      <c r="R102" s="739"/>
      <c r="S102" s="502"/>
      <c r="T102" s="412">
        <f t="shared" si="12"/>
        <v>46142</v>
      </c>
      <c r="U102" s="397">
        <f t="shared" si="13"/>
        <v>6370.588235294118</v>
      </c>
      <c r="V102" s="703"/>
      <c r="W102" s="455">
        <f>'Project Plan'!K48+7</f>
        <v>46119</v>
      </c>
      <c r="X102" s="688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2"/>
      <c r="J103" s="691"/>
      <c r="K103" s="192"/>
      <c r="L103" s="284">
        <v>9</v>
      </c>
      <c r="M103" s="394" t="s">
        <v>319</v>
      </c>
      <c r="N103" s="286" t="s">
        <v>289</v>
      </c>
      <c r="O103" s="434"/>
      <c r="P103" s="449">
        <v>0.05</v>
      </c>
      <c r="Q103" s="219">
        <f t="shared" si="14"/>
        <v>5961.4095000000007</v>
      </c>
      <c r="R103" s="740"/>
      <c r="S103" s="502"/>
      <c r="T103" s="412">
        <f t="shared" si="12"/>
        <v>46142</v>
      </c>
      <c r="U103" s="397">
        <f t="shared" si="13"/>
        <v>6370.588235294118</v>
      </c>
      <c r="V103" s="703"/>
      <c r="W103" s="455">
        <f>'Project Plan'!K48+30</f>
        <v>46142</v>
      </c>
      <c r="X103" s="688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22"/>
      <c r="J104" s="691"/>
      <c r="K104" s="192"/>
      <c r="L104" s="284">
        <v>9</v>
      </c>
      <c r="M104" s="394" t="s">
        <v>319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03"/>
      <c r="W104" s="455"/>
      <c r="X104" s="688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22"/>
      <c r="J105" s="691"/>
      <c r="K105" s="192"/>
      <c r="L105" s="284">
        <v>9</v>
      </c>
      <c r="M105" s="394" t="s">
        <v>319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03"/>
      <c r="W105" s="455"/>
      <c r="X105" s="688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23"/>
      <c r="J106" s="692"/>
      <c r="K106" s="267"/>
      <c r="L106" s="220">
        <v>9</v>
      </c>
      <c r="M106" s="340" t="s">
        <v>319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04"/>
      <c r="W106" s="456"/>
      <c r="X106" s="689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321</v>
      </c>
      <c r="D108" s="174" t="s">
        <v>246</v>
      </c>
      <c r="E108" s="175"/>
      <c r="F108" s="368"/>
      <c r="G108" s="242">
        <f>D184</f>
        <v>8500</v>
      </c>
      <c r="H108" s="561">
        <f>H95</f>
        <v>46091</v>
      </c>
      <c r="I108" s="715">
        <f>SUM(G108:G122)</f>
        <v>59041.9</v>
      </c>
      <c r="J108" s="718">
        <f>F184+F187+F188+F186+F185</f>
        <v>69461.058823529413</v>
      </c>
      <c r="K108" s="243"/>
      <c r="L108" s="173">
        <v>10</v>
      </c>
      <c r="M108" s="333" t="s">
        <v>322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24">
        <f>J108-SUM(U108:U122)</f>
        <v>0</v>
      </c>
      <c r="W108" s="465"/>
      <c r="X108" s="715">
        <f>SUM(Q108:Q122)</f>
        <v>49844.432499999995</v>
      </c>
    </row>
    <row r="109" spans="1:24" ht="14.25" customHeight="1">
      <c r="B109" s="244">
        <v>10</v>
      </c>
      <c r="C109" s="245"/>
      <c r="D109" s="245" t="s">
        <v>247</v>
      </c>
      <c r="E109" s="246"/>
      <c r="F109" s="369"/>
      <c r="G109" s="247">
        <f>D188</f>
        <v>21741.9</v>
      </c>
      <c r="H109" s="562">
        <f>H95</f>
        <v>46091</v>
      </c>
      <c r="I109" s="716"/>
      <c r="J109" s="719"/>
      <c r="K109" s="176"/>
      <c r="L109" s="244">
        <v>10</v>
      </c>
      <c r="M109" s="334" t="s">
        <v>322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25"/>
      <c r="W109" s="466"/>
      <c r="X109" s="716"/>
    </row>
    <row r="110" spans="1:24" ht="14.25" customHeight="1">
      <c r="B110" s="244">
        <v>10</v>
      </c>
      <c r="C110" s="245"/>
      <c r="D110" s="245" t="s">
        <v>323</v>
      </c>
      <c r="E110" s="246"/>
      <c r="F110" s="369"/>
      <c r="G110" s="247">
        <f>D187</f>
        <v>28800</v>
      </c>
      <c r="H110" s="562">
        <f>H95</f>
        <v>46091</v>
      </c>
      <c r="I110" s="716"/>
      <c r="J110" s="719"/>
      <c r="K110" s="176"/>
      <c r="L110" s="244">
        <v>10</v>
      </c>
      <c r="M110" s="334" t="s">
        <v>322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25"/>
      <c r="W110" s="466"/>
      <c r="X110" s="716"/>
    </row>
    <row r="111" spans="1:24" ht="14.25" customHeight="1">
      <c r="B111" s="244">
        <v>10</v>
      </c>
      <c r="C111" s="245"/>
      <c r="D111" s="245" t="s">
        <v>248</v>
      </c>
      <c r="E111" s="246"/>
      <c r="F111" s="369"/>
      <c r="G111" s="247">
        <f>D186</f>
        <v>0</v>
      </c>
      <c r="H111" s="562">
        <f>H95</f>
        <v>46091</v>
      </c>
      <c r="I111" s="716"/>
      <c r="J111" s="719"/>
      <c r="K111" s="176"/>
      <c r="L111" s="244">
        <v>10</v>
      </c>
      <c r="M111" s="334" t="s">
        <v>322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25"/>
      <c r="W111" s="466"/>
      <c r="X111" s="71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16"/>
      <c r="J112" s="719"/>
      <c r="K112" s="176"/>
      <c r="L112" s="244">
        <v>10</v>
      </c>
      <c r="M112" s="334" t="s">
        <v>322</v>
      </c>
      <c r="N112" s="245" t="s">
        <v>271</v>
      </c>
      <c r="O112" s="495">
        <f>SUM(Z53:Z59)</f>
        <v>49844.43</v>
      </c>
      <c r="P112" s="452">
        <v>0.1</v>
      </c>
      <c r="Q112" s="247">
        <v>4984.43</v>
      </c>
      <c r="R112" s="735" t="s">
        <v>272</v>
      </c>
      <c r="S112" s="647" t="s">
        <v>273</v>
      </c>
      <c r="T112" s="648">
        <v>46081</v>
      </c>
      <c r="U112" s="409">
        <f t="shared" si="15"/>
        <v>6946.0874177224259</v>
      </c>
      <c r="V112" s="725"/>
      <c r="W112" s="653">
        <f>W96</f>
        <v>46073</v>
      </c>
      <c r="X112" s="71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16"/>
      <c r="J113" s="719"/>
      <c r="K113" s="176"/>
      <c r="L113" s="244">
        <v>10</v>
      </c>
      <c r="M113" s="334" t="s">
        <v>322</v>
      </c>
      <c r="N113" s="245" t="s">
        <v>167</v>
      </c>
      <c r="O113" s="445"/>
      <c r="P113" s="452">
        <v>0.15</v>
      </c>
      <c r="Q113" s="247">
        <v>7476.68</v>
      </c>
      <c r="R113" s="736"/>
      <c r="S113" s="647" t="s">
        <v>277</v>
      </c>
      <c r="T113" s="648">
        <v>46081</v>
      </c>
      <c r="U113" s="409">
        <f t="shared" si="15"/>
        <v>10419.179901079342</v>
      </c>
      <c r="V113" s="725"/>
      <c r="W113" s="467">
        <f t="shared" ref="W113:W119" si="16">W97</f>
        <v>46076</v>
      </c>
      <c r="X113" s="71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16"/>
      <c r="J114" s="719"/>
      <c r="K114" s="176"/>
      <c r="L114" s="244">
        <v>10</v>
      </c>
      <c r="M114" s="334" t="s">
        <v>322</v>
      </c>
      <c r="N114" s="245" t="s">
        <v>280</v>
      </c>
      <c r="O114" s="445"/>
      <c r="P114" s="452">
        <v>0.2</v>
      </c>
      <c r="Q114" s="247">
        <f t="shared" ref="Q114:Q119" si="17">$O$112*P114</f>
        <v>9968.8860000000004</v>
      </c>
      <c r="R114" s="736"/>
      <c r="S114" s="515"/>
      <c r="T114" s="425">
        <f t="shared" ref="T114:T119" si="18">T98</f>
        <v>46081</v>
      </c>
      <c r="U114" s="409">
        <f t="shared" si="15"/>
        <v>13892.211067927376</v>
      </c>
      <c r="V114" s="725"/>
      <c r="W114" s="467">
        <f t="shared" si="16"/>
        <v>46091</v>
      </c>
      <c r="X114" s="71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16"/>
      <c r="J115" s="719"/>
      <c r="K115" s="176"/>
      <c r="L115" s="244">
        <v>10</v>
      </c>
      <c r="M115" s="334" t="s">
        <v>322</v>
      </c>
      <c r="N115" s="245" t="s">
        <v>283</v>
      </c>
      <c r="O115" s="445"/>
      <c r="P115" s="452">
        <v>0.25</v>
      </c>
      <c r="Q115" s="247">
        <f t="shared" si="17"/>
        <v>12461.1075</v>
      </c>
      <c r="R115" s="736"/>
      <c r="S115" s="515"/>
      <c r="T115" s="425">
        <f t="shared" si="18"/>
        <v>46112</v>
      </c>
      <c r="U115" s="409">
        <f t="shared" si="15"/>
        <v>17365.263834909216</v>
      </c>
      <c r="V115" s="725"/>
      <c r="W115" s="467">
        <f t="shared" si="16"/>
        <v>46107</v>
      </c>
      <c r="X115" s="71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16"/>
      <c r="J116" s="719"/>
      <c r="K116" s="176"/>
      <c r="L116" s="244">
        <v>10</v>
      </c>
      <c r="M116" s="334" t="s">
        <v>322</v>
      </c>
      <c r="N116" s="245" t="s">
        <v>285</v>
      </c>
      <c r="O116" s="445"/>
      <c r="P116" s="452">
        <v>0.1</v>
      </c>
      <c r="Q116" s="247">
        <f t="shared" si="17"/>
        <v>4984.4430000000002</v>
      </c>
      <c r="R116" s="736"/>
      <c r="S116" s="515"/>
      <c r="T116" s="425">
        <f t="shared" si="18"/>
        <v>46142</v>
      </c>
      <c r="U116" s="409">
        <f t="shared" si="15"/>
        <v>6946.1055339636878</v>
      </c>
      <c r="V116" s="725"/>
      <c r="W116" s="467">
        <f t="shared" si="16"/>
        <v>46118</v>
      </c>
      <c r="X116" s="71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16"/>
      <c r="J117" s="719"/>
      <c r="K117" s="176"/>
      <c r="L117" s="244">
        <v>10</v>
      </c>
      <c r="M117" s="334" t="s">
        <v>322</v>
      </c>
      <c r="N117" s="245" t="s">
        <v>287</v>
      </c>
      <c r="O117" s="445"/>
      <c r="P117" s="452">
        <v>0.1</v>
      </c>
      <c r="Q117" s="247">
        <f t="shared" si="17"/>
        <v>4984.4430000000002</v>
      </c>
      <c r="R117" s="736"/>
      <c r="S117" s="515"/>
      <c r="T117" s="425">
        <f t="shared" si="18"/>
        <v>46142</v>
      </c>
      <c r="U117" s="409">
        <f t="shared" si="15"/>
        <v>6946.1055339636878</v>
      </c>
      <c r="V117" s="725"/>
      <c r="W117" s="467">
        <f t="shared" si="16"/>
        <v>46119</v>
      </c>
      <c r="X117" s="71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16"/>
      <c r="J118" s="719"/>
      <c r="K118" s="176"/>
      <c r="L118" s="244">
        <v>10</v>
      </c>
      <c r="M118" s="334" t="s">
        <v>322</v>
      </c>
      <c r="N118" s="245" t="s">
        <v>288</v>
      </c>
      <c r="O118" s="445"/>
      <c r="P118" s="452">
        <v>0.05</v>
      </c>
      <c r="Q118" s="247">
        <f t="shared" si="17"/>
        <v>2492.2215000000001</v>
      </c>
      <c r="R118" s="736"/>
      <c r="S118" s="515"/>
      <c r="T118" s="425">
        <f t="shared" si="18"/>
        <v>46142</v>
      </c>
      <c r="U118" s="409">
        <f t="shared" si="15"/>
        <v>3473.0527669818439</v>
      </c>
      <c r="V118" s="725"/>
      <c r="W118" s="467">
        <f t="shared" si="16"/>
        <v>46119</v>
      </c>
      <c r="X118" s="71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16"/>
      <c r="J119" s="719"/>
      <c r="K119" s="176"/>
      <c r="L119" s="244">
        <v>10</v>
      </c>
      <c r="M119" s="334" t="s">
        <v>322</v>
      </c>
      <c r="N119" s="245" t="s">
        <v>289</v>
      </c>
      <c r="O119" s="445"/>
      <c r="P119" s="452">
        <v>0.05</v>
      </c>
      <c r="Q119" s="247">
        <f t="shared" si="17"/>
        <v>2492.2215000000001</v>
      </c>
      <c r="R119" s="737"/>
      <c r="S119" s="515"/>
      <c r="T119" s="425">
        <f t="shared" si="18"/>
        <v>46142</v>
      </c>
      <c r="U119" s="409">
        <f t="shared" si="15"/>
        <v>3473.0527669818439</v>
      </c>
      <c r="V119" s="725"/>
      <c r="W119" s="467">
        <f t="shared" si="16"/>
        <v>46142</v>
      </c>
      <c r="X119" s="71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16"/>
      <c r="J120" s="719"/>
      <c r="K120" s="176"/>
      <c r="L120" s="244">
        <v>10</v>
      </c>
      <c r="M120" s="334" t="s">
        <v>322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25"/>
      <c r="W120" s="467"/>
      <c r="X120" s="71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16"/>
      <c r="J121" s="719"/>
      <c r="K121" s="176"/>
      <c r="L121" s="244">
        <v>10</v>
      </c>
      <c r="M121" s="334" t="s">
        <v>322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25"/>
      <c r="W121" s="467"/>
      <c r="X121" s="716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17"/>
      <c r="J122" s="720"/>
      <c r="K122" s="179"/>
      <c r="L122" s="177">
        <v>10</v>
      </c>
      <c r="M122" s="335" t="s">
        <v>322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26"/>
      <c r="W122" s="468"/>
      <c r="X122" s="717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324</v>
      </c>
      <c r="D124" s="255" t="s">
        <v>325</v>
      </c>
      <c r="E124" s="187"/>
      <c r="F124" s="336"/>
      <c r="G124" s="188">
        <v>11000</v>
      </c>
      <c r="H124" s="542">
        <f>'Project Plan'!G41</f>
        <v>46111</v>
      </c>
      <c r="I124" s="687">
        <f>SUM(G124:G129)</f>
        <v>89000</v>
      </c>
      <c r="J124" s="690">
        <f>F183</f>
        <v>104705.88235294117</v>
      </c>
      <c r="K124" s="189"/>
      <c r="L124" s="185">
        <v>11</v>
      </c>
      <c r="M124" s="255" t="s">
        <v>326</v>
      </c>
      <c r="N124" s="255" t="s">
        <v>325</v>
      </c>
      <c r="O124" s="187"/>
      <c r="P124" s="336"/>
      <c r="Q124" s="188">
        <v>12577.5</v>
      </c>
      <c r="R124" s="535"/>
      <c r="S124" s="508"/>
      <c r="T124" s="418">
        <f t="shared" si="12"/>
        <v>46142</v>
      </c>
      <c r="U124" s="397">
        <f t="shared" ref="U124:U129" si="19">(Q124/$X$124*$J$124)</f>
        <v>14980.446418835589</v>
      </c>
      <c r="V124" s="702">
        <f>J124-SUM(U124:U129)</f>
        <v>0</v>
      </c>
      <c r="W124" s="461">
        <f>'Project Plan'!K41+14</f>
        <v>46125</v>
      </c>
      <c r="X124" s="687">
        <f>SUM(Q124:Q129)</f>
        <v>87910.48</v>
      </c>
    </row>
    <row r="125" spans="1:24" ht="15" customHeight="1">
      <c r="B125" s="215">
        <v>11</v>
      </c>
      <c r="C125" s="217"/>
      <c r="D125" s="217" t="s">
        <v>327</v>
      </c>
      <c r="E125" s="218"/>
      <c r="F125" s="357"/>
      <c r="G125" s="219">
        <v>18000</v>
      </c>
      <c r="H125" s="542">
        <f>H124</f>
        <v>46111</v>
      </c>
      <c r="I125" s="688"/>
      <c r="J125" s="691"/>
      <c r="K125" s="192"/>
      <c r="L125" s="215">
        <v>11</v>
      </c>
      <c r="M125" s="290" t="s">
        <v>326</v>
      </c>
      <c r="N125" s="217" t="s">
        <v>328</v>
      </c>
      <c r="O125" s="218"/>
      <c r="P125" s="357"/>
      <c r="Q125" s="219">
        <v>7690.9</v>
      </c>
      <c r="R125" s="518"/>
      <c r="S125" s="501" t="s">
        <v>329</v>
      </c>
      <c r="T125" s="626">
        <v>46053</v>
      </c>
      <c r="U125" s="397">
        <f t="shared" si="19"/>
        <v>9160.2556440169046</v>
      </c>
      <c r="V125" s="703"/>
      <c r="W125" s="627">
        <v>45526</v>
      </c>
      <c r="X125" s="688"/>
    </row>
    <row r="126" spans="1:24" ht="15" customHeight="1">
      <c r="B126" s="215">
        <v>11</v>
      </c>
      <c r="C126" s="217"/>
      <c r="D126" s="217" t="s">
        <v>330</v>
      </c>
      <c r="E126" s="218"/>
      <c r="F126" s="357"/>
      <c r="G126" s="219">
        <v>60000</v>
      </c>
      <c r="H126" s="542">
        <f>H125</f>
        <v>46111</v>
      </c>
      <c r="I126" s="688"/>
      <c r="J126" s="691"/>
      <c r="K126" s="192"/>
      <c r="L126" s="215">
        <v>11</v>
      </c>
      <c r="M126" s="290" t="s">
        <v>326</v>
      </c>
      <c r="N126" s="217" t="s">
        <v>330</v>
      </c>
      <c r="O126" s="218"/>
      <c r="P126" s="357"/>
      <c r="Q126" s="219">
        <v>50000</v>
      </c>
      <c r="R126" s="470" t="s">
        <v>331</v>
      </c>
      <c r="S126" s="501" t="s">
        <v>332</v>
      </c>
      <c r="T126" s="541">
        <v>46081</v>
      </c>
      <c r="U126" s="397">
        <f t="shared" si="19"/>
        <v>59552.559804554119</v>
      </c>
      <c r="V126" s="703"/>
      <c r="W126" s="454">
        <f>T126+30</f>
        <v>46111</v>
      </c>
      <c r="X126" s="688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88"/>
      <c r="J127" s="691"/>
      <c r="K127" s="192"/>
      <c r="L127" s="215">
        <v>11</v>
      </c>
      <c r="M127" s="290" t="s">
        <v>326</v>
      </c>
      <c r="N127" s="288" t="s">
        <v>333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7146.3071765464947</v>
      </c>
      <c r="V127" s="703"/>
      <c r="W127" s="455">
        <v>46142</v>
      </c>
      <c r="X127" s="688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88"/>
      <c r="J128" s="691"/>
      <c r="K128" s="192"/>
      <c r="L128" s="215">
        <v>11</v>
      </c>
      <c r="M128" s="290" t="s">
        <v>326</v>
      </c>
      <c r="N128" s="288" t="s">
        <v>334</v>
      </c>
      <c r="O128" s="434"/>
      <c r="P128" s="343"/>
      <c r="Q128" s="287">
        <v>9900</v>
      </c>
      <c r="R128" s="471"/>
      <c r="S128" s="502" t="s">
        <v>335</v>
      </c>
      <c r="T128" s="630">
        <v>46053</v>
      </c>
      <c r="U128" s="397">
        <f t="shared" si="19"/>
        <v>11791.406841301716</v>
      </c>
      <c r="V128" s="703"/>
      <c r="W128" s="631">
        <v>46015</v>
      </c>
      <c r="X128" s="688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89"/>
      <c r="J129" s="692"/>
      <c r="K129" s="193"/>
      <c r="L129" s="220">
        <v>11</v>
      </c>
      <c r="M129" s="318" t="s">
        <v>326</v>
      </c>
      <c r="N129" s="221" t="s">
        <v>334</v>
      </c>
      <c r="O129" s="222"/>
      <c r="P129" s="358"/>
      <c r="Q129" s="234">
        <v>1742.08</v>
      </c>
      <c r="R129" s="472"/>
      <c r="S129" s="503" t="s">
        <v>336</v>
      </c>
      <c r="T129" s="552">
        <v>46053</v>
      </c>
      <c r="U129" s="398">
        <f t="shared" si="19"/>
        <v>2074.9064676863527</v>
      </c>
      <c r="V129" s="704"/>
      <c r="W129" s="623">
        <v>45989</v>
      </c>
      <c r="X129" s="689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337</v>
      </c>
      <c r="D131" s="174" t="s">
        <v>338</v>
      </c>
      <c r="E131" s="175"/>
      <c r="F131" s="368"/>
      <c r="G131" s="242">
        <v>0</v>
      </c>
      <c r="H131" s="561"/>
      <c r="I131" s="715">
        <f>SUM(G131:G132)</f>
        <v>0</v>
      </c>
      <c r="J131" s="718">
        <v>0</v>
      </c>
      <c r="K131" s="730"/>
      <c r="L131" s="173">
        <v>12</v>
      </c>
      <c r="M131" s="174" t="s">
        <v>339</v>
      </c>
      <c r="N131" s="174" t="s">
        <v>338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15">
        <f>SUM(Q131:Q132)</f>
        <v>0</v>
      </c>
    </row>
    <row r="132" spans="1:24" ht="15" customHeight="1" thickBot="1">
      <c r="B132" s="177">
        <v>12</v>
      </c>
      <c r="C132" s="248" t="s">
        <v>337</v>
      </c>
      <c r="D132" s="248"/>
      <c r="E132" s="249"/>
      <c r="F132" s="370"/>
      <c r="G132" s="178"/>
      <c r="H132" s="564"/>
      <c r="I132" s="717"/>
      <c r="J132" s="720"/>
      <c r="K132" s="731"/>
      <c r="L132" s="177">
        <v>12</v>
      </c>
      <c r="M132" s="248" t="s">
        <v>339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1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340</v>
      </c>
      <c r="D134" s="255" t="s">
        <v>341</v>
      </c>
      <c r="E134" s="187"/>
      <c r="F134" s="336"/>
      <c r="G134" s="188">
        <v>13718.458961956521</v>
      </c>
      <c r="H134" s="542">
        <f>'Project Plan'!G50</f>
        <v>46127</v>
      </c>
      <c r="I134" s="687">
        <f>SUM(G134:G138)</f>
        <v>90875.738961956522</v>
      </c>
      <c r="J134" s="690">
        <f>F182</f>
        <v>106912.63407289002</v>
      </c>
      <c r="K134" s="189"/>
      <c r="L134" s="185">
        <v>13</v>
      </c>
      <c r="M134" s="255" t="s">
        <v>342</v>
      </c>
      <c r="N134" s="255" t="s">
        <v>343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02">
        <f>J134-SUM(U134:U139)</f>
        <v>0</v>
      </c>
      <c r="W134" s="461">
        <v>46142</v>
      </c>
      <c r="X134" s="687">
        <f>SUM(Q134:Q139)</f>
        <v>18015.380965414468</v>
      </c>
    </row>
    <row r="135" spans="1:24" ht="15.75" customHeight="1">
      <c r="B135" s="215">
        <v>13</v>
      </c>
      <c r="C135" s="217"/>
      <c r="D135" s="217" t="s">
        <v>344</v>
      </c>
      <c r="E135" s="218"/>
      <c r="F135" s="357"/>
      <c r="G135" s="219">
        <v>9600</v>
      </c>
      <c r="H135" s="541">
        <v>46092</v>
      </c>
      <c r="I135" s="688"/>
      <c r="J135" s="691"/>
      <c r="K135" s="192"/>
      <c r="L135" s="215">
        <v>13</v>
      </c>
      <c r="M135" s="290" t="s">
        <v>342</v>
      </c>
      <c r="N135" s="217" t="s">
        <v>344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3"/>
      <c r="W135" s="454"/>
      <c r="X135" s="688"/>
    </row>
    <row r="136" spans="1:24" ht="15.75" customHeight="1">
      <c r="B136" s="215">
        <v>13</v>
      </c>
      <c r="C136" s="217"/>
      <c r="D136" s="217" t="s">
        <v>345</v>
      </c>
      <c r="E136" s="218"/>
      <c r="F136" s="357"/>
      <c r="G136" s="219">
        <v>32640</v>
      </c>
      <c r="H136" s="541">
        <v>46092</v>
      </c>
      <c r="I136" s="688"/>
      <c r="J136" s="691"/>
      <c r="K136" s="192"/>
      <c r="L136" s="215">
        <v>13</v>
      </c>
      <c r="M136" s="290" t="s">
        <v>342</v>
      </c>
      <c r="N136" s="217" t="s">
        <v>345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3"/>
      <c r="W136" s="454"/>
      <c r="X136" s="688"/>
    </row>
    <row r="137" spans="1:24" ht="15.75" customHeight="1">
      <c r="B137" s="215">
        <v>13</v>
      </c>
      <c r="C137" s="217"/>
      <c r="D137" s="217" t="s">
        <v>346</v>
      </c>
      <c r="E137" s="218"/>
      <c r="F137" s="357"/>
      <c r="G137" s="219">
        <v>12480</v>
      </c>
      <c r="H137" s="541">
        <v>46092</v>
      </c>
      <c r="I137" s="688"/>
      <c r="J137" s="691"/>
      <c r="K137" s="192"/>
      <c r="L137" s="215">
        <v>13</v>
      </c>
      <c r="M137" s="290" t="s">
        <v>342</v>
      </c>
      <c r="N137" s="217" t="s">
        <v>346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03"/>
      <c r="W137" s="454"/>
      <c r="X137" s="688"/>
    </row>
    <row r="138" spans="1:24" ht="15.75" customHeight="1">
      <c r="B138" s="215">
        <v>13</v>
      </c>
      <c r="C138" s="217"/>
      <c r="D138" s="217" t="s">
        <v>347</v>
      </c>
      <c r="E138" s="218"/>
      <c r="F138" s="357"/>
      <c r="G138" s="219">
        <v>22437.279999999999</v>
      </c>
      <c r="H138" s="541">
        <v>46092</v>
      </c>
      <c r="I138" s="688"/>
      <c r="J138" s="691"/>
      <c r="K138" s="192"/>
      <c r="L138" s="215">
        <v>13</v>
      </c>
      <c r="M138" s="290" t="s">
        <v>342</v>
      </c>
      <c r="N138" s="217" t="s">
        <v>347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03"/>
      <c r="W138" s="454"/>
      <c r="X138" s="688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689"/>
      <c r="J139" s="692"/>
      <c r="K139" s="267"/>
      <c r="L139" s="220">
        <v>13</v>
      </c>
      <c r="M139" s="318" t="s">
        <v>342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04"/>
      <c r="W139" s="456"/>
      <c r="X139" s="689"/>
    </row>
    <row r="140" spans="1:24" ht="14.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348</v>
      </c>
      <c r="D141" s="174" t="s">
        <v>349</v>
      </c>
      <c r="E141" s="175"/>
      <c r="F141" s="368"/>
      <c r="G141" s="242">
        <f>D193</f>
        <v>2100</v>
      </c>
      <c r="H141" s="561">
        <f>'Project Plan'!G50</f>
        <v>46127</v>
      </c>
      <c r="I141" s="715">
        <f>SUM(G141:G152)</f>
        <v>2100</v>
      </c>
      <c r="J141" s="718">
        <f>F193</f>
        <v>2470.5882352941176</v>
      </c>
      <c r="K141" s="243"/>
      <c r="L141" s="173">
        <v>14</v>
      </c>
      <c r="M141" s="333" t="s">
        <v>350</v>
      </c>
      <c r="N141" s="174" t="s">
        <v>284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24">
        <f>J141-SUM(U141:U152)</f>
        <v>0</v>
      </c>
      <c r="W141" s="467">
        <f>T141+7</f>
        <v>46088</v>
      </c>
      <c r="X141" s="715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16"/>
      <c r="J142" s="719"/>
      <c r="K142" s="176"/>
      <c r="L142" s="244">
        <v>14</v>
      </c>
      <c r="M142" s="334" t="s">
        <v>350</v>
      </c>
      <c r="N142" s="245" t="s">
        <v>284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25"/>
      <c r="W142" s="467">
        <f t="shared" ref="W142:W144" si="22">T142+7</f>
        <v>46119</v>
      </c>
      <c r="X142" s="71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16"/>
      <c r="J143" s="719"/>
      <c r="K143" s="176"/>
      <c r="L143" s="244">
        <v>14</v>
      </c>
      <c r="M143" s="334" t="s">
        <v>350</v>
      </c>
      <c r="N143" s="245" t="s">
        <v>284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25"/>
      <c r="W143" s="467">
        <f t="shared" si="22"/>
        <v>46149</v>
      </c>
      <c r="X143" s="71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16"/>
      <c r="J144" s="719"/>
      <c r="K144" s="176"/>
      <c r="L144" s="244">
        <v>14</v>
      </c>
      <c r="M144" s="334" t="s">
        <v>350</v>
      </c>
      <c r="N144" s="245" t="s">
        <v>284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25"/>
      <c r="W144" s="467">
        <f t="shared" si="22"/>
        <v>46180</v>
      </c>
      <c r="X144" s="71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16"/>
      <c r="J145" s="719"/>
      <c r="K145" s="176"/>
      <c r="L145" s="244">
        <v>14</v>
      </c>
      <c r="M145" s="334" t="s">
        <v>350</v>
      </c>
      <c r="N145" s="245" t="s">
        <v>284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25"/>
      <c r="W145" s="467"/>
      <c r="X145" s="71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16"/>
      <c r="J146" s="719"/>
      <c r="K146" s="176"/>
      <c r="L146" s="244">
        <v>14</v>
      </c>
      <c r="M146" s="334" t="s">
        <v>350</v>
      </c>
      <c r="N146" s="245" t="s">
        <v>284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25"/>
      <c r="W146" s="467"/>
      <c r="X146" s="71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16"/>
      <c r="J147" s="719"/>
      <c r="K147" s="176"/>
      <c r="L147" s="244">
        <v>14</v>
      </c>
      <c r="M147" s="334" t="s">
        <v>350</v>
      </c>
      <c r="N147" s="245" t="s">
        <v>284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25"/>
      <c r="W147" s="467"/>
      <c r="X147" s="71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16"/>
      <c r="J148" s="719"/>
      <c r="K148" s="176"/>
      <c r="L148" s="244">
        <v>14</v>
      </c>
      <c r="M148" s="334" t="s">
        <v>350</v>
      </c>
      <c r="N148" s="245" t="s">
        <v>284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25"/>
      <c r="W148" s="467"/>
      <c r="X148" s="71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16"/>
      <c r="J149" s="719"/>
      <c r="K149" s="176"/>
      <c r="L149" s="244">
        <v>14</v>
      </c>
      <c r="M149" s="334" t="s">
        <v>350</v>
      </c>
      <c r="N149" s="245" t="s">
        <v>284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25"/>
      <c r="W149" s="467"/>
      <c r="X149" s="71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16"/>
      <c r="J150" s="719"/>
      <c r="K150" s="176"/>
      <c r="L150" s="244">
        <v>14</v>
      </c>
      <c r="M150" s="334" t="s">
        <v>350</v>
      </c>
      <c r="N150" s="245" t="s">
        <v>284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25"/>
      <c r="W150" s="467"/>
      <c r="X150" s="71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16"/>
      <c r="J151" s="719"/>
      <c r="K151" s="176"/>
      <c r="L151" s="244">
        <v>14</v>
      </c>
      <c r="M151" s="334" t="s">
        <v>350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25"/>
      <c r="W151" s="467"/>
      <c r="X151" s="716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17"/>
      <c r="J152" s="720"/>
      <c r="K152" s="179"/>
      <c r="L152" s="177">
        <v>14</v>
      </c>
      <c r="M152" s="335" t="s">
        <v>350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26"/>
      <c r="W152" s="468"/>
      <c r="X152" s="717"/>
    </row>
    <row r="153" spans="1:24" ht="14.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351</v>
      </c>
      <c r="D154" s="186"/>
      <c r="E154" s="187"/>
      <c r="F154" s="336"/>
      <c r="G154" s="188"/>
      <c r="H154" s="542"/>
      <c r="I154" s="687">
        <f>SUM(G154:G165)</f>
        <v>0</v>
      </c>
      <c r="J154" s="690">
        <f>F190</f>
        <v>0</v>
      </c>
      <c r="K154" s="189"/>
      <c r="L154" s="185">
        <v>15</v>
      </c>
      <c r="M154" s="255" t="s">
        <v>352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02">
        <v>0</v>
      </c>
      <c r="W154" s="461"/>
      <c r="X154" s="687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8"/>
      <c r="J155" s="691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/>
      <c r="U155" s="396"/>
      <c r="V155" s="703"/>
      <c r="W155" s="454"/>
      <c r="X155" s="688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8"/>
      <c r="J156" s="691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3"/>
      <c r="W156" s="454"/>
      <c r="X156" s="688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8"/>
      <c r="J157" s="691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3"/>
      <c r="W157" s="454"/>
      <c r="X157" s="688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8"/>
      <c r="J158" s="691"/>
      <c r="K158" s="192"/>
      <c r="L158" s="215">
        <v>15</v>
      </c>
      <c r="M158" s="290" t="s">
        <v>352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3"/>
      <c r="W158" s="454"/>
      <c r="X158" s="688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88"/>
      <c r="J159" s="691"/>
      <c r="K159" s="192"/>
      <c r="L159" s="215">
        <v>15</v>
      </c>
      <c r="M159" s="290" t="s">
        <v>352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3"/>
      <c r="W159" s="454"/>
      <c r="X159" s="688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88"/>
      <c r="J160" s="691"/>
      <c r="K160" s="192"/>
      <c r="L160" s="215">
        <v>15</v>
      </c>
      <c r="M160" s="290" t="s">
        <v>352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3"/>
      <c r="W160" s="454"/>
      <c r="X160" s="688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88"/>
      <c r="J161" s="691"/>
      <c r="K161" s="192"/>
      <c r="L161" s="215">
        <v>15</v>
      </c>
      <c r="M161" s="290" t="s">
        <v>352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3"/>
      <c r="W161" s="454"/>
      <c r="X161" s="688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88"/>
      <c r="J162" s="691"/>
      <c r="K162" s="192"/>
      <c r="L162" s="215">
        <v>15</v>
      </c>
      <c r="M162" s="290" t="s">
        <v>352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3"/>
      <c r="W162" s="454"/>
      <c r="X162" s="688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88"/>
      <c r="J163" s="691"/>
      <c r="K163" s="192"/>
      <c r="L163" s="215">
        <v>15</v>
      </c>
      <c r="M163" s="290" t="s">
        <v>352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03"/>
      <c r="W163" s="454"/>
      <c r="X163" s="688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88"/>
      <c r="J164" s="691"/>
      <c r="K164" s="192"/>
      <c r="L164" s="215">
        <v>15</v>
      </c>
      <c r="M164" s="290" t="s">
        <v>352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03"/>
      <c r="W164" s="454"/>
      <c r="X164" s="688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89"/>
      <c r="J165" s="692"/>
      <c r="K165" s="193"/>
      <c r="L165" s="220">
        <v>15</v>
      </c>
      <c r="M165" s="318" t="s">
        <v>352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04"/>
      <c r="W165" s="456"/>
      <c r="X165" s="689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353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354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1">
        <f>SUM(U6:U167)</f>
        <v>1399380.6072331576</v>
      </c>
    </row>
    <row r="169" spans="2:24">
      <c r="B169" s="26"/>
      <c r="C169" s="431" t="s">
        <v>355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268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308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1"/>
    </row>
    <row r="172" spans="2:24">
      <c r="B172" s="26"/>
      <c r="C172" s="431" t="s">
        <v>356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357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358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359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360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361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362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363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364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365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366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367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368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369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370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371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372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359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373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374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36328125" style="43" customWidth="1"/>
    <col min="7" max="7" width="11.7265625" style="43" bestFit="1" customWidth="1"/>
    <col min="8" max="8" width="18" style="43" bestFit="1" customWidth="1"/>
    <col min="9" max="9" width="1.7265625" style="43" customWidth="1"/>
    <col min="10" max="10" width="3.36328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6328125" style="43" customWidth="1"/>
    <col min="17" max="17" width="5.26953125" style="43" customWidth="1"/>
    <col min="18" max="18" width="112.36328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12.36328125" style="24" bestFit="1" customWidth="1"/>
    <col min="23" max="23" width="14.26953125" style="24" bestFit="1" customWidth="1"/>
    <col min="24" max="24" width="5.26953125" style="24" bestFit="1" customWidth="1"/>
    <col min="25" max="25" width="14.36328125" style="24" bestFit="1" customWidth="1"/>
    <col min="26" max="26" width="8.453125" style="24"/>
    <col min="27" max="27" width="14.36328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375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376</v>
      </c>
      <c r="F3" s="39" t="s">
        <v>377</v>
      </c>
      <c r="J3" s="53"/>
      <c r="L3" s="310" t="s">
        <v>378</v>
      </c>
      <c r="N3" s="310" t="s">
        <v>379</v>
      </c>
      <c r="S3" s="53"/>
      <c r="T3" s="624" t="s">
        <v>380</v>
      </c>
      <c r="U3" s="624" t="s">
        <v>381</v>
      </c>
      <c r="V3" s="624" t="s">
        <v>382</v>
      </c>
      <c r="W3" s="624" t="s">
        <v>383</v>
      </c>
    </row>
    <row r="4" spans="1:41" s="24" customFormat="1" ht="13">
      <c r="B4" s="256">
        <v>1</v>
      </c>
      <c r="C4" s="257" t="s">
        <v>384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828370.34346541471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294328.25870460033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178144.35249999998</v>
      </c>
    </row>
    <row r="5" spans="1:41" s="24" customFormat="1" ht="15" customHeight="1">
      <c r="B5" s="256">
        <v>2</v>
      </c>
      <c r="C5" s="257" t="s">
        <v>385</v>
      </c>
      <c r="D5" s="258">
        <f>+'Expenditure Tracking'!F5</f>
        <v>1194452.4559184783</v>
      </c>
      <c r="E5" s="259"/>
      <c r="F5" s="258">
        <f>+'Expenditure Tracking'!H5</f>
        <v>828370.34346541448</v>
      </c>
      <c r="G5" s="632" t="s">
        <v>386</v>
      </c>
      <c r="H5" s="632" t="s">
        <v>387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388</v>
      </c>
      <c r="D6" s="258">
        <f>+D4-D5</f>
        <v>246778.02131467918</v>
      </c>
      <c r="E6" s="259"/>
      <c r="F6" s="258">
        <f>+F4-F5</f>
        <v>571010.26576774276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389</v>
      </c>
      <c r="S6" s="53"/>
    </row>
    <row r="7" spans="1:41" s="24" customFormat="1" ht="15" customHeight="1" thickBot="1">
      <c r="B7" s="256">
        <v>4</v>
      </c>
      <c r="C7" s="257" t="s">
        <v>390</v>
      </c>
      <c r="D7" s="260">
        <f>+D6/D4</f>
        <v>0.17122731250343678</v>
      </c>
      <c r="E7" s="259"/>
      <c r="F7" s="260">
        <f>+F6/F4</f>
        <v>0.40804500362531759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391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392</v>
      </c>
      <c r="D12" s="48"/>
      <c r="E12" s="46" t="s">
        <v>393</v>
      </c>
      <c r="F12" s="46" t="s">
        <v>394</v>
      </c>
      <c r="H12" s="261" t="s">
        <v>395</v>
      </c>
      <c r="J12" s="53"/>
      <c r="L12" s="78" t="s">
        <v>227</v>
      </c>
      <c r="M12" s="49"/>
      <c r="N12" s="78" t="s">
        <v>228</v>
      </c>
      <c r="O12" s="49"/>
      <c r="P12" s="78" t="s">
        <v>396</v>
      </c>
      <c r="R12" s="279" t="s">
        <v>397</v>
      </c>
      <c r="S12" s="53"/>
    </row>
    <row r="13" spans="1:41" s="24" customFormat="1" ht="13">
      <c r="B13" s="589">
        <v>1</v>
      </c>
      <c r="C13" s="743" t="s">
        <v>398</v>
      </c>
      <c r="D13" s="744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399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3" t="s">
        <v>400</v>
      </c>
      <c r="D14" s="744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743" t="s">
        <v>401</v>
      </c>
      <c r="D15" s="744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741" t="s">
        <v>198</v>
      </c>
      <c r="D16" s="742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741" t="s">
        <v>402</v>
      </c>
      <c r="D17" s="742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741"/>
      <c r="D18" s="742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743" t="s">
        <v>403</v>
      </c>
      <c r="D19" s="744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404</v>
      </c>
      <c r="C23" s="57" t="s">
        <v>405</v>
      </c>
      <c r="D23" s="57"/>
      <c r="F23" s="58"/>
      <c r="H23" s="30"/>
    </row>
    <row r="24" spans="2:19" s="24" customFormat="1" ht="12.5">
      <c r="C24" s="59" t="s">
        <v>406</v>
      </c>
      <c r="D24" s="60"/>
      <c r="F24" s="61"/>
    </row>
    <row r="25" spans="2:19" s="24" customFormat="1" ht="12.5">
      <c r="C25" s="59" t="s">
        <v>407</v>
      </c>
      <c r="D25" s="60"/>
    </row>
    <row r="26" spans="2:19" s="24" customFormat="1" ht="12.5">
      <c r="C26" s="62" t="s">
        <v>408</v>
      </c>
      <c r="D26" s="63"/>
    </row>
    <row r="27" spans="2:19" s="24" customFormat="1" ht="12.5">
      <c r="C27" s="64" t="s">
        <v>409</v>
      </c>
      <c r="D27" s="60"/>
    </row>
    <row r="28" spans="2:19" s="24" customFormat="1" ht="12.5">
      <c r="B28" s="31"/>
      <c r="C28" s="64" t="s">
        <v>410</v>
      </c>
      <c r="D28" s="60"/>
    </row>
    <row r="29" spans="2:19" s="24" customFormat="1" ht="12.5">
      <c r="B29" s="31"/>
      <c r="C29" s="24" t="s">
        <v>411</v>
      </c>
    </row>
    <row r="30" spans="2:19" s="24" customFormat="1" ht="27.75" customHeight="1">
      <c r="B30" s="31"/>
      <c r="C30" s="65" t="s">
        <v>412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392</v>
      </c>
      <c r="D40" s="48"/>
      <c r="E40" s="46" t="s">
        <v>393</v>
      </c>
      <c r="F40" s="46" t="s">
        <v>394</v>
      </c>
    </row>
    <row r="41" spans="2:6" s="24" customFormat="1" ht="12.75" hidden="1" customHeight="1">
      <c r="B41" s="66">
        <v>1</v>
      </c>
      <c r="C41" s="67" t="s">
        <v>413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400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401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402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36328125" style="4" customWidth="1"/>
    <col min="10" max="10" width="24.453125" style="4" customWidth="1"/>
    <col min="11" max="11" width="2" style="4" customWidth="1"/>
    <col min="12" max="12" width="49.269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415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45"/>
      <c r="C4" s="745"/>
      <c r="D4" s="745"/>
      <c r="E4" s="313"/>
      <c r="F4" s="131" t="s">
        <v>376</v>
      </c>
      <c r="G4" s="126"/>
      <c r="H4" s="131" t="s">
        <v>377</v>
      </c>
      <c r="I4" s="126"/>
      <c r="J4" s="132" t="s">
        <v>416</v>
      </c>
      <c r="K4" s="26"/>
      <c r="L4" s="26"/>
    </row>
    <row r="5" spans="1:12" ht="14.5" thickBot="1">
      <c r="A5" s="126"/>
      <c r="B5" s="746" t="s">
        <v>417</v>
      </c>
      <c r="C5" s="746"/>
      <c r="D5" s="746"/>
      <c r="E5" s="313"/>
      <c r="F5" s="133">
        <f>SUM(F9:F23)</f>
        <v>1194452.4559184783</v>
      </c>
      <c r="G5" s="128"/>
      <c r="H5" s="133">
        <f>SUM(H9:H23)</f>
        <v>828370.34346541448</v>
      </c>
      <c r="I5" s="126"/>
      <c r="J5" s="134">
        <f>SUM(J9:J23)</f>
        <v>366082.11245306395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418</v>
      </c>
      <c r="G7" s="139"/>
      <c r="H7" s="138" t="s">
        <v>419</v>
      </c>
      <c r="I7" s="139"/>
      <c r="J7" s="138" t="s">
        <v>420</v>
      </c>
      <c r="K7" s="84"/>
      <c r="L7" s="29" t="s">
        <v>421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15616.04</v>
      </c>
      <c r="I11" s="23"/>
      <c r="J11" s="143">
        <f t="shared" si="0"/>
        <v>42865.960000000006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40" t="s">
        <v>422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423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36328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425</v>
      </c>
      <c r="B2" s="103"/>
      <c r="C2" s="104" t="s">
        <v>230</v>
      </c>
      <c r="D2" s="104" t="s">
        <v>230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384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8"/>
      <c r="B4" s="106" t="s">
        <v>426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48"/>
      <c r="B5" s="110" t="s">
        <v>385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48"/>
      <c r="B6" s="110" t="s">
        <v>427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48"/>
      <c r="B7" s="115" t="s">
        <v>428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47" t="s">
        <v>377</v>
      </c>
      <c r="B8" s="103"/>
      <c r="C8" s="104" t="s">
        <v>230</v>
      </c>
      <c r="D8" s="104" t="s">
        <v>230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429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8"/>
      <c r="B10" s="120" t="s">
        <v>430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48"/>
      <c r="B11" s="123" t="s">
        <v>431</v>
      </c>
      <c r="C11" s="124">
        <f>'Revenue Tracking'!F5</f>
        <v>828370.34346541448</v>
      </c>
      <c r="D11" s="124">
        <f>SUM(F11:KF11)</f>
        <v>799694.34346541448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44695.0095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67791.59</v>
      </c>
      <c r="Z11" s="125">
        <f>SUMIFS('Expenditure Breakdown'!$Q$6:$Q$173, 'Expenditure Breakdown'!$W$6:$W$173, "&gt;="&amp;Z1,'Expenditure Breakdown'!$W$6:$W$173, "&lt;"&amp;AA1)</f>
        <v>104924.64</v>
      </c>
      <c r="AA11" s="125">
        <f>SUMIFS('Expenditure Breakdown'!$Q$6:$Q$173, 'Expenditure Breakdown'!$W$6:$W$173, "&gt;="&amp;AA1,'Expenditure Breakdown'!$W$6:$W$173, "&lt;"&amp;AB1)</f>
        <v>68316.590000000011</v>
      </c>
      <c r="AB11" s="125">
        <f>SUMIFS('Expenditure Breakdown'!$Q$6:$Q$173, 'Expenditure Breakdown'!$W$6:$W$173, "&gt;="&amp;AB1,'Expenditure Breakdown'!$W$6:$W$173, "&lt;"&amp;AC1)</f>
        <v>12577.5</v>
      </c>
      <c r="AC11" s="125">
        <f>SUMIFS('Expenditure Breakdown'!$Q$6:$Q$173, 'Expenditure Breakdown'!$W$6:$W$173, "&gt;="&amp;AC1,'Expenditure Breakdown'!$W$6:$W$173, "&lt;"&amp;AD1)</f>
        <v>366378.34</v>
      </c>
      <c r="AD11" s="125">
        <f>SUMIFS('Expenditure Breakdown'!$Q$6:$Q$173, 'Expenditure Breakdown'!$W$6:$W$173, "&gt;="&amp;AD1,'Expenditure Breakdown'!$W$6:$W$173, "&lt;"&amp;AE1)</f>
        <v>37573.698965414471</v>
      </c>
      <c r="AE11" s="125">
        <f>SUMIFS('Expenditure Breakdown'!$Q$6:$Q$173, 'Expenditure Breakdown'!$W$6:$W$173, "&gt;="&amp;AE1,'Expenditure Breakdown'!$W$6:$W$173, "&lt;"&amp;AF1)</f>
        <v>525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48"/>
      <c r="B12" s="123" t="s">
        <v>432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86323.712499999994</v>
      </c>
      <c r="V12" s="125">
        <f t="shared" si="26"/>
        <v>86848.712499999994</v>
      </c>
      <c r="W12" s="125">
        <f t="shared" si="26"/>
        <v>141081.98449999999</v>
      </c>
      <c r="X12" s="125">
        <f t="shared" si="26"/>
        <v>141081.98449999999</v>
      </c>
      <c r="Y12" s="125">
        <f t="shared" si="26"/>
        <v>208873.57449999999</v>
      </c>
      <c r="Z12" s="125">
        <f t="shared" si="26"/>
        <v>313798.2145</v>
      </c>
      <c r="AA12" s="125">
        <f t="shared" si="26"/>
        <v>382114.80450000003</v>
      </c>
      <c r="AB12" s="125">
        <f t="shared" si="26"/>
        <v>394692.30450000003</v>
      </c>
      <c r="AC12" s="125">
        <f t="shared" si="26"/>
        <v>761070.64450000005</v>
      </c>
      <c r="AD12" s="125">
        <f>AC12+AD11</f>
        <v>798644.34346541448</v>
      </c>
      <c r="AE12" s="125">
        <f t="shared" si="26"/>
        <v>799169.34346541448</v>
      </c>
      <c r="AF12" s="125">
        <f t="shared" si="26"/>
        <v>799169.34346541448</v>
      </c>
      <c r="AG12" s="125">
        <f t="shared" si="26"/>
        <v>799169.34346541448</v>
      </c>
      <c r="AH12" s="125">
        <f t="shared" si="26"/>
        <v>799169.34346541448</v>
      </c>
      <c r="AI12" s="125">
        <f t="shared" si="26"/>
        <v>799694.34346541448</v>
      </c>
      <c r="AJ12" s="125">
        <f t="shared" si="26"/>
        <v>799694.34346541448</v>
      </c>
      <c r="AK12" s="125">
        <f t="shared" si="26"/>
        <v>799694.34346541448</v>
      </c>
      <c r="AL12" s="125">
        <f t="shared" si="26"/>
        <v>799694.34346541448</v>
      </c>
      <c r="AM12" s="125">
        <f t="shared" si="26"/>
        <v>799694.34346541448</v>
      </c>
      <c r="AN12" s="125">
        <f t="shared" si="26"/>
        <v>799694.34346541448</v>
      </c>
      <c r="AO12" s="125">
        <f t="shared" si="26"/>
        <v>799694.34346541448</v>
      </c>
      <c r="AP12" s="125">
        <f t="shared" si="26"/>
        <v>799694.34346541448</v>
      </c>
      <c r="AQ12" s="125">
        <f t="shared" si="26"/>
        <v>799694.34346541448</v>
      </c>
      <c r="AR12" s="125">
        <f t="shared" si="26"/>
        <v>799694.34346541448</v>
      </c>
      <c r="AS12" s="125">
        <f t="shared" si="26"/>
        <v>799694.34346541448</v>
      </c>
      <c r="AT12" s="125">
        <f t="shared" si="26"/>
        <v>799694.34346541448</v>
      </c>
      <c r="AU12" s="125">
        <f t="shared" si="26"/>
        <v>799694.34346541448</v>
      </c>
      <c r="AV12" s="125">
        <f t="shared" si="26"/>
        <v>799694.34346541448</v>
      </c>
      <c r="AW12" s="125">
        <f t="shared" si="26"/>
        <v>799694.34346541448</v>
      </c>
      <c r="AX12" s="125">
        <f t="shared" si="26"/>
        <v>799694.34346541448</v>
      </c>
      <c r="AY12" s="125">
        <f t="shared" si="26"/>
        <v>799694.34346541448</v>
      </c>
      <c r="AZ12" s="125">
        <f t="shared" si="26"/>
        <v>799694.34346541448</v>
      </c>
      <c r="BA12" s="125">
        <f t="shared" si="26"/>
        <v>799694.34346541448</v>
      </c>
      <c r="BB12" s="125">
        <f t="shared" si="26"/>
        <v>799694.34346541448</v>
      </c>
      <c r="BC12" s="125">
        <f t="shared" si="26"/>
        <v>799694.34346541448</v>
      </c>
      <c r="BD12" s="125">
        <f t="shared" si="26"/>
        <v>799694.34346541448</v>
      </c>
      <c r="BE12" s="125">
        <f t="shared" si="26"/>
        <v>799694.34346541448</v>
      </c>
      <c r="BF12" s="125">
        <f t="shared" si="26"/>
        <v>799694.34346541448</v>
      </c>
      <c r="BG12" s="125">
        <f t="shared" si="26"/>
        <v>799694.34346541448</v>
      </c>
      <c r="BH12" s="125">
        <f t="shared" si="26"/>
        <v>799694.34346541448</v>
      </c>
      <c r="BI12" s="125">
        <f t="shared" si="26"/>
        <v>799694.34346541448</v>
      </c>
      <c r="BJ12" s="125">
        <f t="shared" si="26"/>
        <v>799694.34346541448</v>
      </c>
      <c r="BK12" s="125">
        <f t="shared" si="26"/>
        <v>799694.34346541448</v>
      </c>
      <c r="BL12" s="125">
        <f t="shared" si="26"/>
        <v>799694.34346541448</v>
      </c>
      <c r="BM12" s="125">
        <f t="shared" si="26"/>
        <v>799694.34346541448</v>
      </c>
      <c r="BN12" s="125">
        <f t="shared" si="26"/>
        <v>799694.34346541448</v>
      </c>
      <c r="BO12" s="125">
        <f t="shared" si="26"/>
        <v>799694.34346541448</v>
      </c>
      <c r="BP12" s="125">
        <f t="shared" si="26"/>
        <v>799694.34346541448</v>
      </c>
      <c r="BQ12" s="125">
        <f t="shared" si="26"/>
        <v>799694.34346541448</v>
      </c>
      <c r="BR12" s="125">
        <f t="shared" si="26"/>
        <v>799694.34346541448</v>
      </c>
      <c r="BS12" s="125">
        <f t="shared" si="26"/>
        <v>799694.34346541448</v>
      </c>
      <c r="BT12" s="125">
        <f t="shared" si="26"/>
        <v>799694.34346541448</v>
      </c>
      <c r="BU12" s="125">
        <f t="shared" ref="BU12:EF12" si="27">BT12+BU11</f>
        <v>799694.34346541448</v>
      </c>
      <c r="BV12" s="125">
        <f t="shared" si="27"/>
        <v>799694.34346541448</v>
      </c>
      <c r="BW12" s="125">
        <f t="shared" si="27"/>
        <v>799694.34346541448</v>
      </c>
      <c r="BX12" s="125">
        <f t="shared" si="27"/>
        <v>799694.34346541448</v>
      </c>
      <c r="BY12" s="125">
        <f t="shared" si="27"/>
        <v>799694.34346541448</v>
      </c>
      <c r="BZ12" s="125">
        <f t="shared" si="27"/>
        <v>799694.34346541448</v>
      </c>
      <c r="CA12" s="125">
        <f t="shared" si="27"/>
        <v>799694.34346541448</v>
      </c>
      <c r="CB12" s="125">
        <f t="shared" si="27"/>
        <v>799694.34346541448</v>
      </c>
      <c r="CC12" s="125">
        <f t="shared" si="27"/>
        <v>799694.34346541448</v>
      </c>
      <c r="CD12" s="125">
        <f t="shared" si="27"/>
        <v>799694.34346541448</v>
      </c>
      <c r="CE12" s="125">
        <f t="shared" si="27"/>
        <v>799694.34346541448</v>
      </c>
      <c r="CF12" s="125">
        <f t="shared" si="27"/>
        <v>799694.34346541448</v>
      </c>
      <c r="CG12" s="125">
        <f t="shared" si="27"/>
        <v>799694.34346541448</v>
      </c>
      <c r="CH12" s="125">
        <f t="shared" si="27"/>
        <v>799694.34346541448</v>
      </c>
      <c r="CI12" s="125">
        <f t="shared" si="27"/>
        <v>799694.34346541448</v>
      </c>
      <c r="CJ12" s="125">
        <f t="shared" si="27"/>
        <v>799694.34346541448</v>
      </c>
      <c r="CK12" s="125">
        <f t="shared" si="27"/>
        <v>799694.34346541448</v>
      </c>
      <c r="CL12" s="125">
        <f t="shared" si="27"/>
        <v>799694.34346541448</v>
      </c>
      <c r="CM12" s="125">
        <f t="shared" si="27"/>
        <v>799694.34346541448</v>
      </c>
      <c r="CN12" s="125">
        <f t="shared" si="27"/>
        <v>799694.34346541448</v>
      </c>
      <c r="CO12" s="125">
        <f t="shared" si="27"/>
        <v>799694.34346541448</v>
      </c>
      <c r="CP12" s="125">
        <f t="shared" si="27"/>
        <v>799694.34346541448</v>
      </c>
      <c r="CQ12" s="125">
        <f t="shared" si="27"/>
        <v>799694.34346541448</v>
      </c>
      <c r="CR12" s="125">
        <f t="shared" si="27"/>
        <v>799694.34346541448</v>
      </c>
      <c r="CS12" s="125">
        <f t="shared" si="27"/>
        <v>799694.34346541448</v>
      </c>
      <c r="CT12" s="125">
        <f t="shared" si="27"/>
        <v>799694.34346541448</v>
      </c>
      <c r="CU12" s="125">
        <f t="shared" si="27"/>
        <v>799694.34346541448</v>
      </c>
      <c r="CV12" s="125">
        <f t="shared" si="27"/>
        <v>799694.34346541448</v>
      </c>
      <c r="CW12" s="125">
        <f t="shared" si="27"/>
        <v>799694.34346541448</v>
      </c>
      <c r="CX12" s="125">
        <f t="shared" si="27"/>
        <v>799694.34346541448</v>
      </c>
      <c r="CY12" s="125">
        <f t="shared" si="27"/>
        <v>799694.34346541448</v>
      </c>
      <c r="CZ12" s="125">
        <f t="shared" si="27"/>
        <v>799694.34346541448</v>
      </c>
      <c r="DA12" s="125">
        <f t="shared" si="27"/>
        <v>799694.34346541448</v>
      </c>
      <c r="DB12" s="125">
        <f t="shared" si="27"/>
        <v>799694.34346541448</v>
      </c>
      <c r="DC12" s="125">
        <f t="shared" si="27"/>
        <v>799694.34346541448</v>
      </c>
      <c r="DD12" s="125">
        <f t="shared" si="27"/>
        <v>799694.34346541448</v>
      </c>
      <c r="DE12" s="125">
        <f t="shared" si="27"/>
        <v>799694.34346541448</v>
      </c>
      <c r="DF12" s="125">
        <f t="shared" si="27"/>
        <v>799694.34346541448</v>
      </c>
      <c r="DG12" s="125">
        <f t="shared" si="27"/>
        <v>799694.34346541448</v>
      </c>
      <c r="DH12" s="125">
        <f t="shared" si="27"/>
        <v>799694.34346541448</v>
      </c>
      <c r="DI12" s="125">
        <f t="shared" si="27"/>
        <v>799694.34346541448</v>
      </c>
      <c r="DJ12" s="125">
        <f t="shared" si="27"/>
        <v>799694.34346541448</v>
      </c>
      <c r="DK12" s="125">
        <f t="shared" si="27"/>
        <v>799694.34346541448</v>
      </c>
      <c r="DL12" s="125">
        <f t="shared" si="27"/>
        <v>799694.34346541448</v>
      </c>
      <c r="DM12" s="125">
        <f t="shared" si="27"/>
        <v>799694.34346541448</v>
      </c>
      <c r="DN12" s="125">
        <f t="shared" si="27"/>
        <v>799694.34346541448</v>
      </c>
      <c r="DO12" s="125">
        <f t="shared" si="27"/>
        <v>799694.34346541448</v>
      </c>
      <c r="DP12" s="125">
        <f t="shared" si="27"/>
        <v>799694.34346541448</v>
      </c>
      <c r="DQ12" s="125">
        <f t="shared" si="27"/>
        <v>799694.34346541448</v>
      </c>
      <c r="DR12" s="125">
        <f t="shared" si="27"/>
        <v>799694.34346541448</v>
      </c>
      <c r="DS12" s="125">
        <f t="shared" si="27"/>
        <v>799694.34346541448</v>
      </c>
      <c r="DT12" s="125">
        <f t="shared" si="27"/>
        <v>799694.34346541448</v>
      </c>
      <c r="DU12" s="125">
        <f t="shared" si="27"/>
        <v>799694.34346541448</v>
      </c>
      <c r="DV12" s="125">
        <f t="shared" si="27"/>
        <v>799694.34346541448</v>
      </c>
      <c r="DW12" s="125">
        <f t="shared" si="27"/>
        <v>799694.34346541448</v>
      </c>
      <c r="DX12" s="125">
        <f t="shared" si="27"/>
        <v>799694.34346541448</v>
      </c>
      <c r="DY12" s="125">
        <f t="shared" si="27"/>
        <v>799694.34346541448</v>
      </c>
      <c r="DZ12" s="125">
        <f t="shared" si="27"/>
        <v>799694.34346541448</v>
      </c>
      <c r="EA12" s="125">
        <f t="shared" si="27"/>
        <v>799694.34346541448</v>
      </c>
      <c r="EB12" s="125">
        <f t="shared" si="27"/>
        <v>799694.34346541448</v>
      </c>
      <c r="EC12" s="125">
        <f t="shared" si="27"/>
        <v>799694.34346541448</v>
      </c>
      <c r="ED12" s="125">
        <f t="shared" si="27"/>
        <v>799694.34346541448</v>
      </c>
      <c r="EE12" s="125">
        <f t="shared" si="27"/>
        <v>799694.34346541448</v>
      </c>
      <c r="EF12" s="125">
        <f t="shared" si="27"/>
        <v>799694.34346541448</v>
      </c>
      <c r="EG12" s="125">
        <f t="shared" ref="EG12:GR12" si="28">EF12+EG11</f>
        <v>799694.34346541448</v>
      </c>
      <c r="EH12" s="125">
        <f t="shared" si="28"/>
        <v>799694.34346541448</v>
      </c>
      <c r="EI12" s="125">
        <f t="shared" si="28"/>
        <v>799694.34346541448</v>
      </c>
      <c r="EJ12" s="125">
        <f t="shared" si="28"/>
        <v>799694.34346541448</v>
      </c>
      <c r="EK12" s="125">
        <f t="shared" si="28"/>
        <v>799694.34346541448</v>
      </c>
      <c r="EL12" s="125">
        <f t="shared" si="28"/>
        <v>799694.34346541448</v>
      </c>
      <c r="EM12" s="125">
        <f t="shared" si="28"/>
        <v>799694.34346541448</v>
      </c>
      <c r="EN12" s="125">
        <f t="shared" si="28"/>
        <v>799694.34346541448</v>
      </c>
      <c r="EO12" s="125">
        <f t="shared" si="28"/>
        <v>799694.34346541448</v>
      </c>
      <c r="EP12" s="125">
        <f t="shared" si="28"/>
        <v>799694.34346541448</v>
      </c>
      <c r="EQ12" s="125">
        <f t="shared" si="28"/>
        <v>799694.34346541448</v>
      </c>
      <c r="ER12" s="125">
        <f t="shared" si="28"/>
        <v>799694.34346541448</v>
      </c>
      <c r="ES12" s="125">
        <f t="shared" si="28"/>
        <v>799694.34346541448</v>
      </c>
      <c r="ET12" s="125">
        <f t="shared" si="28"/>
        <v>799694.34346541448</v>
      </c>
      <c r="EU12" s="125">
        <f t="shared" si="28"/>
        <v>799694.34346541448</v>
      </c>
      <c r="EV12" s="125">
        <f t="shared" si="28"/>
        <v>799694.34346541448</v>
      </c>
      <c r="EW12" s="125">
        <f t="shared" si="28"/>
        <v>799694.34346541448</v>
      </c>
      <c r="EX12" s="125">
        <f t="shared" si="28"/>
        <v>799694.34346541448</v>
      </c>
      <c r="EY12" s="125">
        <f t="shared" si="28"/>
        <v>799694.34346541448</v>
      </c>
      <c r="EZ12" s="125">
        <f t="shared" si="28"/>
        <v>799694.34346541448</v>
      </c>
      <c r="FA12" s="125">
        <f t="shared" si="28"/>
        <v>799694.34346541448</v>
      </c>
      <c r="FB12" s="125">
        <f t="shared" si="28"/>
        <v>799694.34346541448</v>
      </c>
      <c r="FC12" s="125">
        <f t="shared" si="28"/>
        <v>799694.34346541448</v>
      </c>
      <c r="FD12" s="125">
        <f t="shared" si="28"/>
        <v>799694.34346541448</v>
      </c>
      <c r="FE12" s="125">
        <f t="shared" si="28"/>
        <v>799694.34346541448</v>
      </c>
      <c r="FF12" s="125">
        <f t="shared" si="28"/>
        <v>799694.34346541448</v>
      </c>
      <c r="FG12" s="125">
        <f t="shared" si="28"/>
        <v>799694.34346541448</v>
      </c>
      <c r="FH12" s="125">
        <f t="shared" si="28"/>
        <v>799694.34346541448</v>
      </c>
      <c r="FI12" s="125">
        <f t="shared" si="28"/>
        <v>799694.34346541448</v>
      </c>
      <c r="FJ12" s="125">
        <f t="shared" si="28"/>
        <v>799694.34346541448</v>
      </c>
      <c r="FK12" s="125">
        <f t="shared" si="28"/>
        <v>799694.34346541448</v>
      </c>
      <c r="FL12" s="125">
        <f t="shared" si="28"/>
        <v>799694.34346541448</v>
      </c>
      <c r="FM12" s="125">
        <f t="shared" si="28"/>
        <v>799694.34346541448</v>
      </c>
      <c r="FN12" s="125">
        <f t="shared" si="28"/>
        <v>799694.34346541448</v>
      </c>
      <c r="FO12" s="125">
        <f t="shared" si="28"/>
        <v>799694.34346541448</v>
      </c>
      <c r="FP12" s="125">
        <f t="shared" si="28"/>
        <v>799694.34346541448</v>
      </c>
      <c r="FQ12" s="125">
        <f t="shared" si="28"/>
        <v>799694.34346541448</v>
      </c>
      <c r="FR12" s="125">
        <f t="shared" si="28"/>
        <v>799694.34346541448</v>
      </c>
      <c r="FS12" s="125">
        <f t="shared" si="28"/>
        <v>799694.34346541448</v>
      </c>
      <c r="FT12" s="125">
        <f t="shared" si="28"/>
        <v>799694.34346541448</v>
      </c>
      <c r="FU12" s="125">
        <f t="shared" si="28"/>
        <v>799694.34346541448</v>
      </c>
      <c r="FV12" s="125">
        <f t="shared" si="28"/>
        <v>799694.34346541448</v>
      </c>
      <c r="FW12" s="125">
        <f t="shared" si="28"/>
        <v>799694.34346541448</v>
      </c>
      <c r="FX12" s="125">
        <f t="shared" si="28"/>
        <v>799694.34346541448</v>
      </c>
      <c r="FY12" s="125">
        <f t="shared" si="28"/>
        <v>799694.34346541448</v>
      </c>
      <c r="FZ12" s="125">
        <f t="shared" si="28"/>
        <v>799694.34346541448</v>
      </c>
      <c r="GA12" s="125">
        <f t="shared" si="28"/>
        <v>799694.34346541448</v>
      </c>
      <c r="GB12" s="125">
        <f t="shared" si="28"/>
        <v>799694.34346541448</v>
      </c>
      <c r="GC12" s="125">
        <f t="shared" si="28"/>
        <v>799694.34346541448</v>
      </c>
      <c r="GD12" s="125">
        <f t="shared" si="28"/>
        <v>799694.34346541448</v>
      </c>
      <c r="GE12" s="125">
        <f t="shared" si="28"/>
        <v>799694.34346541448</v>
      </c>
      <c r="GF12" s="125">
        <f t="shared" si="28"/>
        <v>799694.34346541448</v>
      </c>
      <c r="GG12" s="125">
        <f t="shared" si="28"/>
        <v>799694.34346541448</v>
      </c>
      <c r="GH12" s="125">
        <f t="shared" si="28"/>
        <v>799694.34346541448</v>
      </c>
      <c r="GI12" s="125">
        <f t="shared" si="28"/>
        <v>799694.34346541448</v>
      </c>
      <c r="GJ12" s="125">
        <f t="shared" si="28"/>
        <v>799694.34346541448</v>
      </c>
      <c r="GK12" s="125">
        <f t="shared" si="28"/>
        <v>799694.34346541448</v>
      </c>
      <c r="GL12" s="125">
        <f t="shared" si="28"/>
        <v>799694.34346541448</v>
      </c>
      <c r="GM12" s="125">
        <f t="shared" si="28"/>
        <v>799694.34346541448</v>
      </c>
      <c r="GN12" s="125">
        <f t="shared" si="28"/>
        <v>799694.34346541448</v>
      </c>
      <c r="GO12" s="125">
        <f t="shared" si="28"/>
        <v>799694.34346541448</v>
      </c>
      <c r="GP12" s="125">
        <f t="shared" si="28"/>
        <v>799694.34346541448</v>
      </c>
      <c r="GQ12" s="125">
        <f t="shared" si="28"/>
        <v>799694.34346541448</v>
      </c>
      <c r="GR12" s="125">
        <f t="shared" si="28"/>
        <v>799694.34346541448</v>
      </c>
      <c r="GS12" s="125">
        <f t="shared" ref="GS12:JD12" si="29">GR12+GS11</f>
        <v>799694.34346541448</v>
      </c>
      <c r="GT12" s="125">
        <f t="shared" si="29"/>
        <v>799694.34346541448</v>
      </c>
      <c r="GU12" s="125">
        <f t="shared" si="29"/>
        <v>799694.34346541448</v>
      </c>
      <c r="GV12" s="125">
        <f t="shared" si="29"/>
        <v>799694.34346541448</v>
      </c>
      <c r="GW12" s="125">
        <f t="shared" si="29"/>
        <v>799694.34346541448</v>
      </c>
      <c r="GX12" s="125">
        <f t="shared" si="29"/>
        <v>799694.34346541448</v>
      </c>
      <c r="GY12" s="125">
        <f t="shared" si="29"/>
        <v>799694.34346541448</v>
      </c>
      <c r="GZ12" s="125">
        <f t="shared" si="29"/>
        <v>799694.34346541448</v>
      </c>
      <c r="HA12" s="125">
        <f t="shared" si="29"/>
        <v>799694.34346541448</v>
      </c>
      <c r="HB12" s="125">
        <f t="shared" si="29"/>
        <v>799694.34346541448</v>
      </c>
      <c r="HC12" s="125">
        <f t="shared" si="29"/>
        <v>799694.34346541448</v>
      </c>
      <c r="HD12" s="125">
        <f t="shared" si="29"/>
        <v>799694.34346541448</v>
      </c>
      <c r="HE12" s="125">
        <f t="shared" si="29"/>
        <v>799694.34346541448</v>
      </c>
      <c r="HF12" s="125">
        <f t="shared" si="29"/>
        <v>799694.34346541448</v>
      </c>
      <c r="HG12" s="125">
        <f t="shared" si="29"/>
        <v>799694.34346541448</v>
      </c>
      <c r="HH12" s="125">
        <f t="shared" si="29"/>
        <v>799694.34346541448</v>
      </c>
      <c r="HI12" s="125">
        <f t="shared" si="29"/>
        <v>799694.34346541448</v>
      </c>
      <c r="HJ12" s="125">
        <f t="shared" si="29"/>
        <v>799694.34346541448</v>
      </c>
      <c r="HK12" s="125">
        <f t="shared" si="29"/>
        <v>799694.34346541448</v>
      </c>
      <c r="HL12" s="125">
        <f t="shared" si="29"/>
        <v>799694.34346541448</v>
      </c>
      <c r="HM12" s="125">
        <f t="shared" si="29"/>
        <v>799694.34346541448</v>
      </c>
      <c r="HN12" s="125">
        <f t="shared" si="29"/>
        <v>799694.34346541448</v>
      </c>
      <c r="HO12" s="125">
        <f t="shared" si="29"/>
        <v>799694.34346541448</v>
      </c>
      <c r="HP12" s="125">
        <f t="shared" si="29"/>
        <v>799694.34346541448</v>
      </c>
      <c r="HQ12" s="125">
        <f t="shared" si="29"/>
        <v>799694.34346541448</v>
      </c>
      <c r="HR12" s="125">
        <f t="shared" si="29"/>
        <v>799694.34346541448</v>
      </c>
      <c r="HS12" s="125">
        <f t="shared" si="29"/>
        <v>799694.34346541448</v>
      </c>
      <c r="HT12" s="125">
        <f t="shared" si="29"/>
        <v>799694.34346541448</v>
      </c>
      <c r="HU12" s="125">
        <f t="shared" si="29"/>
        <v>799694.34346541448</v>
      </c>
      <c r="HV12" s="125">
        <f t="shared" si="29"/>
        <v>799694.34346541448</v>
      </c>
      <c r="HW12" s="125">
        <f t="shared" si="29"/>
        <v>799694.34346541448</v>
      </c>
      <c r="HX12" s="125">
        <f t="shared" si="29"/>
        <v>799694.34346541448</v>
      </c>
      <c r="HY12" s="125">
        <f t="shared" si="29"/>
        <v>799694.34346541448</v>
      </c>
      <c r="HZ12" s="125">
        <f t="shared" si="29"/>
        <v>799694.34346541448</v>
      </c>
      <c r="IA12" s="125">
        <f t="shared" si="29"/>
        <v>799694.34346541448</v>
      </c>
      <c r="IB12" s="125">
        <f t="shared" si="29"/>
        <v>799694.34346541448</v>
      </c>
      <c r="IC12" s="125">
        <f t="shared" si="29"/>
        <v>799694.34346541448</v>
      </c>
      <c r="ID12" s="125">
        <f t="shared" si="29"/>
        <v>799694.34346541448</v>
      </c>
      <c r="IE12" s="125">
        <f t="shared" si="29"/>
        <v>799694.34346541448</v>
      </c>
      <c r="IF12" s="125">
        <f t="shared" si="29"/>
        <v>799694.34346541448</v>
      </c>
      <c r="IG12" s="125">
        <f t="shared" si="29"/>
        <v>799694.34346541448</v>
      </c>
      <c r="IH12" s="125">
        <f t="shared" si="29"/>
        <v>799694.34346541448</v>
      </c>
      <c r="II12" s="125">
        <f t="shared" si="29"/>
        <v>799694.34346541448</v>
      </c>
      <c r="IJ12" s="125">
        <f t="shared" si="29"/>
        <v>799694.34346541448</v>
      </c>
      <c r="IK12" s="125">
        <f t="shared" si="29"/>
        <v>799694.34346541448</v>
      </c>
      <c r="IL12" s="125">
        <f t="shared" si="29"/>
        <v>799694.34346541448</v>
      </c>
      <c r="IM12" s="125">
        <f t="shared" si="29"/>
        <v>799694.34346541448</v>
      </c>
      <c r="IN12" s="125">
        <f t="shared" si="29"/>
        <v>799694.34346541448</v>
      </c>
      <c r="IO12" s="125">
        <f t="shared" si="29"/>
        <v>799694.34346541448</v>
      </c>
      <c r="IP12" s="125">
        <f t="shared" si="29"/>
        <v>799694.34346541448</v>
      </c>
      <c r="IQ12" s="125">
        <f t="shared" si="29"/>
        <v>799694.34346541448</v>
      </c>
      <c r="IR12" s="125">
        <f t="shared" si="29"/>
        <v>799694.34346541448</v>
      </c>
      <c r="IS12" s="125">
        <f t="shared" si="29"/>
        <v>799694.34346541448</v>
      </c>
      <c r="IT12" s="125">
        <f t="shared" si="29"/>
        <v>799694.34346541448</v>
      </c>
      <c r="IU12" s="125">
        <f t="shared" si="29"/>
        <v>799694.34346541448</v>
      </c>
      <c r="IV12" s="125">
        <f t="shared" si="29"/>
        <v>799694.34346541448</v>
      </c>
      <c r="IW12" s="125">
        <f t="shared" si="29"/>
        <v>799694.34346541448</v>
      </c>
      <c r="IX12" s="125">
        <f t="shared" si="29"/>
        <v>799694.34346541448</v>
      </c>
      <c r="IY12" s="125">
        <f t="shared" si="29"/>
        <v>799694.34346541448</v>
      </c>
      <c r="IZ12" s="125">
        <f t="shared" si="29"/>
        <v>799694.34346541448</v>
      </c>
      <c r="JA12" s="125">
        <f t="shared" si="29"/>
        <v>799694.34346541448</v>
      </c>
      <c r="JB12" s="125">
        <f t="shared" si="29"/>
        <v>799694.34346541448</v>
      </c>
      <c r="JC12" s="125">
        <f t="shared" si="29"/>
        <v>799694.34346541448</v>
      </c>
      <c r="JD12" s="125">
        <f t="shared" si="29"/>
        <v>799694.34346541448</v>
      </c>
      <c r="JE12" s="125">
        <f t="shared" ref="JE12:KF12" si="30">JD12+JE11</f>
        <v>799694.34346541448</v>
      </c>
      <c r="JF12" s="125">
        <f t="shared" si="30"/>
        <v>799694.34346541448</v>
      </c>
      <c r="JG12" s="125">
        <f t="shared" si="30"/>
        <v>799694.34346541448</v>
      </c>
      <c r="JH12" s="125">
        <f t="shared" si="30"/>
        <v>799694.34346541448</v>
      </c>
      <c r="JI12" s="125">
        <f t="shared" si="30"/>
        <v>799694.34346541448</v>
      </c>
      <c r="JJ12" s="125">
        <f t="shared" si="30"/>
        <v>799694.34346541448</v>
      </c>
      <c r="JK12" s="125">
        <f t="shared" si="30"/>
        <v>799694.34346541448</v>
      </c>
      <c r="JL12" s="125">
        <f t="shared" si="30"/>
        <v>799694.34346541448</v>
      </c>
      <c r="JM12" s="125">
        <f t="shared" si="30"/>
        <v>799694.34346541448</v>
      </c>
      <c r="JN12" s="125">
        <f t="shared" si="30"/>
        <v>799694.34346541448</v>
      </c>
      <c r="JO12" s="125">
        <f t="shared" si="30"/>
        <v>799694.34346541448</v>
      </c>
      <c r="JP12" s="125">
        <f t="shared" si="30"/>
        <v>799694.34346541448</v>
      </c>
      <c r="JQ12" s="125">
        <f t="shared" si="30"/>
        <v>799694.34346541448</v>
      </c>
      <c r="JR12" s="125">
        <f t="shared" si="30"/>
        <v>799694.34346541448</v>
      </c>
      <c r="JS12" s="125">
        <f t="shared" si="30"/>
        <v>799694.34346541448</v>
      </c>
      <c r="JT12" s="125">
        <f t="shared" si="30"/>
        <v>799694.34346541448</v>
      </c>
      <c r="JU12" s="125">
        <f t="shared" si="30"/>
        <v>799694.34346541448</v>
      </c>
      <c r="JV12" s="125">
        <f t="shared" si="30"/>
        <v>799694.34346541448</v>
      </c>
      <c r="JW12" s="125">
        <f t="shared" si="30"/>
        <v>799694.34346541448</v>
      </c>
      <c r="JX12" s="125">
        <f t="shared" si="30"/>
        <v>799694.34346541448</v>
      </c>
      <c r="JY12" s="125">
        <f t="shared" si="30"/>
        <v>799694.34346541448</v>
      </c>
      <c r="JZ12" s="125">
        <f t="shared" si="30"/>
        <v>799694.34346541448</v>
      </c>
      <c r="KA12" s="125">
        <f t="shared" si="30"/>
        <v>799694.34346541448</v>
      </c>
      <c r="KB12" s="125">
        <f t="shared" si="30"/>
        <v>799694.34346541448</v>
      </c>
      <c r="KC12" s="125">
        <f t="shared" si="30"/>
        <v>799694.34346541448</v>
      </c>
      <c r="KD12" s="125">
        <f t="shared" si="30"/>
        <v>799694.34346541448</v>
      </c>
      <c r="KE12" s="125">
        <f t="shared" si="30"/>
        <v>799694.34346541448</v>
      </c>
      <c r="KF12" s="125">
        <f t="shared" si="30"/>
        <v>799694.34346541448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433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613366.5921165786</v>
      </c>
      <c r="V14" s="118">
        <f t="shared" si="32"/>
        <v>1102624.8053481837</v>
      </c>
      <c r="W14" s="118">
        <f t="shared" si="32"/>
        <v>1048391.5333481836</v>
      </c>
      <c r="X14" s="118">
        <f t="shared" si="32"/>
        <v>1048391.5333481836</v>
      </c>
      <c r="Y14" s="118">
        <f t="shared" si="32"/>
        <v>980599.94334818365</v>
      </c>
      <c r="Z14" s="118">
        <f t="shared" si="32"/>
        <v>875675.30334818363</v>
      </c>
      <c r="AA14" s="118">
        <f t="shared" si="32"/>
        <v>1017265.8047331572</v>
      </c>
      <c r="AB14" s="118">
        <f t="shared" si="32"/>
        <v>1004688.3047331572</v>
      </c>
      <c r="AC14" s="118">
        <f t="shared" si="32"/>
        <v>638309.96473315719</v>
      </c>
      <c r="AD14" s="118">
        <f t="shared" si="32"/>
        <v>600736.26576774276</v>
      </c>
      <c r="AE14" s="118">
        <f t="shared" si="32"/>
        <v>600211.26576774276</v>
      </c>
      <c r="AF14" s="118">
        <f t="shared" si="32"/>
        <v>600211.26576774276</v>
      </c>
      <c r="AG14" s="118">
        <f t="shared" si="32"/>
        <v>600211.26576774276</v>
      </c>
      <c r="AH14" s="118">
        <f t="shared" si="32"/>
        <v>600211.26576774276</v>
      </c>
      <c r="AI14" s="118">
        <f t="shared" si="32"/>
        <v>599686.26576774276</v>
      </c>
      <c r="AJ14" s="118">
        <f t="shared" si="32"/>
        <v>599686.26576774276</v>
      </c>
      <c r="AK14" s="118">
        <f t="shared" si="32"/>
        <v>599686.26576774276</v>
      </c>
      <c r="AL14" s="118">
        <f t="shared" si="32"/>
        <v>599686.26576774276</v>
      </c>
      <c r="AM14" s="118">
        <f t="shared" si="32"/>
        <v>599686.26576774276</v>
      </c>
      <c r="AN14" s="118">
        <f t="shared" si="32"/>
        <v>599686.26576774276</v>
      </c>
      <c r="AO14" s="118">
        <f t="shared" si="32"/>
        <v>599686.26576774276</v>
      </c>
      <c r="AP14" s="118">
        <f t="shared" si="32"/>
        <v>599686.26576774276</v>
      </c>
      <c r="AQ14" s="118">
        <f t="shared" si="32"/>
        <v>599686.26576774276</v>
      </c>
      <c r="AR14" s="118">
        <f t="shared" si="32"/>
        <v>599686.26576774276</v>
      </c>
      <c r="AS14" s="118">
        <f t="shared" si="32"/>
        <v>599686.26576774276</v>
      </c>
      <c r="AT14" s="118">
        <f t="shared" si="32"/>
        <v>599686.26576774276</v>
      </c>
      <c r="AU14" s="118">
        <f t="shared" si="32"/>
        <v>599686.26576774276</v>
      </c>
      <c r="AV14" s="118">
        <f t="shared" si="32"/>
        <v>599686.26576774276</v>
      </c>
      <c r="AW14" s="118">
        <f t="shared" si="32"/>
        <v>599686.26576774276</v>
      </c>
      <c r="AX14" s="118">
        <f t="shared" si="32"/>
        <v>599686.26576774276</v>
      </c>
      <c r="AY14" s="118">
        <f t="shared" si="32"/>
        <v>599686.26576774276</v>
      </c>
      <c r="AZ14" s="118">
        <f t="shared" si="32"/>
        <v>599686.26576774276</v>
      </c>
      <c r="BA14" s="118">
        <f t="shared" si="32"/>
        <v>599686.26576774276</v>
      </c>
      <c r="BB14" s="118">
        <f t="shared" si="32"/>
        <v>599686.26576774276</v>
      </c>
      <c r="BC14" s="118">
        <f t="shared" si="32"/>
        <v>599686.26576774276</v>
      </c>
      <c r="BD14" s="118">
        <f t="shared" si="32"/>
        <v>599686.26576774276</v>
      </c>
      <c r="BE14" s="118">
        <f t="shared" si="32"/>
        <v>599686.26576774276</v>
      </c>
      <c r="BF14" s="118">
        <f t="shared" si="32"/>
        <v>599686.26576774276</v>
      </c>
      <c r="BG14" s="118">
        <f t="shared" si="32"/>
        <v>599686.26576774276</v>
      </c>
      <c r="BH14" s="118">
        <f t="shared" si="32"/>
        <v>599686.26576774276</v>
      </c>
      <c r="BI14" s="118">
        <f t="shared" si="32"/>
        <v>599686.26576774276</v>
      </c>
      <c r="BJ14" s="118">
        <f t="shared" si="32"/>
        <v>599686.26576774276</v>
      </c>
      <c r="BK14" s="118">
        <f t="shared" si="32"/>
        <v>599686.26576774276</v>
      </c>
      <c r="BL14" s="118">
        <f t="shared" si="32"/>
        <v>599686.26576774276</v>
      </c>
      <c r="BM14" s="118">
        <f t="shared" si="32"/>
        <v>599686.26576774276</v>
      </c>
      <c r="BN14" s="118">
        <f t="shared" si="32"/>
        <v>599686.26576774276</v>
      </c>
      <c r="BO14" s="118">
        <f t="shared" si="32"/>
        <v>599686.26576774276</v>
      </c>
      <c r="BP14" s="118">
        <f t="shared" si="32"/>
        <v>599686.26576774276</v>
      </c>
      <c r="BQ14" s="118">
        <f t="shared" si="32"/>
        <v>599686.26576774276</v>
      </c>
      <c r="BR14" s="118">
        <f t="shared" si="32"/>
        <v>599686.26576774276</v>
      </c>
      <c r="BS14" s="118">
        <f t="shared" si="32"/>
        <v>599686.26576774276</v>
      </c>
      <c r="BT14" s="118">
        <f t="shared" si="32"/>
        <v>599686.26576774276</v>
      </c>
      <c r="BU14" s="118">
        <f t="shared" ref="BU14:EF14" si="33">BU10-BU12</f>
        <v>599686.26576774276</v>
      </c>
      <c r="BV14" s="118">
        <f t="shared" si="33"/>
        <v>599686.26576774276</v>
      </c>
      <c r="BW14" s="118">
        <f t="shared" si="33"/>
        <v>599686.26576774276</v>
      </c>
      <c r="BX14" s="118">
        <f t="shared" si="33"/>
        <v>599686.26576774276</v>
      </c>
      <c r="BY14" s="118">
        <f t="shared" si="33"/>
        <v>599686.26576774276</v>
      </c>
      <c r="BZ14" s="118">
        <f t="shared" si="33"/>
        <v>599686.26576774276</v>
      </c>
      <c r="CA14" s="118">
        <f t="shared" si="33"/>
        <v>599686.26576774276</v>
      </c>
      <c r="CB14" s="118">
        <f t="shared" si="33"/>
        <v>599686.26576774276</v>
      </c>
      <c r="CC14" s="118">
        <f t="shared" si="33"/>
        <v>599686.26576774276</v>
      </c>
      <c r="CD14" s="118">
        <f t="shared" si="33"/>
        <v>599686.26576774276</v>
      </c>
      <c r="CE14" s="118">
        <f t="shared" si="33"/>
        <v>599686.26576774276</v>
      </c>
      <c r="CF14" s="118">
        <f t="shared" si="33"/>
        <v>599686.26576774276</v>
      </c>
      <c r="CG14" s="118">
        <f t="shared" si="33"/>
        <v>599686.26576774276</v>
      </c>
      <c r="CH14" s="118">
        <f t="shared" si="33"/>
        <v>599686.26576774276</v>
      </c>
      <c r="CI14" s="118">
        <f t="shared" si="33"/>
        <v>599686.26576774276</v>
      </c>
      <c r="CJ14" s="118">
        <f t="shared" si="33"/>
        <v>599686.26576774276</v>
      </c>
      <c r="CK14" s="118">
        <f t="shared" si="33"/>
        <v>599686.26576774276</v>
      </c>
      <c r="CL14" s="118">
        <f t="shared" si="33"/>
        <v>599686.26576774276</v>
      </c>
      <c r="CM14" s="118">
        <f t="shared" si="33"/>
        <v>599686.26576774276</v>
      </c>
      <c r="CN14" s="118">
        <f t="shared" si="33"/>
        <v>599686.26576774276</v>
      </c>
      <c r="CO14" s="118">
        <f t="shared" si="33"/>
        <v>599686.26576774276</v>
      </c>
      <c r="CP14" s="118">
        <f t="shared" si="33"/>
        <v>599686.26576774276</v>
      </c>
      <c r="CQ14" s="118">
        <f t="shared" si="33"/>
        <v>599686.26576774276</v>
      </c>
      <c r="CR14" s="118">
        <f t="shared" si="33"/>
        <v>599686.26576774276</v>
      </c>
      <c r="CS14" s="118">
        <f t="shared" si="33"/>
        <v>599686.26576774276</v>
      </c>
      <c r="CT14" s="118">
        <f t="shared" si="33"/>
        <v>599686.26576774276</v>
      </c>
      <c r="CU14" s="118">
        <f t="shared" si="33"/>
        <v>599686.26576774276</v>
      </c>
      <c r="CV14" s="118">
        <f t="shared" si="33"/>
        <v>599686.26576774276</v>
      </c>
      <c r="CW14" s="118">
        <f t="shared" si="33"/>
        <v>599686.26576774276</v>
      </c>
      <c r="CX14" s="118">
        <f t="shared" si="33"/>
        <v>599686.26576774276</v>
      </c>
      <c r="CY14" s="118">
        <f t="shared" si="33"/>
        <v>599686.26576774276</v>
      </c>
      <c r="CZ14" s="118">
        <f t="shared" si="33"/>
        <v>599686.26576774276</v>
      </c>
      <c r="DA14" s="118">
        <f t="shared" si="33"/>
        <v>599686.26576774276</v>
      </c>
      <c r="DB14" s="118">
        <f t="shared" si="33"/>
        <v>599686.26576774276</v>
      </c>
      <c r="DC14" s="118">
        <f t="shared" si="33"/>
        <v>599686.26576774276</v>
      </c>
      <c r="DD14" s="118">
        <f t="shared" si="33"/>
        <v>599686.26576774276</v>
      </c>
      <c r="DE14" s="118">
        <f t="shared" si="33"/>
        <v>599686.26576774276</v>
      </c>
      <c r="DF14" s="118">
        <f t="shared" si="33"/>
        <v>599686.26576774276</v>
      </c>
      <c r="DG14" s="118">
        <f t="shared" si="33"/>
        <v>599686.26576774276</v>
      </c>
      <c r="DH14" s="118">
        <f t="shared" si="33"/>
        <v>599686.26576774276</v>
      </c>
      <c r="DI14" s="118">
        <f t="shared" si="33"/>
        <v>599686.26576774276</v>
      </c>
      <c r="DJ14" s="118">
        <f t="shared" si="33"/>
        <v>599686.26576774276</v>
      </c>
      <c r="DK14" s="118">
        <f t="shared" si="33"/>
        <v>599686.26576774276</v>
      </c>
      <c r="DL14" s="118">
        <f t="shared" si="33"/>
        <v>599686.26576774276</v>
      </c>
      <c r="DM14" s="118">
        <f t="shared" si="33"/>
        <v>599686.26576774276</v>
      </c>
      <c r="DN14" s="118">
        <f t="shared" si="33"/>
        <v>599686.26576774276</v>
      </c>
      <c r="DO14" s="118">
        <f t="shared" si="33"/>
        <v>599686.26576774276</v>
      </c>
      <c r="DP14" s="118">
        <f t="shared" si="33"/>
        <v>599686.26576774276</v>
      </c>
      <c r="DQ14" s="118">
        <f t="shared" si="33"/>
        <v>599686.26576774276</v>
      </c>
      <c r="DR14" s="118">
        <f t="shared" si="33"/>
        <v>599686.26576774276</v>
      </c>
      <c r="DS14" s="118">
        <f t="shared" si="33"/>
        <v>599686.26576774276</v>
      </c>
      <c r="DT14" s="118">
        <f t="shared" si="33"/>
        <v>599686.26576774276</v>
      </c>
      <c r="DU14" s="118">
        <f t="shared" si="33"/>
        <v>599686.26576774276</v>
      </c>
      <c r="DV14" s="118">
        <f t="shared" si="33"/>
        <v>599686.26576774276</v>
      </c>
      <c r="DW14" s="118">
        <f t="shared" si="33"/>
        <v>599686.26576774276</v>
      </c>
      <c r="DX14" s="118">
        <f t="shared" si="33"/>
        <v>599686.26576774276</v>
      </c>
      <c r="DY14" s="118">
        <f t="shared" si="33"/>
        <v>599686.26576774276</v>
      </c>
      <c r="DZ14" s="118">
        <f t="shared" si="33"/>
        <v>599686.26576774276</v>
      </c>
      <c r="EA14" s="118">
        <f t="shared" si="33"/>
        <v>599686.26576774276</v>
      </c>
      <c r="EB14" s="118">
        <f t="shared" si="33"/>
        <v>599686.26576774276</v>
      </c>
      <c r="EC14" s="118">
        <f t="shared" si="33"/>
        <v>599686.26576774276</v>
      </c>
      <c r="ED14" s="118">
        <f t="shared" si="33"/>
        <v>599686.26576774276</v>
      </c>
      <c r="EE14" s="118">
        <f t="shared" si="33"/>
        <v>599686.26576774276</v>
      </c>
      <c r="EF14" s="118">
        <f t="shared" si="33"/>
        <v>599686.26576774276</v>
      </c>
      <c r="EG14" s="118">
        <f t="shared" ref="EG14:GR14" si="34">EG10-EG12</f>
        <v>599686.26576774276</v>
      </c>
      <c r="EH14" s="118">
        <f t="shared" si="34"/>
        <v>599686.26576774276</v>
      </c>
      <c r="EI14" s="118">
        <f t="shared" si="34"/>
        <v>599686.26576774276</v>
      </c>
      <c r="EJ14" s="118">
        <f t="shared" si="34"/>
        <v>599686.26576774276</v>
      </c>
      <c r="EK14" s="118">
        <f t="shared" si="34"/>
        <v>599686.26576774276</v>
      </c>
      <c r="EL14" s="118">
        <f t="shared" si="34"/>
        <v>599686.26576774276</v>
      </c>
      <c r="EM14" s="118">
        <f t="shared" si="34"/>
        <v>599686.26576774276</v>
      </c>
      <c r="EN14" s="118">
        <f t="shared" si="34"/>
        <v>599686.26576774276</v>
      </c>
      <c r="EO14" s="118">
        <f t="shared" si="34"/>
        <v>599686.26576774276</v>
      </c>
      <c r="EP14" s="118">
        <f t="shared" si="34"/>
        <v>599686.26576774276</v>
      </c>
      <c r="EQ14" s="118">
        <f t="shared" si="34"/>
        <v>599686.26576774276</v>
      </c>
      <c r="ER14" s="118">
        <f t="shared" si="34"/>
        <v>599686.26576774276</v>
      </c>
      <c r="ES14" s="118">
        <f t="shared" si="34"/>
        <v>599686.26576774276</v>
      </c>
      <c r="ET14" s="118">
        <f t="shared" si="34"/>
        <v>599686.26576774276</v>
      </c>
      <c r="EU14" s="118">
        <f t="shared" si="34"/>
        <v>599686.26576774276</v>
      </c>
      <c r="EV14" s="118">
        <f t="shared" si="34"/>
        <v>599686.26576774276</v>
      </c>
      <c r="EW14" s="118">
        <f t="shared" si="34"/>
        <v>599686.26576774276</v>
      </c>
      <c r="EX14" s="118">
        <f t="shared" si="34"/>
        <v>599686.26576774276</v>
      </c>
      <c r="EY14" s="118">
        <f t="shared" si="34"/>
        <v>599686.26576774276</v>
      </c>
      <c r="EZ14" s="118">
        <f t="shared" si="34"/>
        <v>599686.26576774276</v>
      </c>
      <c r="FA14" s="118">
        <f t="shared" si="34"/>
        <v>599686.26576774276</v>
      </c>
      <c r="FB14" s="118">
        <f t="shared" si="34"/>
        <v>599686.26576774276</v>
      </c>
      <c r="FC14" s="118">
        <f t="shared" si="34"/>
        <v>599686.26576774276</v>
      </c>
      <c r="FD14" s="118">
        <f t="shared" si="34"/>
        <v>599686.26576774276</v>
      </c>
      <c r="FE14" s="118">
        <f t="shared" si="34"/>
        <v>599686.26576774276</v>
      </c>
      <c r="FF14" s="118">
        <f t="shared" si="34"/>
        <v>599686.26576774276</v>
      </c>
      <c r="FG14" s="118">
        <f t="shared" si="34"/>
        <v>599686.26576774276</v>
      </c>
      <c r="FH14" s="118">
        <f t="shared" si="34"/>
        <v>599686.26576774276</v>
      </c>
      <c r="FI14" s="118">
        <f t="shared" si="34"/>
        <v>599686.26576774276</v>
      </c>
      <c r="FJ14" s="118">
        <f t="shared" si="34"/>
        <v>599686.26576774276</v>
      </c>
      <c r="FK14" s="118">
        <f t="shared" si="34"/>
        <v>599686.26576774276</v>
      </c>
      <c r="FL14" s="118">
        <f t="shared" si="34"/>
        <v>599686.26576774276</v>
      </c>
      <c r="FM14" s="118">
        <f t="shared" si="34"/>
        <v>599686.26576774276</v>
      </c>
      <c r="FN14" s="118">
        <f t="shared" si="34"/>
        <v>599686.26576774276</v>
      </c>
      <c r="FO14" s="118">
        <f t="shared" si="34"/>
        <v>599686.26576774276</v>
      </c>
      <c r="FP14" s="118">
        <f t="shared" si="34"/>
        <v>599686.26576774276</v>
      </c>
      <c r="FQ14" s="118">
        <f t="shared" si="34"/>
        <v>599686.26576774276</v>
      </c>
      <c r="FR14" s="118">
        <f t="shared" si="34"/>
        <v>599686.26576774276</v>
      </c>
      <c r="FS14" s="118">
        <f t="shared" si="34"/>
        <v>599686.26576774276</v>
      </c>
      <c r="FT14" s="118">
        <f t="shared" si="34"/>
        <v>599686.26576774276</v>
      </c>
      <c r="FU14" s="118">
        <f t="shared" si="34"/>
        <v>599686.26576774276</v>
      </c>
      <c r="FV14" s="118">
        <f t="shared" si="34"/>
        <v>599686.26576774276</v>
      </c>
      <c r="FW14" s="118">
        <f t="shared" si="34"/>
        <v>599686.26576774276</v>
      </c>
      <c r="FX14" s="118">
        <f t="shared" si="34"/>
        <v>599686.26576774276</v>
      </c>
      <c r="FY14" s="118">
        <f t="shared" si="34"/>
        <v>599686.26576774276</v>
      </c>
      <c r="FZ14" s="118">
        <f t="shared" si="34"/>
        <v>599686.26576774276</v>
      </c>
      <c r="GA14" s="118">
        <f t="shared" si="34"/>
        <v>599686.26576774276</v>
      </c>
      <c r="GB14" s="118">
        <f t="shared" si="34"/>
        <v>599686.26576774276</v>
      </c>
      <c r="GC14" s="118">
        <f t="shared" si="34"/>
        <v>599686.26576774276</v>
      </c>
      <c r="GD14" s="118">
        <f t="shared" si="34"/>
        <v>599686.26576774276</v>
      </c>
      <c r="GE14" s="118">
        <f t="shared" si="34"/>
        <v>599686.26576774276</v>
      </c>
      <c r="GF14" s="118">
        <f t="shared" si="34"/>
        <v>599686.26576774276</v>
      </c>
      <c r="GG14" s="118">
        <f t="shared" si="34"/>
        <v>599686.26576774276</v>
      </c>
      <c r="GH14" s="118">
        <f t="shared" si="34"/>
        <v>599686.26576774276</v>
      </c>
      <c r="GI14" s="118">
        <f t="shared" si="34"/>
        <v>599686.26576774276</v>
      </c>
      <c r="GJ14" s="118">
        <f t="shared" si="34"/>
        <v>599686.26576774276</v>
      </c>
      <c r="GK14" s="118">
        <f t="shared" si="34"/>
        <v>599686.26576774276</v>
      </c>
      <c r="GL14" s="118">
        <f t="shared" si="34"/>
        <v>599686.26576774276</v>
      </c>
      <c r="GM14" s="118">
        <f t="shared" si="34"/>
        <v>599686.26576774276</v>
      </c>
      <c r="GN14" s="118">
        <f t="shared" si="34"/>
        <v>599686.26576774276</v>
      </c>
      <c r="GO14" s="118">
        <f t="shared" si="34"/>
        <v>599686.26576774276</v>
      </c>
      <c r="GP14" s="118">
        <f t="shared" si="34"/>
        <v>599686.26576774276</v>
      </c>
      <c r="GQ14" s="118">
        <f t="shared" si="34"/>
        <v>599686.26576774276</v>
      </c>
      <c r="GR14" s="118">
        <f t="shared" si="34"/>
        <v>599686.26576774276</v>
      </c>
      <c r="GS14" s="118">
        <f t="shared" ref="GS14:JD14" si="35">GS10-GS12</f>
        <v>599686.26576774276</v>
      </c>
      <c r="GT14" s="118">
        <f t="shared" si="35"/>
        <v>599686.26576774276</v>
      </c>
      <c r="GU14" s="118">
        <f t="shared" si="35"/>
        <v>599686.26576774276</v>
      </c>
      <c r="GV14" s="118">
        <f t="shared" si="35"/>
        <v>599686.26576774276</v>
      </c>
      <c r="GW14" s="118">
        <f t="shared" si="35"/>
        <v>599686.26576774276</v>
      </c>
      <c r="GX14" s="118">
        <f t="shared" si="35"/>
        <v>599686.26576774276</v>
      </c>
      <c r="GY14" s="118">
        <f t="shared" si="35"/>
        <v>599686.26576774276</v>
      </c>
      <c r="GZ14" s="118">
        <f t="shared" si="35"/>
        <v>599686.26576774276</v>
      </c>
      <c r="HA14" s="118">
        <f t="shared" si="35"/>
        <v>599686.26576774276</v>
      </c>
      <c r="HB14" s="118">
        <f t="shared" si="35"/>
        <v>599686.26576774276</v>
      </c>
      <c r="HC14" s="118">
        <f t="shared" si="35"/>
        <v>599686.26576774276</v>
      </c>
      <c r="HD14" s="118">
        <f t="shared" si="35"/>
        <v>599686.26576774276</v>
      </c>
      <c r="HE14" s="118">
        <f t="shared" si="35"/>
        <v>599686.26576774276</v>
      </c>
      <c r="HF14" s="118">
        <f t="shared" si="35"/>
        <v>599686.26576774276</v>
      </c>
      <c r="HG14" s="118">
        <f t="shared" si="35"/>
        <v>599686.26576774276</v>
      </c>
      <c r="HH14" s="118">
        <f t="shared" si="35"/>
        <v>599686.26576774276</v>
      </c>
      <c r="HI14" s="118">
        <f t="shared" si="35"/>
        <v>599686.26576774276</v>
      </c>
      <c r="HJ14" s="118">
        <f t="shared" si="35"/>
        <v>599686.26576774276</v>
      </c>
      <c r="HK14" s="118">
        <f t="shared" si="35"/>
        <v>599686.26576774276</v>
      </c>
      <c r="HL14" s="118">
        <f t="shared" si="35"/>
        <v>599686.26576774276</v>
      </c>
      <c r="HM14" s="118">
        <f t="shared" si="35"/>
        <v>599686.26576774276</v>
      </c>
      <c r="HN14" s="118">
        <f t="shared" si="35"/>
        <v>599686.26576774276</v>
      </c>
      <c r="HO14" s="118">
        <f t="shared" si="35"/>
        <v>599686.26576774276</v>
      </c>
      <c r="HP14" s="118">
        <f t="shared" si="35"/>
        <v>599686.26576774276</v>
      </c>
      <c r="HQ14" s="118">
        <f t="shared" si="35"/>
        <v>599686.26576774276</v>
      </c>
      <c r="HR14" s="118">
        <f t="shared" si="35"/>
        <v>599686.26576774276</v>
      </c>
      <c r="HS14" s="118">
        <f t="shared" si="35"/>
        <v>599686.26576774276</v>
      </c>
      <c r="HT14" s="118">
        <f t="shared" si="35"/>
        <v>599686.26576774276</v>
      </c>
      <c r="HU14" s="118">
        <f t="shared" si="35"/>
        <v>599686.26576774276</v>
      </c>
      <c r="HV14" s="118">
        <f t="shared" si="35"/>
        <v>599686.26576774276</v>
      </c>
      <c r="HW14" s="118">
        <f t="shared" si="35"/>
        <v>599686.26576774276</v>
      </c>
      <c r="HX14" s="118">
        <f t="shared" si="35"/>
        <v>599686.26576774276</v>
      </c>
      <c r="HY14" s="118">
        <f t="shared" si="35"/>
        <v>599686.26576774276</v>
      </c>
      <c r="HZ14" s="118">
        <f t="shared" si="35"/>
        <v>599686.26576774276</v>
      </c>
      <c r="IA14" s="118">
        <f t="shared" si="35"/>
        <v>599686.26576774276</v>
      </c>
      <c r="IB14" s="118">
        <f t="shared" si="35"/>
        <v>599686.26576774276</v>
      </c>
      <c r="IC14" s="118">
        <f t="shared" si="35"/>
        <v>599686.26576774276</v>
      </c>
      <c r="ID14" s="118">
        <f t="shared" si="35"/>
        <v>599686.26576774276</v>
      </c>
      <c r="IE14" s="118">
        <f t="shared" si="35"/>
        <v>599686.26576774276</v>
      </c>
      <c r="IF14" s="118">
        <f t="shared" si="35"/>
        <v>599686.26576774276</v>
      </c>
      <c r="IG14" s="118">
        <f t="shared" si="35"/>
        <v>599686.26576774276</v>
      </c>
      <c r="IH14" s="118">
        <f t="shared" si="35"/>
        <v>599686.26576774276</v>
      </c>
      <c r="II14" s="118">
        <f t="shared" si="35"/>
        <v>599686.26576774276</v>
      </c>
      <c r="IJ14" s="118">
        <f t="shared" si="35"/>
        <v>599686.26576774276</v>
      </c>
      <c r="IK14" s="118">
        <f t="shared" si="35"/>
        <v>599686.26576774276</v>
      </c>
      <c r="IL14" s="118">
        <f t="shared" si="35"/>
        <v>599686.26576774276</v>
      </c>
      <c r="IM14" s="118">
        <f t="shared" si="35"/>
        <v>599686.26576774276</v>
      </c>
      <c r="IN14" s="118">
        <f t="shared" si="35"/>
        <v>599686.26576774276</v>
      </c>
      <c r="IO14" s="118">
        <f t="shared" si="35"/>
        <v>599686.26576774276</v>
      </c>
      <c r="IP14" s="118">
        <f t="shared" si="35"/>
        <v>599686.26576774276</v>
      </c>
      <c r="IQ14" s="118">
        <f t="shared" si="35"/>
        <v>599686.26576774276</v>
      </c>
      <c r="IR14" s="118">
        <f t="shared" si="35"/>
        <v>599686.26576774276</v>
      </c>
      <c r="IS14" s="118">
        <f t="shared" si="35"/>
        <v>599686.26576774276</v>
      </c>
      <c r="IT14" s="118">
        <f t="shared" si="35"/>
        <v>599686.26576774276</v>
      </c>
      <c r="IU14" s="118">
        <f t="shared" si="35"/>
        <v>599686.26576774276</v>
      </c>
      <c r="IV14" s="118">
        <f t="shared" si="35"/>
        <v>599686.26576774276</v>
      </c>
      <c r="IW14" s="118">
        <f t="shared" si="35"/>
        <v>599686.26576774276</v>
      </c>
      <c r="IX14" s="118">
        <f t="shared" si="35"/>
        <v>599686.26576774276</v>
      </c>
      <c r="IY14" s="118">
        <f t="shared" si="35"/>
        <v>599686.26576774276</v>
      </c>
      <c r="IZ14" s="118">
        <f t="shared" si="35"/>
        <v>599686.26576774276</v>
      </c>
      <c r="JA14" s="118">
        <f t="shared" si="35"/>
        <v>599686.26576774276</v>
      </c>
      <c r="JB14" s="118">
        <f t="shared" si="35"/>
        <v>599686.26576774276</v>
      </c>
      <c r="JC14" s="118">
        <f t="shared" si="35"/>
        <v>599686.26576774276</v>
      </c>
      <c r="JD14" s="118">
        <f t="shared" si="35"/>
        <v>599686.26576774276</v>
      </c>
      <c r="JE14" s="118">
        <f t="shared" ref="JE14:KF14" si="36">JE10-JE12</f>
        <v>599686.26576774276</v>
      </c>
      <c r="JF14" s="118">
        <f t="shared" si="36"/>
        <v>599686.26576774276</v>
      </c>
      <c r="JG14" s="118">
        <f t="shared" si="36"/>
        <v>599686.26576774276</v>
      </c>
      <c r="JH14" s="118">
        <f t="shared" si="36"/>
        <v>599686.26576774276</v>
      </c>
      <c r="JI14" s="118">
        <f t="shared" si="36"/>
        <v>599686.26576774276</v>
      </c>
      <c r="JJ14" s="118">
        <f t="shared" si="36"/>
        <v>599686.26576774276</v>
      </c>
      <c r="JK14" s="118">
        <f t="shared" si="36"/>
        <v>599686.26576774276</v>
      </c>
      <c r="JL14" s="118">
        <f t="shared" si="36"/>
        <v>599686.26576774276</v>
      </c>
      <c r="JM14" s="118">
        <f t="shared" si="36"/>
        <v>599686.26576774276</v>
      </c>
      <c r="JN14" s="118">
        <f t="shared" si="36"/>
        <v>599686.26576774276</v>
      </c>
      <c r="JO14" s="118">
        <f t="shared" si="36"/>
        <v>599686.26576774276</v>
      </c>
      <c r="JP14" s="118">
        <f t="shared" si="36"/>
        <v>599686.26576774276</v>
      </c>
      <c r="JQ14" s="118">
        <f t="shared" si="36"/>
        <v>599686.26576774276</v>
      </c>
      <c r="JR14" s="118">
        <f t="shared" si="36"/>
        <v>599686.26576774276</v>
      </c>
      <c r="JS14" s="118">
        <f t="shared" si="36"/>
        <v>599686.26576774276</v>
      </c>
      <c r="JT14" s="118">
        <f t="shared" si="36"/>
        <v>599686.26576774276</v>
      </c>
      <c r="JU14" s="118">
        <f t="shared" si="36"/>
        <v>599686.26576774276</v>
      </c>
      <c r="JV14" s="118">
        <f t="shared" si="36"/>
        <v>599686.26576774276</v>
      </c>
      <c r="JW14" s="118">
        <f t="shared" si="36"/>
        <v>599686.26576774276</v>
      </c>
      <c r="JX14" s="118">
        <f t="shared" si="36"/>
        <v>599686.26576774276</v>
      </c>
      <c r="JY14" s="118">
        <f t="shared" si="36"/>
        <v>599686.26576774276</v>
      </c>
      <c r="JZ14" s="118">
        <f t="shared" si="36"/>
        <v>599686.26576774276</v>
      </c>
      <c r="KA14" s="118">
        <f t="shared" si="36"/>
        <v>599686.26576774276</v>
      </c>
      <c r="KB14" s="118">
        <f t="shared" si="36"/>
        <v>599686.26576774276</v>
      </c>
      <c r="KC14" s="118">
        <f t="shared" si="36"/>
        <v>599686.26576774276</v>
      </c>
      <c r="KD14" s="118">
        <f t="shared" si="36"/>
        <v>599686.26576774276</v>
      </c>
      <c r="KE14" s="118">
        <f t="shared" si="36"/>
        <v>599686.26576774276</v>
      </c>
      <c r="KF14" s="118">
        <f t="shared" si="36"/>
        <v>599686.26576774276</v>
      </c>
    </row>
    <row r="15" spans="1:770" s="102" customFormat="1"/>
    <row r="16" spans="1:770" s="102" customFormat="1">
      <c r="C16" s="104" t="s">
        <v>230</v>
      </c>
      <c r="D16" s="104" t="s">
        <v>230</v>
      </c>
    </row>
    <row r="17" spans="1:292">
      <c r="A17" s="749"/>
      <c r="B17" s="106" t="s">
        <v>434</v>
      </c>
      <c r="C17" s="275">
        <f>C3-D17</f>
        <v>41849.869999999879</v>
      </c>
      <c r="D17" s="107">
        <f>SUM(F17:KF17)</f>
        <v>1399380.6072331576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23026.568953004975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1040760.3470162969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100810.02806223957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234166.01614279256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617.64705882352939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49"/>
      <c r="B18" s="106" t="s">
        <v>435</v>
      </c>
      <c r="C18" s="275">
        <f>D17-D18</f>
        <v>0</v>
      </c>
      <c r="D18" s="107">
        <f>MAX(F18:KF18)</f>
        <v>1399380.6072331576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1063786.9159693019</v>
      </c>
      <c r="V18" s="125">
        <f t="shared" si="37"/>
        <v>1063786.9159693019</v>
      </c>
      <c r="W18" s="125">
        <f t="shared" si="37"/>
        <v>1063786.9159693019</v>
      </c>
      <c r="X18" s="125">
        <f t="shared" si="37"/>
        <v>1063786.9159693019</v>
      </c>
      <c r="Y18" s="125">
        <f t="shared" si="37"/>
        <v>1063786.9159693019</v>
      </c>
      <c r="Z18" s="125">
        <f t="shared" si="37"/>
        <v>1164596.9440315415</v>
      </c>
      <c r="AA18" s="125">
        <f t="shared" si="37"/>
        <v>1164596.9440315415</v>
      </c>
      <c r="AB18" s="125">
        <f t="shared" si="37"/>
        <v>1164596.9440315415</v>
      </c>
      <c r="AC18" s="125">
        <f t="shared" si="37"/>
        <v>1164596.9440315415</v>
      </c>
      <c r="AD18" s="125">
        <f>AC18+AD17</f>
        <v>1398762.960174334</v>
      </c>
      <c r="AE18" s="125">
        <f t="shared" si="37"/>
        <v>1398762.960174334</v>
      </c>
      <c r="AF18" s="125">
        <f t="shared" si="37"/>
        <v>1398762.960174334</v>
      </c>
      <c r="AG18" s="125">
        <f t="shared" si="37"/>
        <v>1398762.960174334</v>
      </c>
      <c r="AH18" s="125">
        <f t="shared" si="37"/>
        <v>1399380.6072331576</v>
      </c>
      <c r="AI18" s="125">
        <f t="shared" si="37"/>
        <v>1399380.6072331576</v>
      </c>
      <c r="AJ18" s="125">
        <f t="shared" si="37"/>
        <v>1399380.6072331576</v>
      </c>
      <c r="AK18" s="125">
        <f t="shared" si="37"/>
        <v>1399380.6072331576</v>
      </c>
      <c r="AL18" s="125">
        <f t="shared" si="37"/>
        <v>1399380.6072331576</v>
      </c>
      <c r="AM18" s="125">
        <f t="shared" si="37"/>
        <v>1399380.6072331576</v>
      </c>
      <c r="AN18" s="125">
        <f t="shared" si="37"/>
        <v>1399380.6072331576</v>
      </c>
      <c r="AO18" s="125">
        <f t="shared" si="37"/>
        <v>1399380.6072331576</v>
      </c>
      <c r="AP18" s="125">
        <f t="shared" si="37"/>
        <v>1399380.6072331576</v>
      </c>
      <c r="AQ18" s="125">
        <f t="shared" si="37"/>
        <v>1399380.6072331576</v>
      </c>
      <c r="AR18" s="125">
        <f t="shared" si="37"/>
        <v>1399380.6072331576</v>
      </c>
      <c r="AS18" s="125">
        <f t="shared" si="37"/>
        <v>1399380.6072331576</v>
      </c>
      <c r="AT18" s="125">
        <f t="shared" si="37"/>
        <v>1399380.6072331576</v>
      </c>
      <c r="AU18" s="125">
        <f t="shared" si="37"/>
        <v>1399380.6072331576</v>
      </c>
      <c r="AV18" s="125">
        <f t="shared" si="37"/>
        <v>1399380.6072331576</v>
      </c>
      <c r="AW18" s="125">
        <f t="shared" si="37"/>
        <v>1399380.6072331576</v>
      </c>
      <c r="AX18" s="125">
        <f t="shared" si="37"/>
        <v>1399380.6072331576</v>
      </c>
      <c r="AY18" s="125">
        <f t="shared" si="37"/>
        <v>1399380.6072331576</v>
      </c>
      <c r="AZ18" s="125">
        <f t="shared" si="37"/>
        <v>1399380.6072331576</v>
      </c>
      <c r="BA18" s="125">
        <f t="shared" si="37"/>
        <v>1399380.6072331576</v>
      </c>
      <c r="BB18" s="125">
        <f t="shared" si="37"/>
        <v>1399380.6072331576</v>
      </c>
      <c r="BC18" s="125">
        <f t="shared" si="37"/>
        <v>1399380.6072331576</v>
      </c>
      <c r="BD18" s="125">
        <f t="shared" si="37"/>
        <v>1399380.6072331576</v>
      </c>
      <c r="BE18" s="125">
        <f t="shared" si="37"/>
        <v>1399380.6072331576</v>
      </c>
      <c r="BF18" s="125">
        <f t="shared" si="37"/>
        <v>1399380.6072331576</v>
      </c>
      <c r="BG18" s="125">
        <f t="shared" si="37"/>
        <v>1399380.6072331576</v>
      </c>
      <c r="BH18" s="125">
        <f t="shared" si="37"/>
        <v>1399380.6072331576</v>
      </c>
      <c r="BI18" s="125">
        <f t="shared" si="37"/>
        <v>1399380.6072331576</v>
      </c>
      <c r="BJ18" s="125">
        <f t="shared" si="37"/>
        <v>1399380.6072331576</v>
      </c>
      <c r="BK18" s="125">
        <f t="shared" si="37"/>
        <v>1399380.6072331576</v>
      </c>
      <c r="BL18" s="125">
        <f t="shared" si="37"/>
        <v>1399380.6072331576</v>
      </c>
      <c r="BM18" s="125">
        <f t="shared" si="37"/>
        <v>1399380.6072331576</v>
      </c>
      <c r="BN18" s="125">
        <f t="shared" si="37"/>
        <v>1399380.6072331576</v>
      </c>
      <c r="BO18" s="125">
        <f t="shared" si="37"/>
        <v>1399380.6072331576</v>
      </c>
      <c r="BP18" s="125">
        <f t="shared" si="37"/>
        <v>1399380.6072331576</v>
      </c>
      <c r="BQ18" s="125">
        <f t="shared" si="37"/>
        <v>1399380.6072331576</v>
      </c>
      <c r="BR18" s="125">
        <f t="shared" si="37"/>
        <v>1399380.6072331576</v>
      </c>
      <c r="BS18" s="125">
        <f t="shared" si="37"/>
        <v>1399380.6072331576</v>
      </c>
      <c r="BT18" s="125">
        <f t="shared" si="37"/>
        <v>1399380.6072331576</v>
      </c>
      <c r="BU18" s="125">
        <f t="shared" ref="BU18:EF18" si="38">BT18+BU17</f>
        <v>1399380.6072331576</v>
      </c>
      <c r="BV18" s="125">
        <f t="shared" si="38"/>
        <v>1399380.6072331576</v>
      </c>
      <c r="BW18" s="125">
        <f t="shared" si="38"/>
        <v>1399380.6072331576</v>
      </c>
      <c r="BX18" s="125">
        <f t="shared" si="38"/>
        <v>1399380.6072331576</v>
      </c>
      <c r="BY18" s="125">
        <f t="shared" si="38"/>
        <v>1399380.6072331576</v>
      </c>
      <c r="BZ18" s="125">
        <f t="shared" si="38"/>
        <v>1399380.6072331576</v>
      </c>
      <c r="CA18" s="125">
        <f t="shared" si="38"/>
        <v>1399380.6072331576</v>
      </c>
      <c r="CB18" s="125">
        <f t="shared" si="38"/>
        <v>1399380.6072331576</v>
      </c>
      <c r="CC18" s="125">
        <f t="shared" si="38"/>
        <v>1399380.6072331576</v>
      </c>
      <c r="CD18" s="125">
        <f t="shared" si="38"/>
        <v>1399380.6072331576</v>
      </c>
      <c r="CE18" s="125">
        <f t="shared" si="38"/>
        <v>1399380.6072331576</v>
      </c>
      <c r="CF18" s="125">
        <f t="shared" si="38"/>
        <v>1399380.6072331576</v>
      </c>
      <c r="CG18" s="125">
        <f t="shared" si="38"/>
        <v>1399380.6072331576</v>
      </c>
      <c r="CH18" s="125">
        <f t="shared" si="38"/>
        <v>1399380.6072331576</v>
      </c>
      <c r="CI18" s="125">
        <f t="shared" si="38"/>
        <v>1399380.6072331576</v>
      </c>
      <c r="CJ18" s="125">
        <f t="shared" si="38"/>
        <v>1399380.6072331576</v>
      </c>
      <c r="CK18" s="125">
        <f t="shared" si="38"/>
        <v>1399380.6072331576</v>
      </c>
      <c r="CL18" s="125">
        <f t="shared" si="38"/>
        <v>1399380.6072331576</v>
      </c>
      <c r="CM18" s="125">
        <f t="shared" si="38"/>
        <v>1399380.6072331576</v>
      </c>
      <c r="CN18" s="125">
        <f t="shared" si="38"/>
        <v>1399380.6072331576</v>
      </c>
      <c r="CO18" s="125">
        <f t="shared" si="38"/>
        <v>1399380.6072331576</v>
      </c>
      <c r="CP18" s="125">
        <f t="shared" si="38"/>
        <v>1399380.6072331576</v>
      </c>
      <c r="CQ18" s="125">
        <f t="shared" si="38"/>
        <v>1399380.6072331576</v>
      </c>
      <c r="CR18" s="125">
        <f t="shared" si="38"/>
        <v>1399380.6072331576</v>
      </c>
      <c r="CS18" s="125">
        <f t="shared" si="38"/>
        <v>1399380.6072331576</v>
      </c>
      <c r="CT18" s="125">
        <f t="shared" si="38"/>
        <v>1399380.6072331576</v>
      </c>
      <c r="CU18" s="125">
        <f t="shared" si="38"/>
        <v>1399380.6072331576</v>
      </c>
      <c r="CV18" s="125">
        <f t="shared" si="38"/>
        <v>1399380.6072331576</v>
      </c>
      <c r="CW18" s="125">
        <f t="shared" si="38"/>
        <v>1399380.6072331576</v>
      </c>
      <c r="CX18" s="125">
        <f t="shared" si="38"/>
        <v>1399380.6072331576</v>
      </c>
      <c r="CY18" s="125">
        <f t="shared" si="38"/>
        <v>1399380.6072331576</v>
      </c>
      <c r="CZ18" s="125">
        <f t="shared" si="38"/>
        <v>1399380.6072331576</v>
      </c>
      <c r="DA18" s="125">
        <f t="shared" si="38"/>
        <v>1399380.6072331576</v>
      </c>
      <c r="DB18" s="125">
        <f t="shared" si="38"/>
        <v>1399380.6072331576</v>
      </c>
      <c r="DC18" s="125">
        <f t="shared" si="38"/>
        <v>1399380.6072331576</v>
      </c>
      <c r="DD18" s="125">
        <f t="shared" si="38"/>
        <v>1399380.6072331576</v>
      </c>
      <c r="DE18" s="125">
        <f t="shared" si="38"/>
        <v>1399380.6072331576</v>
      </c>
      <c r="DF18" s="125">
        <f t="shared" si="38"/>
        <v>1399380.6072331576</v>
      </c>
      <c r="DG18" s="125">
        <f t="shared" si="38"/>
        <v>1399380.6072331576</v>
      </c>
      <c r="DH18" s="125">
        <f t="shared" si="38"/>
        <v>1399380.6072331576</v>
      </c>
      <c r="DI18" s="125">
        <f t="shared" si="38"/>
        <v>1399380.6072331576</v>
      </c>
      <c r="DJ18" s="125">
        <f t="shared" si="38"/>
        <v>1399380.6072331576</v>
      </c>
      <c r="DK18" s="125">
        <f t="shared" si="38"/>
        <v>1399380.6072331576</v>
      </c>
      <c r="DL18" s="125">
        <f t="shared" si="38"/>
        <v>1399380.6072331576</v>
      </c>
      <c r="DM18" s="125">
        <f t="shared" si="38"/>
        <v>1399380.6072331576</v>
      </c>
      <c r="DN18" s="125">
        <f t="shared" si="38"/>
        <v>1399380.6072331576</v>
      </c>
      <c r="DO18" s="125">
        <f t="shared" si="38"/>
        <v>1399380.6072331576</v>
      </c>
      <c r="DP18" s="125">
        <f t="shared" si="38"/>
        <v>1399380.6072331576</v>
      </c>
      <c r="DQ18" s="125">
        <f t="shared" si="38"/>
        <v>1399380.6072331576</v>
      </c>
      <c r="DR18" s="125">
        <f t="shared" si="38"/>
        <v>1399380.6072331576</v>
      </c>
      <c r="DS18" s="125">
        <f t="shared" si="38"/>
        <v>1399380.6072331576</v>
      </c>
      <c r="DT18" s="125">
        <f t="shared" si="38"/>
        <v>1399380.6072331576</v>
      </c>
      <c r="DU18" s="125">
        <f t="shared" si="38"/>
        <v>1399380.6072331576</v>
      </c>
      <c r="DV18" s="125">
        <f t="shared" si="38"/>
        <v>1399380.6072331576</v>
      </c>
      <c r="DW18" s="125">
        <f t="shared" si="38"/>
        <v>1399380.6072331576</v>
      </c>
      <c r="DX18" s="125">
        <f t="shared" si="38"/>
        <v>1399380.6072331576</v>
      </c>
      <c r="DY18" s="125">
        <f t="shared" si="38"/>
        <v>1399380.6072331576</v>
      </c>
      <c r="DZ18" s="125">
        <f t="shared" si="38"/>
        <v>1399380.6072331576</v>
      </c>
      <c r="EA18" s="125">
        <f t="shared" si="38"/>
        <v>1399380.6072331576</v>
      </c>
      <c r="EB18" s="125">
        <f t="shared" si="38"/>
        <v>1399380.6072331576</v>
      </c>
      <c r="EC18" s="125">
        <f t="shared" si="38"/>
        <v>1399380.6072331576</v>
      </c>
      <c r="ED18" s="125">
        <f t="shared" si="38"/>
        <v>1399380.6072331576</v>
      </c>
      <c r="EE18" s="125">
        <f t="shared" si="38"/>
        <v>1399380.6072331576</v>
      </c>
      <c r="EF18" s="125">
        <f t="shared" si="38"/>
        <v>1399380.6072331576</v>
      </c>
      <c r="EG18" s="125">
        <f t="shared" ref="EG18:GR18" si="39">EF18+EG17</f>
        <v>1399380.6072331576</v>
      </c>
      <c r="EH18" s="125">
        <f t="shared" si="39"/>
        <v>1399380.6072331576</v>
      </c>
      <c r="EI18" s="125">
        <f t="shared" si="39"/>
        <v>1399380.6072331576</v>
      </c>
      <c r="EJ18" s="125">
        <f t="shared" si="39"/>
        <v>1399380.6072331576</v>
      </c>
      <c r="EK18" s="125">
        <f t="shared" si="39"/>
        <v>1399380.6072331576</v>
      </c>
      <c r="EL18" s="125">
        <f t="shared" si="39"/>
        <v>1399380.6072331576</v>
      </c>
      <c r="EM18" s="125">
        <f t="shared" si="39"/>
        <v>1399380.6072331576</v>
      </c>
      <c r="EN18" s="125">
        <f t="shared" si="39"/>
        <v>1399380.6072331576</v>
      </c>
      <c r="EO18" s="125">
        <f t="shared" si="39"/>
        <v>1399380.6072331576</v>
      </c>
      <c r="EP18" s="125">
        <f t="shared" si="39"/>
        <v>1399380.6072331576</v>
      </c>
      <c r="EQ18" s="125">
        <f t="shared" si="39"/>
        <v>1399380.6072331576</v>
      </c>
      <c r="ER18" s="125">
        <f t="shared" si="39"/>
        <v>1399380.6072331576</v>
      </c>
      <c r="ES18" s="125">
        <f t="shared" si="39"/>
        <v>1399380.6072331576</v>
      </c>
      <c r="ET18" s="125">
        <f t="shared" si="39"/>
        <v>1399380.6072331576</v>
      </c>
      <c r="EU18" s="125">
        <f t="shared" si="39"/>
        <v>1399380.6072331576</v>
      </c>
      <c r="EV18" s="125">
        <f t="shared" si="39"/>
        <v>1399380.6072331576</v>
      </c>
      <c r="EW18" s="125">
        <f t="shared" si="39"/>
        <v>1399380.6072331576</v>
      </c>
      <c r="EX18" s="125">
        <f t="shared" si="39"/>
        <v>1399380.6072331576</v>
      </c>
      <c r="EY18" s="125">
        <f t="shared" si="39"/>
        <v>1399380.6072331576</v>
      </c>
      <c r="EZ18" s="125">
        <f t="shared" si="39"/>
        <v>1399380.6072331576</v>
      </c>
      <c r="FA18" s="125">
        <f t="shared" si="39"/>
        <v>1399380.6072331576</v>
      </c>
      <c r="FB18" s="125">
        <f t="shared" si="39"/>
        <v>1399380.6072331576</v>
      </c>
      <c r="FC18" s="125">
        <f t="shared" si="39"/>
        <v>1399380.6072331576</v>
      </c>
      <c r="FD18" s="125">
        <f t="shared" si="39"/>
        <v>1399380.6072331576</v>
      </c>
      <c r="FE18" s="125">
        <f t="shared" si="39"/>
        <v>1399380.6072331576</v>
      </c>
      <c r="FF18" s="125">
        <f t="shared" si="39"/>
        <v>1399380.6072331576</v>
      </c>
      <c r="FG18" s="125">
        <f t="shared" si="39"/>
        <v>1399380.6072331576</v>
      </c>
      <c r="FH18" s="125">
        <f t="shared" si="39"/>
        <v>1399380.6072331576</v>
      </c>
      <c r="FI18" s="125">
        <f t="shared" si="39"/>
        <v>1399380.6072331576</v>
      </c>
      <c r="FJ18" s="125">
        <f t="shared" si="39"/>
        <v>1399380.6072331576</v>
      </c>
      <c r="FK18" s="125">
        <f t="shared" si="39"/>
        <v>1399380.6072331576</v>
      </c>
      <c r="FL18" s="125">
        <f t="shared" si="39"/>
        <v>1399380.6072331576</v>
      </c>
      <c r="FM18" s="125">
        <f t="shared" si="39"/>
        <v>1399380.6072331576</v>
      </c>
      <c r="FN18" s="125">
        <f t="shared" si="39"/>
        <v>1399380.6072331576</v>
      </c>
      <c r="FO18" s="125">
        <f t="shared" si="39"/>
        <v>1399380.6072331576</v>
      </c>
      <c r="FP18" s="125">
        <f t="shared" si="39"/>
        <v>1399380.6072331576</v>
      </c>
      <c r="FQ18" s="125">
        <f t="shared" si="39"/>
        <v>1399380.6072331576</v>
      </c>
      <c r="FR18" s="125">
        <f t="shared" si="39"/>
        <v>1399380.6072331576</v>
      </c>
      <c r="FS18" s="125">
        <f t="shared" si="39"/>
        <v>1399380.6072331576</v>
      </c>
      <c r="FT18" s="125">
        <f t="shared" si="39"/>
        <v>1399380.6072331576</v>
      </c>
      <c r="FU18" s="125">
        <f t="shared" si="39"/>
        <v>1399380.6072331576</v>
      </c>
      <c r="FV18" s="125">
        <f t="shared" si="39"/>
        <v>1399380.6072331576</v>
      </c>
      <c r="FW18" s="125">
        <f t="shared" si="39"/>
        <v>1399380.6072331576</v>
      </c>
      <c r="FX18" s="125">
        <f t="shared" si="39"/>
        <v>1399380.6072331576</v>
      </c>
      <c r="FY18" s="125">
        <f t="shared" si="39"/>
        <v>1399380.6072331576</v>
      </c>
      <c r="FZ18" s="125">
        <f t="shared" si="39"/>
        <v>1399380.6072331576</v>
      </c>
      <c r="GA18" s="125">
        <f t="shared" si="39"/>
        <v>1399380.6072331576</v>
      </c>
      <c r="GB18" s="125">
        <f t="shared" si="39"/>
        <v>1399380.6072331576</v>
      </c>
      <c r="GC18" s="125">
        <f t="shared" si="39"/>
        <v>1399380.6072331576</v>
      </c>
      <c r="GD18" s="125">
        <f t="shared" si="39"/>
        <v>1399380.6072331576</v>
      </c>
      <c r="GE18" s="125">
        <f t="shared" si="39"/>
        <v>1399380.6072331576</v>
      </c>
      <c r="GF18" s="125">
        <f t="shared" si="39"/>
        <v>1399380.6072331576</v>
      </c>
      <c r="GG18" s="125">
        <f t="shared" si="39"/>
        <v>1399380.6072331576</v>
      </c>
      <c r="GH18" s="125">
        <f t="shared" si="39"/>
        <v>1399380.6072331576</v>
      </c>
      <c r="GI18" s="125">
        <f t="shared" si="39"/>
        <v>1399380.6072331576</v>
      </c>
      <c r="GJ18" s="125">
        <f t="shared" si="39"/>
        <v>1399380.6072331576</v>
      </c>
      <c r="GK18" s="125">
        <f t="shared" si="39"/>
        <v>1399380.6072331576</v>
      </c>
      <c r="GL18" s="125">
        <f t="shared" si="39"/>
        <v>1399380.6072331576</v>
      </c>
      <c r="GM18" s="125">
        <f t="shared" si="39"/>
        <v>1399380.6072331576</v>
      </c>
      <c r="GN18" s="125">
        <f t="shared" si="39"/>
        <v>1399380.6072331576</v>
      </c>
      <c r="GO18" s="125">
        <f t="shared" si="39"/>
        <v>1399380.6072331576</v>
      </c>
      <c r="GP18" s="125">
        <f t="shared" si="39"/>
        <v>1399380.6072331576</v>
      </c>
      <c r="GQ18" s="125">
        <f t="shared" si="39"/>
        <v>1399380.6072331576</v>
      </c>
      <c r="GR18" s="125">
        <f t="shared" si="39"/>
        <v>1399380.6072331576</v>
      </c>
      <c r="GS18" s="125">
        <f t="shared" ref="GS18:JD18" si="40">GR18+GS17</f>
        <v>1399380.6072331576</v>
      </c>
      <c r="GT18" s="125">
        <f t="shared" si="40"/>
        <v>1399380.6072331576</v>
      </c>
      <c r="GU18" s="125">
        <f t="shared" si="40"/>
        <v>1399380.6072331576</v>
      </c>
      <c r="GV18" s="125">
        <f t="shared" si="40"/>
        <v>1399380.6072331576</v>
      </c>
      <c r="GW18" s="125">
        <f t="shared" si="40"/>
        <v>1399380.6072331576</v>
      </c>
      <c r="GX18" s="125">
        <f t="shared" si="40"/>
        <v>1399380.6072331576</v>
      </c>
      <c r="GY18" s="125">
        <f t="shared" si="40"/>
        <v>1399380.6072331576</v>
      </c>
      <c r="GZ18" s="125">
        <f t="shared" si="40"/>
        <v>1399380.6072331576</v>
      </c>
      <c r="HA18" s="125">
        <f t="shared" si="40"/>
        <v>1399380.6072331576</v>
      </c>
      <c r="HB18" s="125">
        <f t="shared" si="40"/>
        <v>1399380.6072331576</v>
      </c>
      <c r="HC18" s="125">
        <f t="shared" si="40"/>
        <v>1399380.6072331576</v>
      </c>
      <c r="HD18" s="125">
        <f t="shared" si="40"/>
        <v>1399380.6072331576</v>
      </c>
      <c r="HE18" s="125">
        <f t="shared" si="40"/>
        <v>1399380.6072331576</v>
      </c>
      <c r="HF18" s="125">
        <f t="shared" si="40"/>
        <v>1399380.6072331576</v>
      </c>
      <c r="HG18" s="125">
        <f t="shared" si="40"/>
        <v>1399380.6072331576</v>
      </c>
      <c r="HH18" s="125">
        <f t="shared" si="40"/>
        <v>1399380.6072331576</v>
      </c>
      <c r="HI18" s="125">
        <f t="shared" si="40"/>
        <v>1399380.6072331576</v>
      </c>
      <c r="HJ18" s="125">
        <f t="shared" si="40"/>
        <v>1399380.6072331576</v>
      </c>
      <c r="HK18" s="125">
        <f t="shared" si="40"/>
        <v>1399380.6072331576</v>
      </c>
      <c r="HL18" s="125">
        <f t="shared" si="40"/>
        <v>1399380.6072331576</v>
      </c>
      <c r="HM18" s="125">
        <f t="shared" si="40"/>
        <v>1399380.6072331576</v>
      </c>
      <c r="HN18" s="125">
        <f t="shared" si="40"/>
        <v>1399380.6072331576</v>
      </c>
      <c r="HO18" s="125">
        <f t="shared" si="40"/>
        <v>1399380.6072331576</v>
      </c>
      <c r="HP18" s="125">
        <f t="shared" si="40"/>
        <v>1399380.6072331576</v>
      </c>
      <c r="HQ18" s="125">
        <f t="shared" si="40"/>
        <v>1399380.6072331576</v>
      </c>
      <c r="HR18" s="125">
        <f t="shared" si="40"/>
        <v>1399380.6072331576</v>
      </c>
      <c r="HS18" s="125">
        <f t="shared" si="40"/>
        <v>1399380.6072331576</v>
      </c>
      <c r="HT18" s="125">
        <f t="shared" si="40"/>
        <v>1399380.6072331576</v>
      </c>
      <c r="HU18" s="125">
        <f t="shared" si="40"/>
        <v>1399380.6072331576</v>
      </c>
      <c r="HV18" s="125">
        <f t="shared" si="40"/>
        <v>1399380.6072331576</v>
      </c>
      <c r="HW18" s="125">
        <f t="shared" si="40"/>
        <v>1399380.6072331576</v>
      </c>
      <c r="HX18" s="125">
        <f t="shared" si="40"/>
        <v>1399380.6072331576</v>
      </c>
      <c r="HY18" s="125">
        <f t="shared" si="40"/>
        <v>1399380.6072331576</v>
      </c>
      <c r="HZ18" s="125">
        <f t="shared" si="40"/>
        <v>1399380.6072331576</v>
      </c>
      <c r="IA18" s="125">
        <f t="shared" si="40"/>
        <v>1399380.6072331576</v>
      </c>
      <c r="IB18" s="125">
        <f t="shared" si="40"/>
        <v>1399380.6072331576</v>
      </c>
      <c r="IC18" s="125">
        <f t="shared" si="40"/>
        <v>1399380.6072331576</v>
      </c>
      <c r="ID18" s="125">
        <f t="shared" si="40"/>
        <v>1399380.6072331576</v>
      </c>
      <c r="IE18" s="125">
        <f t="shared" si="40"/>
        <v>1399380.6072331576</v>
      </c>
      <c r="IF18" s="125">
        <f t="shared" si="40"/>
        <v>1399380.6072331576</v>
      </c>
      <c r="IG18" s="125">
        <f t="shared" si="40"/>
        <v>1399380.6072331576</v>
      </c>
      <c r="IH18" s="125">
        <f t="shared" si="40"/>
        <v>1399380.6072331576</v>
      </c>
      <c r="II18" s="125">
        <f t="shared" si="40"/>
        <v>1399380.6072331576</v>
      </c>
      <c r="IJ18" s="125">
        <f t="shared" si="40"/>
        <v>1399380.6072331576</v>
      </c>
      <c r="IK18" s="125">
        <f t="shared" si="40"/>
        <v>1399380.6072331576</v>
      </c>
      <c r="IL18" s="125">
        <f t="shared" si="40"/>
        <v>1399380.6072331576</v>
      </c>
      <c r="IM18" s="125">
        <f t="shared" si="40"/>
        <v>1399380.6072331576</v>
      </c>
      <c r="IN18" s="125">
        <f t="shared" si="40"/>
        <v>1399380.6072331576</v>
      </c>
      <c r="IO18" s="125">
        <f t="shared" si="40"/>
        <v>1399380.6072331576</v>
      </c>
      <c r="IP18" s="125">
        <f t="shared" si="40"/>
        <v>1399380.6072331576</v>
      </c>
      <c r="IQ18" s="125">
        <f t="shared" si="40"/>
        <v>1399380.6072331576</v>
      </c>
      <c r="IR18" s="125">
        <f t="shared" si="40"/>
        <v>1399380.6072331576</v>
      </c>
      <c r="IS18" s="125">
        <f t="shared" si="40"/>
        <v>1399380.6072331576</v>
      </c>
      <c r="IT18" s="125">
        <f t="shared" si="40"/>
        <v>1399380.6072331576</v>
      </c>
      <c r="IU18" s="125">
        <f t="shared" si="40"/>
        <v>1399380.6072331576</v>
      </c>
      <c r="IV18" s="125">
        <f t="shared" si="40"/>
        <v>1399380.6072331576</v>
      </c>
      <c r="IW18" s="125">
        <f t="shared" si="40"/>
        <v>1399380.6072331576</v>
      </c>
      <c r="IX18" s="125">
        <f t="shared" si="40"/>
        <v>1399380.6072331576</v>
      </c>
      <c r="IY18" s="125">
        <f t="shared" si="40"/>
        <v>1399380.6072331576</v>
      </c>
      <c r="IZ18" s="125">
        <f t="shared" si="40"/>
        <v>1399380.6072331576</v>
      </c>
      <c r="JA18" s="125">
        <f t="shared" si="40"/>
        <v>1399380.6072331576</v>
      </c>
      <c r="JB18" s="125">
        <f t="shared" si="40"/>
        <v>1399380.6072331576</v>
      </c>
      <c r="JC18" s="125">
        <f t="shared" si="40"/>
        <v>1399380.6072331576</v>
      </c>
      <c r="JD18" s="125">
        <f t="shared" si="40"/>
        <v>1399380.6072331576</v>
      </c>
      <c r="JE18" s="125">
        <f t="shared" ref="JE18:KF18" si="41">JD18+JE17</f>
        <v>1399380.6072331576</v>
      </c>
      <c r="JF18" s="125">
        <f t="shared" si="41"/>
        <v>1399380.6072331576</v>
      </c>
      <c r="JG18" s="125">
        <f t="shared" si="41"/>
        <v>1399380.6072331576</v>
      </c>
      <c r="JH18" s="125">
        <f t="shared" si="41"/>
        <v>1399380.6072331576</v>
      </c>
      <c r="JI18" s="125">
        <f t="shared" si="41"/>
        <v>1399380.6072331576</v>
      </c>
      <c r="JJ18" s="125">
        <f t="shared" si="41"/>
        <v>1399380.6072331576</v>
      </c>
      <c r="JK18" s="125">
        <f t="shared" si="41"/>
        <v>1399380.6072331576</v>
      </c>
      <c r="JL18" s="125">
        <f t="shared" si="41"/>
        <v>1399380.6072331576</v>
      </c>
      <c r="JM18" s="125">
        <f t="shared" si="41"/>
        <v>1399380.6072331576</v>
      </c>
      <c r="JN18" s="125">
        <f t="shared" si="41"/>
        <v>1399380.6072331576</v>
      </c>
      <c r="JO18" s="125">
        <f t="shared" si="41"/>
        <v>1399380.6072331576</v>
      </c>
      <c r="JP18" s="125">
        <f t="shared" si="41"/>
        <v>1399380.6072331576</v>
      </c>
      <c r="JQ18" s="125">
        <f t="shared" si="41"/>
        <v>1399380.6072331576</v>
      </c>
      <c r="JR18" s="125">
        <f t="shared" si="41"/>
        <v>1399380.6072331576</v>
      </c>
      <c r="JS18" s="125">
        <f t="shared" si="41"/>
        <v>1399380.6072331576</v>
      </c>
      <c r="JT18" s="125">
        <f t="shared" si="41"/>
        <v>1399380.6072331576</v>
      </c>
      <c r="JU18" s="125">
        <f t="shared" si="41"/>
        <v>1399380.6072331576</v>
      </c>
      <c r="JV18" s="125">
        <f t="shared" si="41"/>
        <v>1399380.6072331576</v>
      </c>
      <c r="JW18" s="125">
        <f t="shared" si="41"/>
        <v>1399380.6072331576</v>
      </c>
      <c r="JX18" s="125">
        <f t="shared" si="41"/>
        <v>1399380.6072331576</v>
      </c>
      <c r="JY18" s="125">
        <f t="shared" si="41"/>
        <v>1399380.6072331576</v>
      </c>
      <c r="JZ18" s="125">
        <f t="shared" si="41"/>
        <v>1399380.6072331576</v>
      </c>
      <c r="KA18" s="125">
        <f t="shared" si="41"/>
        <v>1399380.6072331576</v>
      </c>
      <c r="KB18" s="125">
        <f t="shared" si="41"/>
        <v>1399380.6072331576</v>
      </c>
      <c r="KC18" s="125">
        <f t="shared" si="41"/>
        <v>1399380.6072331576</v>
      </c>
      <c r="KD18" s="125">
        <f t="shared" si="41"/>
        <v>1399380.6072331576</v>
      </c>
      <c r="KE18" s="125">
        <f t="shared" si="41"/>
        <v>1399380.6072331576</v>
      </c>
      <c r="KF18" s="125">
        <f t="shared" si="41"/>
        <v>1399380.6072331576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7265625" style="269" bestFit="1" customWidth="1"/>
    <col min="5" max="7" width="12.6328125" style="269" bestFit="1" customWidth="1"/>
    <col min="8" max="8" width="11.2695312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36328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436</v>
      </c>
      <c r="B3" s="540" t="s">
        <v>437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438</v>
      </c>
      <c r="B4" t="s">
        <v>439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440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439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266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293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309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319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322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326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440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7265625" style="308" bestFit="1" customWidth="1"/>
    <col min="5" max="7" width="12.6328125" style="308" bestFit="1" customWidth="1"/>
    <col min="8" max="8" width="11.26953125" style="308" bestFit="1" customWidth="1"/>
    <col min="9" max="9" width="12.6328125" style="308" bestFit="1" customWidth="1"/>
    <col min="10" max="10" width="14.54296875" bestFit="1" customWidth="1"/>
    <col min="11" max="11" width="10.7265625" bestFit="1" customWidth="1"/>
    <col min="12" max="12" width="10.36328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441</v>
      </c>
      <c r="B3" s="540" t="s">
        <v>437</v>
      </c>
      <c r="C3"/>
      <c r="D3"/>
      <c r="E3"/>
      <c r="F3"/>
      <c r="G3"/>
      <c r="H3"/>
      <c r="I3"/>
    </row>
    <row r="4" spans="1:9">
      <c r="A4" s="540" t="s">
        <v>438</v>
      </c>
      <c r="B4" t="s">
        <v>439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440</v>
      </c>
    </row>
    <row r="5" spans="1:9">
      <c r="A5" s="345" t="s">
        <v>439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266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293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309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315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319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322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326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342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350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440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442</v>
      </c>
      <c r="F2" s="19" t="s">
        <v>443</v>
      </c>
    </row>
    <row r="3" spans="3:8">
      <c r="C3" s="15">
        <v>45658</v>
      </c>
      <c r="D3" s="9" t="s">
        <v>444</v>
      </c>
      <c r="F3" s="17" t="s">
        <v>54</v>
      </c>
    </row>
    <row r="4" spans="3:8">
      <c r="C4" s="15">
        <v>45737</v>
      </c>
      <c r="D4" s="9" t="s">
        <v>445</v>
      </c>
      <c r="F4" s="17" t="s">
        <v>446</v>
      </c>
    </row>
    <row r="5" spans="3:8">
      <c r="C5" s="15">
        <v>45765</v>
      </c>
      <c r="D5" s="9" t="s">
        <v>447</v>
      </c>
      <c r="F5" s="17" t="s">
        <v>448</v>
      </c>
    </row>
    <row r="6" spans="3:8" ht="13" thickBot="1">
      <c r="C6" s="15">
        <v>45768</v>
      </c>
      <c r="D6" s="9" t="s">
        <v>449</v>
      </c>
      <c r="F6" s="18" t="s">
        <v>450</v>
      </c>
    </row>
    <row r="7" spans="3:8">
      <c r="C7" s="15">
        <v>45774</v>
      </c>
      <c r="D7" s="9" t="s">
        <v>451</v>
      </c>
    </row>
    <row r="8" spans="3:8">
      <c r="C8" s="15">
        <v>45765</v>
      </c>
      <c r="D8" s="9" t="s">
        <v>452</v>
      </c>
    </row>
    <row r="9" spans="3:8">
      <c r="C9" s="15">
        <v>45778</v>
      </c>
      <c r="D9" s="9" t="s">
        <v>453</v>
      </c>
    </row>
    <row r="10" spans="3:8">
      <c r="C10" s="15">
        <v>45824</v>
      </c>
      <c r="D10" s="9" t="s">
        <v>454</v>
      </c>
    </row>
    <row r="11" spans="3:8">
      <c r="C11" s="15">
        <v>45878</v>
      </c>
      <c r="D11" s="9" t="s">
        <v>455</v>
      </c>
    </row>
    <row r="12" spans="3:8">
      <c r="C12" s="15">
        <v>45924</v>
      </c>
      <c r="D12" s="9" t="s">
        <v>456</v>
      </c>
    </row>
    <row r="13" spans="3:8">
      <c r="C13" s="15">
        <v>46007</v>
      </c>
      <c r="D13" s="9" t="s">
        <v>457</v>
      </c>
      <c r="F13" s="20"/>
      <c r="H13" s="9" t="s">
        <v>458</v>
      </c>
    </row>
    <row r="14" spans="3:8">
      <c r="C14" s="15">
        <v>46016</v>
      </c>
      <c r="D14" s="9" t="s">
        <v>459</v>
      </c>
    </row>
    <row r="15" spans="3:8">
      <c r="C15" s="15">
        <v>46017</v>
      </c>
      <c r="D15" s="9" t="s">
        <v>460</v>
      </c>
    </row>
    <row r="16" spans="3:8">
      <c r="C16" s="15">
        <v>46006</v>
      </c>
      <c r="D16" s="9" t="s">
        <v>461</v>
      </c>
    </row>
    <row r="17" spans="3:4">
      <c r="C17" s="15">
        <v>46007</v>
      </c>
      <c r="D17" s="9" t="s">
        <v>461</v>
      </c>
    </row>
    <row r="18" spans="3:4">
      <c r="C18" s="15">
        <v>46008</v>
      </c>
      <c r="D18" s="9" t="s">
        <v>461</v>
      </c>
    </row>
    <row r="19" spans="3:4">
      <c r="C19" s="15">
        <v>46009</v>
      </c>
      <c r="D19" s="9" t="s">
        <v>461</v>
      </c>
    </row>
    <row r="20" spans="3:4">
      <c r="C20" s="15">
        <v>46010</v>
      </c>
      <c r="D20" s="9" t="s">
        <v>461</v>
      </c>
    </row>
    <row r="21" spans="3:4">
      <c r="C21" s="15">
        <v>46011</v>
      </c>
      <c r="D21" s="9" t="s">
        <v>461</v>
      </c>
    </row>
    <row r="22" spans="3:4">
      <c r="C22" s="15">
        <v>46012</v>
      </c>
      <c r="D22" s="9" t="s">
        <v>461</v>
      </c>
    </row>
    <row r="23" spans="3:4">
      <c r="C23" s="15">
        <v>46013</v>
      </c>
      <c r="D23" s="9" t="s">
        <v>461</v>
      </c>
    </row>
    <row r="24" spans="3:4">
      <c r="C24" s="15">
        <v>46014</v>
      </c>
      <c r="D24" s="9" t="s">
        <v>461</v>
      </c>
    </row>
    <row r="25" spans="3:4">
      <c r="C25" s="15">
        <v>46015</v>
      </c>
      <c r="D25" s="9" t="s">
        <v>461</v>
      </c>
    </row>
    <row r="26" spans="3:4">
      <c r="C26" s="15">
        <v>46016</v>
      </c>
      <c r="D26" s="9" t="s">
        <v>461</v>
      </c>
    </row>
    <row r="27" spans="3:4">
      <c r="C27" s="15">
        <v>46017</v>
      </c>
      <c r="D27" s="9" t="s">
        <v>461</v>
      </c>
    </row>
    <row r="28" spans="3:4">
      <c r="C28" s="15">
        <v>46018</v>
      </c>
      <c r="D28" s="9" t="s">
        <v>461</v>
      </c>
    </row>
    <row r="29" spans="3:4">
      <c r="C29" s="15">
        <v>46019</v>
      </c>
      <c r="D29" s="9" t="s">
        <v>461</v>
      </c>
    </row>
    <row r="30" spans="3:4">
      <c r="C30" s="15">
        <v>46020</v>
      </c>
      <c r="D30" s="9" t="s">
        <v>461</v>
      </c>
    </row>
    <row r="31" spans="3:4">
      <c r="C31" s="15">
        <v>46021</v>
      </c>
      <c r="D31" s="9" t="s">
        <v>461</v>
      </c>
    </row>
    <row r="32" spans="3:4">
      <c r="C32" s="15">
        <v>46022</v>
      </c>
      <c r="D32" s="9" t="s">
        <v>461</v>
      </c>
    </row>
    <row r="33" spans="3:4">
      <c r="C33" s="15">
        <v>46023</v>
      </c>
      <c r="D33" s="9" t="s">
        <v>461</v>
      </c>
    </row>
    <row r="34" spans="3:4">
      <c r="C34" s="15">
        <v>46024</v>
      </c>
      <c r="D34" s="9" t="s">
        <v>461</v>
      </c>
    </row>
    <row r="35" spans="3:4">
      <c r="C35" s="15">
        <v>46025</v>
      </c>
      <c r="D35" s="9" t="s">
        <v>461</v>
      </c>
    </row>
    <row r="36" spans="3:4">
      <c r="C36" s="15">
        <v>46026</v>
      </c>
      <c r="D36" s="9" t="s">
        <v>461</v>
      </c>
    </row>
    <row r="37" spans="3:4">
      <c r="C37" s="15">
        <v>46027</v>
      </c>
      <c r="D37" s="9" t="s">
        <v>461</v>
      </c>
    </row>
    <row r="38" spans="3:4">
      <c r="C38" s="15">
        <v>46028</v>
      </c>
      <c r="D38" s="9" t="s">
        <v>461</v>
      </c>
    </row>
    <row r="39" spans="3:4">
      <c r="C39" s="15">
        <v>46029</v>
      </c>
      <c r="D39" s="9" t="s">
        <v>461</v>
      </c>
    </row>
    <row r="40" spans="3:4">
      <c r="C40" s="15">
        <v>46030</v>
      </c>
      <c r="D40" s="9" t="s">
        <v>461</v>
      </c>
    </row>
    <row r="41" spans="3:4">
      <c r="C41" s="15">
        <v>46031</v>
      </c>
      <c r="D41" s="9" t="s">
        <v>461</v>
      </c>
    </row>
    <row r="42" spans="3:4">
      <c r="C42" s="15">
        <v>46032</v>
      </c>
      <c r="D42" s="9" t="s">
        <v>461</v>
      </c>
    </row>
    <row r="43" spans="3:4">
      <c r="C43" s="15">
        <v>46033</v>
      </c>
      <c r="D43" s="9" t="s">
        <v>461</v>
      </c>
    </row>
    <row r="44" spans="3:4">
      <c r="C44" s="15">
        <v>46034</v>
      </c>
      <c r="D44" s="9" t="s">
        <v>461</v>
      </c>
    </row>
    <row r="45" spans="3:4">
      <c r="C45" s="15">
        <v>46035</v>
      </c>
      <c r="D45" s="9" t="s">
        <v>461</v>
      </c>
    </row>
    <row r="46" spans="3:4">
      <c r="C46" s="15">
        <v>46036</v>
      </c>
      <c r="D46" s="9" t="s">
        <v>461</v>
      </c>
    </row>
    <row r="47" spans="3:4">
      <c r="C47" s="15">
        <v>46037</v>
      </c>
      <c r="D47" s="9" t="s">
        <v>461</v>
      </c>
    </row>
    <row r="48" spans="3:4">
      <c r="C48" s="15">
        <v>46038</v>
      </c>
      <c r="D48" s="9" t="s">
        <v>461</v>
      </c>
    </row>
    <row r="49" spans="3:4">
      <c r="C49" s="15">
        <v>46102</v>
      </c>
      <c r="D49" s="9" t="s">
        <v>445</v>
      </c>
    </row>
    <row r="50" spans="3:4">
      <c r="C50" s="15">
        <v>46115</v>
      </c>
      <c r="D50" s="9" t="s">
        <v>447</v>
      </c>
    </row>
    <row r="51" spans="3:4">
      <c r="C51" s="15">
        <v>46118</v>
      </c>
      <c r="D51" s="9" t="s">
        <v>449</v>
      </c>
    </row>
    <row r="52" spans="3:4">
      <c r="C52" s="15">
        <v>46139</v>
      </c>
      <c r="D52" s="9" t="s">
        <v>451</v>
      </c>
    </row>
    <row r="53" spans="3:4">
      <c r="C53" s="15">
        <v>46143</v>
      </c>
      <c r="D53" s="9" t="s">
        <v>453</v>
      </c>
    </row>
    <row r="54" spans="3:4">
      <c r="C54" s="15">
        <v>46189</v>
      </c>
      <c r="D54" s="9" t="s">
        <v>454</v>
      </c>
    </row>
    <row r="55" spans="3:4">
      <c r="C55" s="15">
        <v>46243</v>
      </c>
      <c r="D55" s="9" t="s">
        <v>455</v>
      </c>
    </row>
    <row r="56" spans="3:4">
      <c r="C56" s="15">
        <v>46244</v>
      </c>
      <c r="D56" s="9" t="s">
        <v>462</v>
      </c>
    </row>
    <row r="57" spans="3:4">
      <c r="C57" s="15">
        <v>46289</v>
      </c>
      <c r="D57" s="9" t="s">
        <v>456</v>
      </c>
    </row>
    <row r="58" spans="3:4">
      <c r="C58" s="15">
        <v>46372</v>
      </c>
      <c r="D58" s="9" t="s">
        <v>457</v>
      </c>
    </row>
    <row r="59" spans="3:4">
      <c r="C59" s="15">
        <v>46381</v>
      </c>
      <c r="D59" s="9" t="s">
        <v>459</v>
      </c>
    </row>
    <row r="60" spans="3:4" ht="13" thickBot="1">
      <c r="C60" s="16">
        <v>46382</v>
      </c>
      <c r="D60" s="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2026-02-24T12:45:44Z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