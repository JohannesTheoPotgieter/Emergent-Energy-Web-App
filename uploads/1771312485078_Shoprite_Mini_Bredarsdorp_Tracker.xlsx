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56" documentId="6_{F23DB8AC-A5C1-4F83-AADD-D19FA192855F}" xr6:coauthVersionLast="47" xr6:coauthVersionMax="47" xr10:uidLastSave="{E3450846-E9DB-4AE0-ABA3-081EEB928FE1}"/>
  <bookViews>
    <workbookView xWindow="28680" yWindow="-120" windowWidth="29040" windowHeight="15720" tabRatio="704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18" l="1"/>
  <c r="W100" i="18"/>
  <c r="T121" i="18"/>
  <c r="T120" i="18"/>
  <c r="M28" i="2"/>
  <c r="W116" i="18" l="1"/>
  <c r="W117" i="18"/>
  <c r="Q31" i="18"/>
  <c r="Q46" i="18"/>
  <c r="Q30" i="18"/>
  <c r="I45" i="2"/>
  <c r="T116" i="18"/>
  <c r="W66" i="18"/>
  <c r="T66" i="18"/>
  <c r="W37" i="18"/>
  <c r="T37" i="18"/>
  <c r="Q7" i="18"/>
  <c r="Q88" i="18"/>
  <c r="Q87" i="18"/>
  <c r="Q57" i="18"/>
  <c r="W24" i="18"/>
  <c r="K24" i="2"/>
  <c r="G9" i="24" a="1"/>
  <c r="G9" i="24"/>
  <c r="F9" i="24" a="1"/>
  <c r="F9" i="24"/>
  <c r="C4" i="24"/>
  <c r="O112" i="18"/>
  <c r="AD36" i="18"/>
  <c r="AD40" i="18"/>
  <c r="AD41" i="18"/>
  <c r="AA30" i="18"/>
  <c r="AA31" i="18"/>
  <c r="E19" i="2"/>
  <c r="K12" i="2"/>
  <c r="E24" i="2"/>
  <c r="Q48" i="18"/>
  <c r="J154" i="18"/>
  <c r="I13" i="2"/>
  <c r="I14" i="2"/>
  <c r="N12" i="2"/>
  <c r="I24" i="2"/>
  <c r="I15" i="2"/>
  <c r="K14" i="2"/>
  <c r="K13" i="2"/>
  <c r="C7" i="23"/>
  <c r="C4" i="23"/>
  <c r="T54" i="18"/>
  <c r="G12" i="2"/>
  <c r="E13" i="2"/>
  <c r="G13" i="2"/>
  <c r="I16" i="2"/>
  <c r="K15" i="2"/>
  <c r="K25" i="2"/>
  <c r="I26" i="2"/>
  <c r="K26" i="2"/>
  <c r="N13" i="2"/>
  <c r="E14" i="2"/>
  <c r="K16" i="2"/>
  <c r="I11" i="2"/>
  <c r="G14" i="2"/>
  <c r="G24" i="2"/>
  <c r="E15" i="2"/>
  <c r="K11" i="2"/>
  <c r="J11" i="2"/>
  <c r="E25" i="2"/>
  <c r="E26" i="2"/>
  <c r="G26" i="2"/>
  <c r="H56" i="18"/>
  <c r="G15" i="2"/>
  <c r="E16" i="2"/>
  <c r="G16" i="2"/>
  <c r="E36" i="2"/>
  <c r="K19" i="2"/>
  <c r="I18" i="2"/>
  <c r="I30" i="2"/>
  <c r="G25" i="2"/>
  <c r="G36" i="2"/>
  <c r="H6" i="18"/>
  <c r="M48" i="2"/>
  <c r="M9" i="2" s="1"/>
  <c r="M44" i="2"/>
  <c r="M39" i="2"/>
  <c r="M35" i="2"/>
  <c r="M21" i="2"/>
  <c r="M11" i="2"/>
  <c r="I32" i="2"/>
  <c r="K32" i="2"/>
  <c r="K30" i="2"/>
  <c r="K18" i="2"/>
  <c r="J18" i="2"/>
  <c r="K36" i="2"/>
  <c r="X125" i="18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12" i="18"/>
  <c r="O33" i="18"/>
  <c r="T122" i="18"/>
  <c r="T123" i="18"/>
  <c r="T124" i="18"/>
  <c r="T129" i="18"/>
  <c r="T130" i="18"/>
  <c r="T132" i="18"/>
  <c r="T133" i="18"/>
  <c r="T140" i="18"/>
  <c r="T145" i="18"/>
  <c r="T146" i="18"/>
  <c r="T147" i="18"/>
  <c r="T148" i="18"/>
  <c r="T149" i="18"/>
  <c r="T150" i="18"/>
  <c r="T151" i="18"/>
  <c r="T152" i="18"/>
  <c r="T153" i="18"/>
  <c r="T154" i="18"/>
  <c r="T28" i="18"/>
  <c r="T27" i="18"/>
  <c r="T23" i="18"/>
  <c r="T20" i="18"/>
  <c r="T19" i="18"/>
  <c r="T18" i="18"/>
  <c r="T17" i="18"/>
  <c r="T16" i="18"/>
  <c r="T15" i="18"/>
  <c r="T14" i="18"/>
  <c r="T12" i="18"/>
  <c r="T11" i="18"/>
  <c r="T9" i="18"/>
  <c r="Q29" i="18"/>
  <c r="Q13" i="18"/>
  <c r="X13" i="18"/>
  <c r="G134" i="18"/>
  <c r="T9" i="2"/>
  <c r="S9" i="2"/>
  <c r="S20" i="2"/>
  <c r="S19" i="2"/>
  <c r="S18" i="2"/>
  <c r="S17" i="2"/>
  <c r="S16" i="2"/>
  <c r="S15" i="2"/>
  <c r="S14" i="2"/>
  <c r="S13" i="2"/>
  <c r="X46" i="18"/>
  <c r="AO13" i="5"/>
  <c r="G111" i="18"/>
  <c r="Z18" i="18"/>
  <c r="J108" i="18"/>
  <c r="T165" i="18"/>
  <c r="T164" i="18"/>
  <c r="T163" i="18"/>
  <c r="T162" i="18"/>
  <c r="T161" i="18"/>
  <c r="T160" i="18"/>
  <c r="T159" i="18"/>
  <c r="T158" i="18"/>
  <c r="T157" i="18"/>
  <c r="T111" i="18"/>
  <c r="T110" i="18"/>
  <c r="T109" i="18"/>
  <c r="T107" i="18"/>
  <c r="T106" i="18"/>
  <c r="T104" i="18"/>
  <c r="T94" i="18"/>
  <c r="T93" i="18"/>
  <c r="T74" i="18"/>
  <c r="T73" i="18"/>
  <c r="T72" i="18"/>
  <c r="T71" i="18"/>
  <c r="T61" i="18"/>
  <c r="T60" i="18"/>
  <c r="T59" i="18"/>
  <c r="T56" i="18"/>
  <c r="T55" i="18"/>
  <c r="T45" i="18"/>
  <c r="T44" i="18"/>
  <c r="T43" i="18"/>
  <c r="T42" i="18"/>
  <c r="T32" i="18"/>
  <c r="J75" i="18"/>
  <c r="V75" i="18"/>
  <c r="X84" i="18"/>
  <c r="E29" i="18"/>
  <c r="I131" i="18"/>
  <c r="G141" i="18"/>
  <c r="G110" i="18"/>
  <c r="G109" i="18"/>
  <c r="Z17" i="18"/>
  <c r="G108" i="18"/>
  <c r="Z16" i="18"/>
  <c r="G95" i="18"/>
  <c r="G94" i="18"/>
  <c r="Z14" i="18"/>
  <c r="G56" i="18"/>
  <c r="Z12" i="18"/>
  <c r="O62" i="18"/>
  <c r="Q66" i="18"/>
  <c r="G46" i="18"/>
  <c r="I46" i="18"/>
  <c r="G30" i="18"/>
  <c r="Z13" i="18"/>
  <c r="G21" i="18"/>
  <c r="G13" i="18"/>
  <c r="I13" i="18"/>
  <c r="G6" i="18"/>
  <c r="Q134" i="18"/>
  <c r="Y31" i="18"/>
  <c r="Y30" i="18"/>
  <c r="Y29" i="18"/>
  <c r="Y28" i="18"/>
  <c r="J141" i="18"/>
  <c r="J134" i="18"/>
  <c r="J125" i="18"/>
  <c r="J94" i="18"/>
  <c r="J56" i="18"/>
  <c r="J46" i="18"/>
  <c r="J29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5" i="18"/>
  <c r="I75" i="18"/>
  <c r="F15" i="3"/>
  <c r="I84" i="18"/>
  <c r="F16" i="3"/>
  <c r="O1" i="2"/>
  <c r="N1" i="2"/>
  <c r="G25" i="3"/>
  <c r="D4" i="5"/>
  <c r="F13" i="5"/>
  <c r="E46" i="5"/>
  <c r="E47" i="5"/>
  <c r="E21" i="5"/>
  <c r="I125" i="18"/>
  <c r="X21" i="18"/>
  <c r="U23" i="18" s="1"/>
  <c r="W57" i="18"/>
  <c r="Q67" i="18"/>
  <c r="Q65" i="18"/>
  <c r="Q68" i="18"/>
  <c r="Q69" i="18"/>
  <c r="Q70" i="18"/>
  <c r="U26" i="18"/>
  <c r="I141" i="18"/>
  <c r="F22" i="3"/>
  <c r="K22" i="2"/>
  <c r="I31" i="2"/>
  <c r="U15" i="18"/>
  <c r="I6" i="18"/>
  <c r="I21" i="18"/>
  <c r="I29" i="18"/>
  <c r="F12" i="3"/>
  <c r="I134" i="18"/>
  <c r="F21" i="3"/>
  <c r="F19" i="3"/>
  <c r="F10" i="3"/>
  <c r="I94" i="18"/>
  <c r="Z15" i="18"/>
  <c r="J2" i="18"/>
  <c r="J4" i="18"/>
  <c r="F20" i="3"/>
  <c r="U14" i="18"/>
  <c r="H10" i="3"/>
  <c r="U17" i="18"/>
  <c r="I56" i="18"/>
  <c r="U16" i="18"/>
  <c r="U19" i="18"/>
  <c r="U18" i="18"/>
  <c r="I108" i="18"/>
  <c r="N14" i="2"/>
  <c r="J23" i="3"/>
  <c r="F18" i="5"/>
  <c r="F15" i="5"/>
  <c r="Q6" i="18"/>
  <c r="X6" i="18"/>
  <c r="F14" i="5"/>
  <c r="F17" i="5"/>
  <c r="F16" i="5"/>
  <c r="F19" i="5"/>
  <c r="C3" i="6"/>
  <c r="H15" i="3"/>
  <c r="J15" i="3"/>
  <c r="Q41" i="18"/>
  <c r="Q35" i="18"/>
  <c r="Q40" i="18"/>
  <c r="Q33" i="18"/>
  <c r="Q38" i="18"/>
  <c r="Q39" i="18"/>
  <c r="Q36" i="18"/>
  <c r="Q34" i="18"/>
  <c r="Q63" i="18"/>
  <c r="Q64" i="18"/>
  <c r="Q62" i="18"/>
  <c r="U54" i="18"/>
  <c r="Q113" i="18"/>
  <c r="Q115" i="18"/>
  <c r="Q114" i="18"/>
  <c r="X134" i="18"/>
  <c r="F13" i="3"/>
  <c r="H11" i="3"/>
  <c r="J11" i="3" s="1"/>
  <c r="U129" i="18"/>
  <c r="H13" i="3"/>
  <c r="H16" i="3"/>
  <c r="J16" i="3"/>
  <c r="U27" i="18"/>
  <c r="Z22" i="18"/>
  <c r="Z23" i="18"/>
  <c r="Z24" i="18"/>
  <c r="K31" i="2"/>
  <c r="V13" i="18"/>
  <c r="X141" i="18"/>
  <c r="F17" i="3"/>
  <c r="F14" i="3"/>
  <c r="J10" i="3"/>
  <c r="F11" i="3"/>
  <c r="I2" i="18"/>
  <c r="F9" i="3"/>
  <c r="F18" i="3"/>
  <c r="N15" i="2"/>
  <c r="J13" i="3"/>
  <c r="F21" i="5"/>
  <c r="F4" i="5"/>
  <c r="C9" i="6"/>
  <c r="U11" i="18"/>
  <c r="H9" i="3"/>
  <c r="X56" i="18"/>
  <c r="H21" i="3"/>
  <c r="J21" i="3"/>
  <c r="X29" i="18"/>
  <c r="X108" i="18"/>
  <c r="U109" i="18" s="1"/>
  <c r="V84" i="18"/>
  <c r="V46" i="18"/>
  <c r="O95" i="18"/>
  <c r="Q99" i="18"/>
  <c r="Z40" i="18"/>
  <c r="K23" i="2"/>
  <c r="I21" i="2"/>
  <c r="I37" i="2"/>
  <c r="U146" i="18"/>
  <c r="U147" i="18"/>
  <c r="H22" i="3"/>
  <c r="J22" i="3"/>
  <c r="U150" i="18"/>
  <c r="U151" i="18"/>
  <c r="U148" i="18"/>
  <c r="U145" i="18"/>
  <c r="U152" i="18"/>
  <c r="U149" i="18"/>
  <c r="N25" i="2"/>
  <c r="N24" i="2"/>
  <c r="N26" i="2"/>
  <c r="F5" i="3"/>
  <c r="D5" i="5"/>
  <c r="D6" i="5"/>
  <c r="D7" i="5"/>
  <c r="J9" i="3"/>
  <c r="F47" i="5"/>
  <c r="F45" i="5"/>
  <c r="T13" i="2"/>
  <c r="F44" i="5"/>
  <c r="H18" i="3"/>
  <c r="J18" i="3" s="1"/>
  <c r="V134" i="18"/>
  <c r="H14" i="3"/>
  <c r="J14" i="3"/>
  <c r="U60" i="18"/>
  <c r="U61" i="18"/>
  <c r="U71" i="18"/>
  <c r="U59" i="18"/>
  <c r="U72" i="18"/>
  <c r="U56" i="18"/>
  <c r="U73" i="18"/>
  <c r="H12" i="3"/>
  <c r="J12" i="3" s="1"/>
  <c r="U43" i="18"/>
  <c r="V6" i="18"/>
  <c r="F25" i="3"/>
  <c r="K21" i="2"/>
  <c r="N23" i="2"/>
  <c r="F41" i="5"/>
  <c r="Z41" i="18"/>
  <c r="V141" i="18"/>
  <c r="Q97" i="18"/>
  <c r="Q101" i="18"/>
  <c r="Q96" i="18"/>
  <c r="Q95" i="18"/>
  <c r="Q98" i="18"/>
  <c r="Q100" i="18"/>
  <c r="Q102" i="18"/>
  <c r="Q103" i="18"/>
  <c r="K37" i="2"/>
  <c r="I35" i="2"/>
  <c r="C5" i="6"/>
  <c r="F42" i="5"/>
  <c r="F43" i="5"/>
  <c r="N16" i="2"/>
  <c r="E11" i="2"/>
  <c r="V56" i="18"/>
  <c r="J21" i="2"/>
  <c r="X94" i="18"/>
  <c r="F46" i="5"/>
  <c r="I33" i="2"/>
  <c r="K35" i="2"/>
  <c r="J35" i="2"/>
  <c r="N36" i="2"/>
  <c r="G19" i="2"/>
  <c r="E22" i="2"/>
  <c r="E18" i="2"/>
  <c r="E30" i="2"/>
  <c r="G11" i="2"/>
  <c r="F11" i="2"/>
  <c r="U13" i="2"/>
  <c r="V13" i="2"/>
  <c r="W95" i="18"/>
  <c r="U104" i="18"/>
  <c r="U94" i="18"/>
  <c r="H17" i="3"/>
  <c r="U105" i="18"/>
  <c r="U106" i="18"/>
  <c r="K33" i="2"/>
  <c r="K28" i="2"/>
  <c r="I40" i="2"/>
  <c r="I28" i="2"/>
  <c r="N19" i="2"/>
  <c r="N18" i="2" s="1"/>
  <c r="G30" i="2"/>
  <c r="E31" i="2"/>
  <c r="G31" i="2"/>
  <c r="E37" i="2"/>
  <c r="G37" i="2"/>
  <c r="H21" i="18"/>
  <c r="G22" i="2"/>
  <c r="E23" i="2"/>
  <c r="G23" i="2"/>
  <c r="H13" i="18"/>
  <c r="T14" i="2"/>
  <c r="E32" i="2"/>
  <c r="H14" i="5"/>
  <c r="G18" i="2"/>
  <c r="F18" i="2"/>
  <c r="W62" i="18"/>
  <c r="W33" i="18"/>
  <c r="W112" i="18"/>
  <c r="W113" i="18"/>
  <c r="W34" i="18"/>
  <c r="W63" i="18"/>
  <c r="J17" i="3"/>
  <c r="V94" i="18"/>
  <c r="J28" i="2"/>
  <c r="E33" i="2"/>
  <c r="G33" i="2"/>
  <c r="N32" i="2"/>
  <c r="N30" i="2"/>
  <c r="N31" i="2"/>
  <c r="G32" i="2"/>
  <c r="H29" i="18"/>
  <c r="H46" i="18"/>
  <c r="H47" i="18"/>
  <c r="H15" i="5"/>
  <c r="G21" i="2"/>
  <c r="E35" i="2"/>
  <c r="V14" i="2"/>
  <c r="K40" i="2"/>
  <c r="H94" i="18"/>
  <c r="H110" i="18"/>
  <c r="N22" i="2"/>
  <c r="E21" i="2"/>
  <c r="F21" i="2"/>
  <c r="G35" i="2"/>
  <c r="F35" i="2"/>
  <c r="M18" i="2"/>
  <c r="U14" i="2"/>
  <c r="I41" i="2"/>
  <c r="K45" i="2"/>
  <c r="H108" i="18"/>
  <c r="H109" i="18"/>
  <c r="H111" i="18"/>
  <c r="G28" i="2"/>
  <c r="E28" i="2"/>
  <c r="T15" i="2"/>
  <c r="I46" i="2"/>
  <c r="K41" i="2"/>
  <c r="E40" i="2"/>
  <c r="H95" i="18"/>
  <c r="H30" i="18"/>
  <c r="F28" i="2"/>
  <c r="T17" i="2"/>
  <c r="U15" i="2"/>
  <c r="V15" i="2"/>
  <c r="G40" i="2"/>
  <c r="E41" i="2"/>
  <c r="G41" i="2"/>
  <c r="E42" i="2"/>
  <c r="G45" i="2"/>
  <c r="E45" i="2"/>
  <c r="I42" i="2"/>
  <c r="I49" i="2"/>
  <c r="K46" i="2"/>
  <c r="K44" i="2"/>
  <c r="I44" i="2"/>
  <c r="N37" i="2"/>
  <c r="N33" i="2"/>
  <c r="W114" i="18"/>
  <c r="W64" i="18"/>
  <c r="W35" i="18"/>
  <c r="G42" i="2"/>
  <c r="J44" i="2"/>
  <c r="K49" i="2"/>
  <c r="K42" i="2"/>
  <c r="K39" i="2"/>
  <c r="I39" i="2"/>
  <c r="E46" i="2"/>
  <c r="E49" i="2"/>
  <c r="T16" i="2"/>
  <c r="U17" i="2"/>
  <c r="V17" i="2"/>
  <c r="T64" i="18"/>
  <c r="T114" i="18"/>
  <c r="T35" i="18"/>
  <c r="J9" i="2"/>
  <c r="J39" i="2"/>
  <c r="G46" i="2"/>
  <c r="G49" i="2"/>
  <c r="E44" i="2"/>
  <c r="K50" i="2"/>
  <c r="N50" i="2" s="1"/>
  <c r="E51" i="2"/>
  <c r="G51" i="2"/>
  <c r="E50" i="2"/>
  <c r="G50" i="2"/>
  <c r="G44" i="2"/>
  <c r="F44" i="2"/>
  <c r="U16" i="2"/>
  <c r="V16" i="2"/>
  <c r="N40" i="2"/>
  <c r="W115" i="18"/>
  <c r="W36" i="18"/>
  <c r="W65" i="18"/>
  <c r="N41" i="2"/>
  <c r="N42" i="2"/>
  <c r="G48" i="2"/>
  <c r="H17" i="5"/>
  <c r="E48" i="2"/>
  <c r="T65" i="18"/>
  <c r="T36" i="18"/>
  <c r="T115" i="18"/>
  <c r="N45" i="2"/>
  <c r="N44" i="2" s="1"/>
  <c r="H141" i="18"/>
  <c r="H134" i="18"/>
  <c r="K2" i="2"/>
  <c r="K3" i="2"/>
  <c r="K4" i="2"/>
  <c r="T18" i="2"/>
  <c r="U18" i="2"/>
  <c r="V18" i="2"/>
  <c r="P16" i="5"/>
  <c r="W38" i="18"/>
  <c r="T38" i="18"/>
  <c r="W67" i="18"/>
  <c r="N46" i="2"/>
  <c r="T117" i="18"/>
  <c r="T67" i="18"/>
  <c r="T19" i="2"/>
  <c r="U19" i="2"/>
  <c r="V19" i="2"/>
  <c r="T68" i="18"/>
  <c r="T39" i="18"/>
  <c r="T118" i="18"/>
  <c r="T69" i="18"/>
  <c r="T40" i="18"/>
  <c r="T119" i="18"/>
  <c r="T41" i="18"/>
  <c r="T70" i="18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D9" i="6" s="1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 s="1"/>
  <c r="F48" i="2"/>
  <c r="E39" i="2"/>
  <c r="G39" i="2"/>
  <c r="F9" i="2"/>
  <c r="H125" i="18"/>
  <c r="H126" i="18"/>
  <c r="F39" i="2"/>
  <c r="H16" i="5"/>
  <c r="H127" i="18"/>
  <c r="HS5" i="6"/>
  <c r="D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Y5" i="6"/>
  <c r="GH5" i="6"/>
  <c r="FO5" i="6"/>
  <c r="FM5" i="6"/>
  <c r="FB5" i="6"/>
  <c r="BQ5" i="6"/>
  <c r="FI5" i="6"/>
  <c r="IS5" i="6"/>
  <c r="FE5" i="6"/>
  <c r="HQ5" i="6"/>
  <c r="IR5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Q4" i="6"/>
  <c r="AP7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I4" i="6"/>
  <c r="CH7" i="6"/>
  <c r="CI7" i="6"/>
  <c r="CJ4" i="6"/>
  <c r="CJ7" i="6"/>
  <c r="CK4" i="6"/>
  <c r="CL4" i="6"/>
  <c r="CK7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Z4" i="6"/>
  <c r="DY7" i="6"/>
  <c r="DZ7" i="6"/>
  <c r="EA4" i="6"/>
  <c r="EB4" i="6"/>
  <c r="EA7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V4" i="6"/>
  <c r="EU7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N4" i="6"/>
  <c r="FM7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R4" i="6"/>
  <c r="GQ7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X4" i="6"/>
  <c r="IW7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U110" i="18" l="1"/>
  <c r="U111" i="18"/>
  <c r="U122" i="18"/>
  <c r="W102" i="18"/>
  <c r="W103" i="18" s="1"/>
  <c r="N28" i="2"/>
  <c r="X4" i="5"/>
  <c r="U42" i="18"/>
  <c r="U44" i="18"/>
  <c r="U32" i="18"/>
  <c r="W41" i="18"/>
  <c r="W119" i="18"/>
  <c r="W69" i="18"/>
  <c r="X2" i="18"/>
  <c r="V125" i="18"/>
  <c r="H19" i="3"/>
  <c r="J19" i="3" s="1"/>
  <c r="J5" i="3" s="1"/>
  <c r="V21" i="18"/>
  <c r="BX17" i="6"/>
  <c r="IM17" i="6"/>
  <c r="IK17" i="6"/>
  <c r="AK17" i="6"/>
  <c r="IX17" i="6"/>
  <c r="AM17" i="6"/>
  <c r="DX17" i="6"/>
  <c r="GF17" i="6"/>
  <c r="EO17" i="6"/>
  <c r="JJ17" i="6"/>
  <c r="GU17" i="6"/>
  <c r="P17" i="6"/>
  <c r="HH17" i="6"/>
  <c r="FD17" i="6"/>
  <c r="DV17" i="6"/>
  <c r="HZ17" i="6"/>
  <c r="JH17" i="6"/>
  <c r="HY17" i="6"/>
  <c r="IS17" i="6"/>
  <c r="GO17" i="6"/>
  <c r="DH17" i="6"/>
  <c r="T17" i="6"/>
  <c r="ES17" i="6"/>
  <c r="FG17" i="6"/>
  <c r="BR17" i="6"/>
  <c r="AU17" i="6"/>
  <c r="JF17" i="6"/>
  <c r="DI17" i="6"/>
  <c r="IE17" i="6"/>
  <c r="FH17" i="6"/>
  <c r="HS17" i="6"/>
  <c r="JQ17" i="6"/>
  <c r="DG17" i="6"/>
  <c r="AG17" i="6"/>
  <c r="EV17" i="6"/>
  <c r="CG17" i="6"/>
  <c r="AB17" i="6"/>
  <c r="KB17" i="6"/>
  <c r="AC17" i="6"/>
  <c r="DC17" i="6"/>
  <c r="DS17" i="6"/>
  <c r="HA17" i="6"/>
  <c r="EX17" i="6"/>
  <c r="IR17" i="6"/>
  <c r="GZ17" i="6"/>
  <c r="DQ17" i="6"/>
  <c r="GH17" i="6"/>
  <c r="CY17" i="6"/>
  <c r="HF17" i="6"/>
  <c r="AJ17" i="6"/>
  <c r="T4" i="5"/>
  <c r="CT17" i="6"/>
  <c r="BD17" i="6"/>
  <c r="BA17" i="6"/>
  <c r="J17" i="6"/>
  <c r="BC17" i="6"/>
  <c r="AO17" i="6"/>
  <c r="DT17" i="6"/>
  <c r="EP17" i="6"/>
  <c r="IN17" i="6"/>
  <c r="CA17" i="6"/>
  <c r="V17" i="6"/>
  <c r="DO17" i="6"/>
  <c r="GB17" i="6"/>
  <c r="ER17" i="6"/>
  <c r="AV17" i="6"/>
  <c r="AD17" i="6"/>
  <c r="IJ17" i="6"/>
  <c r="IG17" i="6"/>
  <c r="GE17" i="6"/>
  <c r="HV17" i="6"/>
  <c r="AS17" i="6"/>
  <c r="JX17" i="6"/>
  <c r="GT17" i="6"/>
  <c r="HK17" i="6"/>
  <c r="FJ17" i="6"/>
  <c r="FZ17" i="6"/>
  <c r="HD17" i="6"/>
  <c r="IU17" i="6"/>
  <c r="EY17" i="6"/>
  <c r="BT17" i="6"/>
  <c r="CQ17" i="6"/>
  <c r="HN17" i="6"/>
  <c r="AI17" i="6"/>
  <c r="JZ17" i="6"/>
  <c r="GJ17" i="6"/>
  <c r="FS17" i="6"/>
  <c r="IC17" i="6"/>
  <c r="X17" i="6"/>
  <c r="H17" i="6"/>
  <c r="JE17" i="6"/>
  <c r="GW17" i="6"/>
  <c r="IZ17" i="6"/>
  <c r="JB17" i="6"/>
  <c r="EW17" i="6"/>
  <c r="W4" i="5"/>
  <c r="O17" i="6"/>
  <c r="IH17" i="6"/>
  <c r="CV17" i="6"/>
  <c r="CX17" i="6"/>
  <c r="FN17" i="6"/>
  <c r="CZ17" i="6"/>
  <c r="U17" i="6"/>
  <c r="IT17" i="6"/>
  <c r="CE17" i="6"/>
  <c r="II17" i="6"/>
  <c r="FF17" i="6"/>
  <c r="JI17" i="6"/>
  <c r="AT17" i="6"/>
  <c r="KC17" i="6"/>
  <c r="BN17" i="6"/>
  <c r="HT17" i="6"/>
  <c r="BQ17" i="6"/>
  <c r="BG17" i="6"/>
  <c r="S17" i="6"/>
  <c r="IW17" i="6"/>
  <c r="AF17" i="6"/>
  <c r="DB17" i="6"/>
  <c r="CI17" i="6"/>
  <c r="HR17" i="6"/>
  <c r="GA17" i="6"/>
  <c r="JL17" i="6"/>
  <c r="BF17" i="6"/>
  <c r="DD17" i="6"/>
  <c r="CD17" i="6"/>
  <c r="EI17" i="6"/>
  <c r="GM17" i="6"/>
  <c r="CL17" i="6"/>
  <c r="EL17" i="6"/>
  <c r="HW17" i="6"/>
  <c r="DE17" i="6"/>
  <c r="DW17" i="6"/>
  <c r="IV17" i="6"/>
  <c r="EF17" i="6"/>
  <c r="BK17" i="6"/>
  <c r="IA17" i="6"/>
  <c r="HE17" i="6"/>
  <c r="FI17" i="6"/>
  <c r="DY17" i="6"/>
  <c r="EE17" i="6"/>
  <c r="W17" i="6"/>
  <c r="DZ17" i="6"/>
  <c r="CM17" i="6"/>
  <c r="AX17" i="6"/>
  <c r="JG17" i="6"/>
  <c r="GP17" i="6"/>
  <c r="CF17" i="6"/>
  <c r="BE17" i="6"/>
  <c r="FX17" i="6"/>
  <c r="EJ17" i="6"/>
  <c r="JY17" i="6"/>
  <c r="GN17" i="6"/>
  <c r="ID17" i="6"/>
  <c r="JT17" i="6"/>
  <c r="GD17" i="6"/>
  <c r="GL17" i="6"/>
  <c r="ED17" i="6"/>
  <c r="GR17" i="6"/>
  <c r="FA17" i="6"/>
  <c r="IB17" i="6"/>
  <c r="FQ17" i="6"/>
  <c r="FY17" i="6"/>
  <c r="GY17" i="6"/>
  <c r="FV17" i="6"/>
  <c r="JK17" i="6"/>
  <c r="AY17" i="6"/>
  <c r="HO17" i="6"/>
  <c r="JR17" i="6"/>
  <c r="GX17" i="6"/>
  <c r="HL17" i="6"/>
  <c r="CU17" i="6"/>
  <c r="Z17" i="6"/>
  <c r="IO17" i="6"/>
  <c r="IL17" i="6"/>
  <c r="M17" i="6"/>
  <c r="JC17" i="6"/>
  <c r="FR17" i="6"/>
  <c r="DU17" i="6"/>
  <c r="EH17" i="6"/>
  <c r="DK17" i="6"/>
  <c r="GS17" i="6"/>
  <c r="HI17" i="6"/>
  <c r="FU17" i="6"/>
  <c r="U4" i="5"/>
  <c r="CN17" i="6"/>
  <c r="EA17" i="6"/>
  <c r="CR17" i="6"/>
  <c r="AA17" i="6"/>
  <c r="DM17" i="6"/>
  <c r="Y17" i="6"/>
  <c r="CW17" i="6"/>
  <c r="AP17" i="6"/>
  <c r="CP17" i="6"/>
  <c r="DA17" i="6"/>
  <c r="GC17" i="6"/>
  <c r="CS17" i="6"/>
  <c r="AZ17" i="6"/>
  <c r="KD17" i="6"/>
  <c r="K17" i="6"/>
  <c r="EB17" i="6"/>
  <c r="GK17" i="6"/>
  <c r="Y4" i="5"/>
  <c r="EC17" i="6"/>
  <c r="BH17" i="6"/>
  <c r="DR17" i="6"/>
  <c r="DL17" i="6"/>
  <c r="FT17" i="6"/>
  <c r="KF17" i="6"/>
  <c r="L17" i="6"/>
  <c r="IY17" i="6"/>
  <c r="GG17" i="6"/>
  <c r="ET17" i="6"/>
  <c r="IQ17" i="6"/>
  <c r="BZ17" i="6"/>
  <c r="BJ17" i="6"/>
  <c r="DF17" i="6"/>
  <c r="EG17" i="6"/>
  <c r="BV17" i="6"/>
  <c r="FP17" i="6"/>
  <c r="Q17" i="6"/>
  <c r="JV17" i="6"/>
  <c r="DP17" i="6"/>
  <c r="HU17" i="6"/>
  <c r="DJ17" i="6"/>
  <c r="JP17" i="6"/>
  <c r="JO17" i="6"/>
  <c r="FK17" i="6"/>
  <c r="R17" i="6"/>
  <c r="CO17" i="6"/>
  <c r="EQ17" i="6"/>
  <c r="BL17" i="6"/>
  <c r="BS17" i="6"/>
  <c r="JU17" i="6"/>
  <c r="AH17" i="6"/>
  <c r="EZ17" i="6"/>
  <c r="CH17" i="6"/>
  <c r="FE17" i="6"/>
  <c r="BY17" i="6"/>
  <c r="FC17" i="6"/>
  <c r="EN17" i="6"/>
  <c r="EU17" i="6"/>
  <c r="FO17" i="6"/>
  <c r="BO17" i="6"/>
  <c r="HG17" i="6"/>
  <c r="HQ17" i="6"/>
  <c r="I17" i="6"/>
  <c r="BI17" i="6"/>
  <c r="BM17" i="6"/>
  <c r="FL17" i="6"/>
  <c r="JN17" i="6"/>
  <c r="HJ17" i="6"/>
  <c r="JW17" i="6"/>
  <c r="GQ17" i="6"/>
  <c r="DN17" i="6"/>
  <c r="FB17" i="6"/>
  <c r="F17" i="6"/>
  <c r="F18" i="6" s="1"/>
  <c r="BP17" i="6"/>
  <c r="BU17" i="6"/>
  <c r="BW17" i="6"/>
  <c r="AE17" i="6"/>
  <c r="BB17" i="6"/>
  <c r="HC17" i="6"/>
  <c r="AR17" i="6"/>
  <c r="CK17" i="6"/>
  <c r="GI17" i="6"/>
  <c r="AN17" i="6"/>
  <c r="AW17" i="6"/>
  <c r="HX17" i="6"/>
  <c r="HB17" i="6"/>
  <c r="N17" i="6"/>
  <c r="AL17" i="6"/>
  <c r="CB17" i="6"/>
  <c r="HP17" i="6"/>
  <c r="EM17" i="6"/>
  <c r="GV17" i="6"/>
  <c r="KE17" i="6"/>
  <c r="G17" i="6"/>
  <c r="EK17" i="6"/>
  <c r="FW17" i="6"/>
  <c r="JA17" i="6"/>
  <c r="AQ17" i="6"/>
  <c r="CC17" i="6"/>
  <c r="IP17" i="6"/>
  <c r="CJ17" i="6"/>
  <c r="JS17" i="6"/>
  <c r="IF17" i="6"/>
  <c r="JM17" i="6"/>
  <c r="HM17" i="6"/>
  <c r="JD17" i="6"/>
  <c r="FM17" i="6"/>
  <c r="KA17" i="6"/>
  <c r="N49" i="2"/>
  <c r="I51" i="2"/>
  <c r="N39" i="2"/>
  <c r="H10" i="6"/>
  <c r="N35" i="2"/>
  <c r="N11" i="2"/>
  <c r="N21" i="2"/>
  <c r="V108" i="18" l="1"/>
  <c r="W70" i="18"/>
  <c r="W121" i="18"/>
  <c r="W68" i="18"/>
  <c r="W120" i="18"/>
  <c r="W40" i="18"/>
  <c r="W39" i="18"/>
  <c r="AP11" i="6" s="1"/>
  <c r="W118" i="18"/>
  <c r="CE11" i="6" s="1"/>
  <c r="V29" i="18"/>
  <c r="V4" i="5"/>
  <c r="IC11" i="6"/>
  <c r="IK11" i="6"/>
  <c r="ES11" i="6"/>
  <c r="CG11" i="6"/>
  <c r="JO11" i="6"/>
  <c r="FF11" i="6"/>
  <c r="JY11" i="6"/>
  <c r="AD11" i="6"/>
  <c r="JE11" i="6"/>
  <c r="AE11" i="6"/>
  <c r="FV11" i="6"/>
  <c r="GF11" i="6"/>
  <c r="HA11" i="6"/>
  <c r="DH11" i="6"/>
  <c r="AW11" i="6"/>
  <c r="IP11" i="6"/>
  <c r="HL11" i="6"/>
  <c r="DR11" i="6"/>
  <c r="JP11" i="6"/>
  <c r="Y11" i="6"/>
  <c r="FR11" i="6"/>
  <c r="BP11" i="6"/>
  <c r="CC11" i="6"/>
  <c r="DO11" i="6"/>
  <c r="FA11" i="6"/>
  <c r="IJ11" i="6"/>
  <c r="GE11" i="6"/>
  <c r="FJ11" i="6"/>
  <c r="JB11" i="6"/>
  <c r="HK11" i="6"/>
  <c r="FX11" i="6"/>
  <c r="IX11" i="6"/>
  <c r="GM11" i="6"/>
  <c r="CL11" i="6"/>
  <c r="BR11" i="6"/>
  <c r="IG11" i="6"/>
  <c r="HW11" i="6"/>
  <c r="GD11" i="6"/>
  <c r="HC11" i="6"/>
  <c r="DT11" i="6"/>
  <c r="CS11" i="6"/>
  <c r="FB11" i="6"/>
  <c r="CR11" i="6"/>
  <c r="BJ11" i="6"/>
  <c r="BH11" i="6"/>
  <c r="EX11" i="6"/>
  <c r="H11" i="6"/>
  <c r="CY11" i="6"/>
  <c r="JH11" i="6"/>
  <c r="O11" i="6"/>
  <c r="DN11" i="6"/>
  <c r="GY11" i="6"/>
  <c r="EO11" i="6"/>
  <c r="BS11" i="6"/>
  <c r="HD11" i="6"/>
  <c r="J11" i="6"/>
  <c r="HS11" i="6"/>
  <c r="EF11" i="6"/>
  <c r="JU11" i="6"/>
  <c r="GQ11" i="6"/>
  <c r="GH11" i="6"/>
  <c r="ID11" i="6"/>
  <c r="AH11" i="6"/>
  <c r="GB11" i="6"/>
  <c r="EA11" i="6"/>
  <c r="IO11" i="6"/>
  <c r="FI11" i="6"/>
  <c r="CF11" i="6"/>
  <c r="AU11" i="6"/>
  <c r="JF11" i="6"/>
  <c r="CT11" i="6"/>
  <c r="AJ11" i="6"/>
  <c r="EI11" i="6"/>
  <c r="JM11" i="6"/>
  <c r="IM11" i="6"/>
  <c r="JI11" i="6"/>
  <c r="BQ11" i="6"/>
  <c r="M11" i="6"/>
  <c r="JZ11" i="6"/>
  <c r="EK11" i="6"/>
  <c r="HM11" i="6"/>
  <c r="FT11" i="6"/>
  <c r="GW11" i="6"/>
  <c r="EQ11" i="6"/>
  <c r="HB11" i="6"/>
  <c r="DK11" i="6"/>
  <c r="CK11" i="6"/>
  <c r="GS11" i="6"/>
  <c r="GL11" i="6"/>
  <c r="DU11" i="6"/>
  <c r="HV11" i="6"/>
  <c r="DL11" i="6"/>
  <c r="HG11" i="6"/>
  <c r="IF11" i="6"/>
  <c r="FD11" i="6"/>
  <c r="AN11" i="6"/>
  <c r="JA11" i="6"/>
  <c r="JK11" i="6"/>
  <c r="IW11" i="6"/>
  <c r="W11" i="6"/>
  <c r="HR11" i="6"/>
  <c r="FG11" i="6"/>
  <c r="AZ11" i="6"/>
  <c r="FY11" i="6"/>
  <c r="FC11" i="6"/>
  <c r="II11" i="6"/>
  <c r="DJ11" i="6"/>
  <c r="X11" i="6"/>
  <c r="AS11" i="6"/>
  <c r="BG11" i="6"/>
  <c r="FM11" i="6"/>
  <c r="FQ11" i="6"/>
  <c r="U11" i="6"/>
  <c r="EY11" i="6"/>
  <c r="IS11" i="6"/>
  <c r="CI11" i="6"/>
  <c r="ER11" i="6"/>
  <c r="GZ11" i="6"/>
  <c r="F11" i="6"/>
  <c r="F12" i="6" s="1"/>
  <c r="F14" i="6" s="1"/>
  <c r="FO11" i="6"/>
  <c r="K11" i="6"/>
  <c r="IU11" i="6"/>
  <c r="Z11" i="6"/>
  <c r="GI11" i="6"/>
  <c r="HF11" i="6"/>
  <c r="GA11" i="6"/>
  <c r="CX11" i="6"/>
  <c r="JJ11" i="6"/>
  <c r="AQ11" i="6"/>
  <c r="BN11" i="6"/>
  <c r="CN11" i="6"/>
  <c r="DS11" i="6"/>
  <c r="KA11" i="6"/>
  <c r="G11" i="6"/>
  <c r="BO11" i="6"/>
  <c r="IT11" i="6"/>
  <c r="BT11" i="6"/>
  <c r="KD11" i="6"/>
  <c r="T11" i="6"/>
  <c r="GK11" i="6"/>
  <c r="AT11" i="6"/>
  <c r="H5" i="3"/>
  <c r="D17" i="6"/>
  <c r="C17" i="6" s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48" i="2"/>
  <c r="T20" i="2" s="1"/>
  <c r="K51" i="2"/>
  <c r="I10" i="6"/>
  <c r="AX11" i="6" l="1"/>
  <c r="EC11" i="6"/>
  <c r="JC11" i="6"/>
  <c r="AY11" i="6"/>
  <c r="BM11" i="6"/>
  <c r="JV11" i="6"/>
  <c r="CM11" i="6"/>
  <c r="Q11" i="6"/>
  <c r="DD11" i="6"/>
  <c r="DZ11" i="6"/>
  <c r="BW11" i="6"/>
  <c r="KC11" i="6"/>
  <c r="EM11" i="6"/>
  <c r="GU11" i="6"/>
  <c r="IE11" i="6"/>
  <c r="CB11" i="6"/>
  <c r="DV11" i="6"/>
  <c r="EB11" i="6"/>
  <c r="DE11" i="6"/>
  <c r="AA11" i="6"/>
  <c r="JS11" i="6"/>
  <c r="FS11" i="6"/>
  <c r="DI11" i="6"/>
  <c r="HU11" i="6"/>
  <c r="BK11" i="6"/>
  <c r="HX11" i="6"/>
  <c r="IB11" i="6"/>
  <c r="CW11" i="6"/>
  <c r="BE11" i="6"/>
  <c r="EJ11" i="6"/>
  <c r="KB11" i="6"/>
  <c r="AM11" i="6"/>
  <c r="AC11" i="6"/>
  <c r="HN11" i="6"/>
  <c r="FE11" i="6"/>
  <c r="DF11" i="6"/>
  <c r="CP11" i="6"/>
  <c r="EV11" i="6"/>
  <c r="AR11" i="6"/>
  <c r="HE11" i="6"/>
  <c r="BF11" i="6"/>
  <c r="HT11" i="6"/>
  <c r="FZ11" i="6"/>
  <c r="HO11" i="6"/>
  <c r="JX11" i="6"/>
  <c r="L11" i="6"/>
  <c r="JD11" i="6"/>
  <c r="GC11" i="6"/>
  <c r="EL11" i="6"/>
  <c r="CQ11" i="6"/>
  <c r="S11" i="6"/>
  <c r="BZ11" i="6"/>
  <c r="IY11" i="6"/>
  <c r="IL11" i="6"/>
  <c r="BY11" i="6"/>
  <c r="ET11" i="6"/>
  <c r="GX11" i="6"/>
  <c r="HI11" i="6"/>
  <c r="HZ11" i="6"/>
  <c r="EP11" i="6"/>
  <c r="EN11" i="6"/>
  <c r="BA11" i="6"/>
  <c r="BL11" i="6"/>
  <c r="IZ11" i="6"/>
  <c r="DP11" i="6"/>
  <c r="HJ11" i="6"/>
  <c r="I11" i="6"/>
  <c r="CJ11" i="6"/>
  <c r="DY11" i="6"/>
  <c r="JR11" i="6"/>
  <c r="GN11" i="6"/>
  <c r="CV11" i="6"/>
  <c r="EW11" i="6"/>
  <c r="GR11" i="6"/>
  <c r="BX11" i="6"/>
  <c r="AV11" i="6"/>
  <c r="GJ11" i="6"/>
  <c r="BI11" i="6"/>
  <c r="CD11" i="6"/>
  <c r="FW11" i="6"/>
  <c r="GT11" i="6"/>
  <c r="FL11" i="6"/>
  <c r="IR11" i="6"/>
  <c r="IV11" i="6"/>
  <c r="EZ11" i="6"/>
  <c r="JG11" i="6"/>
  <c r="DG11" i="6"/>
  <c r="IQ11" i="6"/>
  <c r="P11" i="6"/>
  <c r="FK11" i="6"/>
  <c r="DW11" i="6"/>
  <c r="IH11" i="6"/>
  <c r="BD11" i="6"/>
  <c r="AF11" i="6"/>
  <c r="EH11" i="6"/>
  <c r="DB11" i="6"/>
  <c r="GV11" i="6"/>
  <c r="FU11" i="6"/>
  <c r="BC11" i="6"/>
  <c r="EU11" i="6"/>
  <c r="N11" i="6"/>
  <c r="JT11" i="6"/>
  <c r="V11" i="6"/>
  <c r="GG11" i="6"/>
  <c r="JL11" i="6"/>
  <c r="HH11" i="6"/>
  <c r="FP11" i="6"/>
  <c r="R11" i="6"/>
  <c r="CZ11" i="6"/>
  <c r="DC11" i="6"/>
  <c r="AI11" i="6"/>
  <c r="JN11" i="6"/>
  <c r="DQ11" i="6"/>
  <c r="AG11" i="6"/>
  <c r="KF11" i="6"/>
  <c r="IN11" i="6"/>
  <c r="CH11" i="6"/>
  <c r="BB11" i="6"/>
  <c r="IA11" i="6"/>
  <c r="KE11" i="6"/>
  <c r="DM11" i="6"/>
  <c r="AB11" i="6"/>
  <c r="BV11" i="6"/>
  <c r="HY11" i="6"/>
  <c r="EE11" i="6"/>
  <c r="BU11" i="6"/>
  <c r="GO11" i="6"/>
  <c r="GP11" i="6"/>
  <c r="DX11" i="6"/>
  <c r="CU11" i="6"/>
  <c r="AL11" i="6"/>
  <c r="EG11" i="6"/>
  <c r="AK11" i="6"/>
  <c r="ED11" i="6"/>
  <c r="JQ11" i="6"/>
  <c r="CO11" i="6"/>
  <c r="HQ11" i="6"/>
  <c r="HP11" i="6"/>
  <c r="DA11" i="6"/>
  <c r="CA11" i="6"/>
  <c r="JW11" i="6"/>
  <c r="AO11" i="6"/>
  <c r="FN11" i="6"/>
  <c r="FH11" i="6"/>
  <c r="G12" i="6"/>
  <c r="G14" i="6" s="1"/>
  <c r="H25" i="3"/>
  <c r="F5" i="5"/>
  <c r="K48" i="2"/>
  <c r="N51" i="2"/>
  <c r="N48" i="2" s="1"/>
  <c r="N9" i="2" s="1"/>
  <c r="D18" i="6"/>
  <c r="C18" i="6" s="1"/>
  <c r="J10" i="6"/>
  <c r="H12" i="6" l="1"/>
  <c r="D11" i="6"/>
  <c r="H14" i="6"/>
  <c r="I12" i="6"/>
  <c r="F6" i="5"/>
  <c r="F7" i="5" s="1"/>
  <c r="C11" i="6"/>
  <c r="V20" i="2"/>
  <c r="J48" i="2"/>
  <c r="U20" i="2" s="1"/>
  <c r="K10" i="6"/>
  <c r="J12" i="6" l="1"/>
  <c r="I14" i="6"/>
  <c r="L10" i="6"/>
  <c r="K12" i="6" l="1"/>
  <c r="J14" i="6"/>
  <c r="M10" i="6"/>
  <c r="L12" i="6" l="1"/>
  <c r="K14" i="6"/>
  <c r="N10" i="6"/>
  <c r="M12" i="6" l="1"/>
  <c r="L14" i="6"/>
  <c r="O10" i="6"/>
  <c r="N12" i="6" l="1"/>
  <c r="M14" i="6"/>
  <c r="P10" i="6"/>
  <c r="O12" i="6" l="1"/>
  <c r="N14" i="6"/>
  <c r="Q10" i="6"/>
  <c r="P12" i="6" l="1"/>
  <c r="O14" i="6"/>
  <c r="R10" i="6"/>
  <c r="Q12" i="6" l="1"/>
  <c r="P14" i="6"/>
  <c r="S10" i="6"/>
  <c r="R12" i="6" l="1"/>
  <c r="Q14" i="6"/>
  <c r="T10" i="6"/>
  <c r="S12" i="6" l="1"/>
  <c r="R14" i="6"/>
  <c r="U10" i="6"/>
  <c r="T12" i="6" l="1"/>
  <c r="S14" i="6"/>
  <c r="V10" i="6"/>
  <c r="U12" i="6" l="1"/>
  <c r="T14" i="6"/>
  <c r="W10" i="6"/>
  <c r="V12" i="6" l="1"/>
  <c r="U14" i="6"/>
  <c r="X10" i="6"/>
  <c r="W12" i="6" l="1"/>
  <c r="V14" i="6"/>
  <c r="Y10" i="6"/>
  <c r="X12" i="6" l="1"/>
  <c r="W14" i="6"/>
  <c r="Z10" i="6"/>
  <c r="Y12" i="6" l="1"/>
  <c r="X14" i="6"/>
  <c r="AA10" i="6"/>
  <c r="Z12" i="6" l="1"/>
  <c r="Y14" i="6"/>
  <c r="AB10" i="6"/>
  <c r="AA12" i="6" l="1"/>
  <c r="Z14" i="6"/>
  <c r="AC10" i="6"/>
  <c r="AB12" i="6" l="1"/>
  <c r="AA14" i="6"/>
  <c r="AD10" i="6"/>
  <c r="AC12" i="6" l="1"/>
  <c r="AB14" i="6"/>
  <c r="AE10" i="6"/>
  <c r="AD12" i="6" l="1"/>
  <c r="AC14" i="6"/>
  <c r="AF10" i="6"/>
  <c r="AE12" i="6" l="1"/>
  <c r="AD14" i="6"/>
  <c r="AG10" i="6"/>
  <c r="AF12" i="6" l="1"/>
  <c r="AE14" i="6"/>
  <c r="AH10" i="6"/>
  <c r="AG12" i="6" l="1"/>
  <c r="AF14" i="6"/>
  <c r="AI10" i="6"/>
  <c r="AH12" i="6" l="1"/>
  <c r="AG14" i="6"/>
  <c r="AJ10" i="6"/>
  <c r="AI12" i="6" l="1"/>
  <c r="AH14" i="6"/>
  <c r="AK10" i="6"/>
  <c r="AJ12" i="6" l="1"/>
  <c r="AI14" i="6"/>
  <c r="AL10" i="6"/>
  <c r="AK12" i="6" l="1"/>
  <c r="AJ14" i="6"/>
  <c r="AM10" i="6"/>
  <c r="AL12" i="6" l="1"/>
  <c r="AK14" i="6"/>
  <c r="AN10" i="6"/>
  <c r="AM12" i="6" l="1"/>
  <c r="AL14" i="6"/>
  <c r="AO10" i="6"/>
  <c r="AN12" i="6" l="1"/>
  <c r="AM14" i="6"/>
  <c r="AP10" i="6"/>
  <c r="AO12" i="6" l="1"/>
  <c r="AN14" i="6"/>
  <c r="AQ10" i="6"/>
  <c r="AP12" i="6" l="1"/>
  <c r="AO14" i="6"/>
  <c r="AR10" i="6"/>
  <c r="AQ12" i="6" l="1"/>
  <c r="AP14" i="6"/>
  <c r="AS10" i="6"/>
  <c r="AR12" i="6" l="1"/>
  <c r="AQ14" i="6"/>
  <c r="AT10" i="6"/>
  <c r="AS12" i="6" l="1"/>
  <c r="AR14" i="6"/>
  <c r="AU10" i="6"/>
  <c r="AT12" i="6" l="1"/>
  <c r="AS14" i="6"/>
  <c r="AV10" i="6"/>
  <c r="AU12" i="6" l="1"/>
  <c r="AT14" i="6"/>
  <c r="AW10" i="6"/>
  <c r="AV12" i="6" l="1"/>
  <c r="AU14" i="6"/>
  <c r="AX10" i="6"/>
  <c r="AW12" i="6" l="1"/>
  <c r="AV14" i="6"/>
  <c r="AY10" i="6"/>
  <c r="AX12" i="6" l="1"/>
  <c r="AW14" i="6"/>
  <c r="AZ10" i="6"/>
  <c r="AY12" i="6" l="1"/>
  <c r="AX14" i="6"/>
  <c r="BA10" i="6"/>
  <c r="AZ12" i="6" l="1"/>
  <c r="AY14" i="6"/>
  <c r="BB10" i="6"/>
  <c r="BA12" i="6" l="1"/>
  <c r="AZ14" i="6"/>
  <c r="BC10" i="6"/>
  <c r="BB12" i="6" l="1"/>
  <c r="BA14" i="6"/>
  <c r="BD10" i="6"/>
  <c r="BC12" i="6" l="1"/>
  <c r="BB14" i="6"/>
  <c r="BE10" i="6"/>
  <c r="BD12" i="6" l="1"/>
  <c r="BC14" i="6"/>
  <c r="BF10" i="6"/>
  <c r="BE12" i="6" l="1"/>
  <c r="BD14" i="6"/>
  <c r="BG10" i="6"/>
  <c r="BF12" i="6" l="1"/>
  <c r="BE14" i="6"/>
  <c r="BH10" i="6"/>
  <c r="BG12" i="6" l="1"/>
  <c r="BF14" i="6"/>
  <c r="BI10" i="6"/>
  <c r="BH12" i="6" l="1"/>
  <c r="BG14" i="6"/>
  <c r="BJ10" i="6"/>
  <c r="BI12" i="6" l="1"/>
  <c r="BH14" i="6"/>
  <c r="BK10" i="6"/>
  <c r="BJ12" i="6" l="1"/>
  <c r="BI14" i="6"/>
  <c r="BL10" i="6"/>
  <c r="BK12" i="6" l="1"/>
  <c r="BJ14" i="6"/>
  <c r="BM10" i="6"/>
  <c r="BL12" i="6" l="1"/>
  <c r="BK14" i="6"/>
  <c r="BN10" i="6"/>
  <c r="BM12" i="6" l="1"/>
  <c r="BL14" i="6"/>
  <c r="BO10" i="6"/>
  <c r="BN12" i="6" l="1"/>
  <c r="BM14" i="6"/>
  <c r="BP10" i="6"/>
  <c r="BO12" i="6" l="1"/>
  <c r="BN14" i="6"/>
  <c r="BQ10" i="6"/>
  <c r="BP12" i="6" l="1"/>
  <c r="BO14" i="6"/>
  <c r="BR10" i="6"/>
  <c r="BQ12" i="6" l="1"/>
  <c r="BP14" i="6"/>
  <c r="BS10" i="6"/>
  <c r="BR12" i="6" l="1"/>
  <c r="BQ14" i="6"/>
  <c r="BT10" i="6"/>
  <c r="BS12" i="6" l="1"/>
  <c r="BR14" i="6"/>
  <c r="BU10" i="6"/>
  <c r="BT12" i="6" l="1"/>
  <c r="BS14" i="6"/>
  <c r="BV10" i="6"/>
  <c r="BU12" i="6" l="1"/>
  <c r="BT14" i="6"/>
  <c r="BW10" i="6"/>
  <c r="BV12" i="6" l="1"/>
  <c r="BU14" i="6"/>
  <c r="BX10" i="6"/>
  <c r="BW12" i="6" l="1"/>
  <c r="BV14" i="6"/>
  <c r="BY10" i="6"/>
  <c r="BX12" i="6" l="1"/>
  <c r="BW14" i="6"/>
  <c r="BZ10" i="6"/>
  <c r="BY12" i="6" l="1"/>
  <c r="BX14" i="6"/>
  <c r="CA10" i="6"/>
  <c r="BZ12" i="6" l="1"/>
  <c r="BY14" i="6"/>
  <c r="CB10" i="6"/>
  <c r="CA12" i="6" l="1"/>
  <c r="BZ14" i="6"/>
  <c r="CC10" i="6"/>
  <c r="CB12" i="6" l="1"/>
  <c r="CA14" i="6"/>
  <c r="CD10" i="6"/>
  <c r="CC12" i="6" l="1"/>
  <c r="CB14" i="6"/>
  <c r="CE10" i="6"/>
  <c r="CD12" i="6" l="1"/>
  <c r="CC14" i="6"/>
  <c r="CF10" i="6"/>
  <c r="CE12" i="6" l="1"/>
  <c r="CD14" i="6"/>
  <c r="CG10" i="6"/>
  <c r="CF12" i="6" l="1"/>
  <c r="CE14" i="6"/>
  <c r="CH10" i="6"/>
  <c r="CG12" i="6" l="1"/>
  <c r="CF14" i="6"/>
  <c r="CI10" i="6"/>
  <c r="CH12" i="6" l="1"/>
  <c r="CG14" i="6"/>
  <c r="CJ10" i="6"/>
  <c r="CI12" i="6" l="1"/>
  <c r="CH14" i="6"/>
  <c r="CK10" i="6"/>
  <c r="CJ12" i="6" l="1"/>
  <c r="CI14" i="6"/>
  <c r="CL10" i="6"/>
  <c r="CK12" i="6" l="1"/>
  <c r="CJ14" i="6"/>
  <c r="CM10" i="6"/>
  <c r="CL12" i="6" l="1"/>
  <c r="CK14" i="6"/>
  <c r="CN10" i="6"/>
  <c r="CM12" i="6" l="1"/>
  <c r="CL14" i="6"/>
  <c r="CO10" i="6"/>
  <c r="CN12" i="6" l="1"/>
  <c r="CM14" i="6"/>
  <c r="CP10" i="6"/>
  <c r="CO12" i="6" l="1"/>
  <c r="CN14" i="6"/>
  <c r="CQ10" i="6"/>
  <c r="CP12" i="6" l="1"/>
  <c r="CO14" i="6"/>
  <c r="CR10" i="6"/>
  <c r="CQ12" i="6" l="1"/>
  <c r="CP14" i="6"/>
  <c r="CS10" i="6"/>
  <c r="CR12" i="6" l="1"/>
  <c r="CQ14" i="6"/>
  <c r="CT10" i="6"/>
  <c r="CS12" i="6" l="1"/>
  <c r="CR14" i="6"/>
  <c r="CU10" i="6"/>
  <c r="CT12" i="6" l="1"/>
  <c r="CS14" i="6"/>
  <c r="CV10" i="6"/>
  <c r="CU12" i="6" l="1"/>
  <c r="CT14" i="6"/>
  <c r="CW10" i="6"/>
  <c r="CV12" i="6" l="1"/>
  <c r="CU14" i="6"/>
  <c r="CX10" i="6"/>
  <c r="CW12" i="6" l="1"/>
  <c r="CV14" i="6"/>
  <c r="CY10" i="6"/>
  <c r="CX12" i="6" l="1"/>
  <c r="CW14" i="6"/>
  <c r="CZ10" i="6"/>
  <c r="CY12" i="6" l="1"/>
  <c r="CX14" i="6"/>
  <c r="DA10" i="6"/>
  <c r="CZ12" i="6" l="1"/>
  <c r="CY14" i="6"/>
  <c r="DB10" i="6"/>
  <c r="DA12" i="6" l="1"/>
  <c r="CZ14" i="6"/>
  <c r="DC10" i="6"/>
  <c r="DB12" i="6" l="1"/>
  <c r="DA14" i="6"/>
  <c r="DD10" i="6"/>
  <c r="DC12" i="6" l="1"/>
  <c r="DB14" i="6"/>
  <c r="DE10" i="6"/>
  <c r="DD12" i="6" l="1"/>
  <c r="DC14" i="6"/>
  <c r="DF10" i="6"/>
  <c r="DE12" i="6" l="1"/>
  <c r="DD14" i="6"/>
  <c r="DG10" i="6"/>
  <c r="DF12" i="6" l="1"/>
  <c r="DE14" i="6"/>
  <c r="DH10" i="6"/>
  <c r="DG12" i="6" l="1"/>
  <c r="DF14" i="6"/>
  <c r="DI10" i="6"/>
  <c r="DH12" i="6" l="1"/>
  <c r="DG14" i="6"/>
  <c r="DJ10" i="6"/>
  <c r="DI12" i="6" l="1"/>
  <c r="DH14" i="6"/>
  <c r="DK10" i="6"/>
  <c r="DJ12" i="6" l="1"/>
  <c r="DI14" i="6"/>
  <c r="DL10" i="6"/>
  <c r="DK12" i="6" l="1"/>
  <c r="DJ14" i="6"/>
  <c r="DM10" i="6"/>
  <c r="DL12" i="6" l="1"/>
  <c r="DK14" i="6"/>
  <c r="DN10" i="6"/>
  <c r="DM12" i="6" l="1"/>
  <c r="DL14" i="6"/>
  <c r="DO10" i="6"/>
  <c r="DN12" i="6" l="1"/>
  <c r="DM14" i="6"/>
  <c r="DP10" i="6"/>
  <c r="DO12" i="6" l="1"/>
  <c r="DN14" i="6"/>
  <c r="DQ10" i="6"/>
  <c r="DP12" i="6" l="1"/>
  <c r="DO14" i="6"/>
  <c r="DR10" i="6"/>
  <c r="DQ12" i="6" l="1"/>
  <c r="DP14" i="6"/>
  <c r="DS10" i="6"/>
  <c r="DR12" i="6" l="1"/>
  <c r="DQ14" i="6"/>
  <c r="DT10" i="6"/>
  <c r="DS12" i="6" l="1"/>
  <c r="DR14" i="6"/>
  <c r="DU10" i="6"/>
  <c r="DT12" i="6" l="1"/>
  <c r="DS14" i="6"/>
  <c r="DV10" i="6"/>
  <c r="DU12" i="6" l="1"/>
  <c r="DT14" i="6"/>
  <c r="DW10" i="6"/>
  <c r="DV12" i="6" l="1"/>
  <c r="DU14" i="6"/>
  <c r="DX10" i="6"/>
  <c r="DW12" i="6" l="1"/>
  <c r="DV14" i="6"/>
  <c r="DY10" i="6"/>
  <c r="DX12" i="6" l="1"/>
  <c r="DW14" i="6"/>
  <c r="DZ10" i="6"/>
  <c r="DY12" i="6" l="1"/>
  <c r="DX14" i="6"/>
  <c r="EA10" i="6"/>
  <c r="DZ12" i="6" l="1"/>
  <c r="DY14" i="6"/>
  <c r="EB10" i="6"/>
  <c r="EA12" i="6" l="1"/>
  <c r="DZ14" i="6"/>
  <c r="EC10" i="6"/>
  <c r="EB12" i="6" l="1"/>
  <c r="EA14" i="6"/>
  <c r="ED10" i="6"/>
  <c r="EC12" i="6" l="1"/>
  <c r="EB14" i="6"/>
  <c r="EE10" i="6"/>
  <c r="ED12" i="6" l="1"/>
  <c r="EC14" i="6"/>
  <c r="EF10" i="6"/>
  <c r="EE12" i="6" l="1"/>
  <c r="ED14" i="6"/>
  <c r="EG10" i="6"/>
  <c r="EF12" i="6" l="1"/>
  <c r="EE14" i="6"/>
  <c r="EH10" i="6"/>
  <c r="EG12" i="6" l="1"/>
  <c r="EF14" i="6"/>
  <c r="EI10" i="6"/>
  <c r="EH12" i="6" l="1"/>
  <c r="EG14" i="6"/>
  <c r="EJ10" i="6"/>
  <c r="EI12" i="6" l="1"/>
  <c r="EH14" i="6"/>
  <c r="EK10" i="6"/>
  <c r="EJ12" i="6" l="1"/>
  <c r="EI14" i="6"/>
  <c r="EL10" i="6"/>
  <c r="EK12" i="6" l="1"/>
  <c r="EJ14" i="6"/>
  <c r="EM10" i="6"/>
  <c r="EL12" i="6" l="1"/>
  <c r="EK14" i="6"/>
  <c r="EN10" i="6"/>
  <c r="EM12" i="6" l="1"/>
  <c r="EL14" i="6"/>
  <c r="EO10" i="6"/>
  <c r="EN12" i="6" l="1"/>
  <c r="EM14" i="6"/>
  <c r="EP10" i="6"/>
  <c r="EO12" i="6" l="1"/>
  <c r="EN14" i="6"/>
  <c r="EQ10" i="6"/>
  <c r="EP12" i="6" l="1"/>
  <c r="EO14" i="6"/>
  <c r="ER10" i="6"/>
  <c r="EQ12" i="6" l="1"/>
  <c r="EP14" i="6"/>
  <c r="ES10" i="6"/>
  <c r="ER12" i="6" l="1"/>
  <c r="EQ14" i="6"/>
  <c r="ET10" i="6"/>
  <c r="ES12" i="6" l="1"/>
  <c r="ER14" i="6"/>
  <c r="EU10" i="6"/>
  <c r="ET12" i="6" l="1"/>
  <c r="ES14" i="6"/>
  <c r="EV10" i="6"/>
  <c r="EU12" i="6" l="1"/>
  <c r="ET14" i="6"/>
  <c r="EW10" i="6"/>
  <c r="EV12" i="6" l="1"/>
  <c r="EU14" i="6"/>
  <c r="EX10" i="6"/>
  <c r="EW12" i="6" l="1"/>
  <c r="EV14" i="6"/>
  <c r="EY10" i="6"/>
  <c r="EX12" i="6" l="1"/>
  <c r="EW14" i="6"/>
  <c r="EZ10" i="6"/>
  <c r="EY12" i="6" l="1"/>
  <c r="EX14" i="6"/>
  <c r="FA10" i="6"/>
  <c r="EZ12" i="6" l="1"/>
  <c r="EY14" i="6"/>
  <c r="FB10" i="6"/>
  <c r="FA12" i="6" l="1"/>
  <c r="EZ14" i="6"/>
  <c r="FC10" i="6"/>
  <c r="FB12" i="6" l="1"/>
  <c r="FA14" i="6"/>
  <c r="FD10" i="6"/>
  <c r="FC12" i="6" l="1"/>
  <c r="FB14" i="6"/>
  <c r="FE10" i="6"/>
  <c r="FD12" i="6" l="1"/>
  <c r="FC14" i="6"/>
  <c r="FF10" i="6"/>
  <c r="FE12" i="6" l="1"/>
  <c r="FD14" i="6"/>
  <c r="FG10" i="6"/>
  <c r="FF12" i="6" l="1"/>
  <c r="FE14" i="6"/>
  <c r="FH10" i="6"/>
  <c r="FG12" i="6" l="1"/>
  <c r="FF14" i="6"/>
  <c r="FI10" i="6"/>
  <c r="FH12" i="6" l="1"/>
  <c r="FG14" i="6"/>
  <c r="FJ10" i="6"/>
  <c r="FI12" i="6" l="1"/>
  <c r="FH14" i="6"/>
  <c r="FK10" i="6"/>
  <c r="FJ12" i="6" l="1"/>
  <c r="FI14" i="6"/>
  <c r="FL10" i="6"/>
  <c r="FK12" i="6" l="1"/>
  <c r="FJ14" i="6"/>
  <c r="FM10" i="6"/>
  <c r="FL12" i="6" l="1"/>
  <c r="FK14" i="6"/>
  <c r="FN10" i="6"/>
  <c r="FM12" i="6" l="1"/>
  <c r="FL14" i="6"/>
  <c r="FO10" i="6"/>
  <c r="FN12" i="6" l="1"/>
  <c r="FM14" i="6"/>
  <c r="FP10" i="6"/>
  <c r="FO12" i="6" l="1"/>
  <c r="FN14" i="6"/>
  <c r="FQ10" i="6"/>
  <c r="FP12" i="6" l="1"/>
  <c r="FO14" i="6"/>
  <c r="FR10" i="6"/>
  <c r="FQ12" i="6" l="1"/>
  <c r="FP14" i="6"/>
  <c r="FS10" i="6"/>
  <c r="FR12" i="6" l="1"/>
  <c r="FQ14" i="6"/>
  <c r="FT10" i="6"/>
  <c r="FS12" i="6" l="1"/>
  <c r="FR14" i="6"/>
  <c r="FU10" i="6"/>
  <c r="FT12" i="6" l="1"/>
  <c r="FS14" i="6"/>
  <c r="FV10" i="6"/>
  <c r="FU12" i="6" l="1"/>
  <c r="FT14" i="6"/>
  <c r="FW10" i="6"/>
  <c r="FV12" i="6" l="1"/>
  <c r="FU14" i="6"/>
  <c r="FX10" i="6"/>
  <c r="FW12" i="6" l="1"/>
  <c r="FV14" i="6"/>
  <c r="FY10" i="6"/>
  <c r="FX12" i="6" l="1"/>
  <c r="FW14" i="6"/>
  <c r="FZ10" i="6"/>
  <c r="FY12" i="6" l="1"/>
  <c r="FX14" i="6"/>
  <c r="GA10" i="6"/>
  <c r="FZ12" i="6" l="1"/>
  <c r="FY14" i="6"/>
  <c r="GB10" i="6"/>
  <c r="GA12" i="6" l="1"/>
  <c r="FZ14" i="6"/>
  <c r="GC10" i="6"/>
  <c r="GB12" i="6" l="1"/>
  <c r="GA14" i="6"/>
  <c r="GD10" i="6"/>
  <c r="GC12" i="6" l="1"/>
  <c r="GB14" i="6"/>
  <c r="GE10" i="6"/>
  <c r="GD12" i="6" l="1"/>
  <c r="GC14" i="6"/>
  <c r="GF10" i="6"/>
  <c r="GE12" i="6" l="1"/>
  <c r="GD14" i="6"/>
  <c r="GG10" i="6"/>
  <c r="GF12" i="6" l="1"/>
  <c r="GE14" i="6"/>
  <c r="GH10" i="6"/>
  <c r="GG12" i="6" l="1"/>
  <c r="GF14" i="6"/>
  <c r="GI10" i="6"/>
  <c r="GH12" i="6" l="1"/>
  <c r="GG14" i="6"/>
  <c r="GJ10" i="6"/>
  <c r="GI12" i="6" l="1"/>
  <c r="GH14" i="6"/>
  <c r="GK10" i="6"/>
  <c r="GJ12" i="6" l="1"/>
  <c r="GI14" i="6"/>
  <c r="GL10" i="6"/>
  <c r="GK12" i="6" l="1"/>
  <c r="GJ14" i="6"/>
  <c r="GM10" i="6"/>
  <c r="GL12" i="6" l="1"/>
  <c r="GK14" i="6"/>
  <c r="GN10" i="6"/>
  <c r="GM12" i="6" l="1"/>
  <c r="GL14" i="6"/>
  <c r="GO10" i="6"/>
  <c r="GN12" i="6" l="1"/>
  <c r="GM14" i="6"/>
  <c r="GP10" i="6"/>
  <c r="GO12" i="6" l="1"/>
  <c r="GN14" i="6"/>
  <c r="GQ10" i="6"/>
  <c r="GP12" i="6" l="1"/>
  <c r="GO14" i="6"/>
  <c r="GR10" i="6"/>
  <c r="GQ12" i="6" l="1"/>
  <c r="GP14" i="6"/>
  <c r="GS10" i="6"/>
  <c r="GR12" i="6" l="1"/>
  <c r="GQ14" i="6"/>
  <c r="GT10" i="6"/>
  <c r="GS12" i="6" l="1"/>
  <c r="GR14" i="6"/>
  <c r="GU10" i="6"/>
  <c r="GT12" i="6" l="1"/>
  <c r="GS14" i="6"/>
  <c r="GV10" i="6"/>
  <c r="GU12" i="6" l="1"/>
  <c r="GT14" i="6"/>
  <c r="GW10" i="6"/>
  <c r="GV12" i="6" l="1"/>
  <c r="GU14" i="6"/>
  <c r="GX10" i="6"/>
  <c r="GW12" i="6" l="1"/>
  <c r="GV14" i="6"/>
  <c r="GY10" i="6"/>
  <c r="GX12" i="6" l="1"/>
  <c r="GW14" i="6"/>
  <c r="GZ10" i="6"/>
  <c r="GY12" i="6" l="1"/>
  <c r="GX14" i="6"/>
  <c r="HA10" i="6"/>
  <c r="GZ12" i="6" l="1"/>
  <c r="GY14" i="6"/>
  <c r="HB10" i="6"/>
  <c r="HA12" i="6" l="1"/>
  <c r="GZ14" i="6"/>
  <c r="HC10" i="6"/>
  <c r="HB12" i="6" l="1"/>
  <c r="HA14" i="6"/>
  <c r="HD10" i="6"/>
  <c r="HC12" i="6" l="1"/>
  <c r="HB14" i="6"/>
  <c r="HE10" i="6"/>
  <c r="HD12" i="6" l="1"/>
  <c r="HC14" i="6"/>
  <c r="HF10" i="6"/>
  <c r="HE12" i="6" l="1"/>
  <c r="HD14" i="6"/>
  <c r="HG10" i="6"/>
  <c r="HF12" i="6" l="1"/>
  <c r="HE14" i="6"/>
  <c r="HH10" i="6"/>
  <c r="HG12" i="6" l="1"/>
  <c r="HF14" i="6"/>
  <c r="HI10" i="6"/>
  <c r="HH12" i="6" l="1"/>
  <c r="HG14" i="6"/>
  <c r="HJ10" i="6"/>
  <c r="HI12" i="6" l="1"/>
  <c r="HH14" i="6"/>
  <c r="HK10" i="6"/>
  <c r="HJ12" i="6" l="1"/>
  <c r="HI14" i="6"/>
  <c r="HL10" i="6"/>
  <c r="HK12" i="6" l="1"/>
  <c r="HJ14" i="6"/>
  <c r="HM10" i="6"/>
  <c r="HL12" i="6" l="1"/>
  <c r="HK14" i="6"/>
  <c r="HN10" i="6"/>
  <c r="HM12" i="6" l="1"/>
  <c r="HL14" i="6"/>
  <c r="HO10" i="6"/>
  <c r="HN12" i="6" l="1"/>
  <c r="HM14" i="6"/>
  <c r="HP10" i="6"/>
  <c r="HO12" i="6" l="1"/>
  <c r="HN14" i="6"/>
  <c r="HQ10" i="6"/>
  <c r="HP12" i="6" l="1"/>
  <c r="HO14" i="6"/>
  <c r="HR10" i="6"/>
  <c r="HQ12" i="6" l="1"/>
  <c r="HP14" i="6"/>
  <c r="HS10" i="6"/>
  <c r="HR12" i="6" l="1"/>
  <c r="HQ14" i="6"/>
  <c r="HT10" i="6"/>
  <c r="HS12" i="6" l="1"/>
  <c r="HR14" i="6"/>
  <c r="HU10" i="6"/>
  <c r="HT12" i="6" l="1"/>
  <c r="HS14" i="6"/>
  <c r="HV10" i="6"/>
  <c r="HU12" i="6" l="1"/>
  <c r="HT14" i="6"/>
  <c r="HW10" i="6"/>
  <c r="HV12" i="6" l="1"/>
  <c r="HU14" i="6"/>
  <c r="HX10" i="6"/>
  <c r="HW12" i="6" l="1"/>
  <c r="HV14" i="6"/>
  <c r="HY10" i="6"/>
  <c r="HX12" i="6" l="1"/>
  <c r="HW14" i="6"/>
  <c r="HZ10" i="6"/>
  <c r="HY12" i="6" l="1"/>
  <c r="HX14" i="6"/>
  <c r="IA10" i="6"/>
  <c r="HZ12" i="6" l="1"/>
  <c r="HY14" i="6"/>
  <c r="IB10" i="6"/>
  <c r="IA12" i="6" l="1"/>
  <c r="HZ14" i="6"/>
  <c r="IC10" i="6"/>
  <c r="IB12" i="6" l="1"/>
  <c r="IA14" i="6"/>
  <c r="ID10" i="6"/>
  <c r="IC12" i="6" l="1"/>
  <c r="IB14" i="6"/>
  <c r="IE10" i="6"/>
  <c r="ID12" i="6" l="1"/>
  <c r="IC14" i="6"/>
  <c r="IF10" i="6"/>
  <c r="IE12" i="6" l="1"/>
  <c r="ID14" i="6"/>
  <c r="IG10" i="6"/>
  <c r="IF12" i="6" l="1"/>
  <c r="IE14" i="6"/>
  <c r="IH10" i="6"/>
  <c r="IG12" i="6" l="1"/>
  <c r="IF14" i="6"/>
  <c r="II10" i="6"/>
  <c r="IH12" i="6" l="1"/>
  <c r="IG14" i="6"/>
  <c r="IJ10" i="6"/>
  <c r="II12" i="6" l="1"/>
  <c r="IH14" i="6"/>
  <c r="IK10" i="6"/>
  <c r="IJ12" i="6" l="1"/>
  <c r="II14" i="6"/>
  <c r="IL10" i="6"/>
  <c r="IK12" i="6" l="1"/>
  <c r="IJ14" i="6"/>
  <c r="IM10" i="6"/>
  <c r="IL12" i="6" l="1"/>
  <c r="IK14" i="6"/>
  <c r="IN10" i="6"/>
  <c r="IM12" i="6" l="1"/>
  <c r="IL14" i="6"/>
  <c r="IO10" i="6"/>
  <c r="IN12" i="6" l="1"/>
  <c r="IM14" i="6"/>
  <c r="IP10" i="6"/>
  <c r="IO12" i="6" l="1"/>
  <c r="IN14" i="6"/>
  <c r="IQ10" i="6"/>
  <c r="IP12" i="6" l="1"/>
  <c r="IO14" i="6"/>
  <c r="IR10" i="6"/>
  <c r="IQ12" i="6" l="1"/>
  <c r="IP14" i="6"/>
  <c r="IS10" i="6"/>
  <c r="IR12" i="6" l="1"/>
  <c r="IQ14" i="6"/>
  <c r="IT10" i="6"/>
  <c r="IS12" i="6" l="1"/>
  <c r="IR14" i="6"/>
  <c r="IU10" i="6"/>
  <c r="IT12" i="6" l="1"/>
  <c r="IS14" i="6"/>
  <c r="IV10" i="6"/>
  <c r="IU12" i="6" l="1"/>
  <c r="IT14" i="6"/>
  <c r="IW10" i="6"/>
  <c r="IV12" i="6" l="1"/>
  <c r="IU14" i="6"/>
  <c r="IX10" i="6"/>
  <c r="IW12" i="6" l="1"/>
  <c r="IV14" i="6"/>
  <c r="IY10" i="6"/>
  <c r="IX12" i="6" l="1"/>
  <c r="IW14" i="6"/>
  <c r="IZ10" i="6"/>
  <c r="IY12" i="6" l="1"/>
  <c r="IX14" i="6"/>
  <c r="JA10" i="6"/>
  <c r="IZ12" i="6" l="1"/>
  <c r="IY14" i="6"/>
  <c r="JB10" i="6"/>
  <c r="JA12" i="6" l="1"/>
  <c r="IZ14" i="6"/>
  <c r="JC10" i="6"/>
  <c r="JB12" i="6" l="1"/>
  <c r="JA14" i="6"/>
  <c r="JD10" i="6"/>
  <c r="JC12" i="6" l="1"/>
  <c r="JB14" i="6"/>
  <c r="JE10" i="6"/>
  <c r="JD12" i="6" l="1"/>
  <c r="JC14" i="6"/>
  <c r="JF10" i="6"/>
  <c r="JE12" i="6" l="1"/>
  <c r="JD14" i="6"/>
  <c r="JG10" i="6"/>
  <c r="JF12" i="6" l="1"/>
  <c r="JE14" i="6"/>
  <c r="JH10" i="6"/>
  <c r="JG12" i="6" l="1"/>
  <c r="JF14" i="6"/>
  <c r="JI10" i="6"/>
  <c r="JH12" i="6" l="1"/>
  <c r="JG14" i="6"/>
  <c r="JJ10" i="6"/>
  <c r="JI12" i="6" l="1"/>
  <c r="JH14" i="6"/>
  <c r="JK10" i="6"/>
  <c r="JJ12" i="6" l="1"/>
  <c r="JI14" i="6"/>
  <c r="JL10" i="6"/>
  <c r="JK12" i="6" l="1"/>
  <c r="JJ14" i="6"/>
  <c r="JM10" i="6"/>
  <c r="JL12" i="6" l="1"/>
  <c r="JK14" i="6"/>
  <c r="JN10" i="6"/>
  <c r="JM12" i="6" l="1"/>
  <c r="JL14" i="6"/>
  <c r="JO10" i="6"/>
  <c r="JN12" i="6" l="1"/>
  <c r="JM14" i="6"/>
  <c r="JP10" i="6"/>
  <c r="JO12" i="6" l="1"/>
  <c r="JN14" i="6"/>
  <c r="JQ10" i="6"/>
  <c r="JP12" i="6" l="1"/>
  <c r="JO14" i="6"/>
  <c r="JR10" i="6"/>
  <c r="JQ12" i="6" l="1"/>
  <c r="JP14" i="6"/>
  <c r="JS10" i="6"/>
  <c r="JR12" i="6" l="1"/>
  <c r="JQ14" i="6"/>
  <c r="JT10" i="6"/>
  <c r="JS12" i="6" l="1"/>
  <c r="JR14" i="6"/>
  <c r="JU10" i="6"/>
  <c r="JT12" i="6" l="1"/>
  <c r="JS14" i="6"/>
  <c r="JV10" i="6"/>
  <c r="JU12" i="6" l="1"/>
  <c r="JT14" i="6"/>
  <c r="JW10" i="6"/>
  <c r="JV12" i="6" l="1"/>
  <c r="JU14" i="6"/>
  <c r="JX10" i="6"/>
  <c r="JW12" i="6" l="1"/>
  <c r="JV14" i="6"/>
  <c r="JY10" i="6"/>
  <c r="JX12" i="6" l="1"/>
  <c r="JW14" i="6"/>
  <c r="JZ10" i="6"/>
  <c r="JY12" i="6" l="1"/>
  <c r="JX14" i="6"/>
  <c r="KA10" i="6"/>
  <c r="JZ12" i="6" l="1"/>
  <c r="JY14" i="6"/>
  <c r="KB10" i="6"/>
  <c r="KA12" i="6" l="1"/>
  <c r="JZ14" i="6"/>
  <c r="KC10" i="6"/>
  <c r="KB12" i="6" l="1"/>
  <c r="KA14" i="6"/>
  <c r="KD10" i="6"/>
  <c r="KC12" i="6" l="1"/>
  <c r="KB14" i="6"/>
  <c r="KE10" i="6"/>
  <c r="KD12" i="6" l="1"/>
  <c r="KC14" i="6"/>
  <c r="KF10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<sst xmlns="http://schemas.openxmlformats.org/spreadsheetml/2006/main" count="858" uniqueCount="456">
  <si>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</si>
  <si>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</si>
  <si>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</si>
  <si>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</si>
  <si>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</si>
  <si>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</si>
  <si>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</si>
  <si>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</si>
  <si>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</si>
  <si>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</si>
  <si>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</si>
  <si>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</si>
  <si>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</si>
  <si>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</si>
  <si>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</si>
  <si>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</si>
  <si>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</si>
  <si>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</si>
  <si>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</si>
  <si>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</si>
  <si>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</si>
  <si>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</si>
  <si>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</si>
  <si>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</si>
  <si>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</si>
  <si>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</si>
  <si>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</si>
  <si>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</si>
  <si>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</si>
  <si>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</si>
  <si>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</si>
  <si>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</si>
  <si>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</si>
  <si>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</si>
  <si>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</si>
  <si>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</si>
  <si>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</si>
  <si>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</si>
  <si>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</si>
  <si>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</si>
  <si>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</si>
  <si>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</si>
  <si>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</si>
  <si>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</si>
  <si>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</si>
  <si>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</si>
  <si>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</si>
  <si>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</si>
  <si>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</si>
  <si>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</si>
  <si>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</si>
  <si>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</si>
  <si>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</si>
  <si>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</si>
  <si>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</si>
  <si>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</si>
  <si>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</si>
  <si>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</si>
  <si>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</si>
  <si>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</si>
  <si>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</si>
  <si>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</si>
  <si>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</si>
  <si>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</si>
  <si>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</si>
  <si>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</si>
  <si>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</si>
  <si>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</si>
  <si>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</si>
  <si>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</si>
  <si>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</si>
  <si>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</si>
  <si>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</si>
  <si>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</si>
  <si>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</si>
  <si>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</si>
  <si>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</si>
  <si>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</si>
  <si>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</si>
  <si>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</si>
  <si>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</si>
  <si>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</si>
  <si>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</si>
  <si>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</si>
  <si>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</si>
  <si>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</si>
  <si>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</si>
  <si>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</si>
  <si>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</si>
  <si>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</si>
  <si>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</si>
  <si>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</si>
  <si>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</si>
  <si>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</si>
  <si>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</si>
  <si>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</si>
  <si>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</si>
  <si>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</si>
  <si>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</si>
  <si>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</si>
  <si>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</si>
  <si>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</si>
  <si>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</si>
  <si>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</si>
  <si>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</si>
  <si>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</si>
  <si>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</si>
  <si>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</si>
  <si>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</si>
  <si>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</si>
  <si>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</si>
  <si>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</si>
  <si>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PROJECT PLAN</t>
  </si>
  <si>
    <t>Shoprite Mini_Bredarsdorp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</si>
  <si>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</si>
  <si>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</si>
  <si>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</si>
  <si>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</si>
  <si>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</si>
  <si>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</si>
  <si>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</si>
  <si>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</si>
  <si>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</si>
  <si>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</si>
  <si>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</si>
  <si>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</si>
  <si>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</si>
  <si>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</si>
  <si>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</si>
  <si>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</si>
  <si>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</si>
  <si>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</si>
  <si>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</si>
  <si>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</si>
  <si>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</si>
  <si>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</si>
  <si>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</si>
  <si>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</si>
  <si>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</si>
  <si>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</si>
  <si>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</si>
  <si>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</si>
  <si>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</si>
  <si>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</si>
  <si>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</si>
  <si>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</si>
  <si>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</si>
  <si>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</si>
  <si>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</si>
  <si>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</si>
  <si>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</si>
  <si>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</si>
  <si>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</si>
  <si>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</si>
  <si>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</si>
  <si>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</si>
  <si>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</si>
  <si>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</si>
  <si>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</si>
  <si>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</si>
  <si>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</si>
  <si>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</si>
  <si>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</si>
  <si>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</si>
  <si>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</si>
  <si>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</si>
  <si>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</si>
  <si>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</si>
  <si>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</si>
  <si>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</si>
  <si>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</si>
  <si>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</si>
  <si>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</si>
  <si>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</si>
  <si>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</si>
  <si>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</si>
  <si>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</si>
  <si>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</si>
  <si>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</si>
  <si>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</si>
  <si>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</si>
  <si>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</si>
  <si>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</si>
  <si>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</si>
  <si>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</si>
  <si>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</si>
  <si>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</si>
  <si>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</si>
  <si>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</si>
  <si>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</si>
  <si>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</si>
  <si>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</si>
  <si>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</si>
  <si>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</si>
  <si>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</si>
  <si>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</si>
  <si>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</si>
  <si>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</si>
  <si>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</si>
  <si>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</si>
  <si>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</si>
  <si>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</si>
  <si>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</si>
  <si>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</si>
  <si>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</si>
  <si>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</si>
  <si>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</si>
  <si>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</si>
  <si>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</si>
  <si>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</si>
  <si>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</si>
  <si>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</si>
  <si>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</si>
  <si>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</si>
  <si>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</si>
  <si>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</si>
  <si>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</si>
  <si>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</si>
  <si>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</si>
  <si>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004873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</si>
  <si>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</si>
  <si>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</si>
  <si>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</si>
  <si>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</si>
  <si>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</si>
  <si>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</si>
  <si>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</si>
  <si>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</si>
  <si>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</si>
  <si>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</si>
  <si>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</si>
  <si>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</si>
  <si>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</si>
  <si>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</si>
  <si>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</si>
  <si>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</si>
  <si>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</si>
  <si>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</si>
  <si>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</si>
  <si>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</si>
  <si>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</si>
  <si>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</si>
  <si>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</si>
  <si>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</si>
  <si>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</si>
  <si>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</si>
  <si>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</si>
  <si>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</si>
  <si>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</si>
  <si>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</si>
  <si>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</si>
  <si>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</si>
  <si>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</si>
  <si>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</si>
  <si>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</si>
  <si>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</si>
  <si>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</si>
  <si>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</si>
  <si>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</si>
  <si>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</si>
  <si>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</si>
  <si>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</si>
  <si>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</si>
  <si>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</si>
  <si>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600W (Menlo)</t>
  </si>
  <si>
    <t>Menlo - INV0003417</t>
  </si>
  <si>
    <t>Delivery Budget</t>
  </si>
  <si>
    <t>Menlo - INV0003407</t>
  </si>
  <si>
    <t>QC4 Connectors</t>
  </si>
  <si>
    <t>MSA Energy INV0003456</t>
  </si>
  <si>
    <t>Module transport</t>
  </si>
  <si>
    <t>MSA Energy INV0003436</t>
  </si>
  <si>
    <t>BUDGET</t>
  </si>
  <si>
    <t>Installer Allocation</t>
  </si>
  <si>
    <t>AC Equipment</t>
  </si>
  <si>
    <t>Inverter Budget</t>
  </si>
  <si>
    <t>2. Inverters</t>
  </si>
  <si>
    <t>Huawei 100KTL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</si>
  <si>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</si>
  <si>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</si>
  <si>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</si>
  <si>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</si>
  <si>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</si>
  <si>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</si>
  <si>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</si>
  <si>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</si>
  <si>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</si>
  <si>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</si>
  <si>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</si>
  <si>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</si>
  <si>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PO4423-RRB-20251030 - RV Approved</t>
  </si>
  <si>
    <t>Schletter - INV2381</t>
  </si>
  <si>
    <t>Less 15%</t>
  </si>
  <si>
    <t>Additional nuts and bolts</t>
  </si>
  <si>
    <t>PO4455-RRB-20251110 -  RV Approved</t>
  </si>
  <si>
    <t>Schletter - INV2403</t>
  </si>
  <si>
    <t>R/Wp</t>
  </si>
  <si>
    <t>Jasolar</t>
  </si>
  <si>
    <t>Revised</t>
  </si>
  <si>
    <t>Installer Price</t>
  </si>
  <si>
    <t>DC Cable Budget</t>
  </si>
  <si>
    <t>4. DC Equipment</t>
  </si>
  <si>
    <t>DC Cable</t>
  </si>
  <si>
    <t>DC Equipment Budget</t>
  </si>
  <si>
    <t>DC Cable - Black</t>
  </si>
  <si>
    <t>Alllocated to Cpt Storeroom</t>
  </si>
  <si>
    <t>DC Cable - Red</t>
  </si>
  <si>
    <t>Project Kick Off</t>
  </si>
  <si>
    <t>PO4381-RRB-20251017 - RV Approved</t>
  </si>
  <si>
    <t>JA Electrical: Inv 1110</t>
  </si>
  <si>
    <t>Geda/scaffholding</t>
  </si>
  <si>
    <t>JA Electrical: Inv 1120</t>
  </si>
  <si>
    <t>Geda</t>
  </si>
  <si>
    <t>AC Installation Complete</t>
  </si>
  <si>
    <t>JA Electrical: Inv 1123</t>
  </si>
  <si>
    <t>DC Installation Complete - Partial</t>
  </si>
  <si>
    <t>P&amp;G's</t>
  </si>
  <si>
    <t>JA Electrical: Inv 1152</t>
  </si>
  <si>
    <t>Commissioning Complete</t>
  </si>
  <si>
    <t>Shuffle Boards</t>
  </si>
  <si>
    <t>Site De-establisment</t>
  </si>
  <si>
    <t>Handover Document Complete</t>
  </si>
  <si>
    <t>JA Electrical Inv 1153</t>
  </si>
  <si>
    <t>End of Defects Period</t>
  </si>
  <si>
    <t>Monitoring</t>
  </si>
  <si>
    <t>Monitoring Budget</t>
  </si>
  <si>
    <t>5. Monitoring</t>
  </si>
  <si>
    <t>Smartlogger</t>
  </si>
  <si>
    <t>Menlo - INV0003384</t>
  </si>
  <si>
    <t>Revenue Metering</t>
  </si>
  <si>
    <t>CTs &amp; Meters</t>
  </si>
  <si>
    <t>PO4374-RRB-20251015 - RV Approved</t>
  </si>
  <si>
    <t>Accuenergy Inv: ASAI-006653</t>
  </si>
  <si>
    <t>Matriarch - INV-5366</t>
  </si>
  <si>
    <t>Delivery of Techsitter</t>
  </si>
  <si>
    <t>DSV Inv: 180153158</t>
  </si>
  <si>
    <t xml:space="preserve">Battery </t>
  </si>
  <si>
    <t>Red Pole - SO-35912</t>
  </si>
  <si>
    <t>Delivery of Comms Equip</t>
  </si>
  <si>
    <t xml:space="preserve"> </t>
  </si>
  <si>
    <t>Uber</t>
  </si>
  <si>
    <t>Power Supply</t>
  </si>
  <si>
    <t>Allocated from cpt Storeroom</t>
  </si>
  <si>
    <t>AC Equipment Budget</t>
  </si>
  <si>
    <t>6. AC Equipment</t>
  </si>
  <si>
    <t>PO4348-RRB-20250930 - RV Approved</t>
  </si>
  <si>
    <t>Switchboard - 2-SOI002612</t>
  </si>
  <si>
    <t>Switchboard - 2-SOI002610</t>
  </si>
  <si>
    <t>BESS</t>
  </si>
  <si>
    <t>7.BESS</t>
  </si>
  <si>
    <t xml:space="preserve">Product Add On </t>
  </si>
  <si>
    <t xml:space="preserve">8. Product Add On </t>
  </si>
  <si>
    <t>Inverter Cage</t>
  </si>
  <si>
    <t>PO4476-RRB-20251118 -  RV Approved</t>
  </si>
  <si>
    <t>Overstaalwerke - IN100634</t>
  </si>
  <si>
    <t>Extractor Fan</t>
  </si>
  <si>
    <t>DK Refrigeration - INV0003287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</si>
  <si>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</si>
  <si>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</si>
  <si>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</si>
  <si>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</si>
  <si>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</si>
  <si>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</si>
  <si>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</si>
  <si>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</si>
  <si>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Overberg Security : IN24945</t>
  </si>
  <si>
    <t>Rounding Difference</t>
  </si>
  <si>
    <t>Due Dilligence</t>
  </si>
  <si>
    <t>Electrical PrEng sign off</t>
  </si>
  <si>
    <t>11. Due Dilligence</t>
  </si>
  <si>
    <t>SunSpot - E037</t>
  </si>
  <si>
    <t>Structural sign off</t>
  </si>
  <si>
    <t>Structural Sign Off</t>
  </si>
  <si>
    <t>Scada for CoCT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</si>
  <si>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</si>
  <si>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</si>
  <si>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</si>
  <si>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</si>
  <si>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</si>
  <si>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</si>
  <si>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</si>
  <si>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</si>
  <si>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</si>
  <si>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</si>
  <si>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</si>
  <si>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</si>
  <si>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</si>
  <si>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</si>
  <si>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</si>
  <si>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</si>
  <si>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</si>
  <si>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</si>
  <si>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 xml:space="preserve">PO4515-GEN-20251202-RV approved </t>
  </si>
  <si>
    <t>ABL Transport Inv0231</t>
  </si>
  <si>
    <t>Panel Procurement Budget</t>
  </si>
  <si>
    <t>Inverter Procurement Budget</t>
  </si>
  <si>
    <t>Mounting Structure Budget</t>
  </si>
  <si>
    <t>Optional Extras Budget</t>
  </si>
  <si>
    <t xml:space="preserve"> R-   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</si>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</sst>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7" fontId="5" fillId="0" borderId="0" xfId="3" applyFont="1" applyProtection="1">
      <protection locked="0"/>
    </xf>
    <xf numFmtId="167" fontId="5" fillId="5" borderId="0" xfId="3" applyFont="1" applyFill="1" applyProtection="1">
      <protection locked="0"/>
    </xf>
    <xf numFmtId="167" fontId="8" fillId="5" borderId="0" xfId="3" applyFont="1" applyFill="1" applyProtection="1">
      <protection locked="0"/>
    </xf>
    <xf numFmtId="169" fontId="6" fillId="15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  <xf numFmtId="167" fontId="6" fillId="15" borderId="20" xfId="0" applyNumberFormat="1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5" fontId="49" fillId="0" borderId="2" xfId="0" applyNumberFormat="1" applyFont="1" applyBorder="1" applyAlignment="1" applyProtection="1">
      <alignment horizontal="center" vertic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7" fontId="21" fillId="5" borderId="0" xfId="0" applyNumberFormat="1" applyFont="1" applyFill="1" applyProtection="1"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8" borderId="64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 vertic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168" fontId="48" fillId="11" borderId="53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</a:t>
            </a:r>
            <a:r>
              <a:rPr lang="en-US" sz="2000" baseline="0"/>
              <a:t> Mini - Bredarsdorp</a:t>
            </a:r>
            <a:r>
              <a:rPr lang="en-US" sz="200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30</c:v>
                  </c:pt>
                  <c:pt idx="1">
                    <c:v>1</c:v>
                  </c:pt>
                  <c:pt idx="2">
                    <c:v>62</c:v>
                  </c:pt>
                  <c:pt idx="3">
                    <c:v>21</c:v>
                  </c:pt>
                  <c:pt idx="4">
                    <c:v>11</c:v>
                  </c:pt>
                  <c:pt idx="5">
                    <c:v>7</c:v>
                  </c:pt>
                  <c:pt idx="6">
                    <c:v>4</c:v>
                  </c:pt>
                  <c:pt idx="7">
                    <c:v>62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45925</c:v>
                </c:pt>
                <c:pt idx="3">
                  <c:v>45967</c:v>
                </c:pt>
                <c:pt idx="4">
                  <c:v>45974</c:v>
                </c:pt>
                <c:pt idx="5">
                  <c:v>45988</c:v>
                </c:pt>
                <c:pt idx="6">
                  <c:v>45988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1973564.466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247198.35</c:v>
                </c:pt>
                <c:pt idx="12">
                  <c:v>470528.35</c:v>
                </c:pt>
                <c:pt idx="13">
                  <c:v>851815.16999999993</c:v>
                </c:pt>
                <c:pt idx="14">
                  <c:v>877153.82</c:v>
                </c:pt>
                <c:pt idx="15">
                  <c:v>877153.82</c:v>
                </c:pt>
                <c:pt idx="16">
                  <c:v>877153.82</c:v>
                </c:pt>
                <c:pt idx="17">
                  <c:v>877153.82</c:v>
                </c:pt>
                <c:pt idx="18">
                  <c:v>1702430.3199999998</c:v>
                </c:pt>
                <c:pt idx="19">
                  <c:v>1702430.3199999998</c:v>
                </c:pt>
                <c:pt idx="20">
                  <c:v>1702430.3199999998</c:v>
                </c:pt>
                <c:pt idx="21">
                  <c:v>1702430.3199999998</c:v>
                </c:pt>
                <c:pt idx="22">
                  <c:v>1702430.3199999998</c:v>
                </c:pt>
                <c:pt idx="23">
                  <c:v>1702430.3199999998</c:v>
                </c:pt>
                <c:pt idx="24">
                  <c:v>1702430.3199999998</c:v>
                </c:pt>
                <c:pt idx="25">
                  <c:v>1702430.3199999998</c:v>
                </c:pt>
                <c:pt idx="26">
                  <c:v>1702430.3199999998</c:v>
                </c:pt>
                <c:pt idx="27">
                  <c:v>1702430.3199999998</c:v>
                </c:pt>
                <c:pt idx="28">
                  <c:v>1702430.3199999998</c:v>
                </c:pt>
                <c:pt idx="29">
                  <c:v>1702430.3199999998</c:v>
                </c:pt>
                <c:pt idx="30">
                  <c:v>1702430.3199999998</c:v>
                </c:pt>
                <c:pt idx="31">
                  <c:v>1702430.3199999998</c:v>
                </c:pt>
                <c:pt idx="32">
                  <c:v>1702430.3199999998</c:v>
                </c:pt>
                <c:pt idx="33">
                  <c:v>1702430.3199999998</c:v>
                </c:pt>
                <c:pt idx="34">
                  <c:v>1702430.3199999998</c:v>
                </c:pt>
                <c:pt idx="35">
                  <c:v>1702430.3199999998</c:v>
                </c:pt>
                <c:pt idx="36">
                  <c:v>1702430.3199999998</c:v>
                </c:pt>
                <c:pt idx="37">
                  <c:v>1702430.3199999998</c:v>
                </c:pt>
                <c:pt idx="38">
                  <c:v>1702430.3199999998</c:v>
                </c:pt>
                <c:pt idx="39">
                  <c:v>1702430.3199999998</c:v>
                </c:pt>
                <c:pt idx="40">
                  <c:v>1702430.3199999998</c:v>
                </c:pt>
                <c:pt idx="41">
                  <c:v>1702430.3199999998</c:v>
                </c:pt>
                <c:pt idx="42">
                  <c:v>1702430.3199999998</c:v>
                </c:pt>
                <c:pt idx="43">
                  <c:v>1702430.3199999998</c:v>
                </c:pt>
                <c:pt idx="44">
                  <c:v>1702430.3199999998</c:v>
                </c:pt>
                <c:pt idx="45">
                  <c:v>1702430.3199999998</c:v>
                </c:pt>
                <c:pt idx="46">
                  <c:v>1702430.3199999998</c:v>
                </c:pt>
                <c:pt idx="47">
                  <c:v>1702430.3199999998</c:v>
                </c:pt>
                <c:pt idx="48">
                  <c:v>1702430.3199999998</c:v>
                </c:pt>
                <c:pt idx="49">
                  <c:v>1702430.3199999998</c:v>
                </c:pt>
                <c:pt idx="50">
                  <c:v>1702430.3199999998</c:v>
                </c:pt>
                <c:pt idx="51">
                  <c:v>1702430.3199999998</c:v>
                </c:pt>
                <c:pt idx="52">
                  <c:v>1702430.3199999998</c:v>
                </c:pt>
                <c:pt idx="53">
                  <c:v>1702430.3199999998</c:v>
                </c:pt>
                <c:pt idx="54">
                  <c:v>1702430.3199999998</c:v>
                </c:pt>
                <c:pt idx="55">
                  <c:v>1702430.3199999998</c:v>
                </c:pt>
                <c:pt idx="56">
                  <c:v>1702430.3199999998</c:v>
                </c:pt>
                <c:pt idx="57">
                  <c:v>1702430.3199999998</c:v>
                </c:pt>
                <c:pt idx="58">
                  <c:v>1702430.3199999998</c:v>
                </c:pt>
                <c:pt idx="59">
                  <c:v>1702430.3199999998</c:v>
                </c:pt>
                <c:pt idx="60">
                  <c:v>1702430.3199999998</c:v>
                </c:pt>
                <c:pt idx="61">
                  <c:v>1702430.3199999998</c:v>
                </c:pt>
                <c:pt idx="62">
                  <c:v>1702430.3199999998</c:v>
                </c:pt>
                <c:pt idx="63">
                  <c:v>1702430.3199999998</c:v>
                </c:pt>
                <c:pt idx="64">
                  <c:v>1702430.3199999998</c:v>
                </c:pt>
                <c:pt idx="65">
                  <c:v>1702430.3199999998</c:v>
                </c:pt>
                <c:pt idx="66">
                  <c:v>1702430.3199999998</c:v>
                </c:pt>
                <c:pt idx="67">
                  <c:v>1702430.3199999998</c:v>
                </c:pt>
                <c:pt idx="68">
                  <c:v>1702430.3199999998</c:v>
                </c:pt>
                <c:pt idx="69">
                  <c:v>1702430.3199999998</c:v>
                </c:pt>
                <c:pt idx="70">
                  <c:v>1702430.3199999998</c:v>
                </c:pt>
                <c:pt idx="71">
                  <c:v>1702430.3199999998</c:v>
                </c:pt>
                <c:pt idx="72">
                  <c:v>1702430.3199999998</c:v>
                </c:pt>
                <c:pt idx="73">
                  <c:v>1702430.3199999998</c:v>
                </c:pt>
                <c:pt idx="74">
                  <c:v>1702430.3199999998</c:v>
                </c:pt>
                <c:pt idx="75">
                  <c:v>1702430.3199999998</c:v>
                </c:pt>
                <c:pt idx="76">
                  <c:v>1702430.3199999998</c:v>
                </c:pt>
                <c:pt idx="77">
                  <c:v>1702430.3199999998</c:v>
                </c:pt>
                <c:pt idx="78">
                  <c:v>1702430.3199999998</c:v>
                </c:pt>
                <c:pt idx="79">
                  <c:v>1702430.3199999998</c:v>
                </c:pt>
                <c:pt idx="80">
                  <c:v>1702430.3199999998</c:v>
                </c:pt>
                <c:pt idx="81">
                  <c:v>1702430.3199999998</c:v>
                </c:pt>
                <c:pt idx="82">
                  <c:v>1702430.3199999998</c:v>
                </c:pt>
                <c:pt idx="83">
                  <c:v>1702430.3199999998</c:v>
                </c:pt>
                <c:pt idx="84">
                  <c:v>1702430.3199999998</c:v>
                </c:pt>
                <c:pt idx="85">
                  <c:v>1702430.3199999998</c:v>
                </c:pt>
                <c:pt idx="86">
                  <c:v>1702430.3199999998</c:v>
                </c:pt>
                <c:pt idx="87">
                  <c:v>1702430.3199999998</c:v>
                </c:pt>
                <c:pt idx="88">
                  <c:v>1702430.3199999998</c:v>
                </c:pt>
                <c:pt idx="89">
                  <c:v>1702430.3199999998</c:v>
                </c:pt>
                <c:pt idx="90">
                  <c:v>1702430.3199999998</c:v>
                </c:pt>
                <c:pt idx="91">
                  <c:v>1702430.3199999998</c:v>
                </c:pt>
                <c:pt idx="92">
                  <c:v>1702430.3199999998</c:v>
                </c:pt>
                <c:pt idx="93">
                  <c:v>1702430.3199999998</c:v>
                </c:pt>
                <c:pt idx="94">
                  <c:v>1702430.3199999998</c:v>
                </c:pt>
                <c:pt idx="95">
                  <c:v>1702430.3199999998</c:v>
                </c:pt>
                <c:pt idx="96">
                  <c:v>1702430.3199999998</c:v>
                </c:pt>
                <c:pt idx="97">
                  <c:v>1702430.3199999998</c:v>
                </c:pt>
                <c:pt idx="98">
                  <c:v>1702430.3199999998</c:v>
                </c:pt>
                <c:pt idx="99">
                  <c:v>1702430.3199999998</c:v>
                </c:pt>
                <c:pt idx="100">
                  <c:v>1702430.3199999998</c:v>
                </c:pt>
                <c:pt idx="101">
                  <c:v>1702430.3199999998</c:v>
                </c:pt>
                <c:pt idx="102">
                  <c:v>1702430.3199999998</c:v>
                </c:pt>
                <c:pt idx="103">
                  <c:v>1702430.3199999998</c:v>
                </c:pt>
                <c:pt idx="104">
                  <c:v>1702430.3199999998</c:v>
                </c:pt>
                <c:pt idx="105">
                  <c:v>1702430.3199999998</c:v>
                </c:pt>
                <c:pt idx="106">
                  <c:v>1702430.3199999998</c:v>
                </c:pt>
                <c:pt idx="107">
                  <c:v>1702430.3199999998</c:v>
                </c:pt>
                <c:pt idx="108">
                  <c:v>1702430.3199999998</c:v>
                </c:pt>
                <c:pt idx="109">
                  <c:v>1702430.3199999998</c:v>
                </c:pt>
                <c:pt idx="110">
                  <c:v>1702430.3199999998</c:v>
                </c:pt>
                <c:pt idx="111">
                  <c:v>1702430.3199999998</c:v>
                </c:pt>
                <c:pt idx="112">
                  <c:v>1702430.3199999998</c:v>
                </c:pt>
                <c:pt idx="113">
                  <c:v>1702430.3199999998</c:v>
                </c:pt>
                <c:pt idx="114">
                  <c:v>1702430.3199999998</c:v>
                </c:pt>
                <c:pt idx="115">
                  <c:v>1702430.3199999998</c:v>
                </c:pt>
                <c:pt idx="116">
                  <c:v>1702430.3199999998</c:v>
                </c:pt>
                <c:pt idx="117">
                  <c:v>1702430.3199999998</c:v>
                </c:pt>
                <c:pt idx="118">
                  <c:v>1702430.3199999998</c:v>
                </c:pt>
                <c:pt idx="119">
                  <c:v>1702430.3199999998</c:v>
                </c:pt>
                <c:pt idx="120">
                  <c:v>1702430.3199999998</c:v>
                </c:pt>
                <c:pt idx="121">
                  <c:v>1702430.3199999998</c:v>
                </c:pt>
                <c:pt idx="122">
                  <c:v>1702430.3199999998</c:v>
                </c:pt>
                <c:pt idx="123">
                  <c:v>1702430.3199999998</c:v>
                </c:pt>
                <c:pt idx="124">
                  <c:v>1702430.3199999998</c:v>
                </c:pt>
                <c:pt idx="125">
                  <c:v>1702430.3199999998</c:v>
                </c:pt>
                <c:pt idx="126">
                  <c:v>1702430.3199999998</c:v>
                </c:pt>
                <c:pt idx="127">
                  <c:v>1702430.3199999998</c:v>
                </c:pt>
                <c:pt idx="128">
                  <c:v>1702430.3199999998</c:v>
                </c:pt>
                <c:pt idx="129">
                  <c:v>1702430.3199999998</c:v>
                </c:pt>
                <c:pt idx="130">
                  <c:v>1702430.3199999998</c:v>
                </c:pt>
                <c:pt idx="131">
                  <c:v>1702430.3199999998</c:v>
                </c:pt>
                <c:pt idx="132">
                  <c:v>1702430.3199999998</c:v>
                </c:pt>
                <c:pt idx="133">
                  <c:v>1702430.3199999998</c:v>
                </c:pt>
                <c:pt idx="134">
                  <c:v>1702430.3199999998</c:v>
                </c:pt>
                <c:pt idx="135">
                  <c:v>1702430.3199999998</c:v>
                </c:pt>
                <c:pt idx="136">
                  <c:v>1702430.3199999998</c:v>
                </c:pt>
                <c:pt idx="137">
                  <c:v>1702430.3199999998</c:v>
                </c:pt>
                <c:pt idx="138">
                  <c:v>1702430.3199999998</c:v>
                </c:pt>
                <c:pt idx="139">
                  <c:v>1702430.3199999998</c:v>
                </c:pt>
                <c:pt idx="140">
                  <c:v>1702430.3199999998</c:v>
                </c:pt>
                <c:pt idx="141">
                  <c:v>1702430.3199999998</c:v>
                </c:pt>
                <c:pt idx="142">
                  <c:v>1702430.3199999998</c:v>
                </c:pt>
                <c:pt idx="143">
                  <c:v>1702430.3199999998</c:v>
                </c:pt>
                <c:pt idx="144">
                  <c:v>1702430.3199999998</c:v>
                </c:pt>
                <c:pt idx="145">
                  <c:v>1702430.3199999998</c:v>
                </c:pt>
                <c:pt idx="146">
                  <c:v>1702430.3199999998</c:v>
                </c:pt>
                <c:pt idx="147">
                  <c:v>1702430.3199999998</c:v>
                </c:pt>
                <c:pt idx="148">
                  <c:v>1702430.3199999998</c:v>
                </c:pt>
                <c:pt idx="149">
                  <c:v>1702430.3199999998</c:v>
                </c:pt>
                <c:pt idx="150">
                  <c:v>1702430.3199999998</c:v>
                </c:pt>
                <c:pt idx="151">
                  <c:v>1702430.3199999998</c:v>
                </c:pt>
                <c:pt idx="152">
                  <c:v>1702430.3199999998</c:v>
                </c:pt>
                <c:pt idx="153">
                  <c:v>1702430.3199999998</c:v>
                </c:pt>
                <c:pt idx="154">
                  <c:v>1702430.3199999998</c:v>
                </c:pt>
                <c:pt idx="155">
                  <c:v>1702430.3199999998</c:v>
                </c:pt>
                <c:pt idx="156">
                  <c:v>1702430.3199999998</c:v>
                </c:pt>
                <c:pt idx="157">
                  <c:v>1702430.3199999998</c:v>
                </c:pt>
                <c:pt idx="158">
                  <c:v>1702430.3199999998</c:v>
                </c:pt>
                <c:pt idx="159">
                  <c:v>1702430.3199999998</c:v>
                </c:pt>
                <c:pt idx="160">
                  <c:v>1702430.3199999998</c:v>
                </c:pt>
                <c:pt idx="161">
                  <c:v>1702430.3199999998</c:v>
                </c:pt>
                <c:pt idx="162">
                  <c:v>1702430.3199999998</c:v>
                </c:pt>
                <c:pt idx="163">
                  <c:v>1702430.3199999998</c:v>
                </c:pt>
                <c:pt idx="164">
                  <c:v>1702430.3199999998</c:v>
                </c:pt>
                <c:pt idx="165">
                  <c:v>1702430.3199999998</c:v>
                </c:pt>
                <c:pt idx="166">
                  <c:v>1702430.3199999998</c:v>
                </c:pt>
                <c:pt idx="167">
                  <c:v>1702430.3199999998</c:v>
                </c:pt>
                <c:pt idx="168">
                  <c:v>1702430.3199999998</c:v>
                </c:pt>
                <c:pt idx="169">
                  <c:v>1702430.3199999998</c:v>
                </c:pt>
                <c:pt idx="170">
                  <c:v>1702430.3199999998</c:v>
                </c:pt>
                <c:pt idx="171">
                  <c:v>1702430.3199999998</c:v>
                </c:pt>
                <c:pt idx="172">
                  <c:v>1702430.3199999998</c:v>
                </c:pt>
                <c:pt idx="173">
                  <c:v>1702430.3199999998</c:v>
                </c:pt>
                <c:pt idx="174">
                  <c:v>1702430.3199999998</c:v>
                </c:pt>
                <c:pt idx="175">
                  <c:v>1702430.3199999998</c:v>
                </c:pt>
                <c:pt idx="176">
                  <c:v>1702430.3199999998</c:v>
                </c:pt>
                <c:pt idx="177">
                  <c:v>1702430.3199999998</c:v>
                </c:pt>
                <c:pt idx="178">
                  <c:v>1702430.3199999998</c:v>
                </c:pt>
                <c:pt idx="179">
                  <c:v>1702430.3199999998</c:v>
                </c:pt>
                <c:pt idx="180">
                  <c:v>1702430.3199999998</c:v>
                </c:pt>
                <c:pt idx="181">
                  <c:v>1702430.3199999998</c:v>
                </c:pt>
                <c:pt idx="182">
                  <c:v>1702430.3199999998</c:v>
                </c:pt>
                <c:pt idx="183">
                  <c:v>1702430.3199999998</c:v>
                </c:pt>
                <c:pt idx="184">
                  <c:v>1702430.3199999998</c:v>
                </c:pt>
                <c:pt idx="185">
                  <c:v>1702430.3199999998</c:v>
                </c:pt>
                <c:pt idx="186">
                  <c:v>1702430.3199999998</c:v>
                </c:pt>
                <c:pt idx="187">
                  <c:v>1702430.3199999998</c:v>
                </c:pt>
                <c:pt idx="188">
                  <c:v>1702430.3199999998</c:v>
                </c:pt>
                <c:pt idx="189">
                  <c:v>1702430.3199999998</c:v>
                </c:pt>
                <c:pt idx="190">
                  <c:v>1702430.3199999998</c:v>
                </c:pt>
                <c:pt idx="191">
                  <c:v>1702430.3199999998</c:v>
                </c:pt>
                <c:pt idx="192">
                  <c:v>1702430.3199999998</c:v>
                </c:pt>
                <c:pt idx="193">
                  <c:v>1702430.3199999998</c:v>
                </c:pt>
                <c:pt idx="194">
                  <c:v>1702430.3199999998</c:v>
                </c:pt>
                <c:pt idx="195">
                  <c:v>1702430.3199999998</c:v>
                </c:pt>
                <c:pt idx="196">
                  <c:v>1702430.3199999998</c:v>
                </c:pt>
                <c:pt idx="197">
                  <c:v>1702430.3199999998</c:v>
                </c:pt>
                <c:pt idx="198">
                  <c:v>1702430.3199999998</c:v>
                </c:pt>
                <c:pt idx="199">
                  <c:v>1702430.3199999998</c:v>
                </c:pt>
                <c:pt idx="200">
                  <c:v>1702430.3199999998</c:v>
                </c:pt>
                <c:pt idx="201">
                  <c:v>1702430.3199999998</c:v>
                </c:pt>
                <c:pt idx="202">
                  <c:v>1702430.3199999998</c:v>
                </c:pt>
                <c:pt idx="203">
                  <c:v>1702430.3199999998</c:v>
                </c:pt>
                <c:pt idx="204">
                  <c:v>1702430.3199999998</c:v>
                </c:pt>
                <c:pt idx="205">
                  <c:v>1702430.3199999998</c:v>
                </c:pt>
                <c:pt idx="206">
                  <c:v>1702430.3199999998</c:v>
                </c:pt>
                <c:pt idx="207">
                  <c:v>1702430.3199999998</c:v>
                </c:pt>
                <c:pt idx="208">
                  <c:v>1702430.3199999998</c:v>
                </c:pt>
                <c:pt idx="209">
                  <c:v>1702430.3199999998</c:v>
                </c:pt>
                <c:pt idx="210">
                  <c:v>1702430.3199999998</c:v>
                </c:pt>
                <c:pt idx="211">
                  <c:v>1702430.3199999998</c:v>
                </c:pt>
                <c:pt idx="212">
                  <c:v>1702430.3199999998</c:v>
                </c:pt>
                <c:pt idx="213">
                  <c:v>1702430.3199999998</c:v>
                </c:pt>
                <c:pt idx="214">
                  <c:v>1702430.3199999998</c:v>
                </c:pt>
                <c:pt idx="215">
                  <c:v>1702430.3199999998</c:v>
                </c:pt>
                <c:pt idx="216">
                  <c:v>1702430.3199999998</c:v>
                </c:pt>
                <c:pt idx="217">
                  <c:v>1702430.3199999998</c:v>
                </c:pt>
                <c:pt idx="218">
                  <c:v>1702430.3199999998</c:v>
                </c:pt>
                <c:pt idx="219">
                  <c:v>1702430.3199999998</c:v>
                </c:pt>
                <c:pt idx="220">
                  <c:v>1702430.3199999998</c:v>
                </c:pt>
                <c:pt idx="221">
                  <c:v>1702430.3199999998</c:v>
                </c:pt>
                <c:pt idx="222">
                  <c:v>1702430.3199999998</c:v>
                </c:pt>
                <c:pt idx="223">
                  <c:v>1702430.3199999998</c:v>
                </c:pt>
                <c:pt idx="224">
                  <c:v>1702430.3199999998</c:v>
                </c:pt>
                <c:pt idx="225">
                  <c:v>1702430.3199999998</c:v>
                </c:pt>
                <c:pt idx="226">
                  <c:v>1702430.3199999998</c:v>
                </c:pt>
                <c:pt idx="227">
                  <c:v>1702430.3199999998</c:v>
                </c:pt>
                <c:pt idx="228">
                  <c:v>1702430.3199999998</c:v>
                </c:pt>
                <c:pt idx="229">
                  <c:v>1702430.3199999998</c:v>
                </c:pt>
                <c:pt idx="230">
                  <c:v>1702430.3199999998</c:v>
                </c:pt>
                <c:pt idx="231">
                  <c:v>1702430.3199999998</c:v>
                </c:pt>
                <c:pt idx="232">
                  <c:v>1702430.3199999998</c:v>
                </c:pt>
                <c:pt idx="233">
                  <c:v>1702430.3199999998</c:v>
                </c:pt>
                <c:pt idx="234">
                  <c:v>1702430.3199999998</c:v>
                </c:pt>
                <c:pt idx="235">
                  <c:v>1702430.3199999998</c:v>
                </c:pt>
                <c:pt idx="236">
                  <c:v>1702430.3199999998</c:v>
                </c:pt>
                <c:pt idx="237">
                  <c:v>1702430.3199999998</c:v>
                </c:pt>
                <c:pt idx="238">
                  <c:v>1702430.3199999998</c:v>
                </c:pt>
                <c:pt idx="239">
                  <c:v>1702430.3199999998</c:v>
                </c:pt>
                <c:pt idx="240">
                  <c:v>1702430.3199999998</c:v>
                </c:pt>
                <c:pt idx="241">
                  <c:v>1702430.3199999998</c:v>
                </c:pt>
                <c:pt idx="242">
                  <c:v>1702430.3199999998</c:v>
                </c:pt>
                <c:pt idx="243">
                  <c:v>1702430.3199999998</c:v>
                </c:pt>
                <c:pt idx="244">
                  <c:v>1702430.3199999998</c:v>
                </c:pt>
                <c:pt idx="245">
                  <c:v>1702430.3199999998</c:v>
                </c:pt>
                <c:pt idx="246">
                  <c:v>1702430.3199999998</c:v>
                </c:pt>
                <c:pt idx="247">
                  <c:v>1702430.3199999998</c:v>
                </c:pt>
                <c:pt idx="248">
                  <c:v>1702430.3199999998</c:v>
                </c:pt>
                <c:pt idx="249">
                  <c:v>1702430.3199999998</c:v>
                </c:pt>
                <c:pt idx="250">
                  <c:v>1702430.3199999998</c:v>
                </c:pt>
                <c:pt idx="251">
                  <c:v>1702430.3199999998</c:v>
                </c:pt>
                <c:pt idx="252">
                  <c:v>1702430.3199999998</c:v>
                </c:pt>
                <c:pt idx="253">
                  <c:v>1702430.3199999998</c:v>
                </c:pt>
                <c:pt idx="254">
                  <c:v>1702430.3199999998</c:v>
                </c:pt>
                <c:pt idx="255">
                  <c:v>1702430.3199999998</c:v>
                </c:pt>
                <c:pt idx="256">
                  <c:v>1702430.3199999998</c:v>
                </c:pt>
                <c:pt idx="257">
                  <c:v>1702430.3199999998</c:v>
                </c:pt>
                <c:pt idx="258">
                  <c:v>1702430.3199999998</c:v>
                </c:pt>
                <c:pt idx="259">
                  <c:v>1702430.3199999998</c:v>
                </c:pt>
                <c:pt idx="260">
                  <c:v>1702430.3199999998</c:v>
                </c:pt>
                <c:pt idx="261">
                  <c:v>1702430.3199999998</c:v>
                </c:pt>
                <c:pt idx="262">
                  <c:v>1702430.3199999998</c:v>
                </c:pt>
                <c:pt idx="263">
                  <c:v>1702430.3199999998</c:v>
                </c:pt>
                <c:pt idx="264">
                  <c:v>1702430.3199999998</c:v>
                </c:pt>
                <c:pt idx="265">
                  <c:v>1702430.3199999998</c:v>
                </c:pt>
                <c:pt idx="266">
                  <c:v>1702430.3199999998</c:v>
                </c:pt>
                <c:pt idx="267">
                  <c:v>1702430.3199999998</c:v>
                </c:pt>
                <c:pt idx="268">
                  <c:v>1702430.3199999998</c:v>
                </c:pt>
                <c:pt idx="269">
                  <c:v>1702430.3199999998</c:v>
                </c:pt>
                <c:pt idx="270">
                  <c:v>1702430.3199999998</c:v>
                </c:pt>
                <c:pt idx="271">
                  <c:v>1702430.3199999998</c:v>
                </c:pt>
                <c:pt idx="272">
                  <c:v>1702430.3199999998</c:v>
                </c:pt>
                <c:pt idx="273">
                  <c:v>1702430.3199999998</c:v>
                </c:pt>
                <c:pt idx="274">
                  <c:v>1702430.3199999998</c:v>
                </c:pt>
                <c:pt idx="275">
                  <c:v>1702430.3199999998</c:v>
                </c:pt>
                <c:pt idx="276">
                  <c:v>1702430.3199999998</c:v>
                </c:pt>
                <c:pt idx="277">
                  <c:v>1702430.3199999998</c:v>
                </c:pt>
                <c:pt idx="278">
                  <c:v>1702430.3199999998</c:v>
                </c:pt>
                <c:pt idx="279">
                  <c:v>1702430.3199999998</c:v>
                </c:pt>
                <c:pt idx="280">
                  <c:v>1702430.3199999998</c:v>
                </c:pt>
                <c:pt idx="281">
                  <c:v>1702430.3199999998</c:v>
                </c:pt>
                <c:pt idx="282">
                  <c:v>1702430.3199999998</c:v>
                </c:pt>
                <c:pt idx="283">
                  <c:v>1702430.3199999998</c:v>
                </c:pt>
                <c:pt idx="284">
                  <c:v>1702430.3199999998</c:v>
                </c:pt>
                <c:pt idx="285">
                  <c:v>1702430.3199999998</c:v>
                </c:pt>
                <c:pt idx="286">
                  <c:v>1702430.3199999998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1518622.4879999999</c:v>
                </c:pt>
                <c:pt idx="12">
                  <c:v>1295292.4879999999</c:v>
                </c:pt>
                <c:pt idx="13">
                  <c:v>1121749.2960000001</c:v>
                </c:pt>
                <c:pt idx="14">
                  <c:v>1200282.46</c:v>
                </c:pt>
                <c:pt idx="15">
                  <c:v>1200282.46</c:v>
                </c:pt>
                <c:pt idx="16">
                  <c:v>1200282.46</c:v>
                </c:pt>
                <c:pt idx="17">
                  <c:v>1200282.46</c:v>
                </c:pt>
                <c:pt idx="18">
                  <c:v>375005.9600000002</c:v>
                </c:pt>
                <c:pt idx="19">
                  <c:v>375005.9600000002</c:v>
                </c:pt>
                <c:pt idx="20">
                  <c:v>375005.9600000002</c:v>
                </c:pt>
                <c:pt idx="21">
                  <c:v>375005.9600000002</c:v>
                </c:pt>
                <c:pt idx="22">
                  <c:v>375005.9600000002</c:v>
                </c:pt>
                <c:pt idx="23">
                  <c:v>375005.9600000002</c:v>
                </c:pt>
                <c:pt idx="24">
                  <c:v>375005.9600000002</c:v>
                </c:pt>
                <c:pt idx="25">
                  <c:v>375005.9600000002</c:v>
                </c:pt>
                <c:pt idx="26">
                  <c:v>375005.9600000002</c:v>
                </c:pt>
                <c:pt idx="27">
                  <c:v>375005.9600000002</c:v>
                </c:pt>
                <c:pt idx="28">
                  <c:v>375005.9600000002</c:v>
                </c:pt>
                <c:pt idx="29">
                  <c:v>375005.9600000002</c:v>
                </c:pt>
                <c:pt idx="30">
                  <c:v>375005.9600000002</c:v>
                </c:pt>
                <c:pt idx="31">
                  <c:v>375005.9600000002</c:v>
                </c:pt>
                <c:pt idx="32">
                  <c:v>375005.9600000002</c:v>
                </c:pt>
                <c:pt idx="33">
                  <c:v>375005.9600000002</c:v>
                </c:pt>
                <c:pt idx="34">
                  <c:v>375005.9600000002</c:v>
                </c:pt>
                <c:pt idx="35">
                  <c:v>375005.9600000002</c:v>
                </c:pt>
                <c:pt idx="36">
                  <c:v>375005.9600000002</c:v>
                </c:pt>
                <c:pt idx="37">
                  <c:v>375005.9600000002</c:v>
                </c:pt>
                <c:pt idx="38">
                  <c:v>375005.9600000002</c:v>
                </c:pt>
                <c:pt idx="39">
                  <c:v>375005.9600000002</c:v>
                </c:pt>
                <c:pt idx="40">
                  <c:v>375005.9600000002</c:v>
                </c:pt>
                <c:pt idx="41">
                  <c:v>375005.9600000002</c:v>
                </c:pt>
                <c:pt idx="42">
                  <c:v>375005.9600000002</c:v>
                </c:pt>
                <c:pt idx="43">
                  <c:v>375005.9600000002</c:v>
                </c:pt>
                <c:pt idx="44">
                  <c:v>375005.9600000002</c:v>
                </c:pt>
                <c:pt idx="45">
                  <c:v>375005.9600000002</c:v>
                </c:pt>
                <c:pt idx="46">
                  <c:v>375005.9600000002</c:v>
                </c:pt>
                <c:pt idx="47">
                  <c:v>375005.9600000002</c:v>
                </c:pt>
                <c:pt idx="48">
                  <c:v>375005.9600000002</c:v>
                </c:pt>
                <c:pt idx="49">
                  <c:v>375005.9600000002</c:v>
                </c:pt>
                <c:pt idx="50">
                  <c:v>375005.9600000002</c:v>
                </c:pt>
                <c:pt idx="51">
                  <c:v>375005.9600000002</c:v>
                </c:pt>
                <c:pt idx="52">
                  <c:v>375005.9600000002</c:v>
                </c:pt>
                <c:pt idx="53">
                  <c:v>375005.9600000002</c:v>
                </c:pt>
                <c:pt idx="54">
                  <c:v>375005.9600000002</c:v>
                </c:pt>
                <c:pt idx="55">
                  <c:v>375005.9600000002</c:v>
                </c:pt>
                <c:pt idx="56">
                  <c:v>375005.9600000002</c:v>
                </c:pt>
                <c:pt idx="57">
                  <c:v>375005.9600000002</c:v>
                </c:pt>
                <c:pt idx="58">
                  <c:v>375005.9600000002</c:v>
                </c:pt>
                <c:pt idx="59">
                  <c:v>375005.9600000002</c:v>
                </c:pt>
                <c:pt idx="60">
                  <c:v>375005.9600000002</c:v>
                </c:pt>
                <c:pt idx="61">
                  <c:v>375005.9600000002</c:v>
                </c:pt>
                <c:pt idx="62">
                  <c:v>375005.9600000002</c:v>
                </c:pt>
                <c:pt idx="63">
                  <c:v>375005.9600000002</c:v>
                </c:pt>
                <c:pt idx="64">
                  <c:v>375005.9600000002</c:v>
                </c:pt>
                <c:pt idx="65">
                  <c:v>375005.9600000002</c:v>
                </c:pt>
                <c:pt idx="66">
                  <c:v>375005.9600000002</c:v>
                </c:pt>
                <c:pt idx="67">
                  <c:v>375005.9600000002</c:v>
                </c:pt>
                <c:pt idx="68">
                  <c:v>375005.9600000002</c:v>
                </c:pt>
                <c:pt idx="69">
                  <c:v>375005.9600000002</c:v>
                </c:pt>
                <c:pt idx="70">
                  <c:v>375005.9600000002</c:v>
                </c:pt>
                <c:pt idx="71">
                  <c:v>375005.9600000002</c:v>
                </c:pt>
                <c:pt idx="72">
                  <c:v>375005.9600000002</c:v>
                </c:pt>
                <c:pt idx="73">
                  <c:v>375005.9600000002</c:v>
                </c:pt>
                <c:pt idx="74">
                  <c:v>375005.9600000002</c:v>
                </c:pt>
                <c:pt idx="75">
                  <c:v>375005.9600000002</c:v>
                </c:pt>
                <c:pt idx="76">
                  <c:v>375005.9600000002</c:v>
                </c:pt>
                <c:pt idx="77">
                  <c:v>375005.9600000002</c:v>
                </c:pt>
                <c:pt idx="78">
                  <c:v>375005.9600000002</c:v>
                </c:pt>
                <c:pt idx="79">
                  <c:v>375005.9600000002</c:v>
                </c:pt>
                <c:pt idx="80">
                  <c:v>375005.9600000002</c:v>
                </c:pt>
                <c:pt idx="81">
                  <c:v>375005.9600000002</c:v>
                </c:pt>
                <c:pt idx="82">
                  <c:v>375005.9600000002</c:v>
                </c:pt>
                <c:pt idx="83">
                  <c:v>375005.9600000002</c:v>
                </c:pt>
                <c:pt idx="84">
                  <c:v>375005.9600000002</c:v>
                </c:pt>
                <c:pt idx="85">
                  <c:v>375005.9600000002</c:v>
                </c:pt>
                <c:pt idx="86">
                  <c:v>375005.9600000002</c:v>
                </c:pt>
                <c:pt idx="87">
                  <c:v>375005.9600000002</c:v>
                </c:pt>
                <c:pt idx="88">
                  <c:v>375005.9600000002</c:v>
                </c:pt>
                <c:pt idx="89">
                  <c:v>375005.9600000002</c:v>
                </c:pt>
                <c:pt idx="90">
                  <c:v>375005.9600000002</c:v>
                </c:pt>
                <c:pt idx="91">
                  <c:v>375005.9600000002</c:v>
                </c:pt>
                <c:pt idx="92">
                  <c:v>375005.9600000002</c:v>
                </c:pt>
                <c:pt idx="93">
                  <c:v>375005.9600000002</c:v>
                </c:pt>
                <c:pt idx="94">
                  <c:v>375005.9600000002</c:v>
                </c:pt>
                <c:pt idx="95">
                  <c:v>375005.9600000002</c:v>
                </c:pt>
                <c:pt idx="96">
                  <c:v>375005.9600000002</c:v>
                </c:pt>
                <c:pt idx="97">
                  <c:v>375005.9600000002</c:v>
                </c:pt>
                <c:pt idx="98">
                  <c:v>375005.9600000002</c:v>
                </c:pt>
                <c:pt idx="99">
                  <c:v>375005.9600000002</c:v>
                </c:pt>
                <c:pt idx="100">
                  <c:v>375005.9600000002</c:v>
                </c:pt>
                <c:pt idx="101">
                  <c:v>375005.9600000002</c:v>
                </c:pt>
                <c:pt idx="102">
                  <c:v>375005.9600000002</c:v>
                </c:pt>
                <c:pt idx="103">
                  <c:v>375005.9600000002</c:v>
                </c:pt>
                <c:pt idx="104">
                  <c:v>375005.9600000002</c:v>
                </c:pt>
                <c:pt idx="105">
                  <c:v>375005.9600000002</c:v>
                </c:pt>
                <c:pt idx="106">
                  <c:v>375005.9600000002</c:v>
                </c:pt>
                <c:pt idx="107">
                  <c:v>375005.9600000002</c:v>
                </c:pt>
                <c:pt idx="108">
                  <c:v>375005.9600000002</c:v>
                </c:pt>
                <c:pt idx="109">
                  <c:v>375005.9600000002</c:v>
                </c:pt>
                <c:pt idx="110">
                  <c:v>375005.9600000002</c:v>
                </c:pt>
                <c:pt idx="111">
                  <c:v>375005.9600000002</c:v>
                </c:pt>
                <c:pt idx="112">
                  <c:v>375005.9600000002</c:v>
                </c:pt>
                <c:pt idx="113">
                  <c:v>375005.9600000002</c:v>
                </c:pt>
                <c:pt idx="114">
                  <c:v>375005.9600000002</c:v>
                </c:pt>
                <c:pt idx="115">
                  <c:v>375005.9600000002</c:v>
                </c:pt>
                <c:pt idx="116">
                  <c:v>375005.9600000002</c:v>
                </c:pt>
                <c:pt idx="117">
                  <c:v>375005.9600000002</c:v>
                </c:pt>
                <c:pt idx="118">
                  <c:v>375005.9600000002</c:v>
                </c:pt>
                <c:pt idx="119">
                  <c:v>375005.9600000002</c:v>
                </c:pt>
                <c:pt idx="120">
                  <c:v>375005.9600000002</c:v>
                </c:pt>
                <c:pt idx="121">
                  <c:v>375005.9600000002</c:v>
                </c:pt>
                <c:pt idx="122">
                  <c:v>375005.9600000002</c:v>
                </c:pt>
                <c:pt idx="123">
                  <c:v>375005.9600000002</c:v>
                </c:pt>
                <c:pt idx="124">
                  <c:v>375005.9600000002</c:v>
                </c:pt>
                <c:pt idx="125">
                  <c:v>375005.9600000002</c:v>
                </c:pt>
                <c:pt idx="126">
                  <c:v>375005.9600000002</c:v>
                </c:pt>
                <c:pt idx="127">
                  <c:v>375005.9600000002</c:v>
                </c:pt>
                <c:pt idx="128">
                  <c:v>375005.9600000002</c:v>
                </c:pt>
                <c:pt idx="129">
                  <c:v>375005.9600000002</c:v>
                </c:pt>
                <c:pt idx="130">
                  <c:v>375005.9600000002</c:v>
                </c:pt>
                <c:pt idx="131">
                  <c:v>375005.9600000002</c:v>
                </c:pt>
                <c:pt idx="132">
                  <c:v>375005.9600000002</c:v>
                </c:pt>
                <c:pt idx="133">
                  <c:v>375005.9600000002</c:v>
                </c:pt>
                <c:pt idx="134">
                  <c:v>375005.9600000002</c:v>
                </c:pt>
                <c:pt idx="135">
                  <c:v>375005.9600000002</c:v>
                </c:pt>
                <c:pt idx="136">
                  <c:v>375005.9600000002</c:v>
                </c:pt>
                <c:pt idx="137">
                  <c:v>375005.9600000002</c:v>
                </c:pt>
                <c:pt idx="138">
                  <c:v>375005.9600000002</c:v>
                </c:pt>
                <c:pt idx="139">
                  <c:v>375005.9600000002</c:v>
                </c:pt>
                <c:pt idx="140">
                  <c:v>375005.9600000002</c:v>
                </c:pt>
                <c:pt idx="141">
                  <c:v>375005.9600000002</c:v>
                </c:pt>
                <c:pt idx="142">
                  <c:v>375005.9600000002</c:v>
                </c:pt>
                <c:pt idx="143">
                  <c:v>375005.9600000002</c:v>
                </c:pt>
                <c:pt idx="144">
                  <c:v>375005.9600000002</c:v>
                </c:pt>
                <c:pt idx="145">
                  <c:v>375005.9600000002</c:v>
                </c:pt>
                <c:pt idx="146">
                  <c:v>375005.9600000002</c:v>
                </c:pt>
                <c:pt idx="147">
                  <c:v>375005.9600000002</c:v>
                </c:pt>
                <c:pt idx="148">
                  <c:v>375005.9600000002</c:v>
                </c:pt>
                <c:pt idx="149">
                  <c:v>375005.9600000002</c:v>
                </c:pt>
                <c:pt idx="150">
                  <c:v>375005.9600000002</c:v>
                </c:pt>
                <c:pt idx="151">
                  <c:v>375005.9600000002</c:v>
                </c:pt>
                <c:pt idx="152">
                  <c:v>375005.9600000002</c:v>
                </c:pt>
                <c:pt idx="153">
                  <c:v>375005.9600000002</c:v>
                </c:pt>
                <c:pt idx="154">
                  <c:v>375005.9600000002</c:v>
                </c:pt>
                <c:pt idx="155">
                  <c:v>375005.9600000002</c:v>
                </c:pt>
                <c:pt idx="156">
                  <c:v>375005.9600000002</c:v>
                </c:pt>
                <c:pt idx="157">
                  <c:v>375005.9600000002</c:v>
                </c:pt>
                <c:pt idx="158">
                  <c:v>375005.9600000002</c:v>
                </c:pt>
                <c:pt idx="159">
                  <c:v>375005.9600000002</c:v>
                </c:pt>
                <c:pt idx="160">
                  <c:v>375005.9600000002</c:v>
                </c:pt>
                <c:pt idx="161">
                  <c:v>375005.9600000002</c:v>
                </c:pt>
                <c:pt idx="162">
                  <c:v>375005.9600000002</c:v>
                </c:pt>
                <c:pt idx="163">
                  <c:v>375005.9600000002</c:v>
                </c:pt>
                <c:pt idx="164">
                  <c:v>375005.9600000002</c:v>
                </c:pt>
                <c:pt idx="165">
                  <c:v>375005.9600000002</c:v>
                </c:pt>
                <c:pt idx="166">
                  <c:v>375005.9600000002</c:v>
                </c:pt>
                <c:pt idx="167">
                  <c:v>375005.9600000002</c:v>
                </c:pt>
                <c:pt idx="168">
                  <c:v>375005.9600000002</c:v>
                </c:pt>
                <c:pt idx="169">
                  <c:v>375005.9600000002</c:v>
                </c:pt>
                <c:pt idx="170">
                  <c:v>375005.9600000002</c:v>
                </c:pt>
                <c:pt idx="171">
                  <c:v>375005.9600000002</c:v>
                </c:pt>
                <c:pt idx="172">
                  <c:v>375005.9600000002</c:v>
                </c:pt>
                <c:pt idx="173">
                  <c:v>375005.9600000002</c:v>
                </c:pt>
                <c:pt idx="174">
                  <c:v>375005.9600000002</c:v>
                </c:pt>
                <c:pt idx="175">
                  <c:v>375005.9600000002</c:v>
                </c:pt>
                <c:pt idx="176">
                  <c:v>375005.9600000002</c:v>
                </c:pt>
                <c:pt idx="177">
                  <c:v>375005.9600000002</c:v>
                </c:pt>
                <c:pt idx="178">
                  <c:v>375005.9600000002</c:v>
                </c:pt>
                <c:pt idx="179">
                  <c:v>375005.9600000002</c:v>
                </c:pt>
                <c:pt idx="180">
                  <c:v>375005.9600000002</c:v>
                </c:pt>
                <c:pt idx="181">
                  <c:v>375005.9600000002</c:v>
                </c:pt>
                <c:pt idx="182">
                  <c:v>375005.9600000002</c:v>
                </c:pt>
                <c:pt idx="183">
                  <c:v>375005.9600000002</c:v>
                </c:pt>
                <c:pt idx="184">
                  <c:v>375005.9600000002</c:v>
                </c:pt>
                <c:pt idx="185">
                  <c:v>375005.9600000002</c:v>
                </c:pt>
                <c:pt idx="186">
                  <c:v>375005.9600000002</c:v>
                </c:pt>
                <c:pt idx="187">
                  <c:v>375005.9600000002</c:v>
                </c:pt>
                <c:pt idx="188">
                  <c:v>375005.9600000002</c:v>
                </c:pt>
                <c:pt idx="189">
                  <c:v>375005.9600000002</c:v>
                </c:pt>
                <c:pt idx="190">
                  <c:v>375005.9600000002</c:v>
                </c:pt>
                <c:pt idx="191">
                  <c:v>375005.9600000002</c:v>
                </c:pt>
                <c:pt idx="192">
                  <c:v>375005.9600000002</c:v>
                </c:pt>
                <c:pt idx="193">
                  <c:v>375005.9600000002</c:v>
                </c:pt>
                <c:pt idx="194">
                  <c:v>375005.9600000002</c:v>
                </c:pt>
                <c:pt idx="195">
                  <c:v>375005.9600000002</c:v>
                </c:pt>
                <c:pt idx="196">
                  <c:v>375005.9600000002</c:v>
                </c:pt>
                <c:pt idx="197">
                  <c:v>375005.9600000002</c:v>
                </c:pt>
                <c:pt idx="198">
                  <c:v>375005.9600000002</c:v>
                </c:pt>
                <c:pt idx="199">
                  <c:v>375005.9600000002</c:v>
                </c:pt>
                <c:pt idx="200">
                  <c:v>375005.9600000002</c:v>
                </c:pt>
                <c:pt idx="201">
                  <c:v>375005.9600000002</c:v>
                </c:pt>
                <c:pt idx="202">
                  <c:v>375005.9600000002</c:v>
                </c:pt>
                <c:pt idx="203">
                  <c:v>375005.9600000002</c:v>
                </c:pt>
                <c:pt idx="204">
                  <c:v>375005.9600000002</c:v>
                </c:pt>
                <c:pt idx="205">
                  <c:v>375005.9600000002</c:v>
                </c:pt>
                <c:pt idx="206">
                  <c:v>375005.9600000002</c:v>
                </c:pt>
                <c:pt idx="207">
                  <c:v>375005.9600000002</c:v>
                </c:pt>
                <c:pt idx="208">
                  <c:v>375005.9600000002</c:v>
                </c:pt>
                <c:pt idx="209">
                  <c:v>375005.9600000002</c:v>
                </c:pt>
                <c:pt idx="210">
                  <c:v>375005.9600000002</c:v>
                </c:pt>
                <c:pt idx="211">
                  <c:v>375005.9600000002</c:v>
                </c:pt>
                <c:pt idx="212">
                  <c:v>375005.9600000002</c:v>
                </c:pt>
                <c:pt idx="213">
                  <c:v>375005.9600000002</c:v>
                </c:pt>
                <c:pt idx="214">
                  <c:v>375005.9600000002</c:v>
                </c:pt>
                <c:pt idx="215">
                  <c:v>375005.9600000002</c:v>
                </c:pt>
                <c:pt idx="216">
                  <c:v>375005.9600000002</c:v>
                </c:pt>
                <c:pt idx="217">
                  <c:v>375005.9600000002</c:v>
                </c:pt>
                <c:pt idx="218">
                  <c:v>375005.9600000002</c:v>
                </c:pt>
                <c:pt idx="219">
                  <c:v>375005.9600000002</c:v>
                </c:pt>
                <c:pt idx="220">
                  <c:v>375005.9600000002</c:v>
                </c:pt>
                <c:pt idx="221">
                  <c:v>375005.9600000002</c:v>
                </c:pt>
                <c:pt idx="222">
                  <c:v>375005.9600000002</c:v>
                </c:pt>
                <c:pt idx="223">
                  <c:v>375005.9600000002</c:v>
                </c:pt>
                <c:pt idx="224">
                  <c:v>375005.9600000002</c:v>
                </c:pt>
                <c:pt idx="225">
                  <c:v>375005.9600000002</c:v>
                </c:pt>
                <c:pt idx="226">
                  <c:v>375005.9600000002</c:v>
                </c:pt>
                <c:pt idx="227">
                  <c:v>375005.9600000002</c:v>
                </c:pt>
                <c:pt idx="228">
                  <c:v>375005.9600000002</c:v>
                </c:pt>
                <c:pt idx="229">
                  <c:v>375005.9600000002</c:v>
                </c:pt>
                <c:pt idx="230">
                  <c:v>375005.9600000002</c:v>
                </c:pt>
                <c:pt idx="231">
                  <c:v>375005.9600000002</c:v>
                </c:pt>
                <c:pt idx="232">
                  <c:v>375005.9600000002</c:v>
                </c:pt>
                <c:pt idx="233">
                  <c:v>375005.9600000002</c:v>
                </c:pt>
                <c:pt idx="234">
                  <c:v>375005.9600000002</c:v>
                </c:pt>
                <c:pt idx="235">
                  <c:v>375005.9600000002</c:v>
                </c:pt>
                <c:pt idx="236">
                  <c:v>375005.9600000002</c:v>
                </c:pt>
                <c:pt idx="237">
                  <c:v>375005.9600000002</c:v>
                </c:pt>
                <c:pt idx="238">
                  <c:v>375005.9600000002</c:v>
                </c:pt>
                <c:pt idx="239">
                  <c:v>375005.9600000002</c:v>
                </c:pt>
                <c:pt idx="240">
                  <c:v>375005.9600000002</c:v>
                </c:pt>
                <c:pt idx="241">
                  <c:v>375005.9600000002</c:v>
                </c:pt>
                <c:pt idx="242">
                  <c:v>375005.9600000002</c:v>
                </c:pt>
                <c:pt idx="243">
                  <c:v>375005.9600000002</c:v>
                </c:pt>
                <c:pt idx="244">
                  <c:v>375005.9600000002</c:v>
                </c:pt>
                <c:pt idx="245">
                  <c:v>375005.9600000002</c:v>
                </c:pt>
                <c:pt idx="246">
                  <c:v>375005.9600000002</c:v>
                </c:pt>
                <c:pt idx="247">
                  <c:v>375005.9600000002</c:v>
                </c:pt>
                <c:pt idx="248">
                  <c:v>375005.9600000002</c:v>
                </c:pt>
                <c:pt idx="249">
                  <c:v>375005.9600000002</c:v>
                </c:pt>
                <c:pt idx="250">
                  <c:v>375005.9600000002</c:v>
                </c:pt>
                <c:pt idx="251">
                  <c:v>375005.9600000002</c:v>
                </c:pt>
                <c:pt idx="252">
                  <c:v>375005.9600000002</c:v>
                </c:pt>
                <c:pt idx="253">
                  <c:v>375005.9600000002</c:v>
                </c:pt>
                <c:pt idx="254">
                  <c:v>375005.9600000002</c:v>
                </c:pt>
                <c:pt idx="255">
                  <c:v>375005.9600000002</c:v>
                </c:pt>
                <c:pt idx="256">
                  <c:v>375005.9600000002</c:v>
                </c:pt>
                <c:pt idx="257">
                  <c:v>375005.9600000002</c:v>
                </c:pt>
                <c:pt idx="258">
                  <c:v>375005.9600000002</c:v>
                </c:pt>
                <c:pt idx="259">
                  <c:v>375005.9600000002</c:v>
                </c:pt>
                <c:pt idx="260">
                  <c:v>375005.9600000002</c:v>
                </c:pt>
                <c:pt idx="261">
                  <c:v>375005.9600000002</c:v>
                </c:pt>
                <c:pt idx="262">
                  <c:v>375005.9600000002</c:v>
                </c:pt>
                <c:pt idx="263">
                  <c:v>375005.9600000002</c:v>
                </c:pt>
                <c:pt idx="264">
                  <c:v>375005.9600000002</c:v>
                </c:pt>
                <c:pt idx="265">
                  <c:v>375005.9600000002</c:v>
                </c:pt>
                <c:pt idx="266">
                  <c:v>375005.9600000002</c:v>
                </c:pt>
                <c:pt idx="267">
                  <c:v>375005.9600000002</c:v>
                </c:pt>
                <c:pt idx="268">
                  <c:v>375005.9600000002</c:v>
                </c:pt>
                <c:pt idx="269">
                  <c:v>375005.9600000002</c:v>
                </c:pt>
                <c:pt idx="270">
                  <c:v>375005.9600000002</c:v>
                </c:pt>
                <c:pt idx="271">
                  <c:v>375005.9600000002</c:v>
                </c:pt>
                <c:pt idx="272">
                  <c:v>375005.9600000002</c:v>
                </c:pt>
                <c:pt idx="273">
                  <c:v>375005.9600000002</c:v>
                </c:pt>
                <c:pt idx="274">
                  <c:v>375005.9600000002</c:v>
                </c:pt>
                <c:pt idx="275">
                  <c:v>375005.9600000002</c:v>
                </c:pt>
                <c:pt idx="276">
                  <c:v>375005.9600000002</c:v>
                </c:pt>
                <c:pt idx="277">
                  <c:v>375005.9600000002</c:v>
                </c:pt>
                <c:pt idx="278">
                  <c:v>375005.9600000002</c:v>
                </c:pt>
                <c:pt idx="279">
                  <c:v>375005.9600000002</c:v>
                </c:pt>
                <c:pt idx="280">
                  <c:v>375005.9600000002</c:v>
                </c:pt>
                <c:pt idx="281">
                  <c:v>375005.9600000002</c:v>
                </c:pt>
                <c:pt idx="282">
                  <c:v>375005.9600000002</c:v>
                </c:pt>
                <c:pt idx="283">
                  <c:v>375005.9600000002</c:v>
                </c:pt>
                <c:pt idx="284">
                  <c:v>375005.9600000002</c:v>
                </c:pt>
                <c:pt idx="285">
                  <c:v>375005.9600000002</c:v>
                </c:pt>
                <c:pt idx="286">
                  <c:v>375005.9600000002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1765820.838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975</c:v>
                </c:pt>
                <c:pt idx="6">
                  <c:v>975</c:v>
                </c:pt>
                <c:pt idx="7">
                  <c:v>975</c:v>
                </c:pt>
                <c:pt idx="8">
                  <c:v>975</c:v>
                </c:pt>
                <c:pt idx="9">
                  <c:v>50743.729999999996</c:v>
                </c:pt>
                <c:pt idx="10">
                  <c:v>50765.069999999992</c:v>
                </c:pt>
                <c:pt idx="11">
                  <c:v>63526.923999999992</c:v>
                </c:pt>
                <c:pt idx="12">
                  <c:v>359977.26900000003</c:v>
                </c:pt>
                <c:pt idx="13">
                  <c:v>376578.86900000001</c:v>
                </c:pt>
                <c:pt idx="14">
                  <c:v>376578.86900000001</c:v>
                </c:pt>
                <c:pt idx="15">
                  <c:v>389874.32500000001</c:v>
                </c:pt>
                <c:pt idx="16">
                  <c:v>389874.32500000001</c:v>
                </c:pt>
                <c:pt idx="17">
                  <c:v>462638.96500000003</c:v>
                </c:pt>
                <c:pt idx="18">
                  <c:v>498457.58500000002</c:v>
                </c:pt>
                <c:pt idx="19">
                  <c:v>1218498.2849999999</c:v>
                </c:pt>
                <c:pt idx="20">
                  <c:v>1224141.885</c:v>
                </c:pt>
                <c:pt idx="21">
                  <c:v>1249026.2224999999</c:v>
                </c:pt>
                <c:pt idx="22">
                  <c:v>1314306.4075</c:v>
                </c:pt>
                <c:pt idx="23">
                  <c:v>1388959.51</c:v>
                </c:pt>
                <c:pt idx="24">
                  <c:v>1388959.51</c:v>
                </c:pt>
                <c:pt idx="25">
                  <c:v>1414927.4635000001</c:v>
                </c:pt>
                <c:pt idx="26">
                  <c:v>1414927.4635000001</c:v>
                </c:pt>
                <c:pt idx="27">
                  <c:v>1439811.821</c:v>
                </c:pt>
                <c:pt idx="28">
                  <c:v>1439811.821</c:v>
                </c:pt>
                <c:pt idx="29">
                  <c:v>1445811.821</c:v>
                </c:pt>
                <c:pt idx="30">
                  <c:v>1445811.821</c:v>
                </c:pt>
                <c:pt idx="31">
                  <c:v>1445811.821</c:v>
                </c:pt>
                <c:pt idx="32">
                  <c:v>1445811.821</c:v>
                </c:pt>
                <c:pt idx="33">
                  <c:v>1445811.821</c:v>
                </c:pt>
                <c:pt idx="34">
                  <c:v>1445811.821</c:v>
                </c:pt>
                <c:pt idx="35">
                  <c:v>1445811.821</c:v>
                </c:pt>
                <c:pt idx="36">
                  <c:v>1445811.821</c:v>
                </c:pt>
                <c:pt idx="37">
                  <c:v>1445811.821</c:v>
                </c:pt>
                <c:pt idx="38">
                  <c:v>1445811.821</c:v>
                </c:pt>
                <c:pt idx="39">
                  <c:v>1445811.821</c:v>
                </c:pt>
                <c:pt idx="40">
                  <c:v>1445811.821</c:v>
                </c:pt>
                <c:pt idx="41">
                  <c:v>1445811.821</c:v>
                </c:pt>
                <c:pt idx="42">
                  <c:v>1445811.821</c:v>
                </c:pt>
                <c:pt idx="43">
                  <c:v>1445811.821</c:v>
                </c:pt>
                <c:pt idx="44">
                  <c:v>1445811.821</c:v>
                </c:pt>
                <c:pt idx="45">
                  <c:v>1445811.821</c:v>
                </c:pt>
                <c:pt idx="46">
                  <c:v>1445811.821</c:v>
                </c:pt>
                <c:pt idx="47">
                  <c:v>1445811.821</c:v>
                </c:pt>
                <c:pt idx="48">
                  <c:v>1445811.821</c:v>
                </c:pt>
                <c:pt idx="49">
                  <c:v>1445811.821</c:v>
                </c:pt>
                <c:pt idx="50">
                  <c:v>1445811.821</c:v>
                </c:pt>
                <c:pt idx="51">
                  <c:v>1445811.821</c:v>
                </c:pt>
                <c:pt idx="52">
                  <c:v>1445811.821</c:v>
                </c:pt>
                <c:pt idx="53">
                  <c:v>1445811.821</c:v>
                </c:pt>
                <c:pt idx="54">
                  <c:v>1445811.821</c:v>
                </c:pt>
                <c:pt idx="55">
                  <c:v>1445811.821</c:v>
                </c:pt>
                <c:pt idx="56">
                  <c:v>1445811.821</c:v>
                </c:pt>
                <c:pt idx="57">
                  <c:v>1445811.821</c:v>
                </c:pt>
                <c:pt idx="58">
                  <c:v>1445811.821</c:v>
                </c:pt>
                <c:pt idx="59">
                  <c:v>1445811.821</c:v>
                </c:pt>
                <c:pt idx="60">
                  <c:v>1445811.821</c:v>
                </c:pt>
                <c:pt idx="61">
                  <c:v>1445811.821</c:v>
                </c:pt>
                <c:pt idx="62">
                  <c:v>1445811.821</c:v>
                </c:pt>
                <c:pt idx="63">
                  <c:v>1445811.821</c:v>
                </c:pt>
                <c:pt idx="64">
                  <c:v>1445811.821</c:v>
                </c:pt>
                <c:pt idx="65">
                  <c:v>1445811.821</c:v>
                </c:pt>
                <c:pt idx="66">
                  <c:v>1445811.821</c:v>
                </c:pt>
                <c:pt idx="67">
                  <c:v>1445811.821</c:v>
                </c:pt>
                <c:pt idx="68">
                  <c:v>1445811.821</c:v>
                </c:pt>
                <c:pt idx="69">
                  <c:v>1445811.821</c:v>
                </c:pt>
                <c:pt idx="70">
                  <c:v>1445811.821</c:v>
                </c:pt>
                <c:pt idx="71">
                  <c:v>1445811.821</c:v>
                </c:pt>
                <c:pt idx="72">
                  <c:v>1445811.821</c:v>
                </c:pt>
                <c:pt idx="73">
                  <c:v>1445811.821</c:v>
                </c:pt>
                <c:pt idx="74">
                  <c:v>1445811.821</c:v>
                </c:pt>
                <c:pt idx="75">
                  <c:v>1445811.821</c:v>
                </c:pt>
                <c:pt idx="76">
                  <c:v>1445811.821</c:v>
                </c:pt>
                <c:pt idx="77">
                  <c:v>1445811.821</c:v>
                </c:pt>
                <c:pt idx="78">
                  <c:v>1445811.821</c:v>
                </c:pt>
                <c:pt idx="79">
                  <c:v>1445811.821</c:v>
                </c:pt>
                <c:pt idx="80">
                  <c:v>1445811.821</c:v>
                </c:pt>
                <c:pt idx="81">
                  <c:v>1445811.821</c:v>
                </c:pt>
                <c:pt idx="82">
                  <c:v>1445811.821</c:v>
                </c:pt>
                <c:pt idx="83">
                  <c:v>1445811.821</c:v>
                </c:pt>
                <c:pt idx="84">
                  <c:v>1445811.821</c:v>
                </c:pt>
                <c:pt idx="85">
                  <c:v>1445811.821</c:v>
                </c:pt>
                <c:pt idx="86">
                  <c:v>1445811.821</c:v>
                </c:pt>
                <c:pt idx="87">
                  <c:v>1445811.821</c:v>
                </c:pt>
                <c:pt idx="88">
                  <c:v>1445811.821</c:v>
                </c:pt>
                <c:pt idx="89">
                  <c:v>1445811.821</c:v>
                </c:pt>
                <c:pt idx="90">
                  <c:v>1445811.821</c:v>
                </c:pt>
                <c:pt idx="91">
                  <c:v>1445811.821</c:v>
                </c:pt>
                <c:pt idx="92">
                  <c:v>1445811.821</c:v>
                </c:pt>
                <c:pt idx="93">
                  <c:v>1445811.821</c:v>
                </c:pt>
                <c:pt idx="94">
                  <c:v>1445811.821</c:v>
                </c:pt>
                <c:pt idx="95">
                  <c:v>1445811.821</c:v>
                </c:pt>
                <c:pt idx="96">
                  <c:v>1445811.821</c:v>
                </c:pt>
                <c:pt idx="97">
                  <c:v>1445811.821</c:v>
                </c:pt>
                <c:pt idx="98">
                  <c:v>1445811.821</c:v>
                </c:pt>
                <c:pt idx="99">
                  <c:v>1445811.821</c:v>
                </c:pt>
                <c:pt idx="100">
                  <c:v>1445811.821</c:v>
                </c:pt>
                <c:pt idx="101">
                  <c:v>1445811.821</c:v>
                </c:pt>
                <c:pt idx="102">
                  <c:v>1445811.821</c:v>
                </c:pt>
                <c:pt idx="103">
                  <c:v>1445811.821</c:v>
                </c:pt>
                <c:pt idx="104">
                  <c:v>1445811.821</c:v>
                </c:pt>
                <c:pt idx="105">
                  <c:v>1445811.821</c:v>
                </c:pt>
                <c:pt idx="106">
                  <c:v>1445811.821</c:v>
                </c:pt>
                <c:pt idx="107">
                  <c:v>1445811.821</c:v>
                </c:pt>
                <c:pt idx="108">
                  <c:v>1445811.821</c:v>
                </c:pt>
                <c:pt idx="109">
                  <c:v>1445811.821</c:v>
                </c:pt>
                <c:pt idx="110">
                  <c:v>1445811.821</c:v>
                </c:pt>
                <c:pt idx="111">
                  <c:v>1445811.821</c:v>
                </c:pt>
                <c:pt idx="112">
                  <c:v>1445811.821</c:v>
                </c:pt>
                <c:pt idx="113">
                  <c:v>1445811.821</c:v>
                </c:pt>
                <c:pt idx="114">
                  <c:v>1445811.821</c:v>
                </c:pt>
                <c:pt idx="115">
                  <c:v>1445811.821</c:v>
                </c:pt>
                <c:pt idx="116">
                  <c:v>1445811.821</c:v>
                </c:pt>
                <c:pt idx="117">
                  <c:v>1445811.821</c:v>
                </c:pt>
                <c:pt idx="118">
                  <c:v>1445811.821</c:v>
                </c:pt>
                <c:pt idx="119">
                  <c:v>1445811.821</c:v>
                </c:pt>
                <c:pt idx="120">
                  <c:v>1445811.821</c:v>
                </c:pt>
                <c:pt idx="121">
                  <c:v>1445811.821</c:v>
                </c:pt>
                <c:pt idx="122">
                  <c:v>1445811.821</c:v>
                </c:pt>
                <c:pt idx="123">
                  <c:v>1445811.821</c:v>
                </c:pt>
                <c:pt idx="124">
                  <c:v>1445811.821</c:v>
                </c:pt>
                <c:pt idx="125">
                  <c:v>1445811.821</c:v>
                </c:pt>
                <c:pt idx="126">
                  <c:v>1445811.821</c:v>
                </c:pt>
                <c:pt idx="127">
                  <c:v>1445811.821</c:v>
                </c:pt>
                <c:pt idx="128">
                  <c:v>1445811.821</c:v>
                </c:pt>
                <c:pt idx="129">
                  <c:v>1445811.821</c:v>
                </c:pt>
                <c:pt idx="130">
                  <c:v>1445811.821</c:v>
                </c:pt>
                <c:pt idx="131">
                  <c:v>1445811.821</c:v>
                </c:pt>
                <c:pt idx="132">
                  <c:v>1445811.821</c:v>
                </c:pt>
                <c:pt idx="133">
                  <c:v>1445811.821</c:v>
                </c:pt>
                <c:pt idx="134">
                  <c:v>1445811.821</c:v>
                </c:pt>
                <c:pt idx="135">
                  <c:v>1445811.821</c:v>
                </c:pt>
                <c:pt idx="136">
                  <c:v>1445811.821</c:v>
                </c:pt>
                <c:pt idx="137">
                  <c:v>1445811.821</c:v>
                </c:pt>
                <c:pt idx="138">
                  <c:v>1445811.821</c:v>
                </c:pt>
                <c:pt idx="139">
                  <c:v>1445811.821</c:v>
                </c:pt>
                <c:pt idx="140">
                  <c:v>1445811.821</c:v>
                </c:pt>
                <c:pt idx="141">
                  <c:v>1445811.821</c:v>
                </c:pt>
                <c:pt idx="142">
                  <c:v>1445811.821</c:v>
                </c:pt>
                <c:pt idx="143">
                  <c:v>1445811.821</c:v>
                </c:pt>
                <c:pt idx="144">
                  <c:v>1445811.821</c:v>
                </c:pt>
                <c:pt idx="145">
                  <c:v>1445811.821</c:v>
                </c:pt>
                <c:pt idx="146">
                  <c:v>1445811.821</c:v>
                </c:pt>
                <c:pt idx="147">
                  <c:v>1445811.821</c:v>
                </c:pt>
                <c:pt idx="148">
                  <c:v>1445811.821</c:v>
                </c:pt>
                <c:pt idx="149">
                  <c:v>1445811.821</c:v>
                </c:pt>
                <c:pt idx="150">
                  <c:v>1445811.821</c:v>
                </c:pt>
                <c:pt idx="151">
                  <c:v>1445811.821</c:v>
                </c:pt>
                <c:pt idx="152">
                  <c:v>1445811.821</c:v>
                </c:pt>
                <c:pt idx="153">
                  <c:v>1445811.821</c:v>
                </c:pt>
                <c:pt idx="154">
                  <c:v>1445811.821</c:v>
                </c:pt>
                <c:pt idx="155">
                  <c:v>1445811.821</c:v>
                </c:pt>
                <c:pt idx="156">
                  <c:v>1445811.821</c:v>
                </c:pt>
                <c:pt idx="157">
                  <c:v>1445811.821</c:v>
                </c:pt>
                <c:pt idx="158">
                  <c:v>1445811.821</c:v>
                </c:pt>
                <c:pt idx="159">
                  <c:v>1445811.821</c:v>
                </c:pt>
                <c:pt idx="160">
                  <c:v>1445811.821</c:v>
                </c:pt>
                <c:pt idx="161">
                  <c:v>1445811.821</c:v>
                </c:pt>
                <c:pt idx="162">
                  <c:v>1445811.821</c:v>
                </c:pt>
                <c:pt idx="163">
                  <c:v>1445811.821</c:v>
                </c:pt>
                <c:pt idx="164">
                  <c:v>1445811.821</c:v>
                </c:pt>
                <c:pt idx="165">
                  <c:v>1445811.821</c:v>
                </c:pt>
                <c:pt idx="166">
                  <c:v>1445811.821</c:v>
                </c:pt>
                <c:pt idx="167">
                  <c:v>1445811.821</c:v>
                </c:pt>
                <c:pt idx="168">
                  <c:v>1445811.821</c:v>
                </c:pt>
                <c:pt idx="169">
                  <c:v>1445811.821</c:v>
                </c:pt>
                <c:pt idx="170">
                  <c:v>1445811.821</c:v>
                </c:pt>
                <c:pt idx="171">
                  <c:v>1445811.821</c:v>
                </c:pt>
                <c:pt idx="172">
                  <c:v>1445811.821</c:v>
                </c:pt>
                <c:pt idx="173">
                  <c:v>1445811.821</c:v>
                </c:pt>
                <c:pt idx="174">
                  <c:v>1445811.821</c:v>
                </c:pt>
                <c:pt idx="175">
                  <c:v>1445811.821</c:v>
                </c:pt>
                <c:pt idx="176">
                  <c:v>1445811.821</c:v>
                </c:pt>
                <c:pt idx="177">
                  <c:v>1445811.821</c:v>
                </c:pt>
                <c:pt idx="178">
                  <c:v>1445811.821</c:v>
                </c:pt>
                <c:pt idx="179">
                  <c:v>1445811.821</c:v>
                </c:pt>
                <c:pt idx="180">
                  <c:v>1445811.821</c:v>
                </c:pt>
                <c:pt idx="181">
                  <c:v>1445811.821</c:v>
                </c:pt>
                <c:pt idx="182">
                  <c:v>1445811.821</c:v>
                </c:pt>
                <c:pt idx="183">
                  <c:v>1445811.821</c:v>
                </c:pt>
                <c:pt idx="184">
                  <c:v>1445811.821</c:v>
                </c:pt>
                <c:pt idx="185">
                  <c:v>1445811.821</c:v>
                </c:pt>
                <c:pt idx="186">
                  <c:v>1445811.821</c:v>
                </c:pt>
                <c:pt idx="187">
                  <c:v>1445811.821</c:v>
                </c:pt>
                <c:pt idx="188">
                  <c:v>1445811.821</c:v>
                </c:pt>
                <c:pt idx="189">
                  <c:v>1445811.821</c:v>
                </c:pt>
                <c:pt idx="190">
                  <c:v>1445811.821</c:v>
                </c:pt>
                <c:pt idx="191">
                  <c:v>1445811.821</c:v>
                </c:pt>
                <c:pt idx="192">
                  <c:v>1445811.821</c:v>
                </c:pt>
                <c:pt idx="193">
                  <c:v>1445811.821</c:v>
                </c:pt>
                <c:pt idx="194">
                  <c:v>1445811.821</c:v>
                </c:pt>
                <c:pt idx="195">
                  <c:v>1445811.821</c:v>
                </c:pt>
                <c:pt idx="196">
                  <c:v>1445811.821</c:v>
                </c:pt>
                <c:pt idx="197">
                  <c:v>1445811.821</c:v>
                </c:pt>
                <c:pt idx="198">
                  <c:v>1445811.821</c:v>
                </c:pt>
                <c:pt idx="199">
                  <c:v>1445811.821</c:v>
                </c:pt>
                <c:pt idx="200">
                  <c:v>1445811.821</c:v>
                </c:pt>
                <c:pt idx="201">
                  <c:v>1445811.821</c:v>
                </c:pt>
                <c:pt idx="202">
                  <c:v>1445811.821</c:v>
                </c:pt>
                <c:pt idx="203">
                  <c:v>1445811.821</c:v>
                </c:pt>
                <c:pt idx="204">
                  <c:v>1445811.821</c:v>
                </c:pt>
                <c:pt idx="205">
                  <c:v>1445811.821</c:v>
                </c:pt>
                <c:pt idx="206">
                  <c:v>1445811.821</c:v>
                </c:pt>
                <c:pt idx="207">
                  <c:v>1445811.821</c:v>
                </c:pt>
                <c:pt idx="208">
                  <c:v>1445811.821</c:v>
                </c:pt>
                <c:pt idx="209">
                  <c:v>1445811.821</c:v>
                </c:pt>
                <c:pt idx="210">
                  <c:v>1445811.821</c:v>
                </c:pt>
                <c:pt idx="211">
                  <c:v>1445811.821</c:v>
                </c:pt>
                <c:pt idx="212">
                  <c:v>1445811.821</c:v>
                </c:pt>
                <c:pt idx="213">
                  <c:v>1445811.821</c:v>
                </c:pt>
                <c:pt idx="214">
                  <c:v>1445811.821</c:v>
                </c:pt>
                <c:pt idx="215">
                  <c:v>1445811.821</c:v>
                </c:pt>
                <c:pt idx="216">
                  <c:v>1445811.821</c:v>
                </c:pt>
                <c:pt idx="217">
                  <c:v>1445811.821</c:v>
                </c:pt>
                <c:pt idx="218">
                  <c:v>1445811.821</c:v>
                </c:pt>
                <c:pt idx="219">
                  <c:v>1445811.821</c:v>
                </c:pt>
                <c:pt idx="220">
                  <c:v>1445811.821</c:v>
                </c:pt>
                <c:pt idx="221">
                  <c:v>1445811.821</c:v>
                </c:pt>
                <c:pt idx="222">
                  <c:v>1445811.821</c:v>
                </c:pt>
                <c:pt idx="223">
                  <c:v>1445811.821</c:v>
                </c:pt>
                <c:pt idx="224">
                  <c:v>1445811.821</c:v>
                </c:pt>
                <c:pt idx="225">
                  <c:v>1445811.821</c:v>
                </c:pt>
                <c:pt idx="226">
                  <c:v>1445811.821</c:v>
                </c:pt>
                <c:pt idx="227">
                  <c:v>1445811.821</c:v>
                </c:pt>
                <c:pt idx="228">
                  <c:v>1445811.821</c:v>
                </c:pt>
                <c:pt idx="229">
                  <c:v>1445811.821</c:v>
                </c:pt>
                <c:pt idx="230">
                  <c:v>1445811.821</c:v>
                </c:pt>
                <c:pt idx="231">
                  <c:v>1445811.821</c:v>
                </c:pt>
                <c:pt idx="232">
                  <c:v>1445811.821</c:v>
                </c:pt>
                <c:pt idx="233">
                  <c:v>1445811.821</c:v>
                </c:pt>
                <c:pt idx="234">
                  <c:v>1445811.821</c:v>
                </c:pt>
                <c:pt idx="235">
                  <c:v>1445811.821</c:v>
                </c:pt>
                <c:pt idx="236">
                  <c:v>1445811.821</c:v>
                </c:pt>
                <c:pt idx="237">
                  <c:v>1445811.821</c:v>
                </c:pt>
                <c:pt idx="238">
                  <c:v>1445811.821</c:v>
                </c:pt>
                <c:pt idx="239">
                  <c:v>1445811.821</c:v>
                </c:pt>
                <c:pt idx="240">
                  <c:v>1445811.821</c:v>
                </c:pt>
                <c:pt idx="241">
                  <c:v>1445811.821</c:v>
                </c:pt>
                <c:pt idx="242">
                  <c:v>1445811.821</c:v>
                </c:pt>
                <c:pt idx="243">
                  <c:v>1445811.821</c:v>
                </c:pt>
                <c:pt idx="244">
                  <c:v>1445811.821</c:v>
                </c:pt>
                <c:pt idx="245">
                  <c:v>1445811.821</c:v>
                </c:pt>
                <c:pt idx="246">
                  <c:v>1445811.821</c:v>
                </c:pt>
                <c:pt idx="247">
                  <c:v>1445811.821</c:v>
                </c:pt>
                <c:pt idx="248">
                  <c:v>1445811.821</c:v>
                </c:pt>
                <c:pt idx="249">
                  <c:v>1445811.821</c:v>
                </c:pt>
                <c:pt idx="250">
                  <c:v>1445811.821</c:v>
                </c:pt>
                <c:pt idx="251">
                  <c:v>1445811.821</c:v>
                </c:pt>
                <c:pt idx="252">
                  <c:v>1445811.821</c:v>
                </c:pt>
                <c:pt idx="253">
                  <c:v>1445811.821</c:v>
                </c:pt>
                <c:pt idx="254">
                  <c:v>1445811.821</c:v>
                </c:pt>
                <c:pt idx="255">
                  <c:v>1445811.821</c:v>
                </c:pt>
                <c:pt idx="256">
                  <c:v>1445811.821</c:v>
                </c:pt>
                <c:pt idx="257">
                  <c:v>1445811.821</c:v>
                </c:pt>
                <c:pt idx="258">
                  <c:v>1445811.821</c:v>
                </c:pt>
                <c:pt idx="259">
                  <c:v>1445811.821</c:v>
                </c:pt>
                <c:pt idx="260">
                  <c:v>1445811.821</c:v>
                </c:pt>
                <c:pt idx="261">
                  <c:v>1445811.821</c:v>
                </c:pt>
                <c:pt idx="262">
                  <c:v>1445811.821</c:v>
                </c:pt>
                <c:pt idx="263">
                  <c:v>1445811.821</c:v>
                </c:pt>
                <c:pt idx="264">
                  <c:v>1445811.821</c:v>
                </c:pt>
                <c:pt idx="265">
                  <c:v>1445811.821</c:v>
                </c:pt>
                <c:pt idx="266">
                  <c:v>1445811.821</c:v>
                </c:pt>
                <c:pt idx="267">
                  <c:v>1445811.821</c:v>
                </c:pt>
                <c:pt idx="268">
                  <c:v>1445811.821</c:v>
                </c:pt>
                <c:pt idx="269">
                  <c:v>1445811.821</c:v>
                </c:pt>
                <c:pt idx="270">
                  <c:v>1445811.821</c:v>
                </c:pt>
                <c:pt idx="271">
                  <c:v>1445811.821</c:v>
                </c:pt>
                <c:pt idx="272">
                  <c:v>1445811.821</c:v>
                </c:pt>
                <c:pt idx="273">
                  <c:v>1445811.821</c:v>
                </c:pt>
                <c:pt idx="274">
                  <c:v>1445811.821</c:v>
                </c:pt>
                <c:pt idx="275">
                  <c:v>1445811.821</c:v>
                </c:pt>
                <c:pt idx="276">
                  <c:v>1445811.821</c:v>
                </c:pt>
                <c:pt idx="277">
                  <c:v>1445811.821</c:v>
                </c:pt>
                <c:pt idx="278">
                  <c:v>1445811.821</c:v>
                </c:pt>
                <c:pt idx="279">
                  <c:v>1445811.821</c:v>
                </c:pt>
                <c:pt idx="280">
                  <c:v>1445811.821</c:v>
                </c:pt>
                <c:pt idx="281">
                  <c:v>1445811.821</c:v>
                </c:pt>
                <c:pt idx="282">
                  <c:v>1445811.821</c:v>
                </c:pt>
                <c:pt idx="283">
                  <c:v>1445811.821</c:v>
                </c:pt>
                <c:pt idx="284">
                  <c:v>1445811.821</c:v>
                </c:pt>
                <c:pt idx="285">
                  <c:v>1445811.821</c:v>
                </c:pt>
                <c:pt idx="286">
                  <c:v>1445811.821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-975</c:v>
                </c:pt>
                <c:pt idx="6">
                  <c:v>-975</c:v>
                </c:pt>
                <c:pt idx="7">
                  <c:v>-975</c:v>
                </c:pt>
                <c:pt idx="8">
                  <c:v>-975</c:v>
                </c:pt>
                <c:pt idx="9">
                  <c:v>-50743.729999999996</c:v>
                </c:pt>
                <c:pt idx="10">
                  <c:v>1715055.7679999999</c:v>
                </c:pt>
                <c:pt idx="11">
                  <c:v>1702293.9140000001</c:v>
                </c:pt>
                <c:pt idx="12">
                  <c:v>1405843.5689999999</c:v>
                </c:pt>
                <c:pt idx="13">
                  <c:v>1389241.969</c:v>
                </c:pt>
                <c:pt idx="14">
                  <c:v>1700857.4110000001</c:v>
                </c:pt>
                <c:pt idx="15">
                  <c:v>1687561.9550000001</c:v>
                </c:pt>
                <c:pt idx="16">
                  <c:v>1687561.9550000001</c:v>
                </c:pt>
                <c:pt idx="17">
                  <c:v>1614797.3149999999</c:v>
                </c:pt>
                <c:pt idx="18">
                  <c:v>1578978.6950000001</c:v>
                </c:pt>
                <c:pt idx="19">
                  <c:v>858937.99500000011</c:v>
                </c:pt>
                <c:pt idx="20">
                  <c:v>853294.39500000002</c:v>
                </c:pt>
                <c:pt idx="21">
                  <c:v>828410.05750000011</c:v>
                </c:pt>
                <c:pt idx="22">
                  <c:v>763129.87250000006</c:v>
                </c:pt>
                <c:pt idx="23">
                  <c:v>688476.77</c:v>
                </c:pt>
                <c:pt idx="24">
                  <c:v>688476.77</c:v>
                </c:pt>
                <c:pt idx="25">
                  <c:v>662508.81649999996</c:v>
                </c:pt>
                <c:pt idx="26">
                  <c:v>662508.81649999996</c:v>
                </c:pt>
                <c:pt idx="27">
                  <c:v>637624.45900000003</c:v>
                </c:pt>
                <c:pt idx="28">
                  <c:v>637624.45900000003</c:v>
                </c:pt>
                <c:pt idx="29">
                  <c:v>631624.45900000003</c:v>
                </c:pt>
                <c:pt idx="30">
                  <c:v>631624.45900000003</c:v>
                </c:pt>
                <c:pt idx="31">
                  <c:v>631624.45900000003</c:v>
                </c:pt>
                <c:pt idx="32">
                  <c:v>631624.45900000003</c:v>
                </c:pt>
                <c:pt idx="33">
                  <c:v>631624.45900000003</c:v>
                </c:pt>
                <c:pt idx="34">
                  <c:v>631624.45900000003</c:v>
                </c:pt>
                <c:pt idx="35">
                  <c:v>631624.45900000003</c:v>
                </c:pt>
                <c:pt idx="36">
                  <c:v>631624.45900000003</c:v>
                </c:pt>
                <c:pt idx="37">
                  <c:v>631624.45900000003</c:v>
                </c:pt>
                <c:pt idx="38">
                  <c:v>631624.45900000003</c:v>
                </c:pt>
                <c:pt idx="39">
                  <c:v>631624.45900000003</c:v>
                </c:pt>
                <c:pt idx="40">
                  <c:v>631624.45900000003</c:v>
                </c:pt>
                <c:pt idx="41">
                  <c:v>631624.45900000003</c:v>
                </c:pt>
                <c:pt idx="42">
                  <c:v>631624.45900000003</c:v>
                </c:pt>
                <c:pt idx="43">
                  <c:v>631624.45900000003</c:v>
                </c:pt>
                <c:pt idx="44">
                  <c:v>631624.45900000003</c:v>
                </c:pt>
                <c:pt idx="45">
                  <c:v>631624.45900000003</c:v>
                </c:pt>
                <c:pt idx="46">
                  <c:v>631624.45900000003</c:v>
                </c:pt>
                <c:pt idx="47">
                  <c:v>631624.45900000003</c:v>
                </c:pt>
                <c:pt idx="48">
                  <c:v>631624.45900000003</c:v>
                </c:pt>
                <c:pt idx="49">
                  <c:v>631624.45900000003</c:v>
                </c:pt>
                <c:pt idx="50">
                  <c:v>631624.45900000003</c:v>
                </c:pt>
                <c:pt idx="51">
                  <c:v>631624.45900000003</c:v>
                </c:pt>
                <c:pt idx="52">
                  <c:v>631624.45900000003</c:v>
                </c:pt>
                <c:pt idx="53">
                  <c:v>631624.45900000003</c:v>
                </c:pt>
                <c:pt idx="54">
                  <c:v>631624.45900000003</c:v>
                </c:pt>
                <c:pt idx="55">
                  <c:v>631624.45900000003</c:v>
                </c:pt>
                <c:pt idx="56">
                  <c:v>631624.45900000003</c:v>
                </c:pt>
                <c:pt idx="57">
                  <c:v>631624.45900000003</c:v>
                </c:pt>
                <c:pt idx="58">
                  <c:v>631624.45900000003</c:v>
                </c:pt>
                <c:pt idx="59">
                  <c:v>631624.45900000003</c:v>
                </c:pt>
                <c:pt idx="60">
                  <c:v>631624.45900000003</c:v>
                </c:pt>
                <c:pt idx="61">
                  <c:v>631624.45900000003</c:v>
                </c:pt>
                <c:pt idx="62">
                  <c:v>631624.45900000003</c:v>
                </c:pt>
                <c:pt idx="63">
                  <c:v>631624.45900000003</c:v>
                </c:pt>
                <c:pt idx="64">
                  <c:v>631624.45900000003</c:v>
                </c:pt>
                <c:pt idx="65">
                  <c:v>631624.45900000003</c:v>
                </c:pt>
                <c:pt idx="66">
                  <c:v>631624.45900000003</c:v>
                </c:pt>
                <c:pt idx="67">
                  <c:v>631624.45900000003</c:v>
                </c:pt>
                <c:pt idx="68">
                  <c:v>631624.45900000003</c:v>
                </c:pt>
                <c:pt idx="69">
                  <c:v>631624.45900000003</c:v>
                </c:pt>
                <c:pt idx="70">
                  <c:v>631624.45900000003</c:v>
                </c:pt>
                <c:pt idx="71">
                  <c:v>631624.45900000003</c:v>
                </c:pt>
                <c:pt idx="72">
                  <c:v>631624.45900000003</c:v>
                </c:pt>
                <c:pt idx="73">
                  <c:v>631624.45900000003</c:v>
                </c:pt>
                <c:pt idx="74">
                  <c:v>631624.45900000003</c:v>
                </c:pt>
                <c:pt idx="75">
                  <c:v>631624.45900000003</c:v>
                </c:pt>
                <c:pt idx="76">
                  <c:v>631624.45900000003</c:v>
                </c:pt>
                <c:pt idx="77">
                  <c:v>631624.45900000003</c:v>
                </c:pt>
                <c:pt idx="78">
                  <c:v>631624.45900000003</c:v>
                </c:pt>
                <c:pt idx="79">
                  <c:v>631624.45900000003</c:v>
                </c:pt>
                <c:pt idx="80">
                  <c:v>631624.45900000003</c:v>
                </c:pt>
                <c:pt idx="81">
                  <c:v>631624.45900000003</c:v>
                </c:pt>
                <c:pt idx="82">
                  <c:v>631624.45900000003</c:v>
                </c:pt>
                <c:pt idx="83">
                  <c:v>631624.45900000003</c:v>
                </c:pt>
                <c:pt idx="84">
                  <c:v>631624.45900000003</c:v>
                </c:pt>
                <c:pt idx="85">
                  <c:v>631624.45900000003</c:v>
                </c:pt>
                <c:pt idx="86">
                  <c:v>631624.45900000003</c:v>
                </c:pt>
                <c:pt idx="87">
                  <c:v>631624.45900000003</c:v>
                </c:pt>
                <c:pt idx="88">
                  <c:v>631624.45900000003</c:v>
                </c:pt>
                <c:pt idx="89">
                  <c:v>631624.45900000003</c:v>
                </c:pt>
                <c:pt idx="90">
                  <c:v>631624.45900000003</c:v>
                </c:pt>
                <c:pt idx="91">
                  <c:v>631624.45900000003</c:v>
                </c:pt>
                <c:pt idx="92">
                  <c:v>631624.45900000003</c:v>
                </c:pt>
                <c:pt idx="93">
                  <c:v>631624.45900000003</c:v>
                </c:pt>
                <c:pt idx="94">
                  <c:v>631624.45900000003</c:v>
                </c:pt>
                <c:pt idx="95">
                  <c:v>631624.45900000003</c:v>
                </c:pt>
                <c:pt idx="96">
                  <c:v>631624.45900000003</c:v>
                </c:pt>
                <c:pt idx="97">
                  <c:v>631624.45900000003</c:v>
                </c:pt>
                <c:pt idx="98">
                  <c:v>631624.45900000003</c:v>
                </c:pt>
                <c:pt idx="99">
                  <c:v>631624.45900000003</c:v>
                </c:pt>
                <c:pt idx="100">
                  <c:v>631624.45900000003</c:v>
                </c:pt>
                <c:pt idx="101">
                  <c:v>631624.45900000003</c:v>
                </c:pt>
                <c:pt idx="102">
                  <c:v>631624.45900000003</c:v>
                </c:pt>
                <c:pt idx="103">
                  <c:v>631624.45900000003</c:v>
                </c:pt>
                <c:pt idx="104">
                  <c:v>631624.45900000003</c:v>
                </c:pt>
                <c:pt idx="105">
                  <c:v>631624.45900000003</c:v>
                </c:pt>
                <c:pt idx="106">
                  <c:v>631624.45900000003</c:v>
                </c:pt>
                <c:pt idx="107">
                  <c:v>631624.45900000003</c:v>
                </c:pt>
                <c:pt idx="108">
                  <c:v>631624.45900000003</c:v>
                </c:pt>
                <c:pt idx="109">
                  <c:v>631624.45900000003</c:v>
                </c:pt>
                <c:pt idx="110">
                  <c:v>631624.45900000003</c:v>
                </c:pt>
                <c:pt idx="111">
                  <c:v>631624.45900000003</c:v>
                </c:pt>
                <c:pt idx="112">
                  <c:v>631624.45900000003</c:v>
                </c:pt>
                <c:pt idx="113">
                  <c:v>631624.45900000003</c:v>
                </c:pt>
                <c:pt idx="114">
                  <c:v>631624.45900000003</c:v>
                </c:pt>
                <c:pt idx="115">
                  <c:v>631624.45900000003</c:v>
                </c:pt>
                <c:pt idx="116">
                  <c:v>631624.45900000003</c:v>
                </c:pt>
                <c:pt idx="117">
                  <c:v>631624.45900000003</c:v>
                </c:pt>
                <c:pt idx="118">
                  <c:v>631624.45900000003</c:v>
                </c:pt>
                <c:pt idx="119">
                  <c:v>631624.45900000003</c:v>
                </c:pt>
                <c:pt idx="120">
                  <c:v>631624.45900000003</c:v>
                </c:pt>
                <c:pt idx="121">
                  <c:v>631624.45900000003</c:v>
                </c:pt>
                <c:pt idx="122">
                  <c:v>631624.45900000003</c:v>
                </c:pt>
                <c:pt idx="123">
                  <c:v>631624.45900000003</c:v>
                </c:pt>
                <c:pt idx="124">
                  <c:v>631624.45900000003</c:v>
                </c:pt>
                <c:pt idx="125">
                  <c:v>631624.45900000003</c:v>
                </c:pt>
                <c:pt idx="126">
                  <c:v>631624.45900000003</c:v>
                </c:pt>
                <c:pt idx="127">
                  <c:v>631624.45900000003</c:v>
                </c:pt>
                <c:pt idx="128">
                  <c:v>631624.45900000003</c:v>
                </c:pt>
                <c:pt idx="129">
                  <c:v>631624.45900000003</c:v>
                </c:pt>
                <c:pt idx="130">
                  <c:v>631624.45900000003</c:v>
                </c:pt>
                <c:pt idx="131">
                  <c:v>631624.45900000003</c:v>
                </c:pt>
                <c:pt idx="132">
                  <c:v>631624.45900000003</c:v>
                </c:pt>
                <c:pt idx="133">
                  <c:v>631624.45900000003</c:v>
                </c:pt>
                <c:pt idx="134">
                  <c:v>631624.45900000003</c:v>
                </c:pt>
                <c:pt idx="135">
                  <c:v>631624.45900000003</c:v>
                </c:pt>
                <c:pt idx="136">
                  <c:v>631624.45900000003</c:v>
                </c:pt>
                <c:pt idx="137">
                  <c:v>631624.45900000003</c:v>
                </c:pt>
                <c:pt idx="138">
                  <c:v>631624.45900000003</c:v>
                </c:pt>
                <c:pt idx="139">
                  <c:v>631624.45900000003</c:v>
                </c:pt>
                <c:pt idx="140">
                  <c:v>631624.45900000003</c:v>
                </c:pt>
                <c:pt idx="141">
                  <c:v>631624.45900000003</c:v>
                </c:pt>
                <c:pt idx="142">
                  <c:v>631624.45900000003</c:v>
                </c:pt>
                <c:pt idx="143">
                  <c:v>631624.45900000003</c:v>
                </c:pt>
                <c:pt idx="144">
                  <c:v>631624.45900000003</c:v>
                </c:pt>
                <c:pt idx="145">
                  <c:v>631624.45900000003</c:v>
                </c:pt>
                <c:pt idx="146">
                  <c:v>631624.45900000003</c:v>
                </c:pt>
                <c:pt idx="147">
                  <c:v>631624.45900000003</c:v>
                </c:pt>
                <c:pt idx="148">
                  <c:v>631624.45900000003</c:v>
                </c:pt>
                <c:pt idx="149">
                  <c:v>631624.45900000003</c:v>
                </c:pt>
                <c:pt idx="150">
                  <c:v>631624.45900000003</c:v>
                </c:pt>
                <c:pt idx="151">
                  <c:v>631624.45900000003</c:v>
                </c:pt>
                <c:pt idx="152">
                  <c:v>631624.45900000003</c:v>
                </c:pt>
                <c:pt idx="153">
                  <c:v>631624.45900000003</c:v>
                </c:pt>
                <c:pt idx="154">
                  <c:v>631624.45900000003</c:v>
                </c:pt>
                <c:pt idx="155">
                  <c:v>631624.45900000003</c:v>
                </c:pt>
                <c:pt idx="156">
                  <c:v>631624.45900000003</c:v>
                </c:pt>
                <c:pt idx="157">
                  <c:v>631624.45900000003</c:v>
                </c:pt>
                <c:pt idx="158">
                  <c:v>631624.45900000003</c:v>
                </c:pt>
                <c:pt idx="159">
                  <c:v>631624.45900000003</c:v>
                </c:pt>
                <c:pt idx="160">
                  <c:v>631624.45900000003</c:v>
                </c:pt>
                <c:pt idx="161">
                  <c:v>631624.45900000003</c:v>
                </c:pt>
                <c:pt idx="162">
                  <c:v>631624.45900000003</c:v>
                </c:pt>
                <c:pt idx="163">
                  <c:v>631624.45900000003</c:v>
                </c:pt>
                <c:pt idx="164">
                  <c:v>631624.45900000003</c:v>
                </c:pt>
                <c:pt idx="165">
                  <c:v>631624.45900000003</c:v>
                </c:pt>
                <c:pt idx="166">
                  <c:v>631624.45900000003</c:v>
                </c:pt>
                <c:pt idx="167">
                  <c:v>631624.45900000003</c:v>
                </c:pt>
                <c:pt idx="168">
                  <c:v>631624.45900000003</c:v>
                </c:pt>
                <c:pt idx="169">
                  <c:v>631624.45900000003</c:v>
                </c:pt>
                <c:pt idx="170">
                  <c:v>631624.45900000003</c:v>
                </c:pt>
                <c:pt idx="171">
                  <c:v>631624.45900000003</c:v>
                </c:pt>
                <c:pt idx="172">
                  <c:v>631624.45900000003</c:v>
                </c:pt>
                <c:pt idx="173">
                  <c:v>631624.45900000003</c:v>
                </c:pt>
                <c:pt idx="174">
                  <c:v>631624.45900000003</c:v>
                </c:pt>
                <c:pt idx="175">
                  <c:v>631624.45900000003</c:v>
                </c:pt>
                <c:pt idx="176">
                  <c:v>631624.45900000003</c:v>
                </c:pt>
                <c:pt idx="177">
                  <c:v>631624.45900000003</c:v>
                </c:pt>
                <c:pt idx="178">
                  <c:v>631624.45900000003</c:v>
                </c:pt>
                <c:pt idx="179">
                  <c:v>631624.45900000003</c:v>
                </c:pt>
                <c:pt idx="180">
                  <c:v>631624.45900000003</c:v>
                </c:pt>
                <c:pt idx="181">
                  <c:v>631624.45900000003</c:v>
                </c:pt>
                <c:pt idx="182">
                  <c:v>631624.45900000003</c:v>
                </c:pt>
                <c:pt idx="183">
                  <c:v>631624.45900000003</c:v>
                </c:pt>
                <c:pt idx="184">
                  <c:v>631624.45900000003</c:v>
                </c:pt>
                <c:pt idx="185">
                  <c:v>631624.45900000003</c:v>
                </c:pt>
                <c:pt idx="186">
                  <c:v>631624.45900000003</c:v>
                </c:pt>
                <c:pt idx="187">
                  <c:v>631624.45900000003</c:v>
                </c:pt>
                <c:pt idx="188">
                  <c:v>631624.45900000003</c:v>
                </c:pt>
                <c:pt idx="189">
                  <c:v>631624.45900000003</c:v>
                </c:pt>
                <c:pt idx="190">
                  <c:v>631624.45900000003</c:v>
                </c:pt>
                <c:pt idx="191">
                  <c:v>631624.45900000003</c:v>
                </c:pt>
                <c:pt idx="192">
                  <c:v>631624.45900000003</c:v>
                </c:pt>
                <c:pt idx="193">
                  <c:v>631624.45900000003</c:v>
                </c:pt>
                <c:pt idx="194">
                  <c:v>631624.45900000003</c:v>
                </c:pt>
                <c:pt idx="195">
                  <c:v>631624.45900000003</c:v>
                </c:pt>
                <c:pt idx="196">
                  <c:v>631624.45900000003</c:v>
                </c:pt>
                <c:pt idx="197">
                  <c:v>631624.45900000003</c:v>
                </c:pt>
                <c:pt idx="198">
                  <c:v>631624.45900000003</c:v>
                </c:pt>
                <c:pt idx="199">
                  <c:v>631624.45900000003</c:v>
                </c:pt>
                <c:pt idx="200">
                  <c:v>631624.45900000003</c:v>
                </c:pt>
                <c:pt idx="201">
                  <c:v>631624.45900000003</c:v>
                </c:pt>
                <c:pt idx="202">
                  <c:v>631624.45900000003</c:v>
                </c:pt>
                <c:pt idx="203">
                  <c:v>631624.45900000003</c:v>
                </c:pt>
                <c:pt idx="204">
                  <c:v>631624.45900000003</c:v>
                </c:pt>
                <c:pt idx="205">
                  <c:v>631624.45900000003</c:v>
                </c:pt>
                <c:pt idx="206">
                  <c:v>631624.45900000003</c:v>
                </c:pt>
                <c:pt idx="207">
                  <c:v>631624.45900000003</c:v>
                </c:pt>
                <c:pt idx="208">
                  <c:v>631624.45900000003</c:v>
                </c:pt>
                <c:pt idx="209">
                  <c:v>631624.45900000003</c:v>
                </c:pt>
                <c:pt idx="210">
                  <c:v>631624.45900000003</c:v>
                </c:pt>
                <c:pt idx="211">
                  <c:v>631624.45900000003</c:v>
                </c:pt>
                <c:pt idx="212">
                  <c:v>631624.45900000003</c:v>
                </c:pt>
                <c:pt idx="213">
                  <c:v>631624.45900000003</c:v>
                </c:pt>
                <c:pt idx="214">
                  <c:v>631624.45900000003</c:v>
                </c:pt>
                <c:pt idx="215">
                  <c:v>631624.45900000003</c:v>
                </c:pt>
                <c:pt idx="216">
                  <c:v>631624.45900000003</c:v>
                </c:pt>
                <c:pt idx="217">
                  <c:v>631624.45900000003</c:v>
                </c:pt>
                <c:pt idx="218">
                  <c:v>631624.45900000003</c:v>
                </c:pt>
                <c:pt idx="219">
                  <c:v>631624.45900000003</c:v>
                </c:pt>
                <c:pt idx="220">
                  <c:v>631624.45900000003</c:v>
                </c:pt>
                <c:pt idx="221">
                  <c:v>631624.45900000003</c:v>
                </c:pt>
                <c:pt idx="222">
                  <c:v>631624.45900000003</c:v>
                </c:pt>
                <c:pt idx="223">
                  <c:v>631624.45900000003</c:v>
                </c:pt>
                <c:pt idx="224">
                  <c:v>631624.45900000003</c:v>
                </c:pt>
                <c:pt idx="225">
                  <c:v>631624.45900000003</c:v>
                </c:pt>
                <c:pt idx="226">
                  <c:v>631624.45900000003</c:v>
                </c:pt>
                <c:pt idx="227">
                  <c:v>631624.45900000003</c:v>
                </c:pt>
                <c:pt idx="228">
                  <c:v>631624.45900000003</c:v>
                </c:pt>
                <c:pt idx="229">
                  <c:v>631624.45900000003</c:v>
                </c:pt>
                <c:pt idx="230">
                  <c:v>631624.45900000003</c:v>
                </c:pt>
                <c:pt idx="231">
                  <c:v>631624.45900000003</c:v>
                </c:pt>
                <c:pt idx="232">
                  <c:v>631624.45900000003</c:v>
                </c:pt>
                <c:pt idx="233">
                  <c:v>631624.45900000003</c:v>
                </c:pt>
                <c:pt idx="234">
                  <c:v>631624.45900000003</c:v>
                </c:pt>
                <c:pt idx="235">
                  <c:v>631624.45900000003</c:v>
                </c:pt>
                <c:pt idx="236">
                  <c:v>631624.45900000003</c:v>
                </c:pt>
                <c:pt idx="237">
                  <c:v>631624.45900000003</c:v>
                </c:pt>
                <c:pt idx="238">
                  <c:v>631624.45900000003</c:v>
                </c:pt>
                <c:pt idx="239">
                  <c:v>631624.45900000003</c:v>
                </c:pt>
                <c:pt idx="240">
                  <c:v>631624.45900000003</c:v>
                </c:pt>
                <c:pt idx="241">
                  <c:v>631624.45900000003</c:v>
                </c:pt>
                <c:pt idx="242">
                  <c:v>631624.45900000003</c:v>
                </c:pt>
                <c:pt idx="243">
                  <c:v>631624.45900000003</c:v>
                </c:pt>
                <c:pt idx="244">
                  <c:v>631624.45900000003</c:v>
                </c:pt>
                <c:pt idx="245">
                  <c:v>631624.45900000003</c:v>
                </c:pt>
                <c:pt idx="246">
                  <c:v>631624.45900000003</c:v>
                </c:pt>
                <c:pt idx="247">
                  <c:v>631624.45900000003</c:v>
                </c:pt>
                <c:pt idx="248">
                  <c:v>631624.45900000003</c:v>
                </c:pt>
                <c:pt idx="249">
                  <c:v>631624.45900000003</c:v>
                </c:pt>
                <c:pt idx="250">
                  <c:v>631624.45900000003</c:v>
                </c:pt>
                <c:pt idx="251">
                  <c:v>631624.45900000003</c:v>
                </c:pt>
                <c:pt idx="252">
                  <c:v>631624.45900000003</c:v>
                </c:pt>
                <c:pt idx="253">
                  <c:v>631624.45900000003</c:v>
                </c:pt>
                <c:pt idx="254">
                  <c:v>631624.45900000003</c:v>
                </c:pt>
                <c:pt idx="255">
                  <c:v>631624.45900000003</c:v>
                </c:pt>
                <c:pt idx="256">
                  <c:v>631624.45900000003</c:v>
                </c:pt>
                <c:pt idx="257">
                  <c:v>631624.45900000003</c:v>
                </c:pt>
                <c:pt idx="258">
                  <c:v>631624.45900000003</c:v>
                </c:pt>
                <c:pt idx="259">
                  <c:v>631624.45900000003</c:v>
                </c:pt>
                <c:pt idx="260">
                  <c:v>631624.45900000003</c:v>
                </c:pt>
                <c:pt idx="261">
                  <c:v>631624.45900000003</c:v>
                </c:pt>
                <c:pt idx="262">
                  <c:v>631624.45900000003</c:v>
                </c:pt>
                <c:pt idx="263">
                  <c:v>631624.45900000003</c:v>
                </c:pt>
                <c:pt idx="264">
                  <c:v>631624.45900000003</c:v>
                </c:pt>
                <c:pt idx="265">
                  <c:v>631624.45900000003</c:v>
                </c:pt>
                <c:pt idx="266">
                  <c:v>631624.45900000003</c:v>
                </c:pt>
                <c:pt idx="267">
                  <c:v>631624.45900000003</c:v>
                </c:pt>
                <c:pt idx="268">
                  <c:v>631624.45900000003</c:v>
                </c:pt>
                <c:pt idx="269">
                  <c:v>631624.45900000003</c:v>
                </c:pt>
                <c:pt idx="270">
                  <c:v>631624.45900000003</c:v>
                </c:pt>
                <c:pt idx="271">
                  <c:v>631624.45900000003</c:v>
                </c:pt>
                <c:pt idx="272">
                  <c:v>631624.45900000003</c:v>
                </c:pt>
                <c:pt idx="273">
                  <c:v>631624.45900000003</c:v>
                </c:pt>
                <c:pt idx="274">
                  <c:v>631624.45900000003</c:v>
                </c:pt>
                <c:pt idx="275">
                  <c:v>631624.45900000003</c:v>
                </c:pt>
                <c:pt idx="276">
                  <c:v>631624.45900000003</c:v>
                </c:pt>
                <c:pt idx="277">
                  <c:v>631624.45900000003</c:v>
                </c:pt>
                <c:pt idx="278">
                  <c:v>631624.45900000003</c:v>
                </c:pt>
                <c:pt idx="279">
                  <c:v>631624.45900000003</c:v>
                </c:pt>
                <c:pt idx="280">
                  <c:v>631624.45900000003</c:v>
                </c:pt>
                <c:pt idx="281">
                  <c:v>631624.45900000003</c:v>
                </c:pt>
                <c:pt idx="282">
                  <c:v>631624.45900000003</c:v>
                </c:pt>
                <c:pt idx="283">
                  <c:v>631624.45900000003</c:v>
                </c:pt>
                <c:pt idx="284">
                  <c:v>631624.45900000003</c:v>
                </c:pt>
                <c:pt idx="285">
                  <c:v>631624.45900000003</c:v>
                </c:pt>
                <c:pt idx="286">
                  <c:v>631624.45900000003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100416.31076230678</c:v>
                </c:pt>
                <c:pt idx="9">
                  <c:v>100416.31076230678</c:v>
                </c:pt>
                <c:pt idx="10">
                  <c:v>100416.31076230678</c:v>
                </c:pt>
                <c:pt idx="11">
                  <c:v>100416.31076230678</c:v>
                </c:pt>
                <c:pt idx="12">
                  <c:v>1757044.7995259766</c:v>
                </c:pt>
                <c:pt idx="13">
                  <c:v>1757044.7995259766</c:v>
                </c:pt>
                <c:pt idx="14">
                  <c:v>1757044.7995259766</c:v>
                </c:pt>
                <c:pt idx="15">
                  <c:v>1757044.7995259766</c:v>
                </c:pt>
                <c:pt idx="16">
                  <c:v>1757044.7995259766</c:v>
                </c:pt>
                <c:pt idx="17">
                  <c:v>1762216.8992913251</c:v>
                </c:pt>
                <c:pt idx="18">
                  <c:v>1762216.8992913251</c:v>
                </c:pt>
                <c:pt idx="19">
                  <c:v>1762216.8992913251</c:v>
                </c:pt>
                <c:pt idx="20">
                  <c:v>1762216.8992913251</c:v>
                </c:pt>
                <c:pt idx="21">
                  <c:v>2077435.9144529467</c:v>
                </c:pt>
                <c:pt idx="22">
                  <c:v>2077435.9144529467</c:v>
                </c:pt>
                <c:pt idx="23">
                  <c:v>2077435.9144529467</c:v>
                </c:pt>
                <c:pt idx="24">
                  <c:v>2077435.9144529467</c:v>
                </c:pt>
                <c:pt idx="25">
                  <c:v>2077435.9144529467</c:v>
                </c:pt>
                <c:pt idx="26">
                  <c:v>2077435.9144529467</c:v>
                </c:pt>
                <c:pt idx="27">
                  <c:v>2077435.9144529467</c:v>
                </c:pt>
                <c:pt idx="28">
                  <c:v>2077435.9144529467</c:v>
                </c:pt>
                <c:pt idx="29">
                  <c:v>2077435.9144529467</c:v>
                </c:pt>
                <c:pt idx="30">
                  <c:v>2077435.9144529467</c:v>
                </c:pt>
                <c:pt idx="31">
                  <c:v>2077435.9144529467</c:v>
                </c:pt>
                <c:pt idx="32">
                  <c:v>2077435.9144529467</c:v>
                </c:pt>
                <c:pt idx="33">
                  <c:v>2077435.9144529467</c:v>
                </c:pt>
                <c:pt idx="34">
                  <c:v>2077435.9144529467</c:v>
                </c:pt>
                <c:pt idx="35">
                  <c:v>2077435.9144529467</c:v>
                </c:pt>
                <c:pt idx="36">
                  <c:v>2077435.9144529467</c:v>
                </c:pt>
                <c:pt idx="37">
                  <c:v>2077435.9144529467</c:v>
                </c:pt>
                <c:pt idx="38">
                  <c:v>2077435.9144529467</c:v>
                </c:pt>
                <c:pt idx="39">
                  <c:v>2077435.9144529467</c:v>
                </c:pt>
                <c:pt idx="40">
                  <c:v>2077435.9144529467</c:v>
                </c:pt>
                <c:pt idx="41">
                  <c:v>2077435.9144529467</c:v>
                </c:pt>
                <c:pt idx="42">
                  <c:v>2077435.9144529467</c:v>
                </c:pt>
                <c:pt idx="43">
                  <c:v>2077435.9144529467</c:v>
                </c:pt>
                <c:pt idx="44">
                  <c:v>2077435.9144529467</c:v>
                </c:pt>
                <c:pt idx="45">
                  <c:v>2077435.9144529467</c:v>
                </c:pt>
                <c:pt idx="46">
                  <c:v>2077435.9144529467</c:v>
                </c:pt>
                <c:pt idx="47">
                  <c:v>2077435.9144529467</c:v>
                </c:pt>
                <c:pt idx="48">
                  <c:v>2077435.9144529467</c:v>
                </c:pt>
                <c:pt idx="49">
                  <c:v>2077435.9144529467</c:v>
                </c:pt>
                <c:pt idx="50">
                  <c:v>2077435.9144529467</c:v>
                </c:pt>
                <c:pt idx="51">
                  <c:v>2077435.9144529467</c:v>
                </c:pt>
                <c:pt idx="52">
                  <c:v>2077435.9144529467</c:v>
                </c:pt>
                <c:pt idx="53">
                  <c:v>2077435.9144529467</c:v>
                </c:pt>
                <c:pt idx="54">
                  <c:v>2077435.9144529467</c:v>
                </c:pt>
                <c:pt idx="55">
                  <c:v>2077435.9144529467</c:v>
                </c:pt>
                <c:pt idx="56">
                  <c:v>2077435.9144529467</c:v>
                </c:pt>
                <c:pt idx="57">
                  <c:v>2077435.9144529467</c:v>
                </c:pt>
                <c:pt idx="58">
                  <c:v>2077435.9144529467</c:v>
                </c:pt>
                <c:pt idx="59">
                  <c:v>2077435.9144529467</c:v>
                </c:pt>
                <c:pt idx="60">
                  <c:v>2077435.9144529467</c:v>
                </c:pt>
                <c:pt idx="61">
                  <c:v>2077435.9144529467</c:v>
                </c:pt>
                <c:pt idx="62">
                  <c:v>2077435.9144529467</c:v>
                </c:pt>
                <c:pt idx="63">
                  <c:v>2077435.9144529467</c:v>
                </c:pt>
                <c:pt idx="64">
                  <c:v>2077435.9144529467</c:v>
                </c:pt>
                <c:pt idx="65">
                  <c:v>2077435.9144529467</c:v>
                </c:pt>
                <c:pt idx="66">
                  <c:v>2077435.9144529467</c:v>
                </c:pt>
                <c:pt idx="67">
                  <c:v>2077435.9144529467</c:v>
                </c:pt>
                <c:pt idx="68">
                  <c:v>2077435.9144529467</c:v>
                </c:pt>
                <c:pt idx="69">
                  <c:v>2077435.9144529467</c:v>
                </c:pt>
                <c:pt idx="70">
                  <c:v>2077435.9144529467</c:v>
                </c:pt>
                <c:pt idx="71">
                  <c:v>2077435.9144529467</c:v>
                </c:pt>
                <c:pt idx="72">
                  <c:v>2077435.9144529467</c:v>
                </c:pt>
                <c:pt idx="73">
                  <c:v>2077435.9144529467</c:v>
                </c:pt>
                <c:pt idx="74">
                  <c:v>2077435.9144529467</c:v>
                </c:pt>
                <c:pt idx="75">
                  <c:v>2077435.9144529467</c:v>
                </c:pt>
                <c:pt idx="76">
                  <c:v>2077435.9144529467</c:v>
                </c:pt>
                <c:pt idx="77">
                  <c:v>2077435.9144529467</c:v>
                </c:pt>
                <c:pt idx="78">
                  <c:v>2077435.9144529467</c:v>
                </c:pt>
                <c:pt idx="79">
                  <c:v>2077435.9144529467</c:v>
                </c:pt>
                <c:pt idx="80">
                  <c:v>2077435.9144529467</c:v>
                </c:pt>
                <c:pt idx="81">
                  <c:v>2077435.9144529467</c:v>
                </c:pt>
                <c:pt idx="82">
                  <c:v>2077435.9144529467</c:v>
                </c:pt>
                <c:pt idx="83">
                  <c:v>2077435.9144529467</c:v>
                </c:pt>
                <c:pt idx="84">
                  <c:v>2077435.9144529467</c:v>
                </c:pt>
                <c:pt idx="85">
                  <c:v>2077435.9144529467</c:v>
                </c:pt>
                <c:pt idx="86">
                  <c:v>2077435.9144529467</c:v>
                </c:pt>
                <c:pt idx="87">
                  <c:v>2077435.9144529467</c:v>
                </c:pt>
                <c:pt idx="88">
                  <c:v>2077435.9144529467</c:v>
                </c:pt>
                <c:pt idx="89">
                  <c:v>2077435.9144529467</c:v>
                </c:pt>
                <c:pt idx="90">
                  <c:v>2077435.9144529467</c:v>
                </c:pt>
                <c:pt idx="91">
                  <c:v>2077435.9144529467</c:v>
                </c:pt>
                <c:pt idx="92">
                  <c:v>2077435.9144529467</c:v>
                </c:pt>
                <c:pt idx="93">
                  <c:v>2077435.9144529467</c:v>
                </c:pt>
                <c:pt idx="94">
                  <c:v>2077435.9144529467</c:v>
                </c:pt>
                <c:pt idx="95">
                  <c:v>2077435.9144529467</c:v>
                </c:pt>
                <c:pt idx="96">
                  <c:v>2077435.9144529467</c:v>
                </c:pt>
                <c:pt idx="97">
                  <c:v>2077435.9144529467</c:v>
                </c:pt>
                <c:pt idx="98">
                  <c:v>2077435.9144529467</c:v>
                </c:pt>
                <c:pt idx="99">
                  <c:v>2077435.9144529467</c:v>
                </c:pt>
                <c:pt idx="100">
                  <c:v>2077435.9144529467</c:v>
                </c:pt>
                <c:pt idx="101">
                  <c:v>2077435.9144529467</c:v>
                </c:pt>
                <c:pt idx="102">
                  <c:v>2077435.9144529467</c:v>
                </c:pt>
                <c:pt idx="103">
                  <c:v>2077435.9144529467</c:v>
                </c:pt>
                <c:pt idx="104">
                  <c:v>2077435.9144529467</c:v>
                </c:pt>
                <c:pt idx="105">
                  <c:v>2077435.9144529467</c:v>
                </c:pt>
                <c:pt idx="106">
                  <c:v>2077435.9144529467</c:v>
                </c:pt>
                <c:pt idx="107">
                  <c:v>2077435.9144529467</c:v>
                </c:pt>
                <c:pt idx="108">
                  <c:v>2077435.9144529467</c:v>
                </c:pt>
                <c:pt idx="109">
                  <c:v>2077435.9144529467</c:v>
                </c:pt>
                <c:pt idx="110">
                  <c:v>2077435.9144529467</c:v>
                </c:pt>
                <c:pt idx="111">
                  <c:v>2077435.9144529467</c:v>
                </c:pt>
                <c:pt idx="112">
                  <c:v>2077435.9144529467</c:v>
                </c:pt>
                <c:pt idx="113">
                  <c:v>2077435.9144529467</c:v>
                </c:pt>
                <c:pt idx="114">
                  <c:v>2077435.9144529467</c:v>
                </c:pt>
                <c:pt idx="115">
                  <c:v>2077435.9144529467</c:v>
                </c:pt>
                <c:pt idx="116">
                  <c:v>2077435.9144529467</c:v>
                </c:pt>
                <c:pt idx="117">
                  <c:v>2077435.9144529467</c:v>
                </c:pt>
                <c:pt idx="118">
                  <c:v>2077435.9144529467</c:v>
                </c:pt>
                <c:pt idx="119">
                  <c:v>2077435.9144529467</c:v>
                </c:pt>
                <c:pt idx="120">
                  <c:v>2077435.9144529467</c:v>
                </c:pt>
                <c:pt idx="121">
                  <c:v>2077435.9144529467</c:v>
                </c:pt>
                <c:pt idx="122">
                  <c:v>2077435.9144529467</c:v>
                </c:pt>
                <c:pt idx="123">
                  <c:v>2077435.9144529467</c:v>
                </c:pt>
                <c:pt idx="124">
                  <c:v>2077435.9144529467</c:v>
                </c:pt>
                <c:pt idx="125">
                  <c:v>2077435.9144529467</c:v>
                </c:pt>
                <c:pt idx="126">
                  <c:v>2077435.9144529467</c:v>
                </c:pt>
                <c:pt idx="127">
                  <c:v>2077435.9144529467</c:v>
                </c:pt>
                <c:pt idx="128">
                  <c:v>2077435.9144529467</c:v>
                </c:pt>
                <c:pt idx="129">
                  <c:v>2077435.9144529467</c:v>
                </c:pt>
                <c:pt idx="130">
                  <c:v>2077435.9144529467</c:v>
                </c:pt>
                <c:pt idx="131">
                  <c:v>2077435.9144529467</c:v>
                </c:pt>
                <c:pt idx="132">
                  <c:v>2077435.9144529467</c:v>
                </c:pt>
                <c:pt idx="133">
                  <c:v>2077435.9144529467</c:v>
                </c:pt>
                <c:pt idx="134">
                  <c:v>2077435.9144529467</c:v>
                </c:pt>
                <c:pt idx="135">
                  <c:v>2077435.9144529467</c:v>
                </c:pt>
                <c:pt idx="136">
                  <c:v>2077435.9144529467</c:v>
                </c:pt>
                <c:pt idx="137">
                  <c:v>2077435.9144529467</c:v>
                </c:pt>
                <c:pt idx="138">
                  <c:v>2077435.9144529467</c:v>
                </c:pt>
                <c:pt idx="139">
                  <c:v>2077435.9144529467</c:v>
                </c:pt>
                <c:pt idx="140">
                  <c:v>2077435.9144529467</c:v>
                </c:pt>
                <c:pt idx="141">
                  <c:v>2077435.9144529467</c:v>
                </c:pt>
                <c:pt idx="142">
                  <c:v>2077435.9144529467</c:v>
                </c:pt>
                <c:pt idx="143">
                  <c:v>2077435.9144529467</c:v>
                </c:pt>
                <c:pt idx="144">
                  <c:v>2077435.9144529467</c:v>
                </c:pt>
                <c:pt idx="145">
                  <c:v>2077435.9144529467</c:v>
                </c:pt>
                <c:pt idx="146">
                  <c:v>2077435.9144529467</c:v>
                </c:pt>
                <c:pt idx="147">
                  <c:v>2077435.9144529467</c:v>
                </c:pt>
                <c:pt idx="148">
                  <c:v>2077435.9144529467</c:v>
                </c:pt>
                <c:pt idx="149">
                  <c:v>2077435.9144529467</c:v>
                </c:pt>
                <c:pt idx="150">
                  <c:v>2077435.9144529467</c:v>
                </c:pt>
                <c:pt idx="151">
                  <c:v>2077435.9144529467</c:v>
                </c:pt>
                <c:pt idx="152">
                  <c:v>2077435.9144529467</c:v>
                </c:pt>
                <c:pt idx="153">
                  <c:v>2077435.9144529467</c:v>
                </c:pt>
                <c:pt idx="154">
                  <c:v>2077435.9144529467</c:v>
                </c:pt>
                <c:pt idx="155">
                  <c:v>2077435.9144529467</c:v>
                </c:pt>
                <c:pt idx="156">
                  <c:v>2077435.9144529467</c:v>
                </c:pt>
                <c:pt idx="157">
                  <c:v>2077435.9144529467</c:v>
                </c:pt>
                <c:pt idx="158">
                  <c:v>2077435.9144529467</c:v>
                </c:pt>
                <c:pt idx="159">
                  <c:v>2077435.9144529467</c:v>
                </c:pt>
                <c:pt idx="160">
                  <c:v>2077435.9144529467</c:v>
                </c:pt>
                <c:pt idx="161">
                  <c:v>2077435.9144529467</c:v>
                </c:pt>
                <c:pt idx="162">
                  <c:v>2077435.9144529467</c:v>
                </c:pt>
                <c:pt idx="163">
                  <c:v>2077435.9144529467</c:v>
                </c:pt>
                <c:pt idx="164">
                  <c:v>2077435.9144529467</c:v>
                </c:pt>
                <c:pt idx="165">
                  <c:v>2077435.9144529467</c:v>
                </c:pt>
                <c:pt idx="166">
                  <c:v>2077435.9144529467</c:v>
                </c:pt>
                <c:pt idx="167">
                  <c:v>2077435.9144529467</c:v>
                </c:pt>
                <c:pt idx="168">
                  <c:v>2077435.9144529467</c:v>
                </c:pt>
                <c:pt idx="169">
                  <c:v>2077435.9144529467</c:v>
                </c:pt>
                <c:pt idx="170">
                  <c:v>2077435.9144529467</c:v>
                </c:pt>
                <c:pt idx="171">
                  <c:v>2077435.9144529467</c:v>
                </c:pt>
                <c:pt idx="172">
                  <c:v>2077435.9144529467</c:v>
                </c:pt>
                <c:pt idx="173">
                  <c:v>2077435.9144529467</c:v>
                </c:pt>
                <c:pt idx="174">
                  <c:v>2077435.9144529467</c:v>
                </c:pt>
                <c:pt idx="175">
                  <c:v>2077435.9144529467</c:v>
                </c:pt>
                <c:pt idx="176">
                  <c:v>2077435.9144529467</c:v>
                </c:pt>
                <c:pt idx="177">
                  <c:v>2077435.9144529467</c:v>
                </c:pt>
                <c:pt idx="178">
                  <c:v>2077435.9144529467</c:v>
                </c:pt>
                <c:pt idx="179">
                  <c:v>2077435.9144529467</c:v>
                </c:pt>
                <c:pt idx="180">
                  <c:v>2077435.9144529467</c:v>
                </c:pt>
                <c:pt idx="181">
                  <c:v>2077435.9144529467</c:v>
                </c:pt>
                <c:pt idx="182">
                  <c:v>2077435.9144529467</c:v>
                </c:pt>
                <c:pt idx="183">
                  <c:v>2077435.9144529467</c:v>
                </c:pt>
                <c:pt idx="184">
                  <c:v>2077435.9144529467</c:v>
                </c:pt>
                <c:pt idx="185">
                  <c:v>2077435.9144529467</c:v>
                </c:pt>
                <c:pt idx="186">
                  <c:v>2077435.9144529467</c:v>
                </c:pt>
                <c:pt idx="187">
                  <c:v>2077435.9144529467</c:v>
                </c:pt>
                <c:pt idx="188">
                  <c:v>2077435.9144529467</c:v>
                </c:pt>
                <c:pt idx="189">
                  <c:v>2077435.9144529467</c:v>
                </c:pt>
                <c:pt idx="190">
                  <c:v>2077435.9144529467</c:v>
                </c:pt>
                <c:pt idx="191">
                  <c:v>2077435.9144529467</c:v>
                </c:pt>
                <c:pt idx="192">
                  <c:v>2077435.9144529467</c:v>
                </c:pt>
                <c:pt idx="193">
                  <c:v>2077435.9144529467</c:v>
                </c:pt>
                <c:pt idx="194">
                  <c:v>2077435.9144529467</c:v>
                </c:pt>
                <c:pt idx="195">
                  <c:v>2077435.9144529467</c:v>
                </c:pt>
                <c:pt idx="196">
                  <c:v>2077435.9144529467</c:v>
                </c:pt>
                <c:pt idx="197">
                  <c:v>2077435.9144529467</c:v>
                </c:pt>
                <c:pt idx="198">
                  <c:v>2077435.9144529467</c:v>
                </c:pt>
                <c:pt idx="199">
                  <c:v>2077435.9144529467</c:v>
                </c:pt>
                <c:pt idx="200">
                  <c:v>2077435.9144529467</c:v>
                </c:pt>
                <c:pt idx="201">
                  <c:v>2077435.9144529467</c:v>
                </c:pt>
                <c:pt idx="202">
                  <c:v>2077435.9144529467</c:v>
                </c:pt>
                <c:pt idx="203">
                  <c:v>2077435.9144529467</c:v>
                </c:pt>
                <c:pt idx="204">
                  <c:v>2077435.9144529467</c:v>
                </c:pt>
                <c:pt idx="205">
                  <c:v>2077435.9144529467</c:v>
                </c:pt>
                <c:pt idx="206">
                  <c:v>2077435.9144529467</c:v>
                </c:pt>
                <c:pt idx="207">
                  <c:v>2077435.9144529467</c:v>
                </c:pt>
                <c:pt idx="208">
                  <c:v>2077435.9144529467</c:v>
                </c:pt>
                <c:pt idx="209">
                  <c:v>2077435.9144529467</c:v>
                </c:pt>
                <c:pt idx="210">
                  <c:v>2077435.9144529467</c:v>
                </c:pt>
                <c:pt idx="211">
                  <c:v>2077435.9144529467</c:v>
                </c:pt>
                <c:pt idx="212">
                  <c:v>2077435.9144529467</c:v>
                </c:pt>
                <c:pt idx="213">
                  <c:v>2077435.9144529467</c:v>
                </c:pt>
                <c:pt idx="214">
                  <c:v>2077435.9144529467</c:v>
                </c:pt>
                <c:pt idx="215">
                  <c:v>2077435.9144529467</c:v>
                </c:pt>
                <c:pt idx="216">
                  <c:v>2077435.9144529467</c:v>
                </c:pt>
                <c:pt idx="217">
                  <c:v>2077435.9144529467</c:v>
                </c:pt>
                <c:pt idx="218">
                  <c:v>2077435.9144529467</c:v>
                </c:pt>
                <c:pt idx="219">
                  <c:v>2077435.9144529467</c:v>
                </c:pt>
                <c:pt idx="220">
                  <c:v>2077435.9144529467</c:v>
                </c:pt>
                <c:pt idx="221">
                  <c:v>2077435.9144529467</c:v>
                </c:pt>
                <c:pt idx="222">
                  <c:v>2077435.9144529467</c:v>
                </c:pt>
                <c:pt idx="223">
                  <c:v>2077435.9144529467</c:v>
                </c:pt>
                <c:pt idx="224">
                  <c:v>2077435.9144529467</c:v>
                </c:pt>
                <c:pt idx="225">
                  <c:v>2077435.9144529467</c:v>
                </c:pt>
                <c:pt idx="226">
                  <c:v>2077435.9144529467</c:v>
                </c:pt>
                <c:pt idx="227">
                  <c:v>2077435.9144529467</c:v>
                </c:pt>
                <c:pt idx="228">
                  <c:v>2077435.9144529467</c:v>
                </c:pt>
                <c:pt idx="229">
                  <c:v>2077435.9144529467</c:v>
                </c:pt>
                <c:pt idx="230">
                  <c:v>2077435.9144529467</c:v>
                </c:pt>
                <c:pt idx="231">
                  <c:v>2077435.9144529467</c:v>
                </c:pt>
                <c:pt idx="232">
                  <c:v>2077435.9144529467</c:v>
                </c:pt>
                <c:pt idx="233">
                  <c:v>2077435.9144529467</c:v>
                </c:pt>
                <c:pt idx="234">
                  <c:v>2077435.9144529467</c:v>
                </c:pt>
                <c:pt idx="235">
                  <c:v>2077435.9144529467</c:v>
                </c:pt>
                <c:pt idx="236">
                  <c:v>2077435.9144529467</c:v>
                </c:pt>
                <c:pt idx="237">
                  <c:v>2077435.9144529467</c:v>
                </c:pt>
                <c:pt idx="238">
                  <c:v>2077435.9144529467</c:v>
                </c:pt>
                <c:pt idx="239">
                  <c:v>2077435.9144529467</c:v>
                </c:pt>
                <c:pt idx="240">
                  <c:v>2077435.9144529467</c:v>
                </c:pt>
                <c:pt idx="241">
                  <c:v>2077435.9144529467</c:v>
                </c:pt>
                <c:pt idx="242">
                  <c:v>2077435.9144529467</c:v>
                </c:pt>
                <c:pt idx="243">
                  <c:v>2077435.9144529467</c:v>
                </c:pt>
                <c:pt idx="244">
                  <c:v>2077435.9144529467</c:v>
                </c:pt>
                <c:pt idx="245">
                  <c:v>2077435.9144529467</c:v>
                </c:pt>
                <c:pt idx="246">
                  <c:v>2077435.9144529467</c:v>
                </c:pt>
                <c:pt idx="247">
                  <c:v>2077435.9144529467</c:v>
                </c:pt>
                <c:pt idx="248">
                  <c:v>2077435.9144529467</c:v>
                </c:pt>
                <c:pt idx="249">
                  <c:v>2077435.9144529467</c:v>
                </c:pt>
                <c:pt idx="250">
                  <c:v>2077435.9144529467</c:v>
                </c:pt>
                <c:pt idx="251">
                  <c:v>2077435.9144529467</c:v>
                </c:pt>
                <c:pt idx="252">
                  <c:v>2077435.9144529467</c:v>
                </c:pt>
                <c:pt idx="253">
                  <c:v>2077435.9144529467</c:v>
                </c:pt>
                <c:pt idx="254">
                  <c:v>2077435.9144529467</c:v>
                </c:pt>
                <c:pt idx="255">
                  <c:v>2077435.9144529467</c:v>
                </c:pt>
                <c:pt idx="256">
                  <c:v>2077435.9144529467</c:v>
                </c:pt>
                <c:pt idx="257">
                  <c:v>2077435.9144529467</c:v>
                </c:pt>
                <c:pt idx="258">
                  <c:v>2077435.9144529467</c:v>
                </c:pt>
                <c:pt idx="259">
                  <c:v>2077435.9144529467</c:v>
                </c:pt>
                <c:pt idx="260">
                  <c:v>2077435.9144529467</c:v>
                </c:pt>
                <c:pt idx="261">
                  <c:v>2077435.9144529467</c:v>
                </c:pt>
                <c:pt idx="262">
                  <c:v>2077435.9144529467</c:v>
                </c:pt>
                <c:pt idx="263">
                  <c:v>2077435.9144529467</c:v>
                </c:pt>
                <c:pt idx="264">
                  <c:v>2077435.9144529467</c:v>
                </c:pt>
                <c:pt idx="265">
                  <c:v>2077435.9144529467</c:v>
                </c:pt>
                <c:pt idx="266">
                  <c:v>2077435.9144529467</c:v>
                </c:pt>
                <c:pt idx="267">
                  <c:v>2077435.9144529467</c:v>
                </c:pt>
                <c:pt idx="268">
                  <c:v>2077435.9144529467</c:v>
                </c:pt>
                <c:pt idx="269">
                  <c:v>2077435.9144529467</c:v>
                </c:pt>
                <c:pt idx="270">
                  <c:v>2077435.9144529467</c:v>
                </c:pt>
                <c:pt idx="271">
                  <c:v>2077435.9144529467</c:v>
                </c:pt>
                <c:pt idx="272">
                  <c:v>2077435.9144529467</c:v>
                </c:pt>
                <c:pt idx="273">
                  <c:v>2077435.9144529467</c:v>
                </c:pt>
                <c:pt idx="274">
                  <c:v>2077435.9144529467</c:v>
                </c:pt>
                <c:pt idx="275">
                  <c:v>2077435.9144529467</c:v>
                </c:pt>
                <c:pt idx="276">
                  <c:v>2077435.9144529467</c:v>
                </c:pt>
                <c:pt idx="277">
                  <c:v>2077435.9144529467</c:v>
                </c:pt>
                <c:pt idx="278">
                  <c:v>2077435.9144529467</c:v>
                </c:pt>
                <c:pt idx="279">
                  <c:v>2077435.9144529467</c:v>
                </c:pt>
                <c:pt idx="280">
                  <c:v>2077435.9144529467</c:v>
                </c:pt>
                <c:pt idx="281">
                  <c:v>2077435.9144529467</c:v>
                </c:pt>
                <c:pt idx="282">
                  <c:v>2077435.9144529467</c:v>
                </c:pt>
                <c:pt idx="283">
                  <c:v>2077435.9144529467</c:v>
                </c:pt>
                <c:pt idx="284">
                  <c:v>2077435.9144529467</c:v>
                </c:pt>
                <c:pt idx="285">
                  <c:v>2077435.9144529467</c:v>
                </c:pt>
                <c:pt idx="286">
                  <c:v>2077435.9144529467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57162962965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00" maxValue="311148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7745" maxValue="4320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1-30T00:00:00"/>
        <s v=""/>
        <d v="2026-01-31T00:00:00"/>
        <d v="2025-12-31T00:00:00"/>
        <d v="2025-10-31T00:00:00"/>
        <d v="2025-12-30T00:00:00" u="1"/>
        <d v="2025-09-30T00:00:00" u="1"/>
        <d v="2026-02-28T00:00:00" u="1"/>
        <d v="2026-03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.7506203359589947E-3" maxValue="594339.80787426222"/>
    </cacheField>
    <cacheField name="CHECK" numFmtId="0">
      <sharedItems containsString="0" containsBlank="1" containsNumber="1" minValue="0" maxValue="7.2109651169739664E-2"/>
    </cacheField>
    <cacheField name="FINANCE PAYMENT DATE" numFmtId="0">
      <sharedItems containsNonDate="0" containsDate="1" containsString="0" containsBlank="1" minDate="2025-10-09T00:00:00" maxDate="2026-03-28T00:00:00"/>
    </cacheField>
    <cacheField name="Total COS" numFmtId="0">
      <sharedItems containsString="0" containsBlank="1" containsNumber="1" minValue="0" maxValue="50604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A Solar 600W (Menlo)"/>
    <n v="360"/>
    <n v="1200"/>
    <n v="432000"/>
    <m/>
    <s v="Menlo - INV0003417"/>
    <x v="1"/>
    <n v="594339.80787426222"/>
    <n v="0"/>
    <d v="2026-01-15T00:00:00"/>
    <n v="506043.6"/>
  </r>
  <r>
    <n v="1"/>
    <x v="1"/>
    <s v="JA Solar 600W (Menlo)"/>
    <n v="57"/>
    <n v="1200"/>
    <n v="68400"/>
    <m/>
    <s v="Menlo - INV0003407"/>
    <x v="1"/>
    <n v="94103.80291342485"/>
    <m/>
    <d v="2026-01-15T00:00:00"/>
    <m/>
  </r>
  <r>
    <n v="1"/>
    <x v="1"/>
    <s v="QC4 Connectors"/>
    <m/>
    <m/>
    <n v="3143.6"/>
    <m/>
    <s v="MSA Energy INV0003456"/>
    <x v="1"/>
    <n v="4324.9227315590988"/>
    <m/>
    <d v="2026-01-23T00:00:00"/>
    <m/>
  </r>
  <r>
    <n v="1"/>
    <x v="1"/>
    <m/>
    <m/>
    <m/>
    <m/>
    <m/>
    <m/>
    <x v="2"/>
    <n v="0"/>
    <m/>
    <m/>
    <m/>
  </r>
  <r>
    <n v="1"/>
    <x v="1"/>
    <s v="Module transport"/>
    <m/>
    <m/>
    <n v="2500"/>
    <m/>
    <s v="MSA Energy INV0003436"/>
    <x v="1"/>
    <n v="3439.4664807538325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Menlo"/>
    <n v="2"/>
    <n v="68870.350000000006"/>
    <n v="137740.70000000001"/>
    <m/>
    <s v="Menlo - INV0003407"/>
    <x v="1"/>
    <n v="175000"/>
    <n v="0"/>
    <d v="2026-01-15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m/>
    <m/>
    <m/>
    <x v="0"/>
    <m/>
    <n v="3.0714941385667771E-3"/>
    <m/>
    <n v="78119"/>
  </r>
  <r>
    <n v="3"/>
    <x v="3"/>
    <s v="Schletter Structure"/>
    <m/>
    <m/>
    <n v="76171"/>
    <s v="PO4423-RRB-20251030 - RV Approved"/>
    <s v="Schletter - INV2381"/>
    <x v="1"/>
    <n v="124985.3033761515"/>
    <m/>
    <d v="2025-12-30T00:00:00"/>
    <m/>
  </r>
  <r>
    <n v="3"/>
    <x v="3"/>
    <m/>
    <m/>
    <m/>
    <m/>
    <m/>
    <m/>
    <x v="2"/>
    <n v="0"/>
    <m/>
    <m/>
    <m/>
  </r>
  <r>
    <n v="3"/>
    <x v="3"/>
    <s v="Additional nuts and bolts"/>
    <m/>
    <m/>
    <n v="1948"/>
    <s v="PO4455-RRB-20251110 -  RV Approved"/>
    <s v="Schletter - INV2403"/>
    <x v="1"/>
    <n v="3125.4735523543814"/>
    <m/>
    <d v="2025-12-30T00:00:00"/>
    <m/>
  </r>
  <r>
    <n v="3"/>
    <x v="3"/>
    <m/>
    <m/>
    <m/>
    <m/>
    <m/>
    <m/>
    <x v="3"/>
    <n v="12784.22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65"/>
    <n v="81900"/>
    <m/>
    <s v="Menlo - INV0003407"/>
    <x v="1"/>
    <n v="143405.58617645298"/>
    <n v="7.2109651169739664E-2"/>
    <d v="2026-01-15T00:00:00"/>
    <n v="93178.369999999981"/>
  </r>
  <r>
    <n v="4"/>
    <x v="4"/>
    <s v="DC Cable - Black"/>
    <n v="-1000"/>
    <n v="13.65"/>
    <n v="-13650"/>
    <m/>
    <s v="Alllocated to Cpt Storeroom"/>
    <x v="4"/>
    <n v="0"/>
    <m/>
    <d v="2025-12-31T00:00:00"/>
    <m/>
  </r>
  <r>
    <n v="4"/>
    <x v="4"/>
    <s v="DC Cable - Red"/>
    <n v="-1300"/>
    <n v="13.65"/>
    <n v="-17745"/>
    <m/>
    <s v="Alllocated to Cpt Storeroom"/>
    <x v="4"/>
    <n v="0"/>
    <m/>
    <d v="2025-12-31T00:00:00"/>
    <m/>
  </r>
  <r>
    <n v="4"/>
    <x v="4"/>
    <m/>
    <m/>
    <m/>
    <m/>
    <m/>
    <m/>
    <x v="2"/>
    <n v="0"/>
    <m/>
    <m/>
    <m/>
  </r>
  <r>
    <n v="4"/>
    <x v="4"/>
    <s v="Project Kick Off"/>
    <n v="42673.4"/>
    <n v="0.1"/>
    <n v="4267.34"/>
    <s v="PO4381-RRB-20251017 - RV Approved"/>
    <s v="JA Electrical: Inv 1110"/>
    <x v="5"/>
    <n v="8718.1164575988332"/>
    <m/>
    <d v="2025-11-06T00:00:00"/>
    <m/>
  </r>
  <r>
    <n v="4"/>
    <x v="4"/>
    <s v="Site Establishment"/>
    <m/>
    <n v="0.15"/>
    <n v="6401.01"/>
    <m/>
    <s v="JA Electrical: Inv 1120"/>
    <x v="1"/>
    <n v="17778.049203678111"/>
    <m/>
    <d v="2025-11-28T00:00:00"/>
    <m/>
  </r>
  <r>
    <n v="4"/>
    <x v="4"/>
    <s v="AC Installation Complete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05"/>
    <n v="2133.64"/>
    <m/>
    <s v="JA Electrical: Inv 1152"/>
    <x v="3"/>
    <n v="5925.9349877015457"/>
    <m/>
    <d v="2026-01-31T00:00:00"/>
    <m/>
  </r>
  <r>
    <n v="4"/>
    <x v="4"/>
    <s v="Commissioning Complete"/>
    <m/>
    <n v="0.1"/>
    <n v="4267.34"/>
    <m/>
    <s v="JA Electrical: Inv 1152"/>
    <x v="3"/>
    <n v="11852.036618369695"/>
    <m/>
    <d v="2026-02-05T00:00:00"/>
    <m/>
  </r>
  <r>
    <n v="4"/>
    <x v="4"/>
    <s v="Site De-establisment"/>
    <m/>
    <n v="0.1"/>
    <n v="4267.34"/>
    <m/>
    <s v="JA Electrical: Inv 1152"/>
    <x v="3"/>
    <n v="11852.036618369695"/>
    <m/>
    <d v="2026-02-12T00:00:00"/>
    <m/>
  </r>
  <r>
    <n v="4"/>
    <x v="4"/>
    <s v="Handover Document Complete"/>
    <m/>
    <n v="0.05"/>
    <n v="2133.67"/>
    <m/>
    <s v="JA Electrical Inv 1153"/>
    <x v="3"/>
    <n v="5926.0183091848476"/>
    <m/>
    <d v="2026-02-12T00:00:00"/>
    <m/>
  </r>
  <r>
    <n v="4"/>
    <x v="4"/>
    <s v="End of Defects Period"/>
    <m/>
    <n v="0.05"/>
    <n v="2133.67"/>
    <m/>
    <s v="JA Electrical Inv 1153"/>
    <x v="3"/>
    <n v="5926.0183091848476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1"/>
    <n v="9080.9279110069801"/>
    <n v="3.9453588105970994E-3"/>
    <d v="2026-01-09T00:00:00"/>
    <n v="59038.009999999995"/>
  </r>
  <r>
    <n v="5"/>
    <x v="5"/>
    <s v="CTs &amp; Meters"/>
    <m/>
    <m/>
    <n v="25321"/>
    <s v="PO4374-RRB-20251015 - RV Approved"/>
    <s v="Accuenergy Inv: ASAI-006653"/>
    <x v="5"/>
    <n v="26936.920577737092"/>
    <m/>
    <d v="2026-01-07T00:00:00"/>
    <m/>
  </r>
  <r>
    <n v="5"/>
    <x v="5"/>
    <s v="Techsitter"/>
    <n v="2"/>
    <n v="11169"/>
    <n v="22338"/>
    <m/>
    <s v="Matriarch - INV-5366"/>
    <x v="5"/>
    <n v="23763.553250878369"/>
    <m/>
    <d v="2025-11-28T00:00:00"/>
    <m/>
  </r>
  <r>
    <n v="5"/>
    <x v="5"/>
    <s v="Delivery of Techsitter"/>
    <m/>
    <m/>
    <n v="343.33"/>
    <m/>
    <s v="DSV Inv: 180153158"/>
    <x v="5"/>
    <n v="365.24043054991802"/>
    <m/>
    <d v="2025-11-28T00:00:00"/>
    <m/>
  </r>
  <r>
    <n v="5"/>
    <x v="5"/>
    <s v="Battery "/>
    <m/>
    <m/>
    <n v="975"/>
    <m/>
    <s v="Red Pole - SO-35912"/>
    <x v="5"/>
    <n v="1037.2219724060528"/>
    <m/>
    <d v="2025-10-09T00:00:00"/>
    <m/>
  </r>
  <r>
    <n v="5"/>
    <x v="5"/>
    <s v="Delivery of Comms Equip"/>
    <m/>
    <m/>
    <n v="21.34"/>
    <s v=" "/>
    <s v="Uber"/>
    <x v="1"/>
    <n v="22.63803342027202"/>
    <m/>
    <d v="2025-11-12T00:00:00"/>
    <m/>
  </r>
  <r>
    <n v="5"/>
    <x v="5"/>
    <s v="Delivery of Comms Equip"/>
    <m/>
    <m/>
    <n v="41"/>
    <m/>
    <s v="Uber"/>
    <x v="1"/>
    <n v="43.493878642509507"/>
    <m/>
    <d v="2025-11-29T00:00:00"/>
    <m/>
  </r>
  <r>
    <n v="5"/>
    <x v="5"/>
    <s v="Power Supply"/>
    <m/>
    <m/>
    <n v="1300"/>
    <m/>
    <s v="Allocated from cpt Storeroom"/>
    <x v="4"/>
    <m/>
    <m/>
    <d v="2025-12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1280.62"/>
  </r>
  <r>
    <n v="6"/>
    <x v="6"/>
    <s v="PVDB"/>
    <m/>
    <m/>
    <n v="24740.639999999999"/>
    <s v="PO4348-RRB-20250930 - RV Approved"/>
    <s v="Switchboard - 2-SOI002612"/>
    <x v="1"/>
    <n v="68483.977217134932"/>
    <m/>
    <d v="2025-12-30T00:00:00"/>
    <m/>
  </r>
  <r>
    <n v="6"/>
    <x v="6"/>
    <m/>
    <m/>
    <m/>
    <n v="55375.08"/>
    <m/>
    <s v="Switchboard - 2-SOI002610"/>
    <x v="1"/>
    <n v="153282.44205150008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41164.9"/>
    <n v="0.1"/>
    <n v="4116.4900000000007"/>
    <s v="PO4381-RRB-20251017 - RV Approved"/>
    <s v="JA Electrical: Inv 1110"/>
    <x v="5"/>
    <n v="11394.758073136501"/>
    <m/>
    <d v="2025-11-06T00:00:00"/>
    <m/>
  </r>
  <r>
    <n v="6"/>
    <x v="6"/>
    <s v="Site Establishment"/>
    <m/>
    <n v="0.15"/>
    <n v="6174.7349999999997"/>
    <m/>
    <s v="JA Electrical: Inv 1120"/>
    <x v="1"/>
    <n v="17092.137109704749"/>
    <m/>
    <d v="2025-11-28T00:00:00"/>
    <m/>
  </r>
  <r>
    <n v="6"/>
    <x v="6"/>
    <s v="AC Installation Complete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05"/>
    <n v="2058.2450000000003"/>
    <m/>
    <s v="JA Electrical: Inv 1152"/>
    <x v="3"/>
    <n v="5697.3790365682507"/>
    <m/>
    <d v="2026-01-31T00:00:00"/>
    <m/>
  </r>
  <r>
    <n v="6"/>
    <x v="6"/>
    <s v="Commissioning Complete"/>
    <m/>
    <n v="0.1"/>
    <n v="4116.4900000000007"/>
    <m/>
    <s v="JA Electrical: Inv 1152"/>
    <x v="3"/>
    <n v="11394.758073136501"/>
    <m/>
    <d v="2026-02-05T00:00:00"/>
    <m/>
  </r>
  <r>
    <n v="6"/>
    <x v="6"/>
    <s v="Site De-establisment"/>
    <m/>
    <n v="0.1"/>
    <n v="4116.4900000000007"/>
    <m/>
    <s v="JA Electrical: Inv 1152"/>
    <x v="3"/>
    <n v="11394.758073136501"/>
    <m/>
    <d v="2026-02-12T00:00:00"/>
    <m/>
  </r>
  <r>
    <n v="6"/>
    <x v="6"/>
    <s v="Handover Document Complete"/>
    <m/>
    <n v="0.05"/>
    <n v="2058.2450000000003"/>
    <m/>
    <s v="JA Electrical Inv 1153"/>
    <x v="3"/>
    <n v="5697.3790365682507"/>
    <m/>
    <d v="2026-02-12T00:00:00"/>
    <m/>
  </r>
  <r>
    <n v="6"/>
    <x v="6"/>
    <s v="End of Defects Period"/>
    <m/>
    <n v="0.05"/>
    <n v="2058.2450000000003"/>
    <m/>
    <s v="JA Electrical Inv 1153"/>
    <x v="3"/>
    <n v="5697.3790365682507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6057.31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Inverter Cage"/>
    <n v="0.7"/>
    <n v="18231.22"/>
    <n v="12761.853999999999"/>
    <s v="PO4476-RRB-20251118 -  RV Approved"/>
    <s v="Overstaalwerke - IN100634"/>
    <x v="1"/>
    <m/>
    <m/>
    <d v="2025-11-19T00:00:00"/>
    <m/>
  </r>
  <r>
    <n v="8"/>
    <x v="8"/>
    <m/>
    <n v="0.3"/>
    <m/>
    <n v="5469.366"/>
    <m/>
    <s v="Overstaalwerke - IN100634"/>
    <x v="1"/>
    <m/>
    <m/>
    <d v="2025-12-18T00:00:00"/>
    <m/>
  </r>
  <r>
    <n v="8"/>
    <x v="8"/>
    <s v="Extractor Fan"/>
    <m/>
    <m/>
    <n v="7826.09"/>
    <m/>
    <s v="DK Refrigeration - INV0003287"/>
    <x v="4"/>
    <m/>
    <m/>
    <d v="2025-12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1148.24999999994"/>
  </r>
  <r>
    <n v="9"/>
    <x v="9"/>
    <s v="Project Kick Off"/>
    <n v="311148.25"/>
    <n v="0.1"/>
    <n v="31114.825000000001"/>
    <s v="PO4381-RRB-20251017 - RV Approved"/>
    <s v="JA Electrical: Inv 1110"/>
    <x v="5"/>
    <n v="21883.400000000005"/>
    <m/>
    <d v="2025-11-06T00:00:00"/>
    <m/>
  </r>
  <r>
    <n v="9"/>
    <x v="9"/>
    <s v="Site Establishment"/>
    <m/>
    <n v="0.15"/>
    <n v="46672.237499999996"/>
    <m/>
    <s v="JA Electrical: Inv 1120"/>
    <x v="1"/>
    <n v="32825.100000000006"/>
    <m/>
    <d v="2025-11-28T00:00:00"/>
    <m/>
  </r>
  <r>
    <n v="9"/>
    <x v="9"/>
    <s v="AC Installation Complete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05"/>
    <n v="15557.4125"/>
    <m/>
    <s v="JA Electrical: Inv 1152"/>
    <x v="3"/>
    <n v="10941.700000000003"/>
    <m/>
    <d v="2026-01-31T00:00:00"/>
    <m/>
  </r>
  <r>
    <n v="9"/>
    <x v="9"/>
    <s v="Commissioning Complete"/>
    <m/>
    <n v="0.1"/>
    <n v="31114.825000000001"/>
    <m/>
    <s v="JA Electrical: Inv 1152"/>
    <x v="3"/>
    <n v="21883.400000000005"/>
    <m/>
    <d v="2026-02-05T00:00:00"/>
    <m/>
  </r>
  <r>
    <n v="9"/>
    <x v="9"/>
    <s v="Site De-establisment"/>
    <m/>
    <n v="0.1"/>
    <n v="31114.825000000001"/>
    <m/>
    <s v="JA Electrical: Inv 1152"/>
    <x v="3"/>
    <n v="21883.400000000005"/>
    <m/>
    <d v="2026-02-12T00:00:00"/>
    <m/>
  </r>
  <r>
    <n v="9"/>
    <x v="9"/>
    <s v="Handover Document Complete"/>
    <m/>
    <n v="0.05"/>
    <n v="15557.4125"/>
    <m/>
    <s v="JA Electrical Inv 1153"/>
    <x v="3"/>
    <n v="10941.700000000003"/>
    <m/>
    <d v="2026-02-12T00:00:00"/>
    <m/>
  </r>
  <r>
    <n v="9"/>
    <x v="9"/>
    <s v="End of Defects Period"/>
    <m/>
    <n v="0.05"/>
    <n v="15557.4125"/>
    <m/>
    <s v="JA Electrical Inv 1153"/>
    <x v="3"/>
    <n v="10941.700000000003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7150"/>
    <m/>
    <s v="Overberg Security : IN24945"/>
    <x v="4"/>
    <n v="3700.52"/>
    <n v="1.5371602057712153E-3"/>
    <d v="2025-12-04T00:00:00"/>
    <n v="109850.7574999999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02700.75"/>
    <n v="0.1"/>
    <n v="10270.075000000001"/>
    <s v="PO4381-RRB-20251017 - RV Approved"/>
    <s v="JA Electrical: Inv 1110"/>
    <x v="5"/>
    <n v="6317.1"/>
    <m/>
    <d v="2025-11-06T00:00:00"/>
    <m/>
  </r>
  <r>
    <n v="10"/>
    <x v="10"/>
    <s v="Site Establishment"/>
    <m/>
    <n v="0.15"/>
    <n v="15405.112499999999"/>
    <m/>
    <s v="JA Electrical: Inv 1120"/>
    <x v="1"/>
    <n v="8858.8959268598519"/>
    <m/>
    <d v="2025-11-28T00:00:00"/>
    <m/>
  </r>
  <r>
    <n v="10"/>
    <x v="10"/>
    <s v="AC Installation Complete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05"/>
    <n v="5135.04"/>
    <m/>
    <s v="JA Electrical: Inv 1152"/>
    <x v="3"/>
    <n v="2952.9665449962872"/>
    <m/>
    <d v="2026-01-31T00:00:00"/>
    <m/>
  </r>
  <r>
    <n v="10"/>
    <x v="10"/>
    <s v="Commissioning Complete"/>
    <m/>
    <n v="0.1"/>
    <n v="10270.08"/>
    <m/>
    <s v="JA Electrical: Inv 1152"/>
    <x v="3"/>
    <n v="5905.9330899925744"/>
    <m/>
    <d v="2026-02-05T00:00:00"/>
    <m/>
  </r>
  <r>
    <n v="10"/>
    <x v="10"/>
    <s v="Site De-establisment"/>
    <m/>
    <n v="0.1"/>
    <n v="10270.08"/>
    <m/>
    <s v="JA Electrical: Inv 1152"/>
    <x v="3"/>
    <n v="5905.9330899925744"/>
    <m/>
    <d v="2026-02-12T00:00:00"/>
    <m/>
  </r>
  <r>
    <n v="10"/>
    <x v="10"/>
    <s v="Handover Document Complete"/>
    <m/>
    <n v="0.05"/>
    <n v="5135.04"/>
    <m/>
    <s v="JA Electrical Inv 1153"/>
    <x v="3"/>
    <n v="2952.9665449962872"/>
    <m/>
    <d v="2026-02-12T00:00:00"/>
    <m/>
  </r>
  <r>
    <n v="10"/>
    <x v="10"/>
    <s v="End of Defects Period"/>
    <m/>
    <n v="0.05"/>
    <n v="5135.04"/>
    <m/>
    <s v="JA Electrical Inv 1153"/>
    <x v="3"/>
    <n v="2952.9665449962872"/>
    <m/>
    <d v="2026-03-14T00:00:00"/>
    <m/>
  </r>
  <r>
    <n v="10"/>
    <x v="10"/>
    <s v="Rounding Difference"/>
    <m/>
    <m/>
    <n v="-0.01"/>
    <m/>
    <s v="JA Electrical Inv 1153"/>
    <x v="3"/>
    <n v="-5.7506203359589947E-3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5375"/>
    <m/>
    <s v="SunSpot - E037"/>
    <x v="3"/>
    <n v="71130.68421052632"/>
    <n v="0"/>
    <d v="2026-02-05T00:00:00"/>
    <n v="21375"/>
  </r>
  <r>
    <n v="11"/>
    <x v="11"/>
    <s v="Structural Sign Off"/>
    <m/>
    <m/>
    <n v="0"/>
    <m/>
    <m/>
    <x v="0"/>
    <n v="0"/>
    <m/>
    <m/>
    <m/>
  </r>
  <r>
    <n v="11"/>
    <x v="11"/>
    <s v="Scada for CoCT"/>
    <m/>
    <m/>
    <n v="0"/>
    <m/>
    <m/>
    <x v="0"/>
    <n v="0"/>
    <m/>
    <m/>
    <m/>
  </r>
  <r>
    <n v="11"/>
    <x v="11"/>
    <s v="Red Team Inspection"/>
    <m/>
    <m/>
    <n v="6000"/>
    <m/>
    <s v="Matriarch - INV-6235"/>
    <x v="3"/>
    <n v="27758.315789473683"/>
    <m/>
    <d v="2026-03-2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967.953500000003"/>
    <m/>
    <s v="Matriarch - INV-6234"/>
    <x v="3"/>
    <n v="23822"/>
    <n v="0"/>
    <d v="2026-02-27T00:00:00"/>
    <n v="25967.953500000003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4.8833898808879894E-3"/>
    <d v="2025-10-31T00:00:00"/>
    <n v="3887.33"/>
  </r>
  <r>
    <n v="14"/>
    <x v="14"/>
    <s v="Travel"/>
    <m/>
    <m/>
    <n v="1951.6"/>
    <m/>
    <s v="Expense Claim"/>
    <x v="1"/>
    <n v="2291.9783527820055"/>
    <m/>
    <d v="2025-12-05T00:00:00"/>
    <m/>
  </r>
  <r>
    <n v="14"/>
    <x v="14"/>
    <s v="Travel"/>
    <m/>
    <m/>
    <n v="1799.28"/>
    <m/>
    <s v="Expense Claim"/>
    <x v="4"/>
    <n v="1471.5797653484374"/>
    <m/>
    <d v="2026-01-08T00:00:00"/>
    <m/>
  </r>
  <r>
    <n v="14"/>
    <x v="14"/>
    <s v="Travel"/>
    <m/>
    <m/>
    <n v="136.44999999999999"/>
    <m/>
    <s v="Expense Claim"/>
    <x v="3"/>
    <n v="1097.4369984796763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7500"/>
  </r>
  <r>
    <n v="15"/>
    <x v="15"/>
    <m/>
    <m/>
    <m/>
    <m/>
    <m/>
    <m/>
    <x v="0"/>
    <m/>
    <m/>
    <m/>
    <m/>
  </r>
  <r>
    <n v="15"/>
    <x v="15"/>
    <s v="Domestic transport "/>
    <m/>
    <m/>
    <n v="7500"/>
    <s v="PO4515-GEN-20251202-RV approved "/>
    <s v="ABL Transport Inv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A9" sqref="A9"/>
    </sheetView>
  </sheetViews>
  <sheetFormatPr defaultRowHeight="14.4"/>
  <cols>
    <col min="1" max="1" width="6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70" t="s">
        <v>0</v>
      </c>
      <c r="C2" s="670"/>
      <c r="D2" s="670"/>
      <c r="E2" s="670"/>
      <c r="H2" s="671" t="s">
        <v>1</v>
      </c>
      <c r="I2" s="672"/>
      <c r="J2" s="672"/>
      <c r="K2" s="672"/>
      <c r="L2" s="672"/>
      <c r="M2" s="672"/>
      <c r="N2" s="672"/>
      <c r="O2" s="673"/>
    </row>
    <row r="3" spans="2:15">
      <c r="B3" s="615"/>
      <c r="H3" s="674"/>
      <c r="I3" s="675"/>
      <c r="J3" s="675"/>
      <c r="K3" s="675"/>
      <c r="L3" s="675"/>
      <c r="M3" s="675"/>
      <c r="N3" s="675"/>
      <c r="O3" s="676"/>
    </row>
    <row r="4" spans="2:15">
      <c r="B4" s="616" t="s">
        <v>2</v>
      </c>
      <c r="C4" s="617" t="str">
        <f>'Project Plan'!E2</f>
        <v>Shoprite Mini_Bredarsdorp</v>
      </c>
      <c r="H4" s="674"/>
      <c r="I4" s="675"/>
      <c r="J4" s="675"/>
      <c r="K4" s="675"/>
      <c r="L4" s="675"/>
      <c r="M4" s="675"/>
      <c r="N4" s="675"/>
      <c r="O4" s="676"/>
    </row>
    <row r="5" spans="2:15">
      <c r="B5" s="616" t="s">
        <v>3</v>
      </c>
      <c r="C5" s="617" t="s">
        <v>4</v>
      </c>
      <c r="H5" s="674"/>
      <c r="I5" s="675"/>
      <c r="J5" s="675"/>
      <c r="K5" s="675"/>
      <c r="L5" s="675"/>
      <c r="M5" s="675"/>
      <c r="N5" s="675"/>
      <c r="O5" s="676"/>
    </row>
    <row r="6" spans="2:15">
      <c r="B6" s="616" t="s">
        <v>5</v>
      </c>
      <c r="C6" s="617" t="s">
        <v>6</v>
      </c>
      <c r="H6" s="674"/>
      <c r="I6" s="675"/>
      <c r="J6" s="675"/>
      <c r="K6" s="675"/>
      <c r="L6" s="675"/>
      <c r="M6" s="675"/>
      <c r="N6" s="675"/>
      <c r="O6" s="676"/>
    </row>
    <row r="7" spans="2:15">
      <c r="B7" s="616" t="s">
        <v>7</v>
      </c>
      <c r="C7" s="617" t="s">
        <v>8</v>
      </c>
      <c r="H7" s="674"/>
      <c r="I7" s="675"/>
      <c r="J7" s="675"/>
      <c r="K7" s="675"/>
      <c r="L7" s="675"/>
      <c r="M7" s="675"/>
      <c r="N7" s="675"/>
      <c r="O7" s="676"/>
    </row>
    <row r="8" spans="2:15">
      <c r="B8" s="615"/>
      <c r="H8" s="674"/>
      <c r="I8" s="675"/>
      <c r="J8" s="675"/>
      <c r="K8" s="675"/>
      <c r="L8" s="675"/>
      <c r="M8" s="675"/>
      <c r="N8" s="675"/>
      <c r="O8" s="676"/>
    </row>
    <row r="9" spans="2:15">
      <c r="B9" s="680" t="s">
        <v>9</v>
      </c>
      <c r="C9" s="680"/>
      <c r="D9" s="680"/>
      <c r="E9" s="68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674"/>
      <c r="I9" s="675"/>
      <c r="J9" s="675"/>
      <c r="K9" s="675"/>
      <c r="L9" s="675"/>
      <c r="M9" s="675"/>
      <c r="N9" s="675"/>
      <c r="O9" s="676"/>
    </row>
    <row r="10" spans="2:15" ht="15" thickBot="1">
      <c r="B10" s="680" t="s">
        <v>10</v>
      </c>
      <c r="C10" s="680"/>
      <c r="D10" s="680"/>
      <c r="E10" s="680"/>
      <c r="H10" s="677"/>
      <c r="I10" s="678"/>
      <c r="J10" s="678"/>
      <c r="K10" s="678"/>
      <c r="L10" s="678"/>
      <c r="M10" s="678"/>
      <c r="N10" s="678"/>
      <c r="O10" s="679"/>
    </row>
    <row r="11" spans="2:15">
      <c r="B11" s="618" t="s">
        <v>11</v>
      </c>
      <c r="C11" s="668"/>
      <c r="D11" s="668"/>
      <c r="E11" s="668"/>
    </row>
    <row r="12" spans="2:15">
      <c r="B12" s="618" t="s">
        <v>12</v>
      </c>
      <c r="C12" s="668"/>
      <c r="D12" s="668"/>
      <c r="E12" s="668"/>
    </row>
    <row r="13" spans="2:15">
      <c r="B13" s="618" t="s">
        <v>13</v>
      </c>
      <c r="C13" s="668"/>
      <c r="D13" s="668"/>
      <c r="E13" s="668"/>
    </row>
    <row r="14" spans="2:15">
      <c r="B14" s="618" t="s">
        <v>14</v>
      </c>
      <c r="C14" s="668"/>
      <c r="D14" s="668"/>
      <c r="E14" s="668"/>
    </row>
    <row r="15" spans="2:15">
      <c r="B15" s="618" t="s">
        <v>15</v>
      </c>
      <c r="C15" s="668"/>
      <c r="D15" s="668"/>
      <c r="E15" s="668"/>
    </row>
    <row r="16" spans="2:15" ht="15" customHeight="1">
      <c r="B16" s="618" t="s">
        <v>16</v>
      </c>
      <c r="C16" s="668"/>
      <c r="D16" s="668"/>
      <c r="E16" s="668"/>
    </row>
    <row r="17" spans="2:5">
      <c r="B17" s="615"/>
    </row>
    <row r="18" spans="2:5">
      <c r="B18" s="669" t="s">
        <v>17</v>
      </c>
      <c r="C18" s="669"/>
      <c r="D18" s="669"/>
      <c r="E18" s="66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C36" sqref="C36"/>
    </sheetView>
  </sheetViews>
  <sheetFormatPr defaultRowHeight="14.4"/>
  <cols>
    <col min="1" max="1" width="6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70" t="s">
        <v>22</v>
      </c>
      <c r="C2" s="670"/>
      <c r="D2" s="670"/>
      <c r="E2" s="670"/>
      <c r="H2" s="671" t="s">
        <v>23</v>
      </c>
      <c r="I2" s="672"/>
      <c r="J2" s="672"/>
      <c r="K2" s="672"/>
      <c r="L2" s="672"/>
      <c r="M2" s="672"/>
      <c r="N2" s="672"/>
      <c r="O2" s="673"/>
    </row>
    <row r="3" spans="2:15">
      <c r="B3" s="615"/>
      <c r="H3" s="674"/>
      <c r="I3" s="675"/>
      <c r="J3" s="675"/>
      <c r="K3" s="675"/>
      <c r="L3" s="675"/>
      <c r="M3" s="675"/>
      <c r="N3" s="675"/>
      <c r="O3" s="676"/>
    </row>
    <row r="4" spans="2:15">
      <c r="B4" s="616" t="s">
        <v>2</v>
      </c>
      <c r="C4" s="617" t="str">
        <f>'Project Plan'!E2</f>
        <v>Shoprite Mini_Bredarsdorp</v>
      </c>
      <c r="H4" s="674"/>
      <c r="I4" s="675"/>
      <c r="J4" s="675"/>
      <c r="K4" s="675"/>
      <c r="L4" s="675"/>
      <c r="M4" s="675"/>
      <c r="N4" s="675"/>
      <c r="O4" s="676"/>
    </row>
    <row r="5" spans="2:15">
      <c r="B5" s="616" t="s">
        <v>24</v>
      </c>
      <c r="C5" s="617"/>
      <c r="H5" s="674"/>
      <c r="I5" s="675"/>
      <c r="J5" s="675"/>
      <c r="K5" s="675"/>
      <c r="L5" s="675"/>
      <c r="M5" s="675"/>
      <c r="N5" s="675"/>
      <c r="O5" s="676"/>
    </row>
    <row r="6" spans="2:15">
      <c r="B6" s="616" t="s">
        <v>5</v>
      </c>
      <c r="C6" s="617" t="s">
        <v>6</v>
      </c>
      <c r="H6" s="674"/>
      <c r="I6" s="675"/>
      <c r="J6" s="675"/>
      <c r="K6" s="675"/>
      <c r="L6" s="675"/>
      <c r="M6" s="675"/>
      <c r="N6" s="675"/>
      <c r="O6" s="676"/>
    </row>
    <row r="7" spans="2:15">
      <c r="B7" s="616" t="s">
        <v>25</v>
      </c>
      <c r="C7" s="617" t="str">
        <f>'Project Plan'!E5</f>
        <v>Peet Verreynne</v>
      </c>
      <c r="H7" s="674"/>
      <c r="I7" s="675"/>
      <c r="J7" s="675"/>
      <c r="K7" s="675"/>
      <c r="L7" s="675"/>
      <c r="M7" s="675"/>
      <c r="N7" s="675"/>
      <c r="O7" s="676"/>
    </row>
    <row r="8" spans="2:15">
      <c r="B8" s="616" t="s">
        <v>26</v>
      </c>
      <c r="C8" s="617"/>
      <c r="H8" s="674"/>
      <c r="I8" s="675"/>
      <c r="J8" s="675"/>
      <c r="K8" s="675"/>
      <c r="L8" s="675"/>
      <c r="M8" s="675"/>
      <c r="N8" s="675"/>
      <c r="O8" s="676"/>
    </row>
    <row r="9" spans="2:15">
      <c r="B9" s="615"/>
      <c r="H9" s="674"/>
      <c r="I9" s="675"/>
      <c r="J9" s="675"/>
      <c r="K9" s="675"/>
      <c r="L9" s="675"/>
      <c r="M9" s="675"/>
      <c r="N9" s="675"/>
      <c r="O9" s="676"/>
    </row>
    <row r="10" spans="2:15">
      <c r="B10" s="680" t="s">
        <v>9</v>
      </c>
      <c r="C10" s="680"/>
      <c r="D10" s="680"/>
      <c r="E10" s="680"/>
      <c r="H10" s="674"/>
      <c r="I10" s="675"/>
      <c r="J10" s="675"/>
      <c r="K10" s="675"/>
      <c r="L10" s="675"/>
      <c r="M10" s="675"/>
      <c r="N10" s="675"/>
      <c r="O10" s="676"/>
    </row>
    <row r="11" spans="2:15" ht="15" thickBot="1">
      <c r="B11" s="680" t="s">
        <v>10</v>
      </c>
      <c r="C11" s="680"/>
      <c r="D11" s="680"/>
      <c r="E11" s="680"/>
      <c r="H11" s="677"/>
      <c r="I11" s="678"/>
      <c r="J11" s="678"/>
      <c r="K11" s="678"/>
      <c r="L11" s="678"/>
      <c r="M11" s="678"/>
      <c r="N11" s="678"/>
      <c r="O11" s="679"/>
    </row>
    <row r="12" spans="2:15" ht="26.4">
      <c r="B12" s="618" t="s">
        <v>27</v>
      </c>
      <c r="C12" s="668"/>
      <c r="D12" s="668"/>
      <c r="E12" s="668"/>
    </row>
    <row r="13" spans="2:15">
      <c r="B13" s="618" t="s">
        <v>28</v>
      </c>
      <c r="C13" s="668"/>
      <c r="D13" s="668"/>
      <c r="E13" s="668"/>
    </row>
    <row r="14" spans="2:15">
      <c r="B14" s="618" t="s">
        <v>29</v>
      </c>
      <c r="C14" s="668"/>
      <c r="D14" s="668"/>
      <c r="E14" s="668"/>
    </row>
    <row r="15" spans="2:15">
      <c r="B15" s="618" t="s">
        <v>30</v>
      </c>
      <c r="C15" s="668"/>
      <c r="D15" s="668"/>
      <c r="E15" s="668"/>
    </row>
    <row r="16" spans="2:15" ht="26.4">
      <c r="B16" s="618" t="s">
        <v>31</v>
      </c>
      <c r="C16" s="668"/>
      <c r="D16" s="668"/>
      <c r="E16" s="668"/>
    </row>
    <row r="17" spans="2:5">
      <c r="B17" s="618" t="s">
        <v>32</v>
      </c>
      <c r="C17" s="668"/>
      <c r="D17" s="668"/>
      <c r="E17" s="668"/>
    </row>
    <row r="18" spans="2:5">
      <c r="B18" s="618" t="s">
        <v>33</v>
      </c>
      <c r="C18" s="668"/>
      <c r="D18" s="668"/>
      <c r="E18" s="668"/>
    </row>
    <row r="19" spans="2:5">
      <c r="B19" s="618" t="s">
        <v>34</v>
      </c>
      <c r="C19" s="668"/>
      <c r="D19" s="668"/>
      <c r="E19" s="668"/>
    </row>
    <row r="20" spans="2:5">
      <c r="B20" s="618" t="s">
        <v>35</v>
      </c>
      <c r="C20" s="668"/>
      <c r="D20" s="668"/>
      <c r="E20" s="668"/>
    </row>
    <row r="21" spans="2:5">
      <c r="B21" s="618" t="s">
        <v>36</v>
      </c>
      <c r="C21" s="668"/>
      <c r="D21" s="668"/>
      <c r="E21" s="668"/>
    </row>
    <row r="22" spans="2:5" ht="15" customHeight="1">
      <c r="B22" s="618" t="s">
        <v>16</v>
      </c>
      <c r="C22" s="668"/>
      <c r="D22" s="668"/>
      <c r="E22" s="668"/>
    </row>
    <row r="23" spans="2:5">
      <c r="B23" s="615"/>
    </row>
    <row r="24" spans="2:5">
      <c r="B24" s="669" t="s">
        <v>17</v>
      </c>
      <c r="C24" s="669"/>
      <c r="D24" s="669"/>
      <c r="E24" s="66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C3" sqref="C3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5546875" customWidth="1"/>
    <col min="11" max="11" width="77.44140625" customWidth="1"/>
  </cols>
  <sheetData>
    <row r="1" spans="2:15">
      <c r="B1" s="683"/>
      <c r="C1" s="684"/>
      <c r="D1" s="684"/>
      <c r="E1" s="684"/>
      <c r="F1" s="681" t="s">
        <v>37</v>
      </c>
      <c r="G1" s="681"/>
      <c r="H1" s="681"/>
      <c r="I1" s="681"/>
      <c r="J1" s="681"/>
      <c r="K1" s="682"/>
      <c r="L1" s="13"/>
      <c r="M1" s="13"/>
      <c r="N1" s="13"/>
      <c r="O1" s="13"/>
    </row>
    <row r="2" spans="2:15" ht="6.75" customHeight="1"/>
    <row r="3" spans="2:15" s="622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Normal="100" workbookViewId="0">
      <selection activeCell="E28" sqref="E28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33203125" customWidth="1"/>
    <col min="6" max="6" width="33.44140625" customWidth="1"/>
  </cols>
  <sheetData>
    <row r="1" spans="2:10" ht="15" thickBot="1"/>
    <row r="2" spans="2:10" ht="15.6" thickTop="1" thickBot="1">
      <c r="B2" s="685" t="s">
        <v>102</v>
      </c>
      <c r="C2" s="686"/>
      <c r="D2" s="686"/>
      <c r="E2" s="686"/>
      <c r="F2" s="687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/>
    </row>
    <row r="6" spans="2:10">
      <c r="B6" s="10" t="s">
        <v>105</v>
      </c>
      <c r="C6" s="12"/>
      <c r="D6" s="12"/>
      <c r="E6" s="12"/>
      <c r="F6" s="7"/>
    </row>
    <row r="7" spans="2:10">
      <c r="B7" s="10" t="s">
        <v>106</v>
      </c>
      <c r="C7" s="12"/>
      <c r="D7" s="12"/>
      <c r="E7" s="12"/>
      <c r="F7" s="7"/>
    </row>
    <row r="8" spans="2:10">
      <c r="B8" s="10" t="s">
        <v>107</v>
      </c>
      <c r="C8" s="12"/>
      <c r="D8" s="12"/>
      <c r="E8" s="12"/>
      <c r="F8" s="7"/>
    </row>
    <row r="9" spans="2:10">
      <c r="B9" s="11" t="s">
        <v>108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5" t="s">
        <v>109</v>
      </c>
      <c r="C16" s="686"/>
      <c r="D16" s="686"/>
      <c r="E16" s="686"/>
      <c r="F16" s="687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110</v>
      </c>
      <c r="C20" s="12"/>
      <c r="D20" s="12"/>
      <c r="E20" s="12"/>
      <c r="F20" s="7"/>
    </row>
    <row r="21" spans="2:6">
      <c r="B21" s="10" t="s">
        <v>111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F7" sqref="F7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5546875" style="4" customWidth="1"/>
    <col min="6" max="6" width="10.332031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/>
    <col min="19" max="19" width="21.5546875" style="26" customWidth="1"/>
    <col min="20" max="22" width="12.5546875" style="26" customWidth="1"/>
    <col min="23" max="23" width="8.44140625" style="26"/>
    <col min="24" max="25" width="10.332031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112</v>
      </c>
      <c r="D2" s="90"/>
      <c r="E2" s="566" t="s">
        <v>113</v>
      </c>
      <c r="F2" s="567"/>
      <c r="G2" s="567"/>
      <c r="H2" s="568"/>
      <c r="I2" s="688" t="s">
        <v>114</v>
      </c>
      <c r="J2" s="689"/>
      <c r="K2" s="587">
        <f>NETWORKDAYS(I18,K39,Data!C3:C60)</f>
        <v>21</v>
      </c>
      <c r="N2" s="306">
        <v>0</v>
      </c>
      <c r="O2" s="306">
        <v>1</v>
      </c>
    </row>
    <row r="3" spans="2:28" s="26" customFormat="1" ht="14.4" thickBot="1">
      <c r="B3" s="91"/>
      <c r="C3" s="92" t="s">
        <v>115</v>
      </c>
      <c r="D3" s="90"/>
      <c r="E3" s="312">
        <v>250</v>
      </c>
      <c r="F3" s="93"/>
      <c r="G3" s="94"/>
      <c r="H3" s="94"/>
      <c r="I3" s="688" t="s">
        <v>116</v>
      </c>
      <c r="J3" s="689"/>
      <c r="K3" s="587">
        <f>K2/5</f>
        <v>4.2</v>
      </c>
      <c r="Q3" s="1"/>
    </row>
    <row r="4" spans="2:28" s="26" customFormat="1" ht="14.4" thickBot="1">
      <c r="B4" s="91"/>
      <c r="C4" s="92" t="s">
        <v>117</v>
      </c>
      <c r="D4" s="90"/>
      <c r="E4" s="565" t="s">
        <v>118</v>
      </c>
      <c r="F4" s="94"/>
      <c r="G4" s="94"/>
      <c r="H4" s="94"/>
      <c r="I4" s="688" t="s">
        <v>119</v>
      </c>
      <c r="J4" s="689"/>
      <c r="K4" s="588">
        <f>E3/K3</f>
        <v>59.523809523809518</v>
      </c>
      <c r="Q4" s="1"/>
    </row>
    <row r="5" spans="2:28" s="26" customFormat="1">
      <c r="B5" s="91"/>
      <c r="C5" s="92" t="s">
        <v>120</v>
      </c>
      <c r="D5" s="90"/>
      <c r="E5" s="565" t="s">
        <v>118</v>
      </c>
      <c r="F5" s="94"/>
      <c r="G5" s="94"/>
      <c r="H5" s="94"/>
      <c r="Q5" s="1"/>
    </row>
    <row r="6" spans="2:28">
      <c r="B6" s="95"/>
      <c r="C6" s="96" t="s">
        <v>121</v>
      </c>
      <c r="D6" s="90"/>
      <c r="E6" s="544">
        <v>2077436.28</v>
      </c>
      <c r="F6" s="569"/>
      <c r="G6" s="569"/>
      <c r="H6" s="570"/>
    </row>
    <row r="7" spans="2:28" s="26" customFormat="1">
      <c r="B7" s="79"/>
      <c r="C7" s="654" t="s">
        <v>122</v>
      </c>
      <c r="D7" s="627"/>
      <c r="E7" s="655" t="s">
        <v>123</v>
      </c>
      <c r="F7" s="80"/>
      <c r="G7" s="97"/>
      <c r="J7" s="27"/>
      <c r="Q7" s="1"/>
    </row>
    <row r="8" spans="2:28" ht="30" customHeight="1">
      <c r="B8" s="692" t="s">
        <v>124</v>
      </c>
      <c r="C8" s="693" t="s">
        <v>125</v>
      </c>
      <c r="D8" s="126"/>
      <c r="E8" s="694" t="s">
        <v>126</v>
      </c>
      <c r="F8" s="148" t="s">
        <v>127</v>
      </c>
      <c r="G8" s="694" t="s">
        <v>128</v>
      </c>
      <c r="H8" s="149"/>
      <c r="I8" s="694" t="s">
        <v>129</v>
      </c>
      <c r="J8" s="148" t="s">
        <v>127</v>
      </c>
      <c r="K8" s="694" t="s">
        <v>130</v>
      </c>
      <c r="M8" s="584" t="s">
        <v>44</v>
      </c>
      <c r="N8" s="585" t="s">
        <v>131</v>
      </c>
      <c r="O8" s="690" t="s">
        <v>132</v>
      </c>
      <c r="Z8" s="26"/>
      <c r="AA8" s="26"/>
      <c r="AB8" s="26"/>
    </row>
    <row r="9" spans="2:28">
      <c r="B9" s="692"/>
      <c r="C9" s="693"/>
      <c r="D9" s="126"/>
      <c r="E9" s="694"/>
      <c r="F9" s="40">
        <f>G39-E19</f>
        <v>21</v>
      </c>
      <c r="G9" s="694"/>
      <c r="H9" s="149"/>
      <c r="I9" s="694"/>
      <c r="J9" s="41">
        <f>K39-I19</f>
        <v>28</v>
      </c>
      <c r="K9" s="694"/>
      <c r="M9" s="265">
        <f>AVERAGE(M11,M18,M21,M28,M35,M39,M48,M44)</f>
        <v>1</v>
      </c>
      <c r="N9" s="265">
        <f ca="1">AVERAGE(N11,N18,N21,N28,N35,N39,N48,N44)</f>
        <v>0.99996958994209062</v>
      </c>
      <c r="O9" s="691"/>
      <c r="S9" s="586">
        <f ca="1">TODAY()</f>
        <v>46069</v>
      </c>
      <c r="T9" s="586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133</v>
      </c>
      <c r="D11" s="130"/>
      <c r="E11" s="571">
        <f>MIN(E12:E17)</f>
        <v>45931</v>
      </c>
      <c r="F11" s="572">
        <f>G11-E11</f>
        <v>30</v>
      </c>
      <c r="G11" s="571">
        <f>MAX(G12:G17)</f>
        <v>45961</v>
      </c>
      <c r="H11" s="573"/>
      <c r="I11" s="571">
        <f>MIN(I12:I17)</f>
        <v>45931</v>
      </c>
      <c r="J11" s="572">
        <f>K11-I11</f>
        <v>30</v>
      </c>
      <c r="K11" s="571">
        <f>MAX(K12:K17)</f>
        <v>45961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134</v>
      </c>
      <c r="C12" s="158" t="s">
        <v>135</v>
      </c>
      <c r="D12" s="126"/>
      <c r="E12" s="576">
        <v>45931</v>
      </c>
      <c r="F12" s="577">
        <v>1</v>
      </c>
      <c r="G12" s="576">
        <f>WORKDAY.INTL(E12,F12,1,Data!$C$3:$C$60)</f>
        <v>45932</v>
      </c>
      <c r="H12" s="578"/>
      <c r="I12" s="576">
        <v>45931</v>
      </c>
      <c r="J12" s="577">
        <v>1</v>
      </c>
      <c r="K12" s="576">
        <f>WORKDAY.INTL(I12,J12,1,Data!$C$3:$C$60)</f>
        <v>45932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136</v>
      </c>
      <c r="T12" s="538" t="s">
        <v>137</v>
      </c>
      <c r="U12" s="538" t="s">
        <v>127</v>
      </c>
      <c r="V12" s="538" t="s">
        <v>138</v>
      </c>
    </row>
    <row r="13" spans="2:28" s="26" customFormat="1">
      <c r="B13" s="157" t="s">
        <v>139</v>
      </c>
      <c r="C13" s="158" t="s">
        <v>140</v>
      </c>
      <c r="D13" s="126"/>
      <c r="E13" s="576">
        <f>WORKDAY.INTL(G12,0,1,Data!$C$3:$C$60)</f>
        <v>45932</v>
      </c>
      <c r="F13" s="577">
        <v>15</v>
      </c>
      <c r="G13" s="576">
        <f>WORKDAY.INTL(E13,F13,1,Data!$C$3:$C$60)</f>
        <v>45953</v>
      </c>
      <c r="H13" s="578"/>
      <c r="I13" s="576">
        <f>WORKDAY.INTL(K12,0,1,Data!$C$3:$C$60)</f>
        <v>45932</v>
      </c>
      <c r="J13" s="577">
        <v>15</v>
      </c>
      <c r="K13" s="576">
        <f>WORKDAY.INTL(I13,J13,1,Data!$C$3:$C$60)</f>
        <v>45953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45931</v>
      </c>
      <c r="U13" s="540">
        <f>J11</f>
        <v>30</v>
      </c>
      <c r="V13" s="539">
        <f>K11</f>
        <v>45961</v>
      </c>
    </row>
    <row r="14" spans="2:28" s="26" customFormat="1">
      <c r="B14" s="157" t="s">
        <v>141</v>
      </c>
      <c r="C14" s="158" t="s">
        <v>142</v>
      </c>
      <c r="D14" s="126"/>
      <c r="E14" s="576">
        <f>WORKDAY.INTL(G12,0,1,Data!$C$3:$C$60)+14</f>
        <v>45946</v>
      </c>
      <c r="F14" s="577">
        <v>1</v>
      </c>
      <c r="G14" s="576">
        <f>WORKDAY.INTL(E14,F14,1,Data!$C$3:$C$60)</f>
        <v>45947</v>
      </c>
      <c r="H14" s="578"/>
      <c r="I14" s="576">
        <f>WORKDAY.INTL(K12,0,1,Data!$C$3:$C$60)+14</f>
        <v>45946</v>
      </c>
      <c r="J14" s="577">
        <v>1</v>
      </c>
      <c r="K14" s="576">
        <f>WORKDAY.INTL(I14,J14,1,Data!$C$3:$C$60)</f>
        <v>45947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C18</f>
        <v>Site Establishment</v>
      </c>
      <c r="T14" s="539">
        <f>I18</f>
        <v>45967</v>
      </c>
      <c r="U14" s="540">
        <f>J18</f>
        <v>1</v>
      </c>
      <c r="V14" s="539">
        <f>K18</f>
        <v>45968</v>
      </c>
    </row>
    <row r="15" spans="2:28" s="26" customFormat="1">
      <c r="B15" s="157" t="s">
        <v>143</v>
      </c>
      <c r="C15" s="158" t="s">
        <v>144</v>
      </c>
      <c r="D15" s="126"/>
      <c r="E15" s="576">
        <f>WORKDAY.INTL(E14,0,1,Data!$C$3:$C$60)+14</f>
        <v>45960</v>
      </c>
      <c r="F15" s="577">
        <v>1</v>
      </c>
      <c r="G15" s="576">
        <f>WORKDAY.INTL(E15,F15,1,Data!$C$3:$C$60)</f>
        <v>45961</v>
      </c>
      <c r="H15" s="578"/>
      <c r="I15" s="576">
        <f>WORKDAY.INTL(I14,0,1,Data!$C$3:$C$60)+14</f>
        <v>45960</v>
      </c>
      <c r="J15" s="577">
        <v>1</v>
      </c>
      <c r="K15" s="576">
        <f>WORKDAY.INTL(I15,J15,1,Data!$C$3:$C$60)</f>
        <v>45961</v>
      </c>
      <c r="L15" s="77"/>
      <c r="M15" s="579">
        <v>1</v>
      </c>
      <c r="N15" s="579">
        <f t="shared" ca="1" si="0"/>
        <v>1</v>
      </c>
      <c r="O15" s="36"/>
      <c r="Q15" s="1"/>
      <c r="S15" s="537" t="str">
        <f>C21</f>
        <v>AC Installation</v>
      </c>
      <c r="T15" s="539">
        <f>I21</f>
        <v>45925</v>
      </c>
      <c r="U15" s="540">
        <f>J21</f>
        <v>62</v>
      </c>
      <c r="V15" s="539">
        <f>K21</f>
        <v>45987</v>
      </c>
    </row>
    <row r="16" spans="2:28" s="26" customFormat="1">
      <c r="B16" s="157" t="s">
        <v>145</v>
      </c>
      <c r="C16" s="158" t="s">
        <v>146</v>
      </c>
      <c r="D16" s="126"/>
      <c r="E16" s="576">
        <f>WORKDAY.INTL(E15,0,1,Data!$C$3:$C$60)</f>
        <v>45960</v>
      </c>
      <c r="F16" s="577">
        <v>1</v>
      </c>
      <c r="G16" s="576">
        <f>WORKDAY.INTL(E16,F16,1,Data!$C$3:$C$60)</f>
        <v>45961</v>
      </c>
      <c r="H16" s="578"/>
      <c r="I16" s="576">
        <f>WORKDAY.INTL(I15,0,1,Data!$C$3:$C$60)</f>
        <v>45960</v>
      </c>
      <c r="J16" s="577">
        <v>1</v>
      </c>
      <c r="K16" s="576">
        <f>WORKDAY.INTL(I16,J16,1,Data!$C$3:$C$60)</f>
        <v>45961</v>
      </c>
      <c r="L16" s="77"/>
      <c r="M16" s="579">
        <v>1</v>
      </c>
      <c r="N16" s="579">
        <f t="shared" ca="1" si="0"/>
        <v>1</v>
      </c>
      <c r="O16" s="36"/>
      <c r="Q16" s="1"/>
      <c r="S16" s="537" t="str">
        <f>C28</f>
        <v>DC Works</v>
      </c>
      <c r="T16" s="539">
        <f>I28</f>
        <v>45967</v>
      </c>
      <c r="U16" s="540">
        <f>J28</f>
        <v>21</v>
      </c>
      <c r="V16" s="539">
        <f>K28</f>
        <v>45988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7" t="str">
        <f>C35</f>
        <v>Module installation</v>
      </c>
      <c r="T17" s="539">
        <f>I35</f>
        <v>45974</v>
      </c>
      <c r="U17" s="540">
        <f>J35</f>
        <v>11</v>
      </c>
      <c r="V17" s="539">
        <f>K35</f>
        <v>45985</v>
      </c>
    </row>
    <row r="18" spans="2:28" s="28" customFormat="1">
      <c r="B18" s="155">
        <v>2</v>
      </c>
      <c r="C18" s="156" t="s">
        <v>147</v>
      </c>
      <c r="D18" s="130"/>
      <c r="E18" s="571">
        <f>MIN(E19:E20)</f>
        <v>45968</v>
      </c>
      <c r="F18" s="572">
        <f>G18-E18</f>
        <v>1</v>
      </c>
      <c r="G18" s="571">
        <f>MAX(G19:G20)</f>
        <v>45969</v>
      </c>
      <c r="H18" s="573"/>
      <c r="I18" s="571">
        <f>MIN(I19:I20)</f>
        <v>45967</v>
      </c>
      <c r="J18" s="572">
        <f>K18-I18</f>
        <v>1</v>
      </c>
      <c r="K18" s="571">
        <f>MAX(K19:K20)</f>
        <v>45968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7" t="str">
        <f>C39</f>
        <v>Commissioning</v>
      </c>
      <c r="T18" s="539">
        <f>I39</f>
        <v>45988</v>
      </c>
      <c r="U18" s="540">
        <f>J39</f>
        <v>7</v>
      </c>
      <c r="V18" s="539">
        <f>K39</f>
        <v>45995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148</v>
      </c>
      <c r="C19" s="158" t="s">
        <v>149</v>
      </c>
      <c r="D19" s="126"/>
      <c r="E19" s="576">
        <f>WORKDAY.INTL(G16,0,1,Data!$C$3:$C$60)+7</f>
        <v>45968</v>
      </c>
      <c r="F19" s="577">
        <v>1</v>
      </c>
      <c r="G19" s="576">
        <f>E19+F19</f>
        <v>45969</v>
      </c>
      <c r="H19" s="578"/>
      <c r="I19" s="576">
        <v>45967</v>
      </c>
      <c r="J19" s="577">
        <v>1</v>
      </c>
      <c r="K19" s="576">
        <f>I19+J19</f>
        <v>45968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7" t="str">
        <f>C44</f>
        <v>QA Inspections</v>
      </c>
      <c r="T19" s="539">
        <f>I44</f>
        <v>45988</v>
      </c>
      <c r="U19" s="540">
        <f>J44</f>
        <v>4</v>
      </c>
      <c r="V19" s="539">
        <f>K44</f>
        <v>45992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7" t="str">
        <f>C48</f>
        <v>Project Closure</v>
      </c>
      <c r="T20" s="539">
        <f>I48</f>
        <v>45989</v>
      </c>
      <c r="U20" s="540">
        <f>J48</f>
        <v>62</v>
      </c>
      <c r="V20" s="539">
        <f>K48</f>
        <v>46051</v>
      </c>
    </row>
    <row r="21" spans="2:28" s="28" customFormat="1">
      <c r="B21" s="155">
        <v>3</v>
      </c>
      <c r="C21" s="156" t="s">
        <v>150</v>
      </c>
      <c r="D21" s="130"/>
      <c r="E21" s="571">
        <f>MIN(E22:E27)</f>
        <v>45925</v>
      </c>
      <c r="F21" s="572">
        <f>G21-E21</f>
        <v>49</v>
      </c>
      <c r="G21" s="571">
        <f>MAX(G22:G27)</f>
        <v>45974</v>
      </c>
      <c r="H21" s="581"/>
      <c r="I21" s="571">
        <f>MIN(I22:I27)</f>
        <v>45925</v>
      </c>
      <c r="J21" s="572">
        <f>K21-I21</f>
        <v>62</v>
      </c>
      <c r="K21" s="571">
        <f>MAX(K22:K27)</f>
        <v>45987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151</v>
      </c>
      <c r="C22" s="158" t="s">
        <v>152</v>
      </c>
      <c r="D22" s="126"/>
      <c r="E22" s="576">
        <f>WORKDAY.INTL(G19,0,1,Data!$C$3:$C$60)</f>
        <v>45969</v>
      </c>
      <c r="F22" s="577">
        <v>1</v>
      </c>
      <c r="G22" s="576">
        <f>WORKDAY.INTL(E22,F22,1,Data!$C$3:$C$60)</f>
        <v>45971</v>
      </c>
      <c r="H22" s="578"/>
      <c r="I22" s="576">
        <v>45973</v>
      </c>
      <c r="J22" s="577">
        <v>1</v>
      </c>
      <c r="K22" s="576">
        <f>WORKDAY.INTL(I22,J22,1,Data!$C$3:$C$60)</f>
        <v>45974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153</v>
      </c>
      <c r="C23" s="158" t="s">
        <v>154</v>
      </c>
      <c r="D23" s="126"/>
      <c r="E23" s="576">
        <f>WORKDAY.INTL(G22,0,1,Data!$C$3:$C$60)</f>
        <v>45971</v>
      </c>
      <c r="F23" s="577">
        <v>2</v>
      </c>
      <c r="G23" s="576">
        <f>WORKDAY.INTL(E23,F23,1,Data!$C$3:$C$60)</f>
        <v>45973</v>
      </c>
      <c r="H23" s="578"/>
      <c r="I23" s="576">
        <v>45973</v>
      </c>
      <c r="J23" s="577">
        <v>1</v>
      </c>
      <c r="K23" s="576">
        <f>WORKDAY.INTL(I23,J23,1,Data!$C$3:$C$60)</f>
        <v>45974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6">
        <f>WORKDAY.INTL(E14,0,1,Data!$C$3:$C$60)-21</f>
        <v>45925</v>
      </c>
      <c r="F24" s="577">
        <v>30</v>
      </c>
      <c r="G24" s="576">
        <f>WORKDAY.INTL(E24,F24,1,Data!$C$3:$C$60)</f>
        <v>45967</v>
      </c>
      <c r="H24" s="578"/>
      <c r="I24" s="576">
        <f>WORKDAY.INTL(I14,0,1,Data!$C$3:$C$60)-21</f>
        <v>45925</v>
      </c>
      <c r="J24" s="577">
        <v>36</v>
      </c>
      <c r="K24" s="576">
        <f>WORKDAY.INTL(I24,J24,1,Data!$C$3:$C$60)</f>
        <v>45975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6">
        <f>WORKDAY.INTL(G24,0,1,Data!$C$3:$C$60)</f>
        <v>45967</v>
      </c>
      <c r="F25" s="577">
        <v>5</v>
      </c>
      <c r="G25" s="576">
        <f>WORKDAY.INTL(E25,F25,1,Data!$C$3:$C$60)</f>
        <v>45974</v>
      </c>
      <c r="H25" s="578"/>
      <c r="I25" s="576">
        <v>45978</v>
      </c>
      <c r="J25" s="577">
        <v>6</v>
      </c>
      <c r="K25" s="576">
        <f>WORKDAY.INTL(I25,J25,1,Data!$C$3:$C$60)</f>
        <v>45986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6">
        <f>WORKDAY.INTL(E25,0,1,Data!$C$3:$C$60)</f>
        <v>45967</v>
      </c>
      <c r="F26" s="577">
        <v>1</v>
      </c>
      <c r="G26" s="576">
        <f>WORKDAY.INTL(E26,F26,1,Data!$C$3:$C$60)</f>
        <v>45968</v>
      </c>
      <c r="H26" s="578"/>
      <c r="I26" s="576">
        <f>K25</f>
        <v>45986</v>
      </c>
      <c r="J26" s="577">
        <v>1</v>
      </c>
      <c r="K26" s="576">
        <f>WORKDAY.INTL(I26,J26,1,Data!$C$3:$C$60)</f>
        <v>45987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161</v>
      </c>
      <c r="D28" s="130"/>
      <c r="E28" s="571">
        <f>MIN(E30:E34)</f>
        <v>45968</v>
      </c>
      <c r="F28" s="572">
        <f>G28-E28</f>
        <v>12</v>
      </c>
      <c r="G28" s="571">
        <f>MAX(G30:G34)</f>
        <v>45980</v>
      </c>
      <c r="H28" s="581"/>
      <c r="I28" s="571">
        <f>MIN(I30:I34)</f>
        <v>45967</v>
      </c>
      <c r="J28" s="572">
        <f>K28-I28</f>
        <v>21</v>
      </c>
      <c r="K28" s="571">
        <f>MAX(K30:K34)</f>
        <v>45988</v>
      </c>
      <c r="L28" s="574"/>
      <c r="M28" s="575">
        <f>(J30*M30+J31*M31+J33*M33+J32*M32)/SUM(J30:J33)</f>
        <v>1</v>
      </c>
      <c r="N28" s="575">
        <f ca="1">(K30*N30+K31*N31+K33*N33+K32*N32)/SUM(K30:K33)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162</v>
      </c>
      <c r="C30" s="158" t="s">
        <v>163</v>
      </c>
      <c r="D30" s="126"/>
      <c r="E30" s="576">
        <f>E19</f>
        <v>45968</v>
      </c>
      <c r="F30" s="577">
        <v>1</v>
      </c>
      <c r="G30" s="576">
        <f>WORKDAY.INTL(E30,F30,1,Data!$C$3:$C$60)</f>
        <v>45971</v>
      </c>
      <c r="H30" s="578"/>
      <c r="I30" s="576">
        <f>I19</f>
        <v>45967</v>
      </c>
      <c r="J30" s="577">
        <v>1</v>
      </c>
      <c r="K30" s="576">
        <f>WORKDAY.INTL(I30,J30,1,Data!$C$3:$C$60)</f>
        <v>45968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6">
        <f>WORKDAY.INTL(G30,0,1,Data!$C$3:$C$60)</f>
        <v>45971</v>
      </c>
      <c r="F31" s="577">
        <v>3</v>
      </c>
      <c r="G31" s="576">
        <f>WORKDAY.INTL(E31,F31,1,Data!$C$3:$C$60)</f>
        <v>45974</v>
      </c>
      <c r="H31" s="578"/>
      <c r="I31" s="576">
        <f>WORKDAY.INTL(K30,0,1,Data!$C$3:$C$60)</f>
        <v>45968</v>
      </c>
      <c r="J31" s="577">
        <v>4</v>
      </c>
      <c r="K31" s="576">
        <f>WORKDAY.INTL(I31,J31,1,Data!$C$3:$C$60)</f>
        <v>45974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6">
        <f>E30</f>
        <v>45968</v>
      </c>
      <c r="F32" s="577">
        <v>1</v>
      </c>
      <c r="G32" s="576">
        <f>WORKDAY.INTL(E32,F32,1,Data!$C$3:$C$60)</f>
        <v>45971</v>
      </c>
      <c r="H32" s="578"/>
      <c r="I32" s="576">
        <f>I30</f>
        <v>45967</v>
      </c>
      <c r="J32" s="577">
        <v>1</v>
      </c>
      <c r="K32" s="576">
        <f>WORKDAY.INTL(I32,J32,1,Data!$C$3:$C$60)</f>
        <v>45968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168</v>
      </c>
      <c r="C33" s="154" t="s">
        <v>169</v>
      </c>
      <c r="D33" s="126"/>
      <c r="E33" s="582">
        <f>WORKDAY.INTL(G37,0,1,Data!$C$3:$C$60)-3</f>
        <v>45977</v>
      </c>
      <c r="F33" s="577">
        <v>3</v>
      </c>
      <c r="G33" s="582">
        <f>WORKDAY.INTL(E33,F33,1,Data!$C$3:$C$60)</f>
        <v>45980</v>
      </c>
      <c r="H33" s="578"/>
      <c r="I33" s="582">
        <f>WORKDAY.INTL(K37,0,1,Data!$C$3:$C$60)-3</f>
        <v>45982</v>
      </c>
      <c r="J33" s="577">
        <v>4</v>
      </c>
      <c r="K33" s="582">
        <f>WORKDAY.INTL(I33,J33,1,Data!$C$3:$C$60)</f>
        <v>45988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170</v>
      </c>
      <c r="D35" s="130"/>
      <c r="E35" s="571">
        <f>MIN(E36:E38)</f>
        <v>45968</v>
      </c>
      <c r="F35" s="572">
        <f>G35-E35</f>
        <v>12</v>
      </c>
      <c r="G35" s="571">
        <f>MAX(G36:G38)</f>
        <v>45980</v>
      </c>
      <c r="H35" s="573"/>
      <c r="I35" s="571">
        <f>MIN(I36:I38)</f>
        <v>45974</v>
      </c>
      <c r="J35" s="572">
        <f>K35-I35</f>
        <v>11</v>
      </c>
      <c r="K35" s="571">
        <f>MAX(K36:K38)</f>
        <v>45985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171</v>
      </c>
      <c r="C36" s="158" t="s">
        <v>172</v>
      </c>
      <c r="D36" s="126"/>
      <c r="E36" s="582">
        <f>WORKDAY.INTL(E19,0,1,Data!$C$3:$C$60)</f>
        <v>45968</v>
      </c>
      <c r="F36" s="577">
        <v>1</v>
      </c>
      <c r="G36" s="576">
        <f>WORKDAY.INTL(E36,F36,1,Data!$C$3:$C$60)</f>
        <v>45971</v>
      </c>
      <c r="H36" s="578"/>
      <c r="I36" s="582">
        <v>45974</v>
      </c>
      <c r="J36" s="577">
        <v>2</v>
      </c>
      <c r="K36" s="576">
        <f>WORKDAY.INTL(I36,J36,1,Data!$C$3:$C$60)</f>
        <v>45978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2">
        <f>G31</f>
        <v>45974</v>
      </c>
      <c r="F37" s="577">
        <v>4</v>
      </c>
      <c r="G37" s="576">
        <f>WORKDAY.INTL(E37,F37,1,Data!$C$3:$C$60)</f>
        <v>45980</v>
      </c>
      <c r="H37" s="578"/>
      <c r="I37" s="582">
        <f>K31</f>
        <v>45974</v>
      </c>
      <c r="J37" s="577">
        <v>7</v>
      </c>
      <c r="K37" s="576">
        <f>WORKDAY.INTL(I37,J37,1,Data!$C$3:$C$60)</f>
        <v>45985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175</v>
      </c>
      <c r="D39" s="130"/>
      <c r="E39" s="571">
        <f>MIN(E40:E43)</f>
        <v>45980</v>
      </c>
      <c r="F39" s="572">
        <f>G39-E39</f>
        <v>9</v>
      </c>
      <c r="G39" s="571">
        <f>MAX(G40:G43)</f>
        <v>45989</v>
      </c>
      <c r="H39" s="573"/>
      <c r="I39" s="571">
        <f>MIN(I40:I43)</f>
        <v>45988</v>
      </c>
      <c r="J39" s="572">
        <f>K39-I39</f>
        <v>7</v>
      </c>
      <c r="K39" s="571">
        <f>MAX(K40:K43)</f>
        <v>45995</v>
      </c>
      <c r="L39" s="574"/>
      <c r="M39" s="575">
        <f>(J40*M40+J41*M41+J42*M42)/SUM(J40:J42)</f>
        <v>1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176</v>
      </c>
      <c r="C40" s="154" t="s">
        <v>175</v>
      </c>
      <c r="D40" s="126"/>
      <c r="E40" s="582">
        <f>WORKDAY.INTL(MAX(G21,G28,G35),0,1,Data!$C$3:$C$60)</f>
        <v>45980</v>
      </c>
      <c r="F40" s="577">
        <v>1</v>
      </c>
      <c r="G40" s="582">
        <f>WORKDAY.INTL(E40,F40,1,Data!$C$3:$C$60)</f>
        <v>45981</v>
      </c>
      <c r="H40" s="578"/>
      <c r="I40" s="582">
        <f>WORKDAY.INTL(MAX(K21,K28,K35),0,1,Data!$C$3:$C$60)</f>
        <v>45988</v>
      </c>
      <c r="J40" s="577">
        <v>1</v>
      </c>
      <c r="K40" s="582">
        <f>WORKDAY.INTL(I40,J40,1,Data!$C$3:$C$60)</f>
        <v>45989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177</v>
      </c>
      <c r="C41" s="154" t="s">
        <v>178</v>
      </c>
      <c r="D41" s="126"/>
      <c r="E41" s="582">
        <f>WORKDAY.INTL(G40,0,1,Data!$C$3:$C$60)</f>
        <v>45981</v>
      </c>
      <c r="F41" s="577">
        <v>1</v>
      </c>
      <c r="G41" s="582">
        <f>WORKDAY.INTL(E41,F41,1,Data!$C$3:$C$60)</f>
        <v>45982</v>
      </c>
      <c r="H41" s="578"/>
      <c r="I41" s="582">
        <f>WORKDAY.INTL(K40,0,1,Data!$C$3:$C$60)</f>
        <v>45989</v>
      </c>
      <c r="J41" s="577">
        <v>1</v>
      </c>
      <c r="K41" s="582">
        <f>WORKDAY.INTL(I41,J41,1,Data!$C$3:$C$60)</f>
        <v>45992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2">
        <f>WORKDAY.INTL(G41,0,1,Data!$C$3:$C$60)</f>
        <v>45982</v>
      </c>
      <c r="F42" s="577">
        <v>5</v>
      </c>
      <c r="G42" s="582">
        <f>WORKDAY.INTL(E42,F42,1,Data!$C$3:$C$60)</f>
        <v>45989</v>
      </c>
      <c r="H42" s="578"/>
      <c r="I42" s="582">
        <f>WORKDAY.INTL(K41,0,1,Data!$C$3:$C$60)</f>
        <v>45992</v>
      </c>
      <c r="J42" s="577">
        <v>3</v>
      </c>
      <c r="K42" s="582">
        <f>WORKDAY.INTL(I42,J42,1,Data!$C$3:$C$60)</f>
        <v>45995</v>
      </c>
      <c r="L42" s="77"/>
      <c r="M42" s="579">
        <v>1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181</v>
      </c>
      <c r="D44" s="130"/>
      <c r="E44" s="571">
        <f>MIN(E45:E47)</f>
        <v>45980</v>
      </c>
      <c r="F44" s="572">
        <f>G44-E44</f>
        <v>6</v>
      </c>
      <c r="G44" s="571">
        <f>MAX(G45:G47)</f>
        <v>45986</v>
      </c>
      <c r="H44" s="573"/>
      <c r="I44" s="571">
        <f>MIN(I45:I47)</f>
        <v>45988</v>
      </c>
      <c r="J44" s="572">
        <f>K44-I44</f>
        <v>4</v>
      </c>
      <c r="K44" s="571">
        <f>MAX(K45:K47)</f>
        <v>45992</v>
      </c>
      <c r="L44" s="574"/>
      <c r="M44" s="575">
        <f>(J45*M45+J46*M46)/SUM(J45:J46)</f>
        <v>1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182</v>
      </c>
      <c r="C45" s="154" t="s">
        <v>183</v>
      </c>
      <c r="D45" s="126"/>
      <c r="E45" s="582">
        <f>WORKDAY.INTL(E40,0,1,Data!$C$3:$C$60)</f>
        <v>45980</v>
      </c>
      <c r="F45" s="577">
        <v>2</v>
      </c>
      <c r="G45" s="582">
        <f>WORKDAY.INTL(E45,F45,1,Data!$C$3:$C$60)</f>
        <v>45982</v>
      </c>
      <c r="H45" s="578"/>
      <c r="I45" s="582">
        <f>WORKDAY.INTL(I40,0,1,Data!$C$3:$C$60)</f>
        <v>45988</v>
      </c>
      <c r="J45" s="577">
        <v>1</v>
      </c>
      <c r="K45" s="582">
        <f>WORKDAY.INTL(I45,J45,1,Data!$C$3:$C$60)</f>
        <v>45989</v>
      </c>
      <c r="L45" s="77"/>
      <c r="M45" s="579">
        <v>1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184</v>
      </c>
      <c r="C46" s="154" t="s">
        <v>185</v>
      </c>
      <c r="D46" s="126"/>
      <c r="E46" s="582">
        <f>G45</f>
        <v>45982</v>
      </c>
      <c r="F46" s="577">
        <v>2</v>
      </c>
      <c r="G46" s="582">
        <f>WORKDAY.INTL(E46,F46,1,Data!$C$3:$C$60)</f>
        <v>45986</v>
      </c>
      <c r="H46" s="578"/>
      <c r="I46" s="582">
        <f>K45</f>
        <v>45989</v>
      </c>
      <c r="J46" s="577">
        <v>1</v>
      </c>
      <c r="K46" s="582">
        <f>WORKDAY.INTL(I46,J46,1,Data!$C$3:$C$60)</f>
        <v>45992</v>
      </c>
      <c r="L46" s="77"/>
      <c r="M46" s="579">
        <v>1</v>
      </c>
      <c r="N46" s="579">
        <f t="shared" ca="1" si="5"/>
        <v>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186</v>
      </c>
      <c r="D48" s="130"/>
      <c r="E48" s="571">
        <f>MIN(E49:E51)</f>
        <v>45982</v>
      </c>
      <c r="F48" s="572">
        <f>G48-E48</f>
        <v>18</v>
      </c>
      <c r="G48" s="571">
        <f>MAX(G49:G51)</f>
        <v>46000</v>
      </c>
      <c r="H48" s="573"/>
      <c r="I48" s="571">
        <f>MIN(I49:I51)</f>
        <v>45989</v>
      </c>
      <c r="J48" s="572">
        <f>K48-I48</f>
        <v>62</v>
      </c>
      <c r="K48" s="571">
        <f>MAX(K49:K51)</f>
        <v>46051</v>
      </c>
      <c r="L48" s="574"/>
      <c r="M48" s="575">
        <f>(J49*M49+J50*M50+J51*M51)/SUM(J49:J51)</f>
        <v>1</v>
      </c>
      <c r="N48" s="575">
        <f ca="1">(K46*N46+K42*N42+K49*N49+K50*N50+K51*N51)/SUM(K46:K51)</f>
        <v>0.99975671953672451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187</v>
      </c>
      <c r="C49" s="154" t="s">
        <v>188</v>
      </c>
      <c r="D49" s="126"/>
      <c r="E49" s="582">
        <f>WORKDAY.INTL(E46,0,1,Data!$C$3:$C$60)</f>
        <v>45982</v>
      </c>
      <c r="F49" s="577">
        <v>7</v>
      </c>
      <c r="G49" s="582">
        <f>WORKDAY.INTL(E49,F49,1,Data!$C$3:$C$60)</f>
        <v>45993</v>
      </c>
      <c r="H49" s="578"/>
      <c r="I49" s="582">
        <f>WORKDAY.INTL(I46,0,1,Data!$C$3:$C$60)</f>
        <v>45989</v>
      </c>
      <c r="J49" s="577">
        <v>15</v>
      </c>
      <c r="K49" s="582">
        <f>WORKDAY.INTL(I49,J49,1,Data!$C$3:$C$60)</f>
        <v>46045</v>
      </c>
      <c r="L49" s="77"/>
      <c r="M49" s="579">
        <v>1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/>
      <c r="Y49" s="4"/>
    </row>
    <row r="50" spans="2:28">
      <c r="B50" s="157" t="s">
        <v>189</v>
      </c>
      <c r="C50" s="154" t="s">
        <v>190</v>
      </c>
      <c r="D50" s="126"/>
      <c r="E50" s="582">
        <f>WORKDAY.INTL(G49,0,1,Data!$C$3:$C$60)</f>
        <v>45993</v>
      </c>
      <c r="F50" s="577">
        <v>1</v>
      </c>
      <c r="G50" s="582">
        <f>WORKDAY.INTL(E50,F50,1,Data!$C$3:$C$60)</f>
        <v>45994</v>
      </c>
      <c r="H50" s="578"/>
      <c r="I50" s="582">
        <v>46050</v>
      </c>
      <c r="J50" s="577">
        <v>1</v>
      </c>
      <c r="K50" s="582">
        <f>WORKDAY.INTL(I50,J50,1,Data!$C$3:$C$60)</f>
        <v>46051</v>
      </c>
      <c r="L50" s="77"/>
      <c r="M50" s="579">
        <v>1</v>
      </c>
      <c r="N50" s="579">
        <f t="shared" ca="1" si="6"/>
        <v>1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2">
        <f>WORKDAY.INTL(G49,0,1,Data!$C$3:$C$60)</f>
        <v>45993</v>
      </c>
      <c r="F51" s="577">
        <v>5</v>
      </c>
      <c r="G51" s="582">
        <f>WORKDAY.INTL(E51,F51,1,Data!$C$3:$C$60)</f>
        <v>46000</v>
      </c>
      <c r="H51" s="578"/>
      <c r="I51" s="582">
        <f>WORKDAY.INTL(K49,0,1,Data!$C$3:$C$60)</f>
        <v>46045</v>
      </c>
      <c r="J51" s="577">
        <v>1</v>
      </c>
      <c r="K51" s="582">
        <f>WORKDAY.INTL(I51,J51,1,Data!$C$3:$C$60)</f>
        <v>46048</v>
      </c>
      <c r="L51" s="77"/>
      <c r="M51" s="579">
        <v>1</v>
      </c>
      <c r="N51" s="579">
        <f t="shared" ca="1" si="6"/>
        <v>1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3:P1048576 N1:O2 N6:O7 M1:M7 P1:P52 O8:O29 O31:O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9:N33 M36:N37 M12:N16 M22:N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H4" sqref="H4"/>
    </sheetView>
  </sheetViews>
  <sheetFormatPr defaultColWidth="8.44140625" defaultRowHeight="14.4"/>
  <cols>
    <col min="1" max="1" width="5.5546875" style="24" customWidth="1"/>
    <col min="2" max="2" width="5.5546875" style="45" customWidth="1"/>
    <col min="3" max="4" width="23.44140625" style="43" customWidth="1"/>
    <col min="5" max="5" width="6.5546875" style="43" customWidth="1"/>
    <col min="6" max="6" width="16.44140625" style="43" customWidth="1"/>
    <col min="7" max="7" width="3.44140625" style="43" customWidth="1"/>
    <col min="8" max="8" width="15.44140625" style="43" customWidth="1"/>
    <col min="9" max="9" width="1.44140625" style="43" customWidth="1"/>
    <col min="10" max="10" width="3.44140625" style="24" customWidth="1"/>
    <col min="11" max="11" width="1.44140625" style="87" customWidth="1"/>
    <col min="12" max="12" width="29.44140625" style="24" customWidth="1"/>
    <col min="13" max="13" width="1.44140625" style="43" customWidth="1"/>
    <col min="14" max="14" width="29.44140625" style="43" customWidth="1"/>
    <col min="15" max="15" width="1.44140625" style="43" customWidth="1"/>
    <col min="16" max="16" width="16.5546875" style="43" customWidth="1"/>
    <col min="17" max="17" width="5.5546875" style="43" customWidth="1"/>
    <col min="18" max="18" width="112.44140625" style="43" bestFit="1" customWidth="1"/>
    <col min="19" max="19" width="4.44140625" style="43" customWidth="1"/>
    <col min="20" max="20" width="19.5546875" style="43" bestFit="1" customWidth="1"/>
    <col min="21" max="21" width="15.44140625" style="24" bestFit="1" customWidth="1"/>
    <col min="22" max="22" width="20.44140625" style="24" bestFit="1" customWidth="1"/>
    <col min="23" max="23" width="16.44140625" style="24" bestFit="1" customWidth="1"/>
    <col min="24" max="24" width="19.5546875" style="24" bestFit="1" customWidth="1"/>
    <col min="25" max="25" width="15.44140625" style="24" bestFit="1" customWidth="1"/>
    <col min="26" max="26" width="8.44140625" style="24"/>
    <col min="27" max="27" width="14.5546875" style="24" bestFit="1" customWidth="1"/>
    <col min="28" max="28" width="8.44140625" style="43"/>
    <col min="29" max="29" width="12.5546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194</v>
      </c>
      <c r="F3" s="39" t="s">
        <v>195</v>
      </c>
      <c r="J3" s="53"/>
      <c r="L3" s="310" t="s">
        <v>196</v>
      </c>
      <c r="N3" s="310" t="s">
        <v>197</v>
      </c>
      <c r="S3" s="53"/>
      <c r="T3" s="629" t="s">
        <v>198</v>
      </c>
      <c r="U3" s="629" t="s">
        <v>199</v>
      </c>
      <c r="V3" s="629" t="s">
        <v>200</v>
      </c>
      <c r="W3" s="629" t="s">
        <v>201</v>
      </c>
      <c r="X3" s="629" t="s">
        <v>202</v>
      </c>
      <c r="Y3" s="629" t="s">
        <v>203</v>
      </c>
    </row>
    <row r="4" spans="1:41" s="24" customFormat="1" ht="13.2">
      <c r="B4" s="256">
        <v>1</v>
      </c>
      <c r="C4" s="257" t="s">
        <v>204</v>
      </c>
      <c r="D4" s="258">
        <f>'Project Plan'!E6</f>
        <v>2077436.28</v>
      </c>
      <c r="E4" s="259"/>
      <c r="F4" s="258">
        <f>F21</f>
        <v>2077436.28</v>
      </c>
      <c r="J4" s="53"/>
      <c r="L4" s="276"/>
      <c r="N4" s="276" t="s">
        <v>137</v>
      </c>
      <c r="Q4" s="44"/>
      <c r="S4" s="53"/>
      <c r="T4" s="630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0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0">
        <f>SUMIFS('Expenditure Breakdown'!$U:$U,
        'Expenditure Breakdown'!$T:$T, "&gt;"&amp;DATE(2025,8,31),
        'Expenditure Breakdown'!$T:$T, "&lt;="&amp;DATE(2026,8,31))</f>
        <v>2077435.914452946</v>
      </c>
      <c r="W4" s="630">
        <f>SUMIFS('Expenditure Breakdown'!$Q:$Q,
        'Expenditure Breakdown'!$T:$T, "&gt;"&amp;DATE(2025,8,31),
        'Expenditure Breakdown'!$T:$T, "&lt;="&amp;DATE(2026,8,31))</f>
        <v>1501186.9010000003</v>
      </c>
      <c r="X4" s="630">
        <f>SUMIFS('Expenditure Breakdown'!$U:$U,
        'Expenditure Breakdown'!$T:$T, "&gt;"&amp;DATE(2025,8,31),
        'Expenditure Breakdown'!$T:$T, "&lt;="&amp;DATE(2026,8,31),
        'Expenditure Breakdown'!$S:$S, "&lt;&gt;")</f>
        <v>2064651.6944529463</v>
      </c>
      <c r="Y4" s="630">
        <f>SUMIFS('Expenditure Breakdown'!$Q:$Q,
        'Expenditure Breakdown'!$T:$T, "&gt;"&amp;DATE(2025,8,31),
        'Expenditure Breakdown'!$T:$T, "&lt;="&amp;DATE(2026,8,31),
        'Expenditure Breakdown'!$S:$S, "&lt;&gt;")</f>
        <v>1501186.9010000003</v>
      </c>
    </row>
    <row r="5" spans="1:41" s="24" customFormat="1" ht="15" customHeight="1">
      <c r="B5" s="256">
        <v>2</v>
      </c>
      <c r="C5" s="257" t="s">
        <v>205</v>
      </c>
      <c r="D5" s="258">
        <f>+'Expenditure Tracking'!F5</f>
        <v>1702430.3199999998</v>
      </c>
      <c r="E5" s="259"/>
      <c r="F5" s="258">
        <f>+'Expenditure Tracking'!H5</f>
        <v>1501186.9010000003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206</v>
      </c>
      <c r="D6" s="258">
        <f>+D4-D5</f>
        <v>375005.9600000002</v>
      </c>
      <c r="E6" s="259"/>
      <c r="F6" s="258">
        <f>+F4-F5</f>
        <v>576249.37899999972</v>
      </c>
      <c r="J6" s="53"/>
      <c r="L6" s="276"/>
      <c r="N6" s="276" t="s">
        <v>207</v>
      </c>
      <c r="S6" s="53"/>
    </row>
    <row r="7" spans="1:41" s="24" customFormat="1" ht="15" customHeight="1" thickBot="1">
      <c r="B7" s="256">
        <v>4</v>
      </c>
      <c r="C7" s="257" t="s">
        <v>208</v>
      </c>
      <c r="D7" s="260">
        <f>+D6/D4</f>
        <v>0.1805138206212516</v>
      </c>
      <c r="E7" s="259"/>
      <c r="F7" s="260">
        <f>+F6/F4</f>
        <v>0.27738486352033848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124</v>
      </c>
      <c r="C12" s="47" t="s">
        <v>210</v>
      </c>
      <c r="D12" s="48"/>
      <c r="E12" s="46" t="s">
        <v>211</v>
      </c>
      <c r="F12" s="46" t="s">
        <v>212</v>
      </c>
      <c r="H12" s="261" t="s">
        <v>213</v>
      </c>
      <c r="J12" s="53"/>
      <c r="L12" s="78" t="s">
        <v>214</v>
      </c>
      <c r="M12" s="49"/>
      <c r="N12" s="78" t="s">
        <v>215</v>
      </c>
      <c r="O12" s="49"/>
      <c r="P12" s="78" t="s">
        <v>216</v>
      </c>
      <c r="R12" s="279" t="s">
        <v>217</v>
      </c>
      <c r="S12" s="53"/>
    </row>
    <row r="13" spans="1:41" s="24" customFormat="1" ht="13.2">
      <c r="B13" s="589">
        <v>1</v>
      </c>
      <c r="C13" s="666" t="s">
        <v>218</v>
      </c>
      <c r="D13" s="667"/>
      <c r="E13" s="590">
        <v>0.5</v>
      </c>
      <c r="F13" s="591">
        <f>$D$4*E13</f>
        <v>1038718.14</v>
      </c>
      <c r="G13" s="592"/>
      <c r="H13" s="593">
        <v>45908</v>
      </c>
      <c r="I13" s="594"/>
      <c r="J13" s="595"/>
      <c r="K13" s="594"/>
      <c r="L13" s="596" t="s">
        <v>219</v>
      </c>
      <c r="M13" s="597"/>
      <c r="N13" s="593">
        <v>45961</v>
      </c>
      <c r="O13" s="597"/>
      <c r="P13" s="645">
        <v>45971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666" t="s">
        <v>220</v>
      </c>
      <c r="D14" s="667"/>
      <c r="E14" s="590">
        <v>0.25</v>
      </c>
      <c r="F14" s="591">
        <f t="shared" ref="F14:F18" si="0">$D$4*E14</f>
        <v>519359.07</v>
      </c>
      <c r="G14" s="600"/>
      <c r="H14" s="593">
        <f>'Project Plan'!E36+7</f>
        <v>45975</v>
      </c>
      <c r="I14" s="594"/>
      <c r="J14" s="595"/>
      <c r="K14" s="594"/>
      <c r="L14" s="596" t="s">
        <v>219</v>
      </c>
      <c r="M14" s="594"/>
      <c r="N14" s="593">
        <v>45961</v>
      </c>
      <c r="O14" s="594"/>
      <c r="P14" s="645">
        <v>45975</v>
      </c>
      <c r="R14" s="280"/>
      <c r="S14" s="53"/>
    </row>
    <row r="15" spans="1:41" s="24" customFormat="1" ht="13.2">
      <c r="B15" s="589">
        <v>3</v>
      </c>
      <c r="C15" s="666" t="s">
        <v>221</v>
      </c>
      <c r="D15" s="667"/>
      <c r="E15" s="590">
        <v>0.1</v>
      </c>
      <c r="F15" s="591">
        <f t="shared" si="0"/>
        <v>207743.62800000003</v>
      </c>
      <c r="G15" s="600"/>
      <c r="H15" s="593">
        <f>'Project Plan'!E22+7</f>
        <v>45976</v>
      </c>
      <c r="I15" s="594"/>
      <c r="J15" s="595"/>
      <c r="K15" s="594"/>
      <c r="L15" s="596" t="s">
        <v>219</v>
      </c>
      <c r="M15" s="594"/>
      <c r="N15" s="593">
        <v>45961</v>
      </c>
      <c r="O15" s="594"/>
      <c r="P15" s="645">
        <v>45975</v>
      </c>
      <c r="R15" s="280"/>
      <c r="S15" s="53"/>
    </row>
    <row r="16" spans="1:41" s="24" customFormat="1" ht="13.2">
      <c r="B16" s="589">
        <v>4</v>
      </c>
      <c r="C16" s="664" t="s">
        <v>178</v>
      </c>
      <c r="D16" s="665"/>
      <c r="E16" s="590">
        <v>0.1</v>
      </c>
      <c r="F16" s="591">
        <f t="shared" si="0"/>
        <v>207743.62800000003</v>
      </c>
      <c r="G16" s="600"/>
      <c r="H16" s="593">
        <f>'Project Plan'!G39+7</f>
        <v>45996</v>
      </c>
      <c r="I16" s="594"/>
      <c r="J16" s="595"/>
      <c r="K16" s="594"/>
      <c r="L16" s="596" t="s">
        <v>219</v>
      </c>
      <c r="M16" s="601"/>
      <c r="N16" s="593">
        <v>45961</v>
      </c>
      <c r="O16" s="601"/>
      <c r="P16" s="593">
        <f>'Project Plan'!K39+7</f>
        <v>46002</v>
      </c>
      <c r="R16" s="280"/>
      <c r="S16" s="53"/>
    </row>
    <row r="17" spans="2:19" s="24" customFormat="1" ht="13.2">
      <c r="B17" s="589">
        <v>5</v>
      </c>
      <c r="C17" s="664" t="s">
        <v>222</v>
      </c>
      <c r="D17" s="665"/>
      <c r="E17" s="590">
        <v>0.05</v>
      </c>
      <c r="F17" s="591">
        <f t="shared" si="0"/>
        <v>103871.81400000001</v>
      </c>
      <c r="G17" s="600"/>
      <c r="H17" s="593">
        <f>'Project Plan'!E50+7</f>
        <v>46000</v>
      </c>
      <c r="I17" s="594"/>
      <c r="J17" s="595"/>
      <c r="K17" s="594"/>
      <c r="L17" s="596" t="s">
        <v>219</v>
      </c>
      <c r="M17" s="594"/>
      <c r="N17" s="593">
        <v>45961</v>
      </c>
      <c r="O17" s="594"/>
      <c r="P17" s="593">
        <v>46002</v>
      </c>
      <c r="R17" s="280"/>
      <c r="S17" s="53"/>
    </row>
    <row r="18" spans="2:19" s="24" customFormat="1" ht="13.2">
      <c r="B18" s="589">
        <v>6</v>
      </c>
      <c r="C18" s="664" t="s">
        <v>223</v>
      </c>
      <c r="D18" s="66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2">
      <c r="B19" s="589">
        <v>7</v>
      </c>
      <c r="C19" s="666" t="s">
        <v>223</v>
      </c>
      <c r="D19" s="66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2077436.28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224</v>
      </c>
      <c r="C23" s="57" t="s">
        <v>225</v>
      </c>
      <c r="D23" s="57"/>
      <c r="F23" s="650"/>
      <c r="H23" s="30"/>
    </row>
    <row r="24" spans="2:19" s="24" customFormat="1" ht="13.2">
      <c r="C24" s="59" t="s">
        <v>226</v>
      </c>
      <c r="D24" s="60"/>
      <c r="F24" s="61"/>
    </row>
    <row r="25" spans="2:19" s="24" customFormat="1" ht="13.2">
      <c r="C25" s="59" t="s">
        <v>227</v>
      </c>
      <c r="D25" s="60"/>
    </row>
    <row r="26" spans="2:19" s="24" customFormat="1" ht="13.2">
      <c r="C26" s="62" t="s">
        <v>228</v>
      </c>
      <c r="D26" s="63"/>
    </row>
    <row r="27" spans="2:19" s="24" customFormat="1" ht="13.2">
      <c r="C27" s="64" t="s">
        <v>229</v>
      </c>
      <c r="D27" s="60"/>
    </row>
    <row r="28" spans="2:19" s="24" customFormat="1" ht="13.2">
      <c r="B28" s="31"/>
      <c r="C28" s="64" t="s">
        <v>230</v>
      </c>
      <c r="D28" s="60"/>
    </row>
    <row r="29" spans="2:19" s="24" customFormat="1" ht="13.2">
      <c r="B29" s="31"/>
      <c r="C29" s="24" t="s">
        <v>231</v>
      </c>
    </row>
    <row r="30" spans="2:19" s="24" customFormat="1" ht="27.75" customHeight="1">
      <c r="B30" s="31"/>
      <c r="C30" s="65" t="s">
        <v>232</v>
      </c>
      <c r="D30" s="65"/>
      <c r="F30" s="61"/>
    </row>
    <row r="31" spans="2:19" s="24" customFormat="1" ht="13.2">
      <c r="B31" s="31"/>
      <c r="F31" s="58"/>
      <c r="N31" s="30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124</v>
      </c>
      <c r="C40" s="47" t="s">
        <v>210</v>
      </c>
      <c r="D40" s="48"/>
      <c r="E40" s="46" t="s">
        <v>211</v>
      </c>
      <c r="F40" s="46" t="s">
        <v>212</v>
      </c>
    </row>
    <row r="41" spans="2:6" s="24" customFormat="1" ht="12.75" hidden="1" customHeight="1">
      <c r="B41" s="66">
        <v>1</v>
      </c>
      <c r="C41" s="67" t="s">
        <v>233</v>
      </c>
      <c r="D41" s="67"/>
      <c r="E41" s="50">
        <v>0.35</v>
      </c>
      <c r="F41" s="51">
        <f>$F$47*E41</f>
        <v>727102.69799999997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623230.88399999996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415487.25600000005</v>
      </c>
    </row>
    <row r="44" spans="2:6" s="24" customFormat="1" ht="12.75" hidden="1" customHeight="1">
      <c r="B44" s="66">
        <v>4</v>
      </c>
      <c r="C44" s="67" t="s">
        <v>234</v>
      </c>
      <c r="D44" s="67"/>
      <c r="E44" s="50">
        <v>0.1</v>
      </c>
      <c r="F44" s="51">
        <f t="shared" si="2"/>
        <v>207743.62800000003</v>
      </c>
    </row>
    <row r="45" spans="2:6" s="24" customFormat="1" ht="13.5" hidden="1" customHeight="1" thickBot="1">
      <c r="B45" s="68">
        <v>5</v>
      </c>
      <c r="C45" s="69" t="s">
        <v>222</v>
      </c>
      <c r="D45" s="69"/>
      <c r="E45" s="70">
        <v>0.05</v>
      </c>
      <c r="F45" s="71">
        <f t="shared" si="2"/>
        <v>103871.81400000001</v>
      </c>
    </row>
    <row r="46" spans="2:6" s="24" customFormat="1" ht="13.5" hidden="1" customHeight="1" thickBot="1">
      <c r="B46" s="72"/>
      <c r="C46" s="73" t="s">
        <v>235</v>
      </c>
      <c r="D46" s="73"/>
      <c r="E46" s="74">
        <f>SUM(E41:E45)</f>
        <v>0.99999999999999989</v>
      </c>
      <c r="F46" s="75">
        <f>SUM(F41:F45)</f>
        <v>2077436.28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2077436.28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22 A13:D17 F16:K16 F13:K13 Q13:XFD13 F17:K17 Q17:XFD17 A3:S3 Z3:XFD3 I4:S4 Z4:XFD4 M13 F14:K14 M14 F15:K15 M15 M16 M17 O13 O14 O15 O16:XFD16 O17 Q14:XFD14 Q15:XFD15 A24:XFD1048576 A23:E23 G23:XFD2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5546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95"/>
      <c r="C4" s="695"/>
      <c r="D4" s="695"/>
      <c r="E4" s="313"/>
      <c r="F4" s="131" t="s">
        <v>194</v>
      </c>
      <c r="G4" s="126"/>
      <c r="H4" s="131" t="s">
        <v>195</v>
      </c>
      <c r="I4" s="126"/>
      <c r="J4" s="132" t="s">
        <v>237</v>
      </c>
      <c r="K4" s="26"/>
      <c r="L4" s="26"/>
    </row>
    <row r="5" spans="1:12" ht="14.4" thickBot="1">
      <c r="A5" s="126"/>
      <c r="B5" s="696" t="s">
        <v>238</v>
      </c>
      <c r="C5" s="696"/>
      <c r="D5" s="696"/>
      <c r="E5" s="313"/>
      <c r="F5" s="133">
        <f>SUM(F9:F23)</f>
        <v>1702430.3199999998</v>
      </c>
      <c r="G5" s="128"/>
      <c r="H5" s="133">
        <f>SUM(H9:H23)</f>
        <v>1501186.9010000003</v>
      </c>
      <c r="I5" s="126"/>
      <c r="J5" s="134">
        <f>SUM(J9:J23)</f>
        <v>201243.41900000011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124</v>
      </c>
      <c r="C7" s="137"/>
      <c r="D7" s="136" t="s">
        <v>78</v>
      </c>
      <c r="E7" s="137"/>
      <c r="F7" s="138" t="s">
        <v>239</v>
      </c>
      <c r="G7" s="139"/>
      <c r="H7" s="138" t="s">
        <v>240</v>
      </c>
      <c r="I7" s="139"/>
      <c r="J7" s="138" t="s">
        <v>241</v>
      </c>
      <c r="K7" s="84"/>
      <c r="L7" s="29" t="s">
        <v>242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556966.5</v>
      </c>
      <c r="G9" s="21"/>
      <c r="H9" s="142">
        <f>'Expenditure Breakdown'!X6</f>
        <v>506043.6</v>
      </c>
      <c r="I9" s="23"/>
      <c r="J9" s="143">
        <f t="shared" ref="J9:J23" si="0">F9-H9</f>
        <v>50922.900000000023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137740.70000000001</v>
      </c>
      <c r="I10" s="23"/>
      <c r="J10" s="143">
        <f t="shared" si="0"/>
        <v>2259.2999999999884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112716</v>
      </c>
      <c r="G11" s="21"/>
      <c r="H11" s="142">
        <f>'Expenditure Breakdown'!X21</f>
        <v>78119</v>
      </c>
      <c r="I11" s="23"/>
      <c r="J11" s="143">
        <f t="shared" si="0"/>
        <v>34597</v>
      </c>
      <c r="K11" s="85"/>
      <c r="L11" s="159"/>
    </row>
    <row r="12" spans="1:12">
      <c r="A12" s="126"/>
      <c r="B12" s="140">
        <f>'Expenditure Breakdown'!L29</f>
        <v>4</v>
      </c>
      <c r="C12" s="129"/>
      <c r="D12" s="141" t="str">
        <f>'Expenditure Breakdown'!M29</f>
        <v>4. DC Equipment</v>
      </c>
      <c r="E12" s="144"/>
      <c r="F12" s="142">
        <f>'Expenditure Breakdown'!I29</f>
        <v>207033.9</v>
      </c>
      <c r="G12" s="21"/>
      <c r="H12" s="142">
        <f>'Expenditure Breakdown'!X29</f>
        <v>93178.369999999981</v>
      </c>
      <c r="I12" s="23"/>
      <c r="J12" s="143">
        <f t="shared" si="0"/>
        <v>113855.53000000001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49000</v>
      </c>
      <c r="G13" s="21"/>
      <c r="H13" s="142">
        <f>'Expenditure Breakdown'!X46</f>
        <v>59038.009999999995</v>
      </c>
      <c r="I13" s="23"/>
      <c r="J13" s="143">
        <f t="shared" si="0"/>
        <v>-10038.009999999995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268570.82</v>
      </c>
      <c r="G14" s="21"/>
      <c r="H14" s="142">
        <f>'Expenditure Breakdown'!X56</f>
        <v>121280.62</v>
      </c>
      <c r="I14" s="23"/>
      <c r="J14" s="143">
        <f t="shared" si="0"/>
        <v>147290.20000000001</v>
      </c>
      <c r="K14" s="85"/>
      <c r="L14" s="159"/>
    </row>
    <row r="15" spans="1:12">
      <c r="A15" s="126"/>
      <c r="B15" s="140">
        <f>'Expenditure Breakdown'!L75</f>
        <v>7</v>
      </c>
      <c r="C15" s="129"/>
      <c r="D15" s="141" t="str">
        <f>'Expenditure Breakdown'!M75</f>
        <v>7.BESS</v>
      </c>
      <c r="E15" s="144"/>
      <c r="F15" s="142">
        <f>'Expenditure Breakdown'!I75</f>
        <v>0</v>
      </c>
      <c r="G15" s="21"/>
      <c r="H15" s="142">
        <f>'Expenditure Breakdown'!X75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Breakdown'!L84</f>
        <v>8</v>
      </c>
      <c r="C16" s="129"/>
      <c r="D16" s="141" t="str">
        <f>'Expenditure Breakdown'!M84</f>
        <v xml:space="preserve">8. Product Add On </v>
      </c>
      <c r="E16" s="144"/>
      <c r="F16" s="142">
        <f>'Expenditure Breakdown'!I84</f>
        <v>0</v>
      </c>
      <c r="G16" s="21"/>
      <c r="H16" s="142">
        <f>'Expenditure Breakdown'!X84</f>
        <v>26057.31</v>
      </c>
      <c r="I16" s="23"/>
      <c r="J16" s="143">
        <f t="shared" si="0"/>
        <v>-26057.31</v>
      </c>
      <c r="K16" s="85"/>
      <c r="L16" s="159"/>
    </row>
    <row r="17" spans="1:12">
      <c r="A17" s="126"/>
      <c r="B17" s="140">
        <f>'Expenditure Breakdown'!L94</f>
        <v>9</v>
      </c>
      <c r="C17" s="129"/>
      <c r="D17" s="141" t="str">
        <f>'Expenditure Breakdown'!M94</f>
        <v>9. AC &amp; DC installation</v>
      </c>
      <c r="E17" s="144"/>
      <c r="F17" s="142">
        <f>'Expenditure Breakdown'!I94</f>
        <v>196950</v>
      </c>
      <c r="G17" s="21"/>
      <c r="H17" s="142">
        <f>'Expenditure Breakdown'!X94</f>
        <v>311148.24999999994</v>
      </c>
      <c r="I17" s="23"/>
      <c r="J17" s="143">
        <f t="shared" si="0"/>
        <v>-114198.24999999994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56854.45</v>
      </c>
      <c r="G18" s="21"/>
      <c r="H18" s="142">
        <f>'Expenditure Breakdown'!X108</f>
        <v>109850.75749999999</v>
      </c>
      <c r="I18" s="23"/>
      <c r="J18" s="143">
        <f t="shared" si="0"/>
        <v>-52996.307499999995</v>
      </c>
      <c r="K18" s="85"/>
      <c r="L18" s="159"/>
    </row>
    <row r="19" spans="1:12">
      <c r="A19" s="126"/>
      <c r="B19" s="140">
        <f>'Expenditure Breakdown'!L125</f>
        <v>11</v>
      </c>
      <c r="C19" s="129"/>
      <c r="D19" s="141" t="str">
        <f>'Expenditure Breakdown'!M125</f>
        <v>11. Due Dilligence</v>
      </c>
      <c r="E19" s="21"/>
      <c r="F19" s="142">
        <f>'Expenditure Breakdown'!I125</f>
        <v>89000</v>
      </c>
      <c r="G19" s="21"/>
      <c r="H19" s="142">
        <f>'Expenditure Breakdown'!X125</f>
        <v>21375</v>
      </c>
      <c r="I19" s="23"/>
      <c r="J19" s="143">
        <f t="shared" si="0"/>
        <v>67625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20963.650000000001</v>
      </c>
      <c r="G21" s="21"/>
      <c r="H21" s="142">
        <f>'Expenditure Breakdown'!X134</f>
        <v>25967.953500000003</v>
      </c>
      <c r="I21" s="23"/>
      <c r="J21" s="143">
        <f t="shared" si="0"/>
        <v>-5004.3035000000018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4375</v>
      </c>
      <c r="G22" s="21"/>
      <c r="H22" s="142">
        <f>'Expenditure Breakdown'!X141</f>
        <v>3887.33</v>
      </c>
      <c r="I22" s="23"/>
      <c r="J22" s="143">
        <f t="shared" si="0"/>
        <v>487.67000000000007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7500</v>
      </c>
      <c r="I23" s="23"/>
      <c r="J23" s="143">
        <f t="shared" si="0"/>
        <v>-7500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M1" zoomScale="85" zoomScaleNormal="85" workbookViewId="0">
      <pane ySplit="4" topLeftCell="A133" activePane="bottomLeft" state="frozen"/>
      <selection activeCell="X33" sqref="X33"/>
      <selection pane="bottomLeft" activeCell="U30" sqref="U30"/>
    </sheetView>
  </sheetViews>
  <sheetFormatPr defaultColWidth="9.44140625" defaultRowHeight="13.8"/>
  <cols>
    <col min="1" max="1" width="2.44140625" style="26" hidden="1" customWidth="1"/>
    <col min="2" max="2" width="6.44140625" style="4" hidden="1" customWidth="1"/>
    <col min="3" max="3" width="20.44140625" style="4" hidden="1" customWidth="1"/>
    <col min="4" max="4" width="51.5546875" style="4" hidden="1" customWidth="1"/>
    <col min="5" max="5" width="13" style="6" hidden="1" customWidth="1"/>
    <col min="6" max="6" width="16.5546875" style="372" hidden="1" customWidth="1"/>
    <col min="7" max="8" width="17.44140625" style="4" hidden="1" customWidth="1"/>
    <col min="9" max="9" width="22.44140625" style="254" hidden="1" customWidth="1"/>
    <col min="10" max="10" width="22.44140625" style="254" customWidth="1"/>
    <col min="11" max="12" width="5.5546875" style="26" customWidth="1"/>
    <col min="13" max="13" width="25.5546875" style="26" customWidth="1"/>
    <col min="14" max="14" width="48.44140625" style="26" customWidth="1"/>
    <col min="15" max="15" width="15.44140625" style="26" customWidth="1"/>
    <col min="16" max="17" width="17.44140625" style="26" customWidth="1"/>
    <col min="18" max="18" width="37.5546875" style="26" bestFit="1" customWidth="1"/>
    <col min="19" max="19" width="31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5546875" style="26" customWidth="1"/>
    <col min="25" max="25" width="29.44140625" style="26" bestFit="1" customWidth="1"/>
    <col min="26" max="26" width="24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7" t="s">
        <v>244</v>
      </c>
      <c r="C2" s="698"/>
      <c r="D2" s="698"/>
      <c r="E2" s="698"/>
      <c r="F2" s="698"/>
      <c r="G2" s="698"/>
      <c r="H2" s="395"/>
      <c r="I2" s="162">
        <f>SUM(I6:I166)</f>
        <v>1702430.3199999998</v>
      </c>
      <c r="J2" s="162">
        <f>SUM(J6:J166)</f>
        <v>2077436</v>
      </c>
      <c r="L2" s="699" t="s">
        <v>245</v>
      </c>
      <c r="M2" s="700"/>
      <c r="N2" s="700"/>
      <c r="O2" s="700"/>
      <c r="P2" s="700"/>
      <c r="Q2" s="700"/>
      <c r="R2" s="707" t="s">
        <v>246</v>
      </c>
      <c r="S2" s="708"/>
      <c r="T2" s="708"/>
      <c r="U2" s="708"/>
      <c r="V2" s="708"/>
      <c r="W2" s="709"/>
      <c r="X2" s="162">
        <f>SUM(X6:X166)</f>
        <v>1501186.9010000003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247</v>
      </c>
      <c r="C4" s="164" t="s">
        <v>248</v>
      </c>
      <c r="D4" s="164" t="s">
        <v>249</v>
      </c>
      <c r="E4" s="164" t="s">
        <v>250</v>
      </c>
      <c r="F4" s="363" t="s">
        <v>251</v>
      </c>
      <c r="G4" s="165" t="s">
        <v>252</v>
      </c>
      <c r="H4" s="273" t="s">
        <v>253</v>
      </c>
      <c r="I4" s="166" t="s">
        <v>254</v>
      </c>
      <c r="J4" s="166" t="str">
        <f>IF(J2-'Revenue Tracking'!D4&gt;=0, "Total Revenue", "ERROR on REV" )</f>
        <v>ERROR on REV</v>
      </c>
      <c r="K4" s="77"/>
      <c r="L4" s="163" t="s">
        <v>247</v>
      </c>
      <c r="M4" s="164" t="s">
        <v>255</v>
      </c>
      <c r="N4" s="164" t="s">
        <v>249</v>
      </c>
      <c r="O4" s="164" t="s">
        <v>250</v>
      </c>
      <c r="P4" s="363" t="s">
        <v>251</v>
      </c>
      <c r="Q4" s="274" t="s">
        <v>256</v>
      </c>
      <c r="R4" s="496" t="s">
        <v>257</v>
      </c>
      <c r="S4" s="497" t="s">
        <v>214</v>
      </c>
      <c r="T4" s="521" t="s">
        <v>215</v>
      </c>
      <c r="U4" s="522" t="s">
        <v>258</v>
      </c>
      <c r="V4" s="274" t="s">
        <v>259</v>
      </c>
      <c r="W4" s="521" t="s">
        <v>260</v>
      </c>
      <c r="X4" s="166" t="s">
        <v>254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261</v>
      </c>
      <c r="D6" s="186" t="s">
        <v>262</v>
      </c>
      <c r="E6" s="187"/>
      <c r="F6" s="336"/>
      <c r="G6" s="292">
        <f>D167</f>
        <v>556966.5</v>
      </c>
      <c r="H6" s="550">
        <f>'Project Plan'!E36+60</f>
        <v>46028</v>
      </c>
      <c r="I6" s="701">
        <f>SUM(G6:G11)</f>
        <v>556966.5</v>
      </c>
      <c r="J6" s="704">
        <f>F167</f>
        <v>696208</v>
      </c>
      <c r="K6" s="289"/>
      <c r="L6" s="185">
        <v>1</v>
      </c>
      <c r="M6" s="316" t="s">
        <v>263</v>
      </c>
      <c r="N6" s="186" t="s">
        <v>264</v>
      </c>
      <c r="O6" s="520">
        <v>360</v>
      </c>
      <c r="P6" s="336">
        <v>1200</v>
      </c>
      <c r="Q6" s="292">
        <f>O6*P6</f>
        <v>432000</v>
      </c>
      <c r="R6" s="468"/>
      <c r="S6" s="499" t="s">
        <v>265</v>
      </c>
      <c r="T6" s="631">
        <v>45991</v>
      </c>
      <c r="U6" s="638">
        <v>594339.80787426222</v>
      </c>
      <c r="V6" s="716">
        <f>J6-SUM(U6:U11)</f>
        <v>0</v>
      </c>
      <c r="W6" s="658">
        <v>46037</v>
      </c>
      <c r="X6" s="701">
        <f>SUM(Q6:Q11)</f>
        <v>506043.6</v>
      </c>
    </row>
    <row r="7" spans="1:76" ht="15" customHeight="1">
      <c r="B7" s="215">
        <v>1</v>
      </c>
      <c r="C7" s="317"/>
      <c r="D7" s="290" t="s">
        <v>266</v>
      </c>
      <c r="E7" s="291"/>
      <c r="F7" s="357"/>
      <c r="G7" s="219"/>
      <c r="H7" s="542"/>
      <c r="I7" s="702"/>
      <c r="J7" s="705"/>
      <c r="K7" s="192"/>
      <c r="L7" s="215">
        <v>1</v>
      </c>
      <c r="M7" s="217" t="s">
        <v>263</v>
      </c>
      <c r="N7" s="290" t="s">
        <v>264</v>
      </c>
      <c r="O7" s="433">
        <v>57</v>
      </c>
      <c r="P7" s="343">
        <v>1200</v>
      </c>
      <c r="Q7" s="219">
        <f>O7*P7</f>
        <v>68400</v>
      </c>
      <c r="R7" s="469"/>
      <c r="S7" s="500" t="s">
        <v>267</v>
      </c>
      <c r="T7" s="631">
        <v>45991</v>
      </c>
      <c r="U7" s="638">
        <v>94103.80291342485</v>
      </c>
      <c r="V7" s="717"/>
      <c r="W7" s="653">
        <v>46037</v>
      </c>
      <c r="X7" s="702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702"/>
      <c r="J8" s="705"/>
      <c r="K8" s="192"/>
      <c r="L8" s="215">
        <v>1</v>
      </c>
      <c r="M8" s="217" t="s">
        <v>263</v>
      </c>
      <c r="N8" s="379" t="s">
        <v>268</v>
      </c>
      <c r="O8" s="434"/>
      <c r="P8" s="343"/>
      <c r="Q8" s="219">
        <v>3143.6</v>
      </c>
      <c r="R8" s="469"/>
      <c r="S8" s="500" t="s">
        <v>269</v>
      </c>
      <c r="T8" s="542">
        <v>45991</v>
      </c>
      <c r="U8" s="638">
        <v>4324.9227315590988</v>
      </c>
      <c r="V8" s="717"/>
      <c r="W8" s="643">
        <v>46045</v>
      </c>
      <c r="X8" s="702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702"/>
      <c r="J9" s="705"/>
      <c r="K9" s="192"/>
      <c r="L9" s="215">
        <v>1</v>
      </c>
      <c r="M9" s="217" t="s">
        <v>263</v>
      </c>
      <c r="N9" s="379"/>
      <c r="O9" s="434"/>
      <c r="P9" s="343"/>
      <c r="Q9" s="287"/>
      <c r="R9" s="470"/>
      <c r="S9" s="501"/>
      <c r="T9" s="412" t="str">
        <f t="shared" ref="T9:T74" si="0">IF(W9&gt;1,EOMONTH(W9,0),"")</f>
        <v/>
      </c>
      <c r="U9" s="638">
        <v>0</v>
      </c>
      <c r="V9" s="717"/>
      <c r="W9" s="454"/>
      <c r="X9" s="70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702"/>
      <c r="J10" s="705"/>
      <c r="K10" s="192"/>
      <c r="L10" s="215">
        <v>1</v>
      </c>
      <c r="M10" s="217" t="s">
        <v>263</v>
      </c>
      <c r="N10" s="379" t="s">
        <v>270</v>
      </c>
      <c r="O10" s="434"/>
      <c r="P10" s="343"/>
      <c r="Q10" s="287">
        <v>2500</v>
      </c>
      <c r="R10" s="470"/>
      <c r="S10" s="501" t="s">
        <v>271</v>
      </c>
      <c r="T10" s="551">
        <v>45991</v>
      </c>
      <c r="U10" s="638">
        <v>3439.4664807538325</v>
      </c>
      <c r="V10" s="717"/>
      <c r="W10" s="649">
        <v>46045</v>
      </c>
      <c r="X10" s="70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03"/>
      <c r="J11" s="706"/>
      <c r="K11" s="193"/>
      <c r="L11" s="220">
        <v>1</v>
      </c>
      <c r="M11" s="318" t="s">
        <v>263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397">
        <f t="shared" ref="U11" si="1">(Q11/$X$6*$J$6)</f>
        <v>0</v>
      </c>
      <c r="V11" s="718"/>
      <c r="W11" s="455"/>
      <c r="X11" s="703"/>
      <c r="Y11" s="607" t="s">
        <v>272</v>
      </c>
      <c r="Z11" s="486" t="s">
        <v>273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274</v>
      </c>
      <c r="Z12" s="487">
        <f>G56</f>
        <v>268570.82</v>
      </c>
      <c r="AA12" s="527"/>
    </row>
    <row r="13" spans="1:76" ht="14.25" customHeight="1">
      <c r="B13" s="197">
        <v>2</v>
      </c>
      <c r="C13" s="223" t="s">
        <v>84</v>
      </c>
      <c r="D13" s="223" t="s">
        <v>275</v>
      </c>
      <c r="E13" s="268"/>
      <c r="F13" s="355"/>
      <c r="G13" s="200">
        <f>D168</f>
        <v>140000</v>
      </c>
      <c r="H13" s="554">
        <f>'Project Plan'!E22+60</f>
        <v>46029</v>
      </c>
      <c r="I13" s="710">
        <f>SUM(G13:G19)</f>
        <v>140000</v>
      </c>
      <c r="J13" s="713">
        <f>F168</f>
        <v>175000</v>
      </c>
      <c r="K13" s="201"/>
      <c r="L13" s="197">
        <v>2</v>
      </c>
      <c r="M13" s="319" t="s">
        <v>276</v>
      </c>
      <c r="N13" s="223" t="s">
        <v>277</v>
      </c>
      <c r="O13" s="437">
        <v>2</v>
      </c>
      <c r="P13" s="355">
        <v>68870.350000000006</v>
      </c>
      <c r="Q13" s="200">
        <f>O13*P13</f>
        <v>137740.70000000001</v>
      </c>
      <c r="R13" s="473"/>
      <c r="S13" s="504" t="s">
        <v>267</v>
      </c>
      <c r="T13" s="647">
        <v>45991</v>
      </c>
      <c r="U13" s="639">
        <v>175000</v>
      </c>
      <c r="V13" s="719">
        <f>J13-SUM(U13:U19)</f>
        <v>0</v>
      </c>
      <c r="W13" s="659">
        <v>46037</v>
      </c>
      <c r="X13" s="710">
        <f>SUM(Q13:Q19)</f>
        <v>137740.70000000001</v>
      </c>
      <c r="Y13" s="608" t="s">
        <v>278</v>
      </c>
      <c r="Z13" s="488">
        <f>G30</f>
        <v>127723.9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11"/>
      <c r="J14" s="714"/>
      <c r="K14" s="205"/>
      <c r="L14" s="202">
        <v>2</v>
      </c>
      <c r="M14" s="325" t="s">
        <v>276</v>
      </c>
      <c r="N14" s="309"/>
      <c r="O14" s="438"/>
      <c r="P14" s="351"/>
      <c r="Q14" s="375"/>
      <c r="R14" s="474"/>
      <c r="S14" s="505"/>
      <c r="T14" s="416" t="str">
        <f t="shared" si="0"/>
        <v/>
      </c>
      <c r="U14" s="401">
        <f t="shared" ref="U14:U19" si="2">(Q14/$X$13*$J$13)</f>
        <v>0</v>
      </c>
      <c r="V14" s="720"/>
      <c r="W14" s="526"/>
      <c r="X14" s="711"/>
      <c r="Y14" s="608" t="s">
        <v>279</v>
      </c>
      <c r="Z14" s="487">
        <f>G94</f>
        <v>62620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11"/>
      <c r="J15" s="714"/>
      <c r="K15" s="205"/>
      <c r="L15" s="202">
        <v>2</v>
      </c>
      <c r="M15" s="325" t="s">
        <v>276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401">
        <f t="shared" si="2"/>
        <v>0</v>
      </c>
      <c r="V15" s="720"/>
      <c r="W15" s="458"/>
      <c r="X15" s="711"/>
      <c r="Y15" s="608" t="s">
        <v>280</v>
      </c>
      <c r="Z15" s="487">
        <f>G95</f>
        <v>134330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11"/>
      <c r="J16" s="714"/>
      <c r="K16" s="205"/>
      <c r="L16" s="202">
        <v>2</v>
      </c>
      <c r="M16" s="325" t="s">
        <v>276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401">
        <f t="shared" si="2"/>
        <v>0</v>
      </c>
      <c r="V16" s="720"/>
      <c r="W16" s="458"/>
      <c r="X16" s="711"/>
      <c r="Y16" s="608" t="s">
        <v>281</v>
      </c>
      <c r="Z16" s="487">
        <f>G108</f>
        <v>8500</v>
      </c>
      <c r="AA16" s="527"/>
    </row>
    <row r="17" spans="1:30" ht="14.25" customHeight="1">
      <c r="B17" s="202">
        <v>2</v>
      </c>
      <c r="C17" s="325"/>
      <c r="D17" s="309"/>
      <c r="E17" s="381"/>
      <c r="F17" s="351"/>
      <c r="G17" s="375"/>
      <c r="H17" s="545"/>
      <c r="I17" s="711"/>
      <c r="J17" s="714"/>
      <c r="K17" s="205"/>
      <c r="L17" s="202">
        <v>2</v>
      </c>
      <c r="M17" s="325" t="s">
        <v>276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401">
        <f t="shared" si="2"/>
        <v>0</v>
      </c>
      <c r="V17" s="720"/>
      <c r="W17" s="458"/>
      <c r="X17" s="711"/>
      <c r="Y17" s="608" t="s">
        <v>282</v>
      </c>
      <c r="Z17" s="487">
        <f>G109</f>
        <v>17326.669999999998</v>
      </c>
      <c r="AA17" s="527"/>
    </row>
    <row r="18" spans="1:30" ht="14.25" customHeight="1">
      <c r="B18" s="202">
        <v>2</v>
      </c>
      <c r="C18" s="325"/>
      <c r="D18" s="309"/>
      <c r="E18" s="381"/>
      <c r="F18" s="351"/>
      <c r="G18" s="375"/>
      <c r="H18" s="545"/>
      <c r="I18" s="711"/>
      <c r="J18" s="714"/>
      <c r="K18" s="205"/>
      <c r="L18" s="202">
        <v>2</v>
      </c>
      <c r="M18" s="325" t="s">
        <v>276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401">
        <f t="shared" si="2"/>
        <v>0</v>
      </c>
      <c r="V18" s="720"/>
      <c r="W18" s="458"/>
      <c r="X18" s="711"/>
      <c r="Y18" s="608" t="s">
        <v>283</v>
      </c>
      <c r="Z18" s="487">
        <f>G111</f>
        <v>1027.78</v>
      </c>
      <c r="AA18" s="527"/>
    </row>
    <row r="19" spans="1:30" ht="15" customHeight="1" thickBot="1">
      <c r="B19" s="296">
        <v>2</v>
      </c>
      <c r="C19" s="297"/>
      <c r="D19" s="297"/>
      <c r="E19" s="298"/>
      <c r="F19" s="365"/>
      <c r="G19" s="299"/>
      <c r="H19" s="555"/>
      <c r="I19" s="712"/>
      <c r="J19" s="715"/>
      <c r="K19" s="210"/>
      <c r="L19" s="296">
        <v>2</v>
      </c>
      <c r="M19" s="320" t="s">
        <v>276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402">
        <f t="shared" si="2"/>
        <v>0</v>
      </c>
      <c r="V19" s="721"/>
      <c r="W19" s="459"/>
      <c r="X19" s="712"/>
      <c r="Y19" s="608" t="s">
        <v>284</v>
      </c>
      <c r="Z19" s="487">
        <v>0</v>
      </c>
      <c r="AA19" s="527"/>
    </row>
    <row r="20" spans="1:30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7"/>
    </row>
    <row r="21" spans="1:30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D169</f>
        <v>112716</v>
      </c>
      <c r="H21" s="543">
        <f>'Project Plan'!E30+30</f>
        <v>45998</v>
      </c>
      <c r="I21" s="701">
        <f>SUM(G21:G27)</f>
        <v>112716</v>
      </c>
      <c r="J21" s="704">
        <f>F169</f>
        <v>140895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/>
      <c r="R21" s="476"/>
      <c r="S21" s="507"/>
      <c r="T21" s="606"/>
      <c r="U21" s="397"/>
      <c r="V21" s="716">
        <f>J21-SUM(U21:U27)</f>
        <v>3.0714941385667771E-3</v>
      </c>
      <c r="W21" s="460"/>
      <c r="X21" s="701">
        <f>SUM(Q21:Q27)</f>
        <v>78119</v>
      </c>
      <c r="Y21" s="608" t="s">
        <v>289</v>
      </c>
      <c r="Z21" s="489">
        <v>0</v>
      </c>
      <c r="AA21" s="527"/>
    </row>
    <row r="22" spans="1:30" ht="14.25" customHeight="1">
      <c r="B22" s="215">
        <v>3</v>
      </c>
      <c r="C22" s="216"/>
      <c r="D22" s="232"/>
      <c r="E22" s="218"/>
      <c r="F22" s="357"/>
      <c r="G22" s="219"/>
      <c r="H22" s="542"/>
      <c r="I22" s="702"/>
      <c r="J22" s="705"/>
      <c r="K22" s="192"/>
      <c r="L22" s="215">
        <v>3</v>
      </c>
      <c r="M22" s="322" t="s">
        <v>287</v>
      </c>
      <c r="N22" s="286" t="s">
        <v>288</v>
      </c>
      <c r="O22" s="433"/>
      <c r="P22" s="357"/>
      <c r="Q22" s="219">
        <v>76171</v>
      </c>
      <c r="R22" s="469" t="s">
        <v>290</v>
      </c>
      <c r="S22" s="500" t="s">
        <v>291</v>
      </c>
      <c r="T22" s="542">
        <v>45991</v>
      </c>
      <c r="U22" s="638">
        <v>124985.3033761515</v>
      </c>
      <c r="V22" s="717"/>
      <c r="W22" s="653">
        <v>46021</v>
      </c>
      <c r="X22" s="702"/>
      <c r="Y22" s="608" t="s">
        <v>235</v>
      </c>
      <c r="Z22" s="487">
        <f>SUM(Z12:Z21)</f>
        <v>620099.17000000004</v>
      </c>
    </row>
    <row r="23" spans="1:30" ht="14.25" customHeight="1">
      <c r="B23" s="215">
        <v>3</v>
      </c>
      <c r="C23" s="216"/>
      <c r="D23" s="232"/>
      <c r="E23" s="218"/>
      <c r="F23" s="357"/>
      <c r="G23" s="219"/>
      <c r="H23" s="542"/>
      <c r="I23" s="702"/>
      <c r="J23" s="705"/>
      <c r="K23" s="192"/>
      <c r="L23" s="215">
        <v>3</v>
      </c>
      <c r="M23" s="322" t="s">
        <v>287</v>
      </c>
      <c r="N23" s="232"/>
      <c r="O23" s="433"/>
      <c r="P23" s="357"/>
      <c r="Q23" s="219"/>
      <c r="R23" s="469"/>
      <c r="S23" s="500"/>
      <c r="T23" s="411" t="str">
        <f t="shared" si="0"/>
        <v/>
      </c>
      <c r="U23" s="397">
        <f t="shared" ref="U23:U27" si="3">(Q23/$X$21*$J$21)</f>
        <v>0</v>
      </c>
      <c r="V23" s="717"/>
      <c r="W23" s="453"/>
      <c r="X23" s="702"/>
      <c r="Y23" s="608" t="s">
        <v>292</v>
      </c>
      <c r="Z23" s="490">
        <f>+Z22*0.85</f>
        <v>527084.29450000008</v>
      </c>
    </row>
    <row r="24" spans="1:30" ht="14.25" customHeight="1">
      <c r="B24" s="215">
        <v>3</v>
      </c>
      <c r="C24" s="285"/>
      <c r="D24" s="286"/>
      <c r="E24" s="307"/>
      <c r="F24" s="343"/>
      <c r="G24" s="287"/>
      <c r="H24" s="551"/>
      <c r="I24" s="702"/>
      <c r="J24" s="705"/>
      <c r="K24" s="192"/>
      <c r="L24" s="215">
        <v>3</v>
      </c>
      <c r="M24" s="322" t="s">
        <v>287</v>
      </c>
      <c r="N24" s="286" t="s">
        <v>293</v>
      </c>
      <c r="O24" s="434"/>
      <c r="P24" s="343"/>
      <c r="Q24" s="287">
        <v>1948</v>
      </c>
      <c r="R24" s="470" t="s">
        <v>294</v>
      </c>
      <c r="S24" s="501" t="s">
        <v>295</v>
      </c>
      <c r="T24" s="551">
        <v>45991</v>
      </c>
      <c r="U24" s="638">
        <v>3125.4735523543814</v>
      </c>
      <c r="V24" s="717"/>
      <c r="W24" s="649">
        <f>T24+30</f>
        <v>46021</v>
      </c>
      <c r="X24" s="702"/>
      <c r="Y24" s="609" t="s">
        <v>296</v>
      </c>
      <c r="Z24" s="489">
        <f>Z23/'Project Plan'!$E$3/1000</f>
        <v>2.1083371780000002</v>
      </c>
    </row>
    <row r="25" spans="1:30" ht="14.25" customHeight="1">
      <c r="B25" s="215">
        <v>3</v>
      </c>
      <c r="C25" s="285"/>
      <c r="D25" s="286"/>
      <c r="E25" s="307"/>
      <c r="F25" s="343"/>
      <c r="G25" s="287"/>
      <c r="H25" s="551"/>
      <c r="I25" s="702"/>
      <c r="J25" s="705"/>
      <c r="K25" s="192"/>
      <c r="L25" s="215">
        <v>3</v>
      </c>
      <c r="M25" s="322" t="s">
        <v>287</v>
      </c>
      <c r="N25" s="286"/>
      <c r="O25" s="434"/>
      <c r="P25" s="343"/>
      <c r="Q25" s="287"/>
      <c r="R25" s="470"/>
      <c r="S25" s="501"/>
      <c r="T25" s="636">
        <v>46053</v>
      </c>
      <c r="U25" s="638">
        <v>12784.22</v>
      </c>
      <c r="V25" s="717"/>
      <c r="W25" s="454"/>
      <c r="X25" s="702"/>
    </row>
    <row r="26" spans="1:30" ht="14.25" customHeight="1">
      <c r="B26" s="215">
        <v>3</v>
      </c>
      <c r="C26" s="285"/>
      <c r="D26" s="286"/>
      <c r="E26" s="307"/>
      <c r="F26" s="343"/>
      <c r="G26" s="287"/>
      <c r="H26" s="551"/>
      <c r="I26" s="702"/>
      <c r="J26" s="705"/>
      <c r="K26" s="192"/>
      <c r="L26" s="215">
        <v>3</v>
      </c>
      <c r="M26" s="322" t="s">
        <v>287</v>
      </c>
      <c r="N26" s="286"/>
      <c r="O26" s="434"/>
      <c r="P26" s="343"/>
      <c r="Q26" s="287"/>
      <c r="R26" s="470"/>
      <c r="S26" s="501"/>
      <c r="T26" s="412"/>
      <c r="U26" s="397">
        <f t="shared" si="3"/>
        <v>0</v>
      </c>
      <c r="V26" s="717"/>
      <c r="W26" s="454"/>
      <c r="X26" s="702"/>
      <c r="Y26" s="28" t="s">
        <v>297</v>
      </c>
      <c r="AC26" s="627" t="s">
        <v>298</v>
      </c>
    </row>
    <row r="27" spans="1:30" ht="15" customHeight="1" thickBot="1">
      <c r="B27" s="220">
        <v>3</v>
      </c>
      <c r="C27" s="241"/>
      <c r="D27" s="233"/>
      <c r="E27" s="222"/>
      <c r="F27" s="358"/>
      <c r="G27" s="234"/>
      <c r="H27" s="552"/>
      <c r="I27" s="703"/>
      <c r="J27" s="706"/>
      <c r="K27" s="193"/>
      <c r="L27" s="220">
        <v>3</v>
      </c>
      <c r="M27" s="323" t="s">
        <v>287</v>
      </c>
      <c r="N27" s="233"/>
      <c r="O27" s="435"/>
      <c r="P27" s="358"/>
      <c r="Q27" s="234"/>
      <c r="R27" s="471"/>
      <c r="S27" s="502"/>
      <c r="T27" s="413" t="str">
        <f t="shared" si="0"/>
        <v/>
      </c>
      <c r="U27" s="398">
        <f t="shared" si="3"/>
        <v>0</v>
      </c>
      <c r="V27" s="718"/>
      <c r="W27" s="455"/>
      <c r="X27" s="703"/>
      <c r="Y27" s="610" t="s">
        <v>195</v>
      </c>
      <c r="Z27" s="491" t="s">
        <v>299</v>
      </c>
      <c r="AC27" s="610" t="s">
        <v>195</v>
      </c>
      <c r="AD27" s="491" t="s">
        <v>299</v>
      </c>
    </row>
    <row r="28" spans="1:30" ht="14.4" thickBot="1">
      <c r="A28" s="4"/>
      <c r="B28" s="194"/>
      <c r="C28" s="211"/>
      <c r="D28" s="212"/>
      <c r="E28" s="195"/>
      <c r="F28" s="354"/>
      <c r="G28" s="196"/>
      <c r="H28" s="553"/>
      <c r="I28" s="547"/>
      <c r="J28" s="184"/>
      <c r="K28" s="4"/>
      <c r="L28" s="194"/>
      <c r="M28" s="211"/>
      <c r="N28" s="212"/>
      <c r="O28" s="436"/>
      <c r="P28" s="354"/>
      <c r="Q28" s="196"/>
      <c r="R28" s="472"/>
      <c r="S28" s="503"/>
      <c r="T28" s="414" t="str">
        <f t="shared" si="0"/>
        <v/>
      </c>
      <c r="U28" s="403"/>
      <c r="V28" s="385"/>
      <c r="W28" s="456"/>
      <c r="X28" s="547"/>
      <c r="Y28" s="611" t="str">
        <f>Y12</f>
        <v>AC Equipment</v>
      </c>
      <c r="Z28" s="492">
        <v>41164.9</v>
      </c>
      <c r="AC28" s="611" t="s">
        <v>274</v>
      </c>
      <c r="AD28" s="626">
        <v>41164.9</v>
      </c>
    </row>
    <row r="29" spans="1:30" ht="14.25" customHeight="1">
      <c r="B29" s="197">
        <v>4</v>
      </c>
      <c r="C29" s="198" t="s">
        <v>278</v>
      </c>
      <c r="D29" s="198" t="s">
        <v>300</v>
      </c>
      <c r="E29" s="268">
        <f>G29/14*1.15</f>
        <v>6514.7499999999991</v>
      </c>
      <c r="F29" s="355"/>
      <c r="G29" s="200">
        <v>79310</v>
      </c>
      <c r="H29" s="554">
        <f>'Project Plan'!E32+60</f>
        <v>46028</v>
      </c>
      <c r="I29" s="710">
        <f>SUM(G29:G44)</f>
        <v>207033.9</v>
      </c>
      <c r="J29" s="713">
        <f>F170</f>
        <v>258792</v>
      </c>
      <c r="K29" s="201"/>
      <c r="L29" s="197">
        <v>4</v>
      </c>
      <c r="M29" s="324" t="s">
        <v>301</v>
      </c>
      <c r="N29" s="198" t="s">
        <v>302</v>
      </c>
      <c r="O29" s="429">
        <v>6000</v>
      </c>
      <c r="P29" s="355">
        <v>13.65</v>
      </c>
      <c r="Q29" s="200">
        <f>O29*P29</f>
        <v>81900</v>
      </c>
      <c r="R29" s="473"/>
      <c r="S29" s="504" t="s">
        <v>267</v>
      </c>
      <c r="T29" s="647">
        <v>45991</v>
      </c>
      <c r="U29" s="639">
        <v>143405.58617645298</v>
      </c>
      <c r="V29" s="719">
        <f>J29-SUM(U29:U44)</f>
        <v>7.2109651169739664E-2</v>
      </c>
      <c r="W29" s="659">
        <v>46037</v>
      </c>
      <c r="X29" s="710">
        <f>SUM(Q29:Q44)</f>
        <v>93178.369999999981</v>
      </c>
      <c r="Y29" s="611" t="str">
        <f>Y13</f>
        <v>DC Equipment</v>
      </c>
      <c r="Z29" s="492">
        <v>42673.4</v>
      </c>
      <c r="AC29" s="611" t="s">
        <v>278</v>
      </c>
      <c r="AD29" s="626">
        <v>42673.4</v>
      </c>
    </row>
    <row r="30" spans="1:30" ht="14.25" customHeight="1">
      <c r="B30" s="224">
        <v>4</v>
      </c>
      <c r="C30" s="309"/>
      <c r="D30" s="309" t="s">
        <v>303</v>
      </c>
      <c r="E30" s="295"/>
      <c r="F30" s="351"/>
      <c r="G30" s="516">
        <f>D170-G29</f>
        <v>127723.9</v>
      </c>
      <c r="H30" s="545">
        <f>'Project Plan'!G28</f>
        <v>45980</v>
      </c>
      <c r="I30" s="711"/>
      <c r="J30" s="714"/>
      <c r="K30" s="205"/>
      <c r="L30" s="202">
        <v>4</v>
      </c>
      <c r="M30" s="325" t="s">
        <v>301</v>
      </c>
      <c r="N30" s="309" t="s">
        <v>304</v>
      </c>
      <c r="O30" s="430">
        <v>-1000</v>
      </c>
      <c r="P30" s="351">
        <v>13.65</v>
      </c>
      <c r="Q30" s="204">
        <f>O30*P30</f>
        <v>-13650</v>
      </c>
      <c r="R30" s="474"/>
      <c r="S30" s="505" t="s">
        <v>305</v>
      </c>
      <c r="T30" s="634">
        <v>46022</v>
      </c>
      <c r="U30" s="639">
        <v>0</v>
      </c>
      <c r="V30" s="720"/>
      <c r="W30" s="648">
        <v>46022</v>
      </c>
      <c r="X30" s="711"/>
      <c r="Y30" s="611" t="str">
        <f>Y14</f>
        <v>AC Labour</v>
      </c>
      <c r="Z30" s="492">
        <v>44112.61</v>
      </c>
      <c r="AA30" s="527">
        <f>Z30/'Project Plan'!$E$3/1000</f>
        <v>0.17645044000000001</v>
      </c>
      <c r="AC30" s="611" t="s">
        <v>279</v>
      </c>
      <c r="AD30" s="626">
        <v>44112.61</v>
      </c>
    </row>
    <row r="31" spans="1:30" ht="14.25" customHeight="1">
      <c r="B31" s="224">
        <v>4</v>
      </c>
      <c r="C31" s="309"/>
      <c r="D31" s="309"/>
      <c r="E31" s="295"/>
      <c r="F31" s="351"/>
      <c r="G31" s="204"/>
      <c r="H31" s="545"/>
      <c r="I31" s="711"/>
      <c r="J31" s="714"/>
      <c r="K31" s="205"/>
      <c r="L31" s="202">
        <v>4</v>
      </c>
      <c r="M31" s="325" t="s">
        <v>301</v>
      </c>
      <c r="N31" s="309" t="s">
        <v>306</v>
      </c>
      <c r="O31" s="430">
        <v>-1300</v>
      </c>
      <c r="P31" s="351">
        <v>13.65</v>
      </c>
      <c r="Q31" s="204">
        <f>O31*P31</f>
        <v>-17745</v>
      </c>
      <c r="R31" s="474"/>
      <c r="S31" s="505" t="s">
        <v>305</v>
      </c>
      <c r="T31" s="634">
        <v>46022</v>
      </c>
      <c r="U31" s="639">
        <v>0</v>
      </c>
      <c r="V31" s="720"/>
      <c r="W31" s="648">
        <v>46022</v>
      </c>
      <c r="X31" s="711"/>
      <c r="Y31" s="611" t="str">
        <f>Y15</f>
        <v>DC Labour</v>
      </c>
      <c r="Z31" s="492">
        <v>267035.64</v>
      </c>
      <c r="AA31" s="527">
        <f>Z31/'Project Plan'!$E$3/1000</f>
        <v>1.0681425600000001</v>
      </c>
      <c r="AC31" s="611" t="s">
        <v>280</v>
      </c>
      <c r="AD31" s="626">
        <v>267035.64</v>
      </c>
    </row>
    <row r="32" spans="1:30" ht="14.25" customHeight="1">
      <c r="B32" s="224">
        <v>4</v>
      </c>
      <c r="C32" s="309"/>
      <c r="D32" s="309"/>
      <c r="E32" s="295"/>
      <c r="F32" s="351"/>
      <c r="G32" s="204"/>
      <c r="H32" s="545"/>
      <c r="I32" s="711"/>
      <c r="J32" s="714"/>
      <c r="K32" s="205"/>
      <c r="L32" s="202">
        <v>4</v>
      </c>
      <c r="M32" s="325" t="s">
        <v>301</v>
      </c>
      <c r="N32" s="309"/>
      <c r="O32" s="438"/>
      <c r="P32" s="351"/>
      <c r="Q32" s="204"/>
      <c r="R32" s="474"/>
      <c r="S32" s="505"/>
      <c r="T32" s="416" t="str">
        <f t="shared" si="0"/>
        <v/>
      </c>
      <c r="U32" s="401">
        <f t="shared" ref="U32:U44" si="4">(Q32/$X$29*$J$29)</f>
        <v>0</v>
      </c>
      <c r="V32" s="720"/>
      <c r="W32" s="458"/>
      <c r="X32" s="711"/>
      <c r="Y32" s="611" t="s">
        <v>281</v>
      </c>
      <c r="Z32" s="492">
        <v>11410</v>
      </c>
      <c r="AC32" s="611" t="s">
        <v>281</v>
      </c>
      <c r="AD32" s="626">
        <v>11410</v>
      </c>
    </row>
    <row r="33" spans="1:30" ht="14.25" customHeight="1">
      <c r="B33" s="224">
        <v>4</v>
      </c>
      <c r="C33" s="309"/>
      <c r="D33" s="309"/>
      <c r="E33" s="295"/>
      <c r="F33" s="351"/>
      <c r="G33" s="204"/>
      <c r="H33" s="545"/>
      <c r="I33" s="711"/>
      <c r="J33" s="714"/>
      <c r="K33" s="205"/>
      <c r="L33" s="202">
        <v>4</v>
      </c>
      <c r="M33" s="325" t="s">
        <v>301</v>
      </c>
      <c r="N33" s="309" t="s">
        <v>307</v>
      </c>
      <c r="O33" s="447">
        <f>Z29</f>
        <v>42673.4</v>
      </c>
      <c r="P33" s="448">
        <v>0.1</v>
      </c>
      <c r="Q33" s="204">
        <f>$O$33*P33</f>
        <v>4267.34</v>
      </c>
      <c r="R33" s="725" t="s">
        <v>308</v>
      </c>
      <c r="S33" s="505" t="s">
        <v>309</v>
      </c>
      <c r="T33" s="634">
        <v>45961</v>
      </c>
      <c r="U33" s="639">
        <v>8718.1164575988332</v>
      </c>
      <c r="V33" s="720"/>
      <c r="W33" s="644">
        <f>W95</f>
        <v>45967</v>
      </c>
      <c r="X33" s="711"/>
      <c r="Y33" s="611" t="s">
        <v>310</v>
      </c>
      <c r="Z33" s="492">
        <v>23642.5</v>
      </c>
      <c r="AC33" s="611" t="s">
        <v>310</v>
      </c>
      <c r="AD33" s="626">
        <v>23642.5</v>
      </c>
    </row>
    <row r="34" spans="1:30" ht="14.25" customHeight="1">
      <c r="B34" s="224">
        <v>4</v>
      </c>
      <c r="C34" s="309"/>
      <c r="D34" s="309"/>
      <c r="E34" s="295"/>
      <c r="F34" s="351"/>
      <c r="G34" s="204"/>
      <c r="H34" s="545"/>
      <c r="I34" s="711"/>
      <c r="J34" s="714"/>
      <c r="K34" s="205"/>
      <c r="L34" s="202">
        <v>4</v>
      </c>
      <c r="M34" s="325" t="s">
        <v>301</v>
      </c>
      <c r="N34" s="309" t="s">
        <v>147</v>
      </c>
      <c r="O34" s="438"/>
      <c r="P34" s="448">
        <v>0.15</v>
      </c>
      <c r="Q34" s="204">
        <f t="shared" ref="Q34:Q41" si="5">$O$33*P34</f>
        <v>6401.01</v>
      </c>
      <c r="R34" s="726"/>
      <c r="S34" s="505" t="s">
        <v>311</v>
      </c>
      <c r="T34" s="545">
        <v>45991</v>
      </c>
      <c r="U34" s="639">
        <v>17778.049203678111</v>
      </c>
      <c r="V34" s="720"/>
      <c r="W34" s="644">
        <f>W96</f>
        <v>45989</v>
      </c>
      <c r="X34" s="711"/>
      <c r="Y34" s="611" t="s">
        <v>312</v>
      </c>
      <c r="Z34" s="492"/>
      <c r="AC34" s="611" t="s">
        <v>312</v>
      </c>
      <c r="AD34" s="626"/>
    </row>
    <row r="35" spans="1:30" ht="14.25" customHeight="1">
      <c r="B35" s="224">
        <v>4</v>
      </c>
      <c r="C35" s="309"/>
      <c r="D35" s="309"/>
      <c r="E35" s="295"/>
      <c r="F35" s="351"/>
      <c r="G35" s="204"/>
      <c r="H35" s="545"/>
      <c r="I35" s="711"/>
      <c r="J35" s="714"/>
      <c r="K35" s="205"/>
      <c r="L35" s="202">
        <v>4</v>
      </c>
      <c r="M35" s="325" t="s">
        <v>301</v>
      </c>
      <c r="N35" s="309" t="s">
        <v>313</v>
      </c>
      <c r="O35" s="438"/>
      <c r="P35" s="448">
        <v>0.2</v>
      </c>
      <c r="Q35" s="204">
        <f t="shared" si="5"/>
        <v>8534.68</v>
      </c>
      <c r="R35" s="726"/>
      <c r="S35" s="505" t="s">
        <v>314</v>
      </c>
      <c r="T35" s="545">
        <f>T97</f>
        <v>45991</v>
      </c>
      <c r="U35" s="639">
        <v>23704.065604904146</v>
      </c>
      <c r="V35" s="720"/>
      <c r="W35" s="644">
        <f>W97</f>
        <v>45989</v>
      </c>
      <c r="X35" s="711"/>
      <c r="Y35" s="611" t="s">
        <v>283</v>
      </c>
      <c r="Z35" s="492">
        <v>35837.75</v>
      </c>
      <c r="AC35" s="611" t="s">
        <v>283</v>
      </c>
      <c r="AD35" s="626">
        <v>35837.75</v>
      </c>
    </row>
    <row r="36" spans="1:30" ht="14.25" customHeight="1">
      <c r="B36" s="224">
        <v>4</v>
      </c>
      <c r="C36" s="309"/>
      <c r="D36" s="309"/>
      <c r="E36" s="295"/>
      <c r="F36" s="351"/>
      <c r="G36" s="204"/>
      <c r="H36" s="545"/>
      <c r="I36" s="711"/>
      <c r="J36" s="714"/>
      <c r="K36" s="205"/>
      <c r="L36" s="202">
        <v>4</v>
      </c>
      <c r="M36" s="325" t="s">
        <v>301</v>
      </c>
      <c r="N36" s="309" t="s">
        <v>315</v>
      </c>
      <c r="O36" s="438"/>
      <c r="P36" s="448">
        <v>0.2</v>
      </c>
      <c r="Q36" s="204">
        <f t="shared" si="5"/>
        <v>8534.68</v>
      </c>
      <c r="R36" s="726"/>
      <c r="S36" s="505" t="s">
        <v>314</v>
      </c>
      <c r="T36" s="545">
        <f>T98</f>
        <v>45991</v>
      </c>
      <c r="U36" s="639">
        <v>23704.065604904146</v>
      </c>
      <c r="V36" s="720"/>
      <c r="W36" s="644">
        <f>W98</f>
        <v>45989</v>
      </c>
      <c r="X36" s="711"/>
      <c r="Y36" s="611" t="s">
        <v>316</v>
      </c>
      <c r="Z36" s="492">
        <v>14117.5</v>
      </c>
      <c r="AC36" s="611" t="s">
        <v>316</v>
      </c>
      <c r="AD36" s="626">
        <f>10637.5+3480</f>
        <v>14117.5</v>
      </c>
    </row>
    <row r="37" spans="1:30" ht="14.25" customHeight="1">
      <c r="B37" s="224"/>
      <c r="C37" s="309"/>
      <c r="D37" s="309"/>
      <c r="E37" s="295"/>
      <c r="F37" s="351"/>
      <c r="G37" s="204"/>
      <c r="H37" s="545"/>
      <c r="I37" s="711"/>
      <c r="J37" s="714"/>
      <c r="K37" s="205"/>
      <c r="L37" s="202">
        <v>4</v>
      </c>
      <c r="M37" s="325" t="s">
        <v>301</v>
      </c>
      <c r="N37" s="309" t="s">
        <v>315</v>
      </c>
      <c r="O37" s="438"/>
      <c r="P37" s="448">
        <v>0.05</v>
      </c>
      <c r="Q37" s="204">
        <v>2133.64</v>
      </c>
      <c r="R37" s="726"/>
      <c r="S37" s="505" t="s">
        <v>317</v>
      </c>
      <c r="T37" s="545">
        <f t="shared" ref="T37:T38" si="6">T99</f>
        <v>46053</v>
      </c>
      <c r="U37" s="639">
        <v>5925.9349877015457</v>
      </c>
      <c r="V37" s="720"/>
      <c r="W37" s="644">
        <f>W99</f>
        <v>46053</v>
      </c>
      <c r="X37" s="711"/>
      <c r="Y37" s="611"/>
      <c r="Z37" s="492"/>
      <c r="AC37" s="611"/>
      <c r="AD37" s="626"/>
    </row>
    <row r="38" spans="1:30" ht="14.25" customHeight="1">
      <c r="B38" s="224">
        <v>4</v>
      </c>
      <c r="C38" s="309"/>
      <c r="D38" s="309"/>
      <c r="E38" s="295"/>
      <c r="F38" s="351"/>
      <c r="G38" s="204"/>
      <c r="H38" s="545"/>
      <c r="I38" s="711"/>
      <c r="J38" s="714"/>
      <c r="K38" s="205"/>
      <c r="L38" s="202">
        <v>4</v>
      </c>
      <c r="M38" s="325" t="s">
        <v>301</v>
      </c>
      <c r="N38" s="309" t="s">
        <v>318</v>
      </c>
      <c r="O38" s="438"/>
      <c r="P38" s="448">
        <v>0.1</v>
      </c>
      <c r="Q38" s="204">
        <f t="shared" si="5"/>
        <v>4267.34</v>
      </c>
      <c r="R38" s="726"/>
      <c r="S38" s="505" t="s">
        <v>317</v>
      </c>
      <c r="T38" s="545">
        <f t="shared" si="6"/>
        <v>46053</v>
      </c>
      <c r="U38" s="639">
        <v>11852.036618369695</v>
      </c>
      <c r="V38" s="720"/>
      <c r="W38" s="644">
        <f t="shared" ref="W38:W41" si="7">W100</f>
        <v>46058</v>
      </c>
      <c r="X38" s="711"/>
      <c r="Y38" s="611" t="s">
        <v>319</v>
      </c>
      <c r="Z38" s="492">
        <v>17693</v>
      </c>
      <c r="AC38" s="611" t="s">
        <v>319</v>
      </c>
      <c r="AD38" s="626">
        <v>17693</v>
      </c>
    </row>
    <row r="39" spans="1:30" ht="14.25" customHeight="1">
      <c r="B39" s="224">
        <v>4</v>
      </c>
      <c r="C39" s="309"/>
      <c r="D39" s="309"/>
      <c r="E39" s="295"/>
      <c r="F39" s="351"/>
      <c r="G39" s="204"/>
      <c r="H39" s="545"/>
      <c r="I39" s="711"/>
      <c r="J39" s="714"/>
      <c r="K39" s="205"/>
      <c r="L39" s="202">
        <v>4</v>
      </c>
      <c r="M39" s="325" t="s">
        <v>301</v>
      </c>
      <c r="N39" s="309" t="s">
        <v>320</v>
      </c>
      <c r="O39" s="438"/>
      <c r="P39" s="448">
        <v>0.1</v>
      </c>
      <c r="Q39" s="204">
        <f t="shared" si="5"/>
        <v>4267.34</v>
      </c>
      <c r="R39" s="726"/>
      <c r="S39" s="505" t="s">
        <v>317</v>
      </c>
      <c r="T39" s="545">
        <f>T101</f>
        <v>46053</v>
      </c>
      <c r="U39" s="639">
        <v>11852.036618369695</v>
      </c>
      <c r="V39" s="720"/>
      <c r="W39" s="644">
        <f t="shared" si="7"/>
        <v>46066</v>
      </c>
      <c r="X39" s="711"/>
      <c r="Y39" s="611" t="s">
        <v>289</v>
      </c>
      <c r="Z39" s="493">
        <v>0</v>
      </c>
      <c r="AC39" s="611" t="s">
        <v>289</v>
      </c>
      <c r="AD39" s="626"/>
    </row>
    <row r="40" spans="1:30" ht="14.25" customHeight="1">
      <c r="B40" s="224">
        <v>4</v>
      </c>
      <c r="C40" s="309"/>
      <c r="D40" s="309"/>
      <c r="E40" s="295"/>
      <c r="F40" s="351"/>
      <c r="G40" s="204"/>
      <c r="H40" s="545"/>
      <c r="I40" s="711"/>
      <c r="J40" s="714"/>
      <c r="K40" s="205"/>
      <c r="L40" s="202">
        <v>4</v>
      </c>
      <c r="M40" s="325" t="s">
        <v>301</v>
      </c>
      <c r="N40" s="309" t="s">
        <v>321</v>
      </c>
      <c r="O40" s="438"/>
      <c r="P40" s="448">
        <v>0.05</v>
      </c>
      <c r="Q40" s="204">
        <f t="shared" si="5"/>
        <v>2133.67</v>
      </c>
      <c r="R40" s="726"/>
      <c r="S40" s="505" t="s">
        <v>322</v>
      </c>
      <c r="T40" s="545">
        <f>T102</f>
        <v>46053</v>
      </c>
      <c r="U40" s="639">
        <v>5926.0183091848476</v>
      </c>
      <c r="V40" s="720"/>
      <c r="W40" s="644">
        <f t="shared" si="7"/>
        <v>46066</v>
      </c>
      <c r="X40" s="711"/>
      <c r="Y40" s="611" t="s">
        <v>235</v>
      </c>
      <c r="Z40" s="492">
        <f>SUM(Z28:Z39)</f>
        <v>497687.30000000005</v>
      </c>
      <c r="AC40" s="611" t="s">
        <v>235</v>
      </c>
      <c r="AD40" s="628">
        <f>SUM(AD28:AD39)</f>
        <v>497687.30000000005</v>
      </c>
    </row>
    <row r="41" spans="1:30" ht="14.25" customHeight="1">
      <c r="B41" s="224">
        <v>4</v>
      </c>
      <c r="C41" s="309"/>
      <c r="D41" s="309"/>
      <c r="E41" s="295"/>
      <c r="F41" s="351"/>
      <c r="G41" s="204"/>
      <c r="H41" s="545"/>
      <c r="I41" s="711"/>
      <c r="J41" s="714"/>
      <c r="K41" s="205"/>
      <c r="L41" s="202">
        <v>4</v>
      </c>
      <c r="M41" s="325" t="s">
        <v>301</v>
      </c>
      <c r="N41" s="309" t="s">
        <v>323</v>
      </c>
      <c r="O41" s="438"/>
      <c r="P41" s="448">
        <v>0.05</v>
      </c>
      <c r="Q41" s="204">
        <f t="shared" si="5"/>
        <v>2133.67</v>
      </c>
      <c r="R41" s="727"/>
      <c r="S41" s="505" t="s">
        <v>322</v>
      </c>
      <c r="T41" s="545">
        <f>T103</f>
        <v>46053</v>
      </c>
      <c r="U41" s="639">
        <v>5926.0183091848476</v>
      </c>
      <c r="V41" s="720"/>
      <c r="W41" s="458">
        <f t="shared" si="7"/>
        <v>46096</v>
      </c>
      <c r="X41" s="711"/>
      <c r="Y41" s="612" t="s">
        <v>296</v>
      </c>
      <c r="Z41" s="493">
        <f>Z40/'Project Plan'!$E$3/1000</f>
        <v>1.9907492000000002</v>
      </c>
      <c r="AC41" s="611" t="s">
        <v>296</v>
      </c>
      <c r="AD41" s="626">
        <f>AD40/'Project Plan'!E3/1000</f>
        <v>1.9907492000000002</v>
      </c>
    </row>
    <row r="42" spans="1:30" ht="14.25" customHeight="1">
      <c r="B42" s="224">
        <v>4</v>
      </c>
      <c r="C42" s="309"/>
      <c r="D42" s="309"/>
      <c r="E42" s="295"/>
      <c r="F42" s="351"/>
      <c r="G42" s="204"/>
      <c r="H42" s="545"/>
      <c r="I42" s="711"/>
      <c r="J42" s="714"/>
      <c r="K42" s="205"/>
      <c r="L42" s="202">
        <v>4</v>
      </c>
      <c r="M42" s="325" t="s">
        <v>301</v>
      </c>
      <c r="N42" s="309"/>
      <c r="O42" s="438"/>
      <c r="P42" s="351"/>
      <c r="Q42" s="204"/>
      <c r="R42" s="474"/>
      <c r="S42" s="505"/>
      <c r="T42" s="416" t="str">
        <f t="shared" si="0"/>
        <v/>
      </c>
      <c r="U42" s="401">
        <f t="shared" si="4"/>
        <v>0</v>
      </c>
      <c r="V42" s="720"/>
      <c r="W42" s="458"/>
      <c r="X42" s="711"/>
    </row>
    <row r="43" spans="1:30" ht="14.25" customHeight="1">
      <c r="B43" s="224">
        <v>4</v>
      </c>
      <c r="C43" s="309"/>
      <c r="D43" s="309"/>
      <c r="E43" s="295"/>
      <c r="F43" s="351"/>
      <c r="G43" s="204"/>
      <c r="H43" s="545"/>
      <c r="I43" s="711"/>
      <c r="J43" s="714"/>
      <c r="K43" s="205"/>
      <c r="L43" s="202">
        <v>4</v>
      </c>
      <c r="M43" s="325" t="s">
        <v>301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4"/>
        <v>0</v>
      </c>
      <c r="V43" s="720"/>
      <c r="W43" s="458"/>
      <c r="X43" s="711"/>
    </row>
    <row r="44" spans="1:30" ht="15" customHeight="1" thickBot="1">
      <c r="B44" s="206">
        <v>4</v>
      </c>
      <c r="C44" s="229"/>
      <c r="D44" s="229"/>
      <c r="E44" s="298"/>
      <c r="F44" s="353"/>
      <c r="G44" s="209"/>
      <c r="H44" s="555"/>
      <c r="I44" s="712"/>
      <c r="J44" s="715"/>
      <c r="K44" s="210"/>
      <c r="L44" s="206">
        <v>4</v>
      </c>
      <c r="M44" s="326" t="s">
        <v>301</v>
      </c>
      <c r="N44" s="229"/>
      <c r="O44" s="439"/>
      <c r="P44" s="353"/>
      <c r="Q44" s="209"/>
      <c r="R44" s="475"/>
      <c r="S44" s="506"/>
      <c r="T44" s="417" t="str">
        <f t="shared" si="0"/>
        <v/>
      </c>
      <c r="U44" s="402">
        <f t="shared" si="4"/>
        <v>0</v>
      </c>
      <c r="V44" s="721"/>
      <c r="W44" s="459"/>
      <c r="X44" s="712"/>
    </row>
    <row r="45" spans="1:30" ht="14.4" thickBot="1">
      <c r="A45" s="4"/>
      <c r="B45" s="180"/>
      <c r="C45" s="181"/>
      <c r="D45" s="212"/>
      <c r="E45" s="195"/>
      <c r="F45" s="354"/>
      <c r="G45" s="196"/>
      <c r="H45" s="556"/>
      <c r="I45" s="547"/>
      <c r="J45" s="184"/>
      <c r="K45" s="4"/>
      <c r="L45" s="180"/>
      <c r="M45" s="181"/>
      <c r="N45" s="212"/>
      <c r="O45" s="436"/>
      <c r="P45" s="354"/>
      <c r="Q45" s="196"/>
      <c r="R45" s="477"/>
      <c r="S45" s="508"/>
      <c r="T45" s="414" t="str">
        <f t="shared" si="0"/>
        <v/>
      </c>
      <c r="U45" s="405"/>
      <c r="V45" s="388"/>
      <c r="W45" s="456"/>
      <c r="X45" s="547"/>
    </row>
    <row r="46" spans="1:30" ht="14.25" customHeight="1">
      <c r="B46" s="185">
        <v>5</v>
      </c>
      <c r="C46" s="213" t="s">
        <v>324</v>
      </c>
      <c r="D46" s="231" t="s">
        <v>325</v>
      </c>
      <c r="E46" s="187"/>
      <c r="F46" s="336"/>
      <c r="G46" s="188">
        <f>D172-G47</f>
        <v>34000</v>
      </c>
      <c r="H46" s="543">
        <f>H13</f>
        <v>46029</v>
      </c>
      <c r="I46" s="701">
        <f>SUM(G46:G54)</f>
        <v>49000</v>
      </c>
      <c r="J46" s="704">
        <f>F172</f>
        <v>61250</v>
      </c>
      <c r="K46" s="189"/>
      <c r="L46" s="185">
        <v>5</v>
      </c>
      <c r="M46" s="321" t="s">
        <v>326</v>
      </c>
      <c r="N46" s="231" t="s">
        <v>327</v>
      </c>
      <c r="O46" s="432"/>
      <c r="P46" s="336"/>
      <c r="Q46" s="188">
        <f>8598.34+100</f>
        <v>8698.34</v>
      </c>
      <c r="R46" s="476"/>
      <c r="S46" s="507" t="s">
        <v>328</v>
      </c>
      <c r="T46" s="543">
        <v>45991</v>
      </c>
      <c r="U46" s="640">
        <v>9080.9279110069801</v>
      </c>
      <c r="V46" s="716">
        <f>J46-SUM(U46:U54)</f>
        <v>3.9453588105970994E-3</v>
      </c>
      <c r="W46" s="652">
        <v>46031</v>
      </c>
      <c r="X46" s="701">
        <f>SUM(Q46:Q54)</f>
        <v>59038.009999999995</v>
      </c>
    </row>
    <row r="47" spans="1:30" ht="14.25" customHeight="1">
      <c r="B47" s="190">
        <v>5</v>
      </c>
      <c r="C47" s="214"/>
      <c r="D47" s="217" t="s">
        <v>329</v>
      </c>
      <c r="E47" s="349"/>
      <c r="F47" s="350"/>
      <c r="G47" s="219">
        <v>15000</v>
      </c>
      <c r="H47" s="542">
        <f>H46</f>
        <v>46029</v>
      </c>
      <c r="I47" s="702"/>
      <c r="J47" s="705"/>
      <c r="K47" s="192"/>
      <c r="L47" s="190">
        <v>5</v>
      </c>
      <c r="M47" s="327" t="s">
        <v>326</v>
      </c>
      <c r="N47" s="191" t="s">
        <v>330</v>
      </c>
      <c r="O47" s="440"/>
      <c r="P47" s="350"/>
      <c r="Q47" s="219">
        <v>25321</v>
      </c>
      <c r="R47" s="517" t="s">
        <v>331</v>
      </c>
      <c r="S47" s="500" t="s">
        <v>332</v>
      </c>
      <c r="T47" s="631">
        <v>45961</v>
      </c>
      <c r="U47" s="640">
        <v>26936.920577737092</v>
      </c>
      <c r="V47" s="717"/>
      <c r="W47" s="653">
        <v>46029</v>
      </c>
      <c r="X47" s="702"/>
    </row>
    <row r="48" spans="1:30" ht="14.25" customHeight="1">
      <c r="B48" s="190">
        <v>5</v>
      </c>
      <c r="C48" s="214"/>
      <c r="D48" s="217"/>
      <c r="E48" s="218"/>
      <c r="F48" s="357"/>
      <c r="G48" s="219"/>
      <c r="H48" s="542"/>
      <c r="I48" s="702"/>
      <c r="J48" s="705"/>
      <c r="K48" s="192"/>
      <c r="L48" s="190">
        <v>5</v>
      </c>
      <c r="M48" s="327" t="s">
        <v>326</v>
      </c>
      <c r="N48" s="217" t="s">
        <v>101</v>
      </c>
      <c r="O48" s="433">
        <v>2</v>
      </c>
      <c r="P48" s="357">
        <v>11169</v>
      </c>
      <c r="Q48" s="219">
        <f>O48*P48</f>
        <v>22338</v>
      </c>
      <c r="R48" s="469"/>
      <c r="S48" s="500" t="s">
        <v>333</v>
      </c>
      <c r="T48" s="542">
        <v>45961</v>
      </c>
      <c r="U48" s="640">
        <v>23763.553250878369</v>
      </c>
      <c r="V48" s="717"/>
      <c r="W48" s="653">
        <v>45989</v>
      </c>
      <c r="X48" s="702"/>
    </row>
    <row r="49" spans="1:24" ht="14.25" customHeight="1">
      <c r="B49" s="190"/>
      <c r="C49" s="214"/>
      <c r="D49" s="217"/>
      <c r="E49" s="218"/>
      <c r="F49" s="357"/>
      <c r="G49" s="219"/>
      <c r="H49" s="542"/>
      <c r="I49" s="702"/>
      <c r="J49" s="705"/>
      <c r="K49" s="192"/>
      <c r="L49" s="190">
        <v>5</v>
      </c>
      <c r="M49" s="327" t="s">
        <v>326</v>
      </c>
      <c r="N49" s="217" t="s">
        <v>334</v>
      </c>
      <c r="O49" s="433"/>
      <c r="P49" s="357"/>
      <c r="Q49" s="219">
        <v>343.33</v>
      </c>
      <c r="R49" s="469"/>
      <c r="S49" s="500" t="s">
        <v>335</v>
      </c>
      <c r="T49" s="542">
        <v>45961</v>
      </c>
      <c r="U49" s="640">
        <v>365.24043054991802</v>
      </c>
      <c r="V49" s="717"/>
      <c r="W49" s="653">
        <v>45989</v>
      </c>
      <c r="X49" s="702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2"/>
      <c r="I50" s="702"/>
      <c r="J50" s="705"/>
      <c r="K50" s="192"/>
      <c r="L50" s="215">
        <v>5</v>
      </c>
      <c r="M50" s="327" t="s">
        <v>326</v>
      </c>
      <c r="N50" s="217" t="s">
        <v>336</v>
      </c>
      <c r="O50" s="433"/>
      <c r="P50" s="357"/>
      <c r="Q50" s="219">
        <v>975</v>
      </c>
      <c r="R50" s="469"/>
      <c r="S50" s="500" t="s">
        <v>337</v>
      </c>
      <c r="T50" s="542">
        <v>45961</v>
      </c>
      <c r="U50" s="640">
        <v>1037.2219724060528</v>
      </c>
      <c r="V50" s="717"/>
      <c r="W50" s="653">
        <v>45939</v>
      </c>
      <c r="X50" s="702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702"/>
      <c r="J51" s="705"/>
      <c r="K51" s="192"/>
      <c r="L51" s="215">
        <v>5</v>
      </c>
      <c r="M51" s="327" t="s">
        <v>326</v>
      </c>
      <c r="N51" s="288" t="s">
        <v>338</v>
      </c>
      <c r="O51" s="434"/>
      <c r="P51" s="343"/>
      <c r="Q51" s="287">
        <v>21.34</v>
      </c>
      <c r="R51" s="470" t="s">
        <v>339</v>
      </c>
      <c r="S51" s="501" t="s">
        <v>340</v>
      </c>
      <c r="T51" s="636">
        <v>45991</v>
      </c>
      <c r="U51" s="640">
        <v>22.63803342027202</v>
      </c>
      <c r="V51" s="717"/>
      <c r="W51" s="651">
        <v>45973</v>
      </c>
      <c r="X51" s="702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702"/>
      <c r="J52" s="705"/>
      <c r="K52" s="192"/>
      <c r="L52" s="215">
        <v>5</v>
      </c>
      <c r="M52" s="327" t="s">
        <v>326</v>
      </c>
      <c r="N52" s="288" t="s">
        <v>338</v>
      </c>
      <c r="O52" s="434"/>
      <c r="P52" s="343"/>
      <c r="Q52" s="287">
        <v>41</v>
      </c>
      <c r="R52" s="470"/>
      <c r="S52" s="501" t="s">
        <v>340</v>
      </c>
      <c r="T52" s="636">
        <v>45991</v>
      </c>
      <c r="U52" s="638">
        <v>43.493878642509507</v>
      </c>
      <c r="V52" s="717"/>
      <c r="W52" s="651">
        <v>45990</v>
      </c>
      <c r="X52" s="702"/>
    </row>
    <row r="53" spans="1:24" ht="14.25" customHeight="1">
      <c r="B53" s="284"/>
      <c r="C53" s="285"/>
      <c r="D53" s="288"/>
      <c r="E53" s="307"/>
      <c r="F53" s="343"/>
      <c r="G53" s="287"/>
      <c r="H53" s="551"/>
      <c r="I53" s="702"/>
      <c r="J53" s="705"/>
      <c r="K53" s="192"/>
      <c r="L53" s="215">
        <v>5</v>
      </c>
      <c r="M53" s="327" t="s">
        <v>326</v>
      </c>
      <c r="N53" s="288" t="s">
        <v>341</v>
      </c>
      <c r="O53" s="434"/>
      <c r="P53" s="343"/>
      <c r="Q53" s="287">
        <v>1300</v>
      </c>
      <c r="R53" s="470"/>
      <c r="S53" s="501" t="s">
        <v>342</v>
      </c>
      <c r="T53" s="636">
        <v>46022</v>
      </c>
      <c r="U53" s="638"/>
      <c r="V53" s="717"/>
      <c r="W53" s="651">
        <v>46022</v>
      </c>
      <c r="X53" s="702"/>
    </row>
    <row r="54" spans="1:24" ht="15" customHeight="1" thickBot="1">
      <c r="B54" s="220">
        <v>5</v>
      </c>
      <c r="C54" s="241"/>
      <c r="D54" s="221"/>
      <c r="E54" s="222"/>
      <c r="F54" s="358"/>
      <c r="G54" s="234"/>
      <c r="H54" s="552"/>
      <c r="I54" s="703"/>
      <c r="J54" s="706"/>
      <c r="K54" s="193"/>
      <c r="L54" s="220">
        <v>5</v>
      </c>
      <c r="M54" s="323" t="s">
        <v>326</v>
      </c>
      <c r="N54" s="221"/>
      <c r="O54" s="435"/>
      <c r="P54" s="358"/>
      <c r="Q54" s="234"/>
      <c r="R54" s="471"/>
      <c r="S54" s="502"/>
      <c r="T54" s="413" t="str">
        <f t="shared" si="0"/>
        <v/>
      </c>
      <c r="U54" s="398">
        <f t="shared" ref="U54" si="8">(Q54/$X$46*$J$46)</f>
        <v>0</v>
      </c>
      <c r="V54" s="718"/>
      <c r="W54" s="455"/>
      <c r="X54" s="703"/>
    </row>
    <row r="55" spans="1:24" ht="14.4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2"/>
      <c r="S55" s="503"/>
      <c r="T55" s="414" t="str">
        <f t="shared" si="0"/>
        <v/>
      </c>
      <c r="U55" s="403"/>
      <c r="V55" s="385"/>
      <c r="W55" s="456"/>
      <c r="X55" s="548"/>
    </row>
    <row r="56" spans="1:24" ht="14.25" customHeight="1">
      <c r="B56" s="197">
        <v>6</v>
      </c>
      <c r="C56" s="198" t="s">
        <v>274</v>
      </c>
      <c r="D56" s="199" t="s">
        <v>343</v>
      </c>
      <c r="E56" s="373"/>
      <c r="F56" s="355"/>
      <c r="G56" s="200">
        <f>D171</f>
        <v>268570.82</v>
      </c>
      <c r="H56" s="554">
        <f>'Project Plan'!G24+30</f>
        <v>45997</v>
      </c>
      <c r="I56" s="710">
        <f>SUM(G56:G73)</f>
        <v>268570.82</v>
      </c>
      <c r="J56" s="713">
        <f>F171</f>
        <v>335714</v>
      </c>
      <c r="K56" s="201"/>
      <c r="L56" s="197">
        <v>6</v>
      </c>
      <c r="M56" s="330" t="s">
        <v>344</v>
      </c>
      <c r="N56" s="199"/>
      <c r="O56" s="428"/>
      <c r="P56" s="355"/>
      <c r="Q56" s="200"/>
      <c r="R56" s="473"/>
      <c r="S56" s="504"/>
      <c r="T56" s="415" t="str">
        <f t="shared" si="0"/>
        <v/>
      </c>
      <c r="U56" s="400">
        <f t="shared" ref="U56:U73" si="9">(Q56/$X$56*$J$56)</f>
        <v>0</v>
      </c>
      <c r="V56" s="719">
        <f>J56-SUM(U56:U73)</f>
        <v>0</v>
      </c>
      <c r="W56" s="457"/>
      <c r="X56" s="710">
        <f>SUM(Q56:Q73)</f>
        <v>121280.62</v>
      </c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11"/>
      <c r="J57" s="714"/>
      <c r="K57" s="205"/>
      <c r="L57" s="202">
        <v>6</v>
      </c>
      <c r="M57" s="328" t="s">
        <v>344</v>
      </c>
      <c r="N57" s="342" t="s">
        <v>93</v>
      </c>
      <c r="O57" s="438"/>
      <c r="P57" s="351"/>
      <c r="Q57" s="225">
        <f>80115.72-Q58</f>
        <v>24740.639999999999</v>
      </c>
      <c r="R57" s="474" t="s">
        <v>345</v>
      </c>
      <c r="S57" s="505" t="s">
        <v>346</v>
      </c>
      <c r="T57" s="545">
        <v>45991</v>
      </c>
      <c r="U57" s="639">
        <v>68483.977217134932</v>
      </c>
      <c r="V57" s="720"/>
      <c r="W57" s="644">
        <f>T57+30</f>
        <v>46021</v>
      </c>
      <c r="X57" s="711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11"/>
      <c r="J58" s="714"/>
      <c r="K58" s="205"/>
      <c r="L58" s="202">
        <v>6</v>
      </c>
      <c r="M58" s="328" t="s">
        <v>344</v>
      </c>
      <c r="N58" s="342"/>
      <c r="O58" s="438"/>
      <c r="P58" s="351"/>
      <c r="Q58" s="225">
        <v>55375.08</v>
      </c>
      <c r="R58" s="474"/>
      <c r="S58" s="505" t="s">
        <v>347</v>
      </c>
      <c r="T58" s="545">
        <v>45991</v>
      </c>
      <c r="U58" s="639">
        <v>153282.44205150008</v>
      </c>
      <c r="V58" s="720"/>
      <c r="W58" s="458"/>
      <c r="X58" s="711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11"/>
      <c r="J59" s="714"/>
      <c r="K59" s="205"/>
      <c r="L59" s="202">
        <v>6</v>
      </c>
      <c r="M59" s="328" t="s">
        <v>344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9"/>
        <v>0</v>
      </c>
      <c r="V59" s="720"/>
      <c r="W59" s="458"/>
      <c r="X59" s="711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11"/>
      <c r="J60" s="714"/>
      <c r="K60" s="205"/>
      <c r="L60" s="202">
        <v>6</v>
      </c>
      <c r="M60" s="328" t="s">
        <v>344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9"/>
        <v>0</v>
      </c>
      <c r="V60" s="720"/>
      <c r="W60" s="458"/>
      <c r="X60" s="711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5"/>
      <c r="I61" s="711"/>
      <c r="J61" s="714"/>
      <c r="K61" s="205"/>
      <c r="L61" s="202">
        <v>6</v>
      </c>
      <c r="M61" s="328" t="s">
        <v>344</v>
      </c>
      <c r="N61" s="342"/>
      <c r="O61" s="438"/>
      <c r="P61" s="351"/>
      <c r="Q61" s="225"/>
      <c r="R61" s="474"/>
      <c r="S61" s="505"/>
      <c r="T61" s="416" t="str">
        <f t="shared" si="0"/>
        <v/>
      </c>
      <c r="U61" s="401">
        <f t="shared" si="9"/>
        <v>0</v>
      </c>
      <c r="V61" s="720"/>
      <c r="W61" s="458"/>
      <c r="X61" s="711"/>
    </row>
    <row r="62" spans="1:24" ht="14.25" customHeight="1">
      <c r="B62" s="202">
        <v>6</v>
      </c>
      <c r="C62" s="348"/>
      <c r="D62" s="203"/>
      <c r="E62" s="300"/>
      <c r="F62" s="352"/>
      <c r="G62" s="225"/>
      <c r="H62" s="545"/>
      <c r="I62" s="711"/>
      <c r="J62" s="714"/>
      <c r="K62" s="205"/>
      <c r="L62" s="202">
        <v>6</v>
      </c>
      <c r="M62" s="328" t="s">
        <v>344</v>
      </c>
      <c r="N62" s="309" t="s">
        <v>307</v>
      </c>
      <c r="O62" s="447">
        <f>Z28</f>
        <v>41164.9</v>
      </c>
      <c r="P62" s="448">
        <v>0.1</v>
      </c>
      <c r="Q62" s="204">
        <f>$O$62*P62</f>
        <v>4116.4900000000007</v>
      </c>
      <c r="R62" s="725" t="s">
        <v>308</v>
      </c>
      <c r="S62" s="505" t="s">
        <v>309</v>
      </c>
      <c r="T62" s="635">
        <v>45961</v>
      </c>
      <c r="U62" s="639">
        <v>11394.758073136501</v>
      </c>
      <c r="V62" s="720"/>
      <c r="W62" s="644">
        <f>W95</f>
        <v>45967</v>
      </c>
      <c r="X62" s="711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11"/>
      <c r="J63" s="714"/>
      <c r="K63" s="205"/>
      <c r="L63" s="202">
        <v>6</v>
      </c>
      <c r="M63" s="329" t="s">
        <v>344</v>
      </c>
      <c r="N63" s="309" t="s">
        <v>147</v>
      </c>
      <c r="O63" s="438"/>
      <c r="P63" s="448">
        <v>0.15</v>
      </c>
      <c r="Q63" s="204">
        <f t="shared" ref="Q63:Q70" si="10">$O$62*P63</f>
        <v>6174.7349999999997</v>
      </c>
      <c r="R63" s="726"/>
      <c r="S63" s="505" t="s">
        <v>311</v>
      </c>
      <c r="T63" s="560">
        <v>45991</v>
      </c>
      <c r="U63" s="639">
        <v>17092.137109704749</v>
      </c>
      <c r="V63" s="720"/>
      <c r="W63" s="644">
        <f t="shared" ref="W63:W66" si="11">W96</f>
        <v>45989</v>
      </c>
      <c r="X63" s="711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11"/>
      <c r="J64" s="714"/>
      <c r="K64" s="205"/>
      <c r="L64" s="202">
        <v>6</v>
      </c>
      <c r="M64" s="329" t="s">
        <v>344</v>
      </c>
      <c r="N64" s="309" t="s">
        <v>313</v>
      </c>
      <c r="O64" s="438"/>
      <c r="P64" s="448">
        <v>0.2</v>
      </c>
      <c r="Q64" s="204">
        <f t="shared" si="10"/>
        <v>8232.9800000000014</v>
      </c>
      <c r="R64" s="726"/>
      <c r="S64" s="505" t="s">
        <v>314</v>
      </c>
      <c r="T64" s="560">
        <f t="shared" ref="T64:T66" si="12">T97</f>
        <v>45991</v>
      </c>
      <c r="U64" s="639">
        <v>22789.516146273003</v>
      </c>
      <c r="V64" s="720"/>
      <c r="W64" s="644">
        <f t="shared" si="11"/>
        <v>45989</v>
      </c>
      <c r="X64" s="711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11"/>
      <c r="J65" s="714"/>
      <c r="K65" s="205"/>
      <c r="L65" s="202">
        <v>6</v>
      </c>
      <c r="M65" s="329" t="s">
        <v>344</v>
      </c>
      <c r="N65" s="309" t="s">
        <v>315</v>
      </c>
      <c r="O65" s="438"/>
      <c r="P65" s="448">
        <v>0.2</v>
      </c>
      <c r="Q65" s="204">
        <f t="shared" si="10"/>
        <v>8232.9800000000014</v>
      </c>
      <c r="R65" s="726"/>
      <c r="S65" s="505" t="s">
        <v>314</v>
      </c>
      <c r="T65" s="560">
        <f t="shared" si="12"/>
        <v>45991</v>
      </c>
      <c r="U65" s="639">
        <v>22789.516146273003</v>
      </c>
      <c r="V65" s="720"/>
      <c r="W65" s="644">
        <f t="shared" si="11"/>
        <v>45989</v>
      </c>
      <c r="X65" s="711"/>
    </row>
    <row r="66" spans="1:24" ht="14.25" customHeight="1">
      <c r="B66" s="202"/>
      <c r="C66" s="301"/>
      <c r="D66" s="203"/>
      <c r="E66" s="300"/>
      <c r="F66" s="352"/>
      <c r="G66" s="225"/>
      <c r="H66" s="545"/>
      <c r="I66" s="711"/>
      <c r="J66" s="714"/>
      <c r="K66" s="205"/>
      <c r="L66" s="202">
        <v>6</v>
      </c>
      <c r="M66" s="329" t="s">
        <v>344</v>
      </c>
      <c r="N66" s="309" t="s">
        <v>315</v>
      </c>
      <c r="O66" s="438"/>
      <c r="P66" s="448">
        <v>0.05</v>
      </c>
      <c r="Q66" s="204">
        <f t="shared" ref="Q66" si="13">$O$62*P66</f>
        <v>2058.2450000000003</v>
      </c>
      <c r="R66" s="726"/>
      <c r="S66" s="505" t="s">
        <v>317</v>
      </c>
      <c r="T66" s="560">
        <f t="shared" si="12"/>
        <v>46053</v>
      </c>
      <c r="U66" s="639">
        <v>5697.3790365682507</v>
      </c>
      <c r="V66" s="720"/>
      <c r="W66" s="644">
        <f t="shared" si="11"/>
        <v>46053</v>
      </c>
      <c r="X66" s="711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11"/>
      <c r="J67" s="714"/>
      <c r="K67" s="205"/>
      <c r="L67" s="202">
        <v>6</v>
      </c>
      <c r="M67" s="329" t="s">
        <v>344</v>
      </c>
      <c r="N67" s="309" t="s">
        <v>318</v>
      </c>
      <c r="O67" s="438"/>
      <c r="P67" s="448">
        <v>0.1</v>
      </c>
      <c r="Q67" s="204">
        <f t="shared" si="10"/>
        <v>4116.4900000000007</v>
      </c>
      <c r="R67" s="726"/>
      <c r="S67" s="505" t="s">
        <v>317</v>
      </c>
      <c r="T67" s="560">
        <f>T100</f>
        <v>46053</v>
      </c>
      <c r="U67" s="639">
        <v>11394.758073136501</v>
      </c>
      <c r="V67" s="720"/>
      <c r="W67" s="644">
        <f>W100</f>
        <v>46058</v>
      </c>
      <c r="X67" s="711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11"/>
      <c r="J68" s="714"/>
      <c r="K68" s="205"/>
      <c r="L68" s="202">
        <v>6</v>
      </c>
      <c r="M68" s="329" t="s">
        <v>344</v>
      </c>
      <c r="N68" s="309" t="s">
        <v>320</v>
      </c>
      <c r="O68" s="438"/>
      <c r="P68" s="448">
        <v>0.1</v>
      </c>
      <c r="Q68" s="204">
        <f t="shared" si="10"/>
        <v>4116.4900000000007</v>
      </c>
      <c r="R68" s="726"/>
      <c r="S68" s="509" t="s">
        <v>317</v>
      </c>
      <c r="T68" s="560">
        <f>T101</f>
        <v>46053</v>
      </c>
      <c r="U68" s="661">
        <v>11394.758073136501</v>
      </c>
      <c r="V68" s="720"/>
      <c r="W68" s="644">
        <f>W101</f>
        <v>46066</v>
      </c>
      <c r="X68" s="711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11"/>
      <c r="J69" s="714"/>
      <c r="K69" s="205"/>
      <c r="L69" s="202">
        <v>6</v>
      </c>
      <c r="M69" s="329" t="s">
        <v>344</v>
      </c>
      <c r="N69" s="309" t="s">
        <v>321</v>
      </c>
      <c r="O69" s="438"/>
      <c r="P69" s="448">
        <v>0.05</v>
      </c>
      <c r="Q69" s="204">
        <f t="shared" si="10"/>
        <v>2058.2450000000003</v>
      </c>
      <c r="R69" s="726"/>
      <c r="S69" s="509" t="s">
        <v>322</v>
      </c>
      <c r="T69" s="560">
        <f>T102</f>
        <v>46053</v>
      </c>
      <c r="U69" s="661">
        <v>5697.3790365682507</v>
      </c>
      <c r="V69" s="720"/>
      <c r="W69" s="644">
        <f>W102</f>
        <v>46066</v>
      </c>
      <c r="X69" s="711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11"/>
      <c r="J70" s="714"/>
      <c r="K70" s="205"/>
      <c r="L70" s="202">
        <v>6</v>
      </c>
      <c r="M70" s="329" t="s">
        <v>344</v>
      </c>
      <c r="N70" s="309" t="s">
        <v>323</v>
      </c>
      <c r="O70" s="438"/>
      <c r="P70" s="448">
        <v>0.05</v>
      </c>
      <c r="Q70" s="204">
        <f t="shared" si="10"/>
        <v>2058.2450000000003</v>
      </c>
      <c r="R70" s="727"/>
      <c r="S70" s="509" t="s">
        <v>322</v>
      </c>
      <c r="T70" s="560">
        <f>T103</f>
        <v>46053</v>
      </c>
      <c r="U70" s="661">
        <v>5697.3790365682507</v>
      </c>
      <c r="V70" s="720"/>
      <c r="W70" s="458">
        <f>W103</f>
        <v>46096</v>
      </c>
      <c r="X70" s="711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11"/>
      <c r="J71" s="714"/>
      <c r="K71" s="205"/>
      <c r="L71" s="202">
        <v>6</v>
      </c>
      <c r="M71" s="329" t="s">
        <v>344</v>
      </c>
      <c r="N71" s="309"/>
      <c r="O71" s="438"/>
      <c r="P71" s="448"/>
      <c r="Q71" s="204"/>
      <c r="R71" s="478"/>
      <c r="S71" s="509"/>
      <c r="T71" s="419" t="str">
        <f t="shared" si="0"/>
        <v/>
      </c>
      <c r="U71" s="406">
        <f t="shared" si="9"/>
        <v>0</v>
      </c>
      <c r="V71" s="720"/>
      <c r="W71" s="461"/>
      <c r="X71" s="711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11"/>
      <c r="J72" s="714"/>
      <c r="K72" s="205"/>
      <c r="L72" s="202">
        <v>6</v>
      </c>
      <c r="M72" s="329" t="s">
        <v>344</v>
      </c>
      <c r="N72" s="309"/>
      <c r="O72" s="438"/>
      <c r="P72" s="448"/>
      <c r="Q72" s="204"/>
      <c r="R72" s="478"/>
      <c r="S72" s="509"/>
      <c r="T72" s="419" t="str">
        <f t="shared" si="0"/>
        <v/>
      </c>
      <c r="U72" s="406">
        <f t="shared" si="9"/>
        <v>0</v>
      </c>
      <c r="V72" s="720"/>
      <c r="W72" s="461"/>
      <c r="X72" s="711"/>
    </row>
    <row r="73" spans="1:24" ht="15" customHeight="1" thickBot="1">
      <c r="B73" s="206">
        <v>6</v>
      </c>
      <c r="C73" s="302"/>
      <c r="D73" s="208"/>
      <c r="E73" s="356"/>
      <c r="F73" s="353"/>
      <c r="G73" s="209"/>
      <c r="H73" s="555"/>
      <c r="I73" s="712"/>
      <c r="J73" s="715"/>
      <c r="K73" s="210"/>
      <c r="L73" s="206">
        <v>6</v>
      </c>
      <c r="M73" s="331" t="s">
        <v>344</v>
      </c>
      <c r="N73" s="208"/>
      <c r="O73" s="442"/>
      <c r="P73" s="353"/>
      <c r="Q73" s="209"/>
      <c r="R73" s="475"/>
      <c r="S73" s="506"/>
      <c r="T73" s="417" t="str">
        <f t="shared" si="0"/>
        <v/>
      </c>
      <c r="U73" s="402">
        <f t="shared" si="9"/>
        <v>0</v>
      </c>
      <c r="V73" s="721"/>
      <c r="W73" s="459"/>
      <c r="X73" s="712"/>
    </row>
    <row r="74" spans="1:24" ht="14.4" thickBot="1">
      <c r="A74" s="4"/>
      <c r="B74" s="194"/>
      <c r="C74" s="235"/>
      <c r="D74" s="212"/>
      <c r="E74" s="195"/>
      <c r="F74" s="354"/>
      <c r="G74" s="196"/>
      <c r="H74" s="557"/>
      <c r="I74" s="547"/>
      <c r="J74" s="184"/>
      <c r="K74" s="4"/>
      <c r="L74" s="194"/>
      <c r="M74" s="235"/>
      <c r="N74" s="212"/>
      <c r="O74" s="436"/>
      <c r="P74" s="354"/>
      <c r="Q74" s="196"/>
      <c r="R74" s="479"/>
      <c r="S74" s="510"/>
      <c r="T74" s="420" t="str">
        <f t="shared" si="0"/>
        <v/>
      </c>
      <c r="U74" s="407"/>
      <c r="V74" s="382"/>
      <c r="W74" s="462"/>
      <c r="X74" s="547"/>
    </row>
    <row r="75" spans="1:24" ht="14.25" customHeight="1">
      <c r="B75" s="281">
        <v>7</v>
      </c>
      <c r="C75" s="213" t="s">
        <v>348</v>
      </c>
      <c r="D75" s="282"/>
      <c r="E75" s="360"/>
      <c r="F75" s="366"/>
      <c r="G75" s="283"/>
      <c r="H75" s="558"/>
      <c r="I75" s="701">
        <f>SUM(G75:G82)</f>
        <v>0</v>
      </c>
      <c r="J75" s="704">
        <f>F176</f>
        <v>0</v>
      </c>
      <c r="K75" s="189"/>
      <c r="L75" s="281">
        <v>7</v>
      </c>
      <c r="M75" s="213" t="s">
        <v>349</v>
      </c>
      <c r="N75" s="282"/>
      <c r="O75" s="360"/>
      <c r="P75" s="366"/>
      <c r="Q75" s="283"/>
      <c r="R75" s="480"/>
      <c r="S75" s="511"/>
      <c r="T75" s="421"/>
      <c r="U75" s="524"/>
      <c r="V75" s="722">
        <f>J75-SUM(U75:U82)</f>
        <v>0</v>
      </c>
      <c r="W75" s="463"/>
      <c r="X75" s="701">
        <f>SUM(Q75:Q82)</f>
        <v>0</v>
      </c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702"/>
      <c r="J76" s="705"/>
      <c r="K76" s="192"/>
      <c r="L76" s="284">
        <v>7</v>
      </c>
      <c r="M76" s="285" t="s">
        <v>349</v>
      </c>
      <c r="N76" s="286"/>
      <c r="O76" s="307"/>
      <c r="P76" s="343"/>
      <c r="Q76" s="287"/>
      <c r="R76" s="470"/>
      <c r="S76" s="501"/>
      <c r="T76" s="412"/>
      <c r="U76" s="397"/>
      <c r="V76" s="723"/>
      <c r="W76" s="454"/>
      <c r="X76" s="702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702"/>
      <c r="J77" s="705"/>
      <c r="K77" s="192"/>
      <c r="L77" s="284">
        <v>7</v>
      </c>
      <c r="M77" s="285" t="s">
        <v>349</v>
      </c>
      <c r="N77" s="286"/>
      <c r="O77" s="307"/>
      <c r="P77" s="343"/>
      <c r="Q77" s="287"/>
      <c r="R77" s="470"/>
      <c r="S77" s="501"/>
      <c r="T77" s="412"/>
      <c r="U77" s="397"/>
      <c r="V77" s="723"/>
      <c r="W77" s="454"/>
      <c r="X77" s="702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702"/>
      <c r="J78" s="705"/>
      <c r="K78" s="192"/>
      <c r="L78" s="284">
        <v>7</v>
      </c>
      <c r="M78" s="285" t="s">
        <v>349</v>
      </c>
      <c r="N78" s="286"/>
      <c r="O78" s="307"/>
      <c r="P78" s="343"/>
      <c r="Q78" s="287"/>
      <c r="R78" s="470"/>
      <c r="S78" s="501"/>
      <c r="T78" s="412"/>
      <c r="U78" s="397"/>
      <c r="V78" s="723"/>
      <c r="W78" s="454"/>
      <c r="X78" s="702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702"/>
      <c r="J79" s="705"/>
      <c r="K79" s="192"/>
      <c r="L79" s="284">
        <v>7</v>
      </c>
      <c r="M79" s="285" t="s">
        <v>349</v>
      </c>
      <c r="N79" s="286"/>
      <c r="O79" s="307"/>
      <c r="P79" s="343"/>
      <c r="Q79" s="287"/>
      <c r="R79" s="470"/>
      <c r="S79" s="501"/>
      <c r="T79" s="412"/>
      <c r="U79" s="397"/>
      <c r="V79" s="723"/>
      <c r="W79" s="454"/>
      <c r="X79" s="702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702"/>
      <c r="J80" s="705"/>
      <c r="K80" s="192"/>
      <c r="L80" s="284">
        <v>7</v>
      </c>
      <c r="M80" s="285" t="s">
        <v>349</v>
      </c>
      <c r="N80" s="286"/>
      <c r="O80" s="434"/>
      <c r="P80" s="343"/>
      <c r="Q80" s="287"/>
      <c r="R80" s="470"/>
      <c r="S80" s="501"/>
      <c r="T80" s="412"/>
      <c r="U80" s="397"/>
      <c r="V80" s="723"/>
      <c r="W80" s="454"/>
      <c r="X80" s="702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2"/>
      <c r="I81" s="702"/>
      <c r="J81" s="705"/>
      <c r="K81" s="192"/>
      <c r="L81" s="284">
        <v>7</v>
      </c>
      <c r="M81" s="285" t="s">
        <v>349</v>
      </c>
      <c r="N81" s="286"/>
      <c r="O81" s="434"/>
      <c r="P81" s="343"/>
      <c r="Q81" s="287"/>
      <c r="R81" s="470"/>
      <c r="S81" s="501"/>
      <c r="T81" s="412"/>
      <c r="U81" s="397"/>
      <c r="V81" s="723"/>
      <c r="W81" s="454"/>
      <c r="X81" s="702"/>
    </row>
    <row r="82" spans="1:24" ht="15" customHeight="1" thickBot="1">
      <c r="B82" s="220">
        <v>7</v>
      </c>
      <c r="C82" s="241"/>
      <c r="D82" s="233"/>
      <c r="E82" s="222"/>
      <c r="F82" s="358"/>
      <c r="G82" s="234"/>
      <c r="H82" s="559"/>
      <c r="I82" s="703"/>
      <c r="J82" s="706"/>
      <c r="K82" s="193"/>
      <c r="L82" s="220">
        <v>7</v>
      </c>
      <c r="M82" s="241" t="s">
        <v>349</v>
      </c>
      <c r="N82" s="233"/>
      <c r="O82" s="435"/>
      <c r="P82" s="358"/>
      <c r="Q82" s="234"/>
      <c r="R82" s="471"/>
      <c r="S82" s="502"/>
      <c r="T82" s="413"/>
      <c r="U82" s="398"/>
      <c r="V82" s="724"/>
      <c r="W82" s="455"/>
      <c r="X82" s="703"/>
    </row>
    <row r="83" spans="1:24" ht="14.4" thickBot="1">
      <c r="A83" s="4"/>
      <c r="B83" s="194"/>
      <c r="C83" s="235"/>
      <c r="D83" s="212"/>
      <c r="E83" s="195"/>
      <c r="F83" s="354"/>
      <c r="G83" s="196"/>
      <c r="H83" s="553"/>
      <c r="I83" s="547"/>
      <c r="J83" s="184"/>
      <c r="K83" s="4"/>
      <c r="L83" s="194"/>
      <c r="M83" s="235"/>
      <c r="N83" s="212"/>
      <c r="O83" s="436"/>
      <c r="P83" s="354"/>
      <c r="Q83" s="196"/>
      <c r="R83" s="472"/>
      <c r="S83" s="503"/>
      <c r="T83" s="414"/>
      <c r="U83" s="403"/>
      <c r="V83" s="385"/>
      <c r="W83" s="456"/>
      <c r="X83" s="547"/>
    </row>
    <row r="84" spans="1:24" ht="14.25" customHeight="1">
      <c r="B84" s="236">
        <v>8</v>
      </c>
      <c r="C84" s="198" t="s">
        <v>350</v>
      </c>
      <c r="D84" s="237"/>
      <c r="E84" s="361"/>
      <c r="F84" s="315"/>
      <c r="G84" s="238"/>
      <c r="H84" s="554"/>
      <c r="I84" s="710">
        <f>SUM(G84:G92)</f>
        <v>0</v>
      </c>
      <c r="J84" s="713">
        <v>0</v>
      </c>
      <c r="K84" s="201"/>
      <c r="L84" s="236">
        <v>8</v>
      </c>
      <c r="M84" s="324" t="s">
        <v>351</v>
      </c>
      <c r="N84" s="237"/>
      <c r="O84" s="361"/>
      <c r="P84" s="315"/>
      <c r="Q84" s="238"/>
      <c r="R84" s="473"/>
      <c r="S84" s="504"/>
      <c r="T84" s="415"/>
      <c r="U84" s="400"/>
      <c r="V84" s="740">
        <f>J84-SUM(U84:U92)</f>
        <v>0</v>
      </c>
      <c r="W84" s="457"/>
      <c r="X84" s="710">
        <f>SUM(Q84:Q92)</f>
        <v>26057.31</v>
      </c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11"/>
      <c r="J85" s="714"/>
      <c r="K85" s="205"/>
      <c r="L85" s="226">
        <v>8</v>
      </c>
      <c r="M85" s="332" t="s">
        <v>351</v>
      </c>
      <c r="N85" s="239"/>
      <c r="O85" s="314"/>
      <c r="P85" s="359"/>
      <c r="Q85" s="228"/>
      <c r="R85" s="474"/>
      <c r="S85" s="505"/>
      <c r="T85" s="416"/>
      <c r="U85" s="401"/>
      <c r="V85" s="741"/>
      <c r="W85" s="458"/>
      <c r="X85" s="711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11"/>
      <c r="J86" s="714"/>
      <c r="K86" s="205"/>
      <c r="L86" s="226">
        <v>8</v>
      </c>
      <c r="M86" s="332" t="s">
        <v>351</v>
      </c>
      <c r="N86" s="239"/>
      <c r="O86" s="314"/>
      <c r="P86" s="359"/>
      <c r="Q86" s="228"/>
      <c r="R86" s="474"/>
      <c r="S86" s="505"/>
      <c r="T86" s="416"/>
      <c r="U86" s="401"/>
      <c r="V86" s="741"/>
      <c r="W86" s="458"/>
      <c r="X86" s="711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11"/>
      <c r="J87" s="714"/>
      <c r="K87" s="205"/>
      <c r="L87" s="226">
        <v>8</v>
      </c>
      <c r="M87" s="332" t="s">
        <v>351</v>
      </c>
      <c r="N87" s="239" t="s">
        <v>352</v>
      </c>
      <c r="O87" s="646">
        <v>0.7</v>
      </c>
      <c r="P87" s="359">
        <v>18231.22</v>
      </c>
      <c r="Q87" s="228">
        <f>O87*P87</f>
        <v>12761.853999999999</v>
      </c>
      <c r="R87" s="725" t="s">
        <v>353</v>
      </c>
      <c r="S87" s="505" t="s">
        <v>354</v>
      </c>
      <c r="T87" s="634">
        <v>45991</v>
      </c>
      <c r="U87" s="401"/>
      <c r="V87" s="741"/>
      <c r="W87" s="648">
        <v>45980</v>
      </c>
      <c r="X87" s="711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11"/>
      <c r="J88" s="714"/>
      <c r="K88" s="205"/>
      <c r="L88" s="226">
        <v>8</v>
      </c>
      <c r="M88" s="332" t="s">
        <v>351</v>
      </c>
      <c r="N88" s="239"/>
      <c r="O88" s="646">
        <v>0.3</v>
      </c>
      <c r="P88" s="359"/>
      <c r="Q88" s="228">
        <f>O88*P87</f>
        <v>5469.366</v>
      </c>
      <c r="R88" s="727"/>
      <c r="S88" s="505" t="s">
        <v>354</v>
      </c>
      <c r="T88" s="634">
        <v>45991</v>
      </c>
      <c r="U88" s="401"/>
      <c r="V88" s="741"/>
      <c r="W88" s="644">
        <v>46009</v>
      </c>
      <c r="X88" s="711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11"/>
      <c r="J89" s="714"/>
      <c r="K89" s="205"/>
      <c r="L89" s="226">
        <v>8</v>
      </c>
      <c r="M89" s="332" t="s">
        <v>351</v>
      </c>
      <c r="N89" s="239" t="s">
        <v>355</v>
      </c>
      <c r="O89" s="441"/>
      <c r="P89" s="534"/>
      <c r="Q89" s="228">
        <v>7826.09</v>
      </c>
      <c r="R89" s="474"/>
      <c r="S89" s="505" t="s">
        <v>356</v>
      </c>
      <c r="T89" s="545">
        <v>46022</v>
      </c>
      <c r="U89" s="401"/>
      <c r="V89" s="741"/>
      <c r="W89" s="644">
        <v>46010</v>
      </c>
      <c r="X89" s="711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11"/>
      <c r="J90" s="714"/>
      <c r="K90" s="205"/>
      <c r="L90" s="226">
        <v>8</v>
      </c>
      <c r="M90" s="332" t="s">
        <v>351</v>
      </c>
      <c r="N90" s="239"/>
      <c r="O90" s="441"/>
      <c r="P90" s="359"/>
      <c r="Q90" s="228"/>
      <c r="R90" s="474"/>
      <c r="S90" s="505"/>
      <c r="T90" s="545"/>
      <c r="U90" s="401"/>
      <c r="V90" s="741"/>
      <c r="W90" s="458"/>
      <c r="X90" s="711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60"/>
      <c r="I91" s="711"/>
      <c r="J91" s="714"/>
      <c r="K91" s="205"/>
      <c r="L91" s="226">
        <v>8</v>
      </c>
      <c r="M91" s="332" t="s">
        <v>351</v>
      </c>
      <c r="N91" s="239"/>
      <c r="O91" s="441"/>
      <c r="P91" s="359"/>
      <c r="Q91" s="228"/>
      <c r="R91" s="478"/>
      <c r="S91" s="509"/>
      <c r="T91" s="419"/>
      <c r="U91" s="406"/>
      <c r="V91" s="741"/>
      <c r="W91" s="461"/>
      <c r="X91" s="711"/>
    </row>
    <row r="92" spans="1:24" ht="15" customHeight="1" thickBot="1">
      <c r="B92" s="226">
        <v>8</v>
      </c>
      <c r="C92" s="207"/>
      <c r="D92" s="208"/>
      <c r="E92" s="356"/>
      <c r="F92" s="353"/>
      <c r="G92" s="209"/>
      <c r="H92" s="555"/>
      <c r="I92" s="712"/>
      <c r="J92" s="715"/>
      <c r="K92" s="210"/>
      <c r="L92" s="206">
        <v>8</v>
      </c>
      <c r="M92" s="331" t="s">
        <v>351</v>
      </c>
      <c r="N92" s="208"/>
      <c r="O92" s="442"/>
      <c r="P92" s="353"/>
      <c r="Q92" s="209"/>
      <c r="R92" s="475"/>
      <c r="S92" s="506"/>
      <c r="T92" s="417"/>
      <c r="U92" s="402"/>
      <c r="V92" s="742"/>
      <c r="W92" s="459"/>
      <c r="X92" s="712"/>
    </row>
    <row r="93" spans="1:24" ht="22.5" customHeight="1" thickBot="1">
      <c r="A93" s="4"/>
      <c r="B93" s="240"/>
      <c r="C93" s="76"/>
      <c r="D93" s="76"/>
      <c r="E93" s="76"/>
      <c r="F93" s="367"/>
      <c r="G93" s="76"/>
      <c r="H93" s="422"/>
      <c r="I93" s="338"/>
      <c r="J93" s="339"/>
      <c r="K93" s="76" t="s">
        <v>357</v>
      </c>
      <c r="L93" s="240"/>
      <c r="M93" s="76"/>
      <c r="N93" s="76"/>
      <c r="O93" s="443"/>
      <c r="P93" s="367"/>
      <c r="Q93" s="76"/>
      <c r="R93" s="481"/>
      <c r="S93" s="240"/>
      <c r="T93" s="422" t="str">
        <f t="shared" ref="T93:T146" si="14">IF(W93&gt;1,EOMONTH(W93,0),"")</f>
        <v/>
      </c>
      <c r="U93" s="387"/>
      <c r="V93" s="387"/>
      <c r="W93" s="427"/>
      <c r="X93" s="614"/>
    </row>
    <row r="94" spans="1:24" ht="15" customHeight="1">
      <c r="B94" s="215">
        <v>9</v>
      </c>
      <c r="C94" s="341" t="s">
        <v>358</v>
      </c>
      <c r="D94" s="231" t="s">
        <v>359</v>
      </c>
      <c r="E94" s="218"/>
      <c r="F94" s="336"/>
      <c r="G94" s="495">
        <f>D180</f>
        <v>62620</v>
      </c>
      <c r="H94" s="543">
        <f>'Project Plan'!G21+7</f>
        <v>45981</v>
      </c>
      <c r="I94" s="734">
        <f>SUM(G94:G106)</f>
        <v>196950</v>
      </c>
      <c r="J94" s="704">
        <f>F180+F181</f>
        <v>218834</v>
      </c>
      <c r="K94" s="192"/>
      <c r="L94" s="215">
        <v>9</v>
      </c>
      <c r="M94" s="322" t="s">
        <v>360</v>
      </c>
      <c r="N94" s="231"/>
      <c r="O94" s="433"/>
      <c r="P94" s="336"/>
      <c r="Q94" s="219"/>
      <c r="R94" s="476"/>
      <c r="S94" s="507"/>
      <c r="T94" s="418" t="str">
        <f t="shared" si="14"/>
        <v/>
      </c>
      <c r="U94" s="404">
        <f t="shared" ref="U94:U106" si="15">(Q94/$X$94*$J$94)</f>
        <v>0</v>
      </c>
      <c r="V94" s="716">
        <f>J94-SUM(U94:U106)</f>
        <v>0</v>
      </c>
      <c r="W94" s="460"/>
      <c r="X94" s="701">
        <f>SUM(Q94:Q106)</f>
        <v>311148.24999999994</v>
      </c>
    </row>
    <row r="95" spans="1:24" ht="15" customHeight="1">
      <c r="B95" s="215">
        <v>9</v>
      </c>
      <c r="C95" s="341"/>
      <c r="D95" s="232" t="s">
        <v>361</v>
      </c>
      <c r="E95" s="218"/>
      <c r="F95" s="357"/>
      <c r="G95" s="495">
        <f>D181</f>
        <v>134330</v>
      </c>
      <c r="H95" s="542">
        <f>'Project Plan'!G28+7</f>
        <v>45987</v>
      </c>
      <c r="I95" s="735"/>
      <c r="J95" s="705"/>
      <c r="K95" s="192"/>
      <c r="L95" s="215">
        <v>9</v>
      </c>
      <c r="M95" s="322" t="s">
        <v>360</v>
      </c>
      <c r="N95" s="232" t="s">
        <v>307</v>
      </c>
      <c r="O95" s="450">
        <f>Z31+Z30</f>
        <v>311148.25</v>
      </c>
      <c r="P95" s="451">
        <v>0.1</v>
      </c>
      <c r="Q95" s="219">
        <f>$O$95*P95</f>
        <v>31114.825000000001</v>
      </c>
      <c r="R95" s="748" t="s">
        <v>308</v>
      </c>
      <c r="S95" s="500" t="s">
        <v>309</v>
      </c>
      <c r="T95" s="636">
        <v>45961</v>
      </c>
      <c r="U95" s="638">
        <v>21883.400000000005</v>
      </c>
      <c r="V95" s="717"/>
      <c r="W95" s="643">
        <f>'Project Plan'!I19</f>
        <v>45967</v>
      </c>
      <c r="X95" s="702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35"/>
      <c r="J96" s="705"/>
      <c r="K96" s="192"/>
      <c r="L96" s="284">
        <v>9</v>
      </c>
      <c r="M96" s="394" t="s">
        <v>360</v>
      </c>
      <c r="N96" s="286" t="s">
        <v>147</v>
      </c>
      <c r="O96" s="434"/>
      <c r="P96" s="449">
        <v>0.15</v>
      </c>
      <c r="Q96" s="219">
        <f t="shared" ref="Q96:Q103" si="16">$O$95*P96</f>
        <v>46672.237499999996</v>
      </c>
      <c r="R96" s="749"/>
      <c r="S96" s="501" t="s">
        <v>311</v>
      </c>
      <c r="T96" s="551">
        <v>45991</v>
      </c>
      <c r="U96" s="638">
        <v>32825.100000000006</v>
      </c>
      <c r="V96" s="717"/>
      <c r="W96" s="649">
        <v>45989</v>
      </c>
      <c r="X96" s="70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5"/>
      <c r="J97" s="705"/>
      <c r="K97" s="192"/>
      <c r="L97" s="284">
        <v>9</v>
      </c>
      <c r="M97" s="394" t="s">
        <v>360</v>
      </c>
      <c r="N97" s="286" t="s">
        <v>313</v>
      </c>
      <c r="O97" s="434"/>
      <c r="P97" s="449">
        <v>0.2</v>
      </c>
      <c r="Q97" s="219">
        <f t="shared" si="16"/>
        <v>62229.65</v>
      </c>
      <c r="R97" s="749"/>
      <c r="S97" s="501" t="s">
        <v>314</v>
      </c>
      <c r="T97" s="551">
        <v>45991</v>
      </c>
      <c r="U97" s="638">
        <v>43766.80000000001</v>
      </c>
      <c r="V97" s="717"/>
      <c r="W97" s="649">
        <v>45989</v>
      </c>
      <c r="X97" s="70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5"/>
      <c r="J98" s="705"/>
      <c r="K98" s="192"/>
      <c r="L98" s="284">
        <v>9</v>
      </c>
      <c r="M98" s="394" t="s">
        <v>360</v>
      </c>
      <c r="N98" s="286" t="s">
        <v>315</v>
      </c>
      <c r="O98" s="434"/>
      <c r="P98" s="449">
        <v>0.2</v>
      </c>
      <c r="Q98" s="219">
        <f t="shared" si="16"/>
        <v>62229.65</v>
      </c>
      <c r="R98" s="749"/>
      <c r="S98" s="501" t="s">
        <v>314</v>
      </c>
      <c r="T98" s="551">
        <v>45991</v>
      </c>
      <c r="U98" s="638">
        <v>43766.80000000001</v>
      </c>
      <c r="V98" s="717"/>
      <c r="W98" s="649">
        <v>45989</v>
      </c>
      <c r="X98" s="702"/>
    </row>
    <row r="99" spans="1:24" ht="15" customHeight="1">
      <c r="B99" s="284"/>
      <c r="C99" s="393"/>
      <c r="D99" s="286"/>
      <c r="E99" s="307"/>
      <c r="F99" s="343"/>
      <c r="G99" s="287"/>
      <c r="H99" s="551"/>
      <c r="I99" s="735"/>
      <c r="J99" s="705"/>
      <c r="K99" s="192"/>
      <c r="L99" s="284">
        <v>9</v>
      </c>
      <c r="M99" s="394" t="s">
        <v>360</v>
      </c>
      <c r="N99" s="286" t="s">
        <v>315</v>
      </c>
      <c r="O99" s="434"/>
      <c r="P99" s="449">
        <v>0.05</v>
      </c>
      <c r="Q99" s="219">
        <f t="shared" ref="Q99" si="17">$O$95*P99</f>
        <v>15557.4125</v>
      </c>
      <c r="R99" s="749"/>
      <c r="S99" s="501" t="s">
        <v>317</v>
      </c>
      <c r="T99" s="551">
        <v>46053</v>
      </c>
      <c r="U99" s="638">
        <v>10941.700000000003</v>
      </c>
      <c r="V99" s="717"/>
      <c r="W99" s="649">
        <v>46053</v>
      </c>
      <c r="X99" s="702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5"/>
      <c r="J100" s="705"/>
      <c r="K100" s="192"/>
      <c r="L100" s="284">
        <v>9</v>
      </c>
      <c r="M100" s="394" t="s">
        <v>360</v>
      </c>
      <c r="N100" s="286" t="s">
        <v>318</v>
      </c>
      <c r="O100" s="434"/>
      <c r="P100" s="449">
        <v>0.1</v>
      </c>
      <c r="Q100" s="219">
        <f t="shared" si="16"/>
        <v>31114.825000000001</v>
      </c>
      <c r="R100" s="749"/>
      <c r="S100" s="501" t="s">
        <v>317</v>
      </c>
      <c r="T100" s="551">
        <v>46053</v>
      </c>
      <c r="U100" s="638">
        <v>21883.400000000005</v>
      </c>
      <c r="V100" s="717"/>
      <c r="W100" s="649">
        <f>W99+5</f>
        <v>46058</v>
      </c>
      <c r="X100" s="702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5"/>
      <c r="J101" s="705"/>
      <c r="K101" s="192"/>
      <c r="L101" s="284">
        <v>9</v>
      </c>
      <c r="M101" s="394" t="s">
        <v>360</v>
      </c>
      <c r="N101" s="286" t="s">
        <v>320</v>
      </c>
      <c r="O101" s="434"/>
      <c r="P101" s="449">
        <v>0.1</v>
      </c>
      <c r="Q101" s="219">
        <f t="shared" si="16"/>
        <v>31114.825000000001</v>
      </c>
      <c r="R101" s="749"/>
      <c r="S101" s="501" t="s">
        <v>317</v>
      </c>
      <c r="T101" s="551">
        <v>46053</v>
      </c>
      <c r="U101" s="638">
        <v>21883.400000000005</v>
      </c>
      <c r="V101" s="717"/>
      <c r="W101" s="649">
        <f>W100+8</f>
        <v>46066</v>
      </c>
      <c r="X101" s="702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5"/>
      <c r="J102" s="705"/>
      <c r="K102" s="192"/>
      <c r="L102" s="284">
        <v>9</v>
      </c>
      <c r="M102" s="394" t="s">
        <v>360</v>
      </c>
      <c r="N102" s="286" t="s">
        <v>321</v>
      </c>
      <c r="O102" s="434"/>
      <c r="P102" s="449">
        <v>0.05</v>
      </c>
      <c r="Q102" s="219">
        <f t="shared" si="16"/>
        <v>15557.4125</v>
      </c>
      <c r="R102" s="749"/>
      <c r="S102" s="501" t="s">
        <v>322</v>
      </c>
      <c r="T102" s="551">
        <v>46053</v>
      </c>
      <c r="U102" s="638">
        <v>10941.700000000003</v>
      </c>
      <c r="V102" s="717"/>
      <c r="W102" s="649">
        <f>W101</f>
        <v>46066</v>
      </c>
      <c r="X102" s="702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5"/>
      <c r="J103" s="705"/>
      <c r="K103" s="192"/>
      <c r="L103" s="284">
        <v>9</v>
      </c>
      <c r="M103" s="394" t="s">
        <v>360</v>
      </c>
      <c r="N103" s="286" t="s">
        <v>323</v>
      </c>
      <c r="O103" s="434"/>
      <c r="P103" s="449">
        <v>0.05</v>
      </c>
      <c r="Q103" s="219">
        <f t="shared" si="16"/>
        <v>15557.4125</v>
      </c>
      <c r="R103" s="750"/>
      <c r="S103" s="501" t="s">
        <v>322</v>
      </c>
      <c r="T103" s="551">
        <v>46053</v>
      </c>
      <c r="U103" s="638">
        <v>10941.700000000003</v>
      </c>
      <c r="V103" s="717"/>
      <c r="W103" s="454">
        <f>W102+30</f>
        <v>46096</v>
      </c>
      <c r="X103" s="702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5"/>
      <c r="J104" s="705"/>
      <c r="K104" s="192"/>
      <c r="L104" s="284">
        <v>9</v>
      </c>
      <c r="M104" s="394" t="s">
        <v>360</v>
      </c>
      <c r="N104" s="286"/>
      <c r="O104" s="434"/>
      <c r="P104" s="343"/>
      <c r="Q104" s="287"/>
      <c r="R104" s="470"/>
      <c r="S104" s="501"/>
      <c r="T104" s="412" t="str">
        <f t="shared" si="14"/>
        <v/>
      </c>
      <c r="U104" s="397">
        <f t="shared" si="15"/>
        <v>0</v>
      </c>
      <c r="V104" s="717"/>
      <c r="W104" s="454"/>
      <c r="X104" s="702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5"/>
      <c r="J105" s="705"/>
      <c r="K105" s="192"/>
      <c r="L105" s="284">
        <v>9</v>
      </c>
      <c r="M105" s="394" t="s">
        <v>360</v>
      </c>
      <c r="N105" s="286"/>
      <c r="O105" s="434"/>
      <c r="P105" s="343"/>
      <c r="Q105" s="287"/>
      <c r="R105" s="470"/>
      <c r="S105" s="501"/>
      <c r="T105" s="412"/>
      <c r="U105" s="397">
        <f t="shared" si="15"/>
        <v>0</v>
      </c>
      <c r="V105" s="717"/>
      <c r="W105" s="454"/>
      <c r="X105" s="702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6"/>
      <c r="J106" s="706"/>
      <c r="K106" s="267"/>
      <c r="L106" s="220">
        <v>9</v>
      </c>
      <c r="M106" s="340" t="s">
        <v>360</v>
      </c>
      <c r="N106" s="233"/>
      <c r="O106" s="435"/>
      <c r="P106" s="358"/>
      <c r="Q106" s="234"/>
      <c r="R106" s="471"/>
      <c r="S106" s="502"/>
      <c r="T106" s="413" t="str">
        <f t="shared" si="14"/>
        <v/>
      </c>
      <c r="U106" s="398">
        <f t="shared" si="15"/>
        <v>0</v>
      </c>
      <c r="V106" s="718"/>
      <c r="W106" s="455"/>
      <c r="X106" s="703"/>
    </row>
    <row r="107" spans="1:24" ht="14.4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4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362</v>
      </c>
      <c r="D108" s="174" t="s">
        <v>281</v>
      </c>
      <c r="E108" s="175"/>
      <c r="F108" s="368"/>
      <c r="G108" s="242">
        <f>D184</f>
        <v>8500</v>
      </c>
      <c r="H108" s="561">
        <f>H94</f>
        <v>45981</v>
      </c>
      <c r="I108" s="728">
        <f>SUM(G108:G123)</f>
        <v>56854.45</v>
      </c>
      <c r="J108" s="731">
        <f>F184+F187+F188+F186+F185</f>
        <v>63171</v>
      </c>
      <c r="K108" s="243"/>
      <c r="L108" s="173">
        <v>10</v>
      </c>
      <c r="M108" s="333" t="s">
        <v>363</v>
      </c>
      <c r="N108" s="174" t="s">
        <v>364</v>
      </c>
      <c r="O108" s="444"/>
      <c r="P108" s="368"/>
      <c r="Q108" s="242">
        <v>7150</v>
      </c>
      <c r="R108" s="482"/>
      <c r="S108" s="512" t="s">
        <v>365</v>
      </c>
      <c r="T108" s="632">
        <v>46022</v>
      </c>
      <c r="U108" s="657">
        <v>3700.52</v>
      </c>
      <c r="V108" s="737">
        <f>J108-SUM(U108:U123)</f>
        <v>1.5371602057712153E-3</v>
      </c>
      <c r="W108" s="656">
        <v>45995</v>
      </c>
      <c r="X108" s="728">
        <f>SUM(Q108:Q123)</f>
        <v>109850.75749999999</v>
      </c>
    </row>
    <row r="109" spans="1:24" ht="14.25" customHeight="1">
      <c r="B109" s="244">
        <v>10</v>
      </c>
      <c r="C109" s="245"/>
      <c r="D109" s="245" t="s">
        <v>282</v>
      </c>
      <c r="E109" s="246"/>
      <c r="F109" s="369"/>
      <c r="G109" s="247">
        <f>D188</f>
        <v>17326.669999999998</v>
      </c>
      <c r="H109" s="562">
        <f>H94</f>
        <v>45981</v>
      </c>
      <c r="I109" s="729"/>
      <c r="J109" s="732"/>
      <c r="K109" s="176"/>
      <c r="L109" s="244">
        <v>10</v>
      </c>
      <c r="M109" s="334" t="s">
        <v>363</v>
      </c>
      <c r="N109" s="245"/>
      <c r="O109" s="445"/>
      <c r="P109" s="369"/>
      <c r="Q109" s="247"/>
      <c r="R109" s="483"/>
      <c r="S109" s="513"/>
      <c r="T109" s="424" t="str">
        <f t="shared" si="14"/>
        <v/>
      </c>
      <c r="U109" s="523">
        <f t="shared" ref="U109:U122" si="18">(Q109/$X$108*$J$108)</f>
        <v>0</v>
      </c>
      <c r="V109" s="738"/>
      <c r="W109" s="465"/>
      <c r="X109" s="729"/>
    </row>
    <row r="110" spans="1:24" ht="14.25" customHeight="1">
      <c r="B110" s="244">
        <v>10</v>
      </c>
      <c r="C110" s="245"/>
      <c r="D110" s="245" t="s">
        <v>364</v>
      </c>
      <c r="E110" s="246"/>
      <c r="F110" s="369"/>
      <c r="G110" s="247">
        <f>D187</f>
        <v>30000</v>
      </c>
      <c r="H110" s="562">
        <f>H94</f>
        <v>45981</v>
      </c>
      <c r="I110" s="729"/>
      <c r="J110" s="732"/>
      <c r="K110" s="176"/>
      <c r="L110" s="244">
        <v>10</v>
      </c>
      <c r="M110" s="334" t="s">
        <v>363</v>
      </c>
      <c r="N110" s="245"/>
      <c r="O110" s="445"/>
      <c r="P110" s="369"/>
      <c r="Q110" s="247"/>
      <c r="R110" s="483"/>
      <c r="S110" s="513"/>
      <c r="T110" s="424" t="str">
        <f t="shared" si="14"/>
        <v/>
      </c>
      <c r="U110" s="409">
        <f t="shared" si="18"/>
        <v>0</v>
      </c>
      <c r="V110" s="738"/>
      <c r="W110" s="465"/>
      <c r="X110" s="729"/>
    </row>
    <row r="111" spans="1:24" ht="14.25" customHeight="1">
      <c r="B111" s="244">
        <v>10</v>
      </c>
      <c r="C111" s="245"/>
      <c r="D111" s="245" t="s">
        <v>283</v>
      </c>
      <c r="E111" s="246"/>
      <c r="F111" s="369"/>
      <c r="G111" s="247">
        <f>D186</f>
        <v>1027.78</v>
      </c>
      <c r="H111" s="562">
        <f>H94</f>
        <v>45981</v>
      </c>
      <c r="I111" s="729"/>
      <c r="J111" s="732"/>
      <c r="K111" s="176"/>
      <c r="L111" s="244">
        <v>10</v>
      </c>
      <c r="M111" s="334" t="s">
        <v>363</v>
      </c>
      <c r="N111" s="245"/>
      <c r="O111" s="445"/>
      <c r="P111" s="369"/>
      <c r="Q111" s="247"/>
      <c r="R111" s="483"/>
      <c r="S111" s="513"/>
      <c r="T111" s="424" t="str">
        <f t="shared" si="14"/>
        <v/>
      </c>
      <c r="U111" s="409">
        <f t="shared" si="18"/>
        <v>0</v>
      </c>
      <c r="V111" s="738"/>
      <c r="W111" s="465"/>
      <c r="X111" s="72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9"/>
      <c r="J112" s="732"/>
      <c r="K112" s="176"/>
      <c r="L112" s="244">
        <v>10</v>
      </c>
      <c r="M112" s="334" t="s">
        <v>363</v>
      </c>
      <c r="N112" s="245" t="s">
        <v>307</v>
      </c>
      <c r="O112" s="494">
        <f>SUM(Z32:Z39)</f>
        <v>102700.75</v>
      </c>
      <c r="P112" s="452">
        <v>0.1</v>
      </c>
      <c r="Q112" s="247">
        <f>$O$112*P112</f>
        <v>10270.075000000001</v>
      </c>
      <c r="R112" s="745" t="s">
        <v>308</v>
      </c>
      <c r="S112" s="514" t="s">
        <v>309</v>
      </c>
      <c r="T112" s="637">
        <v>45961</v>
      </c>
      <c r="U112" s="641">
        <v>6317.1</v>
      </c>
      <c r="V112" s="738"/>
      <c r="W112" s="642">
        <f t="shared" ref="W112:W120" si="19">W95</f>
        <v>45967</v>
      </c>
      <c r="X112" s="72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9"/>
      <c r="J113" s="732"/>
      <c r="K113" s="176"/>
      <c r="L113" s="244">
        <v>10</v>
      </c>
      <c r="M113" s="334" t="s">
        <v>363</v>
      </c>
      <c r="N113" s="245" t="s">
        <v>147</v>
      </c>
      <c r="O113" s="445"/>
      <c r="P113" s="452">
        <v>0.15</v>
      </c>
      <c r="Q113" s="247">
        <f t="shared" ref="Q113:Q115" si="20">$O$112*P113</f>
        <v>15405.112499999999</v>
      </c>
      <c r="R113" s="746"/>
      <c r="S113" s="519" t="s">
        <v>311</v>
      </c>
      <c r="T113" s="563">
        <v>45991</v>
      </c>
      <c r="U113" s="641">
        <v>8858.8959268598519</v>
      </c>
      <c r="V113" s="738"/>
      <c r="W113" s="642">
        <f t="shared" si="19"/>
        <v>45989</v>
      </c>
      <c r="X113" s="72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9"/>
      <c r="J114" s="732"/>
      <c r="K114" s="176"/>
      <c r="L114" s="244">
        <v>10</v>
      </c>
      <c r="M114" s="334" t="s">
        <v>363</v>
      </c>
      <c r="N114" s="245" t="s">
        <v>313</v>
      </c>
      <c r="O114" s="445"/>
      <c r="P114" s="452">
        <v>0.2</v>
      </c>
      <c r="Q114" s="247">
        <f t="shared" si="20"/>
        <v>20540.150000000001</v>
      </c>
      <c r="R114" s="746"/>
      <c r="S114" s="514" t="s">
        <v>314</v>
      </c>
      <c r="T114" s="563">
        <f t="shared" ref="T114:T120" si="21">T97</f>
        <v>45991</v>
      </c>
      <c r="U114" s="641">
        <v>11811.861235813136</v>
      </c>
      <c r="V114" s="738"/>
      <c r="W114" s="642">
        <f t="shared" si="19"/>
        <v>45989</v>
      </c>
      <c r="X114" s="72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9"/>
      <c r="J115" s="732"/>
      <c r="K115" s="176"/>
      <c r="L115" s="244">
        <v>10</v>
      </c>
      <c r="M115" s="334" t="s">
        <v>363</v>
      </c>
      <c r="N115" s="245" t="s">
        <v>315</v>
      </c>
      <c r="O115" s="445"/>
      <c r="P115" s="452">
        <v>0.2</v>
      </c>
      <c r="Q115" s="247">
        <f t="shared" si="20"/>
        <v>20540.150000000001</v>
      </c>
      <c r="R115" s="746"/>
      <c r="S115" s="514" t="s">
        <v>314</v>
      </c>
      <c r="T115" s="563">
        <f t="shared" si="21"/>
        <v>45991</v>
      </c>
      <c r="U115" s="641">
        <v>11811.861235813136</v>
      </c>
      <c r="V115" s="738"/>
      <c r="W115" s="642">
        <f t="shared" si="19"/>
        <v>45989</v>
      </c>
      <c r="X115" s="729"/>
    </row>
    <row r="116" spans="1:24" ht="14.25" customHeight="1">
      <c r="B116" s="244"/>
      <c r="C116" s="245"/>
      <c r="D116" s="245"/>
      <c r="E116" s="246"/>
      <c r="F116" s="369"/>
      <c r="G116" s="247"/>
      <c r="H116" s="563"/>
      <c r="I116" s="729"/>
      <c r="J116" s="732"/>
      <c r="K116" s="176"/>
      <c r="L116" s="244">
        <v>10</v>
      </c>
      <c r="M116" s="334" t="s">
        <v>363</v>
      </c>
      <c r="N116" s="245" t="s">
        <v>315</v>
      </c>
      <c r="O116" s="445"/>
      <c r="P116" s="452">
        <v>0.05</v>
      </c>
      <c r="Q116" s="247">
        <v>5135.04</v>
      </c>
      <c r="R116" s="746"/>
      <c r="S116" s="514" t="s">
        <v>317</v>
      </c>
      <c r="T116" s="563">
        <f t="shared" si="21"/>
        <v>46053</v>
      </c>
      <c r="U116" s="641">
        <v>2952.9665449962872</v>
      </c>
      <c r="V116" s="738"/>
      <c r="W116" s="642">
        <f t="shared" si="19"/>
        <v>46053</v>
      </c>
      <c r="X116" s="729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9"/>
      <c r="J117" s="732"/>
      <c r="K117" s="176"/>
      <c r="L117" s="244">
        <v>10</v>
      </c>
      <c r="M117" s="334" t="s">
        <v>363</v>
      </c>
      <c r="N117" s="245" t="s">
        <v>318</v>
      </c>
      <c r="O117" s="445"/>
      <c r="P117" s="452">
        <v>0.1</v>
      </c>
      <c r="Q117" s="247">
        <v>10270.08</v>
      </c>
      <c r="R117" s="746"/>
      <c r="S117" s="514" t="s">
        <v>317</v>
      </c>
      <c r="T117" s="563">
        <f t="shared" si="21"/>
        <v>46053</v>
      </c>
      <c r="U117" s="641">
        <v>5905.9330899925744</v>
      </c>
      <c r="V117" s="738"/>
      <c r="W117" s="642">
        <f t="shared" si="19"/>
        <v>46058</v>
      </c>
      <c r="X117" s="729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9"/>
      <c r="J118" s="732"/>
      <c r="K118" s="176"/>
      <c r="L118" s="244">
        <v>10</v>
      </c>
      <c r="M118" s="334" t="s">
        <v>363</v>
      </c>
      <c r="N118" s="245" t="s">
        <v>320</v>
      </c>
      <c r="O118" s="445"/>
      <c r="P118" s="452">
        <v>0.1</v>
      </c>
      <c r="Q118" s="247">
        <v>10270.08</v>
      </c>
      <c r="R118" s="746"/>
      <c r="S118" s="514" t="s">
        <v>317</v>
      </c>
      <c r="T118" s="563">
        <f t="shared" si="21"/>
        <v>46053</v>
      </c>
      <c r="U118" s="641">
        <v>5905.9330899925744</v>
      </c>
      <c r="V118" s="738"/>
      <c r="W118" s="642">
        <f t="shared" si="19"/>
        <v>46066</v>
      </c>
      <c r="X118" s="729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9"/>
      <c r="J119" s="732"/>
      <c r="K119" s="176"/>
      <c r="L119" s="244">
        <v>10</v>
      </c>
      <c r="M119" s="334" t="s">
        <v>363</v>
      </c>
      <c r="N119" s="245" t="s">
        <v>321</v>
      </c>
      <c r="O119" s="445"/>
      <c r="P119" s="452">
        <v>0.05</v>
      </c>
      <c r="Q119" s="247">
        <v>5135.04</v>
      </c>
      <c r="R119" s="746"/>
      <c r="S119" s="514" t="s">
        <v>322</v>
      </c>
      <c r="T119" s="563">
        <f t="shared" si="21"/>
        <v>46053</v>
      </c>
      <c r="U119" s="641">
        <v>2952.9665449962872</v>
      </c>
      <c r="V119" s="738"/>
      <c r="W119" s="642">
        <f t="shared" si="19"/>
        <v>46066</v>
      </c>
      <c r="X119" s="729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29"/>
      <c r="J120" s="732"/>
      <c r="K120" s="176"/>
      <c r="L120" s="244">
        <v>10</v>
      </c>
      <c r="M120" s="334" t="s">
        <v>363</v>
      </c>
      <c r="N120" s="245" t="s">
        <v>323</v>
      </c>
      <c r="O120" s="445"/>
      <c r="P120" s="452">
        <v>0.05</v>
      </c>
      <c r="Q120" s="247">
        <v>5135.04</v>
      </c>
      <c r="R120" s="747"/>
      <c r="S120" s="514" t="s">
        <v>322</v>
      </c>
      <c r="T120" s="563">
        <f t="shared" si="21"/>
        <v>46053</v>
      </c>
      <c r="U120" s="641">
        <v>2952.9665449962872</v>
      </c>
      <c r="V120" s="738"/>
      <c r="W120" s="466">
        <f t="shared" si="19"/>
        <v>46096</v>
      </c>
      <c r="X120" s="729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29"/>
      <c r="J121" s="732"/>
      <c r="K121" s="176"/>
      <c r="L121" s="244">
        <v>10</v>
      </c>
      <c r="M121" s="334" t="s">
        <v>363</v>
      </c>
      <c r="N121" s="245" t="s">
        <v>366</v>
      </c>
      <c r="O121" s="445"/>
      <c r="P121" s="369"/>
      <c r="Q121" s="247">
        <v>-0.01</v>
      </c>
      <c r="R121" s="484"/>
      <c r="S121" s="514" t="s">
        <v>322</v>
      </c>
      <c r="T121" s="563">
        <f>T103</f>
        <v>46053</v>
      </c>
      <c r="U121" s="641">
        <v>-5.7506203359589947E-3</v>
      </c>
      <c r="V121" s="738"/>
      <c r="W121" s="466">
        <f>W103</f>
        <v>46096</v>
      </c>
      <c r="X121" s="729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3"/>
      <c r="I122" s="729"/>
      <c r="J122" s="732"/>
      <c r="K122" s="176"/>
      <c r="L122" s="244">
        <v>10</v>
      </c>
      <c r="M122" s="334" t="s">
        <v>363</v>
      </c>
      <c r="N122" s="245"/>
      <c r="O122" s="445"/>
      <c r="P122" s="369"/>
      <c r="Q122" s="247"/>
      <c r="R122" s="484"/>
      <c r="S122" s="514"/>
      <c r="T122" s="425" t="str">
        <f t="shared" si="14"/>
        <v/>
      </c>
      <c r="U122" s="409">
        <f t="shared" si="18"/>
        <v>0</v>
      </c>
      <c r="V122" s="738"/>
      <c r="W122" s="466"/>
      <c r="X122" s="729"/>
    </row>
    <row r="123" spans="1:24" ht="15" customHeight="1" thickBot="1">
      <c r="B123" s="177">
        <v>10</v>
      </c>
      <c r="C123" s="248"/>
      <c r="D123" s="248"/>
      <c r="E123" s="249"/>
      <c r="F123" s="370"/>
      <c r="G123" s="178"/>
      <c r="H123" s="564"/>
      <c r="I123" s="730"/>
      <c r="J123" s="733"/>
      <c r="K123" s="179"/>
      <c r="L123" s="177">
        <v>10</v>
      </c>
      <c r="M123" s="335" t="s">
        <v>363</v>
      </c>
      <c r="N123" s="248"/>
      <c r="O123" s="446"/>
      <c r="P123" s="370"/>
      <c r="Q123" s="178"/>
      <c r="R123" s="485"/>
      <c r="S123" s="515"/>
      <c r="T123" s="426" t="str">
        <f t="shared" si="14"/>
        <v/>
      </c>
      <c r="U123" s="410"/>
      <c r="V123" s="739"/>
      <c r="W123" s="467"/>
      <c r="X123" s="730"/>
    </row>
    <row r="124" spans="1:24" ht="14.4" thickBot="1">
      <c r="A124" s="4"/>
      <c r="B124" s="180"/>
      <c r="C124" s="181"/>
      <c r="D124" s="181"/>
      <c r="E124" s="195"/>
      <c r="F124" s="354"/>
      <c r="G124" s="183"/>
      <c r="H124" s="556"/>
      <c r="I124" s="547"/>
      <c r="J124" s="303"/>
      <c r="K124" s="4"/>
      <c r="L124" s="180"/>
      <c r="M124" s="181"/>
      <c r="N124" s="181"/>
      <c r="O124" s="436"/>
      <c r="P124" s="354"/>
      <c r="Q124" s="535"/>
      <c r="R124" s="477"/>
      <c r="S124" s="508"/>
      <c r="T124" s="414" t="str">
        <f t="shared" si="14"/>
        <v/>
      </c>
      <c r="U124" s="399"/>
      <c r="V124" s="386"/>
      <c r="W124" s="456"/>
      <c r="X124" s="547"/>
    </row>
    <row r="125" spans="1:24" ht="14.25" customHeight="1">
      <c r="B125" s="185">
        <v>11</v>
      </c>
      <c r="C125" s="186" t="s">
        <v>367</v>
      </c>
      <c r="D125" s="255" t="s">
        <v>368</v>
      </c>
      <c r="E125" s="187"/>
      <c r="F125" s="336"/>
      <c r="G125" s="188">
        <v>11000</v>
      </c>
      <c r="H125" s="543">
        <f>'Project Plan'!G39</f>
        <v>45989</v>
      </c>
      <c r="I125" s="701">
        <f>SUM(G125:G129)</f>
        <v>89000</v>
      </c>
      <c r="J125" s="704">
        <f>F183</f>
        <v>98889</v>
      </c>
      <c r="K125" s="189"/>
      <c r="L125" s="185">
        <v>11</v>
      </c>
      <c r="M125" s="255" t="s">
        <v>369</v>
      </c>
      <c r="N125" s="255" t="s">
        <v>368</v>
      </c>
      <c r="O125" s="187"/>
      <c r="P125" s="336"/>
      <c r="Q125" s="188">
        <v>15375</v>
      </c>
      <c r="R125" s="536"/>
      <c r="S125" s="507" t="s">
        <v>370</v>
      </c>
      <c r="T125" s="543">
        <v>46053</v>
      </c>
      <c r="U125" s="638">
        <v>71130.68421052632</v>
      </c>
      <c r="V125" s="716">
        <f>J125-SUM(U125:U129)</f>
        <v>0</v>
      </c>
      <c r="W125" s="660">
        <v>46058</v>
      </c>
      <c r="X125" s="701">
        <f>SUM(Q125:Q129)</f>
        <v>21375</v>
      </c>
    </row>
    <row r="126" spans="1:24" ht="15" customHeight="1">
      <c r="B126" s="215">
        <v>11</v>
      </c>
      <c r="C126" s="217"/>
      <c r="D126" s="217" t="s">
        <v>371</v>
      </c>
      <c r="E126" s="218"/>
      <c r="F126" s="357"/>
      <c r="G126" s="219">
        <v>18000</v>
      </c>
      <c r="H126" s="543">
        <f>H125</f>
        <v>45989</v>
      </c>
      <c r="I126" s="702"/>
      <c r="J126" s="705"/>
      <c r="K126" s="192"/>
      <c r="L126" s="215">
        <v>11</v>
      </c>
      <c r="M126" s="290" t="s">
        <v>369</v>
      </c>
      <c r="N126" s="217" t="s">
        <v>372</v>
      </c>
      <c r="O126" s="218"/>
      <c r="P126" s="357"/>
      <c r="Q126" s="219">
        <v>0</v>
      </c>
      <c r="R126" s="517"/>
      <c r="S126" s="500"/>
      <c r="T126" s="411"/>
      <c r="U126" s="638">
        <v>0</v>
      </c>
      <c r="V126" s="717"/>
      <c r="W126" s="453"/>
      <c r="X126" s="702"/>
    </row>
    <row r="127" spans="1:24" ht="15" customHeight="1">
      <c r="B127" s="215">
        <v>11</v>
      </c>
      <c r="C127" s="217"/>
      <c r="D127" s="217" t="s">
        <v>373</v>
      </c>
      <c r="E127" s="218"/>
      <c r="F127" s="357"/>
      <c r="G127" s="219">
        <v>60000</v>
      </c>
      <c r="H127" s="543">
        <f>H125</f>
        <v>45989</v>
      </c>
      <c r="I127" s="702"/>
      <c r="J127" s="705"/>
      <c r="K127" s="192"/>
      <c r="L127" s="215">
        <v>11</v>
      </c>
      <c r="M127" s="290" t="s">
        <v>369</v>
      </c>
      <c r="N127" s="217" t="s">
        <v>373</v>
      </c>
      <c r="O127" s="218"/>
      <c r="P127" s="357"/>
      <c r="Q127" s="219">
        <v>0</v>
      </c>
      <c r="R127" s="469"/>
      <c r="S127" s="500"/>
      <c r="T127" s="411"/>
      <c r="U127" s="638">
        <v>0</v>
      </c>
      <c r="V127" s="717"/>
      <c r="W127" s="453"/>
      <c r="X127" s="702"/>
    </row>
    <row r="128" spans="1:24" ht="15" customHeight="1">
      <c r="B128" s="215">
        <v>11</v>
      </c>
      <c r="C128" s="288"/>
      <c r="D128" s="288"/>
      <c r="E128" s="307"/>
      <c r="F128" s="343"/>
      <c r="G128" s="287"/>
      <c r="H128" s="551"/>
      <c r="I128" s="702"/>
      <c r="J128" s="705"/>
      <c r="K128" s="192"/>
      <c r="L128" s="215">
        <v>11</v>
      </c>
      <c r="M128" s="290" t="s">
        <v>369</v>
      </c>
      <c r="N128" s="288" t="s">
        <v>374</v>
      </c>
      <c r="O128" s="434"/>
      <c r="P128" s="343"/>
      <c r="Q128" s="287">
        <v>6000</v>
      </c>
      <c r="R128" s="470"/>
      <c r="S128" s="501" t="s">
        <v>375</v>
      </c>
      <c r="T128" s="542">
        <v>46053</v>
      </c>
      <c r="U128" s="638">
        <v>27758.315789473683</v>
      </c>
      <c r="V128" s="717"/>
      <c r="W128" s="454">
        <v>46108</v>
      </c>
      <c r="X128" s="702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03"/>
      <c r="J129" s="706"/>
      <c r="K129" s="193"/>
      <c r="L129" s="220">
        <v>11</v>
      </c>
      <c r="M129" s="318" t="s">
        <v>369</v>
      </c>
      <c r="N129" s="221"/>
      <c r="O129" s="222"/>
      <c r="P129" s="358"/>
      <c r="Q129" s="234"/>
      <c r="R129" s="471"/>
      <c r="S129" s="502"/>
      <c r="T129" s="413" t="str">
        <f t="shared" si="14"/>
        <v/>
      </c>
      <c r="U129" s="398">
        <f>(Q129/$X$125*$J$125)</f>
        <v>0</v>
      </c>
      <c r="V129" s="718"/>
      <c r="W129" s="455"/>
      <c r="X129" s="703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2"/>
      <c r="S130" s="503"/>
      <c r="T130" s="414" t="str">
        <f t="shared" si="14"/>
        <v/>
      </c>
      <c r="U130" s="403"/>
      <c r="V130" s="385"/>
      <c r="W130" s="456"/>
      <c r="X130" s="547"/>
    </row>
    <row r="131" spans="1:24">
      <c r="B131" s="173">
        <v>12</v>
      </c>
      <c r="C131" s="174" t="s">
        <v>376</v>
      </c>
      <c r="D131" s="174" t="s">
        <v>377</v>
      </c>
      <c r="E131" s="175"/>
      <c r="F131" s="368"/>
      <c r="G131" s="242"/>
      <c r="H131" s="561"/>
      <c r="I131" s="728">
        <f>SUM(G131:G132)</f>
        <v>0</v>
      </c>
      <c r="J131" s="731">
        <v>0</v>
      </c>
      <c r="K131" s="743"/>
      <c r="L131" s="173">
        <v>12</v>
      </c>
      <c r="M131" s="174" t="s">
        <v>378</v>
      </c>
      <c r="N131" s="174"/>
      <c r="O131" s="444"/>
      <c r="P131" s="368"/>
      <c r="Q131" s="242"/>
      <c r="R131" s="482"/>
      <c r="S131" s="512"/>
      <c r="T131" s="423"/>
      <c r="U131" s="408"/>
      <c r="V131" s="384"/>
      <c r="W131" s="464"/>
      <c r="X131" s="728">
        <f>SUM(Q131:Q132)</f>
        <v>0</v>
      </c>
    </row>
    <row r="132" spans="1:24" ht="15" customHeight="1" thickBot="1">
      <c r="B132" s="177">
        <v>12</v>
      </c>
      <c r="C132" s="248" t="s">
        <v>376</v>
      </c>
      <c r="D132" s="248"/>
      <c r="E132" s="249"/>
      <c r="F132" s="370"/>
      <c r="G132" s="178"/>
      <c r="H132" s="564"/>
      <c r="I132" s="730"/>
      <c r="J132" s="733"/>
      <c r="K132" s="744"/>
      <c r="L132" s="177">
        <v>12</v>
      </c>
      <c r="M132" s="248" t="s">
        <v>378</v>
      </c>
      <c r="N132" s="248"/>
      <c r="O132" s="446"/>
      <c r="P132" s="370"/>
      <c r="Q132" s="178"/>
      <c r="R132" s="485"/>
      <c r="S132" s="515"/>
      <c r="T132" s="426" t="str">
        <f t="shared" si="14"/>
        <v/>
      </c>
      <c r="U132" s="410"/>
      <c r="V132" s="383"/>
      <c r="W132" s="467"/>
      <c r="X132" s="730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2"/>
      <c r="S133" s="503"/>
      <c r="T133" s="414" t="str">
        <f t="shared" si="14"/>
        <v/>
      </c>
      <c r="U133" s="403"/>
      <c r="V133" s="385"/>
      <c r="W133" s="456"/>
      <c r="X133" s="548"/>
    </row>
    <row r="134" spans="1:24" ht="15.75" customHeight="1">
      <c r="B134" s="185">
        <v>13</v>
      </c>
      <c r="C134" s="186" t="s">
        <v>379</v>
      </c>
      <c r="D134" s="255" t="s">
        <v>380</v>
      </c>
      <c r="E134" s="187"/>
      <c r="F134" s="336"/>
      <c r="G134" s="188">
        <f>D182</f>
        <v>20963.650000000001</v>
      </c>
      <c r="H134" s="543">
        <f>'Project Plan'!G48</f>
        <v>46000</v>
      </c>
      <c r="I134" s="701">
        <f>SUM(G134:G138)</f>
        <v>20963.650000000001</v>
      </c>
      <c r="J134" s="704">
        <f>F182</f>
        <v>23822</v>
      </c>
      <c r="K134" s="189"/>
      <c r="L134" s="185">
        <v>13</v>
      </c>
      <c r="M134" s="255" t="s">
        <v>381</v>
      </c>
      <c r="N134" s="255" t="s">
        <v>382</v>
      </c>
      <c r="O134" s="432"/>
      <c r="P134" s="336"/>
      <c r="Q134" s="188">
        <f>'Project Plan'!$E$6*1.25%</f>
        <v>25967.953500000003</v>
      </c>
      <c r="R134" s="476"/>
      <c r="S134" s="507" t="s">
        <v>383</v>
      </c>
      <c r="T134" s="543">
        <v>46053</v>
      </c>
      <c r="U134" s="662">
        <v>23822</v>
      </c>
      <c r="V134" s="716">
        <f>J134-SUM(U134:U139)</f>
        <v>0</v>
      </c>
      <c r="W134" s="460">
        <v>46080</v>
      </c>
      <c r="X134" s="701">
        <f>SUM(Q134:Q139)</f>
        <v>25967.953500000003</v>
      </c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2"/>
      <c r="I135" s="702"/>
      <c r="J135" s="705"/>
      <c r="K135" s="192"/>
      <c r="L135" s="215">
        <v>13</v>
      </c>
      <c r="M135" s="290" t="s">
        <v>381</v>
      </c>
      <c r="N135" s="217"/>
      <c r="O135" s="433"/>
      <c r="P135" s="357"/>
      <c r="Q135" s="219"/>
      <c r="R135" s="469"/>
      <c r="S135" s="500"/>
      <c r="T135" s="411"/>
      <c r="U135" s="640">
        <v>0</v>
      </c>
      <c r="V135" s="717"/>
      <c r="W135" s="453"/>
      <c r="X135" s="702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2"/>
      <c r="I136" s="702"/>
      <c r="J136" s="705"/>
      <c r="K136" s="192"/>
      <c r="L136" s="215">
        <v>13</v>
      </c>
      <c r="M136" s="290" t="s">
        <v>381</v>
      </c>
      <c r="N136" s="217"/>
      <c r="O136" s="433"/>
      <c r="P136" s="357"/>
      <c r="Q136" s="219"/>
      <c r="R136" s="469"/>
      <c r="S136" s="500"/>
      <c r="T136" s="411"/>
      <c r="U136" s="640">
        <v>0</v>
      </c>
      <c r="V136" s="717"/>
      <c r="W136" s="453"/>
      <c r="X136" s="702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2"/>
      <c r="I137" s="702"/>
      <c r="J137" s="705"/>
      <c r="K137" s="192"/>
      <c r="L137" s="215">
        <v>13</v>
      </c>
      <c r="M137" s="290" t="s">
        <v>381</v>
      </c>
      <c r="N137" s="217"/>
      <c r="O137" s="433"/>
      <c r="P137" s="357"/>
      <c r="Q137" s="219"/>
      <c r="R137" s="469"/>
      <c r="S137" s="500"/>
      <c r="T137" s="411"/>
      <c r="U137" s="640">
        <v>0</v>
      </c>
      <c r="V137" s="717"/>
      <c r="W137" s="453"/>
      <c r="X137" s="702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2"/>
      <c r="I138" s="702"/>
      <c r="J138" s="705"/>
      <c r="K138" s="192"/>
      <c r="L138" s="215">
        <v>13</v>
      </c>
      <c r="M138" s="290" t="s">
        <v>381</v>
      </c>
      <c r="N138" s="217"/>
      <c r="O138" s="433"/>
      <c r="P138" s="357"/>
      <c r="Q138" s="219"/>
      <c r="R138" s="469"/>
      <c r="S138" s="500"/>
      <c r="T138" s="411"/>
      <c r="U138" s="640">
        <v>0</v>
      </c>
      <c r="V138" s="717"/>
      <c r="W138" s="453"/>
      <c r="X138" s="702"/>
    </row>
    <row r="139" spans="1:24" ht="15.75" customHeight="1">
      <c r="B139" s="220">
        <v>13</v>
      </c>
      <c r="C139" s="221"/>
      <c r="D139" s="221"/>
      <c r="E139" s="222"/>
      <c r="F139" s="358"/>
      <c r="G139" s="234"/>
      <c r="H139" s="552"/>
      <c r="I139" s="703"/>
      <c r="J139" s="706"/>
      <c r="K139" s="267"/>
      <c r="L139" s="220">
        <v>13</v>
      </c>
      <c r="M139" s="318" t="s">
        <v>381</v>
      </c>
      <c r="N139" s="221"/>
      <c r="O139" s="435"/>
      <c r="P139" s="358"/>
      <c r="Q139" s="234"/>
      <c r="R139" s="471"/>
      <c r="S139" s="502"/>
      <c r="T139" s="413"/>
      <c r="U139" s="663">
        <v>0</v>
      </c>
      <c r="V139" s="718"/>
      <c r="W139" s="455"/>
      <c r="X139" s="703"/>
    </row>
    <row r="140" spans="1:24" ht="14.4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2"/>
      <c r="S140" s="503"/>
      <c r="T140" s="414" t="str">
        <f t="shared" si="14"/>
        <v/>
      </c>
      <c r="U140" s="403"/>
      <c r="V140" s="385"/>
      <c r="W140" s="456"/>
      <c r="X140" s="548"/>
    </row>
    <row r="141" spans="1:24" ht="14.25" customHeight="1">
      <c r="B141" s="173">
        <v>14</v>
      </c>
      <c r="C141" s="174" t="s">
        <v>384</v>
      </c>
      <c r="D141" s="174" t="s">
        <v>385</v>
      </c>
      <c r="E141" s="175"/>
      <c r="F141" s="368"/>
      <c r="G141" s="242">
        <f>D193</f>
        <v>4375</v>
      </c>
      <c r="H141" s="561">
        <f>'Project Plan'!G48</f>
        <v>46000</v>
      </c>
      <c r="I141" s="728">
        <f>SUM(G141:G152)</f>
        <v>4375</v>
      </c>
      <c r="J141" s="731">
        <f>F193</f>
        <v>4861</v>
      </c>
      <c r="K141" s="243"/>
      <c r="L141" s="173">
        <v>14</v>
      </c>
      <c r="M141" s="333" t="s">
        <v>386</v>
      </c>
      <c r="N141" s="174" t="s">
        <v>387</v>
      </c>
      <c r="O141" s="444"/>
      <c r="P141" s="528"/>
      <c r="Q141" s="533">
        <v>0</v>
      </c>
      <c r="R141" s="530"/>
      <c r="S141" s="518"/>
      <c r="T141" s="632">
        <v>45961</v>
      </c>
      <c r="U141" s="408">
        <v>0</v>
      </c>
      <c r="V141" s="737">
        <f>J141-SUM(U141:U152)</f>
        <v>4.8833898808879894E-3</v>
      </c>
      <c r="W141" s="633">
        <v>45961</v>
      </c>
      <c r="X141" s="728">
        <f>SUM(Q141:Q152)</f>
        <v>3887.33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9"/>
      <c r="J142" s="732"/>
      <c r="K142" s="176"/>
      <c r="L142" s="244">
        <v>14</v>
      </c>
      <c r="M142" s="334" t="s">
        <v>386</v>
      </c>
      <c r="N142" s="245" t="s">
        <v>387</v>
      </c>
      <c r="O142" s="445"/>
      <c r="P142" s="529"/>
      <c r="Q142" s="532">
        <v>1951.6</v>
      </c>
      <c r="R142" s="531"/>
      <c r="S142" s="518" t="s">
        <v>388</v>
      </c>
      <c r="T142" s="637">
        <v>45991</v>
      </c>
      <c r="U142" s="641">
        <v>2291.9783527820055</v>
      </c>
      <c r="V142" s="738"/>
      <c r="W142" s="633">
        <v>45996</v>
      </c>
      <c r="X142" s="72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9"/>
      <c r="J143" s="732"/>
      <c r="K143" s="176"/>
      <c r="L143" s="244">
        <v>14</v>
      </c>
      <c r="M143" s="334" t="s">
        <v>386</v>
      </c>
      <c r="N143" s="245" t="s">
        <v>387</v>
      </c>
      <c r="O143" s="445"/>
      <c r="P143" s="369"/>
      <c r="Q143" s="247">
        <v>1799.28</v>
      </c>
      <c r="R143" s="484"/>
      <c r="S143" s="518" t="s">
        <v>388</v>
      </c>
      <c r="T143" s="637">
        <v>46022</v>
      </c>
      <c r="U143" s="641">
        <v>1471.5797653484374</v>
      </c>
      <c r="V143" s="738"/>
      <c r="W143" s="633">
        <v>46030</v>
      </c>
      <c r="X143" s="72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9"/>
      <c r="J144" s="732"/>
      <c r="K144" s="176"/>
      <c r="L144" s="244">
        <v>14</v>
      </c>
      <c r="M144" s="334" t="s">
        <v>386</v>
      </c>
      <c r="N144" s="245" t="s">
        <v>387</v>
      </c>
      <c r="O144" s="445"/>
      <c r="P144" s="369"/>
      <c r="Q144" s="247">
        <v>136.44999999999999</v>
      </c>
      <c r="R144" s="484"/>
      <c r="S144" s="518" t="s">
        <v>388</v>
      </c>
      <c r="T144" s="637">
        <v>46053</v>
      </c>
      <c r="U144" s="641">
        <v>1097.4369984796763</v>
      </c>
      <c r="V144" s="738"/>
      <c r="W144" s="633">
        <v>46058</v>
      </c>
      <c r="X144" s="729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9"/>
      <c r="J145" s="732"/>
      <c r="K145" s="176"/>
      <c r="L145" s="244">
        <v>14</v>
      </c>
      <c r="M145" s="334" t="s">
        <v>386</v>
      </c>
      <c r="N145" s="245" t="s">
        <v>387</v>
      </c>
      <c r="O145" s="445"/>
      <c r="P145" s="369"/>
      <c r="Q145" s="247"/>
      <c r="R145" s="484"/>
      <c r="S145" s="512"/>
      <c r="T145" s="425" t="str">
        <f t="shared" si="14"/>
        <v/>
      </c>
      <c r="U145" s="409">
        <f t="shared" ref="U145:U152" si="22">(Q145/$X$141*$J$141)</f>
        <v>0</v>
      </c>
      <c r="V145" s="738"/>
      <c r="W145" s="466"/>
      <c r="X145" s="729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9"/>
      <c r="J146" s="732"/>
      <c r="K146" s="176"/>
      <c r="L146" s="244">
        <v>14</v>
      </c>
      <c r="M146" s="334" t="s">
        <v>386</v>
      </c>
      <c r="N146" s="245" t="s">
        <v>387</v>
      </c>
      <c r="O146" s="445"/>
      <c r="P146" s="369"/>
      <c r="Q146" s="247"/>
      <c r="R146" s="484"/>
      <c r="S146" s="512"/>
      <c r="T146" s="425" t="str">
        <f t="shared" si="14"/>
        <v/>
      </c>
      <c r="U146" s="409">
        <f t="shared" si="22"/>
        <v>0</v>
      </c>
      <c r="V146" s="738"/>
      <c r="W146" s="466"/>
      <c r="X146" s="729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9"/>
      <c r="J147" s="732"/>
      <c r="K147" s="176"/>
      <c r="L147" s="244">
        <v>14</v>
      </c>
      <c r="M147" s="334" t="s">
        <v>386</v>
      </c>
      <c r="N147" s="245" t="s">
        <v>387</v>
      </c>
      <c r="O147" s="445"/>
      <c r="P147" s="369"/>
      <c r="Q147" s="247"/>
      <c r="R147" s="484"/>
      <c r="S147" s="512"/>
      <c r="T147" s="425" t="str">
        <f t="shared" ref="T147:T165" si="23">IF(W147&gt;1,EOMONTH(W147,0),"")</f>
        <v/>
      </c>
      <c r="U147" s="409">
        <f t="shared" si="22"/>
        <v>0</v>
      </c>
      <c r="V147" s="738"/>
      <c r="W147" s="466"/>
      <c r="X147" s="729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9"/>
      <c r="J148" s="732"/>
      <c r="K148" s="176"/>
      <c r="L148" s="244">
        <v>14</v>
      </c>
      <c r="M148" s="334" t="s">
        <v>386</v>
      </c>
      <c r="N148" s="245" t="s">
        <v>387</v>
      </c>
      <c r="O148" s="445"/>
      <c r="P148" s="369"/>
      <c r="Q148" s="247"/>
      <c r="R148" s="484"/>
      <c r="S148" s="512"/>
      <c r="T148" s="425" t="str">
        <f t="shared" si="23"/>
        <v/>
      </c>
      <c r="U148" s="409">
        <f t="shared" si="22"/>
        <v>0</v>
      </c>
      <c r="V148" s="738"/>
      <c r="W148" s="466"/>
      <c r="X148" s="729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9"/>
      <c r="J149" s="732"/>
      <c r="K149" s="176"/>
      <c r="L149" s="244">
        <v>14</v>
      </c>
      <c r="M149" s="334" t="s">
        <v>386</v>
      </c>
      <c r="N149" s="245" t="s">
        <v>387</v>
      </c>
      <c r="O149" s="445"/>
      <c r="P149" s="369"/>
      <c r="Q149" s="247"/>
      <c r="R149" s="484"/>
      <c r="S149" s="512"/>
      <c r="T149" s="425" t="str">
        <f t="shared" si="23"/>
        <v/>
      </c>
      <c r="U149" s="409">
        <f t="shared" si="22"/>
        <v>0</v>
      </c>
      <c r="V149" s="738"/>
      <c r="W149" s="466"/>
      <c r="X149" s="729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29"/>
      <c r="J150" s="732"/>
      <c r="K150" s="176"/>
      <c r="L150" s="244">
        <v>14</v>
      </c>
      <c r="M150" s="334" t="s">
        <v>386</v>
      </c>
      <c r="N150" s="245" t="s">
        <v>387</v>
      </c>
      <c r="O150" s="445"/>
      <c r="P150" s="369"/>
      <c r="Q150" s="247"/>
      <c r="R150" s="484"/>
      <c r="S150" s="512"/>
      <c r="T150" s="425" t="str">
        <f t="shared" si="23"/>
        <v/>
      </c>
      <c r="U150" s="409">
        <f t="shared" si="22"/>
        <v>0</v>
      </c>
      <c r="V150" s="738"/>
      <c r="W150" s="466"/>
      <c r="X150" s="729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29"/>
      <c r="J151" s="732"/>
      <c r="K151" s="176"/>
      <c r="L151" s="244">
        <v>14</v>
      </c>
      <c r="M151" s="334" t="s">
        <v>386</v>
      </c>
      <c r="N151" s="245"/>
      <c r="O151" s="445"/>
      <c r="P151" s="369"/>
      <c r="Q151" s="247"/>
      <c r="R151" s="484"/>
      <c r="S151" s="514"/>
      <c r="T151" s="425" t="str">
        <f t="shared" si="23"/>
        <v/>
      </c>
      <c r="U151" s="409">
        <f t="shared" si="22"/>
        <v>0</v>
      </c>
      <c r="V151" s="738"/>
      <c r="W151" s="466"/>
      <c r="X151" s="729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30"/>
      <c r="J152" s="733"/>
      <c r="K152" s="179"/>
      <c r="L152" s="177">
        <v>14</v>
      </c>
      <c r="M152" s="335" t="s">
        <v>386</v>
      </c>
      <c r="N152" s="248"/>
      <c r="O152" s="446"/>
      <c r="P152" s="370"/>
      <c r="Q152" s="178"/>
      <c r="R152" s="485"/>
      <c r="S152" s="515"/>
      <c r="T152" s="426" t="str">
        <f t="shared" si="23"/>
        <v/>
      </c>
      <c r="U152" s="410">
        <f t="shared" si="22"/>
        <v>0</v>
      </c>
      <c r="V152" s="739"/>
      <c r="W152" s="467"/>
      <c r="X152" s="730"/>
    </row>
    <row r="153" spans="1:24" ht="14.4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2"/>
      <c r="S153" s="503"/>
      <c r="T153" s="414" t="str">
        <f t="shared" si="23"/>
        <v/>
      </c>
      <c r="U153" s="403"/>
      <c r="V153" s="385"/>
      <c r="W153" s="456"/>
      <c r="X153" s="549"/>
    </row>
    <row r="154" spans="1:24">
      <c r="B154" s="185">
        <v>15</v>
      </c>
      <c r="C154" s="186" t="s">
        <v>389</v>
      </c>
      <c r="D154" s="186"/>
      <c r="E154" s="187"/>
      <c r="F154" s="336"/>
      <c r="G154" s="188"/>
      <c r="H154" s="543"/>
      <c r="I154" s="701">
        <f>SUM(G154:G165)</f>
        <v>0</v>
      </c>
      <c r="J154" s="704">
        <f>F190</f>
        <v>0</v>
      </c>
      <c r="K154" s="189"/>
      <c r="L154" s="185">
        <v>15</v>
      </c>
      <c r="M154" s="255" t="s">
        <v>390</v>
      </c>
      <c r="N154" s="186"/>
      <c r="O154" s="187"/>
      <c r="P154" s="336"/>
      <c r="Q154" s="188"/>
      <c r="R154" s="476"/>
      <c r="S154" s="507"/>
      <c r="T154" s="418" t="str">
        <f t="shared" si="23"/>
        <v/>
      </c>
      <c r="U154" s="404"/>
      <c r="V154" s="716">
        <v>0</v>
      </c>
      <c r="W154" s="460"/>
      <c r="X154" s="701">
        <f>SUM(Q154:Q165)</f>
        <v>7500</v>
      </c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702"/>
      <c r="J155" s="705"/>
      <c r="K155" s="192"/>
      <c r="L155" s="215">
        <v>15</v>
      </c>
      <c r="M155" s="290" t="s">
        <v>390</v>
      </c>
      <c r="N155" s="217"/>
      <c r="O155" s="433"/>
      <c r="P155" s="357"/>
      <c r="Q155" s="219"/>
      <c r="R155" s="469"/>
      <c r="S155" s="500"/>
      <c r="T155" s="542"/>
      <c r="U155" s="396"/>
      <c r="V155" s="717"/>
      <c r="W155" s="453"/>
      <c r="X155" s="702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702"/>
      <c r="J156" s="705"/>
      <c r="K156" s="192"/>
      <c r="L156" s="215">
        <v>15</v>
      </c>
      <c r="M156" s="290" t="s">
        <v>390</v>
      </c>
      <c r="N156" s="217" t="s">
        <v>391</v>
      </c>
      <c r="O156" s="433"/>
      <c r="P156" s="357"/>
      <c r="Q156" s="219">
        <v>7500</v>
      </c>
      <c r="R156" s="469" t="s">
        <v>392</v>
      </c>
      <c r="S156" s="500" t="s">
        <v>393</v>
      </c>
      <c r="T156" s="542">
        <v>46022</v>
      </c>
      <c r="U156" s="396"/>
      <c r="V156" s="717"/>
      <c r="W156" s="643">
        <v>45995</v>
      </c>
      <c r="X156" s="702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702"/>
      <c r="J157" s="705"/>
      <c r="K157" s="192"/>
      <c r="L157" s="215">
        <v>15</v>
      </c>
      <c r="M157" s="290" t="s">
        <v>390</v>
      </c>
      <c r="N157" s="217"/>
      <c r="O157" s="433"/>
      <c r="P157" s="357"/>
      <c r="Q157" s="219"/>
      <c r="R157" s="469"/>
      <c r="S157" s="500"/>
      <c r="T157" s="411" t="str">
        <f t="shared" si="23"/>
        <v/>
      </c>
      <c r="U157" s="396"/>
      <c r="V157" s="717"/>
      <c r="W157" s="453"/>
      <c r="X157" s="702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702"/>
      <c r="J158" s="705"/>
      <c r="K158" s="192"/>
      <c r="L158" s="215">
        <v>15</v>
      </c>
      <c r="M158" s="290" t="s">
        <v>390</v>
      </c>
      <c r="N158" s="217"/>
      <c r="O158" s="433"/>
      <c r="P158" s="357"/>
      <c r="Q158" s="219"/>
      <c r="R158" s="469"/>
      <c r="S158" s="500"/>
      <c r="T158" s="411" t="str">
        <f t="shared" si="23"/>
        <v/>
      </c>
      <c r="U158" s="396"/>
      <c r="V158" s="717"/>
      <c r="W158" s="453"/>
      <c r="X158" s="702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702"/>
      <c r="J159" s="705"/>
      <c r="K159" s="192"/>
      <c r="L159" s="215">
        <v>15</v>
      </c>
      <c r="M159" s="290" t="s">
        <v>390</v>
      </c>
      <c r="N159" s="217"/>
      <c r="O159" s="433"/>
      <c r="P159" s="357"/>
      <c r="Q159" s="219"/>
      <c r="R159" s="469"/>
      <c r="S159" s="500"/>
      <c r="T159" s="411" t="str">
        <f t="shared" si="23"/>
        <v/>
      </c>
      <c r="U159" s="396"/>
      <c r="V159" s="717"/>
      <c r="W159" s="453"/>
      <c r="X159" s="702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702"/>
      <c r="J160" s="705"/>
      <c r="K160" s="192"/>
      <c r="L160" s="215">
        <v>15</v>
      </c>
      <c r="M160" s="290" t="s">
        <v>390</v>
      </c>
      <c r="N160" s="217"/>
      <c r="O160" s="433"/>
      <c r="P160" s="357"/>
      <c r="Q160" s="219"/>
      <c r="R160" s="469"/>
      <c r="S160" s="500"/>
      <c r="T160" s="411" t="str">
        <f t="shared" si="23"/>
        <v/>
      </c>
      <c r="U160" s="396"/>
      <c r="V160" s="717"/>
      <c r="W160" s="453"/>
      <c r="X160" s="702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702"/>
      <c r="J161" s="705"/>
      <c r="K161" s="192"/>
      <c r="L161" s="215">
        <v>15</v>
      </c>
      <c r="M161" s="290" t="s">
        <v>390</v>
      </c>
      <c r="N161" s="217"/>
      <c r="O161" s="433"/>
      <c r="P161" s="357"/>
      <c r="Q161" s="219"/>
      <c r="R161" s="469"/>
      <c r="S161" s="500"/>
      <c r="T161" s="411" t="str">
        <f t="shared" si="23"/>
        <v/>
      </c>
      <c r="U161" s="396"/>
      <c r="V161" s="717"/>
      <c r="W161" s="453"/>
      <c r="X161" s="702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702"/>
      <c r="J162" s="705"/>
      <c r="K162" s="192"/>
      <c r="L162" s="215">
        <v>15</v>
      </c>
      <c r="M162" s="290" t="s">
        <v>390</v>
      </c>
      <c r="N162" s="217"/>
      <c r="O162" s="433"/>
      <c r="P162" s="357"/>
      <c r="Q162" s="219"/>
      <c r="R162" s="469"/>
      <c r="S162" s="500"/>
      <c r="T162" s="411" t="str">
        <f t="shared" si="23"/>
        <v/>
      </c>
      <c r="U162" s="396"/>
      <c r="V162" s="717"/>
      <c r="W162" s="453"/>
      <c r="X162" s="702"/>
    </row>
    <row r="163" spans="2:24">
      <c r="B163" s="215">
        <v>15</v>
      </c>
      <c r="C163" s="217"/>
      <c r="D163" s="217"/>
      <c r="E163" s="218"/>
      <c r="F163" s="357"/>
      <c r="G163" s="219"/>
      <c r="H163" s="542"/>
      <c r="I163" s="702"/>
      <c r="J163" s="705"/>
      <c r="K163" s="192"/>
      <c r="L163" s="215">
        <v>15</v>
      </c>
      <c r="M163" s="290" t="s">
        <v>390</v>
      </c>
      <c r="N163" s="217"/>
      <c r="O163" s="433"/>
      <c r="P163" s="357"/>
      <c r="Q163" s="219"/>
      <c r="R163" s="469"/>
      <c r="S163" s="500"/>
      <c r="T163" s="411" t="str">
        <f t="shared" si="23"/>
        <v/>
      </c>
      <c r="U163" s="396"/>
      <c r="V163" s="717"/>
      <c r="W163" s="453"/>
      <c r="X163" s="702"/>
    </row>
    <row r="164" spans="2:24">
      <c r="B164" s="215">
        <v>15</v>
      </c>
      <c r="C164" s="217"/>
      <c r="D164" s="217"/>
      <c r="E164" s="218"/>
      <c r="F164" s="357"/>
      <c r="G164" s="219"/>
      <c r="H164" s="542"/>
      <c r="I164" s="702"/>
      <c r="J164" s="705"/>
      <c r="K164" s="192"/>
      <c r="L164" s="215">
        <v>15</v>
      </c>
      <c r="M164" s="290" t="s">
        <v>390</v>
      </c>
      <c r="N164" s="217"/>
      <c r="O164" s="433"/>
      <c r="P164" s="357"/>
      <c r="Q164" s="219"/>
      <c r="R164" s="469"/>
      <c r="S164" s="500"/>
      <c r="T164" s="411" t="str">
        <f t="shared" si="23"/>
        <v/>
      </c>
      <c r="U164" s="396"/>
      <c r="V164" s="717"/>
      <c r="W164" s="453"/>
      <c r="X164" s="702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03"/>
      <c r="J165" s="706"/>
      <c r="K165" s="193"/>
      <c r="L165" s="220">
        <v>15</v>
      </c>
      <c r="M165" s="318" t="s">
        <v>390</v>
      </c>
      <c r="N165" s="221"/>
      <c r="O165" s="435"/>
      <c r="P165" s="358"/>
      <c r="Q165" s="234"/>
      <c r="R165" s="471"/>
      <c r="S165" s="502"/>
      <c r="T165" s="413" t="str">
        <f t="shared" si="23"/>
        <v/>
      </c>
      <c r="U165" s="398"/>
      <c r="V165" s="718"/>
      <c r="W165" s="455"/>
      <c r="X165" s="703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394</v>
      </c>
      <c r="D167" s="623">
        <v>556966.5</v>
      </c>
      <c r="E167" s="77"/>
      <c r="F167" s="625">
        <v>696208</v>
      </c>
      <c r="G167" s="26"/>
      <c r="H167" s="26"/>
      <c r="I167" s="26"/>
      <c r="J167" s="26"/>
    </row>
    <row r="168" spans="2:24">
      <c r="B168" s="26"/>
      <c r="C168" s="431" t="s">
        <v>395</v>
      </c>
      <c r="D168" s="623">
        <v>140000</v>
      </c>
      <c r="E168" s="77"/>
      <c r="F168" s="625">
        <v>175000</v>
      </c>
      <c r="G168" s="26"/>
      <c r="H168" s="26"/>
      <c r="I168" s="160"/>
      <c r="J168" s="160"/>
    </row>
    <row r="169" spans="2:24">
      <c r="B169" s="26"/>
      <c r="C169" s="431" t="s">
        <v>396</v>
      </c>
      <c r="D169" s="623">
        <v>112716</v>
      </c>
      <c r="E169" s="77"/>
      <c r="F169" s="625">
        <v>140895</v>
      </c>
      <c r="G169" s="26"/>
      <c r="H169" s="26"/>
      <c r="I169" s="253"/>
      <c r="J169" s="253"/>
    </row>
    <row r="170" spans="2:24">
      <c r="B170" s="26"/>
      <c r="C170" s="431" t="s">
        <v>303</v>
      </c>
      <c r="D170" s="623">
        <v>207033.9</v>
      </c>
      <c r="E170" s="77"/>
      <c r="F170" s="625">
        <v>258792</v>
      </c>
      <c r="G170" s="26"/>
      <c r="H170" s="26"/>
      <c r="I170" s="160"/>
      <c r="J170" s="160"/>
    </row>
    <row r="171" spans="2:24">
      <c r="B171" s="26"/>
      <c r="C171" s="431" t="s">
        <v>343</v>
      </c>
      <c r="D171" s="623">
        <v>268570.82</v>
      </c>
      <c r="E171" s="77"/>
      <c r="F171" s="625">
        <v>335714</v>
      </c>
      <c r="G171" s="26"/>
      <c r="H171" s="26"/>
      <c r="I171" s="253"/>
      <c r="J171" s="253"/>
    </row>
    <row r="172" spans="2:24">
      <c r="B172" s="26"/>
      <c r="C172" s="431" t="s">
        <v>325</v>
      </c>
      <c r="D172" s="623">
        <v>49000</v>
      </c>
      <c r="E172" s="77"/>
      <c r="F172" s="625">
        <v>61250</v>
      </c>
      <c r="G172" s="26"/>
      <c r="H172" s="26"/>
      <c r="I172" s="160"/>
      <c r="J172" s="160"/>
    </row>
    <row r="173" spans="2:24">
      <c r="B173" s="26"/>
      <c r="C173" s="431" t="s">
        <v>397</v>
      </c>
      <c r="D173" s="623" t="s">
        <v>398</v>
      </c>
      <c r="E173" s="77"/>
      <c r="F173" s="625"/>
      <c r="G173" s="26"/>
      <c r="H173" s="26"/>
      <c r="I173" s="160"/>
      <c r="J173" s="160"/>
    </row>
    <row r="174" spans="2:24">
      <c r="B174" s="26"/>
      <c r="C174" s="431" t="s">
        <v>399</v>
      </c>
      <c r="D174" s="623" t="s">
        <v>398</v>
      </c>
      <c r="E174" s="77"/>
      <c r="F174" s="625"/>
      <c r="G174" s="26"/>
      <c r="H174" s="26"/>
      <c r="I174" s="160"/>
      <c r="J174" s="160"/>
    </row>
    <row r="175" spans="2:24">
      <c r="B175" s="26"/>
      <c r="C175" s="431" t="s">
        <v>400</v>
      </c>
      <c r="D175" s="623" t="s">
        <v>398</v>
      </c>
      <c r="E175" s="77"/>
      <c r="F175" s="625"/>
      <c r="G175" s="26"/>
      <c r="H175" s="26"/>
      <c r="I175" s="160"/>
      <c r="J175" s="160"/>
    </row>
    <row r="176" spans="2:24">
      <c r="B176" s="26"/>
      <c r="C176" s="431" t="s">
        <v>401</v>
      </c>
      <c r="D176" s="623" t="s">
        <v>398</v>
      </c>
      <c r="E176" s="77"/>
      <c r="F176" s="625"/>
      <c r="G176" s="26"/>
      <c r="H176" s="26"/>
      <c r="I176" s="160"/>
      <c r="J176" s="160"/>
    </row>
    <row r="177" spans="2:23">
      <c r="B177" s="26"/>
      <c r="C177" s="431" t="s">
        <v>402</v>
      </c>
      <c r="D177" s="623" t="s">
        <v>398</v>
      </c>
      <c r="E177" s="77"/>
      <c r="F177" s="625"/>
      <c r="G177" s="26"/>
      <c r="H177" s="26"/>
      <c r="I177" s="160"/>
      <c r="J177" s="160"/>
    </row>
    <row r="178" spans="2:23">
      <c r="B178" s="26"/>
      <c r="C178" s="431" t="s">
        <v>403</v>
      </c>
      <c r="D178" s="623"/>
      <c r="E178" s="77"/>
      <c r="F178" s="625"/>
      <c r="G178" s="26"/>
      <c r="H178" s="26"/>
      <c r="I178" s="160"/>
      <c r="J178" s="160"/>
    </row>
    <row r="179" spans="2:23">
      <c r="B179" s="26"/>
      <c r="C179" s="431"/>
      <c r="D179" s="623"/>
      <c r="E179" s="77"/>
      <c r="F179" s="625"/>
      <c r="G179" s="26"/>
      <c r="H179" s="26"/>
      <c r="I179" s="160"/>
      <c r="J179" s="160"/>
    </row>
    <row r="180" spans="2:23" s="26" customFormat="1">
      <c r="C180" s="431" t="s">
        <v>404</v>
      </c>
      <c r="D180" s="624">
        <v>62620</v>
      </c>
      <c r="E180" s="77"/>
      <c r="F180" s="625">
        <v>69578</v>
      </c>
      <c r="I180" s="160"/>
      <c r="J180" s="160"/>
      <c r="T180" s="431"/>
      <c r="U180" s="431"/>
      <c r="W180" s="431"/>
    </row>
    <row r="181" spans="2:23" s="26" customFormat="1">
      <c r="C181" s="431" t="s">
        <v>405</v>
      </c>
      <c r="D181" s="624">
        <v>134330</v>
      </c>
      <c r="E181" s="77"/>
      <c r="F181" s="625">
        <v>149256</v>
      </c>
      <c r="I181" s="160"/>
      <c r="J181" s="160"/>
      <c r="T181" s="431"/>
      <c r="U181" s="431"/>
      <c r="W181" s="431"/>
    </row>
    <row r="182" spans="2:23" s="26" customFormat="1">
      <c r="C182" s="431" t="s">
        <v>406</v>
      </c>
      <c r="D182" s="624">
        <v>20963.650000000001</v>
      </c>
      <c r="E182" s="77"/>
      <c r="F182" s="625">
        <v>23822</v>
      </c>
      <c r="I182" s="160"/>
      <c r="J182" s="160"/>
      <c r="T182" s="431"/>
      <c r="U182" s="431"/>
      <c r="W182" s="431"/>
    </row>
    <row r="183" spans="2:23" s="26" customFormat="1">
      <c r="C183" s="431" t="s">
        <v>407</v>
      </c>
      <c r="D183" s="624">
        <v>89000</v>
      </c>
      <c r="E183" s="77"/>
      <c r="F183" s="625">
        <v>98889</v>
      </c>
      <c r="I183" s="160"/>
      <c r="J183" s="160"/>
      <c r="T183" s="431"/>
      <c r="U183" s="431"/>
      <c r="W183" s="431"/>
    </row>
    <row r="184" spans="2:23" s="26" customFormat="1">
      <c r="C184" s="431" t="s">
        <v>408</v>
      </c>
      <c r="D184" s="624">
        <v>8500</v>
      </c>
      <c r="E184" s="77"/>
      <c r="F184" s="625">
        <v>9444</v>
      </c>
      <c r="I184" s="160"/>
      <c r="J184" s="160"/>
      <c r="T184" s="431"/>
      <c r="U184" s="431"/>
      <c r="W184" s="431"/>
    </row>
    <row r="185" spans="2:23" s="26" customFormat="1">
      <c r="C185" s="431" t="s">
        <v>409</v>
      </c>
      <c r="D185" s="624" t="s">
        <v>398</v>
      </c>
      <c r="E185" s="77"/>
      <c r="F185" s="625"/>
      <c r="I185" s="160"/>
      <c r="J185" s="160"/>
      <c r="T185" s="431"/>
      <c r="U185" s="431"/>
      <c r="W185" s="431"/>
    </row>
    <row r="186" spans="2:23" s="26" customFormat="1">
      <c r="C186" s="431" t="s">
        <v>410</v>
      </c>
      <c r="D186" s="624">
        <v>1027.78</v>
      </c>
      <c r="E186" s="77"/>
      <c r="F186" s="625">
        <v>1142</v>
      </c>
      <c r="I186" s="160"/>
      <c r="J186" s="160"/>
      <c r="T186" s="431"/>
      <c r="U186" s="431"/>
      <c r="W186" s="431"/>
    </row>
    <row r="187" spans="2:23" s="26" customFormat="1">
      <c r="C187" s="431" t="s">
        <v>411</v>
      </c>
      <c r="D187" s="624">
        <v>30000</v>
      </c>
      <c r="E187" s="77"/>
      <c r="F187" s="625">
        <v>33333</v>
      </c>
      <c r="I187" s="160"/>
      <c r="J187" s="160"/>
      <c r="T187" s="431"/>
      <c r="U187" s="431"/>
      <c r="W187" s="431"/>
    </row>
    <row r="188" spans="2:23" s="26" customFormat="1">
      <c r="C188" s="431" t="s">
        <v>412</v>
      </c>
      <c r="D188" s="624">
        <v>17326.669999999998</v>
      </c>
      <c r="E188" s="77"/>
      <c r="F188" s="625">
        <v>19252</v>
      </c>
      <c r="I188" s="160"/>
      <c r="J188" s="160"/>
      <c r="T188" s="431"/>
      <c r="U188" s="431"/>
      <c r="W188" s="431"/>
    </row>
    <row r="189" spans="2:23" s="26" customFormat="1">
      <c r="C189" s="431" t="s">
        <v>413</v>
      </c>
      <c r="D189" s="624" t="s">
        <v>398</v>
      </c>
      <c r="E189" s="77"/>
      <c r="F189" s="625"/>
      <c r="I189" s="160"/>
      <c r="J189" s="160"/>
      <c r="T189" s="431"/>
      <c r="U189" s="431"/>
      <c r="W189" s="431"/>
    </row>
    <row r="190" spans="2:23" s="26" customFormat="1">
      <c r="C190" s="431" t="s">
        <v>400</v>
      </c>
      <c r="D190" s="624" t="s">
        <v>398</v>
      </c>
      <c r="E190" s="77"/>
      <c r="F190" s="625"/>
      <c r="I190" s="160"/>
      <c r="J190" s="160"/>
      <c r="T190" s="431"/>
      <c r="U190" s="431"/>
      <c r="W190" s="431"/>
    </row>
    <row r="191" spans="2:23" s="26" customFormat="1">
      <c r="C191" s="431"/>
      <c r="D191" s="624"/>
      <c r="E191" s="77"/>
      <c r="F191" s="625"/>
      <c r="I191" s="160"/>
      <c r="J191" s="160"/>
      <c r="T191" s="431"/>
      <c r="U191" s="431"/>
      <c r="W191" s="431"/>
    </row>
    <row r="192" spans="2:23" s="26" customFormat="1">
      <c r="C192" s="431" t="s">
        <v>414</v>
      </c>
      <c r="D192" s="624"/>
      <c r="E192" s="77"/>
      <c r="F192" s="625"/>
      <c r="I192" s="160"/>
      <c r="J192" s="160"/>
      <c r="T192" s="431"/>
      <c r="U192" s="431"/>
      <c r="W192" s="431"/>
    </row>
    <row r="193" spans="3:23" s="26" customFormat="1">
      <c r="C193" s="431" t="s">
        <v>415</v>
      </c>
      <c r="D193" s="624">
        <v>4375</v>
      </c>
      <c r="E193" s="77"/>
      <c r="F193" s="625">
        <v>4861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7:R88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20"/>
    <mergeCell ref="R95:R103"/>
    <mergeCell ref="X125:X129"/>
    <mergeCell ref="I131:I132"/>
    <mergeCell ref="J131:J132"/>
    <mergeCell ref="K131:K132"/>
    <mergeCell ref="X131:X132"/>
    <mergeCell ref="V125:V129"/>
    <mergeCell ref="I125:I129"/>
    <mergeCell ref="J125:J129"/>
    <mergeCell ref="R33:R41"/>
    <mergeCell ref="X75:X82"/>
    <mergeCell ref="I21:I27"/>
    <mergeCell ref="J21:J27"/>
    <mergeCell ref="I108:I123"/>
    <mergeCell ref="J108:J123"/>
    <mergeCell ref="X108:X123"/>
    <mergeCell ref="I84:I92"/>
    <mergeCell ref="J84:J92"/>
    <mergeCell ref="X84:X92"/>
    <mergeCell ref="I94:I106"/>
    <mergeCell ref="J94:J106"/>
    <mergeCell ref="X94:X106"/>
    <mergeCell ref="V108:V123"/>
    <mergeCell ref="V84:V92"/>
    <mergeCell ref="V94:V106"/>
    <mergeCell ref="I75:I82"/>
    <mergeCell ref="J75:J82"/>
    <mergeCell ref="V75:V82"/>
    <mergeCell ref="V46:V54"/>
    <mergeCell ref="V56:V73"/>
    <mergeCell ref="R62:R70"/>
    <mergeCell ref="I46:I54"/>
    <mergeCell ref="J46:J54"/>
    <mergeCell ref="X46:X54"/>
    <mergeCell ref="I56:I73"/>
    <mergeCell ref="J56:J73"/>
    <mergeCell ref="X56:X73"/>
    <mergeCell ref="X6:X11"/>
    <mergeCell ref="V6:V11"/>
    <mergeCell ref="V13:V19"/>
    <mergeCell ref="V21:V27"/>
    <mergeCell ref="V29:V44"/>
    <mergeCell ref="X21:X27"/>
    <mergeCell ref="I29:I44"/>
    <mergeCell ref="J29:J44"/>
    <mergeCell ref="X29:X44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J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5546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416</v>
      </c>
      <c r="E1" s="99"/>
      <c r="F1" s="100">
        <v>45901</v>
      </c>
      <c r="G1" s="101">
        <f>F1+7</f>
        <v>45908</v>
      </c>
      <c r="H1" s="101">
        <f>G1+7</f>
        <v>45915</v>
      </c>
      <c r="I1" s="101">
        <f t="shared" ref="I1:BT1" si="0">H1+7</f>
        <v>45922</v>
      </c>
      <c r="J1" s="101">
        <f t="shared" si="0"/>
        <v>45929</v>
      </c>
      <c r="K1" s="101">
        <f t="shared" si="0"/>
        <v>45936</v>
      </c>
      <c r="L1" s="101">
        <f t="shared" si="0"/>
        <v>45943</v>
      </c>
      <c r="M1" s="101">
        <f t="shared" si="0"/>
        <v>45950</v>
      </c>
      <c r="N1" s="101">
        <f t="shared" si="0"/>
        <v>45957</v>
      </c>
      <c r="O1" s="101">
        <f t="shared" si="0"/>
        <v>45964</v>
      </c>
      <c r="P1" s="101">
        <f t="shared" si="0"/>
        <v>45971</v>
      </c>
      <c r="Q1" s="101">
        <f t="shared" si="0"/>
        <v>45978</v>
      </c>
      <c r="R1" s="101">
        <f t="shared" si="0"/>
        <v>45985</v>
      </c>
      <c r="S1" s="101">
        <f t="shared" si="0"/>
        <v>45992</v>
      </c>
      <c r="T1" s="101">
        <f t="shared" si="0"/>
        <v>45999</v>
      </c>
      <c r="U1" s="101">
        <f t="shared" si="0"/>
        <v>46006</v>
      </c>
      <c r="V1" s="101">
        <f t="shared" si="0"/>
        <v>46013</v>
      </c>
      <c r="W1" s="101">
        <f t="shared" si="0"/>
        <v>46020</v>
      </c>
      <c r="X1" s="101">
        <f t="shared" si="0"/>
        <v>46027</v>
      </c>
      <c r="Y1" s="101">
        <f t="shared" si="0"/>
        <v>46034</v>
      </c>
      <c r="Z1" s="101">
        <f t="shared" si="0"/>
        <v>46041</v>
      </c>
      <c r="AA1" s="101">
        <f t="shared" si="0"/>
        <v>46048</v>
      </c>
      <c r="AB1" s="101">
        <f t="shared" si="0"/>
        <v>46055</v>
      </c>
      <c r="AC1" s="101">
        <f t="shared" si="0"/>
        <v>46062</v>
      </c>
      <c r="AD1" s="101">
        <f>AC1+7</f>
        <v>46069</v>
      </c>
      <c r="AE1" s="101">
        <f t="shared" si="0"/>
        <v>46076</v>
      </c>
      <c r="AF1" s="101">
        <f t="shared" si="0"/>
        <v>46083</v>
      </c>
      <c r="AG1" s="101">
        <f t="shared" si="0"/>
        <v>46090</v>
      </c>
      <c r="AH1" s="101">
        <f t="shared" si="0"/>
        <v>46097</v>
      </c>
      <c r="AI1" s="101">
        <f t="shared" si="0"/>
        <v>46104</v>
      </c>
      <c r="AJ1" s="101">
        <f t="shared" si="0"/>
        <v>46111</v>
      </c>
      <c r="AK1" s="101">
        <f t="shared" si="0"/>
        <v>46118</v>
      </c>
      <c r="AL1" s="101">
        <f t="shared" si="0"/>
        <v>46125</v>
      </c>
      <c r="AM1" s="101">
        <f t="shared" si="0"/>
        <v>46132</v>
      </c>
      <c r="AN1" s="101">
        <f t="shared" si="0"/>
        <v>46139</v>
      </c>
      <c r="AO1" s="101">
        <f t="shared" si="0"/>
        <v>46146</v>
      </c>
      <c r="AP1" s="101">
        <f t="shared" si="0"/>
        <v>46153</v>
      </c>
      <c r="AQ1" s="101">
        <f t="shared" si="0"/>
        <v>46160</v>
      </c>
      <c r="AR1" s="101">
        <f t="shared" si="0"/>
        <v>46167</v>
      </c>
      <c r="AS1" s="101">
        <f t="shared" si="0"/>
        <v>46174</v>
      </c>
      <c r="AT1" s="101">
        <f t="shared" si="0"/>
        <v>46181</v>
      </c>
      <c r="AU1" s="101">
        <f t="shared" si="0"/>
        <v>46188</v>
      </c>
      <c r="AV1" s="101">
        <f t="shared" si="0"/>
        <v>46195</v>
      </c>
      <c r="AW1" s="101">
        <f t="shared" si="0"/>
        <v>46202</v>
      </c>
      <c r="AX1" s="101">
        <f t="shared" si="0"/>
        <v>46209</v>
      </c>
      <c r="AY1" s="101">
        <f t="shared" si="0"/>
        <v>46216</v>
      </c>
      <c r="AZ1" s="101">
        <f t="shared" si="0"/>
        <v>46223</v>
      </c>
      <c r="BA1" s="101">
        <f t="shared" si="0"/>
        <v>46230</v>
      </c>
      <c r="BB1" s="101">
        <f t="shared" si="0"/>
        <v>46237</v>
      </c>
      <c r="BC1" s="101">
        <f t="shared" si="0"/>
        <v>46244</v>
      </c>
      <c r="BD1" s="101">
        <f t="shared" si="0"/>
        <v>46251</v>
      </c>
      <c r="BE1" s="101">
        <f t="shared" si="0"/>
        <v>46258</v>
      </c>
      <c r="BF1" s="101">
        <f t="shared" si="0"/>
        <v>46265</v>
      </c>
      <c r="BG1" s="101">
        <f t="shared" si="0"/>
        <v>46272</v>
      </c>
      <c r="BH1" s="101">
        <f t="shared" si="0"/>
        <v>46279</v>
      </c>
      <c r="BI1" s="101">
        <f t="shared" si="0"/>
        <v>46286</v>
      </c>
      <c r="BJ1" s="101">
        <f t="shared" si="0"/>
        <v>46293</v>
      </c>
      <c r="BK1" s="101">
        <f t="shared" si="0"/>
        <v>46300</v>
      </c>
      <c r="BL1" s="101">
        <f t="shared" si="0"/>
        <v>46307</v>
      </c>
      <c r="BM1" s="101">
        <f t="shared" si="0"/>
        <v>46314</v>
      </c>
      <c r="BN1" s="101">
        <f t="shared" si="0"/>
        <v>46321</v>
      </c>
      <c r="BO1" s="101">
        <f t="shared" si="0"/>
        <v>46328</v>
      </c>
      <c r="BP1" s="101">
        <f t="shared" si="0"/>
        <v>46335</v>
      </c>
      <c r="BQ1" s="101">
        <f t="shared" si="0"/>
        <v>46342</v>
      </c>
      <c r="BR1" s="101">
        <f t="shared" si="0"/>
        <v>46349</v>
      </c>
      <c r="BS1" s="101">
        <f t="shared" si="0"/>
        <v>46356</v>
      </c>
      <c r="BT1" s="101">
        <f t="shared" si="0"/>
        <v>46363</v>
      </c>
      <c r="BU1" s="101">
        <f t="shared" ref="BU1:EF1" si="1">BT1+7</f>
        <v>46370</v>
      </c>
      <c r="BV1" s="101">
        <f t="shared" si="1"/>
        <v>46377</v>
      </c>
      <c r="BW1" s="101">
        <f t="shared" si="1"/>
        <v>46384</v>
      </c>
      <c r="BX1" s="101">
        <f t="shared" si="1"/>
        <v>46391</v>
      </c>
      <c r="BY1" s="101">
        <f t="shared" si="1"/>
        <v>46398</v>
      </c>
      <c r="BZ1" s="101">
        <f t="shared" si="1"/>
        <v>46405</v>
      </c>
      <c r="CA1" s="101">
        <f t="shared" si="1"/>
        <v>46412</v>
      </c>
      <c r="CB1" s="101">
        <f t="shared" si="1"/>
        <v>46419</v>
      </c>
      <c r="CC1" s="101">
        <f t="shared" si="1"/>
        <v>46426</v>
      </c>
      <c r="CD1" s="101">
        <f t="shared" si="1"/>
        <v>46433</v>
      </c>
      <c r="CE1" s="101">
        <f t="shared" si="1"/>
        <v>46440</v>
      </c>
      <c r="CF1" s="101">
        <f t="shared" si="1"/>
        <v>46447</v>
      </c>
      <c r="CG1" s="101">
        <f t="shared" si="1"/>
        <v>46454</v>
      </c>
      <c r="CH1" s="101">
        <f t="shared" si="1"/>
        <v>46461</v>
      </c>
      <c r="CI1" s="101">
        <f t="shared" si="1"/>
        <v>46468</v>
      </c>
      <c r="CJ1" s="101">
        <f t="shared" si="1"/>
        <v>46475</v>
      </c>
      <c r="CK1" s="101">
        <f t="shared" si="1"/>
        <v>46482</v>
      </c>
      <c r="CL1" s="101">
        <f t="shared" si="1"/>
        <v>46489</v>
      </c>
      <c r="CM1" s="101">
        <f t="shared" si="1"/>
        <v>46496</v>
      </c>
      <c r="CN1" s="101">
        <f t="shared" si="1"/>
        <v>46503</v>
      </c>
      <c r="CO1" s="101">
        <f t="shared" si="1"/>
        <v>46510</v>
      </c>
      <c r="CP1" s="101">
        <f t="shared" si="1"/>
        <v>46517</v>
      </c>
      <c r="CQ1" s="101">
        <f t="shared" si="1"/>
        <v>46524</v>
      </c>
      <c r="CR1" s="101">
        <f t="shared" si="1"/>
        <v>46531</v>
      </c>
      <c r="CS1" s="101">
        <f t="shared" si="1"/>
        <v>46538</v>
      </c>
      <c r="CT1" s="101">
        <f t="shared" si="1"/>
        <v>46545</v>
      </c>
      <c r="CU1" s="101">
        <f t="shared" si="1"/>
        <v>46552</v>
      </c>
      <c r="CV1" s="101">
        <f t="shared" si="1"/>
        <v>46559</v>
      </c>
      <c r="CW1" s="101">
        <f t="shared" si="1"/>
        <v>46566</v>
      </c>
      <c r="CX1" s="101">
        <f t="shared" si="1"/>
        <v>46573</v>
      </c>
      <c r="CY1" s="101">
        <f t="shared" si="1"/>
        <v>46580</v>
      </c>
      <c r="CZ1" s="101">
        <f t="shared" si="1"/>
        <v>46587</v>
      </c>
      <c r="DA1" s="101">
        <f t="shared" si="1"/>
        <v>46594</v>
      </c>
      <c r="DB1" s="101">
        <f t="shared" si="1"/>
        <v>46601</v>
      </c>
      <c r="DC1" s="101">
        <f t="shared" si="1"/>
        <v>46608</v>
      </c>
      <c r="DD1" s="101">
        <f t="shared" si="1"/>
        <v>46615</v>
      </c>
      <c r="DE1" s="101">
        <f t="shared" si="1"/>
        <v>46622</v>
      </c>
      <c r="DF1" s="101">
        <f t="shared" si="1"/>
        <v>46629</v>
      </c>
      <c r="DG1" s="101">
        <f t="shared" si="1"/>
        <v>46636</v>
      </c>
      <c r="DH1" s="101">
        <f t="shared" si="1"/>
        <v>46643</v>
      </c>
      <c r="DI1" s="101">
        <f t="shared" si="1"/>
        <v>46650</v>
      </c>
      <c r="DJ1" s="101">
        <f t="shared" si="1"/>
        <v>46657</v>
      </c>
      <c r="DK1" s="101">
        <f t="shared" si="1"/>
        <v>46664</v>
      </c>
      <c r="DL1" s="101">
        <f t="shared" si="1"/>
        <v>46671</v>
      </c>
      <c r="DM1" s="101">
        <f t="shared" si="1"/>
        <v>46678</v>
      </c>
      <c r="DN1" s="101">
        <f t="shared" si="1"/>
        <v>46685</v>
      </c>
      <c r="DO1" s="101">
        <f t="shared" si="1"/>
        <v>46692</v>
      </c>
      <c r="DP1" s="101">
        <f t="shared" si="1"/>
        <v>46699</v>
      </c>
      <c r="DQ1" s="101">
        <f t="shared" si="1"/>
        <v>46706</v>
      </c>
      <c r="DR1" s="101">
        <f t="shared" si="1"/>
        <v>46713</v>
      </c>
      <c r="DS1" s="101">
        <f t="shared" si="1"/>
        <v>46720</v>
      </c>
      <c r="DT1" s="101">
        <f t="shared" si="1"/>
        <v>46727</v>
      </c>
      <c r="DU1" s="101">
        <f t="shared" si="1"/>
        <v>46734</v>
      </c>
      <c r="DV1" s="101">
        <f t="shared" si="1"/>
        <v>46741</v>
      </c>
      <c r="DW1" s="101">
        <f t="shared" si="1"/>
        <v>46748</v>
      </c>
      <c r="DX1" s="101">
        <f t="shared" si="1"/>
        <v>46755</v>
      </c>
      <c r="DY1" s="101">
        <f t="shared" si="1"/>
        <v>46762</v>
      </c>
      <c r="DZ1" s="101">
        <f t="shared" si="1"/>
        <v>46769</v>
      </c>
      <c r="EA1" s="101">
        <f t="shared" si="1"/>
        <v>46776</v>
      </c>
      <c r="EB1" s="101">
        <f t="shared" si="1"/>
        <v>46783</v>
      </c>
      <c r="EC1" s="101">
        <f t="shared" si="1"/>
        <v>46790</v>
      </c>
      <c r="ED1" s="101">
        <f t="shared" si="1"/>
        <v>46797</v>
      </c>
      <c r="EE1" s="101">
        <f t="shared" si="1"/>
        <v>46804</v>
      </c>
      <c r="EF1" s="101">
        <f t="shared" si="1"/>
        <v>46811</v>
      </c>
      <c r="EG1" s="101">
        <f t="shared" ref="EG1:GR1" si="2">EF1+7</f>
        <v>46818</v>
      </c>
      <c r="EH1" s="101">
        <f t="shared" si="2"/>
        <v>46825</v>
      </c>
      <c r="EI1" s="101">
        <f t="shared" si="2"/>
        <v>46832</v>
      </c>
      <c r="EJ1" s="101">
        <f t="shared" si="2"/>
        <v>46839</v>
      </c>
      <c r="EK1" s="101">
        <f t="shared" si="2"/>
        <v>46846</v>
      </c>
      <c r="EL1" s="101">
        <f t="shared" si="2"/>
        <v>46853</v>
      </c>
      <c r="EM1" s="101">
        <f t="shared" si="2"/>
        <v>46860</v>
      </c>
      <c r="EN1" s="101">
        <f t="shared" si="2"/>
        <v>46867</v>
      </c>
      <c r="EO1" s="101">
        <f t="shared" si="2"/>
        <v>46874</v>
      </c>
      <c r="EP1" s="101">
        <f t="shared" si="2"/>
        <v>46881</v>
      </c>
      <c r="EQ1" s="101">
        <f t="shared" si="2"/>
        <v>46888</v>
      </c>
      <c r="ER1" s="101">
        <f t="shared" si="2"/>
        <v>46895</v>
      </c>
      <c r="ES1" s="101">
        <f t="shared" si="2"/>
        <v>46902</v>
      </c>
      <c r="ET1" s="101">
        <f t="shared" si="2"/>
        <v>46909</v>
      </c>
      <c r="EU1" s="101">
        <f t="shared" si="2"/>
        <v>46916</v>
      </c>
      <c r="EV1" s="101">
        <f t="shared" si="2"/>
        <v>46923</v>
      </c>
      <c r="EW1" s="101">
        <f t="shared" si="2"/>
        <v>46930</v>
      </c>
      <c r="EX1" s="101">
        <f t="shared" si="2"/>
        <v>46937</v>
      </c>
      <c r="EY1" s="101">
        <f t="shared" si="2"/>
        <v>46944</v>
      </c>
      <c r="EZ1" s="101">
        <f t="shared" si="2"/>
        <v>46951</v>
      </c>
      <c r="FA1" s="101">
        <f t="shared" si="2"/>
        <v>46958</v>
      </c>
      <c r="FB1" s="101">
        <f t="shared" si="2"/>
        <v>46965</v>
      </c>
      <c r="FC1" s="101">
        <f t="shared" si="2"/>
        <v>46972</v>
      </c>
      <c r="FD1" s="101">
        <f t="shared" si="2"/>
        <v>46979</v>
      </c>
      <c r="FE1" s="101">
        <f t="shared" si="2"/>
        <v>46986</v>
      </c>
      <c r="FF1" s="101">
        <f t="shared" si="2"/>
        <v>46993</v>
      </c>
      <c r="FG1" s="101">
        <f t="shared" si="2"/>
        <v>47000</v>
      </c>
      <c r="FH1" s="101">
        <f t="shared" si="2"/>
        <v>47007</v>
      </c>
      <c r="FI1" s="101">
        <f t="shared" si="2"/>
        <v>47014</v>
      </c>
      <c r="FJ1" s="101">
        <f t="shared" si="2"/>
        <v>47021</v>
      </c>
      <c r="FK1" s="101">
        <f t="shared" si="2"/>
        <v>47028</v>
      </c>
      <c r="FL1" s="101">
        <f t="shared" si="2"/>
        <v>47035</v>
      </c>
      <c r="FM1" s="101">
        <f t="shared" si="2"/>
        <v>47042</v>
      </c>
      <c r="FN1" s="101">
        <f t="shared" si="2"/>
        <v>47049</v>
      </c>
      <c r="FO1" s="101">
        <f t="shared" si="2"/>
        <v>47056</v>
      </c>
      <c r="FP1" s="101">
        <f t="shared" si="2"/>
        <v>47063</v>
      </c>
      <c r="FQ1" s="101">
        <f t="shared" si="2"/>
        <v>47070</v>
      </c>
      <c r="FR1" s="101">
        <f t="shared" si="2"/>
        <v>47077</v>
      </c>
      <c r="FS1" s="101">
        <f t="shared" si="2"/>
        <v>47084</v>
      </c>
      <c r="FT1" s="101">
        <f t="shared" si="2"/>
        <v>47091</v>
      </c>
      <c r="FU1" s="101">
        <f t="shared" si="2"/>
        <v>47098</v>
      </c>
      <c r="FV1" s="101">
        <f t="shared" si="2"/>
        <v>47105</v>
      </c>
      <c r="FW1" s="101">
        <f t="shared" si="2"/>
        <v>47112</v>
      </c>
      <c r="FX1" s="101">
        <f t="shared" si="2"/>
        <v>47119</v>
      </c>
      <c r="FY1" s="101">
        <f t="shared" si="2"/>
        <v>47126</v>
      </c>
      <c r="FZ1" s="101">
        <f t="shared" si="2"/>
        <v>47133</v>
      </c>
      <c r="GA1" s="101">
        <f t="shared" si="2"/>
        <v>47140</v>
      </c>
      <c r="GB1" s="101">
        <f t="shared" si="2"/>
        <v>47147</v>
      </c>
      <c r="GC1" s="101">
        <f t="shared" si="2"/>
        <v>47154</v>
      </c>
      <c r="GD1" s="101">
        <f t="shared" si="2"/>
        <v>47161</v>
      </c>
      <c r="GE1" s="101">
        <f t="shared" si="2"/>
        <v>47168</v>
      </c>
      <c r="GF1" s="101">
        <f t="shared" si="2"/>
        <v>47175</v>
      </c>
      <c r="GG1" s="101">
        <f t="shared" si="2"/>
        <v>47182</v>
      </c>
      <c r="GH1" s="101">
        <f t="shared" si="2"/>
        <v>47189</v>
      </c>
      <c r="GI1" s="101">
        <f t="shared" si="2"/>
        <v>47196</v>
      </c>
      <c r="GJ1" s="101">
        <f t="shared" si="2"/>
        <v>47203</v>
      </c>
      <c r="GK1" s="101">
        <f t="shared" si="2"/>
        <v>47210</v>
      </c>
      <c r="GL1" s="101">
        <f t="shared" si="2"/>
        <v>47217</v>
      </c>
      <c r="GM1" s="101">
        <f t="shared" si="2"/>
        <v>47224</v>
      </c>
      <c r="GN1" s="101">
        <f t="shared" si="2"/>
        <v>47231</v>
      </c>
      <c r="GO1" s="101">
        <f t="shared" si="2"/>
        <v>47238</v>
      </c>
      <c r="GP1" s="101">
        <f t="shared" si="2"/>
        <v>47245</v>
      </c>
      <c r="GQ1" s="101">
        <f t="shared" si="2"/>
        <v>47252</v>
      </c>
      <c r="GR1" s="101">
        <f t="shared" si="2"/>
        <v>47259</v>
      </c>
      <c r="GS1" s="101">
        <f t="shared" ref="GS1:JD1" si="3">GR1+7</f>
        <v>47266</v>
      </c>
      <c r="GT1" s="101">
        <f t="shared" si="3"/>
        <v>47273</v>
      </c>
      <c r="GU1" s="101">
        <f t="shared" si="3"/>
        <v>47280</v>
      </c>
      <c r="GV1" s="101">
        <f t="shared" si="3"/>
        <v>47287</v>
      </c>
      <c r="GW1" s="101">
        <f t="shared" si="3"/>
        <v>47294</v>
      </c>
      <c r="GX1" s="101">
        <f t="shared" si="3"/>
        <v>47301</v>
      </c>
      <c r="GY1" s="101">
        <f t="shared" si="3"/>
        <v>47308</v>
      </c>
      <c r="GZ1" s="101">
        <f t="shared" si="3"/>
        <v>47315</v>
      </c>
      <c r="HA1" s="101">
        <f t="shared" si="3"/>
        <v>47322</v>
      </c>
      <c r="HB1" s="101">
        <f t="shared" si="3"/>
        <v>47329</v>
      </c>
      <c r="HC1" s="101">
        <f t="shared" si="3"/>
        <v>47336</v>
      </c>
      <c r="HD1" s="101">
        <f t="shared" si="3"/>
        <v>47343</v>
      </c>
      <c r="HE1" s="101">
        <f t="shared" si="3"/>
        <v>47350</v>
      </c>
      <c r="HF1" s="101">
        <f t="shared" si="3"/>
        <v>47357</v>
      </c>
      <c r="HG1" s="101">
        <f t="shared" si="3"/>
        <v>47364</v>
      </c>
      <c r="HH1" s="101">
        <f t="shared" si="3"/>
        <v>47371</v>
      </c>
      <c r="HI1" s="101">
        <f t="shared" si="3"/>
        <v>47378</v>
      </c>
      <c r="HJ1" s="101">
        <f t="shared" si="3"/>
        <v>47385</v>
      </c>
      <c r="HK1" s="101">
        <f t="shared" si="3"/>
        <v>47392</v>
      </c>
      <c r="HL1" s="101">
        <f t="shared" si="3"/>
        <v>47399</v>
      </c>
      <c r="HM1" s="101">
        <f t="shared" si="3"/>
        <v>47406</v>
      </c>
      <c r="HN1" s="101">
        <f t="shared" si="3"/>
        <v>47413</v>
      </c>
      <c r="HO1" s="101">
        <f t="shared" si="3"/>
        <v>47420</v>
      </c>
      <c r="HP1" s="101">
        <f t="shared" si="3"/>
        <v>47427</v>
      </c>
      <c r="HQ1" s="101">
        <f t="shared" si="3"/>
        <v>47434</v>
      </c>
      <c r="HR1" s="101">
        <f t="shared" si="3"/>
        <v>47441</v>
      </c>
      <c r="HS1" s="101">
        <f t="shared" si="3"/>
        <v>47448</v>
      </c>
      <c r="HT1" s="101">
        <f t="shared" si="3"/>
        <v>47455</v>
      </c>
      <c r="HU1" s="101">
        <f t="shared" si="3"/>
        <v>47462</v>
      </c>
      <c r="HV1" s="101">
        <f t="shared" si="3"/>
        <v>47469</v>
      </c>
      <c r="HW1" s="101">
        <f t="shared" si="3"/>
        <v>47476</v>
      </c>
      <c r="HX1" s="101">
        <f t="shared" si="3"/>
        <v>47483</v>
      </c>
      <c r="HY1" s="101">
        <f t="shared" si="3"/>
        <v>47490</v>
      </c>
      <c r="HZ1" s="101">
        <f t="shared" si="3"/>
        <v>47497</v>
      </c>
      <c r="IA1" s="101">
        <f t="shared" si="3"/>
        <v>47504</v>
      </c>
      <c r="IB1" s="101">
        <f t="shared" si="3"/>
        <v>47511</v>
      </c>
      <c r="IC1" s="101">
        <f t="shared" si="3"/>
        <v>47518</v>
      </c>
      <c r="ID1" s="101">
        <f t="shared" si="3"/>
        <v>47525</v>
      </c>
      <c r="IE1" s="101">
        <f t="shared" si="3"/>
        <v>47532</v>
      </c>
      <c r="IF1" s="101">
        <f t="shared" si="3"/>
        <v>47539</v>
      </c>
      <c r="IG1" s="101">
        <f t="shared" si="3"/>
        <v>47546</v>
      </c>
      <c r="IH1" s="101">
        <f t="shared" si="3"/>
        <v>47553</v>
      </c>
      <c r="II1" s="101">
        <f t="shared" si="3"/>
        <v>47560</v>
      </c>
      <c r="IJ1" s="101">
        <f t="shared" si="3"/>
        <v>47567</v>
      </c>
      <c r="IK1" s="101">
        <f t="shared" si="3"/>
        <v>47574</v>
      </c>
      <c r="IL1" s="101">
        <f t="shared" si="3"/>
        <v>47581</v>
      </c>
      <c r="IM1" s="101">
        <f t="shared" si="3"/>
        <v>47588</v>
      </c>
      <c r="IN1" s="101">
        <f t="shared" si="3"/>
        <v>47595</v>
      </c>
      <c r="IO1" s="101">
        <f t="shared" si="3"/>
        <v>47602</v>
      </c>
      <c r="IP1" s="101">
        <f t="shared" si="3"/>
        <v>47609</v>
      </c>
      <c r="IQ1" s="101">
        <f t="shared" si="3"/>
        <v>47616</v>
      </c>
      <c r="IR1" s="101">
        <f t="shared" si="3"/>
        <v>47623</v>
      </c>
      <c r="IS1" s="101">
        <f t="shared" si="3"/>
        <v>47630</v>
      </c>
      <c r="IT1" s="101">
        <f t="shared" si="3"/>
        <v>47637</v>
      </c>
      <c r="IU1" s="101">
        <f t="shared" si="3"/>
        <v>47644</v>
      </c>
      <c r="IV1" s="101">
        <f t="shared" si="3"/>
        <v>47651</v>
      </c>
      <c r="IW1" s="101">
        <f t="shared" si="3"/>
        <v>47658</v>
      </c>
      <c r="IX1" s="101">
        <f t="shared" si="3"/>
        <v>47665</v>
      </c>
      <c r="IY1" s="101">
        <f t="shared" si="3"/>
        <v>47672</v>
      </c>
      <c r="IZ1" s="101">
        <f t="shared" si="3"/>
        <v>47679</v>
      </c>
      <c r="JA1" s="101">
        <f t="shared" si="3"/>
        <v>47686</v>
      </c>
      <c r="JB1" s="101">
        <f t="shared" si="3"/>
        <v>47693</v>
      </c>
      <c r="JC1" s="101">
        <f t="shared" si="3"/>
        <v>47700</v>
      </c>
      <c r="JD1" s="101">
        <f t="shared" si="3"/>
        <v>47707</v>
      </c>
      <c r="JE1" s="101">
        <f t="shared" ref="JE1:KF1" si="4">JD1+7</f>
        <v>47714</v>
      </c>
      <c r="JF1" s="101">
        <f t="shared" si="4"/>
        <v>47721</v>
      </c>
      <c r="JG1" s="101">
        <f t="shared" si="4"/>
        <v>47728</v>
      </c>
      <c r="JH1" s="101">
        <f t="shared" si="4"/>
        <v>47735</v>
      </c>
      <c r="JI1" s="101">
        <f t="shared" si="4"/>
        <v>47742</v>
      </c>
      <c r="JJ1" s="101">
        <f t="shared" si="4"/>
        <v>47749</v>
      </c>
      <c r="JK1" s="101">
        <f t="shared" si="4"/>
        <v>47756</v>
      </c>
      <c r="JL1" s="101">
        <f t="shared" si="4"/>
        <v>47763</v>
      </c>
      <c r="JM1" s="101">
        <f t="shared" si="4"/>
        <v>47770</v>
      </c>
      <c r="JN1" s="101">
        <f t="shared" si="4"/>
        <v>47777</v>
      </c>
      <c r="JO1" s="101">
        <f t="shared" si="4"/>
        <v>47784</v>
      </c>
      <c r="JP1" s="101">
        <f t="shared" si="4"/>
        <v>47791</v>
      </c>
      <c r="JQ1" s="101">
        <f t="shared" si="4"/>
        <v>47798</v>
      </c>
      <c r="JR1" s="101">
        <f t="shared" si="4"/>
        <v>47805</v>
      </c>
      <c r="JS1" s="101">
        <f t="shared" si="4"/>
        <v>47812</v>
      </c>
      <c r="JT1" s="101">
        <f t="shared" si="4"/>
        <v>47819</v>
      </c>
      <c r="JU1" s="101">
        <f t="shared" si="4"/>
        <v>47826</v>
      </c>
      <c r="JV1" s="101">
        <f t="shared" si="4"/>
        <v>47833</v>
      </c>
      <c r="JW1" s="101">
        <f t="shared" si="4"/>
        <v>47840</v>
      </c>
      <c r="JX1" s="101">
        <f t="shared" si="4"/>
        <v>47847</v>
      </c>
      <c r="JY1" s="101">
        <f t="shared" si="4"/>
        <v>47854</v>
      </c>
      <c r="JZ1" s="101">
        <f t="shared" si="4"/>
        <v>47861</v>
      </c>
      <c r="KA1" s="101">
        <f t="shared" si="4"/>
        <v>47868</v>
      </c>
      <c r="KB1" s="101">
        <f t="shared" si="4"/>
        <v>47875</v>
      </c>
      <c r="KC1" s="101">
        <f t="shared" si="4"/>
        <v>47882</v>
      </c>
      <c r="KD1" s="101">
        <f t="shared" si="4"/>
        <v>47889</v>
      </c>
      <c r="KE1" s="101">
        <f t="shared" si="4"/>
        <v>47896</v>
      </c>
      <c r="KF1" s="101">
        <f t="shared" si="4"/>
        <v>47903</v>
      </c>
    </row>
    <row r="2" spans="1:770" s="102" customFormat="1">
      <c r="A2" s="751" t="s">
        <v>417</v>
      </c>
      <c r="B2" s="103"/>
      <c r="C2" s="104" t="s">
        <v>259</v>
      </c>
      <c r="D2" s="104" t="s">
        <v>259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2"/>
      <c r="B3" s="106" t="s">
        <v>204</v>
      </c>
      <c r="C3" s="107">
        <f>'Revenue Tracking'!D4</f>
        <v>2077436.28</v>
      </c>
      <c r="D3" s="107">
        <f>SUM(F3:KF3)</f>
        <v>2077436.28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1038718.14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727102.69800000009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207743.62800000003</v>
      </c>
      <c r="T3" s="109">
        <f>SUMIFS('Revenue Tracking'!$F$13:$F$19, 'Revenue Tracking'!$H$13:$H$19, "&gt;="&amp;T1,'Revenue Tracking'!$H$13:$H$19, "&lt;"&amp;U1)</f>
        <v>103871.81400000001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2"/>
      <c r="B4" s="106" t="s">
        <v>418</v>
      </c>
      <c r="C4" s="107"/>
      <c r="D4" s="107"/>
      <c r="E4" s="108"/>
      <c r="F4" s="109">
        <f>F3</f>
        <v>0</v>
      </c>
      <c r="G4" s="109">
        <f>F4+G3</f>
        <v>1038718.14</v>
      </c>
      <c r="H4" s="109">
        <f>G4+H3</f>
        <v>1038718.14</v>
      </c>
      <c r="I4" s="109">
        <f t="shared" ref="I4:BT4" si="5">H4+I3</f>
        <v>1038718.14</v>
      </c>
      <c r="J4" s="109">
        <f t="shared" si="5"/>
        <v>1038718.14</v>
      </c>
      <c r="K4" s="109">
        <f t="shared" si="5"/>
        <v>1038718.14</v>
      </c>
      <c r="L4" s="109">
        <f t="shared" si="5"/>
        <v>1038718.14</v>
      </c>
      <c r="M4" s="109">
        <f t="shared" si="5"/>
        <v>1038718.14</v>
      </c>
      <c r="N4" s="109">
        <f t="shared" si="5"/>
        <v>1038718.14</v>
      </c>
      <c r="O4" s="109">
        <f t="shared" si="5"/>
        <v>1038718.14</v>
      </c>
      <c r="P4" s="109">
        <f t="shared" si="5"/>
        <v>1765820.838</v>
      </c>
      <c r="Q4" s="109">
        <f t="shared" si="5"/>
        <v>1765820.838</v>
      </c>
      <c r="R4" s="109">
        <f t="shared" si="5"/>
        <v>1765820.838</v>
      </c>
      <c r="S4" s="109">
        <f t="shared" si="5"/>
        <v>1973564.466</v>
      </c>
      <c r="T4" s="109">
        <f t="shared" si="5"/>
        <v>2077436.28</v>
      </c>
      <c r="U4" s="109">
        <f t="shared" si="5"/>
        <v>2077436.28</v>
      </c>
      <c r="V4" s="109">
        <f t="shared" si="5"/>
        <v>2077436.28</v>
      </c>
      <c r="W4" s="109">
        <f t="shared" si="5"/>
        <v>2077436.28</v>
      </c>
      <c r="X4" s="109">
        <f t="shared" si="5"/>
        <v>2077436.28</v>
      </c>
      <c r="Y4" s="109">
        <f t="shared" si="5"/>
        <v>2077436.28</v>
      </c>
      <c r="Z4" s="109">
        <f t="shared" si="5"/>
        <v>2077436.28</v>
      </c>
      <c r="AA4" s="109">
        <f t="shared" si="5"/>
        <v>2077436.28</v>
      </c>
      <c r="AB4" s="109">
        <f t="shared" si="5"/>
        <v>2077436.28</v>
      </c>
      <c r="AC4" s="109">
        <f t="shared" si="5"/>
        <v>2077436.28</v>
      </c>
      <c r="AD4" s="109">
        <f>AC4+AD3</f>
        <v>2077436.28</v>
      </c>
      <c r="AE4" s="109">
        <f t="shared" si="5"/>
        <v>2077436.28</v>
      </c>
      <c r="AF4" s="109">
        <f t="shared" si="5"/>
        <v>2077436.28</v>
      </c>
      <c r="AG4" s="109">
        <f t="shared" si="5"/>
        <v>2077436.28</v>
      </c>
      <c r="AH4" s="109">
        <f t="shared" si="5"/>
        <v>2077436.28</v>
      </c>
      <c r="AI4" s="109">
        <f t="shared" si="5"/>
        <v>2077436.28</v>
      </c>
      <c r="AJ4" s="109">
        <f t="shared" si="5"/>
        <v>2077436.28</v>
      </c>
      <c r="AK4" s="109">
        <f t="shared" si="5"/>
        <v>2077436.28</v>
      </c>
      <c r="AL4" s="109">
        <f t="shared" si="5"/>
        <v>2077436.28</v>
      </c>
      <c r="AM4" s="109">
        <f t="shared" si="5"/>
        <v>2077436.28</v>
      </c>
      <c r="AN4" s="109">
        <f t="shared" si="5"/>
        <v>2077436.28</v>
      </c>
      <c r="AO4" s="109">
        <f t="shared" si="5"/>
        <v>2077436.28</v>
      </c>
      <c r="AP4" s="109">
        <f t="shared" si="5"/>
        <v>2077436.28</v>
      </c>
      <c r="AQ4" s="109">
        <f t="shared" si="5"/>
        <v>2077436.28</v>
      </c>
      <c r="AR4" s="109">
        <f t="shared" si="5"/>
        <v>2077436.28</v>
      </c>
      <c r="AS4" s="109">
        <f t="shared" si="5"/>
        <v>2077436.28</v>
      </c>
      <c r="AT4" s="109">
        <f t="shared" si="5"/>
        <v>2077436.28</v>
      </c>
      <c r="AU4" s="109">
        <f t="shared" si="5"/>
        <v>2077436.28</v>
      </c>
      <c r="AV4" s="109">
        <f t="shared" si="5"/>
        <v>2077436.28</v>
      </c>
      <c r="AW4" s="109">
        <f t="shared" si="5"/>
        <v>2077436.28</v>
      </c>
      <c r="AX4" s="109">
        <f t="shared" si="5"/>
        <v>2077436.28</v>
      </c>
      <c r="AY4" s="109">
        <f t="shared" si="5"/>
        <v>2077436.28</v>
      </c>
      <c r="AZ4" s="109">
        <f t="shared" si="5"/>
        <v>2077436.28</v>
      </c>
      <c r="BA4" s="109">
        <f t="shared" si="5"/>
        <v>2077436.28</v>
      </c>
      <c r="BB4" s="109">
        <f t="shared" si="5"/>
        <v>2077436.28</v>
      </c>
      <c r="BC4" s="109">
        <f t="shared" si="5"/>
        <v>2077436.28</v>
      </c>
      <c r="BD4" s="109">
        <f t="shared" si="5"/>
        <v>2077436.28</v>
      </c>
      <c r="BE4" s="109">
        <f t="shared" si="5"/>
        <v>2077436.28</v>
      </c>
      <c r="BF4" s="109">
        <f t="shared" si="5"/>
        <v>2077436.28</v>
      </c>
      <c r="BG4" s="109">
        <f t="shared" si="5"/>
        <v>2077436.28</v>
      </c>
      <c r="BH4" s="109">
        <f t="shared" si="5"/>
        <v>2077436.28</v>
      </c>
      <c r="BI4" s="109">
        <f t="shared" si="5"/>
        <v>2077436.28</v>
      </c>
      <c r="BJ4" s="109">
        <f t="shared" si="5"/>
        <v>2077436.28</v>
      </c>
      <c r="BK4" s="109">
        <f t="shared" si="5"/>
        <v>2077436.28</v>
      </c>
      <c r="BL4" s="109">
        <f t="shared" si="5"/>
        <v>2077436.28</v>
      </c>
      <c r="BM4" s="109">
        <f t="shared" si="5"/>
        <v>2077436.28</v>
      </c>
      <c r="BN4" s="109">
        <f t="shared" si="5"/>
        <v>2077436.28</v>
      </c>
      <c r="BO4" s="109">
        <f t="shared" si="5"/>
        <v>2077436.28</v>
      </c>
      <c r="BP4" s="109">
        <f t="shared" si="5"/>
        <v>2077436.28</v>
      </c>
      <c r="BQ4" s="109">
        <f t="shared" si="5"/>
        <v>2077436.28</v>
      </c>
      <c r="BR4" s="109">
        <f t="shared" si="5"/>
        <v>2077436.28</v>
      </c>
      <c r="BS4" s="109">
        <f t="shared" si="5"/>
        <v>2077436.28</v>
      </c>
      <c r="BT4" s="109">
        <f t="shared" si="5"/>
        <v>2077436.28</v>
      </c>
      <c r="BU4" s="109">
        <f t="shared" ref="BU4:EF4" si="6">BT4+BU3</f>
        <v>2077436.28</v>
      </c>
      <c r="BV4" s="109">
        <f t="shared" si="6"/>
        <v>2077436.28</v>
      </c>
      <c r="BW4" s="109">
        <f t="shared" si="6"/>
        <v>2077436.28</v>
      </c>
      <c r="BX4" s="109">
        <f t="shared" si="6"/>
        <v>2077436.28</v>
      </c>
      <c r="BY4" s="109">
        <f t="shared" si="6"/>
        <v>2077436.28</v>
      </c>
      <c r="BZ4" s="109">
        <f t="shared" si="6"/>
        <v>2077436.28</v>
      </c>
      <c r="CA4" s="109">
        <f t="shared" si="6"/>
        <v>2077436.28</v>
      </c>
      <c r="CB4" s="109">
        <f t="shared" si="6"/>
        <v>2077436.28</v>
      </c>
      <c r="CC4" s="109">
        <f t="shared" si="6"/>
        <v>2077436.28</v>
      </c>
      <c r="CD4" s="109">
        <f t="shared" si="6"/>
        <v>2077436.28</v>
      </c>
      <c r="CE4" s="109">
        <f t="shared" si="6"/>
        <v>2077436.28</v>
      </c>
      <c r="CF4" s="109">
        <f t="shared" si="6"/>
        <v>2077436.28</v>
      </c>
      <c r="CG4" s="109">
        <f t="shared" si="6"/>
        <v>2077436.28</v>
      </c>
      <c r="CH4" s="109">
        <f t="shared" si="6"/>
        <v>2077436.28</v>
      </c>
      <c r="CI4" s="109">
        <f t="shared" si="6"/>
        <v>2077436.28</v>
      </c>
      <c r="CJ4" s="109">
        <f t="shared" si="6"/>
        <v>2077436.28</v>
      </c>
      <c r="CK4" s="109">
        <f t="shared" si="6"/>
        <v>2077436.28</v>
      </c>
      <c r="CL4" s="109">
        <f t="shared" si="6"/>
        <v>2077436.28</v>
      </c>
      <c r="CM4" s="109">
        <f t="shared" si="6"/>
        <v>2077436.28</v>
      </c>
      <c r="CN4" s="109">
        <f t="shared" si="6"/>
        <v>2077436.28</v>
      </c>
      <c r="CO4" s="109">
        <f t="shared" si="6"/>
        <v>2077436.28</v>
      </c>
      <c r="CP4" s="109">
        <f t="shared" si="6"/>
        <v>2077436.28</v>
      </c>
      <c r="CQ4" s="109">
        <f t="shared" si="6"/>
        <v>2077436.28</v>
      </c>
      <c r="CR4" s="109">
        <f t="shared" si="6"/>
        <v>2077436.28</v>
      </c>
      <c r="CS4" s="109">
        <f t="shared" si="6"/>
        <v>2077436.28</v>
      </c>
      <c r="CT4" s="109">
        <f t="shared" si="6"/>
        <v>2077436.28</v>
      </c>
      <c r="CU4" s="109">
        <f t="shared" si="6"/>
        <v>2077436.28</v>
      </c>
      <c r="CV4" s="109">
        <f t="shared" si="6"/>
        <v>2077436.28</v>
      </c>
      <c r="CW4" s="109">
        <f t="shared" si="6"/>
        <v>2077436.28</v>
      </c>
      <c r="CX4" s="109">
        <f t="shared" si="6"/>
        <v>2077436.28</v>
      </c>
      <c r="CY4" s="109">
        <f t="shared" si="6"/>
        <v>2077436.28</v>
      </c>
      <c r="CZ4" s="109">
        <f t="shared" si="6"/>
        <v>2077436.28</v>
      </c>
      <c r="DA4" s="109">
        <f t="shared" si="6"/>
        <v>2077436.28</v>
      </c>
      <c r="DB4" s="109">
        <f t="shared" si="6"/>
        <v>2077436.28</v>
      </c>
      <c r="DC4" s="109">
        <f t="shared" si="6"/>
        <v>2077436.28</v>
      </c>
      <c r="DD4" s="109">
        <f t="shared" si="6"/>
        <v>2077436.28</v>
      </c>
      <c r="DE4" s="109">
        <f t="shared" si="6"/>
        <v>2077436.28</v>
      </c>
      <c r="DF4" s="109">
        <f t="shared" si="6"/>
        <v>2077436.28</v>
      </c>
      <c r="DG4" s="109">
        <f t="shared" si="6"/>
        <v>2077436.28</v>
      </c>
      <c r="DH4" s="109">
        <f t="shared" si="6"/>
        <v>2077436.28</v>
      </c>
      <c r="DI4" s="109">
        <f t="shared" si="6"/>
        <v>2077436.28</v>
      </c>
      <c r="DJ4" s="109">
        <f t="shared" si="6"/>
        <v>2077436.28</v>
      </c>
      <c r="DK4" s="109">
        <f t="shared" si="6"/>
        <v>2077436.28</v>
      </c>
      <c r="DL4" s="109">
        <f t="shared" si="6"/>
        <v>2077436.28</v>
      </c>
      <c r="DM4" s="109">
        <f t="shared" si="6"/>
        <v>2077436.28</v>
      </c>
      <c r="DN4" s="109">
        <f t="shared" si="6"/>
        <v>2077436.28</v>
      </c>
      <c r="DO4" s="109">
        <f t="shared" si="6"/>
        <v>2077436.28</v>
      </c>
      <c r="DP4" s="109">
        <f t="shared" si="6"/>
        <v>2077436.28</v>
      </c>
      <c r="DQ4" s="109">
        <f t="shared" si="6"/>
        <v>2077436.28</v>
      </c>
      <c r="DR4" s="109">
        <f t="shared" si="6"/>
        <v>2077436.28</v>
      </c>
      <c r="DS4" s="109">
        <f t="shared" si="6"/>
        <v>2077436.28</v>
      </c>
      <c r="DT4" s="109">
        <f t="shared" si="6"/>
        <v>2077436.28</v>
      </c>
      <c r="DU4" s="109">
        <f t="shared" si="6"/>
        <v>2077436.28</v>
      </c>
      <c r="DV4" s="109">
        <f t="shared" si="6"/>
        <v>2077436.28</v>
      </c>
      <c r="DW4" s="109">
        <f t="shared" si="6"/>
        <v>2077436.28</v>
      </c>
      <c r="DX4" s="109">
        <f t="shared" si="6"/>
        <v>2077436.28</v>
      </c>
      <c r="DY4" s="109">
        <f t="shared" si="6"/>
        <v>2077436.28</v>
      </c>
      <c r="DZ4" s="109">
        <f t="shared" si="6"/>
        <v>2077436.28</v>
      </c>
      <c r="EA4" s="109">
        <f t="shared" si="6"/>
        <v>2077436.28</v>
      </c>
      <c r="EB4" s="109">
        <f t="shared" si="6"/>
        <v>2077436.28</v>
      </c>
      <c r="EC4" s="109">
        <f t="shared" si="6"/>
        <v>2077436.28</v>
      </c>
      <c r="ED4" s="109">
        <f t="shared" si="6"/>
        <v>2077436.28</v>
      </c>
      <c r="EE4" s="109">
        <f t="shared" si="6"/>
        <v>2077436.28</v>
      </c>
      <c r="EF4" s="109">
        <f t="shared" si="6"/>
        <v>2077436.28</v>
      </c>
      <c r="EG4" s="109">
        <f t="shared" ref="EG4:GR4" si="7">EF4+EG3</f>
        <v>2077436.28</v>
      </c>
      <c r="EH4" s="109">
        <f t="shared" si="7"/>
        <v>2077436.28</v>
      </c>
      <c r="EI4" s="109">
        <f t="shared" si="7"/>
        <v>2077436.28</v>
      </c>
      <c r="EJ4" s="109">
        <f t="shared" si="7"/>
        <v>2077436.28</v>
      </c>
      <c r="EK4" s="109">
        <f t="shared" si="7"/>
        <v>2077436.28</v>
      </c>
      <c r="EL4" s="109">
        <f t="shared" si="7"/>
        <v>2077436.28</v>
      </c>
      <c r="EM4" s="109">
        <f t="shared" si="7"/>
        <v>2077436.28</v>
      </c>
      <c r="EN4" s="109">
        <f t="shared" si="7"/>
        <v>2077436.28</v>
      </c>
      <c r="EO4" s="109">
        <f t="shared" si="7"/>
        <v>2077436.28</v>
      </c>
      <c r="EP4" s="109">
        <f t="shared" si="7"/>
        <v>2077436.28</v>
      </c>
      <c r="EQ4" s="109">
        <f t="shared" si="7"/>
        <v>2077436.28</v>
      </c>
      <c r="ER4" s="109">
        <f t="shared" si="7"/>
        <v>2077436.28</v>
      </c>
      <c r="ES4" s="109">
        <f t="shared" si="7"/>
        <v>2077436.28</v>
      </c>
      <c r="ET4" s="109">
        <f t="shared" si="7"/>
        <v>2077436.28</v>
      </c>
      <c r="EU4" s="109">
        <f t="shared" si="7"/>
        <v>2077436.28</v>
      </c>
      <c r="EV4" s="109">
        <f t="shared" si="7"/>
        <v>2077436.28</v>
      </c>
      <c r="EW4" s="109">
        <f t="shared" si="7"/>
        <v>2077436.28</v>
      </c>
      <c r="EX4" s="109">
        <f t="shared" si="7"/>
        <v>2077436.28</v>
      </c>
      <c r="EY4" s="109">
        <f t="shared" si="7"/>
        <v>2077436.28</v>
      </c>
      <c r="EZ4" s="109">
        <f t="shared" si="7"/>
        <v>2077436.28</v>
      </c>
      <c r="FA4" s="109">
        <f t="shared" si="7"/>
        <v>2077436.28</v>
      </c>
      <c r="FB4" s="109">
        <f t="shared" si="7"/>
        <v>2077436.28</v>
      </c>
      <c r="FC4" s="109">
        <f t="shared" si="7"/>
        <v>2077436.28</v>
      </c>
      <c r="FD4" s="109">
        <f t="shared" si="7"/>
        <v>2077436.28</v>
      </c>
      <c r="FE4" s="109">
        <f t="shared" si="7"/>
        <v>2077436.28</v>
      </c>
      <c r="FF4" s="109">
        <f t="shared" si="7"/>
        <v>2077436.28</v>
      </c>
      <c r="FG4" s="109">
        <f t="shared" si="7"/>
        <v>2077436.28</v>
      </c>
      <c r="FH4" s="109">
        <f t="shared" si="7"/>
        <v>2077436.28</v>
      </c>
      <c r="FI4" s="109">
        <f t="shared" si="7"/>
        <v>2077436.28</v>
      </c>
      <c r="FJ4" s="109">
        <f t="shared" si="7"/>
        <v>2077436.28</v>
      </c>
      <c r="FK4" s="109">
        <f t="shared" si="7"/>
        <v>2077436.28</v>
      </c>
      <c r="FL4" s="109">
        <f t="shared" si="7"/>
        <v>2077436.28</v>
      </c>
      <c r="FM4" s="109">
        <f t="shared" si="7"/>
        <v>2077436.28</v>
      </c>
      <c r="FN4" s="109">
        <f t="shared" si="7"/>
        <v>2077436.28</v>
      </c>
      <c r="FO4" s="109">
        <f t="shared" si="7"/>
        <v>2077436.28</v>
      </c>
      <c r="FP4" s="109">
        <f t="shared" si="7"/>
        <v>2077436.28</v>
      </c>
      <c r="FQ4" s="109">
        <f t="shared" si="7"/>
        <v>2077436.28</v>
      </c>
      <c r="FR4" s="109">
        <f t="shared" si="7"/>
        <v>2077436.28</v>
      </c>
      <c r="FS4" s="109">
        <f t="shared" si="7"/>
        <v>2077436.28</v>
      </c>
      <c r="FT4" s="109">
        <f t="shared" si="7"/>
        <v>2077436.28</v>
      </c>
      <c r="FU4" s="109">
        <f t="shared" si="7"/>
        <v>2077436.28</v>
      </c>
      <c r="FV4" s="109">
        <f t="shared" si="7"/>
        <v>2077436.28</v>
      </c>
      <c r="FW4" s="109">
        <f t="shared" si="7"/>
        <v>2077436.28</v>
      </c>
      <c r="FX4" s="109">
        <f t="shared" si="7"/>
        <v>2077436.28</v>
      </c>
      <c r="FY4" s="109">
        <f t="shared" si="7"/>
        <v>2077436.28</v>
      </c>
      <c r="FZ4" s="109">
        <f t="shared" si="7"/>
        <v>2077436.28</v>
      </c>
      <c r="GA4" s="109">
        <f t="shared" si="7"/>
        <v>2077436.28</v>
      </c>
      <c r="GB4" s="109">
        <f t="shared" si="7"/>
        <v>2077436.28</v>
      </c>
      <c r="GC4" s="109">
        <f t="shared" si="7"/>
        <v>2077436.28</v>
      </c>
      <c r="GD4" s="109">
        <f t="shared" si="7"/>
        <v>2077436.28</v>
      </c>
      <c r="GE4" s="109">
        <f t="shared" si="7"/>
        <v>2077436.28</v>
      </c>
      <c r="GF4" s="109">
        <f t="shared" si="7"/>
        <v>2077436.28</v>
      </c>
      <c r="GG4" s="109">
        <f t="shared" si="7"/>
        <v>2077436.28</v>
      </c>
      <c r="GH4" s="109">
        <f t="shared" si="7"/>
        <v>2077436.28</v>
      </c>
      <c r="GI4" s="109">
        <f t="shared" si="7"/>
        <v>2077436.28</v>
      </c>
      <c r="GJ4" s="109">
        <f t="shared" si="7"/>
        <v>2077436.28</v>
      </c>
      <c r="GK4" s="109">
        <f t="shared" si="7"/>
        <v>2077436.28</v>
      </c>
      <c r="GL4" s="109">
        <f t="shared" si="7"/>
        <v>2077436.28</v>
      </c>
      <c r="GM4" s="109">
        <f t="shared" si="7"/>
        <v>2077436.28</v>
      </c>
      <c r="GN4" s="109">
        <f t="shared" si="7"/>
        <v>2077436.28</v>
      </c>
      <c r="GO4" s="109">
        <f t="shared" si="7"/>
        <v>2077436.28</v>
      </c>
      <c r="GP4" s="109">
        <f t="shared" si="7"/>
        <v>2077436.28</v>
      </c>
      <c r="GQ4" s="109">
        <f t="shared" si="7"/>
        <v>2077436.28</v>
      </c>
      <c r="GR4" s="109">
        <f t="shared" si="7"/>
        <v>2077436.28</v>
      </c>
      <c r="GS4" s="109">
        <f t="shared" ref="GS4:JD4" si="8">GR4+GS3</f>
        <v>2077436.28</v>
      </c>
      <c r="GT4" s="109">
        <f t="shared" si="8"/>
        <v>2077436.28</v>
      </c>
      <c r="GU4" s="109">
        <f t="shared" si="8"/>
        <v>2077436.28</v>
      </c>
      <c r="GV4" s="109">
        <f t="shared" si="8"/>
        <v>2077436.28</v>
      </c>
      <c r="GW4" s="109">
        <f t="shared" si="8"/>
        <v>2077436.28</v>
      </c>
      <c r="GX4" s="109">
        <f t="shared" si="8"/>
        <v>2077436.28</v>
      </c>
      <c r="GY4" s="109">
        <f t="shared" si="8"/>
        <v>2077436.28</v>
      </c>
      <c r="GZ4" s="109">
        <f t="shared" si="8"/>
        <v>2077436.28</v>
      </c>
      <c r="HA4" s="109">
        <f t="shared" si="8"/>
        <v>2077436.28</v>
      </c>
      <c r="HB4" s="109">
        <f t="shared" si="8"/>
        <v>2077436.28</v>
      </c>
      <c r="HC4" s="109">
        <f t="shared" si="8"/>
        <v>2077436.28</v>
      </c>
      <c r="HD4" s="109">
        <f t="shared" si="8"/>
        <v>2077436.28</v>
      </c>
      <c r="HE4" s="109">
        <f t="shared" si="8"/>
        <v>2077436.28</v>
      </c>
      <c r="HF4" s="109">
        <f t="shared" si="8"/>
        <v>2077436.28</v>
      </c>
      <c r="HG4" s="109">
        <f t="shared" si="8"/>
        <v>2077436.28</v>
      </c>
      <c r="HH4" s="109">
        <f t="shared" si="8"/>
        <v>2077436.28</v>
      </c>
      <c r="HI4" s="109">
        <f t="shared" si="8"/>
        <v>2077436.28</v>
      </c>
      <c r="HJ4" s="109">
        <f t="shared" si="8"/>
        <v>2077436.28</v>
      </c>
      <c r="HK4" s="109">
        <f t="shared" si="8"/>
        <v>2077436.28</v>
      </c>
      <c r="HL4" s="109">
        <f t="shared" si="8"/>
        <v>2077436.28</v>
      </c>
      <c r="HM4" s="109">
        <f t="shared" si="8"/>
        <v>2077436.28</v>
      </c>
      <c r="HN4" s="109">
        <f t="shared" si="8"/>
        <v>2077436.28</v>
      </c>
      <c r="HO4" s="109">
        <f t="shared" si="8"/>
        <v>2077436.28</v>
      </c>
      <c r="HP4" s="109">
        <f t="shared" si="8"/>
        <v>2077436.28</v>
      </c>
      <c r="HQ4" s="109">
        <f t="shared" si="8"/>
        <v>2077436.28</v>
      </c>
      <c r="HR4" s="109">
        <f t="shared" si="8"/>
        <v>2077436.28</v>
      </c>
      <c r="HS4" s="109">
        <f t="shared" si="8"/>
        <v>2077436.28</v>
      </c>
      <c r="HT4" s="109">
        <f t="shared" si="8"/>
        <v>2077436.28</v>
      </c>
      <c r="HU4" s="109">
        <f t="shared" si="8"/>
        <v>2077436.28</v>
      </c>
      <c r="HV4" s="109">
        <f t="shared" si="8"/>
        <v>2077436.28</v>
      </c>
      <c r="HW4" s="109">
        <f t="shared" si="8"/>
        <v>2077436.28</v>
      </c>
      <c r="HX4" s="109">
        <f t="shared" si="8"/>
        <v>2077436.28</v>
      </c>
      <c r="HY4" s="109">
        <f t="shared" si="8"/>
        <v>2077436.28</v>
      </c>
      <c r="HZ4" s="109">
        <f t="shared" si="8"/>
        <v>2077436.28</v>
      </c>
      <c r="IA4" s="109">
        <f t="shared" si="8"/>
        <v>2077436.28</v>
      </c>
      <c r="IB4" s="109">
        <f t="shared" si="8"/>
        <v>2077436.28</v>
      </c>
      <c r="IC4" s="109">
        <f t="shared" si="8"/>
        <v>2077436.28</v>
      </c>
      <c r="ID4" s="109">
        <f t="shared" si="8"/>
        <v>2077436.28</v>
      </c>
      <c r="IE4" s="109">
        <f t="shared" si="8"/>
        <v>2077436.28</v>
      </c>
      <c r="IF4" s="109">
        <f t="shared" si="8"/>
        <v>2077436.28</v>
      </c>
      <c r="IG4" s="109">
        <f t="shared" si="8"/>
        <v>2077436.28</v>
      </c>
      <c r="IH4" s="109">
        <f t="shared" si="8"/>
        <v>2077436.28</v>
      </c>
      <c r="II4" s="109">
        <f t="shared" si="8"/>
        <v>2077436.28</v>
      </c>
      <c r="IJ4" s="109">
        <f t="shared" si="8"/>
        <v>2077436.28</v>
      </c>
      <c r="IK4" s="109">
        <f t="shared" si="8"/>
        <v>2077436.28</v>
      </c>
      <c r="IL4" s="109">
        <f t="shared" si="8"/>
        <v>2077436.28</v>
      </c>
      <c r="IM4" s="109">
        <f t="shared" si="8"/>
        <v>2077436.28</v>
      </c>
      <c r="IN4" s="109">
        <f t="shared" si="8"/>
        <v>2077436.28</v>
      </c>
      <c r="IO4" s="109">
        <f t="shared" si="8"/>
        <v>2077436.28</v>
      </c>
      <c r="IP4" s="109">
        <f t="shared" si="8"/>
        <v>2077436.28</v>
      </c>
      <c r="IQ4" s="109">
        <f t="shared" si="8"/>
        <v>2077436.28</v>
      </c>
      <c r="IR4" s="109">
        <f t="shared" si="8"/>
        <v>2077436.28</v>
      </c>
      <c r="IS4" s="109">
        <f t="shared" si="8"/>
        <v>2077436.28</v>
      </c>
      <c r="IT4" s="109">
        <f t="shared" si="8"/>
        <v>2077436.28</v>
      </c>
      <c r="IU4" s="109">
        <f t="shared" si="8"/>
        <v>2077436.28</v>
      </c>
      <c r="IV4" s="109">
        <f t="shared" si="8"/>
        <v>2077436.28</v>
      </c>
      <c r="IW4" s="109">
        <f t="shared" si="8"/>
        <v>2077436.28</v>
      </c>
      <c r="IX4" s="109">
        <f t="shared" si="8"/>
        <v>2077436.28</v>
      </c>
      <c r="IY4" s="109">
        <f t="shared" si="8"/>
        <v>2077436.28</v>
      </c>
      <c r="IZ4" s="109">
        <f t="shared" si="8"/>
        <v>2077436.28</v>
      </c>
      <c r="JA4" s="109">
        <f t="shared" si="8"/>
        <v>2077436.28</v>
      </c>
      <c r="JB4" s="109">
        <f t="shared" si="8"/>
        <v>2077436.28</v>
      </c>
      <c r="JC4" s="109">
        <f t="shared" si="8"/>
        <v>2077436.28</v>
      </c>
      <c r="JD4" s="109">
        <f t="shared" si="8"/>
        <v>2077436.28</v>
      </c>
      <c r="JE4" s="109">
        <f t="shared" ref="JE4:KF4" si="9">JD4+JE3</f>
        <v>2077436.28</v>
      </c>
      <c r="JF4" s="109">
        <f t="shared" si="9"/>
        <v>2077436.28</v>
      </c>
      <c r="JG4" s="109">
        <f t="shared" si="9"/>
        <v>2077436.28</v>
      </c>
      <c r="JH4" s="109">
        <f t="shared" si="9"/>
        <v>2077436.28</v>
      </c>
      <c r="JI4" s="109">
        <f t="shared" si="9"/>
        <v>2077436.28</v>
      </c>
      <c r="JJ4" s="109">
        <f t="shared" si="9"/>
        <v>2077436.28</v>
      </c>
      <c r="JK4" s="109">
        <f t="shared" si="9"/>
        <v>2077436.28</v>
      </c>
      <c r="JL4" s="109">
        <f t="shared" si="9"/>
        <v>2077436.28</v>
      </c>
      <c r="JM4" s="109">
        <f t="shared" si="9"/>
        <v>2077436.28</v>
      </c>
      <c r="JN4" s="109">
        <f t="shared" si="9"/>
        <v>2077436.28</v>
      </c>
      <c r="JO4" s="109">
        <f t="shared" si="9"/>
        <v>2077436.28</v>
      </c>
      <c r="JP4" s="109">
        <f t="shared" si="9"/>
        <v>2077436.28</v>
      </c>
      <c r="JQ4" s="109">
        <f t="shared" si="9"/>
        <v>2077436.28</v>
      </c>
      <c r="JR4" s="109">
        <f t="shared" si="9"/>
        <v>2077436.28</v>
      </c>
      <c r="JS4" s="109">
        <f t="shared" si="9"/>
        <v>2077436.28</v>
      </c>
      <c r="JT4" s="109">
        <f t="shared" si="9"/>
        <v>2077436.28</v>
      </c>
      <c r="JU4" s="109">
        <f t="shared" si="9"/>
        <v>2077436.28</v>
      </c>
      <c r="JV4" s="109">
        <f t="shared" si="9"/>
        <v>2077436.28</v>
      </c>
      <c r="JW4" s="109">
        <f t="shared" si="9"/>
        <v>2077436.28</v>
      </c>
      <c r="JX4" s="109">
        <f t="shared" si="9"/>
        <v>2077436.28</v>
      </c>
      <c r="JY4" s="109">
        <f t="shared" si="9"/>
        <v>2077436.28</v>
      </c>
      <c r="JZ4" s="109">
        <f t="shared" si="9"/>
        <v>2077436.28</v>
      </c>
      <c r="KA4" s="109">
        <f t="shared" si="9"/>
        <v>2077436.28</v>
      </c>
      <c r="KB4" s="109">
        <f t="shared" si="9"/>
        <v>2077436.28</v>
      </c>
      <c r="KC4" s="109">
        <f t="shared" si="9"/>
        <v>2077436.28</v>
      </c>
      <c r="KD4" s="109">
        <f t="shared" si="9"/>
        <v>2077436.28</v>
      </c>
      <c r="KE4" s="109">
        <f t="shared" si="9"/>
        <v>2077436.28</v>
      </c>
      <c r="KF4" s="109">
        <f t="shared" si="9"/>
        <v>2077436.28</v>
      </c>
    </row>
    <row r="5" spans="1:770" s="114" customFormat="1">
      <c r="A5" s="752"/>
      <c r="B5" s="110" t="s">
        <v>205</v>
      </c>
      <c r="C5" s="111">
        <f>'Revenue Tracking'!D5</f>
        <v>1702430.3199999998</v>
      </c>
      <c r="D5" s="111">
        <f>SUM(F5:KF5)</f>
        <v>1702430.3199999998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247198.35</v>
      </c>
      <c r="R5" s="112">
        <f>SUMIFS('Expenditure Breakdown'!$G$6:$G$173, 'Expenditure Breakdown'!$H$6:$H$173, "&gt;="&amp;R1,'Expenditure Breakdown'!$H$6:$H$173, "&lt;"&amp;S1)</f>
        <v>223330</v>
      </c>
      <c r="S5" s="112">
        <f>SUMIFS('Expenditure Breakdown'!$G$6:$G$173, 'Expenditure Breakdown'!$H$6:$H$173, "&gt;="&amp;S1,'Expenditure Breakdown'!$H$6:$H$173, "&lt;"&amp;T1)</f>
        <v>381286.82</v>
      </c>
      <c r="T5" s="112">
        <f>SUMIFS('Expenditure Breakdown'!$G$6:$G$173, 'Expenditure Breakdown'!$H$6:$H$173, "&gt;="&amp;T1,'Expenditure Breakdown'!$H$6:$H$173, "&lt;"&amp;U1)</f>
        <v>25338.65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0</v>
      </c>
      <c r="X5" s="112">
        <f>SUMIFS('Expenditure Breakdown'!$G$6:$G$173, 'Expenditure Breakdown'!$H$6:$H$173, "&gt;="&amp;X1,'Expenditure Breakdown'!$H$6:$H$173, "&lt;"&amp;Y1)</f>
        <v>825276.5</v>
      </c>
      <c r="Y5" s="112">
        <f>SUMIFS('Expenditure Breakdown'!$G$6:$G$173, 'Expenditure Breakdown'!$H$6:$H$173, "&gt;="&amp;Y1,'Expenditure Breakdown'!$H$6:$H$173, "&lt;"&amp;Z1)</f>
        <v>0</v>
      </c>
      <c r="Z5" s="112">
        <f>SUMIFS('Expenditure Breakdown'!$G$6:$G$173, 'Expenditure Breakdown'!$H$6:$H$173, "&gt;="&amp;Z1,'Expenditure Breakdown'!$H$6:$H$173, "&lt;"&amp;AA1)</f>
        <v>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0</v>
      </c>
      <c r="AC5" s="112">
        <f>SUMIFS('Expenditure Breakdown'!$G$6:$G$173, 'Expenditure Breakdown'!$H$6:$H$173, "&gt;="&amp;AC1,'Expenditure Breakdown'!$H$6:$H$173, "&lt;"&amp;AD1)</f>
        <v>0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52"/>
      <c r="B6" s="110" t="s">
        <v>419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247198.35</v>
      </c>
      <c r="R6" s="112">
        <f t="shared" si="10"/>
        <v>470528.35</v>
      </c>
      <c r="S6" s="112">
        <f t="shared" si="10"/>
        <v>851815.16999999993</v>
      </c>
      <c r="T6" s="112">
        <f t="shared" si="10"/>
        <v>877153.82</v>
      </c>
      <c r="U6" s="112">
        <f t="shared" si="10"/>
        <v>877153.82</v>
      </c>
      <c r="V6" s="112">
        <f t="shared" si="10"/>
        <v>877153.82</v>
      </c>
      <c r="W6" s="112">
        <f t="shared" si="10"/>
        <v>877153.82</v>
      </c>
      <c r="X6" s="112">
        <f t="shared" si="10"/>
        <v>1702430.3199999998</v>
      </c>
      <c r="Y6" s="112">
        <f t="shared" si="10"/>
        <v>1702430.3199999998</v>
      </c>
      <c r="Z6" s="112">
        <f t="shared" si="10"/>
        <v>1702430.3199999998</v>
      </c>
      <c r="AA6" s="112">
        <f t="shared" si="10"/>
        <v>1702430.3199999998</v>
      </c>
      <c r="AB6" s="112">
        <f t="shared" si="10"/>
        <v>1702430.3199999998</v>
      </c>
      <c r="AC6" s="112">
        <f t="shared" si="10"/>
        <v>1702430.3199999998</v>
      </c>
      <c r="AD6" s="112">
        <f>AC6+AD5</f>
        <v>1702430.3199999998</v>
      </c>
      <c r="AE6" s="112">
        <f t="shared" si="10"/>
        <v>1702430.3199999998</v>
      </c>
      <c r="AF6" s="112">
        <f t="shared" si="10"/>
        <v>1702430.3199999998</v>
      </c>
      <c r="AG6" s="112">
        <f t="shared" si="10"/>
        <v>1702430.3199999998</v>
      </c>
      <c r="AH6" s="112">
        <f t="shared" si="10"/>
        <v>1702430.3199999998</v>
      </c>
      <c r="AI6" s="112">
        <f t="shared" si="10"/>
        <v>1702430.3199999998</v>
      </c>
      <c r="AJ6" s="112">
        <f t="shared" si="10"/>
        <v>1702430.3199999998</v>
      </c>
      <c r="AK6" s="112">
        <f t="shared" si="10"/>
        <v>1702430.3199999998</v>
      </c>
      <c r="AL6" s="112">
        <f t="shared" si="10"/>
        <v>1702430.3199999998</v>
      </c>
      <c r="AM6" s="112">
        <f t="shared" si="10"/>
        <v>1702430.3199999998</v>
      </c>
      <c r="AN6" s="112">
        <f t="shared" si="10"/>
        <v>1702430.3199999998</v>
      </c>
      <c r="AO6" s="112">
        <f t="shared" si="10"/>
        <v>1702430.3199999998</v>
      </c>
      <c r="AP6" s="112">
        <f t="shared" si="10"/>
        <v>1702430.3199999998</v>
      </c>
      <c r="AQ6" s="112">
        <f t="shared" si="10"/>
        <v>1702430.3199999998</v>
      </c>
      <c r="AR6" s="112">
        <f t="shared" si="10"/>
        <v>1702430.3199999998</v>
      </c>
      <c r="AS6" s="112">
        <f t="shared" si="10"/>
        <v>1702430.3199999998</v>
      </c>
      <c r="AT6" s="112">
        <f t="shared" si="10"/>
        <v>1702430.3199999998</v>
      </c>
      <c r="AU6" s="112">
        <f t="shared" si="10"/>
        <v>1702430.3199999998</v>
      </c>
      <c r="AV6" s="112">
        <f t="shared" si="10"/>
        <v>1702430.3199999998</v>
      </c>
      <c r="AW6" s="112">
        <f t="shared" si="10"/>
        <v>1702430.3199999998</v>
      </c>
      <c r="AX6" s="112">
        <f t="shared" si="10"/>
        <v>1702430.3199999998</v>
      </c>
      <c r="AY6" s="112">
        <f t="shared" si="10"/>
        <v>1702430.3199999998</v>
      </c>
      <c r="AZ6" s="112">
        <f t="shared" si="10"/>
        <v>1702430.3199999998</v>
      </c>
      <c r="BA6" s="112">
        <f t="shared" si="10"/>
        <v>1702430.3199999998</v>
      </c>
      <c r="BB6" s="112">
        <f t="shared" si="10"/>
        <v>1702430.3199999998</v>
      </c>
      <c r="BC6" s="112">
        <f t="shared" si="10"/>
        <v>1702430.3199999998</v>
      </c>
      <c r="BD6" s="112">
        <f t="shared" si="10"/>
        <v>1702430.3199999998</v>
      </c>
      <c r="BE6" s="112">
        <f t="shared" si="10"/>
        <v>1702430.3199999998</v>
      </c>
      <c r="BF6" s="112">
        <f t="shared" si="10"/>
        <v>1702430.3199999998</v>
      </c>
      <c r="BG6" s="112">
        <f t="shared" si="10"/>
        <v>1702430.3199999998</v>
      </c>
      <c r="BH6" s="112">
        <f t="shared" si="10"/>
        <v>1702430.3199999998</v>
      </c>
      <c r="BI6" s="112">
        <f t="shared" si="10"/>
        <v>1702430.3199999998</v>
      </c>
      <c r="BJ6" s="112">
        <f t="shared" si="10"/>
        <v>1702430.3199999998</v>
      </c>
      <c r="BK6" s="112">
        <f t="shared" si="10"/>
        <v>1702430.3199999998</v>
      </c>
      <c r="BL6" s="112">
        <f t="shared" si="10"/>
        <v>1702430.3199999998</v>
      </c>
      <c r="BM6" s="112">
        <f t="shared" si="10"/>
        <v>1702430.3199999998</v>
      </c>
      <c r="BN6" s="112">
        <f t="shared" si="10"/>
        <v>1702430.3199999998</v>
      </c>
      <c r="BO6" s="112">
        <f t="shared" si="10"/>
        <v>1702430.3199999998</v>
      </c>
      <c r="BP6" s="112">
        <f t="shared" si="10"/>
        <v>1702430.3199999998</v>
      </c>
      <c r="BQ6" s="112">
        <f t="shared" si="10"/>
        <v>1702430.3199999998</v>
      </c>
      <c r="BR6" s="112">
        <f t="shared" si="10"/>
        <v>1702430.3199999998</v>
      </c>
      <c r="BS6" s="112">
        <f t="shared" si="10"/>
        <v>1702430.3199999998</v>
      </c>
      <c r="BT6" s="112">
        <f t="shared" si="10"/>
        <v>1702430.3199999998</v>
      </c>
      <c r="BU6" s="112">
        <f t="shared" ref="BU6:EF6" si="11">BT6+BU5</f>
        <v>1702430.3199999998</v>
      </c>
      <c r="BV6" s="112">
        <f t="shared" si="11"/>
        <v>1702430.3199999998</v>
      </c>
      <c r="BW6" s="112">
        <f t="shared" si="11"/>
        <v>1702430.3199999998</v>
      </c>
      <c r="BX6" s="112">
        <f t="shared" si="11"/>
        <v>1702430.3199999998</v>
      </c>
      <c r="BY6" s="112">
        <f t="shared" si="11"/>
        <v>1702430.3199999998</v>
      </c>
      <c r="BZ6" s="112">
        <f t="shared" si="11"/>
        <v>1702430.3199999998</v>
      </c>
      <c r="CA6" s="112">
        <f t="shared" si="11"/>
        <v>1702430.3199999998</v>
      </c>
      <c r="CB6" s="112">
        <f t="shared" si="11"/>
        <v>1702430.3199999998</v>
      </c>
      <c r="CC6" s="112">
        <f t="shared" si="11"/>
        <v>1702430.3199999998</v>
      </c>
      <c r="CD6" s="112">
        <f t="shared" si="11"/>
        <v>1702430.3199999998</v>
      </c>
      <c r="CE6" s="112">
        <f t="shared" si="11"/>
        <v>1702430.3199999998</v>
      </c>
      <c r="CF6" s="112">
        <f t="shared" si="11"/>
        <v>1702430.3199999998</v>
      </c>
      <c r="CG6" s="112">
        <f t="shared" si="11"/>
        <v>1702430.3199999998</v>
      </c>
      <c r="CH6" s="112">
        <f t="shared" si="11"/>
        <v>1702430.3199999998</v>
      </c>
      <c r="CI6" s="112">
        <f t="shared" si="11"/>
        <v>1702430.3199999998</v>
      </c>
      <c r="CJ6" s="112">
        <f t="shared" si="11"/>
        <v>1702430.3199999998</v>
      </c>
      <c r="CK6" s="112">
        <f t="shared" si="11"/>
        <v>1702430.3199999998</v>
      </c>
      <c r="CL6" s="112">
        <f t="shared" si="11"/>
        <v>1702430.3199999998</v>
      </c>
      <c r="CM6" s="112">
        <f t="shared" si="11"/>
        <v>1702430.3199999998</v>
      </c>
      <c r="CN6" s="112">
        <f t="shared" si="11"/>
        <v>1702430.3199999998</v>
      </c>
      <c r="CO6" s="112">
        <f t="shared" si="11"/>
        <v>1702430.3199999998</v>
      </c>
      <c r="CP6" s="112">
        <f t="shared" si="11"/>
        <v>1702430.3199999998</v>
      </c>
      <c r="CQ6" s="112">
        <f t="shared" si="11"/>
        <v>1702430.3199999998</v>
      </c>
      <c r="CR6" s="112">
        <f t="shared" si="11"/>
        <v>1702430.3199999998</v>
      </c>
      <c r="CS6" s="112">
        <f t="shared" si="11"/>
        <v>1702430.3199999998</v>
      </c>
      <c r="CT6" s="112">
        <f t="shared" si="11"/>
        <v>1702430.3199999998</v>
      </c>
      <c r="CU6" s="112">
        <f t="shared" si="11"/>
        <v>1702430.3199999998</v>
      </c>
      <c r="CV6" s="112">
        <f t="shared" si="11"/>
        <v>1702430.3199999998</v>
      </c>
      <c r="CW6" s="112">
        <f t="shared" si="11"/>
        <v>1702430.3199999998</v>
      </c>
      <c r="CX6" s="112">
        <f t="shared" si="11"/>
        <v>1702430.3199999998</v>
      </c>
      <c r="CY6" s="112">
        <f t="shared" si="11"/>
        <v>1702430.3199999998</v>
      </c>
      <c r="CZ6" s="112">
        <f t="shared" si="11"/>
        <v>1702430.3199999998</v>
      </c>
      <c r="DA6" s="112">
        <f t="shared" si="11"/>
        <v>1702430.3199999998</v>
      </c>
      <c r="DB6" s="112">
        <f t="shared" si="11"/>
        <v>1702430.3199999998</v>
      </c>
      <c r="DC6" s="112">
        <f t="shared" si="11"/>
        <v>1702430.3199999998</v>
      </c>
      <c r="DD6" s="112">
        <f t="shared" si="11"/>
        <v>1702430.3199999998</v>
      </c>
      <c r="DE6" s="112">
        <f t="shared" si="11"/>
        <v>1702430.3199999998</v>
      </c>
      <c r="DF6" s="112">
        <f t="shared" si="11"/>
        <v>1702430.3199999998</v>
      </c>
      <c r="DG6" s="112">
        <f t="shared" si="11"/>
        <v>1702430.3199999998</v>
      </c>
      <c r="DH6" s="112">
        <f t="shared" si="11"/>
        <v>1702430.3199999998</v>
      </c>
      <c r="DI6" s="112">
        <f t="shared" si="11"/>
        <v>1702430.3199999998</v>
      </c>
      <c r="DJ6" s="112">
        <f t="shared" si="11"/>
        <v>1702430.3199999998</v>
      </c>
      <c r="DK6" s="112">
        <f t="shared" si="11"/>
        <v>1702430.3199999998</v>
      </c>
      <c r="DL6" s="112">
        <f t="shared" si="11"/>
        <v>1702430.3199999998</v>
      </c>
      <c r="DM6" s="112">
        <f t="shared" si="11"/>
        <v>1702430.3199999998</v>
      </c>
      <c r="DN6" s="112">
        <f t="shared" si="11"/>
        <v>1702430.3199999998</v>
      </c>
      <c r="DO6" s="112">
        <f t="shared" si="11"/>
        <v>1702430.3199999998</v>
      </c>
      <c r="DP6" s="112">
        <f t="shared" si="11"/>
        <v>1702430.3199999998</v>
      </c>
      <c r="DQ6" s="112">
        <f t="shared" si="11"/>
        <v>1702430.3199999998</v>
      </c>
      <c r="DR6" s="112">
        <f t="shared" si="11"/>
        <v>1702430.3199999998</v>
      </c>
      <c r="DS6" s="112">
        <f t="shared" si="11"/>
        <v>1702430.3199999998</v>
      </c>
      <c r="DT6" s="112">
        <f t="shared" si="11"/>
        <v>1702430.3199999998</v>
      </c>
      <c r="DU6" s="112">
        <f t="shared" si="11"/>
        <v>1702430.3199999998</v>
      </c>
      <c r="DV6" s="112">
        <f t="shared" si="11"/>
        <v>1702430.3199999998</v>
      </c>
      <c r="DW6" s="112">
        <f t="shared" si="11"/>
        <v>1702430.3199999998</v>
      </c>
      <c r="DX6" s="112">
        <f t="shared" si="11"/>
        <v>1702430.3199999998</v>
      </c>
      <c r="DY6" s="112">
        <f t="shared" si="11"/>
        <v>1702430.3199999998</v>
      </c>
      <c r="DZ6" s="112">
        <f t="shared" si="11"/>
        <v>1702430.3199999998</v>
      </c>
      <c r="EA6" s="112">
        <f t="shared" si="11"/>
        <v>1702430.3199999998</v>
      </c>
      <c r="EB6" s="112">
        <f t="shared" si="11"/>
        <v>1702430.3199999998</v>
      </c>
      <c r="EC6" s="112">
        <f t="shared" si="11"/>
        <v>1702430.3199999998</v>
      </c>
      <c r="ED6" s="112">
        <f t="shared" si="11"/>
        <v>1702430.3199999998</v>
      </c>
      <c r="EE6" s="112">
        <f t="shared" si="11"/>
        <v>1702430.3199999998</v>
      </c>
      <c r="EF6" s="112">
        <f t="shared" si="11"/>
        <v>1702430.3199999998</v>
      </c>
      <c r="EG6" s="112">
        <f t="shared" ref="EG6:GR6" si="12">EF6+EG5</f>
        <v>1702430.3199999998</v>
      </c>
      <c r="EH6" s="112">
        <f t="shared" si="12"/>
        <v>1702430.3199999998</v>
      </c>
      <c r="EI6" s="112">
        <f t="shared" si="12"/>
        <v>1702430.3199999998</v>
      </c>
      <c r="EJ6" s="112">
        <f t="shared" si="12"/>
        <v>1702430.3199999998</v>
      </c>
      <c r="EK6" s="112">
        <f t="shared" si="12"/>
        <v>1702430.3199999998</v>
      </c>
      <c r="EL6" s="112">
        <f t="shared" si="12"/>
        <v>1702430.3199999998</v>
      </c>
      <c r="EM6" s="112">
        <f t="shared" si="12"/>
        <v>1702430.3199999998</v>
      </c>
      <c r="EN6" s="112">
        <f t="shared" si="12"/>
        <v>1702430.3199999998</v>
      </c>
      <c r="EO6" s="112">
        <f t="shared" si="12"/>
        <v>1702430.3199999998</v>
      </c>
      <c r="EP6" s="112">
        <f t="shared" si="12"/>
        <v>1702430.3199999998</v>
      </c>
      <c r="EQ6" s="112">
        <f t="shared" si="12"/>
        <v>1702430.3199999998</v>
      </c>
      <c r="ER6" s="112">
        <f t="shared" si="12"/>
        <v>1702430.3199999998</v>
      </c>
      <c r="ES6" s="112">
        <f t="shared" si="12"/>
        <v>1702430.3199999998</v>
      </c>
      <c r="ET6" s="112">
        <f t="shared" si="12"/>
        <v>1702430.3199999998</v>
      </c>
      <c r="EU6" s="112">
        <f t="shared" si="12"/>
        <v>1702430.3199999998</v>
      </c>
      <c r="EV6" s="112">
        <f t="shared" si="12"/>
        <v>1702430.3199999998</v>
      </c>
      <c r="EW6" s="112">
        <f t="shared" si="12"/>
        <v>1702430.3199999998</v>
      </c>
      <c r="EX6" s="112">
        <f t="shared" si="12"/>
        <v>1702430.3199999998</v>
      </c>
      <c r="EY6" s="112">
        <f t="shared" si="12"/>
        <v>1702430.3199999998</v>
      </c>
      <c r="EZ6" s="112">
        <f t="shared" si="12"/>
        <v>1702430.3199999998</v>
      </c>
      <c r="FA6" s="112">
        <f t="shared" si="12"/>
        <v>1702430.3199999998</v>
      </c>
      <c r="FB6" s="112">
        <f t="shared" si="12"/>
        <v>1702430.3199999998</v>
      </c>
      <c r="FC6" s="112">
        <f t="shared" si="12"/>
        <v>1702430.3199999998</v>
      </c>
      <c r="FD6" s="112">
        <f t="shared" si="12"/>
        <v>1702430.3199999998</v>
      </c>
      <c r="FE6" s="112">
        <f t="shared" si="12"/>
        <v>1702430.3199999998</v>
      </c>
      <c r="FF6" s="112">
        <f t="shared" si="12"/>
        <v>1702430.3199999998</v>
      </c>
      <c r="FG6" s="112">
        <f t="shared" si="12"/>
        <v>1702430.3199999998</v>
      </c>
      <c r="FH6" s="112">
        <f t="shared" si="12"/>
        <v>1702430.3199999998</v>
      </c>
      <c r="FI6" s="112">
        <f t="shared" si="12"/>
        <v>1702430.3199999998</v>
      </c>
      <c r="FJ6" s="112">
        <f t="shared" si="12"/>
        <v>1702430.3199999998</v>
      </c>
      <c r="FK6" s="112">
        <f t="shared" si="12"/>
        <v>1702430.3199999998</v>
      </c>
      <c r="FL6" s="112">
        <f t="shared" si="12"/>
        <v>1702430.3199999998</v>
      </c>
      <c r="FM6" s="112">
        <f t="shared" si="12"/>
        <v>1702430.3199999998</v>
      </c>
      <c r="FN6" s="112">
        <f t="shared" si="12"/>
        <v>1702430.3199999998</v>
      </c>
      <c r="FO6" s="112">
        <f t="shared" si="12"/>
        <v>1702430.3199999998</v>
      </c>
      <c r="FP6" s="112">
        <f t="shared" si="12"/>
        <v>1702430.3199999998</v>
      </c>
      <c r="FQ6" s="112">
        <f t="shared" si="12"/>
        <v>1702430.3199999998</v>
      </c>
      <c r="FR6" s="112">
        <f t="shared" si="12"/>
        <v>1702430.3199999998</v>
      </c>
      <c r="FS6" s="112">
        <f t="shared" si="12"/>
        <v>1702430.3199999998</v>
      </c>
      <c r="FT6" s="112">
        <f t="shared" si="12"/>
        <v>1702430.3199999998</v>
      </c>
      <c r="FU6" s="112">
        <f t="shared" si="12"/>
        <v>1702430.3199999998</v>
      </c>
      <c r="FV6" s="112">
        <f t="shared" si="12"/>
        <v>1702430.3199999998</v>
      </c>
      <c r="FW6" s="112">
        <f t="shared" si="12"/>
        <v>1702430.3199999998</v>
      </c>
      <c r="FX6" s="112">
        <f t="shared" si="12"/>
        <v>1702430.3199999998</v>
      </c>
      <c r="FY6" s="112">
        <f t="shared" si="12"/>
        <v>1702430.3199999998</v>
      </c>
      <c r="FZ6" s="112">
        <f t="shared" si="12"/>
        <v>1702430.3199999998</v>
      </c>
      <c r="GA6" s="112">
        <f t="shared" si="12"/>
        <v>1702430.3199999998</v>
      </c>
      <c r="GB6" s="112">
        <f t="shared" si="12"/>
        <v>1702430.3199999998</v>
      </c>
      <c r="GC6" s="112">
        <f t="shared" si="12"/>
        <v>1702430.3199999998</v>
      </c>
      <c r="GD6" s="112">
        <f t="shared" si="12"/>
        <v>1702430.3199999998</v>
      </c>
      <c r="GE6" s="112">
        <f t="shared" si="12"/>
        <v>1702430.3199999998</v>
      </c>
      <c r="GF6" s="112">
        <f t="shared" si="12"/>
        <v>1702430.3199999998</v>
      </c>
      <c r="GG6" s="112">
        <f t="shared" si="12"/>
        <v>1702430.3199999998</v>
      </c>
      <c r="GH6" s="112">
        <f t="shared" si="12"/>
        <v>1702430.3199999998</v>
      </c>
      <c r="GI6" s="112">
        <f t="shared" si="12"/>
        <v>1702430.3199999998</v>
      </c>
      <c r="GJ6" s="112">
        <f t="shared" si="12"/>
        <v>1702430.3199999998</v>
      </c>
      <c r="GK6" s="112">
        <f t="shared" si="12"/>
        <v>1702430.3199999998</v>
      </c>
      <c r="GL6" s="112">
        <f t="shared" si="12"/>
        <v>1702430.3199999998</v>
      </c>
      <c r="GM6" s="112">
        <f t="shared" si="12"/>
        <v>1702430.3199999998</v>
      </c>
      <c r="GN6" s="112">
        <f t="shared" si="12"/>
        <v>1702430.3199999998</v>
      </c>
      <c r="GO6" s="112">
        <f t="shared" si="12"/>
        <v>1702430.3199999998</v>
      </c>
      <c r="GP6" s="112">
        <f t="shared" si="12"/>
        <v>1702430.3199999998</v>
      </c>
      <c r="GQ6" s="112">
        <f t="shared" si="12"/>
        <v>1702430.3199999998</v>
      </c>
      <c r="GR6" s="112">
        <f t="shared" si="12"/>
        <v>1702430.3199999998</v>
      </c>
      <c r="GS6" s="112">
        <f t="shared" ref="GS6:JD6" si="13">GR6+GS5</f>
        <v>1702430.3199999998</v>
      </c>
      <c r="GT6" s="112">
        <f t="shared" si="13"/>
        <v>1702430.3199999998</v>
      </c>
      <c r="GU6" s="112">
        <f t="shared" si="13"/>
        <v>1702430.3199999998</v>
      </c>
      <c r="GV6" s="112">
        <f t="shared" si="13"/>
        <v>1702430.3199999998</v>
      </c>
      <c r="GW6" s="112">
        <f t="shared" si="13"/>
        <v>1702430.3199999998</v>
      </c>
      <c r="GX6" s="112">
        <f t="shared" si="13"/>
        <v>1702430.3199999998</v>
      </c>
      <c r="GY6" s="112">
        <f t="shared" si="13"/>
        <v>1702430.3199999998</v>
      </c>
      <c r="GZ6" s="112">
        <f t="shared" si="13"/>
        <v>1702430.3199999998</v>
      </c>
      <c r="HA6" s="112">
        <f t="shared" si="13"/>
        <v>1702430.3199999998</v>
      </c>
      <c r="HB6" s="112">
        <f t="shared" si="13"/>
        <v>1702430.3199999998</v>
      </c>
      <c r="HC6" s="112">
        <f t="shared" si="13"/>
        <v>1702430.3199999998</v>
      </c>
      <c r="HD6" s="112">
        <f t="shared" si="13"/>
        <v>1702430.3199999998</v>
      </c>
      <c r="HE6" s="112">
        <f t="shared" si="13"/>
        <v>1702430.3199999998</v>
      </c>
      <c r="HF6" s="112">
        <f t="shared" si="13"/>
        <v>1702430.3199999998</v>
      </c>
      <c r="HG6" s="112">
        <f t="shared" si="13"/>
        <v>1702430.3199999998</v>
      </c>
      <c r="HH6" s="112">
        <f t="shared" si="13"/>
        <v>1702430.3199999998</v>
      </c>
      <c r="HI6" s="112">
        <f t="shared" si="13"/>
        <v>1702430.3199999998</v>
      </c>
      <c r="HJ6" s="112">
        <f t="shared" si="13"/>
        <v>1702430.3199999998</v>
      </c>
      <c r="HK6" s="112">
        <f t="shared" si="13"/>
        <v>1702430.3199999998</v>
      </c>
      <c r="HL6" s="112">
        <f t="shared" si="13"/>
        <v>1702430.3199999998</v>
      </c>
      <c r="HM6" s="112">
        <f t="shared" si="13"/>
        <v>1702430.3199999998</v>
      </c>
      <c r="HN6" s="112">
        <f t="shared" si="13"/>
        <v>1702430.3199999998</v>
      </c>
      <c r="HO6" s="112">
        <f t="shared" si="13"/>
        <v>1702430.3199999998</v>
      </c>
      <c r="HP6" s="112">
        <f t="shared" si="13"/>
        <v>1702430.3199999998</v>
      </c>
      <c r="HQ6" s="112">
        <f t="shared" si="13"/>
        <v>1702430.3199999998</v>
      </c>
      <c r="HR6" s="112">
        <f t="shared" si="13"/>
        <v>1702430.3199999998</v>
      </c>
      <c r="HS6" s="112">
        <f t="shared" si="13"/>
        <v>1702430.3199999998</v>
      </c>
      <c r="HT6" s="112">
        <f t="shared" si="13"/>
        <v>1702430.3199999998</v>
      </c>
      <c r="HU6" s="112">
        <f t="shared" si="13"/>
        <v>1702430.3199999998</v>
      </c>
      <c r="HV6" s="112">
        <f t="shared" si="13"/>
        <v>1702430.3199999998</v>
      </c>
      <c r="HW6" s="112">
        <f t="shared" si="13"/>
        <v>1702430.3199999998</v>
      </c>
      <c r="HX6" s="112">
        <f t="shared" si="13"/>
        <v>1702430.3199999998</v>
      </c>
      <c r="HY6" s="112">
        <f t="shared" si="13"/>
        <v>1702430.3199999998</v>
      </c>
      <c r="HZ6" s="112">
        <f t="shared" si="13"/>
        <v>1702430.3199999998</v>
      </c>
      <c r="IA6" s="112">
        <f t="shared" si="13"/>
        <v>1702430.3199999998</v>
      </c>
      <c r="IB6" s="112">
        <f t="shared" si="13"/>
        <v>1702430.3199999998</v>
      </c>
      <c r="IC6" s="112">
        <f t="shared" si="13"/>
        <v>1702430.3199999998</v>
      </c>
      <c r="ID6" s="112">
        <f t="shared" si="13"/>
        <v>1702430.3199999998</v>
      </c>
      <c r="IE6" s="112">
        <f t="shared" si="13"/>
        <v>1702430.3199999998</v>
      </c>
      <c r="IF6" s="112">
        <f t="shared" si="13"/>
        <v>1702430.3199999998</v>
      </c>
      <c r="IG6" s="112">
        <f t="shared" si="13"/>
        <v>1702430.3199999998</v>
      </c>
      <c r="IH6" s="112">
        <f t="shared" si="13"/>
        <v>1702430.3199999998</v>
      </c>
      <c r="II6" s="112">
        <f t="shared" si="13"/>
        <v>1702430.3199999998</v>
      </c>
      <c r="IJ6" s="112">
        <f t="shared" si="13"/>
        <v>1702430.3199999998</v>
      </c>
      <c r="IK6" s="112">
        <f t="shared" si="13"/>
        <v>1702430.3199999998</v>
      </c>
      <c r="IL6" s="112">
        <f t="shared" si="13"/>
        <v>1702430.3199999998</v>
      </c>
      <c r="IM6" s="112">
        <f t="shared" si="13"/>
        <v>1702430.3199999998</v>
      </c>
      <c r="IN6" s="112">
        <f t="shared" si="13"/>
        <v>1702430.3199999998</v>
      </c>
      <c r="IO6" s="112">
        <f t="shared" si="13"/>
        <v>1702430.3199999998</v>
      </c>
      <c r="IP6" s="112">
        <f t="shared" si="13"/>
        <v>1702430.3199999998</v>
      </c>
      <c r="IQ6" s="112">
        <f t="shared" si="13"/>
        <v>1702430.3199999998</v>
      </c>
      <c r="IR6" s="112">
        <f t="shared" si="13"/>
        <v>1702430.3199999998</v>
      </c>
      <c r="IS6" s="112">
        <f t="shared" si="13"/>
        <v>1702430.3199999998</v>
      </c>
      <c r="IT6" s="112">
        <f t="shared" si="13"/>
        <v>1702430.3199999998</v>
      </c>
      <c r="IU6" s="112">
        <f t="shared" si="13"/>
        <v>1702430.3199999998</v>
      </c>
      <c r="IV6" s="112">
        <f t="shared" si="13"/>
        <v>1702430.3199999998</v>
      </c>
      <c r="IW6" s="112">
        <f t="shared" si="13"/>
        <v>1702430.3199999998</v>
      </c>
      <c r="IX6" s="112">
        <f t="shared" si="13"/>
        <v>1702430.3199999998</v>
      </c>
      <c r="IY6" s="112">
        <f t="shared" si="13"/>
        <v>1702430.3199999998</v>
      </c>
      <c r="IZ6" s="112">
        <f t="shared" si="13"/>
        <v>1702430.3199999998</v>
      </c>
      <c r="JA6" s="112">
        <f t="shared" si="13"/>
        <v>1702430.3199999998</v>
      </c>
      <c r="JB6" s="112">
        <f t="shared" si="13"/>
        <v>1702430.3199999998</v>
      </c>
      <c r="JC6" s="112">
        <f t="shared" si="13"/>
        <v>1702430.3199999998</v>
      </c>
      <c r="JD6" s="112">
        <f t="shared" si="13"/>
        <v>1702430.3199999998</v>
      </c>
      <c r="JE6" s="112">
        <f t="shared" ref="JE6:KF6" si="14">JD6+JE5</f>
        <v>1702430.3199999998</v>
      </c>
      <c r="JF6" s="112">
        <f t="shared" si="14"/>
        <v>1702430.3199999998</v>
      </c>
      <c r="JG6" s="112">
        <f t="shared" si="14"/>
        <v>1702430.3199999998</v>
      </c>
      <c r="JH6" s="112">
        <f t="shared" si="14"/>
        <v>1702430.3199999998</v>
      </c>
      <c r="JI6" s="112">
        <f t="shared" si="14"/>
        <v>1702430.3199999998</v>
      </c>
      <c r="JJ6" s="112">
        <f t="shared" si="14"/>
        <v>1702430.3199999998</v>
      </c>
      <c r="JK6" s="112">
        <f t="shared" si="14"/>
        <v>1702430.3199999998</v>
      </c>
      <c r="JL6" s="112">
        <f t="shared" si="14"/>
        <v>1702430.3199999998</v>
      </c>
      <c r="JM6" s="112">
        <f t="shared" si="14"/>
        <v>1702430.3199999998</v>
      </c>
      <c r="JN6" s="112">
        <f t="shared" si="14"/>
        <v>1702430.3199999998</v>
      </c>
      <c r="JO6" s="112">
        <f t="shared" si="14"/>
        <v>1702430.3199999998</v>
      </c>
      <c r="JP6" s="112">
        <f t="shared" si="14"/>
        <v>1702430.3199999998</v>
      </c>
      <c r="JQ6" s="112">
        <f t="shared" si="14"/>
        <v>1702430.3199999998</v>
      </c>
      <c r="JR6" s="112">
        <f t="shared" si="14"/>
        <v>1702430.3199999998</v>
      </c>
      <c r="JS6" s="112">
        <f t="shared" si="14"/>
        <v>1702430.3199999998</v>
      </c>
      <c r="JT6" s="112">
        <f t="shared" si="14"/>
        <v>1702430.3199999998</v>
      </c>
      <c r="JU6" s="112">
        <f t="shared" si="14"/>
        <v>1702430.3199999998</v>
      </c>
      <c r="JV6" s="112">
        <f t="shared" si="14"/>
        <v>1702430.3199999998</v>
      </c>
      <c r="JW6" s="112">
        <f t="shared" si="14"/>
        <v>1702430.3199999998</v>
      </c>
      <c r="JX6" s="112">
        <f t="shared" si="14"/>
        <v>1702430.3199999998</v>
      </c>
      <c r="JY6" s="112">
        <f t="shared" si="14"/>
        <v>1702430.3199999998</v>
      </c>
      <c r="JZ6" s="112">
        <f t="shared" si="14"/>
        <v>1702430.3199999998</v>
      </c>
      <c r="KA6" s="112">
        <f t="shared" si="14"/>
        <v>1702430.3199999998</v>
      </c>
      <c r="KB6" s="112">
        <f t="shared" si="14"/>
        <v>1702430.3199999998</v>
      </c>
      <c r="KC6" s="112">
        <f t="shared" si="14"/>
        <v>1702430.3199999998</v>
      </c>
      <c r="KD6" s="112">
        <f t="shared" si="14"/>
        <v>1702430.3199999998</v>
      </c>
      <c r="KE6" s="112">
        <f t="shared" si="14"/>
        <v>1702430.3199999998</v>
      </c>
      <c r="KF6" s="112">
        <f t="shared" si="14"/>
        <v>1702430.3199999998</v>
      </c>
      <c r="KG6" s="102"/>
      <c r="KH6" s="113"/>
    </row>
    <row r="7" spans="1:770">
      <c r="A7" s="752"/>
      <c r="B7" s="115" t="s">
        <v>420</v>
      </c>
      <c r="C7" s="116"/>
      <c r="D7" s="116"/>
      <c r="E7" s="117"/>
      <c r="F7" s="118">
        <f t="shared" ref="F7:H7" si="15">F4-F6</f>
        <v>0</v>
      </c>
      <c r="G7" s="118">
        <f t="shared" si="15"/>
        <v>1038718.14</v>
      </c>
      <c r="H7" s="118">
        <f t="shared" si="15"/>
        <v>1038718.14</v>
      </c>
      <c r="I7" s="118">
        <f t="shared" ref="I7:BT7" si="16">I4-I6</f>
        <v>1038718.14</v>
      </c>
      <c r="J7" s="118">
        <f t="shared" si="16"/>
        <v>1038718.14</v>
      </c>
      <c r="K7" s="118">
        <f t="shared" si="16"/>
        <v>1038718.14</v>
      </c>
      <c r="L7" s="118">
        <f t="shared" si="16"/>
        <v>1038718.14</v>
      </c>
      <c r="M7" s="118">
        <f t="shared" si="16"/>
        <v>1038718.14</v>
      </c>
      <c r="N7" s="118">
        <f t="shared" si="16"/>
        <v>1038718.14</v>
      </c>
      <c r="O7" s="118">
        <f t="shared" si="16"/>
        <v>1038718.14</v>
      </c>
      <c r="P7" s="118">
        <f t="shared" si="16"/>
        <v>1765820.838</v>
      </c>
      <c r="Q7" s="118">
        <f t="shared" si="16"/>
        <v>1518622.4879999999</v>
      </c>
      <c r="R7" s="118">
        <f t="shared" si="16"/>
        <v>1295292.4879999999</v>
      </c>
      <c r="S7" s="118">
        <f t="shared" si="16"/>
        <v>1121749.2960000001</v>
      </c>
      <c r="T7" s="118">
        <f t="shared" si="16"/>
        <v>1200282.46</v>
      </c>
      <c r="U7" s="118">
        <f t="shared" si="16"/>
        <v>1200282.46</v>
      </c>
      <c r="V7" s="118">
        <f t="shared" si="16"/>
        <v>1200282.46</v>
      </c>
      <c r="W7" s="118">
        <f t="shared" si="16"/>
        <v>1200282.46</v>
      </c>
      <c r="X7" s="118">
        <f t="shared" si="16"/>
        <v>375005.9600000002</v>
      </c>
      <c r="Y7" s="118">
        <f t="shared" si="16"/>
        <v>375005.9600000002</v>
      </c>
      <c r="Z7" s="118">
        <f t="shared" si="16"/>
        <v>375005.9600000002</v>
      </c>
      <c r="AA7" s="118">
        <f t="shared" si="16"/>
        <v>375005.9600000002</v>
      </c>
      <c r="AB7" s="118">
        <f t="shared" si="16"/>
        <v>375005.9600000002</v>
      </c>
      <c r="AC7" s="118">
        <f t="shared" si="16"/>
        <v>375005.9600000002</v>
      </c>
      <c r="AD7" s="118">
        <f t="shared" si="16"/>
        <v>375005.9600000002</v>
      </c>
      <c r="AE7" s="118">
        <f t="shared" si="16"/>
        <v>375005.9600000002</v>
      </c>
      <c r="AF7" s="118">
        <f t="shared" si="16"/>
        <v>375005.9600000002</v>
      </c>
      <c r="AG7" s="118">
        <f t="shared" si="16"/>
        <v>375005.9600000002</v>
      </c>
      <c r="AH7" s="118">
        <f t="shared" si="16"/>
        <v>375005.9600000002</v>
      </c>
      <c r="AI7" s="118">
        <f t="shared" si="16"/>
        <v>375005.9600000002</v>
      </c>
      <c r="AJ7" s="118">
        <f t="shared" si="16"/>
        <v>375005.9600000002</v>
      </c>
      <c r="AK7" s="118">
        <f t="shared" si="16"/>
        <v>375005.9600000002</v>
      </c>
      <c r="AL7" s="118">
        <f t="shared" si="16"/>
        <v>375005.9600000002</v>
      </c>
      <c r="AM7" s="118">
        <f t="shared" si="16"/>
        <v>375005.9600000002</v>
      </c>
      <c r="AN7" s="118">
        <f t="shared" si="16"/>
        <v>375005.9600000002</v>
      </c>
      <c r="AO7" s="118">
        <f t="shared" si="16"/>
        <v>375005.9600000002</v>
      </c>
      <c r="AP7" s="118">
        <f t="shared" si="16"/>
        <v>375005.9600000002</v>
      </c>
      <c r="AQ7" s="118">
        <f t="shared" si="16"/>
        <v>375005.9600000002</v>
      </c>
      <c r="AR7" s="118">
        <f t="shared" si="16"/>
        <v>375005.9600000002</v>
      </c>
      <c r="AS7" s="118">
        <f t="shared" si="16"/>
        <v>375005.9600000002</v>
      </c>
      <c r="AT7" s="118">
        <f t="shared" si="16"/>
        <v>375005.9600000002</v>
      </c>
      <c r="AU7" s="118">
        <f t="shared" si="16"/>
        <v>375005.9600000002</v>
      </c>
      <c r="AV7" s="118">
        <f t="shared" si="16"/>
        <v>375005.9600000002</v>
      </c>
      <c r="AW7" s="118">
        <f t="shared" si="16"/>
        <v>375005.9600000002</v>
      </c>
      <c r="AX7" s="118">
        <f t="shared" si="16"/>
        <v>375005.9600000002</v>
      </c>
      <c r="AY7" s="118">
        <f t="shared" si="16"/>
        <v>375005.9600000002</v>
      </c>
      <c r="AZ7" s="118">
        <f t="shared" si="16"/>
        <v>375005.9600000002</v>
      </c>
      <c r="BA7" s="118">
        <f t="shared" si="16"/>
        <v>375005.9600000002</v>
      </c>
      <c r="BB7" s="118">
        <f t="shared" si="16"/>
        <v>375005.9600000002</v>
      </c>
      <c r="BC7" s="118">
        <f t="shared" si="16"/>
        <v>375005.9600000002</v>
      </c>
      <c r="BD7" s="118">
        <f t="shared" si="16"/>
        <v>375005.9600000002</v>
      </c>
      <c r="BE7" s="118">
        <f t="shared" si="16"/>
        <v>375005.9600000002</v>
      </c>
      <c r="BF7" s="118">
        <f t="shared" si="16"/>
        <v>375005.9600000002</v>
      </c>
      <c r="BG7" s="118">
        <f t="shared" si="16"/>
        <v>375005.9600000002</v>
      </c>
      <c r="BH7" s="118">
        <f t="shared" si="16"/>
        <v>375005.9600000002</v>
      </c>
      <c r="BI7" s="118">
        <f t="shared" si="16"/>
        <v>375005.9600000002</v>
      </c>
      <c r="BJ7" s="118">
        <f t="shared" si="16"/>
        <v>375005.9600000002</v>
      </c>
      <c r="BK7" s="118">
        <f t="shared" si="16"/>
        <v>375005.9600000002</v>
      </c>
      <c r="BL7" s="118">
        <f t="shared" si="16"/>
        <v>375005.9600000002</v>
      </c>
      <c r="BM7" s="118">
        <f t="shared" si="16"/>
        <v>375005.9600000002</v>
      </c>
      <c r="BN7" s="118">
        <f t="shared" si="16"/>
        <v>375005.9600000002</v>
      </c>
      <c r="BO7" s="118">
        <f t="shared" si="16"/>
        <v>375005.9600000002</v>
      </c>
      <c r="BP7" s="118">
        <f t="shared" si="16"/>
        <v>375005.9600000002</v>
      </c>
      <c r="BQ7" s="118">
        <f t="shared" si="16"/>
        <v>375005.9600000002</v>
      </c>
      <c r="BR7" s="118">
        <f t="shared" si="16"/>
        <v>375005.9600000002</v>
      </c>
      <c r="BS7" s="118">
        <f t="shared" si="16"/>
        <v>375005.9600000002</v>
      </c>
      <c r="BT7" s="118">
        <f t="shared" si="16"/>
        <v>375005.9600000002</v>
      </c>
      <c r="BU7" s="118">
        <f t="shared" ref="BU7:EF7" si="17">BU4-BU6</f>
        <v>375005.9600000002</v>
      </c>
      <c r="BV7" s="118">
        <f t="shared" si="17"/>
        <v>375005.9600000002</v>
      </c>
      <c r="BW7" s="118">
        <f t="shared" si="17"/>
        <v>375005.9600000002</v>
      </c>
      <c r="BX7" s="118">
        <f t="shared" si="17"/>
        <v>375005.9600000002</v>
      </c>
      <c r="BY7" s="118">
        <f t="shared" si="17"/>
        <v>375005.9600000002</v>
      </c>
      <c r="BZ7" s="118">
        <f t="shared" si="17"/>
        <v>375005.9600000002</v>
      </c>
      <c r="CA7" s="118">
        <f t="shared" si="17"/>
        <v>375005.9600000002</v>
      </c>
      <c r="CB7" s="118">
        <f t="shared" si="17"/>
        <v>375005.9600000002</v>
      </c>
      <c r="CC7" s="118">
        <f t="shared" si="17"/>
        <v>375005.9600000002</v>
      </c>
      <c r="CD7" s="118">
        <f t="shared" si="17"/>
        <v>375005.9600000002</v>
      </c>
      <c r="CE7" s="118">
        <f t="shared" si="17"/>
        <v>375005.9600000002</v>
      </c>
      <c r="CF7" s="118">
        <f t="shared" si="17"/>
        <v>375005.9600000002</v>
      </c>
      <c r="CG7" s="118">
        <f t="shared" si="17"/>
        <v>375005.9600000002</v>
      </c>
      <c r="CH7" s="118">
        <f t="shared" si="17"/>
        <v>375005.9600000002</v>
      </c>
      <c r="CI7" s="118">
        <f t="shared" si="17"/>
        <v>375005.9600000002</v>
      </c>
      <c r="CJ7" s="118">
        <f t="shared" si="17"/>
        <v>375005.9600000002</v>
      </c>
      <c r="CK7" s="118">
        <f t="shared" si="17"/>
        <v>375005.9600000002</v>
      </c>
      <c r="CL7" s="118">
        <f t="shared" si="17"/>
        <v>375005.9600000002</v>
      </c>
      <c r="CM7" s="118">
        <f t="shared" si="17"/>
        <v>375005.9600000002</v>
      </c>
      <c r="CN7" s="118">
        <f t="shared" si="17"/>
        <v>375005.9600000002</v>
      </c>
      <c r="CO7" s="118">
        <f t="shared" si="17"/>
        <v>375005.9600000002</v>
      </c>
      <c r="CP7" s="118">
        <f t="shared" si="17"/>
        <v>375005.9600000002</v>
      </c>
      <c r="CQ7" s="118">
        <f t="shared" si="17"/>
        <v>375005.9600000002</v>
      </c>
      <c r="CR7" s="118">
        <f t="shared" si="17"/>
        <v>375005.9600000002</v>
      </c>
      <c r="CS7" s="118">
        <f t="shared" si="17"/>
        <v>375005.9600000002</v>
      </c>
      <c r="CT7" s="118">
        <f t="shared" si="17"/>
        <v>375005.9600000002</v>
      </c>
      <c r="CU7" s="118">
        <f t="shared" si="17"/>
        <v>375005.9600000002</v>
      </c>
      <c r="CV7" s="118">
        <f t="shared" si="17"/>
        <v>375005.9600000002</v>
      </c>
      <c r="CW7" s="118">
        <f t="shared" si="17"/>
        <v>375005.9600000002</v>
      </c>
      <c r="CX7" s="118">
        <f t="shared" si="17"/>
        <v>375005.9600000002</v>
      </c>
      <c r="CY7" s="118">
        <f t="shared" si="17"/>
        <v>375005.9600000002</v>
      </c>
      <c r="CZ7" s="118">
        <f t="shared" si="17"/>
        <v>375005.9600000002</v>
      </c>
      <c r="DA7" s="118">
        <f t="shared" si="17"/>
        <v>375005.9600000002</v>
      </c>
      <c r="DB7" s="118">
        <f t="shared" si="17"/>
        <v>375005.9600000002</v>
      </c>
      <c r="DC7" s="118">
        <f t="shared" si="17"/>
        <v>375005.9600000002</v>
      </c>
      <c r="DD7" s="118">
        <f t="shared" si="17"/>
        <v>375005.9600000002</v>
      </c>
      <c r="DE7" s="118">
        <f t="shared" si="17"/>
        <v>375005.9600000002</v>
      </c>
      <c r="DF7" s="118">
        <f t="shared" si="17"/>
        <v>375005.9600000002</v>
      </c>
      <c r="DG7" s="118">
        <f t="shared" si="17"/>
        <v>375005.9600000002</v>
      </c>
      <c r="DH7" s="118">
        <f t="shared" si="17"/>
        <v>375005.9600000002</v>
      </c>
      <c r="DI7" s="118">
        <f t="shared" si="17"/>
        <v>375005.9600000002</v>
      </c>
      <c r="DJ7" s="118">
        <f t="shared" si="17"/>
        <v>375005.9600000002</v>
      </c>
      <c r="DK7" s="118">
        <f t="shared" si="17"/>
        <v>375005.9600000002</v>
      </c>
      <c r="DL7" s="118">
        <f t="shared" si="17"/>
        <v>375005.9600000002</v>
      </c>
      <c r="DM7" s="118">
        <f t="shared" si="17"/>
        <v>375005.9600000002</v>
      </c>
      <c r="DN7" s="118">
        <f t="shared" si="17"/>
        <v>375005.9600000002</v>
      </c>
      <c r="DO7" s="118">
        <f t="shared" si="17"/>
        <v>375005.9600000002</v>
      </c>
      <c r="DP7" s="118">
        <f t="shared" si="17"/>
        <v>375005.9600000002</v>
      </c>
      <c r="DQ7" s="118">
        <f t="shared" si="17"/>
        <v>375005.9600000002</v>
      </c>
      <c r="DR7" s="118">
        <f t="shared" si="17"/>
        <v>375005.9600000002</v>
      </c>
      <c r="DS7" s="118">
        <f t="shared" si="17"/>
        <v>375005.9600000002</v>
      </c>
      <c r="DT7" s="118">
        <f t="shared" si="17"/>
        <v>375005.9600000002</v>
      </c>
      <c r="DU7" s="118">
        <f t="shared" si="17"/>
        <v>375005.9600000002</v>
      </c>
      <c r="DV7" s="118">
        <f t="shared" si="17"/>
        <v>375005.9600000002</v>
      </c>
      <c r="DW7" s="118">
        <f t="shared" si="17"/>
        <v>375005.9600000002</v>
      </c>
      <c r="DX7" s="118">
        <f t="shared" si="17"/>
        <v>375005.9600000002</v>
      </c>
      <c r="DY7" s="118">
        <f t="shared" si="17"/>
        <v>375005.9600000002</v>
      </c>
      <c r="DZ7" s="118">
        <f t="shared" si="17"/>
        <v>375005.9600000002</v>
      </c>
      <c r="EA7" s="118">
        <f t="shared" si="17"/>
        <v>375005.9600000002</v>
      </c>
      <c r="EB7" s="118">
        <f t="shared" si="17"/>
        <v>375005.9600000002</v>
      </c>
      <c r="EC7" s="118">
        <f t="shared" si="17"/>
        <v>375005.9600000002</v>
      </c>
      <c r="ED7" s="118">
        <f t="shared" si="17"/>
        <v>375005.9600000002</v>
      </c>
      <c r="EE7" s="118">
        <f t="shared" si="17"/>
        <v>375005.9600000002</v>
      </c>
      <c r="EF7" s="118">
        <f t="shared" si="17"/>
        <v>375005.9600000002</v>
      </c>
      <c r="EG7" s="118">
        <f t="shared" ref="EG7:GR7" si="18">EG4-EG6</f>
        <v>375005.9600000002</v>
      </c>
      <c r="EH7" s="118">
        <f t="shared" si="18"/>
        <v>375005.9600000002</v>
      </c>
      <c r="EI7" s="118">
        <f t="shared" si="18"/>
        <v>375005.9600000002</v>
      </c>
      <c r="EJ7" s="118">
        <f t="shared" si="18"/>
        <v>375005.9600000002</v>
      </c>
      <c r="EK7" s="118">
        <f t="shared" si="18"/>
        <v>375005.9600000002</v>
      </c>
      <c r="EL7" s="118">
        <f t="shared" si="18"/>
        <v>375005.9600000002</v>
      </c>
      <c r="EM7" s="118">
        <f t="shared" si="18"/>
        <v>375005.9600000002</v>
      </c>
      <c r="EN7" s="118">
        <f t="shared" si="18"/>
        <v>375005.9600000002</v>
      </c>
      <c r="EO7" s="118">
        <f t="shared" si="18"/>
        <v>375005.9600000002</v>
      </c>
      <c r="EP7" s="118">
        <f t="shared" si="18"/>
        <v>375005.9600000002</v>
      </c>
      <c r="EQ7" s="118">
        <f t="shared" si="18"/>
        <v>375005.9600000002</v>
      </c>
      <c r="ER7" s="118">
        <f t="shared" si="18"/>
        <v>375005.9600000002</v>
      </c>
      <c r="ES7" s="118">
        <f t="shared" si="18"/>
        <v>375005.9600000002</v>
      </c>
      <c r="ET7" s="118">
        <f t="shared" si="18"/>
        <v>375005.9600000002</v>
      </c>
      <c r="EU7" s="118">
        <f t="shared" si="18"/>
        <v>375005.9600000002</v>
      </c>
      <c r="EV7" s="118">
        <f t="shared" si="18"/>
        <v>375005.9600000002</v>
      </c>
      <c r="EW7" s="118">
        <f t="shared" si="18"/>
        <v>375005.9600000002</v>
      </c>
      <c r="EX7" s="118">
        <f t="shared" si="18"/>
        <v>375005.9600000002</v>
      </c>
      <c r="EY7" s="118">
        <f t="shared" si="18"/>
        <v>375005.9600000002</v>
      </c>
      <c r="EZ7" s="118">
        <f t="shared" si="18"/>
        <v>375005.9600000002</v>
      </c>
      <c r="FA7" s="118">
        <f t="shared" si="18"/>
        <v>375005.9600000002</v>
      </c>
      <c r="FB7" s="118">
        <f t="shared" si="18"/>
        <v>375005.9600000002</v>
      </c>
      <c r="FC7" s="118">
        <f t="shared" si="18"/>
        <v>375005.9600000002</v>
      </c>
      <c r="FD7" s="118">
        <f t="shared" si="18"/>
        <v>375005.9600000002</v>
      </c>
      <c r="FE7" s="118">
        <f t="shared" si="18"/>
        <v>375005.9600000002</v>
      </c>
      <c r="FF7" s="118">
        <f t="shared" si="18"/>
        <v>375005.9600000002</v>
      </c>
      <c r="FG7" s="118">
        <f t="shared" si="18"/>
        <v>375005.9600000002</v>
      </c>
      <c r="FH7" s="118">
        <f t="shared" si="18"/>
        <v>375005.9600000002</v>
      </c>
      <c r="FI7" s="118">
        <f t="shared" si="18"/>
        <v>375005.9600000002</v>
      </c>
      <c r="FJ7" s="118">
        <f t="shared" si="18"/>
        <v>375005.9600000002</v>
      </c>
      <c r="FK7" s="118">
        <f t="shared" si="18"/>
        <v>375005.9600000002</v>
      </c>
      <c r="FL7" s="118">
        <f t="shared" si="18"/>
        <v>375005.9600000002</v>
      </c>
      <c r="FM7" s="118">
        <f t="shared" si="18"/>
        <v>375005.9600000002</v>
      </c>
      <c r="FN7" s="118">
        <f t="shared" si="18"/>
        <v>375005.9600000002</v>
      </c>
      <c r="FO7" s="118">
        <f t="shared" si="18"/>
        <v>375005.9600000002</v>
      </c>
      <c r="FP7" s="118">
        <f t="shared" si="18"/>
        <v>375005.9600000002</v>
      </c>
      <c r="FQ7" s="118">
        <f t="shared" si="18"/>
        <v>375005.9600000002</v>
      </c>
      <c r="FR7" s="118">
        <f t="shared" si="18"/>
        <v>375005.9600000002</v>
      </c>
      <c r="FS7" s="118">
        <f t="shared" si="18"/>
        <v>375005.9600000002</v>
      </c>
      <c r="FT7" s="118">
        <f t="shared" si="18"/>
        <v>375005.9600000002</v>
      </c>
      <c r="FU7" s="118">
        <f t="shared" si="18"/>
        <v>375005.9600000002</v>
      </c>
      <c r="FV7" s="118">
        <f t="shared" si="18"/>
        <v>375005.9600000002</v>
      </c>
      <c r="FW7" s="118">
        <f t="shared" si="18"/>
        <v>375005.9600000002</v>
      </c>
      <c r="FX7" s="118">
        <f t="shared" si="18"/>
        <v>375005.9600000002</v>
      </c>
      <c r="FY7" s="118">
        <f t="shared" si="18"/>
        <v>375005.9600000002</v>
      </c>
      <c r="FZ7" s="118">
        <f t="shared" si="18"/>
        <v>375005.9600000002</v>
      </c>
      <c r="GA7" s="118">
        <f t="shared" si="18"/>
        <v>375005.9600000002</v>
      </c>
      <c r="GB7" s="118">
        <f t="shared" si="18"/>
        <v>375005.9600000002</v>
      </c>
      <c r="GC7" s="118">
        <f t="shared" si="18"/>
        <v>375005.9600000002</v>
      </c>
      <c r="GD7" s="118">
        <f t="shared" si="18"/>
        <v>375005.9600000002</v>
      </c>
      <c r="GE7" s="118">
        <f t="shared" si="18"/>
        <v>375005.9600000002</v>
      </c>
      <c r="GF7" s="118">
        <f t="shared" si="18"/>
        <v>375005.9600000002</v>
      </c>
      <c r="GG7" s="118">
        <f t="shared" si="18"/>
        <v>375005.9600000002</v>
      </c>
      <c r="GH7" s="118">
        <f t="shared" si="18"/>
        <v>375005.9600000002</v>
      </c>
      <c r="GI7" s="118">
        <f t="shared" si="18"/>
        <v>375005.9600000002</v>
      </c>
      <c r="GJ7" s="118">
        <f t="shared" si="18"/>
        <v>375005.9600000002</v>
      </c>
      <c r="GK7" s="118">
        <f t="shared" si="18"/>
        <v>375005.9600000002</v>
      </c>
      <c r="GL7" s="118">
        <f t="shared" si="18"/>
        <v>375005.9600000002</v>
      </c>
      <c r="GM7" s="118">
        <f t="shared" si="18"/>
        <v>375005.9600000002</v>
      </c>
      <c r="GN7" s="118">
        <f t="shared" si="18"/>
        <v>375005.9600000002</v>
      </c>
      <c r="GO7" s="118">
        <f t="shared" si="18"/>
        <v>375005.9600000002</v>
      </c>
      <c r="GP7" s="118">
        <f t="shared" si="18"/>
        <v>375005.9600000002</v>
      </c>
      <c r="GQ7" s="118">
        <f t="shared" si="18"/>
        <v>375005.9600000002</v>
      </c>
      <c r="GR7" s="118">
        <f t="shared" si="18"/>
        <v>375005.9600000002</v>
      </c>
      <c r="GS7" s="118">
        <f t="shared" ref="GS7:JD7" si="19">GS4-GS6</f>
        <v>375005.9600000002</v>
      </c>
      <c r="GT7" s="118">
        <f t="shared" si="19"/>
        <v>375005.9600000002</v>
      </c>
      <c r="GU7" s="118">
        <f t="shared" si="19"/>
        <v>375005.9600000002</v>
      </c>
      <c r="GV7" s="118">
        <f t="shared" si="19"/>
        <v>375005.9600000002</v>
      </c>
      <c r="GW7" s="118">
        <f t="shared" si="19"/>
        <v>375005.9600000002</v>
      </c>
      <c r="GX7" s="118">
        <f t="shared" si="19"/>
        <v>375005.9600000002</v>
      </c>
      <c r="GY7" s="118">
        <f t="shared" si="19"/>
        <v>375005.9600000002</v>
      </c>
      <c r="GZ7" s="118">
        <f t="shared" si="19"/>
        <v>375005.9600000002</v>
      </c>
      <c r="HA7" s="118">
        <f t="shared" si="19"/>
        <v>375005.9600000002</v>
      </c>
      <c r="HB7" s="118">
        <f t="shared" si="19"/>
        <v>375005.9600000002</v>
      </c>
      <c r="HC7" s="118">
        <f t="shared" si="19"/>
        <v>375005.9600000002</v>
      </c>
      <c r="HD7" s="118">
        <f t="shared" si="19"/>
        <v>375005.9600000002</v>
      </c>
      <c r="HE7" s="118">
        <f t="shared" si="19"/>
        <v>375005.9600000002</v>
      </c>
      <c r="HF7" s="118">
        <f t="shared" si="19"/>
        <v>375005.9600000002</v>
      </c>
      <c r="HG7" s="118">
        <f t="shared" si="19"/>
        <v>375005.9600000002</v>
      </c>
      <c r="HH7" s="118">
        <f t="shared" si="19"/>
        <v>375005.9600000002</v>
      </c>
      <c r="HI7" s="118">
        <f t="shared" si="19"/>
        <v>375005.9600000002</v>
      </c>
      <c r="HJ7" s="118">
        <f t="shared" si="19"/>
        <v>375005.9600000002</v>
      </c>
      <c r="HK7" s="118">
        <f t="shared" si="19"/>
        <v>375005.9600000002</v>
      </c>
      <c r="HL7" s="118">
        <f t="shared" si="19"/>
        <v>375005.9600000002</v>
      </c>
      <c r="HM7" s="118">
        <f t="shared" si="19"/>
        <v>375005.9600000002</v>
      </c>
      <c r="HN7" s="118">
        <f t="shared" si="19"/>
        <v>375005.9600000002</v>
      </c>
      <c r="HO7" s="118">
        <f t="shared" si="19"/>
        <v>375005.9600000002</v>
      </c>
      <c r="HP7" s="118">
        <f t="shared" si="19"/>
        <v>375005.9600000002</v>
      </c>
      <c r="HQ7" s="118">
        <f t="shared" si="19"/>
        <v>375005.9600000002</v>
      </c>
      <c r="HR7" s="118">
        <f t="shared" si="19"/>
        <v>375005.9600000002</v>
      </c>
      <c r="HS7" s="118">
        <f t="shared" si="19"/>
        <v>375005.9600000002</v>
      </c>
      <c r="HT7" s="118">
        <f t="shared" si="19"/>
        <v>375005.9600000002</v>
      </c>
      <c r="HU7" s="118">
        <f t="shared" si="19"/>
        <v>375005.9600000002</v>
      </c>
      <c r="HV7" s="118">
        <f t="shared" si="19"/>
        <v>375005.9600000002</v>
      </c>
      <c r="HW7" s="118">
        <f t="shared" si="19"/>
        <v>375005.9600000002</v>
      </c>
      <c r="HX7" s="118">
        <f t="shared" si="19"/>
        <v>375005.9600000002</v>
      </c>
      <c r="HY7" s="118">
        <f t="shared" si="19"/>
        <v>375005.9600000002</v>
      </c>
      <c r="HZ7" s="118">
        <f t="shared" si="19"/>
        <v>375005.9600000002</v>
      </c>
      <c r="IA7" s="118">
        <f t="shared" si="19"/>
        <v>375005.9600000002</v>
      </c>
      <c r="IB7" s="118">
        <f t="shared" si="19"/>
        <v>375005.9600000002</v>
      </c>
      <c r="IC7" s="118">
        <f t="shared" si="19"/>
        <v>375005.9600000002</v>
      </c>
      <c r="ID7" s="118">
        <f t="shared" si="19"/>
        <v>375005.9600000002</v>
      </c>
      <c r="IE7" s="118">
        <f t="shared" si="19"/>
        <v>375005.9600000002</v>
      </c>
      <c r="IF7" s="118">
        <f t="shared" si="19"/>
        <v>375005.9600000002</v>
      </c>
      <c r="IG7" s="118">
        <f t="shared" si="19"/>
        <v>375005.9600000002</v>
      </c>
      <c r="IH7" s="118">
        <f t="shared" si="19"/>
        <v>375005.9600000002</v>
      </c>
      <c r="II7" s="118">
        <f t="shared" si="19"/>
        <v>375005.9600000002</v>
      </c>
      <c r="IJ7" s="118">
        <f t="shared" si="19"/>
        <v>375005.9600000002</v>
      </c>
      <c r="IK7" s="118">
        <f t="shared" si="19"/>
        <v>375005.9600000002</v>
      </c>
      <c r="IL7" s="118">
        <f t="shared" si="19"/>
        <v>375005.9600000002</v>
      </c>
      <c r="IM7" s="118">
        <f t="shared" si="19"/>
        <v>375005.9600000002</v>
      </c>
      <c r="IN7" s="118">
        <f t="shared" si="19"/>
        <v>375005.9600000002</v>
      </c>
      <c r="IO7" s="118">
        <f t="shared" si="19"/>
        <v>375005.9600000002</v>
      </c>
      <c r="IP7" s="118">
        <f t="shared" si="19"/>
        <v>375005.9600000002</v>
      </c>
      <c r="IQ7" s="118">
        <f t="shared" si="19"/>
        <v>375005.9600000002</v>
      </c>
      <c r="IR7" s="118">
        <f t="shared" si="19"/>
        <v>375005.9600000002</v>
      </c>
      <c r="IS7" s="118">
        <f t="shared" si="19"/>
        <v>375005.9600000002</v>
      </c>
      <c r="IT7" s="118">
        <f t="shared" si="19"/>
        <v>375005.9600000002</v>
      </c>
      <c r="IU7" s="118">
        <f t="shared" si="19"/>
        <v>375005.9600000002</v>
      </c>
      <c r="IV7" s="118">
        <f t="shared" si="19"/>
        <v>375005.9600000002</v>
      </c>
      <c r="IW7" s="118">
        <f t="shared" si="19"/>
        <v>375005.9600000002</v>
      </c>
      <c r="IX7" s="118">
        <f t="shared" si="19"/>
        <v>375005.9600000002</v>
      </c>
      <c r="IY7" s="118">
        <f t="shared" si="19"/>
        <v>375005.9600000002</v>
      </c>
      <c r="IZ7" s="118">
        <f t="shared" si="19"/>
        <v>375005.9600000002</v>
      </c>
      <c r="JA7" s="118">
        <f t="shared" si="19"/>
        <v>375005.9600000002</v>
      </c>
      <c r="JB7" s="118">
        <f t="shared" si="19"/>
        <v>375005.9600000002</v>
      </c>
      <c r="JC7" s="118">
        <f t="shared" si="19"/>
        <v>375005.9600000002</v>
      </c>
      <c r="JD7" s="118">
        <f t="shared" si="19"/>
        <v>375005.9600000002</v>
      </c>
      <c r="JE7" s="118">
        <f t="shared" ref="JE7:KF7" si="20">JE4-JE6</f>
        <v>375005.9600000002</v>
      </c>
      <c r="JF7" s="118">
        <f t="shared" si="20"/>
        <v>375005.9600000002</v>
      </c>
      <c r="JG7" s="118">
        <f t="shared" si="20"/>
        <v>375005.9600000002</v>
      </c>
      <c r="JH7" s="118">
        <f t="shared" si="20"/>
        <v>375005.9600000002</v>
      </c>
      <c r="JI7" s="118">
        <f t="shared" si="20"/>
        <v>375005.9600000002</v>
      </c>
      <c r="JJ7" s="118">
        <f t="shared" si="20"/>
        <v>375005.9600000002</v>
      </c>
      <c r="JK7" s="118">
        <f t="shared" si="20"/>
        <v>375005.9600000002</v>
      </c>
      <c r="JL7" s="118">
        <f t="shared" si="20"/>
        <v>375005.9600000002</v>
      </c>
      <c r="JM7" s="118">
        <f t="shared" si="20"/>
        <v>375005.9600000002</v>
      </c>
      <c r="JN7" s="118">
        <f t="shared" si="20"/>
        <v>375005.9600000002</v>
      </c>
      <c r="JO7" s="118">
        <f t="shared" si="20"/>
        <v>375005.9600000002</v>
      </c>
      <c r="JP7" s="118">
        <f t="shared" si="20"/>
        <v>375005.9600000002</v>
      </c>
      <c r="JQ7" s="118">
        <f t="shared" si="20"/>
        <v>375005.9600000002</v>
      </c>
      <c r="JR7" s="118">
        <f t="shared" si="20"/>
        <v>375005.9600000002</v>
      </c>
      <c r="JS7" s="118">
        <f t="shared" si="20"/>
        <v>375005.9600000002</v>
      </c>
      <c r="JT7" s="118">
        <f t="shared" si="20"/>
        <v>375005.9600000002</v>
      </c>
      <c r="JU7" s="118">
        <f t="shared" si="20"/>
        <v>375005.9600000002</v>
      </c>
      <c r="JV7" s="118">
        <f t="shared" si="20"/>
        <v>375005.9600000002</v>
      </c>
      <c r="JW7" s="118">
        <f t="shared" si="20"/>
        <v>375005.9600000002</v>
      </c>
      <c r="JX7" s="118">
        <f t="shared" si="20"/>
        <v>375005.9600000002</v>
      </c>
      <c r="JY7" s="118">
        <f t="shared" si="20"/>
        <v>375005.9600000002</v>
      </c>
      <c r="JZ7" s="118">
        <f t="shared" si="20"/>
        <v>375005.9600000002</v>
      </c>
      <c r="KA7" s="118">
        <f t="shared" si="20"/>
        <v>375005.9600000002</v>
      </c>
      <c r="KB7" s="118">
        <f t="shared" si="20"/>
        <v>375005.9600000002</v>
      </c>
      <c r="KC7" s="118">
        <f t="shared" si="20"/>
        <v>375005.9600000002</v>
      </c>
      <c r="KD7" s="118">
        <f t="shared" si="20"/>
        <v>375005.9600000002</v>
      </c>
      <c r="KE7" s="118">
        <f t="shared" si="20"/>
        <v>375005.9600000002</v>
      </c>
      <c r="KF7" s="118">
        <f t="shared" si="20"/>
        <v>375005.9600000002</v>
      </c>
    </row>
    <row r="8" spans="1:770" s="102" customFormat="1">
      <c r="A8" s="751" t="s">
        <v>195</v>
      </c>
      <c r="B8" s="103"/>
      <c r="C8" s="104" t="s">
        <v>259</v>
      </c>
      <c r="D8" s="104" t="s">
        <v>259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2"/>
      <c r="B9" s="120" t="s">
        <v>421</v>
      </c>
      <c r="C9" s="121">
        <f>'Revenue Tracking'!F4</f>
        <v>2077436.28</v>
      </c>
      <c r="D9" s="121">
        <f>SUM(F9:KF9)</f>
        <v>2077436.28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1765820.838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311615.44200000004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2"/>
      <c r="B10" s="120" t="s">
        <v>422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1765820.838</v>
      </c>
      <c r="Q10" s="122">
        <f t="shared" si="21"/>
        <v>1765820.838</v>
      </c>
      <c r="R10" s="122">
        <f t="shared" si="21"/>
        <v>1765820.838</v>
      </c>
      <c r="S10" s="122">
        <f t="shared" si="21"/>
        <v>1765820.838</v>
      </c>
      <c r="T10" s="122">
        <f t="shared" si="21"/>
        <v>2077436.28</v>
      </c>
      <c r="U10" s="122">
        <f t="shared" si="21"/>
        <v>2077436.28</v>
      </c>
      <c r="V10" s="122">
        <f t="shared" si="21"/>
        <v>2077436.28</v>
      </c>
      <c r="W10" s="122">
        <f t="shared" si="21"/>
        <v>2077436.28</v>
      </c>
      <c r="X10" s="122">
        <f t="shared" si="21"/>
        <v>2077436.28</v>
      </c>
      <c r="Y10" s="122">
        <f t="shared" si="21"/>
        <v>2077436.28</v>
      </c>
      <c r="Z10" s="122">
        <f t="shared" si="21"/>
        <v>2077436.28</v>
      </c>
      <c r="AA10" s="122">
        <f t="shared" si="21"/>
        <v>2077436.28</v>
      </c>
      <c r="AB10" s="122">
        <f t="shared" si="21"/>
        <v>2077436.28</v>
      </c>
      <c r="AC10" s="122">
        <f t="shared" si="21"/>
        <v>2077436.28</v>
      </c>
      <c r="AD10" s="122">
        <f>AC10+AD9</f>
        <v>2077436.28</v>
      </c>
      <c r="AE10" s="122">
        <f t="shared" si="21"/>
        <v>2077436.28</v>
      </c>
      <c r="AF10" s="122">
        <f t="shared" si="21"/>
        <v>2077436.28</v>
      </c>
      <c r="AG10" s="122">
        <f t="shared" si="21"/>
        <v>2077436.28</v>
      </c>
      <c r="AH10" s="122">
        <f t="shared" si="21"/>
        <v>2077436.28</v>
      </c>
      <c r="AI10" s="122">
        <f t="shared" si="21"/>
        <v>2077436.28</v>
      </c>
      <c r="AJ10" s="122">
        <f t="shared" si="21"/>
        <v>2077436.28</v>
      </c>
      <c r="AK10" s="122">
        <f t="shared" si="21"/>
        <v>2077436.28</v>
      </c>
      <c r="AL10" s="122">
        <f t="shared" si="21"/>
        <v>2077436.28</v>
      </c>
      <c r="AM10" s="122">
        <f t="shared" si="21"/>
        <v>2077436.28</v>
      </c>
      <c r="AN10" s="122">
        <f t="shared" si="21"/>
        <v>2077436.28</v>
      </c>
      <c r="AO10" s="122">
        <f t="shared" si="21"/>
        <v>2077436.28</v>
      </c>
      <c r="AP10" s="122">
        <f t="shared" si="21"/>
        <v>2077436.28</v>
      </c>
      <c r="AQ10" s="122">
        <f t="shared" si="21"/>
        <v>2077436.28</v>
      </c>
      <c r="AR10" s="122">
        <f t="shared" si="21"/>
        <v>2077436.28</v>
      </c>
      <c r="AS10" s="122">
        <f t="shared" si="21"/>
        <v>2077436.28</v>
      </c>
      <c r="AT10" s="122">
        <f t="shared" si="21"/>
        <v>2077436.28</v>
      </c>
      <c r="AU10" s="122">
        <f t="shared" si="21"/>
        <v>2077436.28</v>
      </c>
      <c r="AV10" s="122">
        <f t="shared" si="21"/>
        <v>2077436.28</v>
      </c>
      <c r="AW10" s="122">
        <f t="shared" si="21"/>
        <v>2077436.28</v>
      </c>
      <c r="AX10" s="122">
        <f t="shared" si="21"/>
        <v>2077436.28</v>
      </c>
      <c r="AY10" s="122">
        <f t="shared" si="21"/>
        <v>2077436.28</v>
      </c>
      <c r="AZ10" s="122">
        <f t="shared" si="21"/>
        <v>2077436.28</v>
      </c>
      <c r="BA10" s="122">
        <f t="shared" si="21"/>
        <v>2077436.28</v>
      </c>
      <c r="BB10" s="122">
        <f t="shared" si="21"/>
        <v>2077436.28</v>
      </c>
      <c r="BC10" s="122">
        <f t="shared" si="21"/>
        <v>2077436.28</v>
      </c>
      <c r="BD10" s="122">
        <f t="shared" si="21"/>
        <v>2077436.28</v>
      </c>
      <c r="BE10" s="122">
        <f t="shared" si="21"/>
        <v>2077436.28</v>
      </c>
      <c r="BF10" s="122">
        <f t="shared" si="21"/>
        <v>2077436.28</v>
      </c>
      <c r="BG10" s="122">
        <f t="shared" si="21"/>
        <v>2077436.28</v>
      </c>
      <c r="BH10" s="122">
        <f t="shared" si="21"/>
        <v>2077436.28</v>
      </c>
      <c r="BI10" s="122">
        <f t="shared" si="21"/>
        <v>2077436.28</v>
      </c>
      <c r="BJ10" s="122">
        <f t="shared" si="21"/>
        <v>2077436.28</v>
      </c>
      <c r="BK10" s="122">
        <f t="shared" si="21"/>
        <v>2077436.28</v>
      </c>
      <c r="BL10" s="122">
        <f t="shared" si="21"/>
        <v>2077436.28</v>
      </c>
      <c r="BM10" s="122">
        <f t="shared" si="21"/>
        <v>2077436.28</v>
      </c>
      <c r="BN10" s="122">
        <f t="shared" si="21"/>
        <v>2077436.28</v>
      </c>
      <c r="BO10" s="122">
        <f t="shared" si="21"/>
        <v>2077436.28</v>
      </c>
      <c r="BP10" s="122">
        <f t="shared" si="21"/>
        <v>2077436.28</v>
      </c>
      <c r="BQ10" s="122">
        <f t="shared" si="21"/>
        <v>2077436.28</v>
      </c>
      <c r="BR10" s="122">
        <f t="shared" si="21"/>
        <v>2077436.28</v>
      </c>
      <c r="BS10" s="122">
        <f t="shared" si="21"/>
        <v>2077436.28</v>
      </c>
      <c r="BT10" s="122">
        <f t="shared" si="21"/>
        <v>2077436.28</v>
      </c>
      <c r="BU10" s="122">
        <f t="shared" ref="BU10:EF10" si="22">BT10+BU9</f>
        <v>2077436.28</v>
      </c>
      <c r="BV10" s="122">
        <f t="shared" si="22"/>
        <v>2077436.28</v>
      </c>
      <c r="BW10" s="122">
        <f t="shared" si="22"/>
        <v>2077436.28</v>
      </c>
      <c r="BX10" s="122">
        <f t="shared" si="22"/>
        <v>2077436.28</v>
      </c>
      <c r="BY10" s="122">
        <f t="shared" si="22"/>
        <v>2077436.28</v>
      </c>
      <c r="BZ10" s="122">
        <f t="shared" si="22"/>
        <v>2077436.28</v>
      </c>
      <c r="CA10" s="122">
        <f t="shared" si="22"/>
        <v>2077436.28</v>
      </c>
      <c r="CB10" s="122">
        <f t="shared" si="22"/>
        <v>2077436.28</v>
      </c>
      <c r="CC10" s="122">
        <f t="shared" si="22"/>
        <v>2077436.28</v>
      </c>
      <c r="CD10" s="122">
        <f t="shared" si="22"/>
        <v>2077436.28</v>
      </c>
      <c r="CE10" s="122">
        <f t="shared" si="22"/>
        <v>2077436.28</v>
      </c>
      <c r="CF10" s="122">
        <f t="shared" si="22"/>
        <v>2077436.28</v>
      </c>
      <c r="CG10" s="122">
        <f t="shared" si="22"/>
        <v>2077436.28</v>
      </c>
      <c r="CH10" s="122">
        <f t="shared" si="22"/>
        <v>2077436.28</v>
      </c>
      <c r="CI10" s="122">
        <f t="shared" si="22"/>
        <v>2077436.28</v>
      </c>
      <c r="CJ10" s="122">
        <f t="shared" si="22"/>
        <v>2077436.28</v>
      </c>
      <c r="CK10" s="122">
        <f t="shared" si="22"/>
        <v>2077436.28</v>
      </c>
      <c r="CL10" s="122">
        <f t="shared" si="22"/>
        <v>2077436.28</v>
      </c>
      <c r="CM10" s="122">
        <f t="shared" si="22"/>
        <v>2077436.28</v>
      </c>
      <c r="CN10" s="122">
        <f t="shared" si="22"/>
        <v>2077436.28</v>
      </c>
      <c r="CO10" s="122">
        <f t="shared" si="22"/>
        <v>2077436.28</v>
      </c>
      <c r="CP10" s="122">
        <f t="shared" si="22"/>
        <v>2077436.28</v>
      </c>
      <c r="CQ10" s="122">
        <f t="shared" si="22"/>
        <v>2077436.28</v>
      </c>
      <c r="CR10" s="122">
        <f t="shared" si="22"/>
        <v>2077436.28</v>
      </c>
      <c r="CS10" s="122">
        <f t="shared" si="22"/>
        <v>2077436.28</v>
      </c>
      <c r="CT10" s="122">
        <f t="shared" si="22"/>
        <v>2077436.28</v>
      </c>
      <c r="CU10" s="122">
        <f t="shared" si="22"/>
        <v>2077436.28</v>
      </c>
      <c r="CV10" s="122">
        <f t="shared" si="22"/>
        <v>2077436.28</v>
      </c>
      <c r="CW10" s="122">
        <f t="shared" si="22"/>
        <v>2077436.28</v>
      </c>
      <c r="CX10" s="122">
        <f t="shared" si="22"/>
        <v>2077436.28</v>
      </c>
      <c r="CY10" s="122">
        <f t="shared" si="22"/>
        <v>2077436.28</v>
      </c>
      <c r="CZ10" s="122">
        <f t="shared" si="22"/>
        <v>2077436.28</v>
      </c>
      <c r="DA10" s="122">
        <f t="shared" si="22"/>
        <v>2077436.28</v>
      </c>
      <c r="DB10" s="122">
        <f t="shared" si="22"/>
        <v>2077436.28</v>
      </c>
      <c r="DC10" s="122">
        <f t="shared" si="22"/>
        <v>2077436.28</v>
      </c>
      <c r="DD10" s="122">
        <f t="shared" si="22"/>
        <v>2077436.28</v>
      </c>
      <c r="DE10" s="122">
        <f t="shared" si="22"/>
        <v>2077436.28</v>
      </c>
      <c r="DF10" s="122">
        <f t="shared" si="22"/>
        <v>2077436.28</v>
      </c>
      <c r="DG10" s="122">
        <f t="shared" si="22"/>
        <v>2077436.28</v>
      </c>
      <c r="DH10" s="122">
        <f t="shared" si="22"/>
        <v>2077436.28</v>
      </c>
      <c r="DI10" s="122">
        <f t="shared" si="22"/>
        <v>2077436.28</v>
      </c>
      <c r="DJ10" s="122">
        <f t="shared" si="22"/>
        <v>2077436.28</v>
      </c>
      <c r="DK10" s="122">
        <f t="shared" si="22"/>
        <v>2077436.28</v>
      </c>
      <c r="DL10" s="122">
        <f t="shared" si="22"/>
        <v>2077436.28</v>
      </c>
      <c r="DM10" s="122">
        <f t="shared" si="22"/>
        <v>2077436.28</v>
      </c>
      <c r="DN10" s="122">
        <f t="shared" si="22"/>
        <v>2077436.28</v>
      </c>
      <c r="DO10" s="122">
        <f t="shared" si="22"/>
        <v>2077436.28</v>
      </c>
      <c r="DP10" s="122">
        <f t="shared" si="22"/>
        <v>2077436.28</v>
      </c>
      <c r="DQ10" s="122">
        <f t="shared" si="22"/>
        <v>2077436.28</v>
      </c>
      <c r="DR10" s="122">
        <f t="shared" si="22"/>
        <v>2077436.28</v>
      </c>
      <c r="DS10" s="122">
        <f t="shared" si="22"/>
        <v>2077436.28</v>
      </c>
      <c r="DT10" s="122">
        <f t="shared" si="22"/>
        <v>2077436.28</v>
      </c>
      <c r="DU10" s="122">
        <f t="shared" si="22"/>
        <v>2077436.28</v>
      </c>
      <c r="DV10" s="122">
        <f t="shared" si="22"/>
        <v>2077436.28</v>
      </c>
      <c r="DW10" s="122">
        <f t="shared" si="22"/>
        <v>2077436.28</v>
      </c>
      <c r="DX10" s="122">
        <f t="shared" si="22"/>
        <v>2077436.28</v>
      </c>
      <c r="DY10" s="122">
        <f t="shared" si="22"/>
        <v>2077436.28</v>
      </c>
      <c r="DZ10" s="122">
        <f t="shared" si="22"/>
        <v>2077436.28</v>
      </c>
      <c r="EA10" s="122">
        <f t="shared" si="22"/>
        <v>2077436.28</v>
      </c>
      <c r="EB10" s="122">
        <f t="shared" si="22"/>
        <v>2077436.28</v>
      </c>
      <c r="EC10" s="122">
        <f t="shared" si="22"/>
        <v>2077436.28</v>
      </c>
      <c r="ED10" s="122">
        <f t="shared" si="22"/>
        <v>2077436.28</v>
      </c>
      <c r="EE10" s="122">
        <f t="shared" si="22"/>
        <v>2077436.28</v>
      </c>
      <c r="EF10" s="122">
        <f t="shared" si="22"/>
        <v>2077436.28</v>
      </c>
      <c r="EG10" s="122">
        <f t="shared" ref="EG10:GR10" si="23">EF10+EG9</f>
        <v>2077436.28</v>
      </c>
      <c r="EH10" s="122">
        <f t="shared" si="23"/>
        <v>2077436.28</v>
      </c>
      <c r="EI10" s="122">
        <f t="shared" si="23"/>
        <v>2077436.28</v>
      </c>
      <c r="EJ10" s="122">
        <f t="shared" si="23"/>
        <v>2077436.28</v>
      </c>
      <c r="EK10" s="122">
        <f t="shared" si="23"/>
        <v>2077436.28</v>
      </c>
      <c r="EL10" s="122">
        <f t="shared" si="23"/>
        <v>2077436.28</v>
      </c>
      <c r="EM10" s="122">
        <f t="shared" si="23"/>
        <v>2077436.28</v>
      </c>
      <c r="EN10" s="122">
        <f t="shared" si="23"/>
        <v>2077436.28</v>
      </c>
      <c r="EO10" s="122">
        <f t="shared" si="23"/>
        <v>2077436.28</v>
      </c>
      <c r="EP10" s="122">
        <f t="shared" si="23"/>
        <v>2077436.28</v>
      </c>
      <c r="EQ10" s="122">
        <f t="shared" si="23"/>
        <v>2077436.28</v>
      </c>
      <c r="ER10" s="122">
        <f t="shared" si="23"/>
        <v>2077436.28</v>
      </c>
      <c r="ES10" s="122">
        <f t="shared" si="23"/>
        <v>2077436.28</v>
      </c>
      <c r="ET10" s="122">
        <f t="shared" si="23"/>
        <v>2077436.28</v>
      </c>
      <c r="EU10" s="122">
        <f t="shared" si="23"/>
        <v>2077436.28</v>
      </c>
      <c r="EV10" s="122">
        <f t="shared" si="23"/>
        <v>2077436.28</v>
      </c>
      <c r="EW10" s="122">
        <f t="shared" si="23"/>
        <v>2077436.28</v>
      </c>
      <c r="EX10" s="122">
        <f t="shared" si="23"/>
        <v>2077436.28</v>
      </c>
      <c r="EY10" s="122">
        <f t="shared" si="23"/>
        <v>2077436.28</v>
      </c>
      <c r="EZ10" s="122">
        <f t="shared" si="23"/>
        <v>2077436.28</v>
      </c>
      <c r="FA10" s="122">
        <f t="shared" si="23"/>
        <v>2077436.28</v>
      </c>
      <c r="FB10" s="122">
        <f t="shared" si="23"/>
        <v>2077436.28</v>
      </c>
      <c r="FC10" s="122">
        <f t="shared" si="23"/>
        <v>2077436.28</v>
      </c>
      <c r="FD10" s="122">
        <f t="shared" si="23"/>
        <v>2077436.28</v>
      </c>
      <c r="FE10" s="122">
        <f t="shared" si="23"/>
        <v>2077436.28</v>
      </c>
      <c r="FF10" s="122">
        <f t="shared" si="23"/>
        <v>2077436.28</v>
      </c>
      <c r="FG10" s="122">
        <f t="shared" si="23"/>
        <v>2077436.28</v>
      </c>
      <c r="FH10" s="122">
        <f t="shared" si="23"/>
        <v>2077436.28</v>
      </c>
      <c r="FI10" s="122">
        <f t="shared" si="23"/>
        <v>2077436.28</v>
      </c>
      <c r="FJ10" s="122">
        <f t="shared" si="23"/>
        <v>2077436.28</v>
      </c>
      <c r="FK10" s="122">
        <f t="shared" si="23"/>
        <v>2077436.28</v>
      </c>
      <c r="FL10" s="122">
        <f t="shared" si="23"/>
        <v>2077436.28</v>
      </c>
      <c r="FM10" s="122">
        <f t="shared" si="23"/>
        <v>2077436.28</v>
      </c>
      <c r="FN10" s="122">
        <f t="shared" si="23"/>
        <v>2077436.28</v>
      </c>
      <c r="FO10" s="122">
        <f t="shared" si="23"/>
        <v>2077436.28</v>
      </c>
      <c r="FP10" s="122">
        <f t="shared" si="23"/>
        <v>2077436.28</v>
      </c>
      <c r="FQ10" s="122">
        <f t="shared" si="23"/>
        <v>2077436.28</v>
      </c>
      <c r="FR10" s="122">
        <f t="shared" si="23"/>
        <v>2077436.28</v>
      </c>
      <c r="FS10" s="122">
        <f t="shared" si="23"/>
        <v>2077436.28</v>
      </c>
      <c r="FT10" s="122">
        <f t="shared" si="23"/>
        <v>2077436.28</v>
      </c>
      <c r="FU10" s="122">
        <f t="shared" si="23"/>
        <v>2077436.28</v>
      </c>
      <c r="FV10" s="122">
        <f t="shared" si="23"/>
        <v>2077436.28</v>
      </c>
      <c r="FW10" s="122">
        <f t="shared" si="23"/>
        <v>2077436.28</v>
      </c>
      <c r="FX10" s="122">
        <f t="shared" si="23"/>
        <v>2077436.28</v>
      </c>
      <c r="FY10" s="122">
        <f t="shared" si="23"/>
        <v>2077436.28</v>
      </c>
      <c r="FZ10" s="122">
        <f t="shared" si="23"/>
        <v>2077436.28</v>
      </c>
      <c r="GA10" s="122">
        <f t="shared" si="23"/>
        <v>2077436.28</v>
      </c>
      <c r="GB10" s="122">
        <f t="shared" si="23"/>
        <v>2077436.28</v>
      </c>
      <c r="GC10" s="122">
        <f t="shared" si="23"/>
        <v>2077436.28</v>
      </c>
      <c r="GD10" s="122">
        <f t="shared" si="23"/>
        <v>2077436.28</v>
      </c>
      <c r="GE10" s="122">
        <f t="shared" si="23"/>
        <v>2077436.28</v>
      </c>
      <c r="GF10" s="122">
        <f t="shared" si="23"/>
        <v>2077436.28</v>
      </c>
      <c r="GG10" s="122">
        <f t="shared" si="23"/>
        <v>2077436.28</v>
      </c>
      <c r="GH10" s="122">
        <f t="shared" si="23"/>
        <v>2077436.28</v>
      </c>
      <c r="GI10" s="122">
        <f t="shared" si="23"/>
        <v>2077436.28</v>
      </c>
      <c r="GJ10" s="122">
        <f t="shared" si="23"/>
        <v>2077436.28</v>
      </c>
      <c r="GK10" s="122">
        <f t="shared" si="23"/>
        <v>2077436.28</v>
      </c>
      <c r="GL10" s="122">
        <f t="shared" si="23"/>
        <v>2077436.28</v>
      </c>
      <c r="GM10" s="122">
        <f t="shared" si="23"/>
        <v>2077436.28</v>
      </c>
      <c r="GN10" s="122">
        <f t="shared" si="23"/>
        <v>2077436.28</v>
      </c>
      <c r="GO10" s="122">
        <f t="shared" si="23"/>
        <v>2077436.28</v>
      </c>
      <c r="GP10" s="122">
        <f t="shared" si="23"/>
        <v>2077436.28</v>
      </c>
      <c r="GQ10" s="122">
        <f t="shared" si="23"/>
        <v>2077436.28</v>
      </c>
      <c r="GR10" s="122">
        <f t="shared" si="23"/>
        <v>2077436.28</v>
      </c>
      <c r="GS10" s="122">
        <f t="shared" ref="GS10:JD10" si="24">GR10+GS9</f>
        <v>2077436.28</v>
      </c>
      <c r="GT10" s="122">
        <f t="shared" si="24"/>
        <v>2077436.28</v>
      </c>
      <c r="GU10" s="122">
        <f t="shared" si="24"/>
        <v>2077436.28</v>
      </c>
      <c r="GV10" s="122">
        <f t="shared" si="24"/>
        <v>2077436.28</v>
      </c>
      <c r="GW10" s="122">
        <f t="shared" si="24"/>
        <v>2077436.28</v>
      </c>
      <c r="GX10" s="122">
        <f t="shared" si="24"/>
        <v>2077436.28</v>
      </c>
      <c r="GY10" s="122">
        <f t="shared" si="24"/>
        <v>2077436.28</v>
      </c>
      <c r="GZ10" s="122">
        <f t="shared" si="24"/>
        <v>2077436.28</v>
      </c>
      <c r="HA10" s="122">
        <f t="shared" si="24"/>
        <v>2077436.28</v>
      </c>
      <c r="HB10" s="122">
        <f t="shared" si="24"/>
        <v>2077436.28</v>
      </c>
      <c r="HC10" s="122">
        <f t="shared" si="24"/>
        <v>2077436.28</v>
      </c>
      <c r="HD10" s="122">
        <f t="shared" si="24"/>
        <v>2077436.28</v>
      </c>
      <c r="HE10" s="122">
        <f t="shared" si="24"/>
        <v>2077436.28</v>
      </c>
      <c r="HF10" s="122">
        <f t="shared" si="24"/>
        <v>2077436.28</v>
      </c>
      <c r="HG10" s="122">
        <f t="shared" si="24"/>
        <v>2077436.28</v>
      </c>
      <c r="HH10" s="122">
        <f t="shared" si="24"/>
        <v>2077436.28</v>
      </c>
      <c r="HI10" s="122">
        <f t="shared" si="24"/>
        <v>2077436.28</v>
      </c>
      <c r="HJ10" s="122">
        <f t="shared" si="24"/>
        <v>2077436.28</v>
      </c>
      <c r="HK10" s="122">
        <f t="shared" si="24"/>
        <v>2077436.28</v>
      </c>
      <c r="HL10" s="122">
        <f t="shared" si="24"/>
        <v>2077436.28</v>
      </c>
      <c r="HM10" s="122">
        <f t="shared" si="24"/>
        <v>2077436.28</v>
      </c>
      <c r="HN10" s="122">
        <f t="shared" si="24"/>
        <v>2077436.28</v>
      </c>
      <c r="HO10" s="122">
        <f t="shared" si="24"/>
        <v>2077436.28</v>
      </c>
      <c r="HP10" s="122">
        <f t="shared" si="24"/>
        <v>2077436.28</v>
      </c>
      <c r="HQ10" s="122">
        <f t="shared" si="24"/>
        <v>2077436.28</v>
      </c>
      <c r="HR10" s="122">
        <f t="shared" si="24"/>
        <v>2077436.28</v>
      </c>
      <c r="HS10" s="122">
        <f t="shared" si="24"/>
        <v>2077436.28</v>
      </c>
      <c r="HT10" s="122">
        <f t="shared" si="24"/>
        <v>2077436.28</v>
      </c>
      <c r="HU10" s="122">
        <f t="shared" si="24"/>
        <v>2077436.28</v>
      </c>
      <c r="HV10" s="122">
        <f t="shared" si="24"/>
        <v>2077436.28</v>
      </c>
      <c r="HW10" s="122">
        <f t="shared" si="24"/>
        <v>2077436.28</v>
      </c>
      <c r="HX10" s="122">
        <f t="shared" si="24"/>
        <v>2077436.28</v>
      </c>
      <c r="HY10" s="122">
        <f t="shared" si="24"/>
        <v>2077436.28</v>
      </c>
      <c r="HZ10" s="122">
        <f t="shared" si="24"/>
        <v>2077436.28</v>
      </c>
      <c r="IA10" s="122">
        <f t="shared" si="24"/>
        <v>2077436.28</v>
      </c>
      <c r="IB10" s="122">
        <f t="shared" si="24"/>
        <v>2077436.28</v>
      </c>
      <c r="IC10" s="122">
        <f t="shared" si="24"/>
        <v>2077436.28</v>
      </c>
      <c r="ID10" s="122">
        <f t="shared" si="24"/>
        <v>2077436.28</v>
      </c>
      <c r="IE10" s="122">
        <f t="shared" si="24"/>
        <v>2077436.28</v>
      </c>
      <c r="IF10" s="122">
        <f t="shared" si="24"/>
        <v>2077436.28</v>
      </c>
      <c r="IG10" s="122">
        <f t="shared" si="24"/>
        <v>2077436.28</v>
      </c>
      <c r="IH10" s="122">
        <f t="shared" si="24"/>
        <v>2077436.28</v>
      </c>
      <c r="II10" s="122">
        <f t="shared" si="24"/>
        <v>2077436.28</v>
      </c>
      <c r="IJ10" s="122">
        <f t="shared" si="24"/>
        <v>2077436.28</v>
      </c>
      <c r="IK10" s="122">
        <f t="shared" si="24"/>
        <v>2077436.28</v>
      </c>
      <c r="IL10" s="122">
        <f t="shared" si="24"/>
        <v>2077436.28</v>
      </c>
      <c r="IM10" s="122">
        <f t="shared" si="24"/>
        <v>2077436.28</v>
      </c>
      <c r="IN10" s="122">
        <f t="shared" si="24"/>
        <v>2077436.28</v>
      </c>
      <c r="IO10" s="122">
        <f t="shared" si="24"/>
        <v>2077436.28</v>
      </c>
      <c r="IP10" s="122">
        <f t="shared" si="24"/>
        <v>2077436.28</v>
      </c>
      <c r="IQ10" s="122">
        <f t="shared" si="24"/>
        <v>2077436.28</v>
      </c>
      <c r="IR10" s="122">
        <f t="shared" si="24"/>
        <v>2077436.28</v>
      </c>
      <c r="IS10" s="122">
        <f t="shared" si="24"/>
        <v>2077436.28</v>
      </c>
      <c r="IT10" s="122">
        <f t="shared" si="24"/>
        <v>2077436.28</v>
      </c>
      <c r="IU10" s="122">
        <f t="shared" si="24"/>
        <v>2077436.28</v>
      </c>
      <c r="IV10" s="122">
        <f t="shared" si="24"/>
        <v>2077436.28</v>
      </c>
      <c r="IW10" s="122">
        <f t="shared" si="24"/>
        <v>2077436.28</v>
      </c>
      <c r="IX10" s="122">
        <f t="shared" si="24"/>
        <v>2077436.28</v>
      </c>
      <c r="IY10" s="122">
        <f t="shared" si="24"/>
        <v>2077436.28</v>
      </c>
      <c r="IZ10" s="122">
        <f t="shared" si="24"/>
        <v>2077436.28</v>
      </c>
      <c r="JA10" s="122">
        <f t="shared" si="24"/>
        <v>2077436.28</v>
      </c>
      <c r="JB10" s="122">
        <f t="shared" si="24"/>
        <v>2077436.28</v>
      </c>
      <c r="JC10" s="122">
        <f t="shared" si="24"/>
        <v>2077436.28</v>
      </c>
      <c r="JD10" s="122">
        <f t="shared" si="24"/>
        <v>2077436.28</v>
      </c>
      <c r="JE10" s="122">
        <f t="shared" ref="JE10:KF10" si="25">JD10+JE9</f>
        <v>2077436.28</v>
      </c>
      <c r="JF10" s="122">
        <f t="shared" si="25"/>
        <v>2077436.28</v>
      </c>
      <c r="JG10" s="122">
        <f t="shared" si="25"/>
        <v>2077436.28</v>
      </c>
      <c r="JH10" s="122">
        <f t="shared" si="25"/>
        <v>2077436.28</v>
      </c>
      <c r="JI10" s="122">
        <f t="shared" si="25"/>
        <v>2077436.28</v>
      </c>
      <c r="JJ10" s="122">
        <f t="shared" si="25"/>
        <v>2077436.28</v>
      </c>
      <c r="JK10" s="122">
        <f t="shared" si="25"/>
        <v>2077436.28</v>
      </c>
      <c r="JL10" s="122">
        <f t="shared" si="25"/>
        <v>2077436.28</v>
      </c>
      <c r="JM10" s="122">
        <f t="shared" si="25"/>
        <v>2077436.28</v>
      </c>
      <c r="JN10" s="122">
        <f t="shared" si="25"/>
        <v>2077436.28</v>
      </c>
      <c r="JO10" s="122">
        <f t="shared" si="25"/>
        <v>2077436.28</v>
      </c>
      <c r="JP10" s="122">
        <f t="shared" si="25"/>
        <v>2077436.28</v>
      </c>
      <c r="JQ10" s="122">
        <f t="shared" si="25"/>
        <v>2077436.28</v>
      </c>
      <c r="JR10" s="122">
        <f t="shared" si="25"/>
        <v>2077436.28</v>
      </c>
      <c r="JS10" s="122">
        <f t="shared" si="25"/>
        <v>2077436.28</v>
      </c>
      <c r="JT10" s="122">
        <f t="shared" si="25"/>
        <v>2077436.28</v>
      </c>
      <c r="JU10" s="122">
        <f t="shared" si="25"/>
        <v>2077436.28</v>
      </c>
      <c r="JV10" s="122">
        <f t="shared" si="25"/>
        <v>2077436.28</v>
      </c>
      <c r="JW10" s="122">
        <f t="shared" si="25"/>
        <v>2077436.28</v>
      </c>
      <c r="JX10" s="122">
        <f t="shared" si="25"/>
        <v>2077436.28</v>
      </c>
      <c r="JY10" s="122">
        <f t="shared" si="25"/>
        <v>2077436.28</v>
      </c>
      <c r="JZ10" s="122">
        <f t="shared" si="25"/>
        <v>2077436.28</v>
      </c>
      <c r="KA10" s="122">
        <f t="shared" si="25"/>
        <v>2077436.28</v>
      </c>
      <c r="KB10" s="122">
        <f t="shared" si="25"/>
        <v>2077436.28</v>
      </c>
      <c r="KC10" s="122">
        <f t="shared" si="25"/>
        <v>2077436.28</v>
      </c>
      <c r="KD10" s="122">
        <f t="shared" si="25"/>
        <v>2077436.28</v>
      </c>
      <c r="KE10" s="122">
        <f t="shared" si="25"/>
        <v>2077436.28</v>
      </c>
      <c r="KF10" s="122">
        <f t="shared" si="25"/>
        <v>2077436.28</v>
      </c>
    </row>
    <row r="11" spans="1:770" s="114" customFormat="1">
      <c r="A11" s="752"/>
      <c r="B11" s="123" t="s">
        <v>423</v>
      </c>
      <c r="C11" s="124">
        <f>'Revenue Tracking'!F5</f>
        <v>1501186.9010000003</v>
      </c>
      <c r="D11" s="124">
        <f>SUM(F11:KF11)</f>
        <v>1445811.821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0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975</v>
      </c>
      <c r="L11" s="125">
        <f>SUMIFS('Expenditure Breakdown'!$Q$6:$Q$173, 'Expenditure Breakdown'!$W$6:$W$173, "&gt;="&amp;L1,'Expenditure Breakdown'!$W$6:$W$173, "&lt;"&amp;M1)</f>
        <v>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0</v>
      </c>
      <c r="O11" s="125">
        <f>SUMIFS('Expenditure Breakdown'!$Q$6:$Q$173, 'Expenditure Breakdown'!$W$6:$W$173, "&gt;="&amp;O1,'Expenditure Breakdown'!$W$6:$W$173, "&lt;"&amp;P1)</f>
        <v>49768.729999999996</v>
      </c>
      <c r="P11" s="125">
        <f>SUMIFS('Expenditure Breakdown'!$Q$6:$Q$173, 'Expenditure Breakdown'!$W$6:$W$173, "&gt;="&amp;P1,'Expenditure Breakdown'!$W$6:$W$173, "&lt;"&amp;Q1)</f>
        <v>21.34</v>
      </c>
      <c r="Q11" s="125">
        <f>SUMIFS('Expenditure Breakdown'!$Q$6:$Q$173, 'Expenditure Breakdown'!$W$6:$W$173, "&gt;="&amp;Q1,'Expenditure Breakdown'!$W$6:$W$173, "&lt;"&amp;R1)</f>
        <v>12761.853999999999</v>
      </c>
      <c r="R11" s="125">
        <f>SUMIFS('Expenditure Breakdown'!$Q$6:$Q$173, 'Expenditure Breakdown'!$W$6:$W$173, "&gt;="&amp;R1,'Expenditure Breakdown'!$W$6:$W$173, "&lt;"&amp;S1)</f>
        <v>296450.34500000003</v>
      </c>
      <c r="S11" s="125">
        <f>SUMIFS('Expenditure Breakdown'!$Q$6:$Q$173, 'Expenditure Breakdown'!$W$6:$W$173, "&gt;="&amp;S1,'Expenditure Breakdown'!$W$6:$W$173, "&lt;"&amp;T1)</f>
        <v>16601.599999999999</v>
      </c>
      <c r="T11" s="125">
        <f>SUMIFS('Expenditure Breakdown'!$Q$6:$Q$173, 'Expenditure Breakdown'!$W$6:$W$173, "&gt;="&amp;T1,'Expenditure Breakdown'!$W$6:$W$173, "&lt;"&amp;U1)</f>
        <v>0</v>
      </c>
      <c r="U11" s="125">
        <f>SUMIFS('Expenditure Breakdown'!$Q$6:$Q$173, 'Expenditure Breakdown'!$W$6:$W$173, "&gt;="&amp;U1,'Expenditure Breakdown'!$W$6:$W$173, "&lt;"&amp;V1)</f>
        <v>13295.456</v>
      </c>
      <c r="V11" s="125">
        <f>SUMIFS('Expenditure Breakdown'!$Q$6:$Q$173, 'Expenditure Breakdown'!$W$6:$W$173, "&gt;="&amp;V1,'Expenditure Breakdown'!$W$6:$W$173, "&lt;"&amp;W1)</f>
        <v>0</v>
      </c>
      <c r="W11" s="125">
        <f>SUMIFS('Expenditure Breakdown'!$Q$6:$Q$173, 'Expenditure Breakdown'!$W$6:$W$173, "&gt;="&amp;W1,'Expenditure Breakdown'!$W$6:$W$173, "&lt;"&amp;X1)</f>
        <v>72764.639999999999</v>
      </c>
      <c r="X11" s="125">
        <f>SUMIFS('Expenditure Breakdown'!$Q$6:$Q$173, 'Expenditure Breakdown'!$W$6:$W$173, "&gt;="&amp;X1,'Expenditure Breakdown'!$W$6:$W$173, "&lt;"&amp;Y1)</f>
        <v>35818.619999999995</v>
      </c>
      <c r="Y11" s="125">
        <f>SUMIFS('Expenditure Breakdown'!$Q$6:$Q$173, 'Expenditure Breakdown'!$W$6:$W$173, "&gt;="&amp;Y1,'Expenditure Breakdown'!$W$6:$W$173, "&lt;"&amp;Z1)</f>
        <v>720040.7</v>
      </c>
      <c r="Z11" s="125">
        <f>SUMIFS('Expenditure Breakdown'!$Q$6:$Q$173, 'Expenditure Breakdown'!$W$6:$W$173, "&gt;="&amp;Z1,'Expenditure Breakdown'!$W$6:$W$173, "&lt;"&amp;AA1)</f>
        <v>5643.6</v>
      </c>
      <c r="AA11" s="125">
        <f>SUMIFS('Expenditure Breakdown'!$Q$6:$Q$173, 'Expenditure Breakdown'!$W$6:$W$173, "&gt;="&amp;AA1,'Expenditure Breakdown'!$W$6:$W$173, "&lt;"&amp;AB1)</f>
        <v>24884.337500000001</v>
      </c>
      <c r="AB11" s="125">
        <f>SUMIFS('Expenditure Breakdown'!$Q$6:$Q$173, 'Expenditure Breakdown'!$W$6:$W$173, "&gt;="&amp;AB1,'Expenditure Breakdown'!$W$6:$W$173, "&lt;"&amp;AC1)</f>
        <v>65280.184999999998</v>
      </c>
      <c r="AC11" s="125">
        <f>SUMIFS('Expenditure Breakdown'!$Q$6:$Q$173, 'Expenditure Breakdown'!$W$6:$W$173, "&gt;="&amp;AC1,'Expenditure Breakdown'!$W$6:$W$173, "&lt;"&amp;AD1)</f>
        <v>74653.102499999994</v>
      </c>
      <c r="AD11" s="125">
        <f>SUMIFS('Expenditure Breakdown'!$Q$6:$Q$173, 'Expenditure Breakdown'!$W$6:$W$173, "&gt;="&amp;AD1,'Expenditure Breakdown'!$W$6:$W$173, "&lt;"&amp;AE1)</f>
        <v>0</v>
      </c>
      <c r="AE11" s="125">
        <f>SUMIFS('Expenditure Breakdown'!$Q$6:$Q$173, 'Expenditure Breakdown'!$W$6:$W$173, "&gt;="&amp;AE1,'Expenditure Breakdown'!$W$6:$W$173, "&lt;"&amp;AF1)</f>
        <v>25967.953500000003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24884.357500000002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6000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52"/>
      <c r="B12" s="123" t="s">
        <v>424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975</v>
      </c>
      <c r="L12" s="125">
        <f t="shared" si="26"/>
        <v>975</v>
      </c>
      <c r="M12" s="125">
        <f t="shared" si="26"/>
        <v>975</v>
      </c>
      <c r="N12" s="125">
        <f t="shared" si="26"/>
        <v>975</v>
      </c>
      <c r="O12" s="125">
        <f t="shared" si="26"/>
        <v>50743.729999999996</v>
      </c>
      <c r="P12" s="125">
        <f t="shared" si="26"/>
        <v>50765.069999999992</v>
      </c>
      <c r="Q12" s="125">
        <f t="shared" si="26"/>
        <v>63526.923999999992</v>
      </c>
      <c r="R12" s="125">
        <f t="shared" si="26"/>
        <v>359977.26900000003</v>
      </c>
      <c r="S12" s="125">
        <f t="shared" si="26"/>
        <v>376578.86900000001</v>
      </c>
      <c r="T12" s="125">
        <f t="shared" si="26"/>
        <v>376578.86900000001</v>
      </c>
      <c r="U12" s="125">
        <f t="shared" si="26"/>
        <v>389874.32500000001</v>
      </c>
      <c r="V12" s="125">
        <f t="shared" si="26"/>
        <v>389874.32500000001</v>
      </c>
      <c r="W12" s="125">
        <f t="shared" si="26"/>
        <v>462638.96500000003</v>
      </c>
      <c r="X12" s="125">
        <f t="shared" si="26"/>
        <v>498457.58500000002</v>
      </c>
      <c r="Y12" s="125">
        <f t="shared" si="26"/>
        <v>1218498.2849999999</v>
      </c>
      <c r="Z12" s="125">
        <f t="shared" si="26"/>
        <v>1224141.885</v>
      </c>
      <c r="AA12" s="125">
        <f t="shared" si="26"/>
        <v>1249026.2224999999</v>
      </c>
      <c r="AB12" s="125">
        <f t="shared" si="26"/>
        <v>1314306.4075</v>
      </c>
      <c r="AC12" s="125">
        <f t="shared" si="26"/>
        <v>1388959.51</v>
      </c>
      <c r="AD12" s="125">
        <f>AC12+AD11</f>
        <v>1388959.51</v>
      </c>
      <c r="AE12" s="125">
        <f t="shared" si="26"/>
        <v>1414927.4635000001</v>
      </c>
      <c r="AF12" s="125">
        <f t="shared" si="26"/>
        <v>1414927.4635000001</v>
      </c>
      <c r="AG12" s="125">
        <f t="shared" si="26"/>
        <v>1439811.821</v>
      </c>
      <c r="AH12" s="125">
        <f t="shared" si="26"/>
        <v>1439811.821</v>
      </c>
      <c r="AI12" s="125">
        <f t="shared" si="26"/>
        <v>1445811.821</v>
      </c>
      <c r="AJ12" s="125">
        <f t="shared" si="26"/>
        <v>1445811.821</v>
      </c>
      <c r="AK12" s="125">
        <f t="shared" si="26"/>
        <v>1445811.821</v>
      </c>
      <c r="AL12" s="125">
        <f t="shared" si="26"/>
        <v>1445811.821</v>
      </c>
      <c r="AM12" s="125">
        <f t="shared" si="26"/>
        <v>1445811.821</v>
      </c>
      <c r="AN12" s="125">
        <f t="shared" si="26"/>
        <v>1445811.821</v>
      </c>
      <c r="AO12" s="125">
        <f t="shared" si="26"/>
        <v>1445811.821</v>
      </c>
      <c r="AP12" s="125">
        <f t="shared" si="26"/>
        <v>1445811.821</v>
      </c>
      <c r="AQ12" s="125">
        <f t="shared" si="26"/>
        <v>1445811.821</v>
      </c>
      <c r="AR12" s="125">
        <f t="shared" si="26"/>
        <v>1445811.821</v>
      </c>
      <c r="AS12" s="125">
        <f t="shared" si="26"/>
        <v>1445811.821</v>
      </c>
      <c r="AT12" s="125">
        <f t="shared" si="26"/>
        <v>1445811.821</v>
      </c>
      <c r="AU12" s="125">
        <f t="shared" si="26"/>
        <v>1445811.821</v>
      </c>
      <c r="AV12" s="125">
        <f t="shared" si="26"/>
        <v>1445811.821</v>
      </c>
      <c r="AW12" s="125">
        <f t="shared" si="26"/>
        <v>1445811.821</v>
      </c>
      <c r="AX12" s="125">
        <f t="shared" si="26"/>
        <v>1445811.821</v>
      </c>
      <c r="AY12" s="125">
        <f t="shared" si="26"/>
        <v>1445811.821</v>
      </c>
      <c r="AZ12" s="125">
        <f t="shared" si="26"/>
        <v>1445811.821</v>
      </c>
      <c r="BA12" s="125">
        <f t="shared" si="26"/>
        <v>1445811.821</v>
      </c>
      <c r="BB12" s="125">
        <f t="shared" si="26"/>
        <v>1445811.821</v>
      </c>
      <c r="BC12" s="125">
        <f t="shared" si="26"/>
        <v>1445811.821</v>
      </c>
      <c r="BD12" s="125">
        <f t="shared" si="26"/>
        <v>1445811.821</v>
      </c>
      <c r="BE12" s="125">
        <f t="shared" si="26"/>
        <v>1445811.821</v>
      </c>
      <c r="BF12" s="125">
        <f t="shared" si="26"/>
        <v>1445811.821</v>
      </c>
      <c r="BG12" s="125">
        <f t="shared" si="26"/>
        <v>1445811.821</v>
      </c>
      <c r="BH12" s="125">
        <f t="shared" si="26"/>
        <v>1445811.821</v>
      </c>
      <c r="BI12" s="125">
        <f t="shared" si="26"/>
        <v>1445811.821</v>
      </c>
      <c r="BJ12" s="125">
        <f t="shared" si="26"/>
        <v>1445811.821</v>
      </c>
      <c r="BK12" s="125">
        <f t="shared" si="26"/>
        <v>1445811.821</v>
      </c>
      <c r="BL12" s="125">
        <f t="shared" si="26"/>
        <v>1445811.821</v>
      </c>
      <c r="BM12" s="125">
        <f t="shared" si="26"/>
        <v>1445811.821</v>
      </c>
      <c r="BN12" s="125">
        <f t="shared" si="26"/>
        <v>1445811.821</v>
      </c>
      <c r="BO12" s="125">
        <f t="shared" si="26"/>
        <v>1445811.821</v>
      </c>
      <c r="BP12" s="125">
        <f t="shared" si="26"/>
        <v>1445811.821</v>
      </c>
      <c r="BQ12" s="125">
        <f t="shared" si="26"/>
        <v>1445811.821</v>
      </c>
      <c r="BR12" s="125">
        <f t="shared" si="26"/>
        <v>1445811.821</v>
      </c>
      <c r="BS12" s="125">
        <f t="shared" si="26"/>
        <v>1445811.821</v>
      </c>
      <c r="BT12" s="125">
        <f t="shared" si="26"/>
        <v>1445811.821</v>
      </c>
      <c r="BU12" s="125">
        <f t="shared" ref="BU12:EF12" si="27">BT12+BU11</f>
        <v>1445811.821</v>
      </c>
      <c r="BV12" s="125">
        <f t="shared" si="27"/>
        <v>1445811.821</v>
      </c>
      <c r="BW12" s="125">
        <f t="shared" si="27"/>
        <v>1445811.821</v>
      </c>
      <c r="BX12" s="125">
        <f t="shared" si="27"/>
        <v>1445811.821</v>
      </c>
      <c r="BY12" s="125">
        <f t="shared" si="27"/>
        <v>1445811.821</v>
      </c>
      <c r="BZ12" s="125">
        <f t="shared" si="27"/>
        <v>1445811.821</v>
      </c>
      <c r="CA12" s="125">
        <f t="shared" si="27"/>
        <v>1445811.821</v>
      </c>
      <c r="CB12" s="125">
        <f t="shared" si="27"/>
        <v>1445811.821</v>
      </c>
      <c r="CC12" s="125">
        <f t="shared" si="27"/>
        <v>1445811.821</v>
      </c>
      <c r="CD12" s="125">
        <f t="shared" si="27"/>
        <v>1445811.821</v>
      </c>
      <c r="CE12" s="125">
        <f t="shared" si="27"/>
        <v>1445811.821</v>
      </c>
      <c r="CF12" s="125">
        <f t="shared" si="27"/>
        <v>1445811.821</v>
      </c>
      <c r="CG12" s="125">
        <f t="shared" si="27"/>
        <v>1445811.821</v>
      </c>
      <c r="CH12" s="125">
        <f t="shared" si="27"/>
        <v>1445811.821</v>
      </c>
      <c r="CI12" s="125">
        <f t="shared" si="27"/>
        <v>1445811.821</v>
      </c>
      <c r="CJ12" s="125">
        <f t="shared" si="27"/>
        <v>1445811.821</v>
      </c>
      <c r="CK12" s="125">
        <f t="shared" si="27"/>
        <v>1445811.821</v>
      </c>
      <c r="CL12" s="125">
        <f t="shared" si="27"/>
        <v>1445811.821</v>
      </c>
      <c r="CM12" s="125">
        <f t="shared" si="27"/>
        <v>1445811.821</v>
      </c>
      <c r="CN12" s="125">
        <f t="shared" si="27"/>
        <v>1445811.821</v>
      </c>
      <c r="CO12" s="125">
        <f t="shared" si="27"/>
        <v>1445811.821</v>
      </c>
      <c r="CP12" s="125">
        <f t="shared" si="27"/>
        <v>1445811.821</v>
      </c>
      <c r="CQ12" s="125">
        <f t="shared" si="27"/>
        <v>1445811.821</v>
      </c>
      <c r="CR12" s="125">
        <f t="shared" si="27"/>
        <v>1445811.821</v>
      </c>
      <c r="CS12" s="125">
        <f t="shared" si="27"/>
        <v>1445811.821</v>
      </c>
      <c r="CT12" s="125">
        <f t="shared" si="27"/>
        <v>1445811.821</v>
      </c>
      <c r="CU12" s="125">
        <f t="shared" si="27"/>
        <v>1445811.821</v>
      </c>
      <c r="CV12" s="125">
        <f t="shared" si="27"/>
        <v>1445811.821</v>
      </c>
      <c r="CW12" s="125">
        <f t="shared" si="27"/>
        <v>1445811.821</v>
      </c>
      <c r="CX12" s="125">
        <f t="shared" si="27"/>
        <v>1445811.821</v>
      </c>
      <c r="CY12" s="125">
        <f t="shared" si="27"/>
        <v>1445811.821</v>
      </c>
      <c r="CZ12" s="125">
        <f t="shared" si="27"/>
        <v>1445811.821</v>
      </c>
      <c r="DA12" s="125">
        <f t="shared" si="27"/>
        <v>1445811.821</v>
      </c>
      <c r="DB12" s="125">
        <f t="shared" si="27"/>
        <v>1445811.821</v>
      </c>
      <c r="DC12" s="125">
        <f t="shared" si="27"/>
        <v>1445811.821</v>
      </c>
      <c r="DD12" s="125">
        <f t="shared" si="27"/>
        <v>1445811.821</v>
      </c>
      <c r="DE12" s="125">
        <f t="shared" si="27"/>
        <v>1445811.821</v>
      </c>
      <c r="DF12" s="125">
        <f t="shared" si="27"/>
        <v>1445811.821</v>
      </c>
      <c r="DG12" s="125">
        <f t="shared" si="27"/>
        <v>1445811.821</v>
      </c>
      <c r="DH12" s="125">
        <f t="shared" si="27"/>
        <v>1445811.821</v>
      </c>
      <c r="DI12" s="125">
        <f t="shared" si="27"/>
        <v>1445811.821</v>
      </c>
      <c r="DJ12" s="125">
        <f t="shared" si="27"/>
        <v>1445811.821</v>
      </c>
      <c r="DK12" s="125">
        <f t="shared" si="27"/>
        <v>1445811.821</v>
      </c>
      <c r="DL12" s="125">
        <f t="shared" si="27"/>
        <v>1445811.821</v>
      </c>
      <c r="DM12" s="125">
        <f t="shared" si="27"/>
        <v>1445811.821</v>
      </c>
      <c r="DN12" s="125">
        <f t="shared" si="27"/>
        <v>1445811.821</v>
      </c>
      <c r="DO12" s="125">
        <f t="shared" si="27"/>
        <v>1445811.821</v>
      </c>
      <c r="DP12" s="125">
        <f t="shared" si="27"/>
        <v>1445811.821</v>
      </c>
      <c r="DQ12" s="125">
        <f t="shared" si="27"/>
        <v>1445811.821</v>
      </c>
      <c r="DR12" s="125">
        <f t="shared" si="27"/>
        <v>1445811.821</v>
      </c>
      <c r="DS12" s="125">
        <f t="shared" si="27"/>
        <v>1445811.821</v>
      </c>
      <c r="DT12" s="125">
        <f t="shared" si="27"/>
        <v>1445811.821</v>
      </c>
      <c r="DU12" s="125">
        <f t="shared" si="27"/>
        <v>1445811.821</v>
      </c>
      <c r="DV12" s="125">
        <f t="shared" si="27"/>
        <v>1445811.821</v>
      </c>
      <c r="DW12" s="125">
        <f t="shared" si="27"/>
        <v>1445811.821</v>
      </c>
      <c r="DX12" s="125">
        <f t="shared" si="27"/>
        <v>1445811.821</v>
      </c>
      <c r="DY12" s="125">
        <f t="shared" si="27"/>
        <v>1445811.821</v>
      </c>
      <c r="DZ12" s="125">
        <f t="shared" si="27"/>
        <v>1445811.821</v>
      </c>
      <c r="EA12" s="125">
        <f t="shared" si="27"/>
        <v>1445811.821</v>
      </c>
      <c r="EB12" s="125">
        <f t="shared" si="27"/>
        <v>1445811.821</v>
      </c>
      <c r="EC12" s="125">
        <f t="shared" si="27"/>
        <v>1445811.821</v>
      </c>
      <c r="ED12" s="125">
        <f t="shared" si="27"/>
        <v>1445811.821</v>
      </c>
      <c r="EE12" s="125">
        <f t="shared" si="27"/>
        <v>1445811.821</v>
      </c>
      <c r="EF12" s="125">
        <f t="shared" si="27"/>
        <v>1445811.821</v>
      </c>
      <c r="EG12" s="125">
        <f t="shared" ref="EG12:GR12" si="28">EF12+EG11</f>
        <v>1445811.821</v>
      </c>
      <c r="EH12" s="125">
        <f t="shared" si="28"/>
        <v>1445811.821</v>
      </c>
      <c r="EI12" s="125">
        <f t="shared" si="28"/>
        <v>1445811.821</v>
      </c>
      <c r="EJ12" s="125">
        <f t="shared" si="28"/>
        <v>1445811.821</v>
      </c>
      <c r="EK12" s="125">
        <f t="shared" si="28"/>
        <v>1445811.821</v>
      </c>
      <c r="EL12" s="125">
        <f t="shared" si="28"/>
        <v>1445811.821</v>
      </c>
      <c r="EM12" s="125">
        <f t="shared" si="28"/>
        <v>1445811.821</v>
      </c>
      <c r="EN12" s="125">
        <f t="shared" si="28"/>
        <v>1445811.821</v>
      </c>
      <c r="EO12" s="125">
        <f t="shared" si="28"/>
        <v>1445811.821</v>
      </c>
      <c r="EP12" s="125">
        <f t="shared" si="28"/>
        <v>1445811.821</v>
      </c>
      <c r="EQ12" s="125">
        <f t="shared" si="28"/>
        <v>1445811.821</v>
      </c>
      <c r="ER12" s="125">
        <f t="shared" si="28"/>
        <v>1445811.821</v>
      </c>
      <c r="ES12" s="125">
        <f t="shared" si="28"/>
        <v>1445811.821</v>
      </c>
      <c r="ET12" s="125">
        <f t="shared" si="28"/>
        <v>1445811.821</v>
      </c>
      <c r="EU12" s="125">
        <f t="shared" si="28"/>
        <v>1445811.821</v>
      </c>
      <c r="EV12" s="125">
        <f t="shared" si="28"/>
        <v>1445811.821</v>
      </c>
      <c r="EW12" s="125">
        <f t="shared" si="28"/>
        <v>1445811.821</v>
      </c>
      <c r="EX12" s="125">
        <f t="shared" si="28"/>
        <v>1445811.821</v>
      </c>
      <c r="EY12" s="125">
        <f t="shared" si="28"/>
        <v>1445811.821</v>
      </c>
      <c r="EZ12" s="125">
        <f t="shared" si="28"/>
        <v>1445811.821</v>
      </c>
      <c r="FA12" s="125">
        <f t="shared" si="28"/>
        <v>1445811.821</v>
      </c>
      <c r="FB12" s="125">
        <f t="shared" si="28"/>
        <v>1445811.821</v>
      </c>
      <c r="FC12" s="125">
        <f t="shared" si="28"/>
        <v>1445811.821</v>
      </c>
      <c r="FD12" s="125">
        <f t="shared" si="28"/>
        <v>1445811.821</v>
      </c>
      <c r="FE12" s="125">
        <f t="shared" si="28"/>
        <v>1445811.821</v>
      </c>
      <c r="FF12" s="125">
        <f t="shared" si="28"/>
        <v>1445811.821</v>
      </c>
      <c r="FG12" s="125">
        <f t="shared" si="28"/>
        <v>1445811.821</v>
      </c>
      <c r="FH12" s="125">
        <f t="shared" si="28"/>
        <v>1445811.821</v>
      </c>
      <c r="FI12" s="125">
        <f t="shared" si="28"/>
        <v>1445811.821</v>
      </c>
      <c r="FJ12" s="125">
        <f t="shared" si="28"/>
        <v>1445811.821</v>
      </c>
      <c r="FK12" s="125">
        <f t="shared" si="28"/>
        <v>1445811.821</v>
      </c>
      <c r="FL12" s="125">
        <f t="shared" si="28"/>
        <v>1445811.821</v>
      </c>
      <c r="FM12" s="125">
        <f t="shared" si="28"/>
        <v>1445811.821</v>
      </c>
      <c r="FN12" s="125">
        <f t="shared" si="28"/>
        <v>1445811.821</v>
      </c>
      <c r="FO12" s="125">
        <f t="shared" si="28"/>
        <v>1445811.821</v>
      </c>
      <c r="FP12" s="125">
        <f t="shared" si="28"/>
        <v>1445811.821</v>
      </c>
      <c r="FQ12" s="125">
        <f t="shared" si="28"/>
        <v>1445811.821</v>
      </c>
      <c r="FR12" s="125">
        <f t="shared" si="28"/>
        <v>1445811.821</v>
      </c>
      <c r="FS12" s="125">
        <f t="shared" si="28"/>
        <v>1445811.821</v>
      </c>
      <c r="FT12" s="125">
        <f t="shared" si="28"/>
        <v>1445811.821</v>
      </c>
      <c r="FU12" s="125">
        <f t="shared" si="28"/>
        <v>1445811.821</v>
      </c>
      <c r="FV12" s="125">
        <f t="shared" si="28"/>
        <v>1445811.821</v>
      </c>
      <c r="FW12" s="125">
        <f t="shared" si="28"/>
        <v>1445811.821</v>
      </c>
      <c r="FX12" s="125">
        <f t="shared" si="28"/>
        <v>1445811.821</v>
      </c>
      <c r="FY12" s="125">
        <f t="shared" si="28"/>
        <v>1445811.821</v>
      </c>
      <c r="FZ12" s="125">
        <f t="shared" si="28"/>
        <v>1445811.821</v>
      </c>
      <c r="GA12" s="125">
        <f t="shared" si="28"/>
        <v>1445811.821</v>
      </c>
      <c r="GB12" s="125">
        <f t="shared" si="28"/>
        <v>1445811.821</v>
      </c>
      <c r="GC12" s="125">
        <f t="shared" si="28"/>
        <v>1445811.821</v>
      </c>
      <c r="GD12" s="125">
        <f t="shared" si="28"/>
        <v>1445811.821</v>
      </c>
      <c r="GE12" s="125">
        <f t="shared" si="28"/>
        <v>1445811.821</v>
      </c>
      <c r="GF12" s="125">
        <f t="shared" si="28"/>
        <v>1445811.821</v>
      </c>
      <c r="GG12" s="125">
        <f t="shared" si="28"/>
        <v>1445811.821</v>
      </c>
      <c r="GH12" s="125">
        <f t="shared" si="28"/>
        <v>1445811.821</v>
      </c>
      <c r="GI12" s="125">
        <f t="shared" si="28"/>
        <v>1445811.821</v>
      </c>
      <c r="GJ12" s="125">
        <f t="shared" si="28"/>
        <v>1445811.821</v>
      </c>
      <c r="GK12" s="125">
        <f t="shared" si="28"/>
        <v>1445811.821</v>
      </c>
      <c r="GL12" s="125">
        <f t="shared" si="28"/>
        <v>1445811.821</v>
      </c>
      <c r="GM12" s="125">
        <f t="shared" si="28"/>
        <v>1445811.821</v>
      </c>
      <c r="GN12" s="125">
        <f t="shared" si="28"/>
        <v>1445811.821</v>
      </c>
      <c r="GO12" s="125">
        <f t="shared" si="28"/>
        <v>1445811.821</v>
      </c>
      <c r="GP12" s="125">
        <f t="shared" si="28"/>
        <v>1445811.821</v>
      </c>
      <c r="GQ12" s="125">
        <f t="shared" si="28"/>
        <v>1445811.821</v>
      </c>
      <c r="GR12" s="125">
        <f t="shared" si="28"/>
        <v>1445811.821</v>
      </c>
      <c r="GS12" s="125">
        <f t="shared" ref="GS12:JD12" si="29">GR12+GS11</f>
        <v>1445811.821</v>
      </c>
      <c r="GT12" s="125">
        <f t="shared" si="29"/>
        <v>1445811.821</v>
      </c>
      <c r="GU12" s="125">
        <f t="shared" si="29"/>
        <v>1445811.821</v>
      </c>
      <c r="GV12" s="125">
        <f t="shared" si="29"/>
        <v>1445811.821</v>
      </c>
      <c r="GW12" s="125">
        <f t="shared" si="29"/>
        <v>1445811.821</v>
      </c>
      <c r="GX12" s="125">
        <f t="shared" si="29"/>
        <v>1445811.821</v>
      </c>
      <c r="GY12" s="125">
        <f t="shared" si="29"/>
        <v>1445811.821</v>
      </c>
      <c r="GZ12" s="125">
        <f t="shared" si="29"/>
        <v>1445811.821</v>
      </c>
      <c r="HA12" s="125">
        <f t="shared" si="29"/>
        <v>1445811.821</v>
      </c>
      <c r="HB12" s="125">
        <f t="shared" si="29"/>
        <v>1445811.821</v>
      </c>
      <c r="HC12" s="125">
        <f t="shared" si="29"/>
        <v>1445811.821</v>
      </c>
      <c r="HD12" s="125">
        <f t="shared" si="29"/>
        <v>1445811.821</v>
      </c>
      <c r="HE12" s="125">
        <f t="shared" si="29"/>
        <v>1445811.821</v>
      </c>
      <c r="HF12" s="125">
        <f t="shared" si="29"/>
        <v>1445811.821</v>
      </c>
      <c r="HG12" s="125">
        <f t="shared" si="29"/>
        <v>1445811.821</v>
      </c>
      <c r="HH12" s="125">
        <f t="shared" si="29"/>
        <v>1445811.821</v>
      </c>
      <c r="HI12" s="125">
        <f t="shared" si="29"/>
        <v>1445811.821</v>
      </c>
      <c r="HJ12" s="125">
        <f t="shared" si="29"/>
        <v>1445811.821</v>
      </c>
      <c r="HK12" s="125">
        <f t="shared" si="29"/>
        <v>1445811.821</v>
      </c>
      <c r="HL12" s="125">
        <f t="shared" si="29"/>
        <v>1445811.821</v>
      </c>
      <c r="HM12" s="125">
        <f t="shared" si="29"/>
        <v>1445811.821</v>
      </c>
      <c r="HN12" s="125">
        <f t="shared" si="29"/>
        <v>1445811.821</v>
      </c>
      <c r="HO12" s="125">
        <f t="shared" si="29"/>
        <v>1445811.821</v>
      </c>
      <c r="HP12" s="125">
        <f t="shared" si="29"/>
        <v>1445811.821</v>
      </c>
      <c r="HQ12" s="125">
        <f t="shared" si="29"/>
        <v>1445811.821</v>
      </c>
      <c r="HR12" s="125">
        <f t="shared" si="29"/>
        <v>1445811.821</v>
      </c>
      <c r="HS12" s="125">
        <f t="shared" si="29"/>
        <v>1445811.821</v>
      </c>
      <c r="HT12" s="125">
        <f t="shared" si="29"/>
        <v>1445811.821</v>
      </c>
      <c r="HU12" s="125">
        <f t="shared" si="29"/>
        <v>1445811.821</v>
      </c>
      <c r="HV12" s="125">
        <f t="shared" si="29"/>
        <v>1445811.821</v>
      </c>
      <c r="HW12" s="125">
        <f t="shared" si="29"/>
        <v>1445811.821</v>
      </c>
      <c r="HX12" s="125">
        <f t="shared" si="29"/>
        <v>1445811.821</v>
      </c>
      <c r="HY12" s="125">
        <f t="shared" si="29"/>
        <v>1445811.821</v>
      </c>
      <c r="HZ12" s="125">
        <f t="shared" si="29"/>
        <v>1445811.821</v>
      </c>
      <c r="IA12" s="125">
        <f t="shared" si="29"/>
        <v>1445811.821</v>
      </c>
      <c r="IB12" s="125">
        <f t="shared" si="29"/>
        <v>1445811.821</v>
      </c>
      <c r="IC12" s="125">
        <f t="shared" si="29"/>
        <v>1445811.821</v>
      </c>
      <c r="ID12" s="125">
        <f t="shared" si="29"/>
        <v>1445811.821</v>
      </c>
      <c r="IE12" s="125">
        <f t="shared" si="29"/>
        <v>1445811.821</v>
      </c>
      <c r="IF12" s="125">
        <f t="shared" si="29"/>
        <v>1445811.821</v>
      </c>
      <c r="IG12" s="125">
        <f t="shared" si="29"/>
        <v>1445811.821</v>
      </c>
      <c r="IH12" s="125">
        <f t="shared" si="29"/>
        <v>1445811.821</v>
      </c>
      <c r="II12" s="125">
        <f t="shared" si="29"/>
        <v>1445811.821</v>
      </c>
      <c r="IJ12" s="125">
        <f t="shared" si="29"/>
        <v>1445811.821</v>
      </c>
      <c r="IK12" s="125">
        <f t="shared" si="29"/>
        <v>1445811.821</v>
      </c>
      <c r="IL12" s="125">
        <f t="shared" si="29"/>
        <v>1445811.821</v>
      </c>
      <c r="IM12" s="125">
        <f t="shared" si="29"/>
        <v>1445811.821</v>
      </c>
      <c r="IN12" s="125">
        <f t="shared" si="29"/>
        <v>1445811.821</v>
      </c>
      <c r="IO12" s="125">
        <f t="shared" si="29"/>
        <v>1445811.821</v>
      </c>
      <c r="IP12" s="125">
        <f t="shared" si="29"/>
        <v>1445811.821</v>
      </c>
      <c r="IQ12" s="125">
        <f t="shared" si="29"/>
        <v>1445811.821</v>
      </c>
      <c r="IR12" s="125">
        <f t="shared" si="29"/>
        <v>1445811.821</v>
      </c>
      <c r="IS12" s="125">
        <f t="shared" si="29"/>
        <v>1445811.821</v>
      </c>
      <c r="IT12" s="125">
        <f t="shared" si="29"/>
        <v>1445811.821</v>
      </c>
      <c r="IU12" s="125">
        <f t="shared" si="29"/>
        <v>1445811.821</v>
      </c>
      <c r="IV12" s="125">
        <f t="shared" si="29"/>
        <v>1445811.821</v>
      </c>
      <c r="IW12" s="125">
        <f t="shared" si="29"/>
        <v>1445811.821</v>
      </c>
      <c r="IX12" s="125">
        <f t="shared" si="29"/>
        <v>1445811.821</v>
      </c>
      <c r="IY12" s="125">
        <f t="shared" si="29"/>
        <v>1445811.821</v>
      </c>
      <c r="IZ12" s="125">
        <f t="shared" si="29"/>
        <v>1445811.821</v>
      </c>
      <c r="JA12" s="125">
        <f t="shared" si="29"/>
        <v>1445811.821</v>
      </c>
      <c r="JB12" s="125">
        <f t="shared" si="29"/>
        <v>1445811.821</v>
      </c>
      <c r="JC12" s="125">
        <f t="shared" si="29"/>
        <v>1445811.821</v>
      </c>
      <c r="JD12" s="125">
        <f t="shared" si="29"/>
        <v>1445811.821</v>
      </c>
      <c r="JE12" s="125">
        <f t="shared" ref="JE12:KF12" si="30">JD12+JE11</f>
        <v>1445811.821</v>
      </c>
      <c r="JF12" s="125">
        <f t="shared" si="30"/>
        <v>1445811.821</v>
      </c>
      <c r="JG12" s="125">
        <f t="shared" si="30"/>
        <v>1445811.821</v>
      </c>
      <c r="JH12" s="125">
        <f t="shared" si="30"/>
        <v>1445811.821</v>
      </c>
      <c r="JI12" s="125">
        <f t="shared" si="30"/>
        <v>1445811.821</v>
      </c>
      <c r="JJ12" s="125">
        <f t="shared" si="30"/>
        <v>1445811.821</v>
      </c>
      <c r="JK12" s="125">
        <f t="shared" si="30"/>
        <v>1445811.821</v>
      </c>
      <c r="JL12" s="125">
        <f t="shared" si="30"/>
        <v>1445811.821</v>
      </c>
      <c r="JM12" s="125">
        <f t="shared" si="30"/>
        <v>1445811.821</v>
      </c>
      <c r="JN12" s="125">
        <f t="shared" si="30"/>
        <v>1445811.821</v>
      </c>
      <c r="JO12" s="125">
        <f t="shared" si="30"/>
        <v>1445811.821</v>
      </c>
      <c r="JP12" s="125">
        <f t="shared" si="30"/>
        <v>1445811.821</v>
      </c>
      <c r="JQ12" s="125">
        <f t="shared" si="30"/>
        <v>1445811.821</v>
      </c>
      <c r="JR12" s="125">
        <f t="shared" si="30"/>
        <v>1445811.821</v>
      </c>
      <c r="JS12" s="125">
        <f t="shared" si="30"/>
        <v>1445811.821</v>
      </c>
      <c r="JT12" s="125">
        <f t="shared" si="30"/>
        <v>1445811.821</v>
      </c>
      <c r="JU12" s="125">
        <f t="shared" si="30"/>
        <v>1445811.821</v>
      </c>
      <c r="JV12" s="125">
        <f t="shared" si="30"/>
        <v>1445811.821</v>
      </c>
      <c r="JW12" s="125">
        <f t="shared" si="30"/>
        <v>1445811.821</v>
      </c>
      <c r="JX12" s="125">
        <f t="shared" si="30"/>
        <v>1445811.821</v>
      </c>
      <c r="JY12" s="125">
        <f t="shared" si="30"/>
        <v>1445811.821</v>
      </c>
      <c r="JZ12" s="125">
        <f t="shared" si="30"/>
        <v>1445811.821</v>
      </c>
      <c r="KA12" s="125">
        <f t="shared" si="30"/>
        <v>1445811.821</v>
      </c>
      <c r="KB12" s="125">
        <f t="shared" si="30"/>
        <v>1445811.821</v>
      </c>
      <c r="KC12" s="125">
        <f t="shared" si="30"/>
        <v>1445811.821</v>
      </c>
      <c r="KD12" s="125">
        <f t="shared" si="30"/>
        <v>1445811.821</v>
      </c>
      <c r="KE12" s="125">
        <f t="shared" si="30"/>
        <v>1445811.821</v>
      </c>
      <c r="KF12" s="125">
        <f t="shared" si="30"/>
        <v>1445811.821</v>
      </c>
      <c r="KG12" s="102"/>
      <c r="KH12" s="113"/>
    </row>
    <row r="13" spans="1:770" s="102" customFormat="1">
      <c r="A13" s="75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2"/>
      <c r="B14" s="115" t="s">
        <v>425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-975</v>
      </c>
      <c r="L14" s="118">
        <f t="shared" si="32"/>
        <v>-975</v>
      </c>
      <c r="M14" s="118">
        <f t="shared" si="32"/>
        <v>-975</v>
      </c>
      <c r="N14" s="118">
        <f t="shared" si="32"/>
        <v>-975</v>
      </c>
      <c r="O14" s="118">
        <f t="shared" si="32"/>
        <v>-50743.729999999996</v>
      </c>
      <c r="P14" s="118">
        <f t="shared" si="32"/>
        <v>1715055.7679999999</v>
      </c>
      <c r="Q14" s="118">
        <f t="shared" si="32"/>
        <v>1702293.9140000001</v>
      </c>
      <c r="R14" s="118">
        <f t="shared" si="32"/>
        <v>1405843.5689999999</v>
      </c>
      <c r="S14" s="118">
        <f t="shared" si="32"/>
        <v>1389241.969</v>
      </c>
      <c r="T14" s="118">
        <f t="shared" si="32"/>
        <v>1700857.4110000001</v>
      </c>
      <c r="U14" s="118">
        <f t="shared" si="32"/>
        <v>1687561.9550000001</v>
      </c>
      <c r="V14" s="118">
        <f t="shared" si="32"/>
        <v>1687561.9550000001</v>
      </c>
      <c r="W14" s="118">
        <f t="shared" si="32"/>
        <v>1614797.3149999999</v>
      </c>
      <c r="X14" s="118">
        <f t="shared" si="32"/>
        <v>1578978.6950000001</v>
      </c>
      <c r="Y14" s="118">
        <f t="shared" si="32"/>
        <v>858937.99500000011</v>
      </c>
      <c r="Z14" s="118">
        <f t="shared" si="32"/>
        <v>853294.39500000002</v>
      </c>
      <c r="AA14" s="118">
        <f t="shared" si="32"/>
        <v>828410.05750000011</v>
      </c>
      <c r="AB14" s="118">
        <f t="shared" si="32"/>
        <v>763129.87250000006</v>
      </c>
      <c r="AC14" s="118">
        <f t="shared" si="32"/>
        <v>688476.77</v>
      </c>
      <c r="AD14" s="118">
        <f t="shared" si="32"/>
        <v>688476.77</v>
      </c>
      <c r="AE14" s="118">
        <f t="shared" si="32"/>
        <v>662508.81649999996</v>
      </c>
      <c r="AF14" s="118">
        <f t="shared" si="32"/>
        <v>662508.81649999996</v>
      </c>
      <c r="AG14" s="118">
        <f t="shared" si="32"/>
        <v>637624.45900000003</v>
      </c>
      <c r="AH14" s="118">
        <f t="shared" si="32"/>
        <v>637624.45900000003</v>
      </c>
      <c r="AI14" s="118">
        <f t="shared" si="32"/>
        <v>631624.45900000003</v>
      </c>
      <c r="AJ14" s="118">
        <f t="shared" si="32"/>
        <v>631624.45900000003</v>
      </c>
      <c r="AK14" s="118">
        <f t="shared" si="32"/>
        <v>631624.45900000003</v>
      </c>
      <c r="AL14" s="118">
        <f t="shared" si="32"/>
        <v>631624.45900000003</v>
      </c>
      <c r="AM14" s="118">
        <f t="shared" si="32"/>
        <v>631624.45900000003</v>
      </c>
      <c r="AN14" s="118">
        <f t="shared" si="32"/>
        <v>631624.45900000003</v>
      </c>
      <c r="AO14" s="118">
        <f t="shared" si="32"/>
        <v>631624.45900000003</v>
      </c>
      <c r="AP14" s="118">
        <f t="shared" si="32"/>
        <v>631624.45900000003</v>
      </c>
      <c r="AQ14" s="118">
        <f t="shared" si="32"/>
        <v>631624.45900000003</v>
      </c>
      <c r="AR14" s="118">
        <f t="shared" si="32"/>
        <v>631624.45900000003</v>
      </c>
      <c r="AS14" s="118">
        <f t="shared" si="32"/>
        <v>631624.45900000003</v>
      </c>
      <c r="AT14" s="118">
        <f t="shared" si="32"/>
        <v>631624.45900000003</v>
      </c>
      <c r="AU14" s="118">
        <f t="shared" si="32"/>
        <v>631624.45900000003</v>
      </c>
      <c r="AV14" s="118">
        <f t="shared" si="32"/>
        <v>631624.45900000003</v>
      </c>
      <c r="AW14" s="118">
        <f t="shared" si="32"/>
        <v>631624.45900000003</v>
      </c>
      <c r="AX14" s="118">
        <f t="shared" si="32"/>
        <v>631624.45900000003</v>
      </c>
      <c r="AY14" s="118">
        <f t="shared" si="32"/>
        <v>631624.45900000003</v>
      </c>
      <c r="AZ14" s="118">
        <f t="shared" si="32"/>
        <v>631624.45900000003</v>
      </c>
      <c r="BA14" s="118">
        <f t="shared" si="32"/>
        <v>631624.45900000003</v>
      </c>
      <c r="BB14" s="118">
        <f t="shared" si="32"/>
        <v>631624.45900000003</v>
      </c>
      <c r="BC14" s="118">
        <f t="shared" si="32"/>
        <v>631624.45900000003</v>
      </c>
      <c r="BD14" s="118">
        <f t="shared" si="32"/>
        <v>631624.45900000003</v>
      </c>
      <c r="BE14" s="118">
        <f t="shared" si="32"/>
        <v>631624.45900000003</v>
      </c>
      <c r="BF14" s="118">
        <f t="shared" si="32"/>
        <v>631624.45900000003</v>
      </c>
      <c r="BG14" s="118">
        <f t="shared" si="32"/>
        <v>631624.45900000003</v>
      </c>
      <c r="BH14" s="118">
        <f t="shared" si="32"/>
        <v>631624.45900000003</v>
      </c>
      <c r="BI14" s="118">
        <f t="shared" si="32"/>
        <v>631624.45900000003</v>
      </c>
      <c r="BJ14" s="118">
        <f t="shared" si="32"/>
        <v>631624.45900000003</v>
      </c>
      <c r="BK14" s="118">
        <f t="shared" si="32"/>
        <v>631624.45900000003</v>
      </c>
      <c r="BL14" s="118">
        <f t="shared" si="32"/>
        <v>631624.45900000003</v>
      </c>
      <c r="BM14" s="118">
        <f t="shared" si="32"/>
        <v>631624.45900000003</v>
      </c>
      <c r="BN14" s="118">
        <f t="shared" si="32"/>
        <v>631624.45900000003</v>
      </c>
      <c r="BO14" s="118">
        <f t="shared" si="32"/>
        <v>631624.45900000003</v>
      </c>
      <c r="BP14" s="118">
        <f t="shared" si="32"/>
        <v>631624.45900000003</v>
      </c>
      <c r="BQ14" s="118">
        <f t="shared" si="32"/>
        <v>631624.45900000003</v>
      </c>
      <c r="BR14" s="118">
        <f t="shared" si="32"/>
        <v>631624.45900000003</v>
      </c>
      <c r="BS14" s="118">
        <f t="shared" si="32"/>
        <v>631624.45900000003</v>
      </c>
      <c r="BT14" s="118">
        <f t="shared" si="32"/>
        <v>631624.45900000003</v>
      </c>
      <c r="BU14" s="118">
        <f t="shared" ref="BU14:EF14" si="33">BU10-BU12</f>
        <v>631624.45900000003</v>
      </c>
      <c r="BV14" s="118">
        <f t="shared" si="33"/>
        <v>631624.45900000003</v>
      </c>
      <c r="BW14" s="118">
        <f t="shared" si="33"/>
        <v>631624.45900000003</v>
      </c>
      <c r="BX14" s="118">
        <f t="shared" si="33"/>
        <v>631624.45900000003</v>
      </c>
      <c r="BY14" s="118">
        <f t="shared" si="33"/>
        <v>631624.45900000003</v>
      </c>
      <c r="BZ14" s="118">
        <f t="shared" si="33"/>
        <v>631624.45900000003</v>
      </c>
      <c r="CA14" s="118">
        <f t="shared" si="33"/>
        <v>631624.45900000003</v>
      </c>
      <c r="CB14" s="118">
        <f t="shared" si="33"/>
        <v>631624.45900000003</v>
      </c>
      <c r="CC14" s="118">
        <f t="shared" si="33"/>
        <v>631624.45900000003</v>
      </c>
      <c r="CD14" s="118">
        <f t="shared" si="33"/>
        <v>631624.45900000003</v>
      </c>
      <c r="CE14" s="118">
        <f t="shared" si="33"/>
        <v>631624.45900000003</v>
      </c>
      <c r="CF14" s="118">
        <f t="shared" si="33"/>
        <v>631624.45900000003</v>
      </c>
      <c r="CG14" s="118">
        <f t="shared" si="33"/>
        <v>631624.45900000003</v>
      </c>
      <c r="CH14" s="118">
        <f t="shared" si="33"/>
        <v>631624.45900000003</v>
      </c>
      <c r="CI14" s="118">
        <f t="shared" si="33"/>
        <v>631624.45900000003</v>
      </c>
      <c r="CJ14" s="118">
        <f t="shared" si="33"/>
        <v>631624.45900000003</v>
      </c>
      <c r="CK14" s="118">
        <f t="shared" si="33"/>
        <v>631624.45900000003</v>
      </c>
      <c r="CL14" s="118">
        <f t="shared" si="33"/>
        <v>631624.45900000003</v>
      </c>
      <c r="CM14" s="118">
        <f t="shared" si="33"/>
        <v>631624.45900000003</v>
      </c>
      <c r="CN14" s="118">
        <f t="shared" si="33"/>
        <v>631624.45900000003</v>
      </c>
      <c r="CO14" s="118">
        <f t="shared" si="33"/>
        <v>631624.45900000003</v>
      </c>
      <c r="CP14" s="118">
        <f t="shared" si="33"/>
        <v>631624.45900000003</v>
      </c>
      <c r="CQ14" s="118">
        <f t="shared" si="33"/>
        <v>631624.45900000003</v>
      </c>
      <c r="CR14" s="118">
        <f t="shared" si="33"/>
        <v>631624.45900000003</v>
      </c>
      <c r="CS14" s="118">
        <f t="shared" si="33"/>
        <v>631624.45900000003</v>
      </c>
      <c r="CT14" s="118">
        <f t="shared" si="33"/>
        <v>631624.45900000003</v>
      </c>
      <c r="CU14" s="118">
        <f t="shared" si="33"/>
        <v>631624.45900000003</v>
      </c>
      <c r="CV14" s="118">
        <f t="shared" si="33"/>
        <v>631624.45900000003</v>
      </c>
      <c r="CW14" s="118">
        <f t="shared" si="33"/>
        <v>631624.45900000003</v>
      </c>
      <c r="CX14" s="118">
        <f t="shared" si="33"/>
        <v>631624.45900000003</v>
      </c>
      <c r="CY14" s="118">
        <f t="shared" si="33"/>
        <v>631624.45900000003</v>
      </c>
      <c r="CZ14" s="118">
        <f t="shared" si="33"/>
        <v>631624.45900000003</v>
      </c>
      <c r="DA14" s="118">
        <f t="shared" si="33"/>
        <v>631624.45900000003</v>
      </c>
      <c r="DB14" s="118">
        <f t="shared" si="33"/>
        <v>631624.45900000003</v>
      </c>
      <c r="DC14" s="118">
        <f t="shared" si="33"/>
        <v>631624.45900000003</v>
      </c>
      <c r="DD14" s="118">
        <f t="shared" si="33"/>
        <v>631624.45900000003</v>
      </c>
      <c r="DE14" s="118">
        <f t="shared" si="33"/>
        <v>631624.45900000003</v>
      </c>
      <c r="DF14" s="118">
        <f t="shared" si="33"/>
        <v>631624.45900000003</v>
      </c>
      <c r="DG14" s="118">
        <f t="shared" si="33"/>
        <v>631624.45900000003</v>
      </c>
      <c r="DH14" s="118">
        <f t="shared" si="33"/>
        <v>631624.45900000003</v>
      </c>
      <c r="DI14" s="118">
        <f t="shared" si="33"/>
        <v>631624.45900000003</v>
      </c>
      <c r="DJ14" s="118">
        <f t="shared" si="33"/>
        <v>631624.45900000003</v>
      </c>
      <c r="DK14" s="118">
        <f t="shared" si="33"/>
        <v>631624.45900000003</v>
      </c>
      <c r="DL14" s="118">
        <f t="shared" si="33"/>
        <v>631624.45900000003</v>
      </c>
      <c r="DM14" s="118">
        <f t="shared" si="33"/>
        <v>631624.45900000003</v>
      </c>
      <c r="DN14" s="118">
        <f t="shared" si="33"/>
        <v>631624.45900000003</v>
      </c>
      <c r="DO14" s="118">
        <f t="shared" si="33"/>
        <v>631624.45900000003</v>
      </c>
      <c r="DP14" s="118">
        <f t="shared" si="33"/>
        <v>631624.45900000003</v>
      </c>
      <c r="DQ14" s="118">
        <f t="shared" si="33"/>
        <v>631624.45900000003</v>
      </c>
      <c r="DR14" s="118">
        <f t="shared" si="33"/>
        <v>631624.45900000003</v>
      </c>
      <c r="DS14" s="118">
        <f t="shared" si="33"/>
        <v>631624.45900000003</v>
      </c>
      <c r="DT14" s="118">
        <f t="shared" si="33"/>
        <v>631624.45900000003</v>
      </c>
      <c r="DU14" s="118">
        <f t="shared" si="33"/>
        <v>631624.45900000003</v>
      </c>
      <c r="DV14" s="118">
        <f t="shared" si="33"/>
        <v>631624.45900000003</v>
      </c>
      <c r="DW14" s="118">
        <f t="shared" si="33"/>
        <v>631624.45900000003</v>
      </c>
      <c r="DX14" s="118">
        <f t="shared" si="33"/>
        <v>631624.45900000003</v>
      </c>
      <c r="DY14" s="118">
        <f t="shared" si="33"/>
        <v>631624.45900000003</v>
      </c>
      <c r="DZ14" s="118">
        <f t="shared" si="33"/>
        <v>631624.45900000003</v>
      </c>
      <c r="EA14" s="118">
        <f t="shared" si="33"/>
        <v>631624.45900000003</v>
      </c>
      <c r="EB14" s="118">
        <f t="shared" si="33"/>
        <v>631624.45900000003</v>
      </c>
      <c r="EC14" s="118">
        <f t="shared" si="33"/>
        <v>631624.45900000003</v>
      </c>
      <c r="ED14" s="118">
        <f t="shared" si="33"/>
        <v>631624.45900000003</v>
      </c>
      <c r="EE14" s="118">
        <f t="shared" si="33"/>
        <v>631624.45900000003</v>
      </c>
      <c r="EF14" s="118">
        <f t="shared" si="33"/>
        <v>631624.45900000003</v>
      </c>
      <c r="EG14" s="118">
        <f t="shared" ref="EG14:GR14" si="34">EG10-EG12</f>
        <v>631624.45900000003</v>
      </c>
      <c r="EH14" s="118">
        <f t="shared" si="34"/>
        <v>631624.45900000003</v>
      </c>
      <c r="EI14" s="118">
        <f t="shared" si="34"/>
        <v>631624.45900000003</v>
      </c>
      <c r="EJ14" s="118">
        <f t="shared" si="34"/>
        <v>631624.45900000003</v>
      </c>
      <c r="EK14" s="118">
        <f t="shared" si="34"/>
        <v>631624.45900000003</v>
      </c>
      <c r="EL14" s="118">
        <f t="shared" si="34"/>
        <v>631624.45900000003</v>
      </c>
      <c r="EM14" s="118">
        <f t="shared" si="34"/>
        <v>631624.45900000003</v>
      </c>
      <c r="EN14" s="118">
        <f t="shared" si="34"/>
        <v>631624.45900000003</v>
      </c>
      <c r="EO14" s="118">
        <f t="shared" si="34"/>
        <v>631624.45900000003</v>
      </c>
      <c r="EP14" s="118">
        <f t="shared" si="34"/>
        <v>631624.45900000003</v>
      </c>
      <c r="EQ14" s="118">
        <f t="shared" si="34"/>
        <v>631624.45900000003</v>
      </c>
      <c r="ER14" s="118">
        <f t="shared" si="34"/>
        <v>631624.45900000003</v>
      </c>
      <c r="ES14" s="118">
        <f t="shared" si="34"/>
        <v>631624.45900000003</v>
      </c>
      <c r="ET14" s="118">
        <f t="shared" si="34"/>
        <v>631624.45900000003</v>
      </c>
      <c r="EU14" s="118">
        <f t="shared" si="34"/>
        <v>631624.45900000003</v>
      </c>
      <c r="EV14" s="118">
        <f t="shared" si="34"/>
        <v>631624.45900000003</v>
      </c>
      <c r="EW14" s="118">
        <f t="shared" si="34"/>
        <v>631624.45900000003</v>
      </c>
      <c r="EX14" s="118">
        <f t="shared" si="34"/>
        <v>631624.45900000003</v>
      </c>
      <c r="EY14" s="118">
        <f t="shared" si="34"/>
        <v>631624.45900000003</v>
      </c>
      <c r="EZ14" s="118">
        <f t="shared" si="34"/>
        <v>631624.45900000003</v>
      </c>
      <c r="FA14" s="118">
        <f t="shared" si="34"/>
        <v>631624.45900000003</v>
      </c>
      <c r="FB14" s="118">
        <f t="shared" si="34"/>
        <v>631624.45900000003</v>
      </c>
      <c r="FC14" s="118">
        <f t="shared" si="34"/>
        <v>631624.45900000003</v>
      </c>
      <c r="FD14" s="118">
        <f t="shared" si="34"/>
        <v>631624.45900000003</v>
      </c>
      <c r="FE14" s="118">
        <f t="shared" si="34"/>
        <v>631624.45900000003</v>
      </c>
      <c r="FF14" s="118">
        <f t="shared" si="34"/>
        <v>631624.45900000003</v>
      </c>
      <c r="FG14" s="118">
        <f t="shared" si="34"/>
        <v>631624.45900000003</v>
      </c>
      <c r="FH14" s="118">
        <f t="shared" si="34"/>
        <v>631624.45900000003</v>
      </c>
      <c r="FI14" s="118">
        <f t="shared" si="34"/>
        <v>631624.45900000003</v>
      </c>
      <c r="FJ14" s="118">
        <f t="shared" si="34"/>
        <v>631624.45900000003</v>
      </c>
      <c r="FK14" s="118">
        <f t="shared" si="34"/>
        <v>631624.45900000003</v>
      </c>
      <c r="FL14" s="118">
        <f t="shared" si="34"/>
        <v>631624.45900000003</v>
      </c>
      <c r="FM14" s="118">
        <f t="shared" si="34"/>
        <v>631624.45900000003</v>
      </c>
      <c r="FN14" s="118">
        <f t="shared" si="34"/>
        <v>631624.45900000003</v>
      </c>
      <c r="FO14" s="118">
        <f t="shared" si="34"/>
        <v>631624.45900000003</v>
      </c>
      <c r="FP14" s="118">
        <f t="shared" si="34"/>
        <v>631624.45900000003</v>
      </c>
      <c r="FQ14" s="118">
        <f t="shared" si="34"/>
        <v>631624.45900000003</v>
      </c>
      <c r="FR14" s="118">
        <f t="shared" si="34"/>
        <v>631624.45900000003</v>
      </c>
      <c r="FS14" s="118">
        <f t="shared" si="34"/>
        <v>631624.45900000003</v>
      </c>
      <c r="FT14" s="118">
        <f t="shared" si="34"/>
        <v>631624.45900000003</v>
      </c>
      <c r="FU14" s="118">
        <f t="shared" si="34"/>
        <v>631624.45900000003</v>
      </c>
      <c r="FV14" s="118">
        <f t="shared" si="34"/>
        <v>631624.45900000003</v>
      </c>
      <c r="FW14" s="118">
        <f t="shared" si="34"/>
        <v>631624.45900000003</v>
      </c>
      <c r="FX14" s="118">
        <f t="shared" si="34"/>
        <v>631624.45900000003</v>
      </c>
      <c r="FY14" s="118">
        <f t="shared" si="34"/>
        <v>631624.45900000003</v>
      </c>
      <c r="FZ14" s="118">
        <f t="shared" si="34"/>
        <v>631624.45900000003</v>
      </c>
      <c r="GA14" s="118">
        <f t="shared" si="34"/>
        <v>631624.45900000003</v>
      </c>
      <c r="GB14" s="118">
        <f t="shared" si="34"/>
        <v>631624.45900000003</v>
      </c>
      <c r="GC14" s="118">
        <f t="shared" si="34"/>
        <v>631624.45900000003</v>
      </c>
      <c r="GD14" s="118">
        <f t="shared" si="34"/>
        <v>631624.45900000003</v>
      </c>
      <c r="GE14" s="118">
        <f t="shared" si="34"/>
        <v>631624.45900000003</v>
      </c>
      <c r="GF14" s="118">
        <f t="shared" si="34"/>
        <v>631624.45900000003</v>
      </c>
      <c r="GG14" s="118">
        <f t="shared" si="34"/>
        <v>631624.45900000003</v>
      </c>
      <c r="GH14" s="118">
        <f t="shared" si="34"/>
        <v>631624.45900000003</v>
      </c>
      <c r="GI14" s="118">
        <f t="shared" si="34"/>
        <v>631624.45900000003</v>
      </c>
      <c r="GJ14" s="118">
        <f t="shared" si="34"/>
        <v>631624.45900000003</v>
      </c>
      <c r="GK14" s="118">
        <f t="shared" si="34"/>
        <v>631624.45900000003</v>
      </c>
      <c r="GL14" s="118">
        <f t="shared" si="34"/>
        <v>631624.45900000003</v>
      </c>
      <c r="GM14" s="118">
        <f t="shared" si="34"/>
        <v>631624.45900000003</v>
      </c>
      <c r="GN14" s="118">
        <f t="shared" si="34"/>
        <v>631624.45900000003</v>
      </c>
      <c r="GO14" s="118">
        <f t="shared" si="34"/>
        <v>631624.45900000003</v>
      </c>
      <c r="GP14" s="118">
        <f t="shared" si="34"/>
        <v>631624.45900000003</v>
      </c>
      <c r="GQ14" s="118">
        <f t="shared" si="34"/>
        <v>631624.45900000003</v>
      </c>
      <c r="GR14" s="118">
        <f t="shared" si="34"/>
        <v>631624.45900000003</v>
      </c>
      <c r="GS14" s="118">
        <f t="shared" ref="GS14:JD14" si="35">GS10-GS12</f>
        <v>631624.45900000003</v>
      </c>
      <c r="GT14" s="118">
        <f t="shared" si="35"/>
        <v>631624.45900000003</v>
      </c>
      <c r="GU14" s="118">
        <f t="shared" si="35"/>
        <v>631624.45900000003</v>
      </c>
      <c r="GV14" s="118">
        <f t="shared" si="35"/>
        <v>631624.45900000003</v>
      </c>
      <c r="GW14" s="118">
        <f t="shared" si="35"/>
        <v>631624.45900000003</v>
      </c>
      <c r="GX14" s="118">
        <f t="shared" si="35"/>
        <v>631624.45900000003</v>
      </c>
      <c r="GY14" s="118">
        <f t="shared" si="35"/>
        <v>631624.45900000003</v>
      </c>
      <c r="GZ14" s="118">
        <f t="shared" si="35"/>
        <v>631624.45900000003</v>
      </c>
      <c r="HA14" s="118">
        <f t="shared" si="35"/>
        <v>631624.45900000003</v>
      </c>
      <c r="HB14" s="118">
        <f t="shared" si="35"/>
        <v>631624.45900000003</v>
      </c>
      <c r="HC14" s="118">
        <f t="shared" si="35"/>
        <v>631624.45900000003</v>
      </c>
      <c r="HD14" s="118">
        <f t="shared" si="35"/>
        <v>631624.45900000003</v>
      </c>
      <c r="HE14" s="118">
        <f t="shared" si="35"/>
        <v>631624.45900000003</v>
      </c>
      <c r="HF14" s="118">
        <f t="shared" si="35"/>
        <v>631624.45900000003</v>
      </c>
      <c r="HG14" s="118">
        <f t="shared" si="35"/>
        <v>631624.45900000003</v>
      </c>
      <c r="HH14" s="118">
        <f t="shared" si="35"/>
        <v>631624.45900000003</v>
      </c>
      <c r="HI14" s="118">
        <f t="shared" si="35"/>
        <v>631624.45900000003</v>
      </c>
      <c r="HJ14" s="118">
        <f t="shared" si="35"/>
        <v>631624.45900000003</v>
      </c>
      <c r="HK14" s="118">
        <f t="shared" si="35"/>
        <v>631624.45900000003</v>
      </c>
      <c r="HL14" s="118">
        <f t="shared" si="35"/>
        <v>631624.45900000003</v>
      </c>
      <c r="HM14" s="118">
        <f t="shared" si="35"/>
        <v>631624.45900000003</v>
      </c>
      <c r="HN14" s="118">
        <f t="shared" si="35"/>
        <v>631624.45900000003</v>
      </c>
      <c r="HO14" s="118">
        <f t="shared" si="35"/>
        <v>631624.45900000003</v>
      </c>
      <c r="HP14" s="118">
        <f t="shared" si="35"/>
        <v>631624.45900000003</v>
      </c>
      <c r="HQ14" s="118">
        <f t="shared" si="35"/>
        <v>631624.45900000003</v>
      </c>
      <c r="HR14" s="118">
        <f t="shared" si="35"/>
        <v>631624.45900000003</v>
      </c>
      <c r="HS14" s="118">
        <f t="shared" si="35"/>
        <v>631624.45900000003</v>
      </c>
      <c r="HT14" s="118">
        <f t="shared" si="35"/>
        <v>631624.45900000003</v>
      </c>
      <c r="HU14" s="118">
        <f t="shared" si="35"/>
        <v>631624.45900000003</v>
      </c>
      <c r="HV14" s="118">
        <f t="shared" si="35"/>
        <v>631624.45900000003</v>
      </c>
      <c r="HW14" s="118">
        <f t="shared" si="35"/>
        <v>631624.45900000003</v>
      </c>
      <c r="HX14" s="118">
        <f t="shared" si="35"/>
        <v>631624.45900000003</v>
      </c>
      <c r="HY14" s="118">
        <f t="shared" si="35"/>
        <v>631624.45900000003</v>
      </c>
      <c r="HZ14" s="118">
        <f t="shared" si="35"/>
        <v>631624.45900000003</v>
      </c>
      <c r="IA14" s="118">
        <f t="shared" si="35"/>
        <v>631624.45900000003</v>
      </c>
      <c r="IB14" s="118">
        <f t="shared" si="35"/>
        <v>631624.45900000003</v>
      </c>
      <c r="IC14" s="118">
        <f t="shared" si="35"/>
        <v>631624.45900000003</v>
      </c>
      <c r="ID14" s="118">
        <f t="shared" si="35"/>
        <v>631624.45900000003</v>
      </c>
      <c r="IE14" s="118">
        <f t="shared" si="35"/>
        <v>631624.45900000003</v>
      </c>
      <c r="IF14" s="118">
        <f t="shared" si="35"/>
        <v>631624.45900000003</v>
      </c>
      <c r="IG14" s="118">
        <f t="shared" si="35"/>
        <v>631624.45900000003</v>
      </c>
      <c r="IH14" s="118">
        <f t="shared" si="35"/>
        <v>631624.45900000003</v>
      </c>
      <c r="II14" s="118">
        <f t="shared" si="35"/>
        <v>631624.45900000003</v>
      </c>
      <c r="IJ14" s="118">
        <f t="shared" si="35"/>
        <v>631624.45900000003</v>
      </c>
      <c r="IK14" s="118">
        <f t="shared" si="35"/>
        <v>631624.45900000003</v>
      </c>
      <c r="IL14" s="118">
        <f t="shared" si="35"/>
        <v>631624.45900000003</v>
      </c>
      <c r="IM14" s="118">
        <f t="shared" si="35"/>
        <v>631624.45900000003</v>
      </c>
      <c r="IN14" s="118">
        <f t="shared" si="35"/>
        <v>631624.45900000003</v>
      </c>
      <c r="IO14" s="118">
        <f t="shared" si="35"/>
        <v>631624.45900000003</v>
      </c>
      <c r="IP14" s="118">
        <f t="shared" si="35"/>
        <v>631624.45900000003</v>
      </c>
      <c r="IQ14" s="118">
        <f t="shared" si="35"/>
        <v>631624.45900000003</v>
      </c>
      <c r="IR14" s="118">
        <f t="shared" si="35"/>
        <v>631624.45900000003</v>
      </c>
      <c r="IS14" s="118">
        <f t="shared" si="35"/>
        <v>631624.45900000003</v>
      </c>
      <c r="IT14" s="118">
        <f t="shared" si="35"/>
        <v>631624.45900000003</v>
      </c>
      <c r="IU14" s="118">
        <f t="shared" si="35"/>
        <v>631624.45900000003</v>
      </c>
      <c r="IV14" s="118">
        <f t="shared" si="35"/>
        <v>631624.45900000003</v>
      </c>
      <c r="IW14" s="118">
        <f t="shared" si="35"/>
        <v>631624.45900000003</v>
      </c>
      <c r="IX14" s="118">
        <f t="shared" si="35"/>
        <v>631624.45900000003</v>
      </c>
      <c r="IY14" s="118">
        <f t="shared" si="35"/>
        <v>631624.45900000003</v>
      </c>
      <c r="IZ14" s="118">
        <f t="shared" si="35"/>
        <v>631624.45900000003</v>
      </c>
      <c r="JA14" s="118">
        <f t="shared" si="35"/>
        <v>631624.45900000003</v>
      </c>
      <c r="JB14" s="118">
        <f t="shared" si="35"/>
        <v>631624.45900000003</v>
      </c>
      <c r="JC14" s="118">
        <f t="shared" si="35"/>
        <v>631624.45900000003</v>
      </c>
      <c r="JD14" s="118">
        <f t="shared" si="35"/>
        <v>631624.45900000003</v>
      </c>
      <c r="JE14" s="118">
        <f t="shared" ref="JE14:KF14" si="36">JE10-JE12</f>
        <v>631624.45900000003</v>
      </c>
      <c r="JF14" s="118">
        <f t="shared" si="36"/>
        <v>631624.45900000003</v>
      </c>
      <c r="JG14" s="118">
        <f t="shared" si="36"/>
        <v>631624.45900000003</v>
      </c>
      <c r="JH14" s="118">
        <f t="shared" si="36"/>
        <v>631624.45900000003</v>
      </c>
      <c r="JI14" s="118">
        <f t="shared" si="36"/>
        <v>631624.45900000003</v>
      </c>
      <c r="JJ14" s="118">
        <f t="shared" si="36"/>
        <v>631624.45900000003</v>
      </c>
      <c r="JK14" s="118">
        <f t="shared" si="36"/>
        <v>631624.45900000003</v>
      </c>
      <c r="JL14" s="118">
        <f t="shared" si="36"/>
        <v>631624.45900000003</v>
      </c>
      <c r="JM14" s="118">
        <f t="shared" si="36"/>
        <v>631624.45900000003</v>
      </c>
      <c r="JN14" s="118">
        <f t="shared" si="36"/>
        <v>631624.45900000003</v>
      </c>
      <c r="JO14" s="118">
        <f t="shared" si="36"/>
        <v>631624.45900000003</v>
      </c>
      <c r="JP14" s="118">
        <f t="shared" si="36"/>
        <v>631624.45900000003</v>
      </c>
      <c r="JQ14" s="118">
        <f t="shared" si="36"/>
        <v>631624.45900000003</v>
      </c>
      <c r="JR14" s="118">
        <f t="shared" si="36"/>
        <v>631624.45900000003</v>
      </c>
      <c r="JS14" s="118">
        <f t="shared" si="36"/>
        <v>631624.45900000003</v>
      </c>
      <c r="JT14" s="118">
        <f t="shared" si="36"/>
        <v>631624.45900000003</v>
      </c>
      <c r="JU14" s="118">
        <f t="shared" si="36"/>
        <v>631624.45900000003</v>
      </c>
      <c r="JV14" s="118">
        <f t="shared" si="36"/>
        <v>631624.45900000003</v>
      </c>
      <c r="JW14" s="118">
        <f t="shared" si="36"/>
        <v>631624.45900000003</v>
      </c>
      <c r="JX14" s="118">
        <f t="shared" si="36"/>
        <v>631624.45900000003</v>
      </c>
      <c r="JY14" s="118">
        <f t="shared" si="36"/>
        <v>631624.45900000003</v>
      </c>
      <c r="JZ14" s="118">
        <f t="shared" si="36"/>
        <v>631624.45900000003</v>
      </c>
      <c r="KA14" s="118">
        <f t="shared" si="36"/>
        <v>631624.45900000003</v>
      </c>
      <c r="KB14" s="118">
        <f t="shared" si="36"/>
        <v>631624.45900000003</v>
      </c>
      <c r="KC14" s="118">
        <f t="shared" si="36"/>
        <v>631624.45900000003</v>
      </c>
      <c r="KD14" s="118">
        <f t="shared" si="36"/>
        <v>631624.45900000003</v>
      </c>
      <c r="KE14" s="118">
        <f t="shared" si="36"/>
        <v>631624.45900000003</v>
      </c>
      <c r="KF14" s="118">
        <f t="shared" si="36"/>
        <v>631624.45900000003</v>
      </c>
    </row>
    <row r="15" spans="1:770" s="102" customFormat="1"/>
    <row r="16" spans="1:770" s="102" customFormat="1">
      <c r="C16" s="104" t="s">
        <v>259</v>
      </c>
      <c r="D16" s="104" t="s">
        <v>259</v>
      </c>
    </row>
    <row r="17" spans="1:292">
      <c r="A17" s="753"/>
      <c r="B17" s="106" t="s">
        <v>426</v>
      </c>
      <c r="C17" s="275">
        <f>C3-D17</f>
        <v>0.36554705328308046</v>
      </c>
      <c r="D17" s="107">
        <f>SUM(F17:KF17)</f>
        <v>2077435.9144529467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100416.31076230678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1656628.48876367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0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5172.0997653484374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0</v>
      </c>
      <c r="AA17" s="125">
        <f>SUMIFS('Expenditure Breakdown'!$U$6:$U$173, 'Expenditure Breakdown'!$T$6:$T$173, "&gt;="&amp;AA1,'Expenditure Breakdown'!$T$6:$T$173, "&lt;"&amp;AB1)</f>
        <v>315219.01516162173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0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0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53"/>
      <c r="B18" s="106" t="s">
        <v>427</v>
      </c>
      <c r="C18" s="275">
        <f>D17-D18</f>
        <v>0</v>
      </c>
      <c r="D18" s="107">
        <f>MAX(F18:KF18)</f>
        <v>2077435.9144529467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100416.31076230678</v>
      </c>
      <c r="O18" s="125">
        <f t="shared" si="37"/>
        <v>100416.31076230678</v>
      </c>
      <c r="P18" s="125">
        <f t="shared" si="37"/>
        <v>100416.31076230678</v>
      </c>
      <c r="Q18" s="125">
        <f t="shared" si="37"/>
        <v>100416.31076230678</v>
      </c>
      <c r="R18" s="125">
        <f t="shared" si="37"/>
        <v>1757044.7995259766</v>
      </c>
      <c r="S18" s="125">
        <f t="shared" si="37"/>
        <v>1757044.7995259766</v>
      </c>
      <c r="T18" s="125">
        <f t="shared" si="37"/>
        <v>1757044.7995259766</v>
      </c>
      <c r="U18" s="125">
        <f t="shared" si="37"/>
        <v>1757044.7995259766</v>
      </c>
      <c r="V18" s="125">
        <f t="shared" si="37"/>
        <v>1757044.7995259766</v>
      </c>
      <c r="W18" s="125">
        <f t="shared" si="37"/>
        <v>1762216.8992913251</v>
      </c>
      <c r="X18" s="125">
        <f t="shared" si="37"/>
        <v>1762216.8992913251</v>
      </c>
      <c r="Y18" s="125">
        <f t="shared" si="37"/>
        <v>1762216.8992913251</v>
      </c>
      <c r="Z18" s="125">
        <f t="shared" si="37"/>
        <v>1762216.8992913251</v>
      </c>
      <c r="AA18" s="125">
        <f t="shared" si="37"/>
        <v>2077435.9144529467</v>
      </c>
      <c r="AB18" s="125">
        <f t="shared" si="37"/>
        <v>2077435.9144529467</v>
      </c>
      <c r="AC18" s="125">
        <f t="shared" si="37"/>
        <v>2077435.9144529467</v>
      </c>
      <c r="AD18" s="125">
        <f>AC18+AD17</f>
        <v>2077435.9144529467</v>
      </c>
      <c r="AE18" s="125">
        <f t="shared" si="37"/>
        <v>2077435.9144529467</v>
      </c>
      <c r="AF18" s="125">
        <f t="shared" si="37"/>
        <v>2077435.9144529467</v>
      </c>
      <c r="AG18" s="125">
        <f t="shared" si="37"/>
        <v>2077435.9144529467</v>
      </c>
      <c r="AH18" s="125">
        <f t="shared" si="37"/>
        <v>2077435.9144529467</v>
      </c>
      <c r="AI18" s="125">
        <f t="shared" si="37"/>
        <v>2077435.9144529467</v>
      </c>
      <c r="AJ18" s="125">
        <f t="shared" si="37"/>
        <v>2077435.9144529467</v>
      </c>
      <c r="AK18" s="125">
        <f t="shared" si="37"/>
        <v>2077435.9144529467</v>
      </c>
      <c r="AL18" s="125">
        <f t="shared" si="37"/>
        <v>2077435.9144529467</v>
      </c>
      <c r="AM18" s="125">
        <f t="shared" si="37"/>
        <v>2077435.9144529467</v>
      </c>
      <c r="AN18" s="125">
        <f t="shared" si="37"/>
        <v>2077435.9144529467</v>
      </c>
      <c r="AO18" s="125">
        <f t="shared" si="37"/>
        <v>2077435.9144529467</v>
      </c>
      <c r="AP18" s="125">
        <f t="shared" si="37"/>
        <v>2077435.9144529467</v>
      </c>
      <c r="AQ18" s="125">
        <f t="shared" si="37"/>
        <v>2077435.9144529467</v>
      </c>
      <c r="AR18" s="125">
        <f t="shared" si="37"/>
        <v>2077435.9144529467</v>
      </c>
      <c r="AS18" s="125">
        <f t="shared" si="37"/>
        <v>2077435.9144529467</v>
      </c>
      <c r="AT18" s="125">
        <f t="shared" si="37"/>
        <v>2077435.9144529467</v>
      </c>
      <c r="AU18" s="125">
        <f t="shared" si="37"/>
        <v>2077435.9144529467</v>
      </c>
      <c r="AV18" s="125">
        <f t="shared" si="37"/>
        <v>2077435.9144529467</v>
      </c>
      <c r="AW18" s="125">
        <f t="shared" si="37"/>
        <v>2077435.9144529467</v>
      </c>
      <c r="AX18" s="125">
        <f t="shared" si="37"/>
        <v>2077435.9144529467</v>
      </c>
      <c r="AY18" s="125">
        <f t="shared" si="37"/>
        <v>2077435.9144529467</v>
      </c>
      <c r="AZ18" s="125">
        <f t="shared" si="37"/>
        <v>2077435.9144529467</v>
      </c>
      <c r="BA18" s="125">
        <f t="shared" si="37"/>
        <v>2077435.9144529467</v>
      </c>
      <c r="BB18" s="125">
        <f t="shared" si="37"/>
        <v>2077435.9144529467</v>
      </c>
      <c r="BC18" s="125">
        <f t="shared" si="37"/>
        <v>2077435.9144529467</v>
      </c>
      <c r="BD18" s="125">
        <f t="shared" si="37"/>
        <v>2077435.9144529467</v>
      </c>
      <c r="BE18" s="125">
        <f t="shared" si="37"/>
        <v>2077435.9144529467</v>
      </c>
      <c r="BF18" s="125">
        <f t="shared" si="37"/>
        <v>2077435.9144529467</v>
      </c>
      <c r="BG18" s="125">
        <f t="shared" si="37"/>
        <v>2077435.9144529467</v>
      </c>
      <c r="BH18" s="125">
        <f t="shared" si="37"/>
        <v>2077435.9144529467</v>
      </c>
      <c r="BI18" s="125">
        <f t="shared" si="37"/>
        <v>2077435.9144529467</v>
      </c>
      <c r="BJ18" s="125">
        <f t="shared" si="37"/>
        <v>2077435.9144529467</v>
      </c>
      <c r="BK18" s="125">
        <f t="shared" si="37"/>
        <v>2077435.9144529467</v>
      </c>
      <c r="BL18" s="125">
        <f t="shared" si="37"/>
        <v>2077435.9144529467</v>
      </c>
      <c r="BM18" s="125">
        <f t="shared" si="37"/>
        <v>2077435.9144529467</v>
      </c>
      <c r="BN18" s="125">
        <f t="shared" si="37"/>
        <v>2077435.9144529467</v>
      </c>
      <c r="BO18" s="125">
        <f t="shared" si="37"/>
        <v>2077435.9144529467</v>
      </c>
      <c r="BP18" s="125">
        <f t="shared" si="37"/>
        <v>2077435.9144529467</v>
      </c>
      <c r="BQ18" s="125">
        <f t="shared" si="37"/>
        <v>2077435.9144529467</v>
      </c>
      <c r="BR18" s="125">
        <f t="shared" si="37"/>
        <v>2077435.9144529467</v>
      </c>
      <c r="BS18" s="125">
        <f t="shared" si="37"/>
        <v>2077435.9144529467</v>
      </c>
      <c r="BT18" s="125">
        <f t="shared" si="37"/>
        <v>2077435.9144529467</v>
      </c>
      <c r="BU18" s="125">
        <f t="shared" ref="BU18:EF18" si="38">BT18+BU17</f>
        <v>2077435.9144529467</v>
      </c>
      <c r="BV18" s="125">
        <f t="shared" si="38"/>
        <v>2077435.9144529467</v>
      </c>
      <c r="BW18" s="125">
        <f t="shared" si="38"/>
        <v>2077435.9144529467</v>
      </c>
      <c r="BX18" s="125">
        <f t="shared" si="38"/>
        <v>2077435.9144529467</v>
      </c>
      <c r="BY18" s="125">
        <f t="shared" si="38"/>
        <v>2077435.9144529467</v>
      </c>
      <c r="BZ18" s="125">
        <f t="shared" si="38"/>
        <v>2077435.9144529467</v>
      </c>
      <c r="CA18" s="125">
        <f t="shared" si="38"/>
        <v>2077435.9144529467</v>
      </c>
      <c r="CB18" s="125">
        <f t="shared" si="38"/>
        <v>2077435.9144529467</v>
      </c>
      <c r="CC18" s="125">
        <f t="shared" si="38"/>
        <v>2077435.9144529467</v>
      </c>
      <c r="CD18" s="125">
        <f t="shared" si="38"/>
        <v>2077435.9144529467</v>
      </c>
      <c r="CE18" s="125">
        <f t="shared" si="38"/>
        <v>2077435.9144529467</v>
      </c>
      <c r="CF18" s="125">
        <f t="shared" si="38"/>
        <v>2077435.9144529467</v>
      </c>
      <c r="CG18" s="125">
        <f t="shared" si="38"/>
        <v>2077435.9144529467</v>
      </c>
      <c r="CH18" s="125">
        <f t="shared" si="38"/>
        <v>2077435.9144529467</v>
      </c>
      <c r="CI18" s="125">
        <f t="shared" si="38"/>
        <v>2077435.9144529467</v>
      </c>
      <c r="CJ18" s="125">
        <f t="shared" si="38"/>
        <v>2077435.9144529467</v>
      </c>
      <c r="CK18" s="125">
        <f t="shared" si="38"/>
        <v>2077435.9144529467</v>
      </c>
      <c r="CL18" s="125">
        <f t="shared" si="38"/>
        <v>2077435.9144529467</v>
      </c>
      <c r="CM18" s="125">
        <f t="shared" si="38"/>
        <v>2077435.9144529467</v>
      </c>
      <c r="CN18" s="125">
        <f t="shared" si="38"/>
        <v>2077435.9144529467</v>
      </c>
      <c r="CO18" s="125">
        <f t="shared" si="38"/>
        <v>2077435.9144529467</v>
      </c>
      <c r="CP18" s="125">
        <f t="shared" si="38"/>
        <v>2077435.9144529467</v>
      </c>
      <c r="CQ18" s="125">
        <f t="shared" si="38"/>
        <v>2077435.9144529467</v>
      </c>
      <c r="CR18" s="125">
        <f t="shared" si="38"/>
        <v>2077435.9144529467</v>
      </c>
      <c r="CS18" s="125">
        <f t="shared" si="38"/>
        <v>2077435.9144529467</v>
      </c>
      <c r="CT18" s="125">
        <f t="shared" si="38"/>
        <v>2077435.9144529467</v>
      </c>
      <c r="CU18" s="125">
        <f t="shared" si="38"/>
        <v>2077435.9144529467</v>
      </c>
      <c r="CV18" s="125">
        <f t="shared" si="38"/>
        <v>2077435.9144529467</v>
      </c>
      <c r="CW18" s="125">
        <f t="shared" si="38"/>
        <v>2077435.9144529467</v>
      </c>
      <c r="CX18" s="125">
        <f t="shared" si="38"/>
        <v>2077435.9144529467</v>
      </c>
      <c r="CY18" s="125">
        <f t="shared" si="38"/>
        <v>2077435.9144529467</v>
      </c>
      <c r="CZ18" s="125">
        <f t="shared" si="38"/>
        <v>2077435.9144529467</v>
      </c>
      <c r="DA18" s="125">
        <f t="shared" si="38"/>
        <v>2077435.9144529467</v>
      </c>
      <c r="DB18" s="125">
        <f t="shared" si="38"/>
        <v>2077435.9144529467</v>
      </c>
      <c r="DC18" s="125">
        <f t="shared" si="38"/>
        <v>2077435.9144529467</v>
      </c>
      <c r="DD18" s="125">
        <f t="shared" si="38"/>
        <v>2077435.9144529467</v>
      </c>
      <c r="DE18" s="125">
        <f t="shared" si="38"/>
        <v>2077435.9144529467</v>
      </c>
      <c r="DF18" s="125">
        <f t="shared" si="38"/>
        <v>2077435.9144529467</v>
      </c>
      <c r="DG18" s="125">
        <f t="shared" si="38"/>
        <v>2077435.9144529467</v>
      </c>
      <c r="DH18" s="125">
        <f t="shared" si="38"/>
        <v>2077435.9144529467</v>
      </c>
      <c r="DI18" s="125">
        <f t="shared" si="38"/>
        <v>2077435.9144529467</v>
      </c>
      <c r="DJ18" s="125">
        <f t="shared" si="38"/>
        <v>2077435.9144529467</v>
      </c>
      <c r="DK18" s="125">
        <f t="shared" si="38"/>
        <v>2077435.9144529467</v>
      </c>
      <c r="DL18" s="125">
        <f t="shared" si="38"/>
        <v>2077435.9144529467</v>
      </c>
      <c r="DM18" s="125">
        <f t="shared" si="38"/>
        <v>2077435.9144529467</v>
      </c>
      <c r="DN18" s="125">
        <f t="shared" si="38"/>
        <v>2077435.9144529467</v>
      </c>
      <c r="DO18" s="125">
        <f t="shared" si="38"/>
        <v>2077435.9144529467</v>
      </c>
      <c r="DP18" s="125">
        <f t="shared" si="38"/>
        <v>2077435.9144529467</v>
      </c>
      <c r="DQ18" s="125">
        <f t="shared" si="38"/>
        <v>2077435.9144529467</v>
      </c>
      <c r="DR18" s="125">
        <f t="shared" si="38"/>
        <v>2077435.9144529467</v>
      </c>
      <c r="DS18" s="125">
        <f t="shared" si="38"/>
        <v>2077435.9144529467</v>
      </c>
      <c r="DT18" s="125">
        <f t="shared" si="38"/>
        <v>2077435.9144529467</v>
      </c>
      <c r="DU18" s="125">
        <f t="shared" si="38"/>
        <v>2077435.9144529467</v>
      </c>
      <c r="DV18" s="125">
        <f t="shared" si="38"/>
        <v>2077435.9144529467</v>
      </c>
      <c r="DW18" s="125">
        <f t="shared" si="38"/>
        <v>2077435.9144529467</v>
      </c>
      <c r="DX18" s="125">
        <f t="shared" si="38"/>
        <v>2077435.9144529467</v>
      </c>
      <c r="DY18" s="125">
        <f t="shared" si="38"/>
        <v>2077435.9144529467</v>
      </c>
      <c r="DZ18" s="125">
        <f t="shared" si="38"/>
        <v>2077435.9144529467</v>
      </c>
      <c r="EA18" s="125">
        <f t="shared" si="38"/>
        <v>2077435.9144529467</v>
      </c>
      <c r="EB18" s="125">
        <f t="shared" si="38"/>
        <v>2077435.9144529467</v>
      </c>
      <c r="EC18" s="125">
        <f t="shared" si="38"/>
        <v>2077435.9144529467</v>
      </c>
      <c r="ED18" s="125">
        <f t="shared" si="38"/>
        <v>2077435.9144529467</v>
      </c>
      <c r="EE18" s="125">
        <f t="shared" si="38"/>
        <v>2077435.9144529467</v>
      </c>
      <c r="EF18" s="125">
        <f t="shared" si="38"/>
        <v>2077435.9144529467</v>
      </c>
      <c r="EG18" s="125">
        <f t="shared" ref="EG18:GR18" si="39">EF18+EG17</f>
        <v>2077435.9144529467</v>
      </c>
      <c r="EH18" s="125">
        <f t="shared" si="39"/>
        <v>2077435.9144529467</v>
      </c>
      <c r="EI18" s="125">
        <f t="shared" si="39"/>
        <v>2077435.9144529467</v>
      </c>
      <c r="EJ18" s="125">
        <f t="shared" si="39"/>
        <v>2077435.9144529467</v>
      </c>
      <c r="EK18" s="125">
        <f t="shared" si="39"/>
        <v>2077435.9144529467</v>
      </c>
      <c r="EL18" s="125">
        <f t="shared" si="39"/>
        <v>2077435.9144529467</v>
      </c>
      <c r="EM18" s="125">
        <f t="shared" si="39"/>
        <v>2077435.9144529467</v>
      </c>
      <c r="EN18" s="125">
        <f t="shared" si="39"/>
        <v>2077435.9144529467</v>
      </c>
      <c r="EO18" s="125">
        <f t="shared" si="39"/>
        <v>2077435.9144529467</v>
      </c>
      <c r="EP18" s="125">
        <f t="shared" si="39"/>
        <v>2077435.9144529467</v>
      </c>
      <c r="EQ18" s="125">
        <f t="shared" si="39"/>
        <v>2077435.9144529467</v>
      </c>
      <c r="ER18" s="125">
        <f t="shared" si="39"/>
        <v>2077435.9144529467</v>
      </c>
      <c r="ES18" s="125">
        <f t="shared" si="39"/>
        <v>2077435.9144529467</v>
      </c>
      <c r="ET18" s="125">
        <f t="shared" si="39"/>
        <v>2077435.9144529467</v>
      </c>
      <c r="EU18" s="125">
        <f t="shared" si="39"/>
        <v>2077435.9144529467</v>
      </c>
      <c r="EV18" s="125">
        <f t="shared" si="39"/>
        <v>2077435.9144529467</v>
      </c>
      <c r="EW18" s="125">
        <f t="shared" si="39"/>
        <v>2077435.9144529467</v>
      </c>
      <c r="EX18" s="125">
        <f t="shared" si="39"/>
        <v>2077435.9144529467</v>
      </c>
      <c r="EY18" s="125">
        <f t="shared" si="39"/>
        <v>2077435.9144529467</v>
      </c>
      <c r="EZ18" s="125">
        <f t="shared" si="39"/>
        <v>2077435.9144529467</v>
      </c>
      <c r="FA18" s="125">
        <f t="shared" si="39"/>
        <v>2077435.9144529467</v>
      </c>
      <c r="FB18" s="125">
        <f t="shared" si="39"/>
        <v>2077435.9144529467</v>
      </c>
      <c r="FC18" s="125">
        <f t="shared" si="39"/>
        <v>2077435.9144529467</v>
      </c>
      <c r="FD18" s="125">
        <f t="shared" si="39"/>
        <v>2077435.9144529467</v>
      </c>
      <c r="FE18" s="125">
        <f t="shared" si="39"/>
        <v>2077435.9144529467</v>
      </c>
      <c r="FF18" s="125">
        <f t="shared" si="39"/>
        <v>2077435.9144529467</v>
      </c>
      <c r="FG18" s="125">
        <f t="shared" si="39"/>
        <v>2077435.9144529467</v>
      </c>
      <c r="FH18" s="125">
        <f t="shared" si="39"/>
        <v>2077435.9144529467</v>
      </c>
      <c r="FI18" s="125">
        <f t="shared" si="39"/>
        <v>2077435.9144529467</v>
      </c>
      <c r="FJ18" s="125">
        <f t="shared" si="39"/>
        <v>2077435.9144529467</v>
      </c>
      <c r="FK18" s="125">
        <f t="shared" si="39"/>
        <v>2077435.9144529467</v>
      </c>
      <c r="FL18" s="125">
        <f t="shared" si="39"/>
        <v>2077435.9144529467</v>
      </c>
      <c r="FM18" s="125">
        <f t="shared" si="39"/>
        <v>2077435.9144529467</v>
      </c>
      <c r="FN18" s="125">
        <f t="shared" si="39"/>
        <v>2077435.9144529467</v>
      </c>
      <c r="FO18" s="125">
        <f t="shared" si="39"/>
        <v>2077435.9144529467</v>
      </c>
      <c r="FP18" s="125">
        <f t="shared" si="39"/>
        <v>2077435.9144529467</v>
      </c>
      <c r="FQ18" s="125">
        <f t="shared" si="39"/>
        <v>2077435.9144529467</v>
      </c>
      <c r="FR18" s="125">
        <f t="shared" si="39"/>
        <v>2077435.9144529467</v>
      </c>
      <c r="FS18" s="125">
        <f t="shared" si="39"/>
        <v>2077435.9144529467</v>
      </c>
      <c r="FT18" s="125">
        <f t="shared" si="39"/>
        <v>2077435.9144529467</v>
      </c>
      <c r="FU18" s="125">
        <f t="shared" si="39"/>
        <v>2077435.9144529467</v>
      </c>
      <c r="FV18" s="125">
        <f t="shared" si="39"/>
        <v>2077435.9144529467</v>
      </c>
      <c r="FW18" s="125">
        <f t="shared" si="39"/>
        <v>2077435.9144529467</v>
      </c>
      <c r="FX18" s="125">
        <f t="shared" si="39"/>
        <v>2077435.9144529467</v>
      </c>
      <c r="FY18" s="125">
        <f t="shared" si="39"/>
        <v>2077435.9144529467</v>
      </c>
      <c r="FZ18" s="125">
        <f t="shared" si="39"/>
        <v>2077435.9144529467</v>
      </c>
      <c r="GA18" s="125">
        <f t="shared" si="39"/>
        <v>2077435.9144529467</v>
      </c>
      <c r="GB18" s="125">
        <f t="shared" si="39"/>
        <v>2077435.9144529467</v>
      </c>
      <c r="GC18" s="125">
        <f t="shared" si="39"/>
        <v>2077435.9144529467</v>
      </c>
      <c r="GD18" s="125">
        <f t="shared" si="39"/>
        <v>2077435.9144529467</v>
      </c>
      <c r="GE18" s="125">
        <f t="shared" si="39"/>
        <v>2077435.9144529467</v>
      </c>
      <c r="GF18" s="125">
        <f t="shared" si="39"/>
        <v>2077435.9144529467</v>
      </c>
      <c r="GG18" s="125">
        <f t="shared" si="39"/>
        <v>2077435.9144529467</v>
      </c>
      <c r="GH18" s="125">
        <f t="shared" si="39"/>
        <v>2077435.9144529467</v>
      </c>
      <c r="GI18" s="125">
        <f t="shared" si="39"/>
        <v>2077435.9144529467</v>
      </c>
      <c r="GJ18" s="125">
        <f t="shared" si="39"/>
        <v>2077435.9144529467</v>
      </c>
      <c r="GK18" s="125">
        <f t="shared" si="39"/>
        <v>2077435.9144529467</v>
      </c>
      <c r="GL18" s="125">
        <f t="shared" si="39"/>
        <v>2077435.9144529467</v>
      </c>
      <c r="GM18" s="125">
        <f t="shared" si="39"/>
        <v>2077435.9144529467</v>
      </c>
      <c r="GN18" s="125">
        <f t="shared" si="39"/>
        <v>2077435.9144529467</v>
      </c>
      <c r="GO18" s="125">
        <f t="shared" si="39"/>
        <v>2077435.9144529467</v>
      </c>
      <c r="GP18" s="125">
        <f t="shared" si="39"/>
        <v>2077435.9144529467</v>
      </c>
      <c r="GQ18" s="125">
        <f t="shared" si="39"/>
        <v>2077435.9144529467</v>
      </c>
      <c r="GR18" s="125">
        <f t="shared" si="39"/>
        <v>2077435.9144529467</v>
      </c>
      <c r="GS18" s="125">
        <f t="shared" ref="GS18:JD18" si="40">GR18+GS17</f>
        <v>2077435.9144529467</v>
      </c>
      <c r="GT18" s="125">
        <f t="shared" si="40"/>
        <v>2077435.9144529467</v>
      </c>
      <c r="GU18" s="125">
        <f t="shared" si="40"/>
        <v>2077435.9144529467</v>
      </c>
      <c r="GV18" s="125">
        <f t="shared" si="40"/>
        <v>2077435.9144529467</v>
      </c>
      <c r="GW18" s="125">
        <f t="shared" si="40"/>
        <v>2077435.9144529467</v>
      </c>
      <c r="GX18" s="125">
        <f t="shared" si="40"/>
        <v>2077435.9144529467</v>
      </c>
      <c r="GY18" s="125">
        <f t="shared" si="40"/>
        <v>2077435.9144529467</v>
      </c>
      <c r="GZ18" s="125">
        <f t="shared" si="40"/>
        <v>2077435.9144529467</v>
      </c>
      <c r="HA18" s="125">
        <f t="shared" si="40"/>
        <v>2077435.9144529467</v>
      </c>
      <c r="HB18" s="125">
        <f t="shared" si="40"/>
        <v>2077435.9144529467</v>
      </c>
      <c r="HC18" s="125">
        <f t="shared" si="40"/>
        <v>2077435.9144529467</v>
      </c>
      <c r="HD18" s="125">
        <f t="shared" si="40"/>
        <v>2077435.9144529467</v>
      </c>
      <c r="HE18" s="125">
        <f t="shared" si="40"/>
        <v>2077435.9144529467</v>
      </c>
      <c r="HF18" s="125">
        <f t="shared" si="40"/>
        <v>2077435.9144529467</v>
      </c>
      <c r="HG18" s="125">
        <f t="shared" si="40"/>
        <v>2077435.9144529467</v>
      </c>
      <c r="HH18" s="125">
        <f t="shared" si="40"/>
        <v>2077435.9144529467</v>
      </c>
      <c r="HI18" s="125">
        <f t="shared" si="40"/>
        <v>2077435.9144529467</v>
      </c>
      <c r="HJ18" s="125">
        <f t="shared" si="40"/>
        <v>2077435.9144529467</v>
      </c>
      <c r="HK18" s="125">
        <f t="shared" si="40"/>
        <v>2077435.9144529467</v>
      </c>
      <c r="HL18" s="125">
        <f t="shared" si="40"/>
        <v>2077435.9144529467</v>
      </c>
      <c r="HM18" s="125">
        <f t="shared" si="40"/>
        <v>2077435.9144529467</v>
      </c>
      <c r="HN18" s="125">
        <f t="shared" si="40"/>
        <v>2077435.9144529467</v>
      </c>
      <c r="HO18" s="125">
        <f t="shared" si="40"/>
        <v>2077435.9144529467</v>
      </c>
      <c r="HP18" s="125">
        <f t="shared" si="40"/>
        <v>2077435.9144529467</v>
      </c>
      <c r="HQ18" s="125">
        <f t="shared" si="40"/>
        <v>2077435.9144529467</v>
      </c>
      <c r="HR18" s="125">
        <f t="shared" si="40"/>
        <v>2077435.9144529467</v>
      </c>
      <c r="HS18" s="125">
        <f t="shared" si="40"/>
        <v>2077435.9144529467</v>
      </c>
      <c r="HT18" s="125">
        <f t="shared" si="40"/>
        <v>2077435.9144529467</v>
      </c>
      <c r="HU18" s="125">
        <f t="shared" si="40"/>
        <v>2077435.9144529467</v>
      </c>
      <c r="HV18" s="125">
        <f t="shared" si="40"/>
        <v>2077435.9144529467</v>
      </c>
      <c r="HW18" s="125">
        <f t="shared" si="40"/>
        <v>2077435.9144529467</v>
      </c>
      <c r="HX18" s="125">
        <f t="shared" si="40"/>
        <v>2077435.9144529467</v>
      </c>
      <c r="HY18" s="125">
        <f t="shared" si="40"/>
        <v>2077435.9144529467</v>
      </c>
      <c r="HZ18" s="125">
        <f t="shared" si="40"/>
        <v>2077435.9144529467</v>
      </c>
      <c r="IA18" s="125">
        <f t="shared" si="40"/>
        <v>2077435.9144529467</v>
      </c>
      <c r="IB18" s="125">
        <f t="shared" si="40"/>
        <v>2077435.9144529467</v>
      </c>
      <c r="IC18" s="125">
        <f t="shared" si="40"/>
        <v>2077435.9144529467</v>
      </c>
      <c r="ID18" s="125">
        <f t="shared" si="40"/>
        <v>2077435.9144529467</v>
      </c>
      <c r="IE18" s="125">
        <f t="shared" si="40"/>
        <v>2077435.9144529467</v>
      </c>
      <c r="IF18" s="125">
        <f t="shared" si="40"/>
        <v>2077435.9144529467</v>
      </c>
      <c r="IG18" s="125">
        <f t="shared" si="40"/>
        <v>2077435.9144529467</v>
      </c>
      <c r="IH18" s="125">
        <f t="shared" si="40"/>
        <v>2077435.9144529467</v>
      </c>
      <c r="II18" s="125">
        <f t="shared" si="40"/>
        <v>2077435.9144529467</v>
      </c>
      <c r="IJ18" s="125">
        <f t="shared" si="40"/>
        <v>2077435.9144529467</v>
      </c>
      <c r="IK18" s="125">
        <f t="shared" si="40"/>
        <v>2077435.9144529467</v>
      </c>
      <c r="IL18" s="125">
        <f t="shared" si="40"/>
        <v>2077435.9144529467</v>
      </c>
      <c r="IM18" s="125">
        <f t="shared" si="40"/>
        <v>2077435.9144529467</v>
      </c>
      <c r="IN18" s="125">
        <f t="shared" si="40"/>
        <v>2077435.9144529467</v>
      </c>
      <c r="IO18" s="125">
        <f t="shared" si="40"/>
        <v>2077435.9144529467</v>
      </c>
      <c r="IP18" s="125">
        <f t="shared" si="40"/>
        <v>2077435.9144529467</v>
      </c>
      <c r="IQ18" s="125">
        <f t="shared" si="40"/>
        <v>2077435.9144529467</v>
      </c>
      <c r="IR18" s="125">
        <f t="shared" si="40"/>
        <v>2077435.9144529467</v>
      </c>
      <c r="IS18" s="125">
        <f t="shared" si="40"/>
        <v>2077435.9144529467</v>
      </c>
      <c r="IT18" s="125">
        <f t="shared" si="40"/>
        <v>2077435.9144529467</v>
      </c>
      <c r="IU18" s="125">
        <f t="shared" si="40"/>
        <v>2077435.9144529467</v>
      </c>
      <c r="IV18" s="125">
        <f t="shared" si="40"/>
        <v>2077435.9144529467</v>
      </c>
      <c r="IW18" s="125">
        <f t="shared" si="40"/>
        <v>2077435.9144529467</v>
      </c>
      <c r="IX18" s="125">
        <f t="shared" si="40"/>
        <v>2077435.9144529467</v>
      </c>
      <c r="IY18" s="125">
        <f t="shared" si="40"/>
        <v>2077435.9144529467</v>
      </c>
      <c r="IZ18" s="125">
        <f t="shared" si="40"/>
        <v>2077435.9144529467</v>
      </c>
      <c r="JA18" s="125">
        <f t="shared" si="40"/>
        <v>2077435.9144529467</v>
      </c>
      <c r="JB18" s="125">
        <f t="shared" si="40"/>
        <v>2077435.9144529467</v>
      </c>
      <c r="JC18" s="125">
        <f t="shared" si="40"/>
        <v>2077435.9144529467</v>
      </c>
      <c r="JD18" s="125">
        <f t="shared" si="40"/>
        <v>2077435.9144529467</v>
      </c>
      <c r="JE18" s="125">
        <f t="shared" ref="JE18:KF18" si="41">JD18+JE17</f>
        <v>2077435.9144529467</v>
      </c>
      <c r="JF18" s="125">
        <f t="shared" si="41"/>
        <v>2077435.9144529467</v>
      </c>
      <c r="JG18" s="125">
        <f t="shared" si="41"/>
        <v>2077435.9144529467</v>
      </c>
      <c r="JH18" s="125">
        <f t="shared" si="41"/>
        <v>2077435.9144529467</v>
      </c>
      <c r="JI18" s="125">
        <f t="shared" si="41"/>
        <v>2077435.9144529467</v>
      </c>
      <c r="JJ18" s="125">
        <f t="shared" si="41"/>
        <v>2077435.9144529467</v>
      </c>
      <c r="JK18" s="125">
        <f t="shared" si="41"/>
        <v>2077435.9144529467</v>
      </c>
      <c r="JL18" s="125">
        <f t="shared" si="41"/>
        <v>2077435.9144529467</v>
      </c>
      <c r="JM18" s="125">
        <f t="shared" si="41"/>
        <v>2077435.9144529467</v>
      </c>
      <c r="JN18" s="125">
        <f t="shared" si="41"/>
        <v>2077435.9144529467</v>
      </c>
      <c r="JO18" s="125">
        <f t="shared" si="41"/>
        <v>2077435.9144529467</v>
      </c>
      <c r="JP18" s="125">
        <f t="shared" si="41"/>
        <v>2077435.9144529467</v>
      </c>
      <c r="JQ18" s="125">
        <f t="shared" si="41"/>
        <v>2077435.9144529467</v>
      </c>
      <c r="JR18" s="125">
        <f t="shared" si="41"/>
        <v>2077435.9144529467</v>
      </c>
      <c r="JS18" s="125">
        <f t="shared" si="41"/>
        <v>2077435.9144529467</v>
      </c>
      <c r="JT18" s="125">
        <f t="shared" si="41"/>
        <v>2077435.9144529467</v>
      </c>
      <c r="JU18" s="125">
        <f t="shared" si="41"/>
        <v>2077435.9144529467</v>
      </c>
      <c r="JV18" s="125">
        <f t="shared" si="41"/>
        <v>2077435.9144529467</v>
      </c>
      <c r="JW18" s="125">
        <f t="shared" si="41"/>
        <v>2077435.9144529467</v>
      </c>
      <c r="JX18" s="125">
        <f t="shared" si="41"/>
        <v>2077435.9144529467</v>
      </c>
      <c r="JY18" s="125">
        <f t="shared" si="41"/>
        <v>2077435.9144529467</v>
      </c>
      <c r="JZ18" s="125">
        <f t="shared" si="41"/>
        <v>2077435.9144529467</v>
      </c>
      <c r="KA18" s="125">
        <f t="shared" si="41"/>
        <v>2077435.9144529467</v>
      </c>
      <c r="KB18" s="125">
        <f t="shared" si="41"/>
        <v>2077435.9144529467</v>
      </c>
      <c r="KC18" s="125">
        <f t="shared" si="41"/>
        <v>2077435.9144529467</v>
      </c>
      <c r="KD18" s="125">
        <f t="shared" si="41"/>
        <v>2077435.9144529467</v>
      </c>
      <c r="KE18" s="125">
        <f t="shared" si="41"/>
        <v>2077435.9144529467</v>
      </c>
      <c r="KF18" s="125">
        <f t="shared" si="41"/>
        <v>2077435.9144529467</v>
      </c>
    </row>
    <row r="19" spans="1:292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3" sqref="L13"/>
    </sheetView>
  </sheetViews>
  <sheetFormatPr defaultColWidth="12.5546875" defaultRowHeight="14.4"/>
  <cols>
    <col min="1" max="1" width="39.44140625" style="269" bestFit="1" customWidth="1"/>
    <col min="2" max="2" width="17.33203125" style="270" bestFit="1" customWidth="1"/>
    <col min="3" max="3" width="13.33203125" style="269" bestFit="1" customWidth="1"/>
    <col min="4" max="4" width="14.88671875" style="269" bestFit="1" customWidth="1"/>
    <col min="5" max="5" width="11.6640625" style="269" bestFit="1" customWidth="1"/>
    <col min="6" max="6" width="4.88671875" style="269" bestFit="1" customWidth="1"/>
    <col min="7" max="7" width="13.33203125" style="269" bestFit="1" customWidth="1"/>
    <col min="8" max="8" width="14.88671875" style="269" bestFit="1" customWidth="1"/>
    <col min="9" max="9" width="14.5546875" style="269" bestFit="1" customWidth="1"/>
    <col min="10" max="10" width="11.44140625" style="269" bestFit="1" customWidth="1"/>
    <col min="11" max="11" width="13.5546875" style="269" bestFit="1" customWidth="1"/>
    <col min="12" max="12" width="6.44140625" style="269" bestFit="1" customWidth="1"/>
    <col min="13" max="13" width="14.554687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554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428</v>
      </c>
      <c r="B3" s="541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/>
      <c r="C6" s="272"/>
      <c r="D6" s="272">
        <v>696208.00000000012</v>
      </c>
      <c r="E6" s="272"/>
      <c r="F6" s="272">
        <v>0</v>
      </c>
      <c r="G6" s="272"/>
      <c r="H6" s="272">
        <v>696208.00000000012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276</v>
      </c>
      <c r="B7" s="272"/>
      <c r="C7" s="272"/>
      <c r="D7" s="272">
        <v>175000</v>
      </c>
      <c r="E7" s="272"/>
      <c r="F7" s="272">
        <v>0</v>
      </c>
      <c r="G7" s="272"/>
      <c r="H7" s="2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>
        <v>0</v>
      </c>
      <c r="C8" s="272"/>
      <c r="D8" s="272">
        <v>128110.77692850587</v>
      </c>
      <c r="E8" s="272"/>
      <c r="F8" s="272">
        <v>0</v>
      </c>
      <c r="G8" s="272">
        <v>12784.22</v>
      </c>
      <c r="H8" s="272">
        <v>140894.99692850586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301</v>
      </c>
      <c r="B9" s="272"/>
      <c r="C9" s="272">
        <v>8718.1164575988332</v>
      </c>
      <c r="D9" s="272">
        <v>208591.76658993939</v>
      </c>
      <c r="E9" s="272">
        <v>0</v>
      </c>
      <c r="F9" s="272">
        <v>0</v>
      </c>
      <c r="G9" s="272">
        <v>41482.044842810625</v>
      </c>
      <c r="H9" s="272">
        <v>258791.92789034886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326</v>
      </c>
      <c r="B10" s="272"/>
      <c r="C10" s="272">
        <v>52102.936231571432</v>
      </c>
      <c r="D10" s="272">
        <v>9147.0598230697615</v>
      </c>
      <c r="E10" s="272"/>
      <c r="F10" s="272">
        <v>0</v>
      </c>
      <c r="G10" s="272"/>
      <c r="H10" s="272">
        <v>61249.996054641189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>
        <v>11394.758073136501</v>
      </c>
      <c r="D11" s="272">
        <v>284437.58867088577</v>
      </c>
      <c r="E11" s="272"/>
      <c r="F11" s="272">
        <v>0</v>
      </c>
      <c r="G11" s="272">
        <v>39881.653255977755</v>
      </c>
      <c r="H11" s="272">
        <v>335714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351</v>
      </c>
      <c r="B12" s="272"/>
      <c r="C12" s="272"/>
      <c r="D12" s="272"/>
      <c r="E12" s="272"/>
      <c r="F12" s="272"/>
      <c r="G12" s="272"/>
      <c r="H12" s="27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360</v>
      </c>
      <c r="B13" s="272">
        <v>0</v>
      </c>
      <c r="C13" s="272">
        <v>21883.400000000005</v>
      </c>
      <c r="D13" s="272">
        <v>120358.70000000004</v>
      </c>
      <c r="E13" s="272"/>
      <c r="F13" s="272">
        <v>0</v>
      </c>
      <c r="G13" s="272">
        <v>76591.900000000009</v>
      </c>
      <c r="H13" s="272">
        <v>218834.00000000006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363</v>
      </c>
      <c r="B14" s="272"/>
      <c r="C14" s="272">
        <v>6317.1</v>
      </c>
      <c r="D14" s="272">
        <v>32482.618398486124</v>
      </c>
      <c r="E14" s="272">
        <v>3700.52</v>
      </c>
      <c r="F14" s="272">
        <v>0</v>
      </c>
      <c r="G14" s="272">
        <v>20670.760064353675</v>
      </c>
      <c r="H14" s="272">
        <v>63170.998462839794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369</v>
      </c>
      <c r="B15" s="272">
        <v>0</v>
      </c>
      <c r="C15" s="272"/>
      <c r="D15" s="272"/>
      <c r="E15" s="272"/>
      <c r="F15" s="272">
        <v>0</v>
      </c>
      <c r="G15" s="272">
        <v>98889</v>
      </c>
      <c r="H15" s="272">
        <v>98889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381</v>
      </c>
      <c r="B16" s="272">
        <v>0</v>
      </c>
      <c r="C16" s="272"/>
      <c r="D16" s="272"/>
      <c r="E16" s="272"/>
      <c r="F16" s="272"/>
      <c r="G16" s="272">
        <v>23822</v>
      </c>
      <c r="H16" s="272">
        <v>23822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386</v>
      </c>
      <c r="B17" s="272"/>
      <c r="C17" s="272">
        <v>0</v>
      </c>
      <c r="D17" s="272">
        <v>2291.9783527820055</v>
      </c>
      <c r="E17" s="272">
        <v>1471.5797653484374</v>
      </c>
      <c r="F17" s="272">
        <v>0</v>
      </c>
      <c r="G17" s="272">
        <v>1097.4369984796763</v>
      </c>
      <c r="H17" s="272">
        <v>4860.9951166101191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390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378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349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432</v>
      </c>
      <c r="B21" s="272">
        <v>0</v>
      </c>
      <c r="C21" s="272">
        <v>100416.31076230678</v>
      </c>
      <c r="D21" s="272">
        <v>1656628.488763669</v>
      </c>
      <c r="E21" s="272">
        <v>5172.0997653484374</v>
      </c>
      <c r="F21" s="272">
        <v>0</v>
      </c>
      <c r="G21" s="272">
        <v>315219.01516162173</v>
      </c>
      <c r="H21" s="272">
        <v>2077435.9144529458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15" sqref="G15"/>
    </sheetView>
  </sheetViews>
  <sheetFormatPr defaultColWidth="8.44140625" defaultRowHeight="14.4"/>
  <cols>
    <col min="1" max="1" width="21.6640625" bestFit="1" customWidth="1"/>
    <col min="2" max="2" width="17.33203125" style="308" bestFit="1" customWidth="1"/>
    <col min="3" max="3" width="12" style="308" bestFit="1" customWidth="1"/>
    <col min="4" max="4" width="14.88671875" style="308" bestFit="1" customWidth="1"/>
    <col min="5" max="5" width="12.109375" style="308" bestFit="1" customWidth="1"/>
    <col min="6" max="6" width="12.5546875" style="308" bestFit="1" customWidth="1"/>
    <col min="7" max="7" width="13.33203125" style="308" bestFit="1" customWidth="1"/>
    <col min="8" max="8" width="14.88671875" style="308" bestFit="1" customWidth="1"/>
    <col min="9" max="9" width="14.5546875" style="308" bestFit="1" customWidth="1"/>
    <col min="10" max="10" width="11.44140625" bestFit="1" customWidth="1"/>
    <col min="11" max="11" width="13.5546875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9">
      <c r="A3" s="541" t="s">
        <v>433</v>
      </c>
      <c r="B3" s="541" t="s">
        <v>429</v>
      </c>
      <c r="C3"/>
      <c r="D3"/>
      <c r="E3"/>
      <c r="F3"/>
      <c r="G3"/>
      <c r="H3"/>
      <c r="I3"/>
    </row>
    <row r="4" spans="1:9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</row>
    <row r="5" spans="1:9">
      <c r="A5" s="345" t="s">
        <v>431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263</v>
      </c>
      <c r="B6" s="347"/>
      <c r="C6" s="347"/>
      <c r="D6" s="347">
        <v>506043.6</v>
      </c>
      <c r="E6" s="347"/>
      <c r="F6" s="347"/>
      <c r="G6" s="347"/>
      <c r="H6" s="347">
        <v>506043.6</v>
      </c>
      <c r="I6"/>
    </row>
    <row r="7" spans="1:9">
      <c r="A7" s="345" t="s">
        <v>276</v>
      </c>
      <c r="B7" s="347"/>
      <c r="C7" s="347"/>
      <c r="D7" s="347">
        <v>137740.70000000001</v>
      </c>
      <c r="E7" s="347"/>
      <c r="F7" s="347"/>
      <c r="G7" s="347"/>
      <c r="H7" s="347">
        <v>137740.70000000001</v>
      </c>
      <c r="I7"/>
    </row>
    <row r="8" spans="1:9">
      <c r="A8" s="345" t="s">
        <v>287</v>
      </c>
      <c r="B8" s="347"/>
      <c r="C8" s="347"/>
      <c r="D8" s="347">
        <v>78119</v>
      </c>
      <c r="E8" s="347"/>
      <c r="F8" s="347"/>
      <c r="G8" s="347"/>
      <c r="H8" s="347">
        <v>78119</v>
      </c>
      <c r="I8"/>
    </row>
    <row r="9" spans="1:9">
      <c r="A9" s="345" t="s">
        <v>301</v>
      </c>
      <c r="B9" s="347"/>
      <c r="C9" s="347">
        <v>4267.34</v>
      </c>
      <c r="D9" s="347">
        <v>105370.37</v>
      </c>
      <c r="E9" s="347">
        <v>-31395</v>
      </c>
      <c r="F9" s="347"/>
      <c r="G9" s="347">
        <v>14935.66</v>
      </c>
      <c r="H9" s="347">
        <v>93178.37</v>
      </c>
      <c r="I9"/>
    </row>
    <row r="10" spans="1:9">
      <c r="A10" s="345" t="s">
        <v>326</v>
      </c>
      <c r="B10" s="347"/>
      <c r="C10" s="347">
        <v>48977.33</v>
      </c>
      <c r="D10" s="347">
        <v>8760.68</v>
      </c>
      <c r="E10" s="347">
        <v>1300</v>
      </c>
      <c r="F10" s="347"/>
      <c r="G10" s="347"/>
      <c r="H10" s="347">
        <v>59038.01</v>
      </c>
      <c r="I10"/>
    </row>
    <row r="11" spans="1:9">
      <c r="A11" s="345" t="s">
        <v>344</v>
      </c>
      <c r="B11" s="347"/>
      <c r="C11" s="347">
        <v>4116.4900000000007</v>
      </c>
      <c r="D11" s="347">
        <v>102756.41499999999</v>
      </c>
      <c r="E11" s="347"/>
      <c r="F11" s="347"/>
      <c r="G11" s="347">
        <v>14407.715000000004</v>
      </c>
      <c r="H11" s="347">
        <v>121280.62</v>
      </c>
      <c r="I11"/>
    </row>
    <row r="12" spans="1:9">
      <c r="A12" s="345" t="s">
        <v>351</v>
      </c>
      <c r="B12" s="347"/>
      <c r="C12" s="347"/>
      <c r="D12" s="347">
        <v>18231.22</v>
      </c>
      <c r="E12" s="347">
        <v>7826.09</v>
      </c>
      <c r="F12" s="347"/>
      <c r="G12" s="347"/>
      <c r="H12" s="347">
        <v>26057.31</v>
      </c>
      <c r="I12"/>
    </row>
    <row r="13" spans="1:9">
      <c r="A13" s="345" t="s">
        <v>360</v>
      </c>
      <c r="B13" s="347"/>
      <c r="C13" s="347">
        <v>31114.825000000001</v>
      </c>
      <c r="D13" s="347">
        <v>171131.53750000001</v>
      </c>
      <c r="E13" s="347"/>
      <c r="F13" s="347"/>
      <c r="G13" s="347">
        <v>108901.88750000001</v>
      </c>
      <c r="H13" s="347">
        <v>311148.25</v>
      </c>
      <c r="I13"/>
    </row>
    <row r="14" spans="1:9">
      <c r="A14" s="345" t="s">
        <v>363</v>
      </c>
      <c r="B14" s="347"/>
      <c r="C14" s="347">
        <v>10270.075000000001</v>
      </c>
      <c r="D14" s="347">
        <v>56485.412499999999</v>
      </c>
      <c r="E14" s="347">
        <v>7150</v>
      </c>
      <c r="F14" s="347"/>
      <c r="G14" s="347">
        <v>35945.269999999997</v>
      </c>
      <c r="H14" s="347">
        <v>109850.75750000001</v>
      </c>
      <c r="I14"/>
    </row>
    <row r="15" spans="1:9">
      <c r="A15" s="345" t="s">
        <v>369</v>
      </c>
      <c r="B15" s="347">
        <v>0</v>
      </c>
      <c r="C15" s="347"/>
      <c r="D15" s="347"/>
      <c r="E15" s="347"/>
      <c r="F15" s="347"/>
      <c r="G15" s="347">
        <v>21375</v>
      </c>
      <c r="H15" s="347">
        <v>21375</v>
      </c>
      <c r="I15"/>
    </row>
    <row r="16" spans="1:9">
      <c r="A16" s="345" t="s">
        <v>381</v>
      </c>
      <c r="B16" s="347"/>
      <c r="C16" s="347"/>
      <c r="D16" s="347"/>
      <c r="E16" s="347"/>
      <c r="F16" s="347"/>
      <c r="G16" s="347">
        <v>25967.953500000003</v>
      </c>
      <c r="H16" s="347">
        <v>25967.953500000003</v>
      </c>
      <c r="I16"/>
    </row>
    <row r="17" spans="1:9">
      <c r="A17" s="345" t="s">
        <v>386</v>
      </c>
      <c r="B17" s="347"/>
      <c r="C17" s="347">
        <v>0</v>
      </c>
      <c r="D17" s="347">
        <v>1951.6</v>
      </c>
      <c r="E17" s="347">
        <v>1799.28</v>
      </c>
      <c r="F17" s="347"/>
      <c r="G17" s="347">
        <v>136.44999999999999</v>
      </c>
      <c r="H17" s="347">
        <v>3887.33</v>
      </c>
      <c r="I17"/>
    </row>
    <row r="18" spans="1:9">
      <c r="A18" s="345" t="s">
        <v>390</v>
      </c>
      <c r="B18" s="347"/>
      <c r="C18" s="347"/>
      <c r="D18" s="347"/>
      <c r="E18" s="347">
        <v>7500</v>
      </c>
      <c r="F18" s="347"/>
      <c r="G18" s="347"/>
      <c r="H18" s="347">
        <v>7500</v>
      </c>
      <c r="I18"/>
    </row>
    <row r="19" spans="1:9">
      <c r="A19" s="345" t="s">
        <v>378</v>
      </c>
      <c r="B19" s="347"/>
      <c r="C19" s="347"/>
      <c r="D19" s="347"/>
      <c r="E19" s="347"/>
      <c r="F19" s="347"/>
      <c r="G19" s="347"/>
      <c r="H19" s="347"/>
      <c r="I19"/>
    </row>
    <row r="20" spans="1:9">
      <c r="A20" s="345" t="s">
        <v>349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432</v>
      </c>
      <c r="B21" s="347">
        <v>0</v>
      </c>
      <c r="C21" s="347">
        <v>98746.06</v>
      </c>
      <c r="D21" s="347">
        <v>1186590.5350000004</v>
      </c>
      <c r="E21" s="347">
        <v>-5819.6299999999992</v>
      </c>
      <c r="F21" s="347"/>
      <c r="G21" s="347">
        <v>221669.93600000002</v>
      </c>
      <c r="H21" s="347">
        <v>1501186.9010000003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434</v>
      </c>
      <c r="F2" s="19" t="s">
        <v>435</v>
      </c>
    </row>
    <row r="3" spans="3:8">
      <c r="C3" s="15">
        <v>45658</v>
      </c>
      <c r="D3" s="9" t="s">
        <v>436</v>
      </c>
      <c r="F3" s="17" t="s">
        <v>437</v>
      </c>
    </row>
    <row r="4" spans="3:8">
      <c r="C4" s="15">
        <v>45737</v>
      </c>
      <c r="D4" s="9" t="s">
        <v>438</v>
      </c>
      <c r="F4" s="17" t="s">
        <v>439</v>
      </c>
    </row>
    <row r="5" spans="3:8">
      <c r="C5" s="15">
        <v>45765</v>
      </c>
      <c r="D5" s="9" t="s">
        <v>440</v>
      </c>
      <c r="F5" s="17" t="s">
        <v>441</v>
      </c>
    </row>
    <row r="6" spans="3:8" ht="13.8" thickBot="1">
      <c r="C6" s="15">
        <v>45768</v>
      </c>
      <c r="D6" s="9" t="s">
        <v>442</v>
      </c>
      <c r="F6" s="18" t="s">
        <v>443</v>
      </c>
    </row>
    <row r="7" spans="3:8">
      <c r="C7" s="15">
        <v>45774</v>
      </c>
      <c r="D7" s="9" t="s">
        <v>444</v>
      </c>
    </row>
    <row r="8" spans="3:8">
      <c r="C8" s="15">
        <v>45765</v>
      </c>
      <c r="D8" s="9" t="s">
        <v>445</v>
      </c>
    </row>
    <row r="9" spans="3:8">
      <c r="C9" s="15">
        <v>45778</v>
      </c>
      <c r="D9" s="9" t="s">
        <v>446</v>
      </c>
    </row>
    <row r="10" spans="3:8">
      <c r="C10" s="15">
        <v>45824</v>
      </c>
      <c r="D10" s="9" t="s">
        <v>447</v>
      </c>
    </row>
    <row r="11" spans="3:8">
      <c r="C11" s="15">
        <v>45878</v>
      </c>
      <c r="D11" s="9" t="s">
        <v>448</v>
      </c>
    </row>
    <row r="12" spans="3:8">
      <c r="C12" s="15">
        <v>45924</v>
      </c>
      <c r="D12" s="9" t="s">
        <v>449</v>
      </c>
    </row>
    <row r="13" spans="3:8">
      <c r="C13" s="15">
        <v>46007</v>
      </c>
      <c r="D13" s="9" t="s">
        <v>450</v>
      </c>
      <c r="F13" s="20"/>
      <c r="H13" s="9" t="s">
        <v>451</v>
      </c>
    </row>
    <row r="14" spans="3:8">
      <c r="C14" s="15">
        <v>46016</v>
      </c>
      <c r="D14" s="9" t="s">
        <v>452</v>
      </c>
    </row>
    <row r="15" spans="3:8">
      <c r="C15" s="15">
        <v>46017</v>
      </c>
      <c r="D15" s="9" t="s">
        <v>453</v>
      </c>
    </row>
    <row r="16" spans="3:8">
      <c r="C16" s="15">
        <v>46006</v>
      </c>
      <c r="D16" s="9" t="s">
        <v>454</v>
      </c>
    </row>
    <row r="17" spans="3:4">
      <c r="C17" s="15">
        <v>46007</v>
      </c>
      <c r="D17" s="9" t="s">
        <v>454</v>
      </c>
    </row>
    <row r="18" spans="3:4">
      <c r="C18" s="15">
        <v>46008</v>
      </c>
      <c r="D18" s="9" t="s">
        <v>454</v>
      </c>
    </row>
    <row r="19" spans="3:4">
      <c r="C19" s="15">
        <v>46009</v>
      </c>
      <c r="D19" s="9" t="s">
        <v>454</v>
      </c>
    </row>
    <row r="20" spans="3:4">
      <c r="C20" s="15">
        <v>46010</v>
      </c>
      <c r="D20" s="9" t="s">
        <v>454</v>
      </c>
    </row>
    <row r="21" spans="3:4">
      <c r="C21" s="15">
        <v>46011</v>
      </c>
      <c r="D21" s="9" t="s">
        <v>454</v>
      </c>
    </row>
    <row r="22" spans="3:4">
      <c r="C22" s="15">
        <v>46012</v>
      </c>
      <c r="D22" s="9" t="s">
        <v>454</v>
      </c>
    </row>
    <row r="23" spans="3:4">
      <c r="C23" s="15">
        <v>46013</v>
      </c>
      <c r="D23" s="9" t="s">
        <v>454</v>
      </c>
    </row>
    <row r="24" spans="3:4">
      <c r="C24" s="15">
        <v>46014</v>
      </c>
      <c r="D24" s="9" t="s">
        <v>454</v>
      </c>
    </row>
    <row r="25" spans="3:4">
      <c r="C25" s="15">
        <v>46015</v>
      </c>
      <c r="D25" s="9" t="s">
        <v>454</v>
      </c>
    </row>
    <row r="26" spans="3:4">
      <c r="C26" s="15">
        <v>46016</v>
      </c>
      <c r="D26" s="9" t="s">
        <v>454</v>
      </c>
    </row>
    <row r="27" spans="3:4">
      <c r="C27" s="15">
        <v>46017</v>
      </c>
      <c r="D27" s="9" t="s">
        <v>454</v>
      </c>
    </row>
    <row r="28" spans="3:4">
      <c r="C28" s="15">
        <v>46018</v>
      </c>
      <c r="D28" s="9" t="s">
        <v>454</v>
      </c>
    </row>
    <row r="29" spans="3:4">
      <c r="C29" s="15">
        <v>46019</v>
      </c>
      <c r="D29" s="9" t="s">
        <v>454</v>
      </c>
    </row>
    <row r="30" spans="3:4">
      <c r="C30" s="15">
        <v>46020</v>
      </c>
      <c r="D30" s="9" t="s">
        <v>454</v>
      </c>
    </row>
    <row r="31" spans="3:4">
      <c r="C31" s="15">
        <v>46021</v>
      </c>
      <c r="D31" s="9" t="s">
        <v>454</v>
      </c>
    </row>
    <row r="32" spans="3:4">
      <c r="C32" s="15">
        <v>46022</v>
      </c>
      <c r="D32" s="9" t="s">
        <v>454</v>
      </c>
    </row>
    <row r="33" spans="3:4">
      <c r="C33" s="15">
        <v>46023</v>
      </c>
      <c r="D33" s="9" t="s">
        <v>454</v>
      </c>
    </row>
    <row r="34" spans="3:4">
      <c r="C34" s="15">
        <v>46024</v>
      </c>
      <c r="D34" s="9" t="s">
        <v>454</v>
      </c>
    </row>
    <row r="35" spans="3:4">
      <c r="C35" s="15">
        <v>46025</v>
      </c>
      <c r="D35" s="9" t="s">
        <v>454</v>
      </c>
    </row>
    <row r="36" spans="3:4">
      <c r="C36" s="15">
        <v>46026</v>
      </c>
      <c r="D36" s="9" t="s">
        <v>454</v>
      </c>
    </row>
    <row r="37" spans="3:4">
      <c r="C37" s="15">
        <v>46027</v>
      </c>
      <c r="D37" s="9" t="s">
        <v>454</v>
      </c>
    </row>
    <row r="38" spans="3:4">
      <c r="C38" s="15">
        <v>46028</v>
      </c>
      <c r="D38" s="9" t="s">
        <v>454</v>
      </c>
    </row>
    <row r="39" spans="3:4">
      <c r="C39" s="15">
        <v>46029</v>
      </c>
      <c r="D39" s="9" t="s">
        <v>454</v>
      </c>
    </row>
    <row r="40" spans="3:4">
      <c r="C40" s="15">
        <v>46030</v>
      </c>
      <c r="D40" s="9" t="s">
        <v>454</v>
      </c>
    </row>
    <row r="41" spans="3:4">
      <c r="C41" s="15">
        <v>46031</v>
      </c>
      <c r="D41" s="9" t="s">
        <v>454</v>
      </c>
    </row>
    <row r="42" spans="3:4">
      <c r="C42" s="15">
        <v>46032</v>
      </c>
      <c r="D42" s="9" t="s">
        <v>454</v>
      </c>
    </row>
    <row r="43" spans="3:4">
      <c r="C43" s="15">
        <v>46033</v>
      </c>
      <c r="D43" s="9" t="s">
        <v>454</v>
      </c>
    </row>
    <row r="44" spans="3:4">
      <c r="C44" s="15">
        <v>46034</v>
      </c>
      <c r="D44" s="9" t="s">
        <v>454</v>
      </c>
    </row>
    <row r="45" spans="3:4">
      <c r="C45" s="15">
        <v>46035</v>
      </c>
      <c r="D45" s="9" t="s">
        <v>454</v>
      </c>
    </row>
    <row r="46" spans="3:4">
      <c r="C46" s="15">
        <v>46036</v>
      </c>
      <c r="D46" s="9" t="s">
        <v>454</v>
      </c>
    </row>
    <row r="47" spans="3:4">
      <c r="C47" s="15">
        <v>46037</v>
      </c>
      <c r="D47" s="9" t="s">
        <v>454</v>
      </c>
    </row>
    <row r="48" spans="3:4">
      <c r="C48" s="15">
        <v>46038</v>
      </c>
      <c r="D48" s="9" t="s">
        <v>454</v>
      </c>
    </row>
    <row r="49" spans="3:4">
      <c r="C49" s="15">
        <v>46102</v>
      </c>
      <c r="D49" s="9" t="s">
        <v>438</v>
      </c>
    </row>
    <row r="50" spans="3:4">
      <c r="C50" s="15">
        <v>46115</v>
      </c>
      <c r="D50" s="9" t="s">
        <v>440</v>
      </c>
    </row>
    <row r="51" spans="3:4">
      <c r="C51" s="15">
        <v>46118</v>
      </c>
      <c r="D51" s="9" t="s">
        <v>442</v>
      </c>
    </row>
    <row r="52" spans="3:4">
      <c r="C52" s="15">
        <v>46139</v>
      </c>
      <c r="D52" s="9" t="s">
        <v>444</v>
      </c>
    </row>
    <row r="53" spans="3:4">
      <c r="C53" s="15">
        <v>46143</v>
      </c>
      <c r="D53" s="9" t="s">
        <v>446</v>
      </c>
    </row>
    <row r="54" spans="3:4">
      <c r="C54" s="15">
        <v>46189</v>
      </c>
      <c r="D54" s="9" t="s">
        <v>447</v>
      </c>
    </row>
    <row r="55" spans="3:4">
      <c r="C55" s="15">
        <v>46243</v>
      </c>
      <c r="D55" s="9" t="s">
        <v>448</v>
      </c>
    </row>
    <row r="56" spans="3:4">
      <c r="C56" s="15">
        <v>46244</v>
      </c>
      <c r="D56" s="9" t="s">
        <v>455</v>
      </c>
    </row>
    <row r="57" spans="3:4">
      <c r="C57" s="15">
        <v>46289</v>
      </c>
      <c r="D57" s="9" t="s">
        <v>449</v>
      </c>
    </row>
    <row r="58" spans="3:4">
      <c r="C58" s="15">
        <v>46372</v>
      </c>
      <c r="D58" s="9" t="s">
        <v>450</v>
      </c>
    </row>
    <row r="59" spans="3:4">
      <c r="C59" s="15">
        <v>46381</v>
      </c>
      <c r="D59" s="9" t="s">
        <v>452</v>
      </c>
    </row>
    <row r="60" spans="3:4" ht="13.8" thickBot="1">
      <c r="C60" s="16">
        <v>46382</v>
      </c>
      <c r="D60" s="9" t="s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61E421-C5D4-48B7-8607-E5C7FCDFF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2026-02-16T07:53:44Z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