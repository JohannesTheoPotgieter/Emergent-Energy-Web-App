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8" documentId="13_ncr:1_{3C257196-C608-46AD-B16B-23CBF423CE0F}" xr6:coauthVersionLast="47" xr6:coauthVersionMax="47" xr10:uidLastSave="{833DC38F-EE5A-4CFD-B4F4-60EE2D57435B}"/>
  <bookViews>
    <workbookView xWindow="-17475" yWindow="1080" windowWidth="17550" windowHeight="151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M50" i="2"/>
  <c r="N46" i="2"/>
  <c r="M46" i="2"/>
  <c r="N41" i="2"/>
  <c r="M41" i="2"/>
  <c r="N30" i="2"/>
  <c r="M30" i="2"/>
  <c r="N37" i="2"/>
  <c r="M37" i="2"/>
  <c r="M23" i="2"/>
  <c r="N20" i="2"/>
  <c r="M20" i="2"/>
  <c r="M11" i="2"/>
  <c r="K13" i="2"/>
  <c r="N14" i="2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5" i="2"/>
  <c r="T108" i="18" l="1"/>
  <c r="T34" i="18"/>
  <c r="T18" i="2"/>
  <c r="U19" i="2"/>
  <c r="V19" i="2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9" i="2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<sst xmlns="http://schemas.openxmlformats.org/spreadsheetml/2006/main" count="737" uniqueCount="413">
  <si>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</si>
  <si>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</si>
  <si>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</si>
  <si>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</si>
  <si>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</si>
  <si>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</si>
  <si>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</si>
  <si>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</si>
  <si>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</si>
  <si>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</si>
  <si>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</si>
  <si>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</si>
  <si>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</si>
  <si>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</si>
  <si>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</si>
  <si>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</si>
  <si>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</si>
  <si>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</si>
  <si>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</si>
  <si>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</si>
  <si>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</si>
  <si>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</si>
  <si>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</si>
  <si>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</si>
  <si>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</si>
  <si>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</si>
  <si>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</si>
  <si>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</si>
  <si>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</si>
  <si>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</si>
  <si>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</si>
  <si>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</si>
  <si>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</si>
  <si>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</si>
  <si>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</si>
  <si>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</si>
  <si>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</si>
  <si>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</si>
  <si>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</si>
  <si>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</si>
  <si>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</si>
  <si>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</si>
  <si>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</si>
  <si>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</si>
  <si>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</si>
  <si>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</si>
  <si>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</si>
  <si>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</si>
  <si>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</si>
  <si>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</si>
  <si>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</si>
  <si>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</si>
  <si>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</si>
  <si>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</si>
  <si>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</si>
  <si>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</si>
  <si>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</si>
  <si>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</si>
  <si>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</si>
  <si>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</si>
  <si>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</si>
  <si>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</si>
  <si>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</si>
  <si>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</si>
  <si>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</si>
  <si>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</si>
  <si>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</si>
  <si>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</si>
  <si>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</si>
  <si>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</si>
  <si>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</si>
  <si>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</si>
  <si>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</si>
  <si>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</si>
  <si>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</si>
  <si>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</si>
  <si>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</si>
  <si>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</si>
  <si>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</si>
  <si>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</si>
  <si>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</si>
  <si>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</si>
  <si>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</si>
  <si>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</si>
  <si>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</si>
  <si>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</si>
  <si>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</si>
  <si>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</si>
  <si>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</si>
  <si>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</si>
  <si>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</si>
  <si>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</si>
  <si>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</si>
  <si>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</si>
  <si>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</si>
  <si>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</si>
  <si>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</si>
  <si>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</si>
  <si>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</si>
  <si>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</si>
  <si>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</si>
  <si>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</si>
  <si>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</si>
  <si>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</si>
  <si>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</si>
  <si>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</si>
  <si>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</si>
  <si>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</si>
  <si>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</si>
  <si>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</si>
  <si>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</si>
  <si>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</si>
  <si>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</si>
  <si>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</si>
  <si>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</si>
  <si>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</si>
  <si>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</si>
  <si>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</si>
  <si>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</si>
  <si>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</si>
  <si>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</si>
  <si>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</si>
  <si>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</si>
  <si>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</si>
  <si>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</si>
  <si>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</si>
  <si>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</si>
  <si>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</si>
  <si>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</si>
  <si>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</si>
  <si>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</si>
  <si>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</si>
  <si>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</si>
  <si>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</si>
  <si>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</si>
  <si>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</si>
  <si>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</si>
  <si>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</si>
  <si>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</si>
  <si>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</si>
  <si>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</si>
  <si>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</si>
  <si>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Site building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</si>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</sst>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General</c:formatCode>
                  <c:ptCount val="8"/>
                  <c:pt idx="0">
                    <c:v>127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45992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46068</c:v>
                </c:pt>
                <c:pt idx="1">
                  <c:v>46068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115141.18033333335</c:v>
                </c:pt>
                <c:pt idx="13">
                  <c:v>286102.95083333331</c:v>
                </c:pt>
                <c:pt idx="14">
                  <c:v>286102.95083333331</c:v>
                </c:pt>
                <c:pt idx="15">
                  <c:v>286102.95083333331</c:v>
                </c:pt>
                <c:pt idx="16">
                  <c:v>539147.60083333333</c:v>
                </c:pt>
                <c:pt idx="17">
                  <c:v>861929.96149999998</c:v>
                </c:pt>
                <c:pt idx="18">
                  <c:v>861929.96149999998</c:v>
                </c:pt>
                <c:pt idx="19">
                  <c:v>861929.96149999998</c:v>
                </c:pt>
                <c:pt idx="20">
                  <c:v>1182929.9615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2084464.3732116497</c:v>
                </c:pt>
                <c:pt idx="12">
                  <c:v>1972823.1928783164</c:v>
                </c:pt>
                <c:pt idx="13">
                  <c:v>1801861.4223783165</c:v>
                </c:pt>
                <c:pt idx="14">
                  <c:v>4784667.6698235301</c:v>
                </c:pt>
                <c:pt idx="15">
                  <c:v>4784667.6698235301</c:v>
                </c:pt>
                <c:pt idx="16">
                  <c:v>4531623.0198235307</c:v>
                </c:pt>
                <c:pt idx="17">
                  <c:v>4208840.6591568636</c:v>
                </c:pt>
                <c:pt idx="18">
                  <c:v>4208840.6591568636</c:v>
                </c:pt>
                <c:pt idx="19">
                  <c:v>4208840.6591568636</c:v>
                </c:pt>
                <c:pt idx="20">
                  <c:v>3887840.6591568636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578382.00113297242</c:v>
                </c:pt>
                <c:pt idx="13">
                  <c:v>578382.00113297242</c:v>
                </c:pt>
                <c:pt idx="14">
                  <c:v>578382.00113297242</c:v>
                </c:pt>
                <c:pt idx="15">
                  <c:v>578382.00113297242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7" t="s">
        <v>0</v>
      </c>
      <c r="C2" s="637"/>
      <c r="D2" s="637"/>
      <c r="E2" s="637"/>
      <c r="H2" s="638" t="s">
        <v>1</v>
      </c>
      <c r="I2" s="639"/>
      <c r="J2" s="639"/>
      <c r="K2" s="639"/>
      <c r="L2" s="639"/>
      <c r="M2" s="639"/>
      <c r="N2" s="639"/>
      <c r="O2" s="640"/>
    </row>
    <row r="3" spans="2:15">
      <c r="B3" s="615"/>
      <c r="H3" s="641"/>
      <c r="I3" s="642"/>
      <c r="J3" s="642"/>
      <c r="K3" s="642"/>
      <c r="L3" s="642"/>
      <c r="M3" s="642"/>
      <c r="N3" s="642"/>
      <c r="O3" s="643"/>
    </row>
    <row r="4" spans="2:15">
      <c r="B4" s="616" t="s">
        <v>2</v>
      </c>
      <c r="C4" s="617" t="str">
        <f>'Project Plan'!E2</f>
        <v>De Drift</v>
      </c>
      <c r="H4" s="641"/>
      <c r="I4" s="642"/>
      <c r="J4" s="642"/>
      <c r="K4" s="642"/>
      <c r="L4" s="642"/>
      <c r="M4" s="642"/>
      <c r="N4" s="642"/>
      <c r="O4" s="643"/>
    </row>
    <row r="5" spans="2:15">
      <c r="B5" s="616" t="s">
        <v>3</v>
      </c>
      <c r="C5" s="617" t="s">
        <v>4</v>
      </c>
      <c r="H5" s="641"/>
      <c r="I5" s="642"/>
      <c r="J5" s="642"/>
      <c r="K5" s="642"/>
      <c r="L5" s="642"/>
      <c r="M5" s="642"/>
      <c r="N5" s="642"/>
      <c r="O5" s="643"/>
    </row>
    <row r="6" spans="2:15">
      <c r="B6" s="616" t="s">
        <v>5</v>
      </c>
      <c r="C6" s="617" t="s">
        <v>6</v>
      </c>
      <c r="H6" s="641"/>
      <c r="I6" s="642"/>
      <c r="J6" s="642"/>
      <c r="K6" s="642"/>
      <c r="L6" s="642"/>
      <c r="M6" s="642"/>
      <c r="N6" s="642"/>
      <c r="O6" s="643"/>
    </row>
    <row r="7" spans="2:15">
      <c r="B7" s="616" t="s">
        <v>7</v>
      </c>
      <c r="C7" s="617" t="s">
        <v>8</v>
      </c>
      <c r="H7" s="641"/>
      <c r="I7" s="642"/>
      <c r="J7" s="642"/>
      <c r="K7" s="642"/>
      <c r="L7" s="642"/>
      <c r="M7" s="642"/>
      <c r="N7" s="642"/>
      <c r="O7" s="643"/>
    </row>
    <row r="8" spans="2:15">
      <c r="B8" s="615"/>
      <c r="H8" s="641"/>
      <c r="I8" s="642"/>
      <c r="J8" s="642"/>
      <c r="K8" s="642"/>
      <c r="L8" s="642"/>
      <c r="M8" s="642"/>
      <c r="N8" s="642"/>
      <c r="O8" s="643"/>
    </row>
    <row r="9" spans="2:15">
      <c r="B9" s="647" t="s">
        <v>9</v>
      </c>
      <c r="C9" s="647"/>
      <c r="D9" s="647"/>
      <c r="E9" s="647"/>
      <c r="H9" s="641"/>
      <c r="I9" s="642"/>
      <c r="J9" s="642"/>
      <c r="K9" s="642"/>
      <c r="L9" s="642"/>
      <c r="M9" s="642"/>
      <c r="N9" s="642"/>
      <c r="O9" s="643"/>
    </row>
    <row r="10" spans="2:15" ht="15" thickBot="1">
      <c r="B10" s="647" t="s">
        <v>10</v>
      </c>
      <c r="C10" s="647"/>
      <c r="D10" s="647"/>
      <c r="E10" s="647"/>
      <c r="H10" s="644"/>
      <c r="I10" s="645"/>
      <c r="J10" s="645"/>
      <c r="K10" s="645"/>
      <c r="L10" s="645"/>
      <c r="M10" s="645"/>
      <c r="N10" s="645"/>
      <c r="O10" s="646"/>
    </row>
    <row r="11" spans="2:15">
      <c r="B11" s="618" t="s">
        <v>11</v>
      </c>
      <c r="C11" s="636"/>
      <c r="D11" s="636"/>
      <c r="E11" s="636"/>
    </row>
    <row r="12" spans="2:15">
      <c r="B12" s="618" t="s">
        <v>12</v>
      </c>
      <c r="C12" s="636"/>
      <c r="D12" s="636"/>
      <c r="E12" s="636"/>
    </row>
    <row r="13" spans="2:15">
      <c r="B13" s="618" t="s">
        <v>13</v>
      </c>
      <c r="C13" s="636"/>
      <c r="D13" s="636"/>
      <c r="E13" s="636"/>
    </row>
    <row r="14" spans="2:15">
      <c r="B14" s="618" t="s">
        <v>14</v>
      </c>
      <c r="C14" s="636"/>
      <c r="D14" s="636"/>
      <c r="E14" s="636"/>
    </row>
    <row r="15" spans="2:15">
      <c r="B15" s="618" t="s">
        <v>15</v>
      </c>
      <c r="C15" s="636"/>
      <c r="D15" s="636"/>
      <c r="E15" s="636"/>
    </row>
    <row r="16" spans="2:15" ht="15" customHeight="1">
      <c r="B16" s="618" t="s">
        <v>16</v>
      </c>
      <c r="C16" s="636"/>
      <c r="D16" s="636"/>
      <c r="E16" s="636"/>
    </row>
    <row r="17" spans="2:5">
      <c r="B17" s="615"/>
    </row>
    <row r="18" spans="2:5">
      <c r="B18" s="648" t="s">
        <v>17</v>
      </c>
      <c r="C18" s="648"/>
      <c r="D18" s="648"/>
      <c r="E18" s="64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7" t="s">
        <v>22</v>
      </c>
      <c r="C2" s="637"/>
      <c r="D2" s="637"/>
      <c r="E2" s="637"/>
      <c r="H2" s="638" t="s">
        <v>23</v>
      </c>
      <c r="I2" s="639"/>
      <c r="J2" s="639"/>
      <c r="K2" s="639"/>
      <c r="L2" s="639"/>
      <c r="M2" s="639"/>
      <c r="N2" s="639"/>
      <c r="O2" s="640"/>
    </row>
    <row r="3" spans="2:15">
      <c r="B3" s="615"/>
      <c r="H3" s="641"/>
      <c r="I3" s="642"/>
      <c r="J3" s="642"/>
      <c r="K3" s="642"/>
      <c r="L3" s="642"/>
      <c r="M3" s="642"/>
      <c r="N3" s="642"/>
      <c r="O3" s="643"/>
    </row>
    <row r="4" spans="2:15">
      <c r="B4" s="616" t="s">
        <v>2</v>
      </c>
      <c r="C4" s="617" t="str">
        <f>'Project Plan'!E2</f>
        <v>De Drift</v>
      </c>
      <c r="H4" s="641"/>
      <c r="I4" s="642"/>
      <c r="J4" s="642"/>
      <c r="K4" s="642"/>
      <c r="L4" s="642"/>
      <c r="M4" s="642"/>
      <c r="N4" s="642"/>
      <c r="O4" s="643"/>
    </row>
    <row r="5" spans="2:15">
      <c r="B5" s="616" t="s">
        <v>24</v>
      </c>
      <c r="C5" s="617"/>
      <c r="H5" s="641"/>
      <c r="I5" s="642"/>
      <c r="J5" s="642"/>
      <c r="K5" s="642"/>
      <c r="L5" s="642"/>
      <c r="M5" s="642"/>
      <c r="N5" s="642"/>
      <c r="O5" s="643"/>
    </row>
    <row r="6" spans="2:15">
      <c r="B6" s="616" t="s">
        <v>5</v>
      </c>
      <c r="C6" s="617" t="s">
        <v>6</v>
      </c>
      <c r="H6" s="641"/>
      <c r="I6" s="642"/>
      <c r="J6" s="642"/>
      <c r="K6" s="642"/>
      <c r="L6" s="642"/>
      <c r="M6" s="642"/>
      <c r="N6" s="642"/>
      <c r="O6" s="643"/>
    </row>
    <row r="7" spans="2:15">
      <c r="B7" s="616" t="s">
        <v>25</v>
      </c>
      <c r="C7" s="617" t="str">
        <f>'Project Plan'!E5</f>
        <v>Justin Franke</v>
      </c>
      <c r="H7" s="641"/>
      <c r="I7" s="642"/>
      <c r="J7" s="642"/>
      <c r="K7" s="642"/>
      <c r="L7" s="642"/>
      <c r="M7" s="642"/>
      <c r="N7" s="642"/>
      <c r="O7" s="643"/>
    </row>
    <row r="8" spans="2:15">
      <c r="B8" s="616" t="s">
        <v>26</v>
      </c>
      <c r="C8" s="617"/>
      <c r="H8" s="641"/>
      <c r="I8" s="642"/>
      <c r="J8" s="642"/>
      <c r="K8" s="642"/>
      <c r="L8" s="642"/>
      <c r="M8" s="642"/>
      <c r="N8" s="642"/>
      <c r="O8" s="643"/>
    </row>
    <row r="9" spans="2:15">
      <c r="B9" s="615"/>
      <c r="H9" s="641"/>
      <c r="I9" s="642"/>
      <c r="J9" s="642"/>
      <c r="K9" s="642"/>
      <c r="L9" s="642"/>
      <c r="M9" s="642"/>
      <c r="N9" s="642"/>
      <c r="O9" s="643"/>
    </row>
    <row r="10" spans="2:15">
      <c r="B10" s="647" t="s">
        <v>9</v>
      </c>
      <c r="C10" s="647"/>
      <c r="D10" s="647"/>
      <c r="E10" s="647"/>
      <c r="H10" s="641"/>
      <c r="I10" s="642"/>
      <c r="J10" s="642"/>
      <c r="K10" s="642"/>
      <c r="L10" s="642"/>
      <c r="M10" s="642"/>
      <c r="N10" s="642"/>
      <c r="O10" s="643"/>
    </row>
    <row r="11" spans="2:15" ht="15" thickBot="1">
      <c r="B11" s="647" t="s">
        <v>10</v>
      </c>
      <c r="C11" s="647"/>
      <c r="D11" s="647"/>
      <c r="E11" s="647"/>
      <c r="H11" s="644"/>
      <c r="I11" s="645"/>
      <c r="J11" s="645"/>
      <c r="K11" s="645"/>
      <c r="L11" s="645"/>
      <c r="M11" s="645"/>
      <c r="N11" s="645"/>
      <c r="O11" s="646"/>
    </row>
    <row r="12" spans="2:15" ht="25">
      <c r="B12" s="618" t="s">
        <v>27</v>
      </c>
      <c r="C12" s="636"/>
      <c r="D12" s="636"/>
      <c r="E12" s="636"/>
    </row>
    <row r="13" spans="2:15">
      <c r="B13" s="618" t="s">
        <v>28</v>
      </c>
      <c r="C13" s="636"/>
      <c r="D13" s="636"/>
      <c r="E13" s="636"/>
    </row>
    <row r="14" spans="2:15">
      <c r="B14" s="618" t="s">
        <v>29</v>
      </c>
      <c r="C14" s="636"/>
      <c r="D14" s="636"/>
      <c r="E14" s="636"/>
    </row>
    <row r="15" spans="2:15">
      <c r="B15" s="618" t="s">
        <v>30</v>
      </c>
      <c r="C15" s="636"/>
      <c r="D15" s="636"/>
      <c r="E15" s="636"/>
    </row>
    <row r="16" spans="2:15" ht="25">
      <c r="B16" s="618" t="s">
        <v>31</v>
      </c>
      <c r="C16" s="636"/>
      <c r="D16" s="636"/>
      <c r="E16" s="636"/>
    </row>
    <row r="17" spans="2:5">
      <c r="B17" s="618" t="s">
        <v>32</v>
      </c>
      <c r="C17" s="636"/>
      <c r="D17" s="636"/>
      <c r="E17" s="636"/>
    </row>
    <row r="18" spans="2:5">
      <c r="B18" s="618" t="s">
        <v>33</v>
      </c>
      <c r="C18" s="636"/>
      <c r="D18" s="636"/>
      <c r="E18" s="636"/>
    </row>
    <row r="19" spans="2:5">
      <c r="B19" s="618" t="s">
        <v>34</v>
      </c>
      <c r="C19" s="636"/>
      <c r="D19" s="636"/>
      <c r="E19" s="636"/>
    </row>
    <row r="20" spans="2:5">
      <c r="B20" s="618" t="s">
        <v>35</v>
      </c>
      <c r="C20" s="636"/>
      <c r="D20" s="636"/>
      <c r="E20" s="636"/>
    </row>
    <row r="21" spans="2:5">
      <c r="B21" s="618" t="s">
        <v>36</v>
      </c>
      <c r="C21" s="636"/>
      <c r="D21" s="636"/>
      <c r="E21" s="636"/>
    </row>
    <row r="22" spans="2:5" ht="15" customHeight="1">
      <c r="B22" s="618" t="s">
        <v>16</v>
      </c>
      <c r="C22" s="636"/>
      <c r="D22" s="636"/>
      <c r="E22" s="636"/>
    </row>
    <row r="23" spans="2:5">
      <c r="B23" s="615"/>
    </row>
    <row r="24" spans="2:5">
      <c r="B24" s="648" t="s">
        <v>17</v>
      </c>
      <c r="C24" s="648"/>
      <c r="D24" s="648"/>
      <c r="E24" s="64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1"/>
      <c r="C1" s="652"/>
      <c r="D1" s="652"/>
      <c r="E1" s="652"/>
      <c r="F1" s="649" t="s">
        <v>37</v>
      </c>
      <c r="G1" s="649"/>
      <c r="H1" s="649"/>
      <c r="I1" s="649"/>
      <c r="J1" s="649"/>
      <c r="K1" s="650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3" t="s">
        <v>102</v>
      </c>
      <c r="C2" s="654"/>
      <c r="D2" s="654"/>
      <c r="E2" s="654"/>
      <c r="F2" s="655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3" t="s">
        <v>111</v>
      </c>
      <c r="C16" s="654"/>
      <c r="D16" s="654"/>
      <c r="E16" s="654"/>
      <c r="F16" s="655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D13" sqref="D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46068</v>
      </c>
      <c r="O1" s="305">
        <f ca="1">TODAY()</f>
        <v>46068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29" t="s">
        <v>116</v>
      </c>
      <c r="J2" s="63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29" t="s">
        <v>118</v>
      </c>
      <c r="J3" s="63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29" t="s">
        <v>121</v>
      </c>
      <c r="J4" s="63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3" t="s">
        <v>127</v>
      </c>
      <c r="C8" s="634" t="s">
        <v>128</v>
      </c>
      <c r="D8" s="126"/>
      <c r="E8" s="635" t="s">
        <v>129</v>
      </c>
      <c r="F8" s="148" t="s">
        <v>130</v>
      </c>
      <c r="G8" s="635" t="s">
        <v>131</v>
      </c>
      <c r="H8" s="149"/>
      <c r="I8" s="635" t="s">
        <v>132</v>
      </c>
      <c r="J8" s="148" t="s">
        <v>130</v>
      </c>
      <c r="K8" s="635" t="s">
        <v>133</v>
      </c>
      <c r="M8" s="585" t="s">
        <v>44</v>
      </c>
      <c r="N8" s="586" t="s">
        <v>134</v>
      </c>
      <c r="O8" s="631" t="s">
        <v>135</v>
      </c>
      <c r="Z8" s="26"/>
      <c r="AA8" s="26"/>
      <c r="AB8" s="26"/>
    </row>
    <row r="9" spans="2:28">
      <c r="B9" s="633"/>
      <c r="C9" s="634"/>
      <c r="D9" s="126"/>
      <c r="E9" s="635"/>
      <c r="F9" s="40">
        <f>G41-E21</f>
        <v>72</v>
      </c>
      <c r="G9" s="635"/>
      <c r="H9" s="149"/>
      <c r="I9" s="635"/>
      <c r="J9" s="41">
        <f>K41-I21</f>
        <v>72</v>
      </c>
      <c r="K9" s="635"/>
      <c r="M9" s="265">
        <f>AVERAGE(M11,M20,M23,M30,M37,M41,M50,M46)</f>
        <v>4.4642857142857144E-2</v>
      </c>
      <c r="N9" s="265">
        <f ca="1">AVERAGE(N11,N20,N23,N30,N37,N41,N50,N46)</f>
        <v>4.4084821428571432E-2</v>
      </c>
      <c r="O9" s="632"/>
      <c r="S9" s="587">
        <f ca="1">TODAY()</f>
        <v>46068</v>
      </c>
      <c r="T9" s="587">
        <f ca="1">TODAY()</f>
        <v>46068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45992</v>
      </c>
      <c r="J11" s="573">
        <f>K11-I11</f>
        <v>127</v>
      </c>
      <c r="K11" s="572">
        <f>MAX(K12:K19)</f>
        <v>46119</v>
      </c>
      <c r="L11" s="575"/>
      <c r="M11" s="576">
        <f>AVERAGE(M12:M18)</f>
        <v>0.35714285714285715</v>
      </c>
      <c r="N11" s="576">
        <f ca="1">AVERAGE(N12:N18)</f>
        <v>0.35267857142857145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412</v>
      </c>
      <c r="D13" s="126"/>
      <c r="E13" s="577"/>
      <c r="F13" s="578"/>
      <c r="G13" s="577"/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142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0.46875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143</v>
      </c>
      <c r="C15" s="158" t="s">
        <v>144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45992</v>
      </c>
      <c r="U15" s="540">
        <f>J11</f>
        <v>127</v>
      </c>
      <c r="V15" s="539">
        <f>K11</f>
        <v>46119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149</v>
      </c>
      <c r="C18" s="158" t="s">
        <v>150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151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154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155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156</v>
      </c>
      <c r="C24" s="158" t="s">
        <v>157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164</v>
      </c>
      <c r="C28" s="158" t="s">
        <v>165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166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171</v>
      </c>
      <c r="C34" s="158" t="s">
        <v>172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5">
      <c r="B35" s="157" t="s">
        <v>173</v>
      </c>
      <c r="C35" s="154" t="s">
        <v>174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175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178</v>
      </c>
      <c r="C39" s="158" t="s">
        <v>179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180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181</v>
      </c>
      <c r="C42" s="154" t="s">
        <v>180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184</v>
      </c>
      <c r="C44" s="154" t="s">
        <v>185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186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187</v>
      </c>
      <c r="C47" s="154" t="s">
        <v>188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189</v>
      </c>
      <c r="C48" s="154" t="s">
        <v>190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191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192</v>
      </c>
      <c r="C51" s="154" t="s">
        <v>193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196</v>
      </c>
      <c r="C53" s="154" t="s">
        <v>197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199</v>
      </c>
      <c r="U2" s="624" t="s">
        <v>200</v>
      </c>
      <c r="V2" s="624" t="s">
        <v>201</v>
      </c>
      <c r="W2" s="624" t="s">
        <v>202</v>
      </c>
    </row>
    <row r="3" spans="1:41" s="24" customFormat="1" ht="13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207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208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209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210</v>
      </c>
      <c r="S6" s="53"/>
    </row>
    <row r="7" spans="1:41" s="24" customFormat="1" ht="15" customHeight="1" thickBot="1">
      <c r="B7" s="256">
        <v>4</v>
      </c>
      <c r="C7" s="257" t="s">
        <v>211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212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53"/>
    </row>
    <row r="13" spans="1:41" s="24" customFormat="1" ht="13">
      <c r="B13" s="590">
        <v>1</v>
      </c>
      <c r="C13" s="658" t="s">
        <v>221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222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5">
      <c r="B15" s="590">
        <v>3</v>
      </c>
      <c r="C15" s="658" t="s">
        <v>223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5">
      <c r="B16" s="590">
        <v>4</v>
      </c>
      <c r="C16" s="656" t="s">
        <v>183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5">
      <c r="B17" s="590">
        <v>5</v>
      </c>
      <c r="C17" s="656" t="s">
        <v>224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5">
      <c r="B18" s="590">
        <v>6</v>
      </c>
      <c r="C18" s="656" t="s">
        <v>225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225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226</v>
      </c>
      <c r="C23" s="57" t="s">
        <v>227</v>
      </c>
      <c r="D23" s="57"/>
      <c r="F23" s="58"/>
      <c r="H23" s="30"/>
    </row>
    <row r="24" spans="2:19" s="24" customFormat="1" ht="12.5">
      <c r="C24" s="59" t="s">
        <v>228</v>
      </c>
      <c r="D24" s="60"/>
      <c r="F24" s="61"/>
    </row>
    <row r="25" spans="2:19" s="24" customFormat="1" ht="12.5">
      <c r="C25" s="59" t="s">
        <v>229</v>
      </c>
      <c r="D25" s="60"/>
    </row>
    <row r="26" spans="2:19" s="24" customFormat="1" ht="12.5">
      <c r="C26" s="62" t="s">
        <v>230</v>
      </c>
      <c r="D26" s="63"/>
    </row>
    <row r="27" spans="2:19" s="24" customFormat="1" ht="12.5">
      <c r="C27" s="64" t="s">
        <v>231</v>
      </c>
      <c r="D27" s="60"/>
    </row>
    <row r="28" spans="2:19" s="24" customFormat="1" ht="12.5">
      <c r="B28" s="31"/>
      <c r="C28" s="64" t="s">
        <v>232</v>
      </c>
      <c r="D28" s="60"/>
    </row>
    <row r="29" spans="2:19" s="24" customFormat="1" ht="12.5">
      <c r="B29" s="31"/>
      <c r="C29" s="24" t="s">
        <v>233</v>
      </c>
    </row>
    <row r="30" spans="2:19" s="24" customFormat="1" ht="27.75" customHeight="1">
      <c r="B30" s="31"/>
      <c r="C30" s="65" t="s">
        <v>234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235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222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223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236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224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237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203</v>
      </c>
      <c r="G4" s="126"/>
      <c r="H4" s="131" t="s">
        <v>204</v>
      </c>
      <c r="I4" s="126"/>
      <c r="J4" s="132" t="s">
        <v>239</v>
      </c>
      <c r="K4" s="26"/>
      <c r="L4" s="26"/>
    </row>
    <row r="5" spans="1:12" ht="14.5" thickBot="1">
      <c r="A5" s="126"/>
      <c r="B5" s="661" t="s">
        <v>240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241</v>
      </c>
      <c r="G7" s="139"/>
      <c r="H7" s="138" t="s">
        <v>242</v>
      </c>
      <c r="I7" s="139"/>
      <c r="J7" s="138" t="s">
        <v>243</v>
      </c>
      <c r="K7" s="84"/>
      <c r="L7" s="29" t="s">
        <v>244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122" activePane="bottomLeft" state="frozen"/>
      <selection activeCell="X33" sqref="X33"/>
      <selection pane="bottomLeft" activeCell="T141" sqref="T14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9" t="s">
        <v>246</v>
      </c>
      <c r="C2" s="710"/>
      <c r="D2" s="710"/>
      <c r="E2" s="710"/>
      <c r="F2" s="710"/>
      <c r="G2" s="710"/>
      <c r="H2" s="395"/>
      <c r="I2" s="162">
        <f>SUM(I6:I159)</f>
        <v>5125523.6760760862</v>
      </c>
      <c r="J2" s="162">
        <f>SUM(J6:J159)</f>
        <v>5965612.4948904272</v>
      </c>
      <c r="L2" s="711" t="s">
        <v>247</v>
      </c>
      <c r="M2" s="712"/>
      <c r="N2" s="712"/>
      <c r="O2" s="712"/>
      <c r="P2" s="712"/>
      <c r="Q2" s="712"/>
      <c r="R2" s="713" t="s">
        <v>248</v>
      </c>
      <c r="S2" s="714"/>
      <c r="T2" s="714"/>
      <c r="U2" s="714"/>
      <c r="V2" s="714"/>
      <c r="W2" s="715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249</v>
      </c>
      <c r="C4" s="164" t="s">
        <v>250</v>
      </c>
      <c r="D4" s="164" t="s">
        <v>251</v>
      </c>
      <c r="E4" s="164" t="s">
        <v>252</v>
      </c>
      <c r="F4" s="363" t="s">
        <v>253</v>
      </c>
      <c r="G4" s="165" t="s">
        <v>254</v>
      </c>
      <c r="H4" s="273" t="s">
        <v>255</v>
      </c>
      <c r="I4" s="166" t="s">
        <v>256</v>
      </c>
      <c r="J4" s="166" t="str">
        <f>IF(J2-'Revenue Tracking'!D4&gt;=0, "Total Revenue", "ERROR on REV" )</f>
        <v>ERROR on REV</v>
      </c>
      <c r="K4" s="77"/>
      <c r="L4" s="163" t="s">
        <v>249</v>
      </c>
      <c r="M4" s="164" t="s">
        <v>257</v>
      </c>
      <c r="N4" s="164" t="s">
        <v>251</v>
      </c>
      <c r="O4" s="164" t="s">
        <v>252</v>
      </c>
      <c r="P4" s="363" t="s">
        <v>253</v>
      </c>
      <c r="Q4" s="274" t="s">
        <v>258</v>
      </c>
      <c r="R4" s="497" t="s">
        <v>259</v>
      </c>
      <c r="S4" s="498" t="s">
        <v>217</v>
      </c>
      <c r="T4" s="522" t="s">
        <v>218</v>
      </c>
      <c r="U4" s="523" t="s">
        <v>260</v>
      </c>
      <c r="V4" s="274" t="s">
        <v>261</v>
      </c>
      <c r="W4" s="522" t="s">
        <v>262</v>
      </c>
      <c r="X4" s="166" t="s">
        <v>256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263</v>
      </c>
      <c r="D6" s="186" t="s">
        <v>264</v>
      </c>
      <c r="E6" s="187"/>
      <c r="F6" s="336"/>
      <c r="G6" s="292">
        <f>D160</f>
        <v>1856118.1600000001</v>
      </c>
      <c r="H6" s="551">
        <f>'Project Plan'!E38+60</f>
        <v>46178</v>
      </c>
      <c r="I6" s="662">
        <f>SUM(G6:G11)</f>
        <v>1856118.1600000001</v>
      </c>
      <c r="J6" s="665">
        <f>F160</f>
        <v>2183668.4235294121</v>
      </c>
      <c r="K6" s="289"/>
      <c r="L6" s="185">
        <v>1</v>
      </c>
      <c r="M6" s="316" t="s">
        <v>265</v>
      </c>
      <c r="N6" s="186" t="s">
        <v>266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74">
        <f>J6-SUM(U6:U11)</f>
        <v>0</v>
      </c>
      <c r="W6" s="453">
        <f>'Project Plan'!I38+60</f>
        <v>46178</v>
      </c>
      <c r="X6" s="662">
        <f>SUM(Q6:Q11)</f>
        <v>1600840</v>
      </c>
    </row>
    <row r="7" spans="1:76" ht="15" customHeight="1">
      <c r="B7" s="215">
        <v>1</v>
      </c>
      <c r="C7" s="317"/>
      <c r="D7" s="290" t="s">
        <v>267</v>
      </c>
      <c r="E7" s="291"/>
      <c r="F7" s="357"/>
      <c r="G7" s="219"/>
      <c r="H7" s="542"/>
      <c r="I7" s="663"/>
      <c r="J7" s="666"/>
      <c r="K7" s="192"/>
      <c r="L7" s="215">
        <v>1</v>
      </c>
      <c r="M7" s="217" t="s">
        <v>265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5"/>
      <c r="W7" s="454"/>
      <c r="X7" s="663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3"/>
      <c r="J8" s="666"/>
      <c r="K8" s="192"/>
      <c r="L8" s="215">
        <v>1</v>
      </c>
      <c r="M8" s="217" t="s">
        <v>265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5"/>
      <c r="W8" s="454"/>
      <c r="X8" s="663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3"/>
      <c r="J9" s="666"/>
      <c r="K9" s="192"/>
      <c r="L9" s="215">
        <v>1</v>
      </c>
      <c r="M9" s="217" t="s">
        <v>265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5"/>
      <c r="W9" s="455"/>
      <c r="X9" s="66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3"/>
      <c r="J10" s="666"/>
      <c r="K10" s="192"/>
      <c r="L10" s="215">
        <v>1</v>
      </c>
      <c r="M10" s="217" t="s">
        <v>265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5"/>
      <c r="W10" s="455"/>
      <c r="X10" s="66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4"/>
      <c r="J11" s="667"/>
      <c r="K11" s="193"/>
      <c r="L11" s="220">
        <v>1</v>
      </c>
      <c r="M11" s="318" t="s">
        <v>265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6"/>
      <c r="W11" s="456"/>
      <c r="X11" s="664"/>
      <c r="Y11" s="607" t="s">
        <v>268</v>
      </c>
      <c r="Z11" s="487" t="s">
        <v>269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270</v>
      </c>
      <c r="Z12" s="488">
        <f>G52</f>
        <v>639916.75217391306</v>
      </c>
      <c r="AA12" s="527" t="s">
        <v>271</v>
      </c>
    </row>
    <row r="13" spans="1:76" ht="14.25" customHeight="1">
      <c r="B13" s="197">
        <v>2</v>
      </c>
      <c r="C13" s="223" t="s">
        <v>84</v>
      </c>
      <c r="D13" s="223" t="s">
        <v>272</v>
      </c>
      <c r="E13" s="268"/>
      <c r="F13" s="355"/>
      <c r="G13" s="200">
        <f>D161</f>
        <v>490000</v>
      </c>
      <c r="H13" s="555">
        <f>'Project Plan'!E24+60</f>
        <v>46179</v>
      </c>
      <c r="I13" s="691">
        <f>SUM(G13:G19)</f>
        <v>490000</v>
      </c>
      <c r="J13" s="694">
        <f>F161</f>
        <v>576470.5882352941</v>
      </c>
      <c r="K13" s="201"/>
      <c r="L13" s="197">
        <v>2</v>
      </c>
      <c r="M13" s="319" t="s">
        <v>273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6">
        <f>J13-SUM(U13:U19)</f>
        <v>0</v>
      </c>
      <c r="W13" s="458"/>
      <c r="X13" s="691">
        <f>SUM(Q13:Q19)</f>
        <v>476000</v>
      </c>
      <c r="Y13" s="608" t="s">
        <v>274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2"/>
      <c r="J14" s="695"/>
      <c r="K14" s="205"/>
      <c r="L14" s="202">
        <v>2</v>
      </c>
      <c r="M14" s="325" t="s">
        <v>273</v>
      </c>
      <c r="N14" s="309" t="s">
        <v>275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707"/>
      <c r="W14" s="459">
        <f>W6</f>
        <v>46178</v>
      </c>
      <c r="X14" s="692"/>
      <c r="Y14" s="608" t="s">
        <v>276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2"/>
      <c r="J15" s="695"/>
      <c r="K15" s="205"/>
      <c r="L15" s="202">
        <v>2</v>
      </c>
      <c r="M15" s="325" t="s">
        <v>273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7"/>
      <c r="W15" s="459"/>
      <c r="X15" s="692"/>
      <c r="Y15" s="608" t="s">
        <v>277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2"/>
      <c r="J16" s="695"/>
      <c r="K16" s="205"/>
      <c r="L16" s="202">
        <v>2</v>
      </c>
      <c r="M16" s="325" t="s">
        <v>273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7"/>
      <c r="W16" s="459"/>
      <c r="X16" s="692"/>
      <c r="Y16" s="608" t="s">
        <v>278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2"/>
      <c r="J17" s="695"/>
      <c r="K17" s="205"/>
      <c r="L17" s="202">
        <v>2</v>
      </c>
      <c r="M17" s="325" t="s">
        <v>273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7"/>
      <c r="W17" s="459"/>
      <c r="X17" s="692"/>
      <c r="Y17" s="608" t="s">
        <v>279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2"/>
      <c r="J18" s="695"/>
      <c r="K18" s="205"/>
      <c r="L18" s="202">
        <v>2</v>
      </c>
      <c r="M18" s="325" t="s">
        <v>273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7"/>
      <c r="W18" s="459"/>
      <c r="X18" s="692"/>
      <c r="Y18" s="608" t="s">
        <v>280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3"/>
      <c r="J19" s="696"/>
      <c r="K19" s="210"/>
      <c r="L19" s="296">
        <v>2</v>
      </c>
      <c r="M19" s="320" t="s">
        <v>273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8"/>
      <c r="W19" s="460"/>
      <c r="X19" s="693"/>
      <c r="Y19" s="608" t="s">
        <v>281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282</v>
      </c>
      <c r="Z20" s="488">
        <v>0</v>
      </c>
      <c r="AA20" s="527"/>
    </row>
    <row r="21" spans="1:27" ht="14.25" customHeight="1">
      <c r="B21" s="185">
        <v>3</v>
      </c>
      <c r="C21" s="213" t="s">
        <v>283</v>
      </c>
      <c r="D21" s="231" t="s">
        <v>284</v>
      </c>
      <c r="E21" s="187"/>
      <c r="F21" s="336"/>
      <c r="G21" s="188">
        <f>D162</f>
        <v>320128</v>
      </c>
      <c r="H21" s="543">
        <f>'Project Plan'!E32+30</f>
        <v>46148</v>
      </c>
      <c r="I21" s="662">
        <f>SUM(G21:G26)</f>
        <v>320128</v>
      </c>
      <c r="J21" s="665">
        <f>F162</f>
        <v>376621.17647058825</v>
      </c>
      <c r="K21" s="189"/>
      <c r="L21" s="185">
        <v>3</v>
      </c>
      <c r="M21" s="321" t="s">
        <v>285</v>
      </c>
      <c r="N21" s="231" t="s">
        <v>286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74">
        <f>J21-SUM(U21:U26)</f>
        <v>0</v>
      </c>
      <c r="W21" s="461">
        <f>T21+30</f>
        <v>46172</v>
      </c>
      <c r="X21" s="662">
        <f>SUM(Q21:Q26)</f>
        <v>280000</v>
      </c>
      <c r="Y21" s="608" t="s">
        <v>287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3"/>
      <c r="J22" s="666"/>
      <c r="K22" s="192"/>
      <c r="L22" s="215">
        <v>3</v>
      </c>
      <c r="M22" s="322" t="s">
        <v>285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5"/>
      <c r="W22" s="454"/>
      <c r="X22" s="663"/>
      <c r="Y22" s="608" t="s">
        <v>237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3"/>
      <c r="J23" s="666"/>
      <c r="K23" s="192"/>
      <c r="L23" s="215">
        <v>3</v>
      </c>
      <c r="M23" s="322" t="s">
        <v>285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5"/>
      <c r="W23" s="454"/>
      <c r="X23" s="663"/>
      <c r="Y23" s="608" t="s">
        <v>288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3"/>
      <c r="J24" s="666"/>
      <c r="K24" s="192"/>
      <c r="L24" s="215">
        <v>3</v>
      </c>
      <c r="M24" s="322" t="s">
        <v>285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5"/>
      <c r="W24" s="455"/>
      <c r="X24" s="663"/>
      <c r="Y24" s="609" t="s">
        <v>289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3"/>
      <c r="J25" s="666"/>
      <c r="K25" s="192"/>
      <c r="L25" s="215">
        <v>3</v>
      </c>
      <c r="M25" s="322" t="s">
        <v>285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5"/>
      <c r="W25" s="455"/>
      <c r="X25" s="66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4"/>
      <c r="J26" s="667"/>
      <c r="K26" s="193"/>
      <c r="L26" s="220">
        <v>3</v>
      </c>
      <c r="M26" s="323" t="s">
        <v>285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76"/>
      <c r="W26" s="456"/>
      <c r="X26" s="664"/>
      <c r="Y26" s="610" t="s">
        <v>204</v>
      </c>
      <c r="Z26" s="492" t="s">
        <v>290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274</v>
      </c>
      <c r="D28" s="198" t="s">
        <v>291</v>
      </c>
      <c r="E28" s="268">
        <v>18150</v>
      </c>
      <c r="F28" s="355"/>
      <c r="G28" s="200">
        <v>254100</v>
      </c>
      <c r="H28" s="555">
        <f>'Project Plan'!E34+60</f>
        <v>46178</v>
      </c>
      <c r="I28" s="691">
        <f>SUM(G28:G42)</f>
        <v>635424.19999999995</v>
      </c>
      <c r="J28" s="694">
        <f>F163</f>
        <v>747557.88235294109</v>
      </c>
      <c r="K28" s="201"/>
      <c r="L28" s="197">
        <v>4</v>
      </c>
      <c r="M28" s="324" t="s">
        <v>292</v>
      </c>
      <c r="N28" s="198" t="s">
        <v>293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706">
        <f>J28-SUM(U28:U42)</f>
        <v>0</v>
      </c>
      <c r="W28" s="458">
        <f>W6</f>
        <v>46178</v>
      </c>
      <c r="X28" s="691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294</v>
      </c>
      <c r="E29" s="295"/>
      <c r="F29" s="351"/>
      <c r="G29" s="517">
        <f>D163-G28</f>
        <v>381324.19999999995</v>
      </c>
      <c r="H29" s="546">
        <f>'Project Plan'!G30</f>
        <v>46175</v>
      </c>
      <c r="I29" s="692"/>
      <c r="J29" s="695"/>
      <c r="K29" s="205"/>
      <c r="L29" s="202">
        <v>4</v>
      </c>
      <c r="M29" s="325" t="s">
        <v>292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7"/>
      <c r="W29" s="459"/>
      <c r="X29" s="692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2"/>
      <c r="J30" s="695"/>
      <c r="K30" s="205"/>
      <c r="L30" s="202">
        <v>4</v>
      </c>
      <c r="M30" s="325" t="s">
        <v>292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7"/>
      <c r="W30" s="459"/>
      <c r="X30" s="692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2"/>
      <c r="J31" s="695"/>
      <c r="K31" s="205"/>
      <c r="L31" s="202">
        <v>4</v>
      </c>
      <c r="M31" s="325" t="s">
        <v>292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7"/>
      <c r="W31" s="459"/>
      <c r="X31" s="692"/>
      <c r="Y31" s="611" t="s">
        <v>295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2"/>
      <c r="J32" s="695"/>
      <c r="K32" s="205"/>
      <c r="L32" s="202">
        <v>4</v>
      </c>
      <c r="M32" s="325" t="s">
        <v>292</v>
      </c>
      <c r="N32" s="309" t="s">
        <v>296</v>
      </c>
      <c r="O32" s="447">
        <f>Z28</f>
        <v>324125.56999999995</v>
      </c>
      <c r="P32" s="448">
        <v>0.1</v>
      </c>
      <c r="Q32" s="204">
        <f>$O$32*P32</f>
        <v>32412.556999999997</v>
      </c>
      <c r="R32" s="688"/>
      <c r="S32" s="506"/>
      <c r="T32" s="416">
        <f>T90</f>
        <v>46112</v>
      </c>
      <c r="U32" s="401">
        <f t="shared" si="4"/>
        <v>40107.990252033189</v>
      </c>
      <c r="V32" s="707"/>
      <c r="W32" s="459">
        <f>W90</f>
        <v>46111</v>
      </c>
      <c r="X32" s="692"/>
      <c r="Y32" s="611" t="s">
        <v>297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2"/>
      <c r="J33" s="695"/>
      <c r="K33" s="205"/>
      <c r="L33" s="202">
        <v>4</v>
      </c>
      <c r="M33" s="325" t="s">
        <v>292</v>
      </c>
      <c r="N33" s="309" t="s">
        <v>151</v>
      </c>
      <c r="O33" s="438"/>
      <c r="P33" s="448">
        <v>0.15</v>
      </c>
      <c r="Q33" s="204">
        <f t="shared" ref="Q33:Q39" si="7">$O$32*P33</f>
        <v>48618.835499999994</v>
      </c>
      <c r="R33" s="689"/>
      <c r="S33" s="506"/>
      <c r="T33" s="416">
        <f t="shared" ref="T33:T39" si="8">T91</f>
        <v>46142</v>
      </c>
      <c r="U33" s="401">
        <f t="shared" si="4"/>
        <v>60161.985378049772</v>
      </c>
      <c r="V33" s="707"/>
      <c r="W33" s="459">
        <f t="shared" ref="W33:W39" si="9">W91</f>
        <v>46118</v>
      </c>
      <c r="X33" s="692"/>
      <c r="Y33" s="611" t="s">
        <v>298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2"/>
      <c r="J34" s="695"/>
      <c r="K34" s="205"/>
      <c r="L34" s="202">
        <v>4</v>
      </c>
      <c r="M34" s="325" t="s">
        <v>292</v>
      </c>
      <c r="N34" s="309" t="s">
        <v>299</v>
      </c>
      <c r="O34" s="438"/>
      <c r="P34" s="448">
        <v>0.2</v>
      </c>
      <c r="Q34" s="204">
        <f t="shared" si="7"/>
        <v>64825.113999999994</v>
      </c>
      <c r="R34" s="689"/>
      <c r="S34" s="506"/>
      <c r="T34" s="416">
        <f t="shared" si="8"/>
        <v>46173</v>
      </c>
      <c r="U34" s="401">
        <f t="shared" si="4"/>
        <v>80215.980504066378</v>
      </c>
      <c r="V34" s="707"/>
      <c r="W34" s="459">
        <f t="shared" si="9"/>
        <v>46148</v>
      </c>
      <c r="X34" s="692"/>
      <c r="Y34" s="611" t="s">
        <v>300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2"/>
      <c r="J35" s="695"/>
      <c r="K35" s="205"/>
      <c r="L35" s="202">
        <v>4</v>
      </c>
      <c r="M35" s="325" t="s">
        <v>292</v>
      </c>
      <c r="N35" s="309" t="s">
        <v>301</v>
      </c>
      <c r="O35" s="438"/>
      <c r="P35" s="448">
        <v>0.25</v>
      </c>
      <c r="Q35" s="204">
        <f t="shared" si="7"/>
        <v>81031.392499999987</v>
      </c>
      <c r="R35" s="689"/>
      <c r="S35" s="506"/>
      <c r="T35" s="416">
        <f t="shared" si="8"/>
        <v>46203</v>
      </c>
      <c r="U35" s="401">
        <f t="shared" si="4"/>
        <v>100269.97563008295</v>
      </c>
      <c r="V35" s="707"/>
      <c r="W35" s="459">
        <f t="shared" si="9"/>
        <v>46182</v>
      </c>
      <c r="X35" s="692"/>
      <c r="Y35" s="611" t="s">
        <v>282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2"/>
      <c r="J36" s="695"/>
      <c r="K36" s="205"/>
      <c r="L36" s="202">
        <v>4</v>
      </c>
      <c r="M36" s="325" t="s">
        <v>292</v>
      </c>
      <c r="N36" s="309" t="s">
        <v>302</v>
      </c>
      <c r="O36" s="438"/>
      <c r="P36" s="448">
        <v>0.1</v>
      </c>
      <c r="Q36" s="204">
        <f t="shared" si="7"/>
        <v>32412.556999999997</v>
      </c>
      <c r="R36" s="689"/>
      <c r="S36" s="506"/>
      <c r="T36" s="416">
        <f t="shared" si="8"/>
        <v>46203</v>
      </c>
      <c r="U36" s="401">
        <f t="shared" si="4"/>
        <v>40107.990252033189</v>
      </c>
      <c r="V36" s="707"/>
      <c r="W36" s="459">
        <f t="shared" si="9"/>
        <v>46197</v>
      </c>
      <c r="X36" s="692"/>
      <c r="Y36" s="611" t="s">
        <v>287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2"/>
      <c r="J37" s="695"/>
      <c r="K37" s="205"/>
      <c r="L37" s="202">
        <v>4</v>
      </c>
      <c r="M37" s="325" t="s">
        <v>292</v>
      </c>
      <c r="N37" s="309" t="s">
        <v>303</v>
      </c>
      <c r="O37" s="438"/>
      <c r="P37" s="448">
        <v>0.1</v>
      </c>
      <c r="Q37" s="204">
        <f t="shared" si="7"/>
        <v>32412.556999999997</v>
      </c>
      <c r="R37" s="689"/>
      <c r="S37" s="506"/>
      <c r="T37" s="416">
        <f t="shared" si="8"/>
        <v>46203</v>
      </c>
      <c r="U37" s="401">
        <f t="shared" si="4"/>
        <v>40107.990252033189</v>
      </c>
      <c r="V37" s="707"/>
      <c r="W37" s="459">
        <f t="shared" si="9"/>
        <v>46198</v>
      </c>
      <c r="X37" s="692"/>
      <c r="Y37" s="611" t="s">
        <v>287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2"/>
      <c r="J38" s="695"/>
      <c r="K38" s="205"/>
      <c r="L38" s="202">
        <v>4</v>
      </c>
      <c r="M38" s="325" t="s">
        <v>292</v>
      </c>
      <c r="N38" s="309" t="s">
        <v>304</v>
      </c>
      <c r="O38" s="438"/>
      <c r="P38" s="448">
        <v>0.05</v>
      </c>
      <c r="Q38" s="204">
        <f t="shared" si="7"/>
        <v>16206.278499999999</v>
      </c>
      <c r="R38" s="689"/>
      <c r="S38" s="506"/>
      <c r="T38" s="416">
        <f t="shared" si="8"/>
        <v>46203</v>
      </c>
      <c r="U38" s="401">
        <f t="shared" si="4"/>
        <v>20053.995126016594</v>
      </c>
      <c r="V38" s="707"/>
      <c r="W38" s="459">
        <f t="shared" si="9"/>
        <v>46198</v>
      </c>
      <c r="X38" s="692"/>
      <c r="Y38" s="611" t="s">
        <v>237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2"/>
      <c r="J39" s="695"/>
      <c r="K39" s="205"/>
      <c r="L39" s="202">
        <v>4</v>
      </c>
      <c r="M39" s="325" t="s">
        <v>292</v>
      </c>
      <c r="N39" s="309" t="s">
        <v>305</v>
      </c>
      <c r="O39" s="438"/>
      <c r="P39" s="448">
        <v>0.05</v>
      </c>
      <c r="Q39" s="204">
        <f t="shared" si="7"/>
        <v>16206.278499999999</v>
      </c>
      <c r="R39" s="690"/>
      <c r="S39" s="506"/>
      <c r="T39" s="416">
        <f t="shared" si="8"/>
        <v>46234</v>
      </c>
      <c r="U39" s="401">
        <f t="shared" si="4"/>
        <v>20053.995126016594</v>
      </c>
      <c r="V39" s="707"/>
      <c r="W39" s="459">
        <f t="shared" si="9"/>
        <v>46221</v>
      </c>
      <c r="X39" s="692"/>
      <c r="Y39" s="612" t="s">
        <v>289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2"/>
      <c r="J40" s="695"/>
      <c r="K40" s="205"/>
      <c r="L40" s="202">
        <v>4</v>
      </c>
      <c r="M40" s="325" t="s">
        <v>292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7"/>
      <c r="W40" s="459"/>
      <c r="X40" s="692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2"/>
      <c r="J41" s="695"/>
      <c r="K41" s="205"/>
      <c r="L41" s="202">
        <v>4</v>
      </c>
      <c r="M41" s="325" t="s">
        <v>292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7"/>
      <c r="W41" s="459"/>
      <c r="X41" s="692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3"/>
      <c r="J42" s="696"/>
      <c r="K42" s="210"/>
      <c r="L42" s="206">
        <v>4</v>
      </c>
      <c r="M42" s="326" t="s">
        <v>292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8"/>
      <c r="W42" s="460"/>
      <c r="X42" s="693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306</v>
      </c>
      <c r="D44" s="231" t="s">
        <v>307</v>
      </c>
      <c r="E44" s="187"/>
      <c r="F44" s="336"/>
      <c r="G44" s="188">
        <v>26000</v>
      </c>
      <c r="H44" s="543">
        <f>H52</f>
        <v>46124</v>
      </c>
      <c r="I44" s="662">
        <f>D165</f>
        <v>174000</v>
      </c>
      <c r="J44" s="665">
        <f>F165</f>
        <v>204705.88235294117</v>
      </c>
      <c r="K44" s="189"/>
      <c r="L44" s="185">
        <v>5</v>
      </c>
      <c r="M44" s="321" t="s">
        <v>308</v>
      </c>
      <c r="N44" s="231" t="s">
        <v>307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74">
        <f>J44-SUM(U44:U50)</f>
        <v>0</v>
      </c>
      <c r="W44" s="461">
        <f>W14</f>
        <v>46178</v>
      </c>
      <c r="X44" s="662">
        <f>SUM(Q44:Q50)</f>
        <v>49500</v>
      </c>
    </row>
    <row r="45" spans="1:26" ht="14.25" customHeight="1">
      <c r="B45" s="190">
        <v>5</v>
      </c>
      <c r="C45" s="214"/>
      <c r="D45" s="217" t="s">
        <v>309</v>
      </c>
      <c r="E45" s="349"/>
      <c r="F45" s="350"/>
      <c r="G45" s="219">
        <v>8000</v>
      </c>
      <c r="H45" s="542">
        <f>H44</f>
        <v>46124</v>
      </c>
      <c r="I45" s="663"/>
      <c r="J45" s="666"/>
      <c r="K45" s="192"/>
      <c r="L45" s="190">
        <v>5</v>
      </c>
      <c r="M45" s="327" t="s">
        <v>308</v>
      </c>
      <c r="N45" s="191" t="s">
        <v>309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75"/>
      <c r="W45" s="454">
        <f>T45+30</f>
        <v>46172</v>
      </c>
      <c r="X45" s="663"/>
    </row>
    <row r="46" spans="1:26" ht="14.25" customHeight="1">
      <c r="B46" s="190">
        <v>5</v>
      </c>
      <c r="C46" s="214"/>
      <c r="D46" s="288" t="s">
        <v>310</v>
      </c>
      <c r="E46" s="218"/>
      <c r="F46" s="357"/>
      <c r="G46" s="219">
        <v>15000</v>
      </c>
      <c r="H46" s="542">
        <f>H45</f>
        <v>46124</v>
      </c>
      <c r="I46" s="663"/>
      <c r="J46" s="666"/>
      <c r="K46" s="192"/>
      <c r="L46" s="190">
        <v>5</v>
      </c>
      <c r="M46" s="327" t="s">
        <v>308</v>
      </c>
      <c r="N46" s="217" t="s">
        <v>310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75"/>
      <c r="W46" s="454">
        <f>W45</f>
        <v>46172</v>
      </c>
      <c r="X46" s="663"/>
    </row>
    <row r="47" spans="1:26" ht="14.25" customHeight="1">
      <c r="B47" s="215">
        <v>5</v>
      </c>
      <c r="C47" s="216"/>
      <c r="D47" s="217" t="s">
        <v>311</v>
      </c>
      <c r="E47" s="218"/>
      <c r="F47" s="357"/>
      <c r="G47" s="219">
        <v>125000</v>
      </c>
      <c r="H47" s="542">
        <f>H46</f>
        <v>46124</v>
      </c>
      <c r="I47" s="663"/>
      <c r="J47" s="666"/>
      <c r="K47" s="192"/>
      <c r="L47" s="215">
        <v>5</v>
      </c>
      <c r="M47" s="327" t="s">
        <v>308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75"/>
      <c r="W47" s="454"/>
      <c r="X47" s="663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3"/>
      <c r="J48" s="666"/>
      <c r="K48" s="192"/>
      <c r="L48" s="215">
        <v>5</v>
      </c>
      <c r="M48" s="327" t="s">
        <v>308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5"/>
      <c r="W48" s="455"/>
      <c r="X48" s="66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3"/>
      <c r="J49" s="666"/>
      <c r="K49" s="192"/>
      <c r="L49" s="215">
        <v>5</v>
      </c>
      <c r="M49" s="327" t="s">
        <v>308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5"/>
      <c r="W49" s="455"/>
      <c r="X49" s="66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4"/>
      <c r="J50" s="667"/>
      <c r="K50" s="193"/>
      <c r="L50" s="220">
        <v>5</v>
      </c>
      <c r="M50" s="323" t="s">
        <v>308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76"/>
      <c r="W50" s="456"/>
      <c r="X50" s="664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270</v>
      </c>
      <c r="D52" s="199" t="s">
        <v>312</v>
      </c>
      <c r="E52" s="373"/>
      <c r="F52" s="355"/>
      <c r="G52" s="200">
        <f>D164</f>
        <v>639916.75217391306</v>
      </c>
      <c r="H52" s="555">
        <f>'Project Plan'!G26+30</f>
        <v>46124</v>
      </c>
      <c r="I52" s="691">
        <f>SUM(G52:G68)</f>
        <v>639916.75217391306</v>
      </c>
      <c r="J52" s="694">
        <f>F164</f>
        <v>752843.23785166244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06">
        <f>J52-SUM(U52:U68)</f>
        <v>0</v>
      </c>
      <c r="W52" s="458"/>
      <c r="X52" s="691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92"/>
      <c r="J53" s="695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707"/>
      <c r="W53" s="459">
        <f>T53+30</f>
        <v>46142</v>
      </c>
      <c r="X53" s="692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2"/>
      <c r="J54" s="695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07"/>
      <c r="W54" s="459"/>
      <c r="X54" s="692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2"/>
      <c r="J55" s="695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07"/>
      <c r="W55" s="459"/>
      <c r="X55" s="692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2"/>
      <c r="J56" s="695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07"/>
      <c r="W56" s="459"/>
      <c r="X56" s="692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2"/>
      <c r="J57" s="695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07"/>
      <c r="W57" s="459"/>
      <c r="X57" s="692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92"/>
      <c r="J58" s="695"/>
      <c r="K58" s="205"/>
      <c r="L58" s="202">
        <v>6</v>
      </c>
      <c r="M58" s="328" t="s">
        <v>313</v>
      </c>
      <c r="N58" s="309" t="s">
        <v>296</v>
      </c>
      <c r="O58" s="447">
        <f>0.25*800*1000</f>
        <v>200000</v>
      </c>
      <c r="P58" s="448">
        <v>0.1</v>
      </c>
      <c r="Q58" s="204">
        <f>$O$58*P58</f>
        <v>20000</v>
      </c>
      <c r="R58" s="688"/>
      <c r="S58" s="506"/>
      <c r="T58" s="419">
        <f>T90</f>
        <v>46112</v>
      </c>
      <c r="U58" s="401">
        <f t="shared" si="11"/>
        <v>33234.836250760825</v>
      </c>
      <c r="V58" s="707"/>
      <c r="W58" s="459">
        <f>W90</f>
        <v>46111</v>
      </c>
      <c r="X58" s="692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92"/>
      <c r="J59" s="695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30000</v>
      </c>
      <c r="R59" s="689"/>
      <c r="S59" s="506"/>
      <c r="T59" s="419">
        <f t="shared" si="1"/>
        <v>46142</v>
      </c>
      <c r="U59" s="401">
        <f t="shared" si="11"/>
        <v>49852.254376141238</v>
      </c>
      <c r="V59" s="707"/>
      <c r="W59" s="459">
        <f t="shared" ref="W59:W65" si="13">W91</f>
        <v>46118</v>
      </c>
      <c r="X59" s="692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2"/>
      <c r="J60" s="695"/>
      <c r="K60" s="205"/>
      <c r="L60" s="202">
        <v>6</v>
      </c>
      <c r="M60" s="329" t="s">
        <v>313</v>
      </c>
      <c r="N60" s="309" t="s">
        <v>299</v>
      </c>
      <c r="O60" s="438"/>
      <c r="P60" s="448">
        <v>0.2</v>
      </c>
      <c r="Q60" s="204">
        <f t="shared" si="12"/>
        <v>40000</v>
      </c>
      <c r="R60" s="689"/>
      <c r="S60" s="506"/>
      <c r="T60" s="419">
        <f t="shared" si="1"/>
        <v>46173</v>
      </c>
      <c r="U60" s="401">
        <f t="shared" si="11"/>
        <v>66469.672501521651</v>
      </c>
      <c r="V60" s="707"/>
      <c r="W60" s="459">
        <f t="shared" si="13"/>
        <v>46148</v>
      </c>
      <c r="X60" s="692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2"/>
      <c r="J61" s="695"/>
      <c r="K61" s="205"/>
      <c r="L61" s="202">
        <v>6</v>
      </c>
      <c r="M61" s="329" t="s">
        <v>313</v>
      </c>
      <c r="N61" s="309" t="s">
        <v>301</v>
      </c>
      <c r="O61" s="438"/>
      <c r="P61" s="448">
        <v>0.25</v>
      </c>
      <c r="Q61" s="204">
        <f t="shared" si="12"/>
        <v>50000</v>
      </c>
      <c r="R61" s="689"/>
      <c r="S61" s="506"/>
      <c r="T61" s="419">
        <f t="shared" si="1"/>
        <v>46203</v>
      </c>
      <c r="U61" s="401">
        <f t="shared" si="11"/>
        <v>83087.090626902049</v>
      </c>
      <c r="V61" s="707"/>
      <c r="W61" s="459">
        <f t="shared" si="13"/>
        <v>46182</v>
      </c>
      <c r="X61" s="692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2"/>
      <c r="J62" s="695"/>
      <c r="K62" s="205"/>
      <c r="L62" s="202">
        <v>6</v>
      </c>
      <c r="M62" s="329" t="s">
        <v>313</v>
      </c>
      <c r="N62" s="309" t="s">
        <v>302</v>
      </c>
      <c r="O62" s="438"/>
      <c r="P62" s="448">
        <v>0.1</v>
      </c>
      <c r="Q62" s="204">
        <f t="shared" si="12"/>
        <v>20000</v>
      </c>
      <c r="R62" s="689"/>
      <c r="S62" s="506"/>
      <c r="T62" s="419">
        <f t="shared" si="1"/>
        <v>46203</v>
      </c>
      <c r="U62" s="401">
        <f t="shared" si="11"/>
        <v>33234.836250760825</v>
      </c>
      <c r="V62" s="707"/>
      <c r="W62" s="459">
        <f t="shared" si="13"/>
        <v>46197</v>
      </c>
      <c r="X62" s="692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92"/>
      <c r="J63" s="695"/>
      <c r="K63" s="205"/>
      <c r="L63" s="202">
        <v>6</v>
      </c>
      <c r="M63" s="329" t="s">
        <v>313</v>
      </c>
      <c r="N63" s="309" t="s">
        <v>303</v>
      </c>
      <c r="O63" s="438"/>
      <c r="P63" s="448">
        <v>0.1</v>
      </c>
      <c r="Q63" s="204">
        <f t="shared" si="12"/>
        <v>20000</v>
      </c>
      <c r="R63" s="689"/>
      <c r="S63" s="510"/>
      <c r="T63" s="419">
        <f t="shared" si="1"/>
        <v>46203</v>
      </c>
      <c r="U63" s="406">
        <f t="shared" si="11"/>
        <v>33234.836250760825</v>
      </c>
      <c r="V63" s="707"/>
      <c r="W63" s="459">
        <f t="shared" si="13"/>
        <v>46198</v>
      </c>
      <c r="X63" s="692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2"/>
      <c r="J64" s="695"/>
      <c r="K64" s="205"/>
      <c r="L64" s="202">
        <v>6</v>
      </c>
      <c r="M64" s="329" t="s">
        <v>313</v>
      </c>
      <c r="N64" s="309" t="s">
        <v>304</v>
      </c>
      <c r="O64" s="438"/>
      <c r="P64" s="448">
        <v>0.05</v>
      </c>
      <c r="Q64" s="204">
        <f t="shared" si="12"/>
        <v>10000</v>
      </c>
      <c r="R64" s="689"/>
      <c r="S64" s="510"/>
      <c r="T64" s="419">
        <f t="shared" si="1"/>
        <v>46203</v>
      </c>
      <c r="U64" s="406">
        <f t="shared" si="11"/>
        <v>16617.418125380413</v>
      </c>
      <c r="V64" s="707"/>
      <c r="W64" s="459">
        <f t="shared" si="13"/>
        <v>46198</v>
      </c>
      <c r="X64" s="692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2"/>
      <c r="J65" s="695"/>
      <c r="K65" s="205"/>
      <c r="L65" s="202">
        <v>6</v>
      </c>
      <c r="M65" s="329" t="s">
        <v>313</v>
      </c>
      <c r="N65" s="309" t="s">
        <v>305</v>
      </c>
      <c r="O65" s="438"/>
      <c r="P65" s="448">
        <v>0.05</v>
      </c>
      <c r="Q65" s="204">
        <f t="shared" si="12"/>
        <v>10000</v>
      </c>
      <c r="R65" s="690"/>
      <c r="S65" s="510"/>
      <c r="T65" s="419">
        <f t="shared" si="1"/>
        <v>46234</v>
      </c>
      <c r="U65" s="406">
        <f t="shared" si="11"/>
        <v>16617.418125380413</v>
      </c>
      <c r="V65" s="707"/>
      <c r="W65" s="459">
        <f t="shared" si="13"/>
        <v>46221</v>
      </c>
      <c r="X65" s="692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2"/>
      <c r="J66" s="695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07"/>
      <c r="W66" s="462"/>
      <c r="X66" s="69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2"/>
      <c r="J67" s="695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07"/>
      <c r="W67" s="462"/>
      <c r="X67" s="692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93"/>
      <c r="J68" s="696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8"/>
      <c r="W68" s="460"/>
      <c r="X68" s="693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314</v>
      </c>
      <c r="D70" s="282"/>
      <c r="E70" s="360"/>
      <c r="F70" s="366"/>
      <c r="G70" s="283"/>
      <c r="H70" s="559"/>
      <c r="I70" s="662">
        <f>SUM(G70:G77)</f>
        <v>0</v>
      </c>
      <c r="J70" s="665">
        <v>0</v>
      </c>
      <c r="K70" s="189"/>
      <c r="L70" s="281">
        <v>7</v>
      </c>
      <c r="M70" s="213" t="s">
        <v>315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3">
        <f>J70-SUM(U70:U77)</f>
        <v>0</v>
      </c>
      <c r="W70" s="464"/>
      <c r="X70" s="662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3"/>
      <c r="J71" s="666"/>
      <c r="K71" s="192"/>
      <c r="L71" s="284">
        <v>7</v>
      </c>
      <c r="M71" s="285" t="s">
        <v>315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4"/>
      <c r="W71" s="455"/>
      <c r="X71" s="663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3"/>
      <c r="J72" s="666"/>
      <c r="K72" s="192"/>
      <c r="L72" s="284">
        <v>7</v>
      </c>
      <c r="M72" s="285" t="s">
        <v>315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4"/>
      <c r="W72" s="455"/>
      <c r="X72" s="663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3"/>
      <c r="J73" s="666"/>
      <c r="K73" s="192"/>
      <c r="L73" s="284">
        <v>7</v>
      </c>
      <c r="M73" s="285" t="s">
        <v>315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4"/>
      <c r="W73" s="455"/>
      <c r="X73" s="663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3"/>
      <c r="J74" s="666"/>
      <c r="K74" s="192"/>
      <c r="L74" s="284">
        <v>7</v>
      </c>
      <c r="M74" s="285" t="s">
        <v>315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4"/>
      <c r="W74" s="455"/>
      <c r="X74" s="663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3"/>
      <c r="J75" s="666"/>
      <c r="K75" s="192"/>
      <c r="L75" s="284">
        <v>7</v>
      </c>
      <c r="M75" s="285" t="s">
        <v>315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4"/>
      <c r="W75" s="455"/>
      <c r="X75" s="66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3"/>
      <c r="J76" s="666"/>
      <c r="K76" s="192"/>
      <c r="L76" s="284">
        <v>7</v>
      </c>
      <c r="M76" s="285" t="s">
        <v>315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4"/>
      <c r="W76" s="455"/>
      <c r="X76" s="66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4"/>
      <c r="J77" s="667"/>
      <c r="K77" s="193"/>
      <c r="L77" s="220">
        <v>7</v>
      </c>
      <c r="M77" s="241" t="s">
        <v>315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5"/>
      <c r="W77" s="456"/>
      <c r="X77" s="664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316</v>
      </c>
      <c r="D79" s="237"/>
      <c r="E79" s="361"/>
      <c r="F79" s="315"/>
      <c r="G79" s="238"/>
      <c r="H79" s="555"/>
      <c r="I79" s="691">
        <f>SUM(G79:G87)</f>
        <v>0</v>
      </c>
      <c r="J79" s="694">
        <f>F168+F169+F166</f>
        <v>0</v>
      </c>
      <c r="K79" s="201"/>
      <c r="L79" s="236">
        <v>8</v>
      </c>
      <c r="M79" s="324" t="s">
        <v>317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0">
        <f>J79-SUM(U79:U87)</f>
        <v>0</v>
      </c>
      <c r="W79" s="458"/>
      <c r="X79" s="691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92"/>
      <c r="J80" s="695"/>
      <c r="K80" s="205"/>
      <c r="L80" s="226">
        <v>8</v>
      </c>
      <c r="M80" s="332" t="s">
        <v>317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1"/>
      <c r="W80" s="458"/>
      <c r="X80" s="692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2"/>
      <c r="J81" s="695"/>
      <c r="K81" s="205"/>
      <c r="L81" s="226">
        <v>8</v>
      </c>
      <c r="M81" s="332" t="s">
        <v>317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1"/>
      <c r="W81" s="458"/>
      <c r="X81" s="692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2"/>
      <c r="J82" s="695"/>
      <c r="K82" s="205"/>
      <c r="L82" s="226">
        <v>8</v>
      </c>
      <c r="M82" s="332" t="s">
        <v>317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1"/>
      <c r="W82" s="458"/>
      <c r="X82" s="692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2"/>
      <c r="J83" s="695"/>
      <c r="K83" s="205"/>
      <c r="L83" s="226">
        <v>8</v>
      </c>
      <c r="M83" s="332" t="s">
        <v>317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1"/>
      <c r="W83" s="459"/>
      <c r="X83" s="692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2"/>
      <c r="J84" s="695"/>
      <c r="K84" s="205"/>
      <c r="L84" s="226">
        <v>8</v>
      </c>
      <c r="M84" s="332" t="s">
        <v>317</v>
      </c>
      <c r="N84" s="239"/>
      <c r="O84" s="441"/>
      <c r="P84" s="534"/>
      <c r="Q84" s="228"/>
      <c r="R84" s="475"/>
      <c r="S84" s="506"/>
      <c r="T84" s="416"/>
      <c r="U84" s="401"/>
      <c r="V84" s="701"/>
      <c r="W84" s="459"/>
      <c r="X84" s="692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2"/>
      <c r="J85" s="695"/>
      <c r="K85" s="205"/>
      <c r="L85" s="226">
        <v>8</v>
      </c>
      <c r="M85" s="332" t="s">
        <v>317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1"/>
      <c r="W85" s="459"/>
      <c r="X85" s="692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92"/>
      <c r="J86" s="695"/>
      <c r="K86" s="205"/>
      <c r="L86" s="226">
        <v>8</v>
      </c>
      <c r="M86" s="332" t="s">
        <v>317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1"/>
      <c r="W86" s="462"/>
      <c r="X86" s="692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93"/>
      <c r="J87" s="696"/>
      <c r="K87" s="210"/>
      <c r="L87" s="206">
        <v>8</v>
      </c>
      <c r="M87" s="331" t="s">
        <v>317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2"/>
      <c r="W87" s="460"/>
      <c r="X87" s="693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319</v>
      </c>
      <c r="D89" s="231" t="s">
        <v>320</v>
      </c>
      <c r="E89" s="218"/>
      <c r="F89" s="336"/>
      <c r="G89" s="496">
        <f>D173</f>
        <v>200080</v>
      </c>
      <c r="H89" s="543">
        <f>'Project Plan'!G23+7</f>
        <v>46148</v>
      </c>
      <c r="I89" s="697">
        <f>SUM(G89:G100)</f>
        <v>636320</v>
      </c>
      <c r="J89" s="665">
        <f>F173+F174</f>
        <v>707022.22222222225</v>
      </c>
      <c r="K89" s="192"/>
      <c r="L89" s="215">
        <v>9</v>
      </c>
      <c r="M89" s="322" t="s">
        <v>321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74">
        <f>J89-SUM(U89:U100)</f>
        <v>0</v>
      </c>
      <c r="W89" s="461"/>
      <c r="X89" s="662">
        <f>SUM(Q89:Q100)</f>
        <v>540872</v>
      </c>
    </row>
    <row r="90" spans="1:24" ht="15" customHeight="1">
      <c r="B90" s="215">
        <v>9</v>
      </c>
      <c r="C90" s="341"/>
      <c r="D90" s="232" t="s">
        <v>322</v>
      </c>
      <c r="E90" s="218"/>
      <c r="F90" s="357"/>
      <c r="G90" s="496">
        <f>D174</f>
        <v>436240</v>
      </c>
      <c r="H90" s="542">
        <f>'Project Plan'!G30+7</f>
        <v>46182</v>
      </c>
      <c r="I90" s="698"/>
      <c r="J90" s="666"/>
      <c r="K90" s="192"/>
      <c r="L90" s="215">
        <v>9</v>
      </c>
      <c r="M90" s="322" t="s">
        <v>321</v>
      </c>
      <c r="N90" s="232" t="s">
        <v>296</v>
      </c>
      <c r="O90" s="450">
        <f>Z30+Z29</f>
        <v>540872</v>
      </c>
      <c r="P90" s="451">
        <v>0.1</v>
      </c>
      <c r="Q90" s="219">
        <f>$O$90*P90</f>
        <v>54087.200000000004</v>
      </c>
      <c r="R90" s="683"/>
      <c r="S90" s="501"/>
      <c r="T90" s="412">
        <f t="shared" si="14"/>
        <v>46112</v>
      </c>
      <c r="U90" s="397">
        <f t="shared" si="15"/>
        <v>70702.222222222234</v>
      </c>
      <c r="V90" s="675"/>
      <c r="W90" s="454">
        <f>'Project Plan'!I21-7</f>
        <v>46111</v>
      </c>
      <c r="X90" s="663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8"/>
      <c r="J91" s="666"/>
      <c r="K91" s="192"/>
      <c r="L91" s="284">
        <v>9</v>
      </c>
      <c r="M91" s="394" t="s">
        <v>321</v>
      </c>
      <c r="N91" s="286" t="s">
        <v>151</v>
      </c>
      <c r="O91" s="434"/>
      <c r="P91" s="449">
        <v>0.15</v>
      </c>
      <c r="Q91" s="219">
        <f t="shared" ref="Q91:Q97" si="16">$O$90*P91</f>
        <v>81130.8</v>
      </c>
      <c r="R91" s="684"/>
      <c r="S91" s="502"/>
      <c r="T91" s="412">
        <f t="shared" si="14"/>
        <v>46142</v>
      </c>
      <c r="U91" s="397">
        <f t="shared" si="15"/>
        <v>106053.33333333333</v>
      </c>
      <c r="V91" s="675"/>
      <c r="W91" s="455">
        <f>'Project Plan'!I21</f>
        <v>46118</v>
      </c>
      <c r="X91" s="663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8"/>
      <c r="J92" s="666"/>
      <c r="K92" s="192"/>
      <c r="L92" s="284">
        <v>9</v>
      </c>
      <c r="M92" s="394" t="s">
        <v>321</v>
      </c>
      <c r="N92" s="286" t="s">
        <v>299</v>
      </c>
      <c r="O92" s="434"/>
      <c r="P92" s="449">
        <v>0.2</v>
      </c>
      <c r="Q92" s="219">
        <f t="shared" si="16"/>
        <v>108174.40000000001</v>
      </c>
      <c r="R92" s="684"/>
      <c r="S92" s="502"/>
      <c r="T92" s="412">
        <f t="shared" si="14"/>
        <v>46173</v>
      </c>
      <c r="U92" s="397">
        <f t="shared" si="15"/>
        <v>141404.44444444447</v>
      </c>
      <c r="V92" s="675"/>
      <c r="W92" s="455">
        <f>'Project Plan'!K23+7</f>
        <v>46148</v>
      </c>
      <c r="X92" s="663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8"/>
      <c r="J93" s="666"/>
      <c r="K93" s="192"/>
      <c r="L93" s="284">
        <v>9</v>
      </c>
      <c r="M93" s="394" t="s">
        <v>321</v>
      </c>
      <c r="N93" s="286" t="s">
        <v>301</v>
      </c>
      <c r="O93" s="434"/>
      <c r="P93" s="449">
        <v>0.25</v>
      </c>
      <c r="Q93" s="219">
        <f t="shared" si="16"/>
        <v>135218</v>
      </c>
      <c r="R93" s="684"/>
      <c r="S93" s="502"/>
      <c r="T93" s="412">
        <f t="shared" si="14"/>
        <v>46203</v>
      </c>
      <c r="U93" s="397">
        <f t="shared" si="15"/>
        <v>176755.55555555556</v>
      </c>
      <c r="V93" s="675"/>
      <c r="W93" s="455">
        <f>'Project Plan'!K30+7</f>
        <v>46182</v>
      </c>
      <c r="X93" s="663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8"/>
      <c r="J94" s="666"/>
      <c r="K94" s="192"/>
      <c r="L94" s="284">
        <v>9</v>
      </c>
      <c r="M94" s="394" t="s">
        <v>321</v>
      </c>
      <c r="N94" s="286" t="s">
        <v>302</v>
      </c>
      <c r="O94" s="434"/>
      <c r="P94" s="449">
        <v>0.1</v>
      </c>
      <c r="Q94" s="219">
        <f t="shared" si="16"/>
        <v>54087.200000000004</v>
      </c>
      <c r="R94" s="684"/>
      <c r="S94" s="502"/>
      <c r="T94" s="412">
        <f t="shared" si="14"/>
        <v>46203</v>
      </c>
      <c r="U94" s="397">
        <f t="shared" si="15"/>
        <v>70702.222222222234</v>
      </c>
      <c r="V94" s="675"/>
      <c r="W94" s="455">
        <f>'Project Plan'!K41+7</f>
        <v>46197</v>
      </c>
      <c r="X94" s="66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8"/>
      <c r="J95" s="666"/>
      <c r="K95" s="192"/>
      <c r="L95" s="284">
        <v>9</v>
      </c>
      <c r="M95" s="394" t="s">
        <v>321</v>
      </c>
      <c r="N95" s="286" t="s">
        <v>303</v>
      </c>
      <c r="O95" s="434"/>
      <c r="P95" s="449">
        <v>0.1</v>
      </c>
      <c r="Q95" s="219">
        <f t="shared" si="16"/>
        <v>54087.200000000004</v>
      </c>
      <c r="R95" s="684"/>
      <c r="S95" s="502"/>
      <c r="T95" s="412">
        <f t="shared" si="14"/>
        <v>46203</v>
      </c>
      <c r="U95" s="397">
        <f t="shared" si="15"/>
        <v>70702.222222222234</v>
      </c>
      <c r="V95" s="675"/>
      <c r="W95" s="455">
        <f>'Project Plan'!K48+7</f>
        <v>46198</v>
      </c>
      <c r="X95" s="66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8"/>
      <c r="J96" s="666"/>
      <c r="K96" s="192"/>
      <c r="L96" s="284">
        <v>9</v>
      </c>
      <c r="M96" s="394" t="s">
        <v>321</v>
      </c>
      <c r="N96" s="286" t="s">
        <v>304</v>
      </c>
      <c r="O96" s="434"/>
      <c r="P96" s="449">
        <v>0.05</v>
      </c>
      <c r="Q96" s="219">
        <f t="shared" si="16"/>
        <v>27043.600000000002</v>
      </c>
      <c r="R96" s="684"/>
      <c r="S96" s="502"/>
      <c r="T96" s="412">
        <f t="shared" si="14"/>
        <v>46203</v>
      </c>
      <c r="U96" s="397">
        <f t="shared" si="15"/>
        <v>35351.111111111117</v>
      </c>
      <c r="V96" s="675"/>
      <c r="W96" s="455">
        <f>'Project Plan'!K48+7</f>
        <v>46198</v>
      </c>
      <c r="X96" s="66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8"/>
      <c r="J97" s="666"/>
      <c r="K97" s="192"/>
      <c r="L97" s="284">
        <v>9</v>
      </c>
      <c r="M97" s="394" t="s">
        <v>321</v>
      </c>
      <c r="N97" s="286" t="s">
        <v>305</v>
      </c>
      <c r="O97" s="434"/>
      <c r="P97" s="449">
        <v>0.05</v>
      </c>
      <c r="Q97" s="219">
        <f t="shared" si="16"/>
        <v>27043.600000000002</v>
      </c>
      <c r="R97" s="685"/>
      <c r="S97" s="502"/>
      <c r="T97" s="412">
        <f t="shared" si="14"/>
        <v>46234</v>
      </c>
      <c r="U97" s="397">
        <f t="shared" si="15"/>
        <v>35351.111111111117</v>
      </c>
      <c r="V97" s="675"/>
      <c r="W97" s="455">
        <f>'Project Plan'!K48+30</f>
        <v>46221</v>
      </c>
      <c r="X97" s="66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8"/>
      <c r="J98" s="666"/>
      <c r="K98" s="192"/>
      <c r="L98" s="284">
        <v>9</v>
      </c>
      <c r="M98" s="394" t="s">
        <v>321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75"/>
      <c r="W98" s="455"/>
      <c r="X98" s="66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8"/>
      <c r="J99" s="666"/>
      <c r="K99" s="192"/>
      <c r="L99" s="284">
        <v>9</v>
      </c>
      <c r="M99" s="394" t="s">
        <v>321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75"/>
      <c r="W99" s="455"/>
      <c r="X99" s="663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99"/>
      <c r="J100" s="667"/>
      <c r="K100" s="267"/>
      <c r="L100" s="220">
        <v>9</v>
      </c>
      <c r="M100" s="340" t="s">
        <v>321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76"/>
      <c r="W100" s="456"/>
      <c r="X100" s="664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323</v>
      </c>
      <c r="D102" s="174" t="s">
        <v>278</v>
      </c>
      <c r="E102" s="175"/>
      <c r="F102" s="368"/>
      <c r="G102" s="242">
        <f>D177</f>
        <v>8500</v>
      </c>
      <c r="H102" s="562">
        <f>H89</f>
        <v>46148</v>
      </c>
      <c r="I102" s="668">
        <f>SUM(G102:G116)</f>
        <v>156487.33333333331</v>
      </c>
      <c r="J102" s="671">
        <f>F177+F180+F181+F179+F178</f>
        <v>173874.8148148148</v>
      </c>
      <c r="K102" s="243"/>
      <c r="L102" s="173">
        <v>10</v>
      </c>
      <c r="M102" s="333" t="s">
        <v>324</v>
      </c>
      <c r="N102" s="174" t="s">
        <v>325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77">
        <f>J102-SUM(U102:U116)</f>
        <v>0</v>
      </c>
      <c r="W102" s="465">
        <f>W108</f>
        <v>46148</v>
      </c>
      <c r="X102" s="668">
        <f>SUM(Q102:Q116)</f>
        <v>147414.23333333334</v>
      </c>
    </row>
    <row r="103" spans="1:24" ht="14.25" customHeight="1">
      <c r="B103" s="244">
        <v>10</v>
      </c>
      <c r="C103" s="245"/>
      <c r="D103" s="245" t="s">
        <v>279</v>
      </c>
      <c r="E103" s="246"/>
      <c r="F103" s="369"/>
      <c r="G103" s="247">
        <f>D181</f>
        <v>42120.666666666664</v>
      </c>
      <c r="H103" s="563">
        <f>H89</f>
        <v>46148</v>
      </c>
      <c r="I103" s="669"/>
      <c r="J103" s="672"/>
      <c r="K103" s="176"/>
      <c r="L103" s="244">
        <v>10</v>
      </c>
      <c r="M103" s="334" t="s">
        <v>324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8"/>
      <c r="W103" s="466"/>
      <c r="X103" s="669"/>
    </row>
    <row r="104" spans="1:24" ht="14.25" customHeight="1">
      <c r="B104" s="244">
        <v>10</v>
      </c>
      <c r="C104" s="245"/>
      <c r="D104" s="245" t="s">
        <v>325</v>
      </c>
      <c r="E104" s="246"/>
      <c r="F104" s="369"/>
      <c r="G104" s="247">
        <f>D180</f>
        <v>96000</v>
      </c>
      <c r="H104" s="563">
        <f>H89</f>
        <v>46148</v>
      </c>
      <c r="I104" s="669"/>
      <c r="J104" s="672"/>
      <c r="K104" s="176"/>
      <c r="L104" s="244">
        <v>10</v>
      </c>
      <c r="M104" s="334" t="s">
        <v>324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8"/>
      <c r="W104" s="466"/>
      <c r="X104" s="669"/>
    </row>
    <row r="105" spans="1:24" ht="14.25" customHeight="1">
      <c r="B105" s="244">
        <v>10</v>
      </c>
      <c r="C105" s="245"/>
      <c r="D105" s="245" t="s">
        <v>280</v>
      </c>
      <c r="E105" s="246"/>
      <c r="F105" s="369"/>
      <c r="G105" s="247">
        <f>D179</f>
        <v>9866.6666666666661</v>
      </c>
      <c r="H105" s="563">
        <f>H89</f>
        <v>46148</v>
      </c>
      <c r="I105" s="669"/>
      <c r="J105" s="672"/>
      <c r="K105" s="176"/>
      <c r="L105" s="244">
        <v>10</v>
      </c>
      <c r="M105" s="334" t="s">
        <v>324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8"/>
      <c r="W105" s="466"/>
      <c r="X105" s="66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9"/>
      <c r="J106" s="672"/>
      <c r="K106" s="176"/>
      <c r="L106" s="244">
        <v>10</v>
      </c>
      <c r="M106" s="334" t="s">
        <v>324</v>
      </c>
      <c r="N106" s="245" t="s">
        <v>296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80"/>
      <c r="S106" s="515"/>
      <c r="T106" s="425">
        <f>T90</f>
        <v>46112</v>
      </c>
      <c r="U106" s="409">
        <f t="shared" si="17"/>
        <v>6064.2992861243456</v>
      </c>
      <c r="V106" s="678"/>
      <c r="W106" s="467">
        <f>W90</f>
        <v>46111</v>
      </c>
      <c r="X106" s="66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9"/>
      <c r="J107" s="672"/>
      <c r="K107" s="176"/>
      <c r="L107" s="244">
        <v>10</v>
      </c>
      <c r="M107" s="334" t="s">
        <v>324</v>
      </c>
      <c r="N107" s="245" t="s">
        <v>151</v>
      </c>
      <c r="O107" s="445"/>
      <c r="P107" s="452">
        <v>0.15</v>
      </c>
      <c r="Q107" s="247">
        <f t="shared" ref="Q107:Q113" si="18">$O$106*P107</f>
        <v>7712.1349999999993</v>
      </c>
      <c r="R107" s="681"/>
      <c r="S107" s="520"/>
      <c r="T107" s="425">
        <f t="shared" ref="T107:T113" si="19">T91</f>
        <v>46142</v>
      </c>
      <c r="U107" s="409">
        <f t="shared" si="17"/>
        <v>9096.4489291865193</v>
      </c>
      <c r="V107" s="678"/>
      <c r="W107" s="467">
        <f t="shared" ref="W107:W113" si="20">W91</f>
        <v>46118</v>
      </c>
      <c r="X107" s="66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9"/>
      <c r="J108" s="672"/>
      <c r="K108" s="176"/>
      <c r="L108" s="244">
        <v>10</v>
      </c>
      <c r="M108" s="334" t="s">
        <v>324</v>
      </c>
      <c r="N108" s="245" t="s">
        <v>299</v>
      </c>
      <c r="O108" s="445"/>
      <c r="P108" s="452">
        <v>0.2</v>
      </c>
      <c r="Q108" s="247">
        <f t="shared" si="18"/>
        <v>10282.846666666666</v>
      </c>
      <c r="R108" s="681"/>
      <c r="S108" s="515"/>
      <c r="T108" s="425">
        <f t="shared" si="19"/>
        <v>46173</v>
      </c>
      <c r="U108" s="409">
        <f t="shared" si="17"/>
        <v>12128.598572248691</v>
      </c>
      <c r="V108" s="678"/>
      <c r="W108" s="467">
        <f t="shared" si="20"/>
        <v>46148</v>
      </c>
      <c r="X108" s="66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9"/>
      <c r="J109" s="672"/>
      <c r="K109" s="176"/>
      <c r="L109" s="244">
        <v>10</v>
      </c>
      <c r="M109" s="334" t="s">
        <v>324</v>
      </c>
      <c r="N109" s="245" t="s">
        <v>301</v>
      </c>
      <c r="O109" s="445"/>
      <c r="P109" s="452">
        <v>0.25</v>
      </c>
      <c r="Q109" s="247">
        <f t="shared" si="18"/>
        <v>12853.558333333332</v>
      </c>
      <c r="R109" s="681"/>
      <c r="S109" s="515"/>
      <c r="T109" s="425">
        <f t="shared" si="19"/>
        <v>46203</v>
      </c>
      <c r="U109" s="409">
        <f t="shared" si="17"/>
        <v>15160.748215310863</v>
      </c>
      <c r="V109" s="678"/>
      <c r="W109" s="467">
        <f t="shared" si="20"/>
        <v>46182</v>
      </c>
      <c r="X109" s="66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9"/>
      <c r="J110" s="672"/>
      <c r="K110" s="176"/>
      <c r="L110" s="244">
        <v>10</v>
      </c>
      <c r="M110" s="334" t="s">
        <v>324</v>
      </c>
      <c r="N110" s="245" t="s">
        <v>302</v>
      </c>
      <c r="O110" s="445"/>
      <c r="P110" s="452">
        <v>0.1</v>
      </c>
      <c r="Q110" s="247">
        <f t="shared" si="18"/>
        <v>5141.4233333333332</v>
      </c>
      <c r="R110" s="681"/>
      <c r="S110" s="515"/>
      <c r="T110" s="425">
        <f t="shared" si="19"/>
        <v>46203</v>
      </c>
      <c r="U110" s="409">
        <f t="shared" si="17"/>
        <v>6064.2992861243456</v>
      </c>
      <c r="V110" s="678"/>
      <c r="W110" s="467">
        <f t="shared" si="20"/>
        <v>46197</v>
      </c>
      <c r="X110" s="66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9"/>
      <c r="J111" s="672"/>
      <c r="K111" s="176"/>
      <c r="L111" s="244">
        <v>10</v>
      </c>
      <c r="M111" s="334" t="s">
        <v>324</v>
      </c>
      <c r="N111" s="245" t="s">
        <v>303</v>
      </c>
      <c r="O111" s="445"/>
      <c r="P111" s="452">
        <v>0.1</v>
      </c>
      <c r="Q111" s="247">
        <f t="shared" si="18"/>
        <v>5141.4233333333332</v>
      </c>
      <c r="R111" s="681"/>
      <c r="S111" s="515"/>
      <c r="T111" s="425">
        <f t="shared" si="19"/>
        <v>46203</v>
      </c>
      <c r="U111" s="409">
        <f t="shared" si="17"/>
        <v>6064.2992861243456</v>
      </c>
      <c r="V111" s="678"/>
      <c r="W111" s="467">
        <f t="shared" si="20"/>
        <v>46198</v>
      </c>
      <c r="X111" s="66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9"/>
      <c r="J112" s="672"/>
      <c r="K112" s="176"/>
      <c r="L112" s="244">
        <v>10</v>
      </c>
      <c r="M112" s="334" t="s">
        <v>324</v>
      </c>
      <c r="N112" s="245" t="s">
        <v>304</v>
      </c>
      <c r="O112" s="445"/>
      <c r="P112" s="452">
        <v>0.05</v>
      </c>
      <c r="Q112" s="247">
        <f t="shared" si="18"/>
        <v>2570.7116666666666</v>
      </c>
      <c r="R112" s="681"/>
      <c r="S112" s="515"/>
      <c r="T112" s="425">
        <f t="shared" si="19"/>
        <v>46203</v>
      </c>
      <c r="U112" s="409">
        <f t="shared" si="17"/>
        <v>3032.1496430621728</v>
      </c>
      <c r="V112" s="678"/>
      <c r="W112" s="467">
        <f t="shared" si="20"/>
        <v>46198</v>
      </c>
      <c r="X112" s="66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9"/>
      <c r="J113" s="672"/>
      <c r="K113" s="176"/>
      <c r="L113" s="244">
        <v>10</v>
      </c>
      <c r="M113" s="334" t="s">
        <v>324</v>
      </c>
      <c r="N113" s="245" t="s">
        <v>305</v>
      </c>
      <c r="O113" s="445"/>
      <c r="P113" s="452">
        <v>0.05</v>
      </c>
      <c r="Q113" s="247">
        <f t="shared" si="18"/>
        <v>2570.7116666666666</v>
      </c>
      <c r="R113" s="682"/>
      <c r="S113" s="515"/>
      <c r="T113" s="425">
        <f t="shared" si="19"/>
        <v>46234</v>
      </c>
      <c r="U113" s="409">
        <f t="shared" si="17"/>
        <v>3032.1496430621728</v>
      </c>
      <c r="V113" s="678"/>
      <c r="W113" s="467">
        <f t="shared" si="20"/>
        <v>46221</v>
      </c>
      <c r="X113" s="66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9"/>
      <c r="J114" s="672"/>
      <c r="K114" s="176"/>
      <c r="L114" s="244">
        <v>10</v>
      </c>
      <c r="M114" s="334" t="s">
        <v>324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8"/>
      <c r="W114" s="467"/>
      <c r="X114" s="66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9"/>
      <c r="J115" s="672"/>
      <c r="K115" s="176"/>
      <c r="L115" s="244">
        <v>10</v>
      </c>
      <c r="M115" s="334" t="s">
        <v>324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8"/>
      <c r="W115" s="467"/>
      <c r="X115" s="66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70"/>
      <c r="J116" s="673"/>
      <c r="K116" s="179"/>
      <c r="L116" s="177">
        <v>10</v>
      </c>
      <c r="M116" s="335" t="s">
        <v>324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9"/>
      <c r="W116" s="468"/>
      <c r="X116" s="670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326</v>
      </c>
      <c r="D118" s="255" t="s">
        <v>327</v>
      </c>
      <c r="E118" s="187"/>
      <c r="F118" s="336"/>
      <c r="G118" s="188">
        <v>20008.000000000004</v>
      </c>
      <c r="H118" s="543">
        <f>'Project Plan'!G41</f>
        <v>46190</v>
      </c>
      <c r="I118" s="662">
        <f>SUM(G118:G122)</f>
        <v>140024</v>
      </c>
      <c r="J118" s="665">
        <f>F176</f>
        <v>155582.22222222222</v>
      </c>
      <c r="K118" s="189"/>
      <c r="L118" s="185">
        <v>11</v>
      </c>
      <c r="M118" s="255" t="s">
        <v>328</v>
      </c>
      <c r="N118" s="255" t="s">
        <v>327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74">
        <f>J118-SUM(U118:U122)</f>
        <v>0</v>
      </c>
      <c r="W118" s="461">
        <f>'Project Plan'!K41+14</f>
        <v>46204</v>
      </c>
      <c r="X118" s="662">
        <f>SUM(Q118:Q122)</f>
        <v>106008</v>
      </c>
    </row>
    <row r="119" spans="1:24" ht="15" customHeight="1">
      <c r="B119" s="215">
        <v>11</v>
      </c>
      <c r="C119" s="217"/>
      <c r="D119" s="217" t="s">
        <v>329</v>
      </c>
      <c r="E119" s="218"/>
      <c r="F119" s="357"/>
      <c r="G119" s="219">
        <v>40016.000000000007</v>
      </c>
      <c r="H119" s="543">
        <f>H118</f>
        <v>46190</v>
      </c>
      <c r="I119" s="663"/>
      <c r="J119" s="666"/>
      <c r="K119" s="192"/>
      <c r="L119" s="215">
        <v>11</v>
      </c>
      <c r="M119" s="290" t="s">
        <v>328</v>
      </c>
      <c r="N119" s="217" t="s">
        <v>330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75"/>
      <c r="W119" s="454"/>
      <c r="X119" s="663"/>
    </row>
    <row r="120" spans="1:24" ht="15" customHeight="1">
      <c r="B120" s="215">
        <v>11</v>
      </c>
      <c r="C120" s="217"/>
      <c r="D120" s="217" t="s">
        <v>331</v>
      </c>
      <c r="E120" s="218"/>
      <c r="F120" s="357"/>
      <c r="G120" s="219">
        <v>80000</v>
      </c>
      <c r="H120" s="543">
        <f>H119</f>
        <v>46190</v>
      </c>
      <c r="I120" s="663"/>
      <c r="J120" s="666"/>
      <c r="K120" s="192"/>
      <c r="L120" s="215">
        <v>11</v>
      </c>
      <c r="M120" s="290" t="s">
        <v>328</v>
      </c>
      <c r="N120" s="217" t="s">
        <v>331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75"/>
      <c r="W120" s="454">
        <f>T120+30</f>
        <v>46233</v>
      </c>
      <c r="X120" s="663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3"/>
      <c r="J121" s="666"/>
      <c r="K121" s="192"/>
      <c r="L121" s="215">
        <v>11</v>
      </c>
      <c r="M121" s="290" t="s">
        <v>328</v>
      </c>
      <c r="N121" s="288" t="s">
        <v>332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75"/>
      <c r="W121" s="455">
        <f>'Project Plan'!K41</f>
        <v>46190</v>
      </c>
      <c r="X121" s="663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4"/>
      <c r="J122" s="667"/>
      <c r="K122" s="193"/>
      <c r="L122" s="220">
        <v>11</v>
      </c>
      <c r="M122" s="318" t="s">
        <v>328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6"/>
      <c r="W122" s="456"/>
      <c r="X122" s="664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333</v>
      </c>
      <c r="D124" s="174" t="s">
        <v>334</v>
      </c>
      <c r="E124" s="175"/>
      <c r="F124" s="368"/>
      <c r="G124" s="242">
        <v>0</v>
      </c>
      <c r="H124" s="562"/>
      <c r="I124" s="668">
        <f>SUM(G124:G125)</f>
        <v>0</v>
      </c>
      <c r="J124" s="671">
        <v>0</v>
      </c>
      <c r="K124" s="686"/>
      <c r="L124" s="173">
        <v>12</v>
      </c>
      <c r="M124" s="174" t="s">
        <v>335</v>
      </c>
      <c r="N124" s="174" t="s">
        <v>334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8">
        <f>SUM(Q124:Q125)</f>
        <v>0</v>
      </c>
    </row>
    <row r="125" spans="1:24" ht="15" customHeight="1" thickBot="1">
      <c r="B125" s="177">
        <v>12</v>
      </c>
      <c r="C125" s="248" t="s">
        <v>333</v>
      </c>
      <c r="D125" s="248"/>
      <c r="E125" s="249"/>
      <c r="F125" s="370"/>
      <c r="G125" s="178"/>
      <c r="H125" s="565"/>
      <c r="I125" s="670"/>
      <c r="J125" s="673"/>
      <c r="K125" s="687"/>
      <c r="L125" s="177">
        <v>12</v>
      </c>
      <c r="M125" s="248" t="s">
        <v>335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0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336</v>
      </c>
      <c r="D127" s="255" t="s">
        <v>337</v>
      </c>
      <c r="E127" s="187"/>
      <c r="F127" s="336"/>
      <c r="G127" s="188">
        <f>D175</f>
        <v>63105.23056884059</v>
      </c>
      <c r="H127" s="543">
        <f>'Project Plan'!G50</f>
        <v>46204</v>
      </c>
      <c r="I127" s="662">
        <f>SUM(G127:G131)</f>
        <v>63105.23056884059</v>
      </c>
      <c r="J127" s="665">
        <f>F175</f>
        <v>71710.4892827734</v>
      </c>
      <c r="K127" s="189"/>
      <c r="L127" s="185">
        <v>13</v>
      </c>
      <c r="M127" s="255" t="s">
        <v>338</v>
      </c>
      <c r="N127" s="255" t="s">
        <v>339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74">
        <f>J127-SUM(U127:U132)</f>
        <v>0</v>
      </c>
      <c r="W127" s="461">
        <f>'Project Plan'!K41</f>
        <v>46190</v>
      </c>
      <c r="X127" s="662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3"/>
      <c r="J128" s="666"/>
      <c r="K128" s="192"/>
      <c r="L128" s="215">
        <v>13</v>
      </c>
      <c r="M128" s="290" t="s">
        <v>338</v>
      </c>
      <c r="N128" s="217" t="s">
        <v>340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75"/>
      <c r="W128" s="454">
        <f>W127</f>
        <v>46190</v>
      </c>
      <c r="X128" s="663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3"/>
      <c r="J129" s="666"/>
      <c r="K129" s="192"/>
      <c r="L129" s="215">
        <v>13</v>
      </c>
      <c r="M129" s="290" t="s">
        <v>338</v>
      </c>
      <c r="N129" s="217" t="s">
        <v>341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75"/>
      <c r="W129" s="454">
        <f t="shared" ref="W129:W131" si="22">W128</f>
        <v>46190</v>
      </c>
      <c r="X129" s="663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3"/>
      <c r="J130" s="666"/>
      <c r="K130" s="192"/>
      <c r="L130" s="215">
        <v>13</v>
      </c>
      <c r="M130" s="290" t="s">
        <v>338</v>
      </c>
      <c r="N130" s="217" t="s">
        <v>342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75"/>
      <c r="W130" s="454">
        <f t="shared" si="22"/>
        <v>46190</v>
      </c>
      <c r="X130" s="663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3"/>
      <c r="J131" s="666"/>
      <c r="K131" s="192"/>
      <c r="L131" s="215">
        <v>13</v>
      </c>
      <c r="M131" s="290" t="s">
        <v>338</v>
      </c>
      <c r="N131" s="217" t="s">
        <v>343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75"/>
      <c r="W131" s="454">
        <f t="shared" si="22"/>
        <v>46190</v>
      </c>
      <c r="X131" s="663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4"/>
      <c r="J132" s="667"/>
      <c r="K132" s="267"/>
      <c r="L132" s="220">
        <v>13</v>
      </c>
      <c r="M132" s="318" t="s">
        <v>338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76"/>
      <c r="W132" s="456"/>
      <c r="X132" s="664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344</v>
      </c>
      <c r="D134" s="174" t="s">
        <v>345</v>
      </c>
      <c r="E134" s="175"/>
      <c r="F134" s="368"/>
      <c r="G134" s="242">
        <f>D186</f>
        <v>14000</v>
      </c>
      <c r="H134" s="562">
        <f>'Project Plan'!G50</f>
        <v>46204</v>
      </c>
      <c r="I134" s="668">
        <f>SUM(G134:G145)</f>
        <v>14000</v>
      </c>
      <c r="J134" s="671">
        <f>F186</f>
        <v>15555.555555555555</v>
      </c>
      <c r="K134" s="243"/>
      <c r="L134" s="173">
        <v>14</v>
      </c>
      <c r="M134" s="333" t="s">
        <v>346</v>
      </c>
      <c r="N134" s="174" t="s">
        <v>347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677">
        <f>J134-SUM(U134:U145)</f>
        <v>0</v>
      </c>
      <c r="W134" s="467">
        <f>T134+7</f>
        <v>46088</v>
      </c>
      <c r="X134" s="668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9"/>
      <c r="J135" s="672"/>
      <c r="K135" s="176"/>
      <c r="L135" s="244">
        <v>14</v>
      </c>
      <c r="M135" s="334" t="s">
        <v>346</v>
      </c>
      <c r="N135" s="245" t="s">
        <v>347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678"/>
      <c r="W135" s="467">
        <f>T135+7</f>
        <v>46119</v>
      </c>
      <c r="X135" s="66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9"/>
      <c r="J136" s="672"/>
      <c r="K136" s="176"/>
      <c r="L136" s="244">
        <v>14</v>
      </c>
      <c r="M136" s="334" t="s">
        <v>346</v>
      </c>
      <c r="N136" s="245" t="s">
        <v>347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678"/>
      <c r="W136" s="467">
        <f>T136+7</f>
        <v>46149</v>
      </c>
      <c r="X136" s="66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9"/>
      <c r="J137" s="672"/>
      <c r="K137" s="176"/>
      <c r="L137" s="244">
        <v>14</v>
      </c>
      <c r="M137" s="334" t="s">
        <v>346</v>
      </c>
      <c r="N137" s="245" t="s">
        <v>347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678"/>
      <c r="W137" s="467">
        <f>T137+7</f>
        <v>46180</v>
      </c>
      <c r="X137" s="66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9"/>
      <c r="J138" s="672"/>
      <c r="K138" s="176"/>
      <c r="L138" s="244">
        <v>14</v>
      </c>
      <c r="M138" s="334" t="s">
        <v>346</v>
      </c>
      <c r="N138" s="245" t="s">
        <v>347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8"/>
      <c r="W138" s="467"/>
      <c r="X138" s="66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9"/>
      <c r="J139" s="672"/>
      <c r="K139" s="176"/>
      <c r="L139" s="244">
        <v>14</v>
      </c>
      <c r="M139" s="334" t="s">
        <v>346</v>
      </c>
      <c r="N139" s="245" t="s">
        <v>347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8"/>
      <c r="W139" s="467"/>
      <c r="X139" s="66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9"/>
      <c r="J140" s="672"/>
      <c r="K140" s="176"/>
      <c r="L140" s="244">
        <v>14</v>
      </c>
      <c r="M140" s="334" t="s">
        <v>346</v>
      </c>
      <c r="N140" s="245" t="s">
        <v>347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8"/>
      <c r="W140" s="467"/>
      <c r="X140" s="66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9"/>
      <c r="J141" s="672"/>
      <c r="K141" s="176"/>
      <c r="L141" s="244">
        <v>14</v>
      </c>
      <c r="M141" s="334" t="s">
        <v>346</v>
      </c>
      <c r="N141" s="245" t="s">
        <v>347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8"/>
      <c r="W141" s="467"/>
      <c r="X141" s="66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9"/>
      <c r="J142" s="672"/>
      <c r="K142" s="176"/>
      <c r="L142" s="244">
        <v>14</v>
      </c>
      <c r="M142" s="334" t="s">
        <v>346</v>
      </c>
      <c r="N142" s="245" t="s">
        <v>347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8"/>
      <c r="W142" s="467"/>
      <c r="X142" s="66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9"/>
      <c r="J143" s="672"/>
      <c r="K143" s="176"/>
      <c r="L143" s="244">
        <v>14</v>
      </c>
      <c r="M143" s="334" t="s">
        <v>346</v>
      </c>
      <c r="N143" s="245" t="s">
        <v>347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8"/>
      <c r="W143" s="467"/>
      <c r="X143" s="66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9"/>
      <c r="J144" s="672"/>
      <c r="K144" s="176"/>
      <c r="L144" s="244">
        <v>14</v>
      </c>
      <c r="M144" s="334" t="s">
        <v>346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8"/>
      <c r="W144" s="467"/>
      <c r="X144" s="66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70"/>
      <c r="J145" s="673"/>
      <c r="K145" s="179"/>
      <c r="L145" s="177">
        <v>14</v>
      </c>
      <c r="M145" s="335" t="s">
        <v>346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9"/>
      <c r="W145" s="468"/>
      <c r="X145" s="670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348</v>
      </c>
      <c r="D147" s="186"/>
      <c r="E147" s="187"/>
      <c r="F147" s="336"/>
      <c r="G147" s="188"/>
      <c r="H147" s="543"/>
      <c r="I147" s="662">
        <f>SUM(G147:G158)</f>
        <v>0</v>
      </c>
      <c r="J147" s="665">
        <v>0</v>
      </c>
      <c r="K147" s="189"/>
      <c r="L147" s="185">
        <v>15</v>
      </c>
      <c r="M147" s="255" t="s">
        <v>349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4">
        <v>0</v>
      </c>
      <c r="W147" s="461"/>
      <c r="X147" s="662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3"/>
      <c r="J148" s="666"/>
      <c r="K148" s="192"/>
      <c r="L148" s="215">
        <v>15</v>
      </c>
      <c r="M148" s="290" t="s">
        <v>349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5"/>
      <c r="W148" s="454"/>
      <c r="X148" s="663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3"/>
      <c r="J149" s="666"/>
      <c r="K149" s="192"/>
      <c r="L149" s="215">
        <v>15</v>
      </c>
      <c r="M149" s="290" t="s">
        <v>349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5"/>
      <c r="W149" s="454"/>
      <c r="X149" s="663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3"/>
      <c r="J150" s="666"/>
      <c r="K150" s="192"/>
      <c r="L150" s="215">
        <v>15</v>
      </c>
      <c r="M150" s="290" t="s">
        <v>349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5"/>
      <c r="W150" s="454"/>
      <c r="X150" s="663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3"/>
      <c r="J151" s="666"/>
      <c r="K151" s="192"/>
      <c r="L151" s="215">
        <v>15</v>
      </c>
      <c r="M151" s="290" t="s">
        <v>349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5"/>
      <c r="W151" s="454"/>
      <c r="X151" s="663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3"/>
      <c r="J152" s="666"/>
      <c r="K152" s="192"/>
      <c r="L152" s="215">
        <v>15</v>
      </c>
      <c r="M152" s="290" t="s">
        <v>349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5"/>
      <c r="W152" s="454"/>
      <c r="X152" s="663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3"/>
      <c r="J153" s="666"/>
      <c r="K153" s="192"/>
      <c r="L153" s="215">
        <v>15</v>
      </c>
      <c r="M153" s="290" t="s">
        <v>349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5"/>
      <c r="W153" s="454"/>
      <c r="X153" s="663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3"/>
      <c r="J154" s="666"/>
      <c r="K154" s="192"/>
      <c r="L154" s="215">
        <v>15</v>
      </c>
      <c r="M154" s="290" t="s">
        <v>349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5"/>
      <c r="W154" s="454"/>
      <c r="X154" s="663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3"/>
      <c r="J155" s="666"/>
      <c r="K155" s="192"/>
      <c r="L155" s="215">
        <v>15</v>
      </c>
      <c r="M155" s="290" t="s">
        <v>349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5"/>
      <c r="W155" s="454"/>
      <c r="X155" s="663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3"/>
      <c r="J156" s="666"/>
      <c r="K156" s="192"/>
      <c r="L156" s="215">
        <v>15</v>
      </c>
      <c r="M156" s="290" t="s">
        <v>349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5"/>
      <c r="W156" s="454"/>
      <c r="X156" s="663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3"/>
      <c r="J157" s="666"/>
      <c r="K157" s="192"/>
      <c r="L157" s="215">
        <v>15</v>
      </c>
      <c r="M157" s="290" t="s">
        <v>349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5"/>
      <c r="W157" s="454"/>
      <c r="X157" s="663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4"/>
      <c r="J158" s="667"/>
      <c r="K158" s="193"/>
      <c r="L158" s="220">
        <v>15</v>
      </c>
      <c r="M158" s="318" t="s">
        <v>349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6"/>
      <c r="W158" s="456"/>
      <c r="X158" s="664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350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351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352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294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353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360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361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362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363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366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367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368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371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372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373</v>
      </c>
      <c r="B2" s="103"/>
      <c r="C2" s="104" t="s">
        <v>261</v>
      </c>
      <c r="D2" s="104" t="s">
        <v>261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207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208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204</v>
      </c>
      <c r="B8" s="103"/>
      <c r="C8" s="104" t="s">
        <v>261</v>
      </c>
      <c r="D8" s="104" t="s">
        <v>261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377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379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2368840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380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115141.18033333335</v>
      </c>
      <c r="S12" s="125">
        <f t="shared" si="26"/>
        <v>286102.95083333331</v>
      </c>
      <c r="T12" s="125">
        <f t="shared" si="26"/>
        <v>286102.95083333331</v>
      </c>
      <c r="U12" s="125">
        <f t="shared" si="26"/>
        <v>286102.95083333331</v>
      </c>
      <c r="V12" s="125">
        <f t="shared" si="26"/>
        <v>539147.60083333333</v>
      </c>
      <c r="W12" s="125">
        <f t="shared" si="26"/>
        <v>861929.96149999998</v>
      </c>
      <c r="X12" s="125">
        <f t="shared" si="26"/>
        <v>861929.96149999998</v>
      </c>
      <c r="Y12" s="125">
        <f t="shared" si="26"/>
        <v>861929.96149999998</v>
      </c>
      <c r="Z12" s="125">
        <f t="shared" si="26"/>
        <v>1182929.9615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2084464.3732116497</v>
      </c>
      <c r="R14" s="118">
        <f t="shared" si="32"/>
        <v>1972823.1928783164</v>
      </c>
      <c r="S14" s="118">
        <f t="shared" si="32"/>
        <v>1801861.4223783165</v>
      </c>
      <c r="T14" s="118">
        <f t="shared" si="32"/>
        <v>4784667.6698235301</v>
      </c>
      <c r="U14" s="118">
        <f t="shared" si="32"/>
        <v>4784667.6698235301</v>
      </c>
      <c r="V14" s="118">
        <f t="shared" si="32"/>
        <v>4531623.0198235307</v>
      </c>
      <c r="W14" s="118">
        <f t="shared" si="32"/>
        <v>4208840.6591568636</v>
      </c>
      <c r="X14" s="118">
        <f t="shared" si="32"/>
        <v>4208840.6591568636</v>
      </c>
      <c r="Y14" s="118">
        <f t="shared" si="32"/>
        <v>4208840.6591568636</v>
      </c>
      <c r="Z14" s="118">
        <f t="shared" si="32"/>
        <v>3887840.6591568636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261</v>
      </c>
      <c r="D16" s="104" t="s">
        <v>261</v>
      </c>
    </row>
    <row r="17" spans="1:291">
      <c r="A17" s="718"/>
      <c r="B17" s="106" t="s">
        <v>382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383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578382.00113297242</v>
      </c>
      <c r="S18" s="125">
        <f t="shared" si="37"/>
        <v>578382.00113297242</v>
      </c>
      <c r="T18" s="125">
        <f t="shared" si="37"/>
        <v>578382.00113297242</v>
      </c>
      <c r="U18" s="125">
        <f t="shared" si="37"/>
        <v>578382.00113297242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384</v>
      </c>
      <c r="B3" s="541" t="s">
        <v>385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  <c r="L4"/>
      <c r="M4"/>
      <c r="N4"/>
      <c r="O4"/>
      <c r="P4"/>
      <c r="Q4"/>
      <c r="R4"/>
      <c r="S4"/>
      <c r="T4"/>
    </row>
    <row r="5" spans="1:20">
      <c r="A5" s="345" t="s">
        <v>387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265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273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285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292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308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317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321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324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328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349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388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389</v>
      </c>
      <c r="B3" s="541" t="s">
        <v>385</v>
      </c>
      <c r="C3"/>
      <c r="D3"/>
      <c r="E3"/>
      <c r="F3"/>
      <c r="G3"/>
      <c r="H3"/>
      <c r="I3"/>
    </row>
    <row r="4" spans="1:11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</row>
    <row r="5" spans="1:11">
      <c r="A5" s="345" t="s">
        <v>387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265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273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285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292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308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313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317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321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324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328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338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346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349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388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390</v>
      </c>
      <c r="F2" s="19" t="s">
        <v>391</v>
      </c>
    </row>
    <row r="3" spans="3:8">
      <c r="C3" s="15">
        <v>45658</v>
      </c>
      <c r="D3" s="9" t="s">
        <v>392</v>
      </c>
      <c r="F3" s="17" t="s">
        <v>393</v>
      </c>
    </row>
    <row r="4" spans="3:8">
      <c r="C4" s="15">
        <v>45737</v>
      </c>
      <c r="D4" s="9" t="s">
        <v>394</v>
      </c>
      <c r="F4" s="17" t="s">
        <v>395</v>
      </c>
    </row>
    <row r="5" spans="3:8">
      <c r="C5" s="15">
        <v>45765</v>
      </c>
      <c r="D5" s="9" t="s">
        <v>396</v>
      </c>
      <c r="F5" s="17" t="s">
        <v>397</v>
      </c>
    </row>
    <row r="6" spans="3:8" ht="13" thickBot="1">
      <c r="C6" s="15">
        <v>45768</v>
      </c>
      <c r="D6" s="9" t="s">
        <v>398</v>
      </c>
      <c r="F6" s="18" t="s">
        <v>399</v>
      </c>
    </row>
    <row r="7" spans="3:8">
      <c r="C7" s="15">
        <v>45774</v>
      </c>
      <c r="D7" s="9" t="s">
        <v>400</v>
      </c>
    </row>
    <row r="8" spans="3:8">
      <c r="C8" s="15">
        <v>45765</v>
      </c>
      <c r="D8" s="9" t="s">
        <v>401</v>
      </c>
    </row>
    <row r="9" spans="3:8">
      <c r="C9" s="15">
        <v>45778</v>
      </c>
      <c r="D9" s="9" t="s">
        <v>402</v>
      </c>
    </row>
    <row r="10" spans="3:8">
      <c r="C10" s="15">
        <v>45824</v>
      </c>
      <c r="D10" s="9" t="s">
        <v>403</v>
      </c>
    </row>
    <row r="11" spans="3:8">
      <c r="C11" s="15">
        <v>45878</v>
      </c>
      <c r="D11" s="9" t="s">
        <v>404</v>
      </c>
    </row>
    <row r="12" spans="3:8">
      <c r="C12" s="15">
        <v>45924</v>
      </c>
      <c r="D12" s="9" t="s">
        <v>405</v>
      </c>
    </row>
    <row r="13" spans="3:8">
      <c r="C13" s="15">
        <v>46007</v>
      </c>
      <c r="D13" s="9" t="s">
        <v>406</v>
      </c>
      <c r="F13" s="20"/>
      <c r="H13" s="9" t="s">
        <v>407</v>
      </c>
    </row>
    <row r="14" spans="3:8">
      <c r="C14" s="15">
        <v>46016</v>
      </c>
      <c r="D14" s="9" t="s">
        <v>408</v>
      </c>
    </row>
    <row r="15" spans="3:8">
      <c r="C15" s="15">
        <v>46017</v>
      </c>
      <c r="D15" s="9" t="s">
        <v>409</v>
      </c>
    </row>
    <row r="16" spans="3:8">
      <c r="C16" s="15">
        <v>46006</v>
      </c>
      <c r="D16" s="9" t="s">
        <v>410</v>
      </c>
    </row>
    <row r="17" spans="3:4">
      <c r="C17" s="15">
        <v>46007</v>
      </c>
      <c r="D17" s="9" t="s">
        <v>410</v>
      </c>
    </row>
    <row r="18" spans="3:4">
      <c r="C18" s="15">
        <v>46008</v>
      </c>
      <c r="D18" s="9" t="s">
        <v>410</v>
      </c>
    </row>
    <row r="19" spans="3:4">
      <c r="C19" s="15">
        <v>46009</v>
      </c>
      <c r="D19" s="9" t="s">
        <v>410</v>
      </c>
    </row>
    <row r="20" spans="3:4">
      <c r="C20" s="15">
        <v>46010</v>
      </c>
      <c r="D20" s="9" t="s">
        <v>410</v>
      </c>
    </row>
    <row r="21" spans="3:4">
      <c r="C21" s="15">
        <v>46011</v>
      </c>
      <c r="D21" s="9" t="s">
        <v>410</v>
      </c>
    </row>
    <row r="22" spans="3:4">
      <c r="C22" s="15">
        <v>46012</v>
      </c>
      <c r="D22" s="9" t="s">
        <v>410</v>
      </c>
    </row>
    <row r="23" spans="3:4">
      <c r="C23" s="15">
        <v>46013</v>
      </c>
      <c r="D23" s="9" t="s">
        <v>410</v>
      </c>
    </row>
    <row r="24" spans="3:4">
      <c r="C24" s="15">
        <v>46014</v>
      </c>
      <c r="D24" s="9" t="s">
        <v>410</v>
      </c>
    </row>
    <row r="25" spans="3:4">
      <c r="C25" s="15">
        <v>46015</v>
      </c>
      <c r="D25" s="9" t="s">
        <v>410</v>
      </c>
    </row>
    <row r="26" spans="3:4">
      <c r="C26" s="15">
        <v>46016</v>
      </c>
      <c r="D26" s="9" t="s">
        <v>410</v>
      </c>
    </row>
    <row r="27" spans="3:4">
      <c r="C27" s="15">
        <v>46017</v>
      </c>
      <c r="D27" s="9" t="s">
        <v>410</v>
      </c>
    </row>
    <row r="28" spans="3:4">
      <c r="C28" s="15">
        <v>46018</v>
      </c>
      <c r="D28" s="9" t="s">
        <v>410</v>
      </c>
    </row>
    <row r="29" spans="3:4">
      <c r="C29" s="15">
        <v>46019</v>
      </c>
      <c r="D29" s="9" t="s">
        <v>410</v>
      </c>
    </row>
    <row r="30" spans="3:4">
      <c r="C30" s="15">
        <v>46020</v>
      </c>
      <c r="D30" s="9" t="s">
        <v>410</v>
      </c>
    </row>
    <row r="31" spans="3:4">
      <c r="C31" s="15">
        <v>46021</v>
      </c>
      <c r="D31" s="9" t="s">
        <v>410</v>
      </c>
    </row>
    <row r="32" spans="3:4">
      <c r="C32" s="15">
        <v>46022</v>
      </c>
      <c r="D32" s="9" t="s">
        <v>410</v>
      </c>
    </row>
    <row r="33" spans="3:4">
      <c r="C33" s="15">
        <v>46023</v>
      </c>
      <c r="D33" s="9" t="s">
        <v>410</v>
      </c>
    </row>
    <row r="34" spans="3:4">
      <c r="C34" s="15">
        <v>46024</v>
      </c>
      <c r="D34" s="9" t="s">
        <v>410</v>
      </c>
    </row>
    <row r="35" spans="3:4">
      <c r="C35" s="15">
        <v>46025</v>
      </c>
      <c r="D35" s="9" t="s">
        <v>410</v>
      </c>
    </row>
    <row r="36" spans="3:4">
      <c r="C36" s="15">
        <v>46026</v>
      </c>
      <c r="D36" s="9" t="s">
        <v>410</v>
      </c>
    </row>
    <row r="37" spans="3:4">
      <c r="C37" s="15">
        <v>46027</v>
      </c>
      <c r="D37" s="9" t="s">
        <v>410</v>
      </c>
    </row>
    <row r="38" spans="3:4">
      <c r="C38" s="15">
        <v>46028</v>
      </c>
      <c r="D38" s="9" t="s">
        <v>410</v>
      </c>
    </row>
    <row r="39" spans="3:4">
      <c r="C39" s="15">
        <v>46029</v>
      </c>
      <c r="D39" s="9" t="s">
        <v>410</v>
      </c>
    </row>
    <row r="40" spans="3:4">
      <c r="C40" s="15">
        <v>46030</v>
      </c>
      <c r="D40" s="9" t="s">
        <v>410</v>
      </c>
    </row>
    <row r="41" spans="3:4">
      <c r="C41" s="15">
        <v>46031</v>
      </c>
      <c r="D41" s="9" t="s">
        <v>410</v>
      </c>
    </row>
    <row r="42" spans="3:4">
      <c r="C42" s="15">
        <v>46032</v>
      </c>
      <c r="D42" s="9" t="s">
        <v>410</v>
      </c>
    </row>
    <row r="43" spans="3:4">
      <c r="C43" s="15">
        <v>46033</v>
      </c>
      <c r="D43" s="9" t="s">
        <v>410</v>
      </c>
    </row>
    <row r="44" spans="3:4">
      <c r="C44" s="15">
        <v>46034</v>
      </c>
      <c r="D44" s="9" t="s">
        <v>410</v>
      </c>
    </row>
    <row r="45" spans="3:4">
      <c r="C45" s="15">
        <v>46035</v>
      </c>
      <c r="D45" s="9" t="s">
        <v>410</v>
      </c>
    </row>
    <row r="46" spans="3:4">
      <c r="C46" s="15">
        <v>46036</v>
      </c>
      <c r="D46" s="9" t="s">
        <v>410</v>
      </c>
    </row>
    <row r="47" spans="3:4">
      <c r="C47" s="15">
        <v>46037</v>
      </c>
      <c r="D47" s="9" t="s">
        <v>410</v>
      </c>
    </row>
    <row r="48" spans="3:4">
      <c r="C48" s="15">
        <v>46038</v>
      </c>
      <c r="D48" s="9" t="s">
        <v>410</v>
      </c>
    </row>
    <row r="49" spans="3:4">
      <c r="C49" s="15">
        <v>46102</v>
      </c>
      <c r="D49" s="9" t="s">
        <v>394</v>
      </c>
    </row>
    <row r="50" spans="3:4">
      <c r="C50" s="15">
        <v>46115</v>
      </c>
      <c r="D50" s="9" t="s">
        <v>396</v>
      </c>
    </row>
    <row r="51" spans="3:4">
      <c r="C51" s="15">
        <v>46118</v>
      </c>
      <c r="D51" s="9" t="s">
        <v>398</v>
      </c>
    </row>
    <row r="52" spans="3:4">
      <c r="C52" s="15">
        <v>46139</v>
      </c>
      <c r="D52" s="9" t="s">
        <v>400</v>
      </c>
    </row>
    <row r="53" spans="3:4">
      <c r="C53" s="15">
        <v>46143</v>
      </c>
      <c r="D53" s="9" t="s">
        <v>402</v>
      </c>
    </row>
    <row r="54" spans="3:4">
      <c r="C54" s="15">
        <v>46189</v>
      </c>
      <c r="D54" s="9" t="s">
        <v>403</v>
      </c>
    </row>
    <row r="55" spans="3:4">
      <c r="C55" s="15">
        <v>46243</v>
      </c>
      <c r="D55" s="9" t="s">
        <v>404</v>
      </c>
    </row>
    <row r="56" spans="3:4">
      <c r="C56" s="15">
        <v>46244</v>
      </c>
      <c r="D56" s="9" t="s">
        <v>411</v>
      </c>
    </row>
    <row r="57" spans="3:4">
      <c r="C57" s="15">
        <v>46289</v>
      </c>
      <c r="D57" s="9" t="s">
        <v>405</v>
      </c>
    </row>
    <row r="58" spans="3:4">
      <c r="C58" s="15">
        <v>46372</v>
      </c>
      <c r="D58" s="9" t="s">
        <v>406</v>
      </c>
    </row>
    <row r="59" spans="3:4">
      <c r="C59" s="15">
        <v>46381</v>
      </c>
      <c r="D59" s="9" t="s">
        <v>408</v>
      </c>
    </row>
    <row r="60" spans="3:4" ht="13" thickBot="1">
      <c r="C60" s="16">
        <v>46382</v>
      </c>
      <c r="D60" s="9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